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tables/table1.xml" ContentType="application/vnd.openxmlformats-officedocument.spreadsheetml.tab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3.xml" ContentType="application/vnd.openxmlformats-officedocument.drawing+xml"/>
  <Override PartName="/xl/tables/table2.xml" ContentType="application/vnd.openxmlformats-officedocument.spreadsheetml.tab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drawings/drawing4.xml" ContentType="application/vnd.openxmlformats-officedocument.drawing+xml"/>
  <Override PartName="/xl/tables/table3.xml" ContentType="application/vnd.openxmlformats-officedocument.spreadsheetml.tab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drawings/drawing5.xml" ContentType="application/vnd.openxmlformats-officedocument.drawing+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drawings/drawing6.xml" ContentType="application/vnd.openxmlformats-officedocument.drawing+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drawings/drawing7.xml" ContentType="application/vnd.openxmlformats-officedocument.drawing+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drawings/drawing8.xml" ContentType="application/vnd.openxmlformats-officedocument.drawing+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drawings/drawing9.xml" ContentType="application/vnd.openxmlformats-officedocument.drawing+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drawings/drawing10.xml" ContentType="application/vnd.openxmlformats-officedocument.drawing+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drawings/drawing11.xml" ContentType="application/vnd.openxmlformats-officedocument.drawing+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drawings/drawing12.xml" ContentType="application/vnd.openxmlformats-officedocument.drawing+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charts/chart24.xml" ContentType="application/vnd.openxmlformats-officedocument.drawingml.chart+xml"/>
  <Override PartName="/xl/charts/style24.xml" ContentType="application/vnd.ms-office.chartstyle+xml"/>
  <Override PartName="/xl/charts/colors24.xml" ContentType="application/vnd.ms-office.chartcolorstyle+xml"/>
  <Override PartName="/xl/drawings/drawing13.xml" ContentType="application/vnd.openxmlformats-officedocument.drawing+xml"/>
  <Override PartName="/xl/tables/table4.xml" ContentType="application/vnd.openxmlformats-officedocument.spreadsheetml.table+xml"/>
  <Override PartName="/xl/charts/chart25.xml" ContentType="application/vnd.openxmlformats-officedocument.drawingml.chart+xml"/>
  <Override PartName="/xl/charts/style25.xml" ContentType="application/vnd.ms-office.chartstyle+xml"/>
  <Override PartName="/xl/charts/colors25.xml" ContentType="application/vnd.ms-office.chartcolorstyle+xml"/>
  <Override PartName="/xl/charts/chart26.xml" ContentType="application/vnd.openxmlformats-officedocument.drawingml.chart+xml"/>
  <Override PartName="/xl/charts/style26.xml" ContentType="application/vnd.ms-office.chartstyle+xml"/>
  <Override PartName="/xl/charts/colors26.xml" ContentType="application/vnd.ms-office.chartcolorstyle+xml"/>
  <Override PartName="/xl/drawings/drawing14.xml" ContentType="application/vnd.openxmlformats-officedocument.drawing+xml"/>
  <Override PartName="/xl/tables/table5.xml" ContentType="application/vnd.openxmlformats-officedocument.spreadsheetml.table+xml"/>
  <Override PartName="/xl/charts/chart27.xml" ContentType="application/vnd.openxmlformats-officedocument.drawingml.chart+xml"/>
  <Override PartName="/xl/charts/style27.xml" ContentType="application/vnd.ms-office.chartstyle+xml"/>
  <Override PartName="/xl/charts/colors27.xml" ContentType="application/vnd.ms-office.chartcolorstyle+xml"/>
  <Override PartName="/xl/charts/chart28.xml" ContentType="application/vnd.openxmlformats-officedocument.drawingml.chart+xml"/>
  <Override PartName="/xl/charts/style28.xml" ContentType="application/vnd.ms-office.chartstyle+xml"/>
  <Override PartName="/xl/charts/colors28.xml" ContentType="application/vnd.ms-office.chartcolorstyle+xml"/>
  <Override PartName="/xl/drawings/drawing15.xml" ContentType="application/vnd.openxmlformats-officedocument.drawing+xml"/>
  <Override PartName="/xl/tables/table6.xml" ContentType="application/vnd.openxmlformats-officedocument.spreadsheetml.table+xml"/>
  <Override PartName="/xl/charts/chart29.xml" ContentType="application/vnd.openxmlformats-officedocument.drawingml.chart+xml"/>
  <Override PartName="/xl/charts/style29.xml" ContentType="application/vnd.ms-office.chartstyle+xml"/>
  <Override PartName="/xl/charts/colors29.xml" ContentType="application/vnd.ms-office.chartcolorstyle+xml"/>
  <Override PartName="/xl/charts/chart30.xml" ContentType="application/vnd.openxmlformats-officedocument.drawingml.chart+xml"/>
  <Override PartName="/xl/charts/style30.xml" ContentType="application/vnd.ms-office.chartstyle+xml"/>
  <Override PartName="/xl/charts/colors30.xml" ContentType="application/vnd.ms-office.chartcolorstyle+xml"/>
  <Override PartName="/xl/drawings/drawing16.xml" ContentType="application/vnd.openxmlformats-officedocument.drawing+xml"/>
  <Override PartName="/xl/tables/table7.xml" ContentType="application/vnd.openxmlformats-officedocument.spreadsheetml.table+xml"/>
  <Override PartName="/xl/charts/chart31.xml" ContentType="application/vnd.openxmlformats-officedocument.drawingml.chart+xml"/>
  <Override PartName="/xl/charts/style31.xml" ContentType="application/vnd.ms-office.chartstyle+xml"/>
  <Override PartName="/xl/charts/colors31.xml" ContentType="application/vnd.ms-office.chartcolorstyle+xml"/>
  <Override PartName="/xl/charts/chart32.xml" ContentType="application/vnd.openxmlformats-officedocument.drawingml.chart+xml"/>
  <Override PartName="/xl/charts/style32.xml" ContentType="application/vnd.ms-office.chartstyle+xml"/>
  <Override PartName="/xl/charts/colors32.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114"/>
  <workbookPr codeName="ThisWorkbook"/>
  <mc:AlternateContent xmlns:mc="http://schemas.openxmlformats.org/markup-compatibility/2006">
    <mc:Choice Requires="x15">
      <x15ac:absPath xmlns:x15ac="http://schemas.microsoft.com/office/spreadsheetml/2010/11/ac" url="/Users/markmukherjee/Desktop/Trading_Excel_Files/01_Lagging_Coincident_Indicators/"/>
    </mc:Choice>
  </mc:AlternateContent>
  <xr:revisionPtr revIDLastSave="0" documentId="13_ncr:1_{007EC0A2-9463-8E44-B433-024A1B302222}" xr6:coauthVersionLast="47" xr6:coauthVersionMax="47" xr10:uidLastSave="{00000000-0000-0000-0000-000000000000}"/>
  <bookViews>
    <workbookView xWindow="-63580" yWindow="260" windowWidth="42440" windowHeight="27400" xr2:uid="{00000000-000D-0000-FFFF-FFFF00000000}"/>
  </bookViews>
  <sheets>
    <sheet name="Note" sheetId="25" r:id="rId1"/>
    <sheet name="Database" sheetId="15" r:id="rId2"/>
    <sheet name="Recap" sheetId="13" r:id="rId3"/>
    <sheet name="Recap 2" sheetId="14" r:id="rId4"/>
    <sheet name="Retail Sales ex Auto and Gas" sheetId="17" r:id="rId5"/>
    <sheet name="Retail Sales" sheetId="3" r:id="rId6"/>
    <sheet name="Retail Sales ex Auto" sheetId="16" r:id="rId7"/>
    <sheet name="Food and Beverage" sheetId="4" r:id="rId8"/>
    <sheet name="Non Store Retail" sheetId="5" r:id="rId9"/>
    <sheet name="Health" sheetId="6" r:id="rId10"/>
    <sheet name="Sporting Goods" sheetId="7" r:id="rId11"/>
    <sheet name="General Merchandising" sheetId="8" r:id="rId12"/>
    <sheet name="Food Services" sheetId="9" r:id="rId13"/>
    <sheet name="Gas Station" sheetId="10" r:id="rId14"/>
    <sheet name="Motor" sheetId="11" r:id="rId15"/>
    <sheet name="Housing" sheetId="23" r:id="rId16"/>
    <sheet name="Furniture Home" sheetId="18" r:id="rId17"/>
    <sheet name="Miscellaneous stores retailers" sheetId="19" r:id="rId18"/>
    <sheet name="Clothing and clothing access" sheetId="20" r:id="rId19"/>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362" i="20" l="1"/>
  <c r="C362" i="20" s="1"/>
  <c r="Y52" i="14" s="1"/>
  <c r="B362" i="19"/>
  <c r="C362" i="19" s="1"/>
  <c r="AC52" i="14" s="1"/>
  <c r="B362" i="18"/>
  <c r="C362" i="18" s="1"/>
  <c r="AA52" i="14" s="1"/>
  <c r="B362" i="23"/>
  <c r="C362" i="23" s="1"/>
  <c r="U52" i="14" s="1"/>
  <c r="B362" i="11"/>
  <c r="C362" i="11" s="1"/>
  <c r="I52" i="14" s="1"/>
  <c r="B362" i="10"/>
  <c r="C362" i="10" s="1"/>
  <c r="S52" i="14" s="1"/>
  <c r="B362" i="9"/>
  <c r="C362" i="9" s="1"/>
  <c r="O52" i="14" s="1"/>
  <c r="B362" i="8"/>
  <c r="D362" i="8" s="1"/>
  <c r="R52" i="14" s="1"/>
  <c r="B362" i="7"/>
  <c r="C362" i="7" s="1"/>
  <c r="AE52" i="14" s="1"/>
  <c r="B362" i="6"/>
  <c r="C362" i="6" s="1"/>
  <c r="W52" i="14" s="1"/>
  <c r="B362" i="5"/>
  <c r="C362" i="5" s="1"/>
  <c r="K52" i="14" s="1"/>
  <c r="B362" i="4"/>
  <c r="C362" i="4" s="1"/>
  <c r="M52" i="14" s="1"/>
  <c r="B362" i="16"/>
  <c r="C362" i="16" s="1"/>
  <c r="E52" i="14" s="1"/>
  <c r="B362" i="3"/>
  <c r="C362" i="3" s="1"/>
  <c r="C52" i="14" s="1"/>
  <c r="B362" i="17"/>
  <c r="C362" i="17" s="1"/>
  <c r="G52" i="14" s="1"/>
  <c r="B361" i="20"/>
  <c r="B361" i="19"/>
  <c r="B361" i="18"/>
  <c r="B361" i="23"/>
  <c r="C361" i="23" s="1"/>
  <c r="U51" i="14" s="1"/>
  <c r="B361" i="11"/>
  <c r="B361" i="10"/>
  <c r="B361" i="9"/>
  <c r="B361" i="8"/>
  <c r="B361" i="7"/>
  <c r="C361" i="7" s="1"/>
  <c r="AE51" i="14" s="1"/>
  <c r="B361" i="6"/>
  <c r="C361" i="6" s="1"/>
  <c r="W51" i="14" s="1"/>
  <c r="B361" i="5"/>
  <c r="B361" i="4"/>
  <c r="B361" i="16"/>
  <c r="B361" i="3"/>
  <c r="B361" i="17"/>
  <c r="B360" i="20"/>
  <c r="B360" i="19"/>
  <c r="B360" i="18"/>
  <c r="B360" i="23"/>
  <c r="B360" i="11"/>
  <c r="B360" i="10"/>
  <c r="B360" i="9"/>
  <c r="B360" i="8"/>
  <c r="B360" i="7"/>
  <c r="B360" i="6"/>
  <c r="B360" i="5"/>
  <c r="B360" i="4"/>
  <c r="B360" i="16"/>
  <c r="B360" i="3"/>
  <c r="B360" i="17"/>
  <c r="B359" i="20"/>
  <c r="B359" i="19"/>
  <c r="B359" i="18"/>
  <c r="B359" i="23"/>
  <c r="B359" i="11"/>
  <c r="B359" i="10"/>
  <c r="B359" i="9"/>
  <c r="B359" i="8"/>
  <c r="B359" i="7"/>
  <c r="B359" i="6"/>
  <c r="B359" i="5"/>
  <c r="B359" i="4"/>
  <c r="B359" i="16"/>
  <c r="B359" i="3"/>
  <c r="B359" i="17"/>
  <c r="B357" i="20"/>
  <c r="B358" i="20"/>
  <c r="B357" i="19"/>
  <c r="B358" i="19"/>
  <c r="B357" i="18"/>
  <c r="B358" i="18"/>
  <c r="B357" i="23"/>
  <c r="B358" i="23"/>
  <c r="B357" i="11"/>
  <c r="B358" i="11"/>
  <c r="B357" i="10"/>
  <c r="B358" i="10"/>
  <c r="C358" i="10" s="1"/>
  <c r="S48" i="14" s="1"/>
  <c r="B357" i="9"/>
  <c r="B358" i="9"/>
  <c r="C358" i="9" s="1"/>
  <c r="O48" i="14" s="1"/>
  <c r="B357" i="8"/>
  <c r="B358" i="8"/>
  <c r="B357" i="7"/>
  <c r="B358" i="7"/>
  <c r="B357" i="6"/>
  <c r="B358" i="6"/>
  <c r="B357" i="5"/>
  <c r="B358" i="5"/>
  <c r="B357" i="4"/>
  <c r="B358" i="4"/>
  <c r="B357" i="16"/>
  <c r="B358" i="16"/>
  <c r="B357" i="3"/>
  <c r="B358" i="3"/>
  <c r="B357" i="17"/>
  <c r="B358" i="17"/>
  <c r="B356" i="20"/>
  <c r="B356" i="19"/>
  <c r="B356" i="18"/>
  <c r="B356" i="23"/>
  <c r="B356" i="11"/>
  <c r="B356" i="10"/>
  <c r="B356" i="9"/>
  <c r="B356" i="8"/>
  <c r="B356" i="7"/>
  <c r="B356" i="6"/>
  <c r="B356" i="5"/>
  <c r="B356" i="4"/>
  <c r="B356" i="16"/>
  <c r="B356" i="3"/>
  <c r="B356" i="17"/>
  <c r="B355" i="20"/>
  <c r="B355" i="19"/>
  <c r="B355" i="18"/>
  <c r="B355" i="23"/>
  <c r="B355" i="11"/>
  <c r="B355" i="10"/>
  <c r="B355" i="9"/>
  <c r="B355" i="8"/>
  <c r="B355" i="7"/>
  <c r="B355" i="6"/>
  <c r="B355" i="5"/>
  <c r="B355" i="4"/>
  <c r="B355" i="16"/>
  <c r="B355" i="3"/>
  <c r="B355" i="17"/>
  <c r="B354" i="20"/>
  <c r="B354" i="19"/>
  <c r="B354" i="18"/>
  <c r="B354" i="23"/>
  <c r="B354" i="11"/>
  <c r="B354" i="10"/>
  <c r="B354" i="9"/>
  <c r="B354" i="8"/>
  <c r="B354" i="7"/>
  <c r="B354" i="6"/>
  <c r="B354" i="5"/>
  <c r="B354" i="4"/>
  <c r="B354" i="16"/>
  <c r="B354" i="3"/>
  <c r="B354" i="17"/>
  <c r="D362" i="11" l="1"/>
  <c r="J52" i="14" s="1"/>
  <c r="D362" i="10"/>
  <c r="T52" i="14" s="1"/>
  <c r="D362" i="9"/>
  <c r="P52" i="14" s="1"/>
  <c r="C362" i="8"/>
  <c r="Q52" i="14" s="1"/>
  <c r="D362" i="7"/>
  <c r="AF52" i="14" s="1"/>
  <c r="D362" i="6"/>
  <c r="X52" i="14" s="1"/>
  <c r="D362" i="5"/>
  <c r="L52" i="14" s="1"/>
  <c r="D362" i="4"/>
  <c r="N52" i="14" s="1"/>
  <c r="C360" i="7"/>
  <c r="AE50" i="14" s="1"/>
  <c r="C361" i="4"/>
  <c r="M51" i="14" s="1"/>
  <c r="C358" i="5"/>
  <c r="K48" i="14" s="1"/>
  <c r="C361" i="9"/>
  <c r="O51" i="14" s="1"/>
  <c r="C357" i="11"/>
  <c r="I47" i="14" s="1"/>
  <c r="C359" i="4"/>
  <c r="M49" i="14" s="1"/>
  <c r="C360" i="17"/>
  <c r="G50" i="14" s="1"/>
  <c r="C361" i="10"/>
  <c r="S51" i="14" s="1"/>
  <c r="C358" i="6"/>
  <c r="W48" i="14" s="1"/>
  <c r="C361" i="11"/>
  <c r="I51" i="14" s="1"/>
  <c r="C361" i="17"/>
  <c r="G51" i="14" s="1"/>
  <c r="C361" i="18"/>
  <c r="AA51" i="14" s="1"/>
  <c r="C361" i="3"/>
  <c r="C51" i="14" s="1"/>
  <c r="C361" i="19"/>
  <c r="AC51" i="14" s="1"/>
  <c r="C361" i="16"/>
  <c r="E51" i="14" s="1"/>
  <c r="C361" i="20"/>
  <c r="Y51" i="14" s="1"/>
  <c r="C360" i="18"/>
  <c r="AA50" i="14" s="1"/>
  <c r="C358" i="23"/>
  <c r="U48" i="14" s="1"/>
  <c r="C361" i="8"/>
  <c r="Q51" i="14" s="1"/>
  <c r="C361" i="5"/>
  <c r="K51" i="14" s="1"/>
  <c r="C360" i="4"/>
  <c r="M50" i="14" s="1"/>
  <c r="C360" i="8"/>
  <c r="Q50" i="14" s="1"/>
  <c r="C360" i="9"/>
  <c r="O50" i="14" s="1"/>
  <c r="C360" i="10"/>
  <c r="S50" i="14" s="1"/>
  <c r="C360" i="23"/>
  <c r="U50" i="14" s="1"/>
  <c r="C359" i="5"/>
  <c r="K49" i="14" s="1"/>
  <c r="C360" i="19"/>
  <c r="AC50" i="14" s="1"/>
  <c r="C358" i="17"/>
  <c r="G48" i="14" s="1"/>
  <c r="C360" i="16"/>
  <c r="E50" i="14" s="1"/>
  <c r="C360" i="20"/>
  <c r="Y50" i="14" s="1"/>
  <c r="C358" i="19"/>
  <c r="AC48" i="14" s="1"/>
  <c r="C360" i="11"/>
  <c r="I50" i="14" s="1"/>
  <c r="C360" i="6"/>
  <c r="W50" i="14" s="1"/>
  <c r="C360" i="5"/>
  <c r="K50" i="14" s="1"/>
  <c r="C360" i="3"/>
  <c r="C50" i="14" s="1"/>
  <c r="C357" i="23"/>
  <c r="U47" i="14" s="1"/>
  <c r="C359" i="6"/>
  <c r="W49" i="14" s="1"/>
  <c r="C357" i="7"/>
  <c r="AE47" i="14" s="1"/>
  <c r="C359" i="7"/>
  <c r="AE49" i="14" s="1"/>
  <c r="C359" i="8"/>
  <c r="Q49" i="14" s="1"/>
  <c r="C357" i="8"/>
  <c r="Q47" i="14" s="1"/>
  <c r="C359" i="10"/>
  <c r="S49" i="14" s="1"/>
  <c r="C357" i="4"/>
  <c r="M47" i="14" s="1"/>
  <c r="C357" i="9"/>
  <c r="O47" i="14" s="1"/>
  <c r="C359" i="23"/>
  <c r="U49" i="14" s="1"/>
  <c r="C359" i="17"/>
  <c r="G49" i="14" s="1"/>
  <c r="C357" i="10"/>
  <c r="S47" i="14" s="1"/>
  <c r="C359" i="3"/>
  <c r="C49" i="14" s="1"/>
  <c r="C359" i="19"/>
  <c r="AC49" i="14" s="1"/>
  <c r="C357" i="3"/>
  <c r="C47" i="14" s="1"/>
  <c r="C359" i="16"/>
  <c r="E49" i="14" s="1"/>
  <c r="C359" i="20"/>
  <c r="Y49" i="14" s="1"/>
  <c r="C358" i="20"/>
  <c r="Y48" i="14" s="1"/>
  <c r="C359" i="18"/>
  <c r="AA49" i="14" s="1"/>
  <c r="C358" i="18"/>
  <c r="AA48" i="14" s="1"/>
  <c r="C359" i="11"/>
  <c r="I49" i="14" s="1"/>
  <c r="C359" i="9"/>
  <c r="O49" i="14" s="1"/>
  <c r="C356" i="4"/>
  <c r="M46" i="14" s="1"/>
  <c r="C356" i="5"/>
  <c r="K46" i="14" s="1"/>
  <c r="C357" i="5"/>
  <c r="K47" i="14" s="1"/>
  <c r="C356" i="18"/>
  <c r="AA46" i="14" s="1"/>
  <c r="C356" i="6"/>
  <c r="W46" i="14" s="1"/>
  <c r="C358" i="11"/>
  <c r="I48" i="14" s="1"/>
  <c r="C357" i="6"/>
  <c r="W47" i="14" s="1"/>
  <c r="C357" i="18"/>
  <c r="AA47" i="14" s="1"/>
  <c r="C358" i="7"/>
  <c r="AE48" i="14" s="1"/>
  <c r="C356" i="11"/>
  <c r="I46" i="14" s="1"/>
  <c r="C357" i="16"/>
  <c r="E47" i="14" s="1"/>
  <c r="C358" i="8"/>
  <c r="Q48" i="14" s="1"/>
  <c r="C357" i="19"/>
  <c r="AC47" i="14" s="1"/>
  <c r="C357" i="20"/>
  <c r="Y47" i="14" s="1"/>
  <c r="C356" i="23"/>
  <c r="U46" i="14" s="1"/>
  <c r="C358" i="4"/>
  <c r="M48" i="14" s="1"/>
  <c r="C358" i="16"/>
  <c r="E48" i="14" s="1"/>
  <c r="C358" i="3"/>
  <c r="C48" i="14" s="1"/>
  <c r="C356" i="17"/>
  <c r="G46" i="14" s="1"/>
  <c r="C357" i="17"/>
  <c r="G47" i="14" s="1"/>
  <c r="C356" i="7"/>
  <c r="AE46" i="14" s="1"/>
  <c r="C356" i="9"/>
  <c r="O46" i="14" s="1"/>
  <c r="C356" i="3"/>
  <c r="C46" i="14" s="1"/>
  <c r="C356" i="19"/>
  <c r="AC46" i="14" s="1"/>
  <c r="C356" i="16"/>
  <c r="E46" i="14" s="1"/>
  <c r="C356" i="20"/>
  <c r="Y46" i="14" s="1"/>
  <c r="C356" i="10"/>
  <c r="S46" i="14" s="1"/>
  <c r="C356" i="8"/>
  <c r="Q46" i="14" s="1"/>
  <c r="C355" i="17"/>
  <c r="G45" i="14" s="1"/>
  <c r="C355" i="4"/>
  <c r="M45" i="14" s="1"/>
  <c r="C355" i="5"/>
  <c r="K45" i="14" s="1"/>
  <c r="C355" i="6"/>
  <c r="W45" i="14" s="1"/>
  <c r="C355" i="7"/>
  <c r="AE45" i="14" s="1"/>
  <c r="C355" i="10"/>
  <c r="S45" i="14" s="1"/>
  <c r="C355" i="23"/>
  <c r="U45" i="14" s="1"/>
  <c r="C355" i="18"/>
  <c r="AA45" i="14" s="1"/>
  <c r="C355" i="20"/>
  <c r="Y45" i="14" s="1"/>
  <c r="C355" i="19"/>
  <c r="AC45" i="14" s="1"/>
  <c r="C355" i="11"/>
  <c r="I45" i="14" s="1"/>
  <c r="C355" i="9"/>
  <c r="O45" i="14" s="1"/>
  <c r="C355" i="8"/>
  <c r="Q45" i="14" s="1"/>
  <c r="C355" i="16"/>
  <c r="E45" i="14" s="1"/>
  <c r="C355" i="3"/>
  <c r="C45" i="14" s="1"/>
  <c r="B353" i="20"/>
  <c r="C354" i="20" s="1"/>
  <c r="Y44" i="14" s="1"/>
  <c r="B353" i="19"/>
  <c r="C354" i="19" s="1"/>
  <c r="AC44" i="14" s="1"/>
  <c r="B353" i="18"/>
  <c r="C354" i="18" s="1"/>
  <c r="AA44" i="14" s="1"/>
  <c r="B353" i="23"/>
  <c r="C354" i="23" s="1"/>
  <c r="U44" i="14" s="1"/>
  <c r="B353" i="11"/>
  <c r="C354" i="11" s="1"/>
  <c r="I44" i="14" s="1"/>
  <c r="B353" i="10"/>
  <c r="C354" i="10" s="1"/>
  <c r="S44" i="14" s="1"/>
  <c r="B353" i="9"/>
  <c r="C354" i="9" s="1"/>
  <c r="O44" i="14" s="1"/>
  <c r="B353" i="8"/>
  <c r="C354" i="8" s="1"/>
  <c r="Q44" i="14" s="1"/>
  <c r="B353" i="7"/>
  <c r="C354" i="7" s="1"/>
  <c r="AE44" i="14" s="1"/>
  <c r="B353" i="6"/>
  <c r="C354" i="6" s="1"/>
  <c r="W44" i="14" s="1"/>
  <c r="B353" i="5"/>
  <c r="C354" i="5" s="1"/>
  <c r="K44" i="14" s="1"/>
  <c r="B353" i="4"/>
  <c r="C354" i="4" s="1"/>
  <c r="M44" i="14" s="1"/>
  <c r="B353" i="16"/>
  <c r="C354" i="16" s="1"/>
  <c r="E44" i="14" s="1"/>
  <c r="B353" i="3"/>
  <c r="C354" i="3" s="1"/>
  <c r="C44" i="14" s="1"/>
  <c r="B353" i="17"/>
  <c r="C354" i="17" s="1"/>
  <c r="G44" i="14" s="1"/>
  <c r="B352" i="20" l="1"/>
  <c r="C353" i="20" s="1"/>
  <c r="Y43" i="14" s="1"/>
  <c r="B352" i="19"/>
  <c r="C353" i="19" s="1"/>
  <c r="AC43" i="14" s="1"/>
  <c r="B352" i="18"/>
  <c r="C353" i="18" s="1"/>
  <c r="AA43" i="14" s="1"/>
  <c r="B352" i="23"/>
  <c r="C353" i="23" s="1"/>
  <c r="U43" i="14" s="1"/>
  <c r="B352" i="11"/>
  <c r="C353" i="11" s="1"/>
  <c r="I43" i="14" s="1"/>
  <c r="B352" i="10"/>
  <c r="C353" i="10" s="1"/>
  <c r="S43" i="14" s="1"/>
  <c r="B352" i="9"/>
  <c r="C353" i="9" s="1"/>
  <c r="O43" i="14" s="1"/>
  <c r="B352" i="8"/>
  <c r="C353" i="8" s="1"/>
  <c r="Q43" i="14" s="1"/>
  <c r="B352" i="7"/>
  <c r="C353" i="7" s="1"/>
  <c r="AE43" i="14" s="1"/>
  <c r="B352" i="6"/>
  <c r="C353" i="6" s="1"/>
  <c r="W43" i="14" s="1"/>
  <c r="B352" i="5"/>
  <c r="C353" i="5" s="1"/>
  <c r="K43" i="14" s="1"/>
  <c r="B352" i="4"/>
  <c r="C353" i="4" s="1"/>
  <c r="M43" i="14" s="1"/>
  <c r="B352" i="16"/>
  <c r="C353" i="16" s="1"/>
  <c r="E43" i="14" s="1"/>
  <c r="B352" i="3"/>
  <c r="C353" i="3" s="1"/>
  <c r="C43" i="14" s="1"/>
  <c r="B352" i="17"/>
  <c r="C353" i="17" s="1"/>
  <c r="G43" i="14" s="1"/>
  <c r="B351" i="20" l="1"/>
  <c r="C352" i="20" s="1"/>
  <c r="Y42" i="14" s="1"/>
  <c r="B351" i="19"/>
  <c r="C352" i="19" s="1"/>
  <c r="AC42" i="14" s="1"/>
  <c r="B351" i="18"/>
  <c r="C352" i="18" s="1"/>
  <c r="AA42" i="14" s="1"/>
  <c r="B351" i="23"/>
  <c r="C352" i="23" s="1"/>
  <c r="U42" i="14" s="1"/>
  <c r="B351" i="11"/>
  <c r="C352" i="11" s="1"/>
  <c r="I42" i="14" s="1"/>
  <c r="B351" i="10"/>
  <c r="C352" i="10" s="1"/>
  <c r="S42" i="14" s="1"/>
  <c r="B351" i="9"/>
  <c r="C352" i="9" s="1"/>
  <c r="O42" i="14" s="1"/>
  <c r="B351" i="8"/>
  <c r="C352" i="8" s="1"/>
  <c r="Q42" i="14" s="1"/>
  <c r="B351" i="7"/>
  <c r="C352" i="7" s="1"/>
  <c r="AE42" i="14" s="1"/>
  <c r="B351" i="6"/>
  <c r="C352" i="6" s="1"/>
  <c r="W42" i="14" s="1"/>
  <c r="B351" i="5"/>
  <c r="C352" i="5" s="1"/>
  <c r="K42" i="14" s="1"/>
  <c r="B351" i="4"/>
  <c r="C352" i="4" s="1"/>
  <c r="M42" i="14" s="1"/>
  <c r="B351" i="16"/>
  <c r="C352" i="16" s="1"/>
  <c r="E42" i="14" s="1"/>
  <c r="B351" i="3"/>
  <c r="C352" i="3" s="1"/>
  <c r="C42" i="14" s="1"/>
  <c r="B351" i="17"/>
  <c r="C352" i="17" s="1"/>
  <c r="G42" i="14" s="1"/>
  <c r="B349" i="20" l="1"/>
  <c r="D361" i="20" s="1"/>
  <c r="Z51" i="14" s="1"/>
  <c r="B350" i="20"/>
  <c r="B349" i="19"/>
  <c r="D361" i="19" s="1"/>
  <c r="AD51" i="14" s="1"/>
  <c r="B350" i="19"/>
  <c r="B349" i="18"/>
  <c r="D361" i="18" s="1"/>
  <c r="AB51" i="14" s="1"/>
  <c r="B350" i="18"/>
  <c r="B349" i="23"/>
  <c r="D361" i="23" s="1"/>
  <c r="V51" i="14" s="1"/>
  <c r="B350" i="23"/>
  <c r="D362" i="23" s="1"/>
  <c r="V52" i="14" s="1"/>
  <c r="B349" i="11"/>
  <c r="D361" i="11" s="1"/>
  <c r="J51" i="14" s="1"/>
  <c r="B350" i="11"/>
  <c r="B349" i="10"/>
  <c r="D361" i="10" s="1"/>
  <c r="T51" i="14" s="1"/>
  <c r="B350" i="10"/>
  <c r="B349" i="9"/>
  <c r="D361" i="9" s="1"/>
  <c r="P51" i="14" s="1"/>
  <c r="B350" i="9"/>
  <c r="C351" i="9" s="1"/>
  <c r="O41" i="14" s="1"/>
  <c r="B349" i="8"/>
  <c r="D361" i="8" s="1"/>
  <c r="R51" i="14" s="1"/>
  <c r="B350" i="8"/>
  <c r="C351" i="8" s="1"/>
  <c r="Q41" i="14" s="1"/>
  <c r="B349" i="7"/>
  <c r="D361" i="7" s="1"/>
  <c r="AF51" i="14" s="1"/>
  <c r="B350" i="7"/>
  <c r="C351" i="7" s="1"/>
  <c r="AE41" i="14" s="1"/>
  <c r="B349" i="6"/>
  <c r="D361" i="6" s="1"/>
  <c r="X51" i="14" s="1"/>
  <c r="B350" i="6"/>
  <c r="B349" i="5"/>
  <c r="D361" i="5" s="1"/>
  <c r="L51" i="14" s="1"/>
  <c r="B350" i="5"/>
  <c r="B349" i="4"/>
  <c r="D361" i="4" s="1"/>
  <c r="N51" i="14" s="1"/>
  <c r="B350" i="4"/>
  <c r="B349" i="16"/>
  <c r="D361" i="16" s="1"/>
  <c r="F51" i="14" s="1"/>
  <c r="B350" i="16"/>
  <c r="D362" i="16" s="1"/>
  <c r="F52" i="14" s="1"/>
  <c r="B349" i="3"/>
  <c r="D361" i="3" s="1"/>
  <c r="D51" i="14" s="1"/>
  <c r="B350" i="3"/>
  <c r="B349" i="17"/>
  <c r="D361" i="17" s="1"/>
  <c r="H51" i="14" s="1"/>
  <c r="B350" i="17"/>
  <c r="D362" i="17" s="1"/>
  <c r="H52" i="14" s="1"/>
  <c r="C351" i="20" l="1"/>
  <c r="Y41" i="14" s="1"/>
  <c r="D362" i="20"/>
  <c r="Z52" i="14" s="1"/>
  <c r="C351" i="19"/>
  <c r="AC41" i="14" s="1"/>
  <c r="D362" i="19"/>
  <c r="AD52" i="14" s="1"/>
  <c r="C351" i="18"/>
  <c r="AA41" i="14" s="1"/>
  <c r="D362" i="18"/>
  <c r="AB52" i="14" s="1"/>
  <c r="C351" i="3"/>
  <c r="C41" i="14" s="1"/>
  <c r="D362" i="3"/>
  <c r="D52" i="14" s="1"/>
  <c r="C350" i="6"/>
  <c r="W40" i="14" s="1"/>
  <c r="C350" i="4"/>
  <c r="M40" i="14" s="1"/>
  <c r="C350" i="10"/>
  <c r="S40" i="14" s="1"/>
  <c r="C350" i="23"/>
  <c r="U40" i="14" s="1"/>
  <c r="C350" i="16"/>
  <c r="E40" i="14" s="1"/>
  <c r="C350" i="5"/>
  <c r="K40" i="14" s="1"/>
  <c r="C350" i="11"/>
  <c r="I40" i="14" s="1"/>
  <c r="C350" i="17"/>
  <c r="G40" i="14" s="1"/>
  <c r="C351" i="11"/>
  <c r="I41" i="14" s="1"/>
  <c r="C351" i="10"/>
  <c r="S41" i="14" s="1"/>
  <c r="C351" i="5"/>
  <c r="K41" i="14" s="1"/>
  <c r="C351" i="6"/>
  <c r="W41" i="14" s="1"/>
  <c r="C351" i="4"/>
  <c r="M41" i="14" s="1"/>
  <c r="C351" i="23"/>
  <c r="U41" i="14" s="1"/>
  <c r="C351" i="16"/>
  <c r="E41" i="14" s="1"/>
  <c r="C351" i="17"/>
  <c r="G41" i="14" s="1"/>
  <c r="C350" i="18"/>
  <c r="AA40" i="14" s="1"/>
  <c r="C350" i="3"/>
  <c r="C40" i="14" s="1"/>
  <c r="C350" i="8"/>
  <c r="Q40" i="14" s="1"/>
  <c r="C350" i="19"/>
  <c r="AC40" i="14" s="1"/>
  <c r="C350" i="9"/>
  <c r="O40" i="14" s="1"/>
  <c r="C350" i="20"/>
  <c r="Y40" i="14" s="1"/>
  <c r="C350" i="7"/>
  <c r="AE40" i="14" s="1"/>
  <c r="B348" i="20"/>
  <c r="B348" i="19"/>
  <c r="B348" i="18"/>
  <c r="B348" i="23"/>
  <c r="B348" i="11"/>
  <c r="B348" i="10"/>
  <c r="B348" i="9"/>
  <c r="B348" i="8"/>
  <c r="B348" i="7"/>
  <c r="B348" i="6"/>
  <c r="B348" i="5"/>
  <c r="B348" i="4"/>
  <c r="B348" i="16"/>
  <c r="B348" i="3"/>
  <c r="B348" i="17"/>
  <c r="C349" i="8" l="1"/>
  <c r="Q39" i="14" s="1"/>
  <c r="D360" i="8"/>
  <c r="R50" i="14" s="1"/>
  <c r="C349" i="9"/>
  <c r="O39" i="14" s="1"/>
  <c r="D360" i="9"/>
  <c r="P50" i="14" s="1"/>
  <c r="C349" i="7"/>
  <c r="AE39" i="14" s="1"/>
  <c r="D360" i="7"/>
  <c r="AF50" i="14" s="1"/>
  <c r="C349" i="10"/>
  <c r="S39" i="14" s="1"/>
  <c r="D360" i="10"/>
  <c r="T50" i="14" s="1"/>
  <c r="C349" i="11"/>
  <c r="I39" i="14" s="1"/>
  <c r="D360" i="11"/>
  <c r="J50" i="14" s="1"/>
  <c r="C349" i="5"/>
  <c r="K39" i="14" s="1"/>
  <c r="D360" i="5"/>
  <c r="L50" i="14" s="1"/>
  <c r="C349" i="6"/>
  <c r="W39" i="14" s="1"/>
  <c r="D360" i="6"/>
  <c r="X50" i="14" s="1"/>
  <c r="C349" i="4"/>
  <c r="M39" i="14" s="1"/>
  <c r="D360" i="4"/>
  <c r="N50" i="14" s="1"/>
  <c r="C349" i="20"/>
  <c r="Y39" i="14" s="1"/>
  <c r="D360" i="20"/>
  <c r="Z50" i="14" s="1"/>
  <c r="C349" i="19"/>
  <c r="AC39" i="14" s="1"/>
  <c r="D360" i="19"/>
  <c r="AD50" i="14" s="1"/>
  <c r="C349" i="18"/>
  <c r="AA39" i="14" s="1"/>
  <c r="D360" i="18"/>
  <c r="AB50" i="14" s="1"/>
  <c r="C349" i="23"/>
  <c r="U39" i="14" s="1"/>
  <c r="D360" i="23"/>
  <c r="V50" i="14" s="1"/>
  <c r="C349" i="16"/>
  <c r="E39" i="14" s="1"/>
  <c r="D360" i="16"/>
  <c r="F50" i="14" s="1"/>
  <c r="C349" i="3"/>
  <c r="C39" i="14" s="1"/>
  <c r="D360" i="3"/>
  <c r="D50" i="14" s="1"/>
  <c r="C349" i="17"/>
  <c r="G39" i="14" s="1"/>
  <c r="D360" i="17"/>
  <c r="H50" i="14" s="1"/>
  <c r="B347" i="20"/>
  <c r="B347" i="19"/>
  <c r="B347" i="18"/>
  <c r="B347" i="23"/>
  <c r="B347" i="11"/>
  <c r="B347" i="10"/>
  <c r="B347" i="9"/>
  <c r="B347" i="8"/>
  <c r="B347" i="7"/>
  <c r="B347" i="6"/>
  <c r="B347" i="5"/>
  <c r="B347" i="4"/>
  <c r="B347" i="16"/>
  <c r="B347" i="3"/>
  <c r="B347" i="17"/>
  <c r="C348" i="4" l="1"/>
  <c r="M38" i="14" s="1"/>
  <c r="D359" i="4"/>
  <c r="N49" i="14" s="1"/>
  <c r="C348" i="7"/>
  <c r="AE38" i="14" s="1"/>
  <c r="D359" i="7"/>
  <c r="AF49" i="14" s="1"/>
  <c r="C348" i="6"/>
  <c r="W38" i="14" s="1"/>
  <c r="D359" i="6"/>
  <c r="X49" i="14" s="1"/>
  <c r="C348" i="8"/>
  <c r="Q38" i="14" s="1"/>
  <c r="D359" i="8"/>
  <c r="R49" i="14" s="1"/>
  <c r="C348" i="5"/>
  <c r="K38" i="14" s="1"/>
  <c r="D359" i="5"/>
  <c r="L49" i="14" s="1"/>
  <c r="C348" i="9"/>
  <c r="O38" i="14" s="1"/>
  <c r="D359" i="9"/>
  <c r="P49" i="14" s="1"/>
  <c r="C348" i="10"/>
  <c r="S38" i="14" s="1"/>
  <c r="D359" i="10"/>
  <c r="T49" i="14" s="1"/>
  <c r="C348" i="11"/>
  <c r="I38" i="14" s="1"/>
  <c r="D359" i="11"/>
  <c r="J49" i="14" s="1"/>
  <c r="C348" i="20"/>
  <c r="Y38" i="14" s="1"/>
  <c r="D359" i="20"/>
  <c r="Z49" i="14" s="1"/>
  <c r="C348" i="19"/>
  <c r="AC38" i="14" s="1"/>
  <c r="D359" i="19"/>
  <c r="AD49" i="14" s="1"/>
  <c r="C348" i="18"/>
  <c r="AA38" i="14" s="1"/>
  <c r="D359" i="18"/>
  <c r="AB49" i="14" s="1"/>
  <c r="C348" i="23"/>
  <c r="U38" i="14" s="1"/>
  <c r="D359" i="23"/>
  <c r="V49" i="14" s="1"/>
  <c r="C348" i="16"/>
  <c r="E38" i="14" s="1"/>
  <c r="D359" i="16"/>
  <c r="F49" i="14" s="1"/>
  <c r="C348" i="3"/>
  <c r="C38" i="14" s="1"/>
  <c r="D359" i="3"/>
  <c r="D49" i="14" s="1"/>
  <c r="C348" i="17"/>
  <c r="G38" i="14" s="1"/>
  <c r="D359" i="17"/>
  <c r="H49" i="14" s="1"/>
  <c r="B346" i="20"/>
  <c r="B346" i="19"/>
  <c r="B346" i="18"/>
  <c r="B346" i="23"/>
  <c r="B346" i="11"/>
  <c r="B346" i="10"/>
  <c r="B346" i="9"/>
  <c r="B346" i="8"/>
  <c r="B346" i="7"/>
  <c r="B346" i="6"/>
  <c r="B346" i="5"/>
  <c r="B346" i="4"/>
  <c r="B346" i="16"/>
  <c r="B346" i="3"/>
  <c r="B346" i="17"/>
  <c r="C347" i="6" l="1"/>
  <c r="W37" i="14" s="1"/>
  <c r="D358" i="6"/>
  <c r="X48" i="14" s="1"/>
  <c r="C347" i="8"/>
  <c r="Q37" i="14" s="1"/>
  <c r="D358" i="8"/>
  <c r="R48" i="14" s="1"/>
  <c r="C347" i="11"/>
  <c r="I37" i="14" s="1"/>
  <c r="D358" i="11"/>
  <c r="J48" i="14" s="1"/>
  <c r="C347" i="4"/>
  <c r="M37" i="14" s="1"/>
  <c r="D358" i="4"/>
  <c r="N48" i="14" s="1"/>
  <c r="C347" i="7"/>
  <c r="AE37" i="14" s="1"/>
  <c r="D358" i="7"/>
  <c r="AF48" i="14" s="1"/>
  <c r="C347" i="10"/>
  <c r="S37" i="14" s="1"/>
  <c r="D358" i="10"/>
  <c r="T48" i="14" s="1"/>
  <c r="C347" i="5"/>
  <c r="K37" i="14" s="1"/>
  <c r="D358" i="5"/>
  <c r="L48" i="14" s="1"/>
  <c r="C347" i="9"/>
  <c r="O37" i="14" s="1"/>
  <c r="D358" i="9"/>
  <c r="P48" i="14" s="1"/>
  <c r="C347" i="20"/>
  <c r="Y37" i="14" s="1"/>
  <c r="D358" i="20"/>
  <c r="Z48" i="14" s="1"/>
  <c r="C347" i="19"/>
  <c r="AC37" i="14" s="1"/>
  <c r="D358" i="19"/>
  <c r="AD48" i="14" s="1"/>
  <c r="C347" i="18"/>
  <c r="AA37" i="14" s="1"/>
  <c r="D358" i="18"/>
  <c r="AB48" i="14" s="1"/>
  <c r="C347" i="23"/>
  <c r="U37" i="14" s="1"/>
  <c r="D358" i="23"/>
  <c r="V48" i="14" s="1"/>
  <c r="C347" i="16"/>
  <c r="E37" i="14" s="1"/>
  <c r="D358" i="16"/>
  <c r="F48" i="14" s="1"/>
  <c r="C347" i="3"/>
  <c r="C37" i="14" s="1"/>
  <c r="D358" i="3"/>
  <c r="D48" i="14" s="1"/>
  <c r="C347" i="17"/>
  <c r="G37" i="14" s="1"/>
  <c r="D358" i="17"/>
  <c r="H48" i="14" s="1"/>
  <c r="B345" i="20"/>
  <c r="B345" i="19"/>
  <c r="B345" i="18"/>
  <c r="B345" i="23"/>
  <c r="B345" i="11"/>
  <c r="B345" i="10"/>
  <c r="B345" i="9"/>
  <c r="B345" i="8"/>
  <c r="B345" i="7"/>
  <c r="B345" i="6"/>
  <c r="B345" i="5"/>
  <c r="B345" i="4"/>
  <c r="B345" i="16"/>
  <c r="B345" i="3"/>
  <c r="B345" i="17"/>
  <c r="C346" i="4" l="1"/>
  <c r="M36" i="14" s="1"/>
  <c r="D357" i="4"/>
  <c r="N47" i="14" s="1"/>
  <c r="C346" i="10"/>
  <c r="S36" i="14" s="1"/>
  <c r="D357" i="10"/>
  <c r="T47" i="14" s="1"/>
  <c r="C346" i="11"/>
  <c r="I36" i="14" s="1"/>
  <c r="D357" i="11"/>
  <c r="J47" i="14" s="1"/>
  <c r="C346" i="5"/>
  <c r="K36" i="14" s="1"/>
  <c r="D357" i="5"/>
  <c r="L47" i="14" s="1"/>
  <c r="C346" i="6"/>
  <c r="W36" i="14" s="1"/>
  <c r="D357" i="6"/>
  <c r="X47" i="14" s="1"/>
  <c r="C346" i="7"/>
  <c r="AE36" i="14" s="1"/>
  <c r="D357" i="7"/>
  <c r="AF47" i="14" s="1"/>
  <c r="C346" i="8"/>
  <c r="Q36" i="14" s="1"/>
  <c r="D357" i="8"/>
  <c r="R47" i="14" s="1"/>
  <c r="C346" i="9"/>
  <c r="O36" i="14" s="1"/>
  <c r="D357" i="9"/>
  <c r="P47" i="14" s="1"/>
  <c r="C346" i="20"/>
  <c r="Y36" i="14" s="1"/>
  <c r="D357" i="20"/>
  <c r="Z47" i="14" s="1"/>
  <c r="C346" i="19"/>
  <c r="AC36" i="14" s="1"/>
  <c r="D357" i="19"/>
  <c r="AD47" i="14" s="1"/>
  <c r="C346" i="18"/>
  <c r="AA36" i="14" s="1"/>
  <c r="D357" i="18"/>
  <c r="AB47" i="14" s="1"/>
  <c r="C346" i="23"/>
  <c r="U36" i="14" s="1"/>
  <c r="D357" i="23"/>
  <c r="V47" i="14" s="1"/>
  <c r="C346" i="16"/>
  <c r="E36" i="14" s="1"/>
  <c r="D357" i="16"/>
  <c r="F47" i="14" s="1"/>
  <c r="C346" i="3"/>
  <c r="C36" i="14" s="1"/>
  <c r="D357" i="3"/>
  <c r="D47" i="14" s="1"/>
  <c r="C346" i="17"/>
  <c r="G36" i="14" s="1"/>
  <c r="D357" i="17"/>
  <c r="H47" i="14" s="1"/>
  <c r="B343" i="20"/>
  <c r="D355" i="20" s="1"/>
  <c r="Z45" i="14" s="1"/>
  <c r="B344" i="20"/>
  <c r="D356" i="20" s="1"/>
  <c r="Z46" i="14" s="1"/>
  <c r="B343" i="19"/>
  <c r="D355" i="19" s="1"/>
  <c r="AD45" i="14" s="1"/>
  <c r="B344" i="19"/>
  <c r="B343" i="18"/>
  <c r="D355" i="18" s="1"/>
  <c r="AB45" i="14" s="1"/>
  <c r="B344" i="18"/>
  <c r="B343" i="23"/>
  <c r="D355" i="23" s="1"/>
  <c r="V45" i="14" s="1"/>
  <c r="B344" i="23"/>
  <c r="D356" i="23" s="1"/>
  <c r="V46" i="14" s="1"/>
  <c r="B343" i="11"/>
  <c r="D355" i="11" s="1"/>
  <c r="J45" i="14" s="1"/>
  <c r="B344" i="11"/>
  <c r="D356" i="11" s="1"/>
  <c r="J46" i="14" s="1"/>
  <c r="B343" i="10"/>
  <c r="D355" i="10" s="1"/>
  <c r="T45" i="14" s="1"/>
  <c r="B344" i="10"/>
  <c r="D356" i="10" s="1"/>
  <c r="T46" i="14" s="1"/>
  <c r="B343" i="9"/>
  <c r="D355" i="9" s="1"/>
  <c r="P45" i="14" s="1"/>
  <c r="B344" i="9"/>
  <c r="B343" i="8"/>
  <c r="D355" i="8" s="1"/>
  <c r="R45" i="14" s="1"/>
  <c r="B344" i="8"/>
  <c r="D356" i="8" s="1"/>
  <c r="R46" i="14" s="1"/>
  <c r="B343" i="7"/>
  <c r="D355" i="7" s="1"/>
  <c r="AF45" i="14" s="1"/>
  <c r="B344" i="7"/>
  <c r="D356" i="7" s="1"/>
  <c r="AF46" i="14" s="1"/>
  <c r="B343" i="6"/>
  <c r="D355" i="6" s="1"/>
  <c r="X45" i="14" s="1"/>
  <c r="B344" i="6"/>
  <c r="D356" i="6" s="1"/>
  <c r="X46" i="14" s="1"/>
  <c r="B343" i="5"/>
  <c r="D355" i="5" s="1"/>
  <c r="L45" i="14" s="1"/>
  <c r="B344" i="5"/>
  <c r="D356" i="5" s="1"/>
  <c r="L46" i="14" s="1"/>
  <c r="B343" i="4"/>
  <c r="D355" i="4" s="1"/>
  <c r="N45" i="14" s="1"/>
  <c r="B344" i="4"/>
  <c r="D356" i="4" s="1"/>
  <c r="N46" i="14" s="1"/>
  <c r="B343" i="16"/>
  <c r="D355" i="16" s="1"/>
  <c r="F45" i="14" s="1"/>
  <c r="B344" i="16"/>
  <c r="D356" i="16" s="1"/>
  <c r="F46" i="14" s="1"/>
  <c r="B343" i="3"/>
  <c r="D355" i="3" s="1"/>
  <c r="D45" i="14" s="1"/>
  <c r="B344" i="3"/>
  <c r="D356" i="3" s="1"/>
  <c r="D46" i="14" s="1"/>
  <c r="B343" i="17"/>
  <c r="D355" i="17" s="1"/>
  <c r="H45" i="14" s="1"/>
  <c r="B344" i="17"/>
  <c r="D356" i="17" s="1"/>
  <c r="H46" i="14" s="1"/>
  <c r="C345" i="9" l="1"/>
  <c r="O35" i="14" s="1"/>
  <c r="D356" i="9"/>
  <c r="P46" i="14" s="1"/>
  <c r="C345" i="19"/>
  <c r="AC35" i="14" s="1"/>
  <c r="D356" i="19"/>
  <c r="AD46" i="14" s="1"/>
  <c r="C345" i="18"/>
  <c r="AA35" i="14" s="1"/>
  <c r="D356" i="18"/>
  <c r="AB46" i="14" s="1"/>
  <c r="C344" i="17"/>
  <c r="G34" i="14" s="1"/>
  <c r="C344" i="7"/>
  <c r="AE34" i="14" s="1"/>
  <c r="C344" i="3"/>
  <c r="C34" i="14" s="1"/>
  <c r="C344" i="8"/>
  <c r="Q34" i="14" s="1"/>
  <c r="C344" i="4"/>
  <c r="M34" i="14" s="1"/>
  <c r="C344" i="10"/>
  <c r="S34" i="14" s="1"/>
  <c r="C344" i="20"/>
  <c r="Y34" i="14" s="1"/>
  <c r="C344" i="16"/>
  <c r="E34" i="14" s="1"/>
  <c r="C344" i="5"/>
  <c r="K34" i="14" s="1"/>
  <c r="C344" i="11"/>
  <c r="I34" i="14" s="1"/>
  <c r="C344" i="6"/>
  <c r="W34" i="14" s="1"/>
  <c r="C345" i="4"/>
  <c r="M35" i="14" s="1"/>
  <c r="C345" i="6"/>
  <c r="W35" i="14" s="1"/>
  <c r="C345" i="11"/>
  <c r="I35" i="14" s="1"/>
  <c r="C345" i="10"/>
  <c r="S35" i="14" s="1"/>
  <c r="C345" i="8"/>
  <c r="Q35" i="14" s="1"/>
  <c r="C345" i="7"/>
  <c r="AE35" i="14" s="1"/>
  <c r="C345" i="5"/>
  <c r="K35" i="14" s="1"/>
  <c r="C345" i="20"/>
  <c r="Y35" i="14" s="1"/>
  <c r="C344" i="23"/>
  <c r="U34" i="14" s="1"/>
  <c r="C345" i="23"/>
  <c r="U35" i="14" s="1"/>
  <c r="C345" i="16"/>
  <c r="E35" i="14" s="1"/>
  <c r="C345" i="3"/>
  <c r="C35" i="14" s="1"/>
  <c r="C345" i="17"/>
  <c r="G35" i="14" s="1"/>
  <c r="C344" i="18"/>
  <c r="AA34" i="14" s="1"/>
  <c r="C344" i="19"/>
  <c r="AC34" i="14" s="1"/>
  <c r="C344" i="9"/>
  <c r="O34" i="14" s="1"/>
  <c r="B342" i="20"/>
  <c r="B342" i="19"/>
  <c r="B342" i="18"/>
  <c r="B342" i="23"/>
  <c r="B342" i="11"/>
  <c r="B342" i="10"/>
  <c r="B342" i="9"/>
  <c r="B342" i="8"/>
  <c r="B342" i="7"/>
  <c r="B342" i="6"/>
  <c r="B342" i="5"/>
  <c r="B342" i="4"/>
  <c r="B342" i="16"/>
  <c r="B342" i="3"/>
  <c r="B342" i="17"/>
  <c r="C343" i="5" l="1"/>
  <c r="K33" i="14" s="1"/>
  <c r="D354" i="5"/>
  <c r="L44" i="14" s="1"/>
  <c r="C343" i="6"/>
  <c r="W33" i="14" s="1"/>
  <c r="D354" i="6"/>
  <c r="X44" i="14" s="1"/>
  <c r="C343" i="7"/>
  <c r="AE33" i="14" s="1"/>
  <c r="D354" i="7"/>
  <c r="AF44" i="14" s="1"/>
  <c r="C343" i="8"/>
  <c r="Q33" i="14" s="1"/>
  <c r="D354" i="8"/>
  <c r="R44" i="14" s="1"/>
  <c r="C343" i="9"/>
  <c r="O33" i="14" s="1"/>
  <c r="D354" i="9"/>
  <c r="P44" i="14" s="1"/>
  <c r="C343" i="10"/>
  <c r="S33" i="14" s="1"/>
  <c r="D354" i="10"/>
  <c r="T44" i="14" s="1"/>
  <c r="C343" i="11"/>
  <c r="I33" i="14" s="1"/>
  <c r="D354" i="11"/>
  <c r="J44" i="14" s="1"/>
  <c r="C343" i="4"/>
  <c r="M33" i="14" s="1"/>
  <c r="D354" i="4"/>
  <c r="N44" i="14" s="1"/>
  <c r="C343" i="20"/>
  <c r="Y33" i="14" s="1"/>
  <c r="D354" i="20"/>
  <c r="Z44" i="14" s="1"/>
  <c r="C343" i="19"/>
  <c r="AC33" i="14" s="1"/>
  <c r="D354" i="19"/>
  <c r="AD44" i="14" s="1"/>
  <c r="C343" i="18"/>
  <c r="AA33" i="14" s="1"/>
  <c r="D354" i="18"/>
  <c r="AB44" i="14" s="1"/>
  <c r="C343" i="23"/>
  <c r="U33" i="14" s="1"/>
  <c r="D354" i="23"/>
  <c r="V44" i="14" s="1"/>
  <c r="C343" i="16"/>
  <c r="E33" i="14" s="1"/>
  <c r="D354" i="16"/>
  <c r="F44" i="14" s="1"/>
  <c r="C343" i="3"/>
  <c r="C33" i="14" s="1"/>
  <c r="D354" i="3"/>
  <c r="D44" i="14" s="1"/>
  <c r="C343" i="17"/>
  <c r="G33" i="14" s="1"/>
  <c r="D354" i="17"/>
  <c r="H44" i="14" s="1"/>
  <c r="B341" i="20"/>
  <c r="B341" i="19"/>
  <c r="B341" i="18"/>
  <c r="B341" i="23"/>
  <c r="B341" i="11"/>
  <c r="B341" i="10"/>
  <c r="B341" i="9"/>
  <c r="B341" i="8"/>
  <c r="B341" i="7"/>
  <c r="B341" i="6"/>
  <c r="B341" i="5"/>
  <c r="B341" i="4"/>
  <c r="B341" i="16"/>
  <c r="B341" i="3"/>
  <c r="B341" i="17"/>
  <c r="C342" i="4" l="1"/>
  <c r="M32" i="14" s="1"/>
  <c r="D353" i="4"/>
  <c r="N43" i="14" s="1"/>
  <c r="C342" i="7"/>
  <c r="AE32" i="14" s="1"/>
  <c r="D353" i="7"/>
  <c r="AF43" i="14" s="1"/>
  <c r="C342" i="6"/>
  <c r="W32" i="14" s="1"/>
  <c r="D353" i="6"/>
  <c r="X43" i="14" s="1"/>
  <c r="C342" i="8"/>
  <c r="Q32" i="14" s="1"/>
  <c r="D353" i="8"/>
  <c r="R43" i="14" s="1"/>
  <c r="C342" i="9"/>
  <c r="O32" i="14" s="1"/>
  <c r="D353" i="9"/>
  <c r="P43" i="14" s="1"/>
  <c r="C342" i="10"/>
  <c r="S32" i="14" s="1"/>
  <c r="D353" i="10"/>
  <c r="T43" i="14" s="1"/>
  <c r="C342" i="5"/>
  <c r="K32" i="14" s="1"/>
  <c r="D353" i="5"/>
  <c r="L43" i="14" s="1"/>
  <c r="C342" i="11"/>
  <c r="I32" i="14" s="1"/>
  <c r="D353" i="11"/>
  <c r="J43" i="14" s="1"/>
  <c r="C342" i="20"/>
  <c r="Y32" i="14" s="1"/>
  <c r="D353" i="20"/>
  <c r="Z43" i="14" s="1"/>
  <c r="C342" i="19"/>
  <c r="AC32" i="14" s="1"/>
  <c r="D353" i="19"/>
  <c r="AD43" i="14" s="1"/>
  <c r="C342" i="18"/>
  <c r="AA32" i="14" s="1"/>
  <c r="D353" i="18"/>
  <c r="AB43" i="14" s="1"/>
  <c r="C342" i="23"/>
  <c r="U32" i="14" s="1"/>
  <c r="D353" i="23"/>
  <c r="V43" i="14" s="1"/>
  <c r="C342" i="16"/>
  <c r="E32" i="14" s="1"/>
  <c r="D353" i="16"/>
  <c r="F43" i="14" s="1"/>
  <c r="C342" i="3"/>
  <c r="C32" i="14" s="1"/>
  <c r="D353" i="3"/>
  <c r="D43" i="14" s="1"/>
  <c r="C342" i="17"/>
  <c r="G32" i="14" s="1"/>
  <c r="D353" i="17"/>
  <c r="H43" i="14" s="1"/>
  <c r="B338" i="20"/>
  <c r="D350" i="20" s="1"/>
  <c r="Z40" i="14" s="1"/>
  <c r="B339" i="20"/>
  <c r="D351" i="20" s="1"/>
  <c r="Z41" i="14" s="1"/>
  <c r="B340" i="20"/>
  <c r="D352" i="20" s="1"/>
  <c r="Z42" i="14" s="1"/>
  <c r="B338" i="19"/>
  <c r="D350" i="19" s="1"/>
  <c r="AD40" i="14" s="1"/>
  <c r="B339" i="19"/>
  <c r="D351" i="19" s="1"/>
  <c r="AD41" i="14" s="1"/>
  <c r="B340" i="19"/>
  <c r="D352" i="19" s="1"/>
  <c r="AD42" i="14" s="1"/>
  <c r="B338" i="18"/>
  <c r="D350" i="18" s="1"/>
  <c r="AB40" i="14" s="1"/>
  <c r="B339" i="18"/>
  <c r="D351" i="18" s="1"/>
  <c r="AB41" i="14" s="1"/>
  <c r="B340" i="18"/>
  <c r="D352" i="18" s="1"/>
  <c r="AB42" i="14" s="1"/>
  <c r="B338" i="23"/>
  <c r="D350" i="23" s="1"/>
  <c r="V40" i="14" s="1"/>
  <c r="B339" i="23"/>
  <c r="D351" i="23" s="1"/>
  <c r="V41" i="14" s="1"/>
  <c r="B340" i="23"/>
  <c r="D352" i="23" s="1"/>
  <c r="V42" i="14" s="1"/>
  <c r="B338" i="11"/>
  <c r="D350" i="11" s="1"/>
  <c r="J40" i="14" s="1"/>
  <c r="B339" i="11"/>
  <c r="D351" i="11" s="1"/>
  <c r="J41" i="14" s="1"/>
  <c r="B340" i="11"/>
  <c r="B338" i="10"/>
  <c r="D350" i="10" s="1"/>
  <c r="T40" i="14" s="1"/>
  <c r="B339" i="10"/>
  <c r="D351" i="10" s="1"/>
  <c r="T41" i="14" s="1"/>
  <c r="B340" i="10"/>
  <c r="D352" i="10" s="1"/>
  <c r="T42" i="14" s="1"/>
  <c r="B338" i="9"/>
  <c r="D350" i="9" s="1"/>
  <c r="P40" i="14" s="1"/>
  <c r="B339" i="9"/>
  <c r="D351" i="9" s="1"/>
  <c r="P41" i="14" s="1"/>
  <c r="B340" i="9"/>
  <c r="B338" i="8"/>
  <c r="D350" i="8" s="1"/>
  <c r="R40" i="14" s="1"/>
  <c r="B339" i="8"/>
  <c r="D351" i="8" s="1"/>
  <c r="R41" i="14" s="1"/>
  <c r="B340" i="8"/>
  <c r="B338" i="7"/>
  <c r="D350" i="7" s="1"/>
  <c r="AF40" i="14" s="1"/>
  <c r="B339" i="7"/>
  <c r="D351" i="7" s="1"/>
  <c r="AF41" i="14" s="1"/>
  <c r="B340" i="7"/>
  <c r="D352" i="7" s="1"/>
  <c r="AF42" i="14" s="1"/>
  <c r="B338" i="6"/>
  <c r="D350" i="6" s="1"/>
  <c r="X40" i="14" s="1"/>
  <c r="B339" i="6"/>
  <c r="D351" i="6" s="1"/>
  <c r="X41" i="14" s="1"/>
  <c r="B340" i="6"/>
  <c r="D352" i="6" s="1"/>
  <c r="X42" i="14" s="1"/>
  <c r="B338" i="5"/>
  <c r="D350" i="5" s="1"/>
  <c r="L40" i="14" s="1"/>
  <c r="B339" i="5"/>
  <c r="D351" i="5" s="1"/>
  <c r="L41" i="14" s="1"/>
  <c r="B340" i="5"/>
  <c r="B338" i="4"/>
  <c r="D350" i="4" s="1"/>
  <c r="N40" i="14" s="1"/>
  <c r="B339" i="4"/>
  <c r="D351" i="4" s="1"/>
  <c r="N41" i="14" s="1"/>
  <c r="B340" i="4"/>
  <c r="D352" i="4" s="1"/>
  <c r="N42" i="14" s="1"/>
  <c r="B338" i="16"/>
  <c r="D350" i="16" s="1"/>
  <c r="F40" i="14" s="1"/>
  <c r="B339" i="16"/>
  <c r="D351" i="16" s="1"/>
  <c r="F41" i="14" s="1"/>
  <c r="B340" i="16"/>
  <c r="D352" i="16" s="1"/>
  <c r="F42" i="14" s="1"/>
  <c r="B338" i="3"/>
  <c r="D350" i="3" s="1"/>
  <c r="D40" i="14" s="1"/>
  <c r="B339" i="3"/>
  <c r="D351" i="3" s="1"/>
  <c r="D41" i="14" s="1"/>
  <c r="B340" i="3"/>
  <c r="D352" i="3" s="1"/>
  <c r="D42" i="14" s="1"/>
  <c r="B338" i="17"/>
  <c r="D350" i="17" s="1"/>
  <c r="H40" i="14" s="1"/>
  <c r="B339" i="17"/>
  <c r="D351" i="17" s="1"/>
  <c r="H41" i="14" s="1"/>
  <c r="B340" i="17"/>
  <c r="D352" i="17" s="1"/>
  <c r="H42" i="14" s="1"/>
  <c r="C341" i="8" l="1"/>
  <c r="Q31" i="14" s="1"/>
  <c r="D352" i="8"/>
  <c r="R42" i="14" s="1"/>
  <c r="C341" i="5"/>
  <c r="K31" i="14" s="1"/>
  <c r="D352" i="5"/>
  <c r="L42" i="14" s="1"/>
  <c r="C341" i="9"/>
  <c r="O31" i="14" s="1"/>
  <c r="D352" i="9"/>
  <c r="P42" i="14" s="1"/>
  <c r="C341" i="11"/>
  <c r="I31" i="14" s="1"/>
  <c r="D352" i="11"/>
  <c r="J42" i="14" s="1"/>
  <c r="C340" i="16"/>
  <c r="E30" i="14" s="1"/>
  <c r="C340" i="10"/>
  <c r="S30" i="14" s="1"/>
  <c r="C339" i="11"/>
  <c r="I29" i="14" s="1"/>
  <c r="C339" i="5"/>
  <c r="K29" i="14" s="1"/>
  <c r="C339" i="9"/>
  <c r="O29" i="14" s="1"/>
  <c r="C340" i="7"/>
  <c r="AE30" i="14" s="1"/>
  <c r="C339" i="20"/>
  <c r="Y29" i="14" s="1"/>
  <c r="C340" i="19"/>
  <c r="AC30" i="14" s="1"/>
  <c r="C340" i="23"/>
  <c r="U30" i="14" s="1"/>
  <c r="C339" i="16"/>
  <c r="E29" i="14" s="1"/>
  <c r="C339" i="8"/>
  <c r="Q29" i="14" s="1"/>
  <c r="C339" i="23"/>
  <c r="U29" i="14" s="1"/>
  <c r="C339" i="17"/>
  <c r="G29" i="14" s="1"/>
  <c r="C340" i="18"/>
  <c r="AA30" i="14" s="1"/>
  <c r="C339" i="6"/>
  <c r="W29" i="14" s="1"/>
  <c r="C339" i="10"/>
  <c r="S29" i="14" s="1"/>
  <c r="C339" i="19"/>
  <c r="AC29" i="14" s="1"/>
  <c r="C340" i="6"/>
  <c r="W30" i="14" s="1"/>
  <c r="C340" i="4"/>
  <c r="M30" i="14" s="1"/>
  <c r="C339" i="7"/>
  <c r="AE29" i="14" s="1"/>
  <c r="C340" i="11"/>
  <c r="I30" i="14" s="1"/>
  <c r="C339" i="4"/>
  <c r="M29" i="14" s="1"/>
  <c r="C340" i="20"/>
  <c r="Y30" i="14" s="1"/>
  <c r="C341" i="7"/>
  <c r="AE31" i="14" s="1"/>
  <c r="C341" i="10"/>
  <c r="S31" i="14" s="1"/>
  <c r="C340" i="8"/>
  <c r="Q30" i="14" s="1"/>
  <c r="C340" i="17"/>
  <c r="G30" i="14" s="1"/>
  <c r="C341" i="6"/>
  <c r="W31" i="14" s="1"/>
  <c r="C340" i="3"/>
  <c r="C30" i="14" s="1"/>
  <c r="C341" i="4"/>
  <c r="M31" i="14" s="1"/>
  <c r="C341" i="20"/>
  <c r="Y31" i="14" s="1"/>
  <c r="C341" i="19"/>
  <c r="AC31" i="14" s="1"/>
  <c r="C341" i="18"/>
  <c r="AA31" i="14" s="1"/>
  <c r="C341" i="23"/>
  <c r="U31" i="14" s="1"/>
  <c r="C341" i="16"/>
  <c r="E31" i="14" s="1"/>
  <c r="C341" i="3"/>
  <c r="C31" i="14" s="1"/>
  <c r="C341" i="17"/>
  <c r="G31" i="14" s="1"/>
  <c r="C339" i="18"/>
  <c r="AA29" i="14" s="1"/>
  <c r="C339" i="3"/>
  <c r="C29" i="14" s="1"/>
  <c r="C340" i="5"/>
  <c r="K30" i="14" s="1"/>
  <c r="C340" i="9"/>
  <c r="O30" i="14" s="1"/>
  <c r="N35" i="25"/>
  <c r="N34" i="25"/>
  <c r="B336" i="16" l="1"/>
  <c r="D348" i="16" s="1"/>
  <c r="F38" i="14" s="1"/>
  <c r="B337" i="16"/>
  <c r="B336" i="11"/>
  <c r="D348" i="11" s="1"/>
  <c r="J38" i="14" s="1"/>
  <c r="B337" i="11"/>
  <c r="B337" i="23"/>
  <c r="D349" i="23" s="1"/>
  <c r="V39" i="14" s="1"/>
  <c r="B335" i="23"/>
  <c r="D347" i="23" s="1"/>
  <c r="V37" i="14" s="1"/>
  <c r="B336" i="23"/>
  <c r="D348" i="23" s="1"/>
  <c r="V38" i="14" s="1"/>
  <c r="B336" i="18"/>
  <c r="D348" i="18" s="1"/>
  <c r="AB38" i="14" s="1"/>
  <c r="B337" i="18"/>
  <c r="D349" i="18" s="1"/>
  <c r="AB39" i="14" s="1"/>
  <c r="B336" i="19"/>
  <c r="D348" i="19" s="1"/>
  <c r="AD38" i="14" s="1"/>
  <c r="B337" i="19"/>
  <c r="B336" i="20"/>
  <c r="D348" i="20" s="1"/>
  <c r="Z38" i="14" s="1"/>
  <c r="B337" i="20"/>
  <c r="B336" i="10"/>
  <c r="D348" i="10" s="1"/>
  <c r="T38" i="14" s="1"/>
  <c r="B337" i="10"/>
  <c r="D349" i="10" s="1"/>
  <c r="T39" i="14" s="1"/>
  <c r="B336" i="9"/>
  <c r="D348" i="9" s="1"/>
  <c r="P38" i="14" s="1"/>
  <c r="B337" i="9"/>
  <c r="B336" i="8"/>
  <c r="D348" i="8" s="1"/>
  <c r="R38" i="14" s="1"/>
  <c r="B337" i="8"/>
  <c r="B7" i="8"/>
  <c r="B8" i="8"/>
  <c r="B9" i="8"/>
  <c r="B10" i="8"/>
  <c r="B11" i="8"/>
  <c r="B12" i="8"/>
  <c r="B13" i="8"/>
  <c r="B14" i="8"/>
  <c r="B15" i="8"/>
  <c r="B16" i="8"/>
  <c r="B17" i="8"/>
  <c r="B18" i="8"/>
  <c r="B19" i="8"/>
  <c r="B20" i="8"/>
  <c r="B21" i="8"/>
  <c r="B22" i="8"/>
  <c r="B23" i="8"/>
  <c r="B24" i="8"/>
  <c r="B25" i="8"/>
  <c r="B26" i="8"/>
  <c r="B27" i="8"/>
  <c r="B28" i="8"/>
  <c r="B29" i="8"/>
  <c r="B30" i="8"/>
  <c r="B31" i="8"/>
  <c r="B32" i="8"/>
  <c r="B33" i="8"/>
  <c r="B34" i="8"/>
  <c r="B35" i="8"/>
  <c r="B36" i="8"/>
  <c r="B37" i="8"/>
  <c r="B38" i="8"/>
  <c r="B39" i="8"/>
  <c r="B40" i="8"/>
  <c r="B41" i="8"/>
  <c r="B42" i="8"/>
  <c r="B43" i="8"/>
  <c r="B44" i="8"/>
  <c r="B45" i="8"/>
  <c r="B46" i="8"/>
  <c r="B47" i="8"/>
  <c r="B48" i="8"/>
  <c r="B49" i="8"/>
  <c r="B50" i="8"/>
  <c r="B51" i="8"/>
  <c r="B52" i="8"/>
  <c r="B53" i="8"/>
  <c r="B54" i="8"/>
  <c r="B55" i="8"/>
  <c r="B56" i="8"/>
  <c r="B57" i="8"/>
  <c r="B58" i="8"/>
  <c r="B59" i="8"/>
  <c r="B60" i="8"/>
  <c r="B61" i="8"/>
  <c r="B62" i="8"/>
  <c r="B63" i="8"/>
  <c r="B64" i="8"/>
  <c r="B65" i="8"/>
  <c r="B66" i="8"/>
  <c r="B67" i="8"/>
  <c r="B68" i="8"/>
  <c r="B69" i="8"/>
  <c r="B70" i="8"/>
  <c r="B71" i="8"/>
  <c r="B72" i="8"/>
  <c r="B73" i="8"/>
  <c r="B74" i="8"/>
  <c r="D74" i="8" s="1"/>
  <c r="B75" i="8"/>
  <c r="B76" i="8"/>
  <c r="B77" i="8"/>
  <c r="B78" i="8"/>
  <c r="B79" i="8"/>
  <c r="B80" i="8"/>
  <c r="B81" i="8"/>
  <c r="B82" i="8"/>
  <c r="B83" i="8"/>
  <c r="B84" i="8"/>
  <c r="B85" i="8"/>
  <c r="B86" i="8"/>
  <c r="B87" i="8"/>
  <c r="B88" i="8"/>
  <c r="B89" i="8"/>
  <c r="B90" i="8"/>
  <c r="B91" i="8"/>
  <c r="B92" i="8"/>
  <c r="B93" i="8"/>
  <c r="B94" i="8"/>
  <c r="B95" i="8"/>
  <c r="B96" i="8"/>
  <c r="B97" i="8"/>
  <c r="B98" i="8"/>
  <c r="B99" i="8"/>
  <c r="B100" i="8"/>
  <c r="B101" i="8"/>
  <c r="B102" i="8"/>
  <c r="B103" i="8"/>
  <c r="B104" i="8"/>
  <c r="B105" i="8"/>
  <c r="B106" i="8"/>
  <c r="B107" i="8"/>
  <c r="B108" i="8"/>
  <c r="B109" i="8"/>
  <c r="B110" i="8"/>
  <c r="D110" i="8" s="1"/>
  <c r="B111" i="8"/>
  <c r="B112" i="8"/>
  <c r="B113" i="8"/>
  <c r="B114" i="8"/>
  <c r="B115" i="8"/>
  <c r="B116" i="8"/>
  <c r="B117" i="8"/>
  <c r="B118" i="8"/>
  <c r="B119" i="8"/>
  <c r="B120" i="8"/>
  <c r="B121" i="8"/>
  <c r="B122" i="8"/>
  <c r="B123" i="8"/>
  <c r="B124" i="8"/>
  <c r="B125" i="8"/>
  <c r="B126" i="8"/>
  <c r="B127" i="8"/>
  <c r="B128" i="8"/>
  <c r="B129" i="8"/>
  <c r="B130" i="8"/>
  <c r="B131" i="8"/>
  <c r="B132" i="8"/>
  <c r="B133" i="8"/>
  <c r="B134" i="8"/>
  <c r="B135" i="8"/>
  <c r="B136" i="8"/>
  <c r="B137" i="8"/>
  <c r="B138" i="8"/>
  <c r="B139" i="8"/>
  <c r="B140" i="8"/>
  <c r="B141" i="8"/>
  <c r="B142" i="8"/>
  <c r="B143" i="8"/>
  <c r="B144" i="8"/>
  <c r="B145" i="8"/>
  <c r="B146" i="8"/>
  <c r="B147" i="8"/>
  <c r="B148" i="8"/>
  <c r="D148" i="8" s="1"/>
  <c r="B149" i="8"/>
  <c r="B150" i="8"/>
  <c r="B151" i="8"/>
  <c r="B152" i="8"/>
  <c r="B153" i="8"/>
  <c r="B154" i="8"/>
  <c r="B155" i="8"/>
  <c r="B156" i="8"/>
  <c r="B157" i="8"/>
  <c r="B158" i="8"/>
  <c r="B159" i="8"/>
  <c r="B160" i="8"/>
  <c r="B161" i="8"/>
  <c r="B162" i="8"/>
  <c r="B163" i="8"/>
  <c r="B164" i="8"/>
  <c r="B165" i="8"/>
  <c r="B166" i="8"/>
  <c r="B167" i="8"/>
  <c r="B168" i="8"/>
  <c r="B169" i="8"/>
  <c r="D169" i="8" s="1"/>
  <c r="B170" i="8"/>
  <c r="B171" i="8"/>
  <c r="B172" i="8"/>
  <c r="B173" i="8"/>
  <c r="B174" i="8"/>
  <c r="B175" i="8"/>
  <c r="B176" i="8"/>
  <c r="B177" i="8"/>
  <c r="B178" i="8"/>
  <c r="B179" i="8"/>
  <c r="B180" i="8"/>
  <c r="B181" i="8"/>
  <c r="B182" i="8"/>
  <c r="B183" i="8"/>
  <c r="B184" i="8"/>
  <c r="B185" i="8"/>
  <c r="B186" i="8"/>
  <c r="B187" i="8"/>
  <c r="B188" i="8"/>
  <c r="B189" i="8"/>
  <c r="B190" i="8"/>
  <c r="B191" i="8"/>
  <c r="B192" i="8"/>
  <c r="D192" i="8" s="1"/>
  <c r="B193" i="8"/>
  <c r="B194" i="8"/>
  <c r="B195" i="8"/>
  <c r="B196" i="8"/>
  <c r="B197" i="8"/>
  <c r="B198" i="8"/>
  <c r="B199" i="8"/>
  <c r="B200" i="8"/>
  <c r="B201" i="8"/>
  <c r="B202" i="8"/>
  <c r="B203" i="8"/>
  <c r="B204" i="8"/>
  <c r="B205" i="8"/>
  <c r="B206" i="8"/>
  <c r="B207" i="8"/>
  <c r="B208" i="8"/>
  <c r="B209" i="8"/>
  <c r="B210" i="8"/>
  <c r="B211" i="8"/>
  <c r="B212" i="8"/>
  <c r="B213" i="8"/>
  <c r="B214" i="8"/>
  <c r="B215" i="8"/>
  <c r="B216" i="8"/>
  <c r="B217" i="8"/>
  <c r="B218" i="8"/>
  <c r="B219" i="8"/>
  <c r="B220" i="8"/>
  <c r="B221" i="8"/>
  <c r="B222" i="8"/>
  <c r="B223" i="8"/>
  <c r="B224" i="8"/>
  <c r="B225" i="8"/>
  <c r="B226" i="8"/>
  <c r="B227" i="8"/>
  <c r="B228" i="8"/>
  <c r="B229" i="8"/>
  <c r="B230" i="8"/>
  <c r="B231" i="8"/>
  <c r="B232" i="8"/>
  <c r="B233" i="8"/>
  <c r="B234" i="8"/>
  <c r="B235" i="8"/>
  <c r="B236" i="8"/>
  <c r="B237" i="8"/>
  <c r="B238" i="8"/>
  <c r="B239" i="8"/>
  <c r="B240" i="8"/>
  <c r="B241" i="8"/>
  <c r="B242" i="8"/>
  <c r="B243" i="8"/>
  <c r="B244" i="8"/>
  <c r="B245" i="8"/>
  <c r="B246" i="8"/>
  <c r="B247" i="8"/>
  <c r="B248" i="8"/>
  <c r="B249" i="8"/>
  <c r="B250" i="8"/>
  <c r="B251" i="8"/>
  <c r="B252" i="8"/>
  <c r="B253" i="8"/>
  <c r="B254" i="8"/>
  <c r="B255" i="8"/>
  <c r="B256" i="8"/>
  <c r="B257" i="8"/>
  <c r="B258" i="8"/>
  <c r="B259" i="8"/>
  <c r="B260" i="8"/>
  <c r="B261" i="8"/>
  <c r="B262" i="8"/>
  <c r="B263" i="8"/>
  <c r="B264" i="8"/>
  <c r="D264" i="8" s="1"/>
  <c r="B265" i="8"/>
  <c r="B266" i="8"/>
  <c r="B267" i="8"/>
  <c r="B268" i="8"/>
  <c r="B269" i="8"/>
  <c r="B270" i="8"/>
  <c r="B271" i="8"/>
  <c r="B272" i="8"/>
  <c r="B273" i="8"/>
  <c r="B274" i="8"/>
  <c r="B275" i="8"/>
  <c r="B276" i="8"/>
  <c r="B277" i="8"/>
  <c r="B278" i="8"/>
  <c r="B279" i="8"/>
  <c r="B280" i="8"/>
  <c r="B281" i="8"/>
  <c r="B282" i="8"/>
  <c r="B283" i="8"/>
  <c r="B284" i="8"/>
  <c r="B285" i="8"/>
  <c r="B286" i="8"/>
  <c r="B287" i="8"/>
  <c r="B288" i="8"/>
  <c r="B289" i="8"/>
  <c r="B290" i="8"/>
  <c r="B291" i="8"/>
  <c r="B292" i="8"/>
  <c r="B293" i="8"/>
  <c r="B294" i="8"/>
  <c r="B295" i="8"/>
  <c r="B296" i="8"/>
  <c r="B297" i="8"/>
  <c r="B298" i="8"/>
  <c r="B299" i="8"/>
  <c r="B300" i="8"/>
  <c r="B301" i="8"/>
  <c r="B302" i="8"/>
  <c r="B303" i="8"/>
  <c r="B304" i="8"/>
  <c r="B305" i="8"/>
  <c r="B306" i="8"/>
  <c r="B307" i="8"/>
  <c r="B308" i="8"/>
  <c r="B309" i="8"/>
  <c r="B310" i="8"/>
  <c r="B311" i="8"/>
  <c r="B312" i="8"/>
  <c r="B313" i="8"/>
  <c r="B314" i="8"/>
  <c r="B315" i="8"/>
  <c r="B316" i="8"/>
  <c r="B317" i="8"/>
  <c r="B318" i="8"/>
  <c r="B319" i="8"/>
  <c r="B320" i="8"/>
  <c r="B321" i="8"/>
  <c r="B322" i="8"/>
  <c r="B323" i="8"/>
  <c r="B324" i="8"/>
  <c r="B325" i="8"/>
  <c r="B326" i="8"/>
  <c r="D338" i="8" s="1"/>
  <c r="R28" i="14" s="1"/>
  <c r="B327" i="8"/>
  <c r="D339" i="8" s="1"/>
  <c r="R29" i="14" s="1"/>
  <c r="B328" i="8"/>
  <c r="D340" i="8" s="1"/>
  <c r="R30" i="14" s="1"/>
  <c r="B329" i="8"/>
  <c r="D341" i="8" s="1"/>
  <c r="R31" i="14" s="1"/>
  <c r="B330" i="8"/>
  <c r="B331" i="8"/>
  <c r="D343" i="8" s="1"/>
  <c r="R33" i="14" s="1"/>
  <c r="B332" i="8"/>
  <c r="D344" i="8" s="1"/>
  <c r="R34" i="14" s="1"/>
  <c r="B333" i="8"/>
  <c r="D345" i="8" s="1"/>
  <c r="R35" i="14" s="1"/>
  <c r="B334" i="8"/>
  <c r="D346" i="8" s="1"/>
  <c r="R36" i="14" s="1"/>
  <c r="B335" i="8"/>
  <c r="D347" i="8" s="1"/>
  <c r="R37" i="14" s="1"/>
  <c r="B336" i="7"/>
  <c r="D348" i="7" s="1"/>
  <c r="AF38" i="14" s="1"/>
  <c r="B337" i="7"/>
  <c r="D349" i="7" s="1"/>
  <c r="AF39" i="14" s="1"/>
  <c r="B336" i="6"/>
  <c r="D348" i="6" s="1"/>
  <c r="X38" i="14" s="1"/>
  <c r="B337" i="6"/>
  <c r="B336" i="5"/>
  <c r="D348" i="5" s="1"/>
  <c r="L38" i="14" s="1"/>
  <c r="B337" i="5"/>
  <c r="D349" i="5" s="1"/>
  <c r="L39" i="14" s="1"/>
  <c r="B336" i="4"/>
  <c r="D348" i="4" s="1"/>
  <c r="N38" i="14" s="1"/>
  <c r="B337" i="4"/>
  <c r="D349" i="4" s="1"/>
  <c r="N39" i="14" s="1"/>
  <c r="B336" i="17"/>
  <c r="D348" i="17" s="1"/>
  <c r="H38" i="14" s="1"/>
  <c r="B337" i="17"/>
  <c r="D337" i="8" l="1"/>
  <c r="R27" i="14" s="1"/>
  <c r="C58" i="8"/>
  <c r="C34" i="8"/>
  <c r="C10" i="8"/>
  <c r="C338" i="8"/>
  <c r="Q28" i="14" s="1"/>
  <c r="D349" i="8"/>
  <c r="R39" i="14" s="1"/>
  <c r="C338" i="9"/>
  <c r="O28" i="14" s="1"/>
  <c r="D349" i="9"/>
  <c r="P39" i="14" s="1"/>
  <c r="C338" i="6"/>
  <c r="W28" i="14" s="1"/>
  <c r="D349" i="6"/>
  <c r="X39" i="14" s="1"/>
  <c r="C338" i="11"/>
  <c r="I28" i="14" s="1"/>
  <c r="D349" i="11"/>
  <c r="J39" i="14" s="1"/>
  <c r="C74" i="8"/>
  <c r="C338" i="20"/>
  <c r="Y28" i="14" s="1"/>
  <c r="D349" i="20"/>
  <c r="Z39" i="14" s="1"/>
  <c r="C338" i="19"/>
  <c r="AC28" i="14" s="1"/>
  <c r="D349" i="19"/>
  <c r="AD39" i="14" s="1"/>
  <c r="C338" i="16"/>
  <c r="E28" i="14" s="1"/>
  <c r="D349" i="16"/>
  <c r="F39" i="14" s="1"/>
  <c r="C338" i="17"/>
  <c r="G28" i="14" s="1"/>
  <c r="D349" i="17"/>
  <c r="H39" i="14" s="1"/>
  <c r="C68" i="8"/>
  <c r="C57" i="8"/>
  <c r="C18" i="8"/>
  <c r="C130" i="8"/>
  <c r="C289" i="8"/>
  <c r="C25" i="8"/>
  <c r="C250" i="8"/>
  <c r="C190" i="8"/>
  <c r="C176" i="8"/>
  <c r="C305" i="8"/>
  <c r="C221" i="8"/>
  <c r="C209" i="8"/>
  <c r="C173" i="8"/>
  <c r="C77" i="8"/>
  <c r="C278" i="8"/>
  <c r="C266" i="8"/>
  <c r="C254" i="8"/>
  <c r="C230" i="8"/>
  <c r="C312" i="8"/>
  <c r="C276" i="8"/>
  <c r="C85" i="8"/>
  <c r="C298" i="8"/>
  <c r="C285" i="8"/>
  <c r="C213" i="8"/>
  <c r="C141" i="8"/>
  <c r="C11" i="8"/>
  <c r="C330" i="8"/>
  <c r="Q20" i="14" s="1"/>
  <c r="D342" i="8"/>
  <c r="R32" i="14" s="1"/>
  <c r="C222" i="8"/>
  <c r="C174" i="8"/>
  <c r="D302" i="8"/>
  <c r="C336" i="23"/>
  <c r="U26" i="14" s="1"/>
  <c r="C277" i="8"/>
  <c r="C65" i="8"/>
  <c r="C288" i="8"/>
  <c r="C253" i="8"/>
  <c r="C241" i="8"/>
  <c r="C193" i="8"/>
  <c r="C122" i="8"/>
  <c r="C64" i="8"/>
  <c r="D149" i="8"/>
  <c r="C333" i="8"/>
  <c r="Q23" i="14" s="1"/>
  <c r="D62" i="8"/>
  <c r="C297" i="8"/>
  <c r="C201" i="8"/>
  <c r="C153" i="8"/>
  <c r="D308" i="8"/>
  <c r="C286" i="8"/>
  <c r="C149" i="8"/>
  <c r="C9" i="8"/>
  <c r="C138" i="8"/>
  <c r="D29" i="8"/>
  <c r="C8" i="8"/>
  <c r="C296" i="8"/>
  <c r="C182" i="8"/>
  <c r="C148" i="8"/>
  <c r="C137" i="8"/>
  <c r="C93" i="8"/>
  <c r="C50" i="8"/>
  <c r="C304" i="8"/>
  <c r="C249" i="8"/>
  <c r="C237" i="8"/>
  <c r="D125" i="8"/>
  <c r="C49" i="8"/>
  <c r="D37" i="8"/>
  <c r="C282" i="8"/>
  <c r="C224" i="8"/>
  <c r="C313" i="8"/>
  <c r="C269" i="8"/>
  <c r="C257" i="8"/>
  <c r="D212" i="8"/>
  <c r="C66" i="8"/>
  <c r="C56" i="8"/>
  <c r="D45" i="8"/>
  <c r="C232" i="8"/>
  <c r="D141" i="8"/>
  <c r="C110" i="8"/>
  <c r="C86" i="8"/>
  <c r="C33" i="8"/>
  <c r="C265" i="8"/>
  <c r="C200" i="8"/>
  <c r="C165" i="8"/>
  <c r="C101" i="8"/>
  <c r="C17" i="8"/>
  <c r="D218" i="8"/>
  <c r="D24" i="8"/>
  <c r="C337" i="10"/>
  <c r="S27" i="14" s="1"/>
  <c r="C338" i="10"/>
  <c r="S28" i="14" s="1"/>
  <c r="C337" i="4"/>
  <c r="M27" i="14" s="1"/>
  <c r="C338" i="4"/>
  <c r="M28" i="14" s="1"/>
  <c r="C206" i="8"/>
  <c r="D206" i="8"/>
  <c r="C337" i="5"/>
  <c r="K27" i="14" s="1"/>
  <c r="C338" i="5"/>
  <c r="K28" i="14" s="1"/>
  <c r="C261" i="8"/>
  <c r="C229" i="8"/>
  <c r="C214" i="8"/>
  <c r="C181" i="8"/>
  <c r="C157" i="8"/>
  <c r="C337" i="7"/>
  <c r="AE27" i="14" s="1"/>
  <c r="C338" i="7"/>
  <c r="AE28" i="14" s="1"/>
  <c r="C325" i="8"/>
  <c r="Q15" i="14" s="1"/>
  <c r="C314" i="8"/>
  <c r="Q4" i="14" s="1"/>
  <c r="D282" i="8"/>
  <c r="D270" i="8"/>
  <c r="C202" i="8"/>
  <c r="C192" i="8"/>
  <c r="C180" i="8"/>
  <c r="C168" i="8"/>
  <c r="C41" i="8"/>
  <c r="C30" i="8"/>
  <c r="C337" i="18"/>
  <c r="AA27" i="14" s="1"/>
  <c r="C338" i="18"/>
  <c r="AA28" i="14" s="1"/>
  <c r="E16" i="13"/>
  <c r="C338" i="23"/>
  <c r="U28" i="14" s="1"/>
  <c r="C238" i="8"/>
  <c r="C217" i="8"/>
  <c r="C184" i="8"/>
  <c r="C133" i="8"/>
  <c r="D50" i="8"/>
  <c r="C42" i="8"/>
  <c r="C32" i="8"/>
  <c r="D216" i="8"/>
  <c r="D40" i="8"/>
  <c r="C234" i="8"/>
  <c r="C160" i="8"/>
  <c r="C337" i="19"/>
  <c r="AC27" i="14" s="1"/>
  <c r="D318" i="8"/>
  <c r="R8" i="14" s="1"/>
  <c r="D170" i="8"/>
  <c r="D329" i="8"/>
  <c r="R19" i="14" s="1"/>
  <c r="D98" i="8"/>
  <c r="D106" i="8"/>
  <c r="D309" i="8"/>
  <c r="D265" i="8"/>
  <c r="D254" i="8"/>
  <c r="C166" i="8"/>
  <c r="D156" i="8"/>
  <c r="D44" i="8"/>
  <c r="C317" i="8"/>
  <c r="Q7" i="14" s="1"/>
  <c r="D313" i="8"/>
  <c r="C334" i="8"/>
  <c r="Q24" i="14" s="1"/>
  <c r="C324" i="8"/>
  <c r="Q14" i="14" s="1"/>
  <c r="C302" i="8"/>
  <c r="C293" i="8"/>
  <c r="C270" i="8"/>
  <c r="C240" i="8"/>
  <c r="C208" i="8"/>
  <c r="C186" i="8"/>
  <c r="D165" i="8"/>
  <c r="C145" i="8"/>
  <c r="C114" i="8"/>
  <c r="C44" i="8"/>
  <c r="D330" i="8"/>
  <c r="R20" i="14" s="1"/>
  <c r="D234" i="8"/>
  <c r="C337" i="17"/>
  <c r="G27" i="14" s="1"/>
  <c r="C301" i="8"/>
  <c r="D260" i="8"/>
  <c r="C228" i="8"/>
  <c r="C218" i="8"/>
  <c r="C196" i="8"/>
  <c r="C154" i="8"/>
  <c r="C113" i="8"/>
  <c r="C102" i="8"/>
  <c r="C81" i="8"/>
  <c r="C12" i="8"/>
  <c r="C337" i="9"/>
  <c r="O27" i="14" s="1"/>
  <c r="C205" i="8"/>
  <c r="C46" i="8"/>
  <c r="D46" i="8"/>
  <c r="D146" i="8"/>
  <c r="C134" i="8"/>
  <c r="D245" i="8"/>
  <c r="C245" i="8"/>
  <c r="D134" i="8"/>
  <c r="D137" i="8"/>
  <c r="C125" i="8"/>
  <c r="C45" i="8"/>
  <c r="D142" i="8"/>
  <c r="C142" i="8"/>
  <c r="D101" i="8"/>
  <c r="C89" i="8"/>
  <c r="D89" i="8"/>
  <c r="D336" i="8"/>
  <c r="R26" i="14" s="1"/>
  <c r="D70" i="8"/>
  <c r="D58" i="8"/>
  <c r="D181" i="8"/>
  <c r="C169" i="8"/>
  <c r="D57" i="8"/>
  <c r="C21" i="8"/>
  <c r="D174" i="8"/>
  <c r="D162" i="8"/>
  <c r="D200" i="8"/>
  <c r="C189" i="8"/>
  <c r="D130" i="8"/>
  <c r="C118" i="8"/>
  <c r="D118" i="8"/>
  <c r="D32" i="8"/>
  <c r="D20" i="8"/>
  <c r="D281" i="8"/>
  <c r="C29" i="8"/>
  <c r="D65" i="8"/>
  <c r="C53" i="8"/>
  <c r="D53" i="8"/>
  <c r="C309" i="8"/>
  <c r="C197" i="8"/>
  <c r="C94" i="8"/>
  <c r="C326" i="8"/>
  <c r="Q16" i="14" s="1"/>
  <c r="C280" i="8"/>
  <c r="C262" i="8"/>
  <c r="C244" i="8"/>
  <c r="C216" i="8"/>
  <c r="D197" i="8"/>
  <c r="C161" i="8"/>
  <c r="C117" i="8"/>
  <c r="C78" i="8"/>
  <c r="C69" i="8"/>
  <c r="C52" i="8"/>
  <c r="C336" i="8"/>
  <c r="Q26" i="14" s="1"/>
  <c r="C337" i="16"/>
  <c r="E27" i="14" s="1"/>
  <c r="D186" i="8"/>
  <c r="D233" i="8"/>
  <c r="D77" i="8"/>
  <c r="C337" i="6"/>
  <c r="W27" i="14" s="1"/>
  <c r="D297" i="8"/>
  <c r="D261" i="8"/>
  <c r="D185" i="8"/>
  <c r="D49" i="8"/>
  <c r="C320" i="8"/>
  <c r="Q10" i="14" s="1"/>
  <c r="D312" i="8"/>
  <c r="C256" i="8"/>
  <c r="C248" i="8"/>
  <c r="D222" i="8"/>
  <c r="D213" i="8"/>
  <c r="C146" i="8"/>
  <c r="D113" i="8"/>
  <c r="D82" i="8"/>
  <c r="D86" i="8"/>
  <c r="D48" i="8"/>
  <c r="D41" i="8"/>
  <c r="D325" i="8"/>
  <c r="R15" i="14" s="1"/>
  <c r="D314" i="8"/>
  <c r="R4" i="14" s="1"/>
  <c r="D277" i="8"/>
  <c r="D249" i="8"/>
  <c r="D217" i="8"/>
  <c r="D164" i="8"/>
  <c r="D158" i="8"/>
  <c r="C73" i="8"/>
  <c r="C62" i="8"/>
  <c r="C15" i="8"/>
  <c r="C337" i="23"/>
  <c r="U27" i="14" s="1"/>
  <c r="C318" i="8"/>
  <c r="Q8" i="14" s="1"/>
  <c r="D293" i="8"/>
  <c r="C272" i="8"/>
  <c r="D248" i="8"/>
  <c r="D122" i="8"/>
  <c r="D93" i="8"/>
  <c r="C337" i="11"/>
  <c r="I27" i="14" s="1"/>
  <c r="C328" i="8"/>
  <c r="Q18" i="14" s="1"/>
  <c r="C310" i="8"/>
  <c r="C292" i="8"/>
  <c r="C264" i="8"/>
  <c r="D266" i="8"/>
  <c r="D229" i="8"/>
  <c r="D201" i="8"/>
  <c r="C170" i="8"/>
  <c r="C126" i="8"/>
  <c r="C109" i="8"/>
  <c r="C98" i="8"/>
  <c r="C80" i="8"/>
  <c r="C40" i="8"/>
  <c r="C13" i="8"/>
  <c r="C337" i="8"/>
  <c r="Q27" i="14" s="1"/>
  <c r="C337" i="20"/>
  <c r="Y27" i="14" s="1"/>
  <c r="C105" i="8"/>
  <c r="C97" i="8"/>
  <c r="C82" i="8"/>
  <c r="C61" i="8"/>
  <c r="C36" i="8"/>
  <c r="C22" i="8"/>
  <c r="D34" i="8"/>
  <c r="D298" i="8"/>
  <c r="D244" i="8"/>
  <c r="D284" i="8"/>
  <c r="D94" i="8"/>
  <c r="D117" i="8"/>
  <c r="D26" i="8"/>
  <c r="D332" i="8"/>
  <c r="R22" i="14" s="1"/>
  <c r="D304" i="8"/>
  <c r="D160" i="8"/>
  <c r="D153" i="8"/>
  <c r="D268" i="8"/>
  <c r="D240" i="8"/>
  <c r="D202" i="8"/>
  <c r="D256" i="8"/>
  <c r="D228" i="8"/>
  <c r="D180" i="8"/>
  <c r="D316" i="8"/>
  <c r="R6" i="14" s="1"/>
  <c r="C70" i="8"/>
  <c r="D208" i="8"/>
  <c r="D296" i="8"/>
  <c r="D288" i="8"/>
  <c r="D220" i="8"/>
  <c r="D172" i="8"/>
  <c r="C329" i="8"/>
  <c r="Q19" i="14" s="1"/>
  <c r="C233" i="8"/>
  <c r="C185" i="8"/>
  <c r="D129" i="8"/>
  <c r="C106" i="8"/>
  <c r="C37" i="8"/>
  <c r="D28" i="8"/>
  <c r="D188" i="8"/>
  <c r="D168" i="8"/>
  <c r="D154" i="8"/>
  <c r="C158" i="8"/>
  <c r="C281" i="8"/>
  <c r="D334" i="8"/>
  <c r="R24" i="14" s="1"/>
  <c r="C321" i="8"/>
  <c r="Q11" i="14" s="1"/>
  <c r="C294" i="8"/>
  <c r="D286" i="8"/>
  <c r="C273" i="8"/>
  <c r="C246" i="8"/>
  <c r="D238" i="8"/>
  <c r="C225" i="8"/>
  <c r="C198" i="8"/>
  <c r="D190" i="8"/>
  <c r="C177" i="8"/>
  <c r="D157" i="8"/>
  <c r="C129" i="8"/>
  <c r="C121" i="8"/>
  <c r="D69" i="8"/>
  <c r="D42" i="8"/>
  <c r="C38" i="8"/>
  <c r="D30" i="8"/>
  <c r="D250" i="8"/>
  <c r="D292" i="8"/>
  <c r="D196" i="8"/>
  <c r="D81" i="8"/>
  <c r="D236" i="8"/>
  <c r="D324" i="8"/>
  <c r="R14" i="14" s="1"/>
  <c r="D276" i="8"/>
  <c r="D328" i="8"/>
  <c r="R18" i="14" s="1"/>
  <c r="D320" i="8"/>
  <c r="R10" i="14" s="1"/>
  <c r="C308" i="8"/>
  <c r="D300" i="8"/>
  <c r="D280" i="8"/>
  <c r="D272" i="8"/>
  <c r="C260" i="8"/>
  <c r="D252" i="8"/>
  <c r="D232" i="8"/>
  <c r="D224" i="8"/>
  <c r="C212" i="8"/>
  <c r="D204" i="8"/>
  <c r="D184" i="8"/>
  <c r="D176" i="8"/>
  <c r="C164" i="8"/>
  <c r="C150" i="8"/>
  <c r="D105" i="8"/>
  <c r="C90" i="8"/>
  <c r="C76" i="8"/>
  <c r="C54" i="8"/>
  <c r="C48" i="8"/>
  <c r="D36" i="8"/>
  <c r="D22" i="8"/>
  <c r="C315" i="8"/>
  <c r="Q5" i="14" s="1"/>
  <c r="D315" i="8"/>
  <c r="R5" i="14" s="1"/>
  <c r="C203" i="8"/>
  <c r="D203" i="8"/>
  <c r="C132" i="8"/>
  <c r="D132" i="8"/>
  <c r="C108" i="8"/>
  <c r="D108" i="8"/>
  <c r="C96" i="8"/>
  <c r="D96" i="8"/>
  <c r="C84" i="8"/>
  <c r="D84" i="8"/>
  <c r="C72" i="8"/>
  <c r="C60" i="8"/>
  <c r="C26" i="8"/>
  <c r="C14" i="8"/>
  <c r="C283" i="8"/>
  <c r="D283" i="8"/>
  <c r="C235" i="8"/>
  <c r="D235" i="8"/>
  <c r="C223" i="8"/>
  <c r="D223" i="8"/>
  <c r="C331" i="8"/>
  <c r="Q21" i="14" s="1"/>
  <c r="D331" i="8"/>
  <c r="R21" i="14" s="1"/>
  <c r="C219" i="8"/>
  <c r="D219" i="8"/>
  <c r="C171" i="8"/>
  <c r="D171" i="8"/>
  <c r="C107" i="8"/>
  <c r="D107" i="8"/>
  <c r="C335" i="8"/>
  <c r="Q25" i="14" s="1"/>
  <c r="D335" i="8"/>
  <c r="R25" i="14" s="1"/>
  <c r="C255" i="8"/>
  <c r="D255" i="8"/>
  <c r="C155" i="8"/>
  <c r="D155" i="8"/>
  <c r="C95" i="8"/>
  <c r="D95" i="8"/>
  <c r="C87" i="8"/>
  <c r="D87" i="8"/>
  <c r="C35" i="8"/>
  <c r="D35" i="8"/>
  <c r="C144" i="8"/>
  <c r="D144" i="8"/>
  <c r="C131" i="8"/>
  <c r="D131" i="8"/>
  <c r="C47" i="8"/>
  <c r="D47" i="8"/>
  <c r="C147" i="8"/>
  <c r="D147" i="8"/>
  <c r="C23" i="8"/>
  <c r="D23" i="8"/>
  <c r="C24" i="8"/>
  <c r="C207" i="8"/>
  <c r="D207" i="8"/>
  <c r="C124" i="8"/>
  <c r="D124" i="8"/>
  <c r="C135" i="8"/>
  <c r="D135" i="8"/>
  <c r="D242" i="8"/>
  <c r="C267" i="8"/>
  <c r="D267" i="8"/>
  <c r="C143" i="8"/>
  <c r="D143" i="8"/>
  <c r="C59" i="8"/>
  <c r="D59" i="8"/>
  <c r="C319" i="8"/>
  <c r="Q9" i="14" s="1"/>
  <c r="D319" i="8"/>
  <c r="R9" i="14" s="1"/>
  <c r="C191" i="8"/>
  <c r="D191" i="8"/>
  <c r="C159" i="8"/>
  <c r="D159" i="8"/>
  <c r="C19" i="8"/>
  <c r="D19" i="8"/>
  <c r="C20" i="8"/>
  <c r="C100" i="8"/>
  <c r="D100" i="8"/>
  <c r="C63" i="8"/>
  <c r="D63" i="8"/>
  <c r="C323" i="8"/>
  <c r="Q13" i="14" s="1"/>
  <c r="D323" i="8"/>
  <c r="R13" i="14" s="1"/>
  <c r="C291" i="8"/>
  <c r="D291" i="8"/>
  <c r="C243" i="8"/>
  <c r="D243" i="8"/>
  <c r="C211" i="8"/>
  <c r="D211" i="8"/>
  <c r="C179" i="8"/>
  <c r="D179" i="8"/>
  <c r="C152" i="8"/>
  <c r="D152" i="8"/>
  <c r="C290" i="8"/>
  <c r="C274" i="8"/>
  <c r="C258" i="8"/>
  <c r="C242" i="8"/>
  <c r="C226" i="8"/>
  <c r="C210" i="8"/>
  <c r="C194" i="8"/>
  <c r="C178" i="8"/>
  <c r="C162" i="8"/>
  <c r="C151" i="8"/>
  <c r="D151" i="8"/>
  <c r="C140" i="8"/>
  <c r="D140" i="8"/>
  <c r="C128" i="8"/>
  <c r="D128" i="8"/>
  <c r="C116" i="8"/>
  <c r="D116" i="8"/>
  <c r="C104" i="8"/>
  <c r="D104" i="8"/>
  <c r="C92" i="8"/>
  <c r="D92" i="8"/>
  <c r="C39" i="8"/>
  <c r="D39" i="8"/>
  <c r="C16" i="8"/>
  <c r="C71" i="8"/>
  <c r="D71" i="8"/>
  <c r="C303" i="8"/>
  <c r="D303" i="8"/>
  <c r="C271" i="8"/>
  <c r="D271" i="8"/>
  <c r="C239" i="8"/>
  <c r="D239" i="8"/>
  <c r="C175" i="8"/>
  <c r="D175" i="8"/>
  <c r="C123" i="8"/>
  <c r="D123" i="8"/>
  <c r="C75" i="8"/>
  <c r="D75" i="8"/>
  <c r="C307" i="8"/>
  <c r="D307" i="8"/>
  <c r="C259" i="8"/>
  <c r="D259" i="8"/>
  <c r="C227" i="8"/>
  <c r="D227" i="8"/>
  <c r="D322" i="8"/>
  <c r="R12" i="14" s="1"/>
  <c r="D306" i="8"/>
  <c r="D290" i="8"/>
  <c r="D274" i="8"/>
  <c r="D253" i="8"/>
  <c r="D221" i="8"/>
  <c r="D210" i="8"/>
  <c r="D189" i="8"/>
  <c r="D173" i="8"/>
  <c r="C311" i="8"/>
  <c r="D311" i="8"/>
  <c r="C279" i="8"/>
  <c r="D279" i="8"/>
  <c r="C247" i="8"/>
  <c r="D247" i="8"/>
  <c r="C215" i="8"/>
  <c r="D215" i="8"/>
  <c r="C183" i="8"/>
  <c r="D183" i="8"/>
  <c r="C139" i="8"/>
  <c r="D139" i="8"/>
  <c r="D133" i="8"/>
  <c r="C115" i="8"/>
  <c r="D115" i="8"/>
  <c r="D109" i="8"/>
  <c r="C103" i="8"/>
  <c r="D103" i="8"/>
  <c r="D97" i="8"/>
  <c r="C91" i="8"/>
  <c r="D91" i="8"/>
  <c r="D85" i="8"/>
  <c r="C79" i="8"/>
  <c r="D79" i="8"/>
  <c r="D73" i="8"/>
  <c r="C67" i="8"/>
  <c r="D67" i="8"/>
  <c r="D61" i="8"/>
  <c r="C55" i="8"/>
  <c r="D55" i="8"/>
  <c r="D38" i="8"/>
  <c r="D33" i="8"/>
  <c r="C28" i="8"/>
  <c r="C299" i="8"/>
  <c r="D299" i="8"/>
  <c r="C251" i="8"/>
  <c r="D251" i="8"/>
  <c r="C120" i="8"/>
  <c r="D120" i="8"/>
  <c r="C83" i="8"/>
  <c r="D83" i="8"/>
  <c r="C31" i="8"/>
  <c r="D31" i="8"/>
  <c r="C136" i="8"/>
  <c r="D136" i="8"/>
  <c r="C111" i="8"/>
  <c r="D111" i="8"/>
  <c r="C51" i="8"/>
  <c r="D51" i="8"/>
  <c r="C195" i="8"/>
  <c r="D195" i="8"/>
  <c r="D333" i="8"/>
  <c r="R23" i="14" s="1"/>
  <c r="D317" i="8"/>
  <c r="R7" i="14" s="1"/>
  <c r="D285" i="8"/>
  <c r="D226" i="8"/>
  <c r="C306" i="8"/>
  <c r="C295" i="8"/>
  <c r="D295" i="8"/>
  <c r="C263" i="8"/>
  <c r="D263" i="8"/>
  <c r="C231" i="8"/>
  <c r="D231" i="8"/>
  <c r="C199" i="8"/>
  <c r="D199" i="8"/>
  <c r="C167" i="8"/>
  <c r="D167" i="8"/>
  <c r="D150" i="8"/>
  <c r="D145" i="8"/>
  <c r="C127" i="8"/>
  <c r="D127" i="8"/>
  <c r="D121" i="8"/>
  <c r="D326" i="8"/>
  <c r="R16" i="14" s="1"/>
  <c r="D321" i="8"/>
  <c r="R11" i="14" s="1"/>
  <c r="D310" i="8"/>
  <c r="D305" i="8"/>
  <c r="D294" i="8"/>
  <c r="D289" i="8"/>
  <c r="D278" i="8"/>
  <c r="D273" i="8"/>
  <c r="D262" i="8"/>
  <c r="D257" i="8"/>
  <c r="D246" i="8"/>
  <c r="D241" i="8"/>
  <c r="D230" i="8"/>
  <c r="D225" i="8"/>
  <c r="D214" i="8"/>
  <c r="D209" i="8"/>
  <c r="D198" i="8"/>
  <c r="D193" i="8"/>
  <c r="D182" i="8"/>
  <c r="D177" i="8"/>
  <c r="D166" i="8"/>
  <c r="D161" i="8"/>
  <c r="D138" i="8"/>
  <c r="D126" i="8"/>
  <c r="D114" i="8"/>
  <c r="D102" i="8"/>
  <c r="D90" i="8"/>
  <c r="D78" i="8"/>
  <c r="D66" i="8"/>
  <c r="D54" i="8"/>
  <c r="C27" i="8"/>
  <c r="D27" i="8"/>
  <c r="D21" i="8"/>
  <c r="C187" i="8"/>
  <c r="D187" i="8"/>
  <c r="C119" i="8"/>
  <c r="D119" i="8"/>
  <c r="D25" i="8"/>
  <c r="C287" i="8"/>
  <c r="D287" i="8"/>
  <c r="C112" i="8"/>
  <c r="D112" i="8"/>
  <c r="C88" i="8"/>
  <c r="D88" i="8"/>
  <c r="C99" i="8"/>
  <c r="D99" i="8"/>
  <c r="C275" i="8"/>
  <c r="D275" i="8"/>
  <c r="C163" i="8"/>
  <c r="D163" i="8"/>
  <c r="D301" i="8"/>
  <c r="D269" i="8"/>
  <c r="D258" i="8"/>
  <c r="D237" i="8"/>
  <c r="D205" i="8"/>
  <c r="D194" i="8"/>
  <c r="D178" i="8"/>
  <c r="C322" i="8"/>
  <c r="Q12" i="14" s="1"/>
  <c r="C327" i="8"/>
  <c r="Q17" i="14" s="1"/>
  <c r="D327" i="8"/>
  <c r="R17" i="14" s="1"/>
  <c r="C332" i="8"/>
  <c r="Q22" i="14" s="1"/>
  <c r="C316" i="8"/>
  <c r="Q6" i="14" s="1"/>
  <c r="C300" i="8"/>
  <c r="C284" i="8"/>
  <c r="C268" i="8"/>
  <c r="C252" i="8"/>
  <c r="C236" i="8"/>
  <c r="C220" i="8"/>
  <c r="C204" i="8"/>
  <c r="C188" i="8"/>
  <c r="C172" i="8"/>
  <c r="C156" i="8"/>
  <c r="C43" i="8"/>
  <c r="D43" i="8"/>
  <c r="D80" i="8"/>
  <c r="D76" i="8"/>
  <c r="D72" i="8"/>
  <c r="D68" i="8"/>
  <c r="D64" i="8"/>
  <c r="D60" i="8"/>
  <c r="D56" i="8"/>
  <c r="D52" i="8"/>
  <c r="B334" i="23"/>
  <c r="B333" i="23"/>
  <c r="D345" i="23" s="1"/>
  <c r="V35" i="14" s="1"/>
  <c r="B332" i="23"/>
  <c r="D344" i="23" s="1"/>
  <c r="V34" i="14" s="1"/>
  <c r="B331" i="23"/>
  <c r="D343" i="23" s="1"/>
  <c r="V33" i="14" s="1"/>
  <c r="B330" i="23"/>
  <c r="D342" i="23" s="1"/>
  <c r="V32" i="14" s="1"/>
  <c r="B329" i="23"/>
  <c r="D341" i="23" s="1"/>
  <c r="V31" i="14" s="1"/>
  <c r="B328" i="23"/>
  <c r="D340" i="23" s="1"/>
  <c r="V30" i="14" s="1"/>
  <c r="B327" i="23"/>
  <c r="D339" i="23" s="1"/>
  <c r="V29" i="14" s="1"/>
  <c r="B326" i="23"/>
  <c r="D338" i="23" s="1"/>
  <c r="V28" i="14" s="1"/>
  <c r="B325" i="23"/>
  <c r="D337" i="23" s="1"/>
  <c r="B324" i="23"/>
  <c r="D336" i="23" s="1"/>
  <c r="V26" i="14" s="1"/>
  <c r="B323" i="23"/>
  <c r="B322" i="23"/>
  <c r="B321" i="23"/>
  <c r="B320" i="23"/>
  <c r="B319" i="23"/>
  <c r="B318" i="23"/>
  <c r="B317" i="23"/>
  <c r="B316" i="23"/>
  <c r="B315" i="23"/>
  <c r="B314" i="23"/>
  <c r="B313" i="23"/>
  <c r="B312" i="23"/>
  <c r="B311" i="23"/>
  <c r="B310" i="23"/>
  <c r="B309" i="23"/>
  <c r="B308" i="23"/>
  <c r="B307" i="23"/>
  <c r="B306" i="23"/>
  <c r="B305" i="23"/>
  <c r="B304" i="23"/>
  <c r="B303" i="23"/>
  <c r="B302" i="23"/>
  <c r="B301" i="23"/>
  <c r="B300" i="23"/>
  <c r="B299" i="23"/>
  <c r="B298" i="23"/>
  <c r="B297" i="23"/>
  <c r="B296" i="23"/>
  <c r="B295" i="23"/>
  <c r="B294" i="23"/>
  <c r="B293" i="23"/>
  <c r="B292" i="23"/>
  <c r="B291" i="23"/>
  <c r="B290" i="23"/>
  <c r="B289" i="23"/>
  <c r="B288" i="23"/>
  <c r="B287" i="23"/>
  <c r="B286" i="23"/>
  <c r="B285" i="23"/>
  <c r="B284" i="23"/>
  <c r="B283" i="23"/>
  <c r="B282" i="23"/>
  <c r="B281" i="23"/>
  <c r="B280" i="23"/>
  <c r="B279" i="23"/>
  <c r="B278" i="23"/>
  <c r="B277" i="23"/>
  <c r="B276" i="23"/>
  <c r="B275" i="23"/>
  <c r="B274" i="23"/>
  <c r="B273" i="23"/>
  <c r="B272" i="23"/>
  <c r="B271" i="23"/>
  <c r="B270" i="23"/>
  <c r="B269" i="23"/>
  <c r="B268" i="23"/>
  <c r="B267" i="23"/>
  <c r="B266" i="23"/>
  <c r="B265" i="23"/>
  <c r="B264" i="23"/>
  <c r="B263" i="23"/>
  <c r="B262" i="23"/>
  <c r="B261" i="23"/>
  <c r="B260" i="23"/>
  <c r="B259" i="23"/>
  <c r="B258" i="23"/>
  <c r="B257" i="23"/>
  <c r="B256" i="23"/>
  <c r="B255" i="23"/>
  <c r="B254" i="23"/>
  <c r="B253" i="23"/>
  <c r="B252" i="23"/>
  <c r="B251" i="23"/>
  <c r="B250" i="23"/>
  <c r="B249" i="23"/>
  <c r="B248" i="23"/>
  <c r="B247" i="23"/>
  <c r="B246" i="23"/>
  <c r="B245" i="23"/>
  <c r="B244" i="23"/>
  <c r="B243" i="23"/>
  <c r="B242" i="23"/>
  <c r="B241" i="23"/>
  <c r="B240" i="23"/>
  <c r="B239" i="23"/>
  <c r="B238" i="23"/>
  <c r="B237" i="23"/>
  <c r="B236" i="23"/>
  <c r="B235" i="23"/>
  <c r="B234" i="23"/>
  <c r="B233" i="23"/>
  <c r="B232" i="23"/>
  <c r="B231" i="23"/>
  <c r="B230" i="23"/>
  <c r="B229" i="23"/>
  <c r="B228" i="23"/>
  <c r="B227" i="23"/>
  <c r="B226" i="23"/>
  <c r="B225" i="23"/>
  <c r="B224" i="23"/>
  <c r="B223" i="23"/>
  <c r="B222" i="23"/>
  <c r="B221" i="23"/>
  <c r="B220" i="23"/>
  <c r="B219" i="23"/>
  <c r="B218" i="23"/>
  <c r="B217" i="23"/>
  <c r="B216" i="23"/>
  <c r="B215" i="23"/>
  <c r="B214" i="23"/>
  <c r="B213" i="23"/>
  <c r="B212" i="23"/>
  <c r="B211" i="23"/>
  <c r="B210" i="23"/>
  <c r="B209" i="23"/>
  <c r="B208" i="23"/>
  <c r="B207" i="23"/>
  <c r="B206" i="23"/>
  <c r="B205" i="23"/>
  <c r="B204" i="23"/>
  <c r="B203" i="23"/>
  <c r="B202" i="23"/>
  <c r="B201" i="23"/>
  <c r="B200" i="23"/>
  <c r="B199" i="23"/>
  <c r="B198" i="23"/>
  <c r="B197" i="23"/>
  <c r="B196" i="23"/>
  <c r="B195" i="23"/>
  <c r="B194" i="23"/>
  <c r="B193" i="23"/>
  <c r="B192" i="23"/>
  <c r="B191" i="23"/>
  <c r="B190" i="23"/>
  <c r="B189" i="23"/>
  <c r="B188" i="23"/>
  <c r="B187" i="23"/>
  <c r="B186" i="23"/>
  <c r="B185" i="23"/>
  <c r="B184" i="23"/>
  <c r="B183" i="23"/>
  <c r="B182" i="23"/>
  <c r="B181" i="23"/>
  <c r="B180" i="23"/>
  <c r="B179" i="23"/>
  <c r="B178" i="23"/>
  <c r="B177" i="23"/>
  <c r="B176" i="23"/>
  <c r="B175" i="23"/>
  <c r="B174" i="23"/>
  <c r="B173" i="23"/>
  <c r="B172" i="23"/>
  <c r="B171" i="23"/>
  <c r="B170" i="23"/>
  <c r="B169" i="23"/>
  <c r="B168" i="23"/>
  <c r="B167" i="23"/>
  <c r="B166" i="23"/>
  <c r="B165" i="23"/>
  <c r="B164" i="23"/>
  <c r="B163" i="23"/>
  <c r="B162" i="23"/>
  <c r="B161" i="23"/>
  <c r="B160" i="23"/>
  <c r="B159" i="23"/>
  <c r="B158" i="23"/>
  <c r="B157" i="23"/>
  <c r="B156" i="23"/>
  <c r="B155" i="23"/>
  <c r="B154" i="23"/>
  <c r="B153" i="23"/>
  <c r="B152" i="23"/>
  <c r="B151" i="23"/>
  <c r="B150" i="23"/>
  <c r="B149" i="23"/>
  <c r="B148" i="23"/>
  <c r="B147" i="23"/>
  <c r="B146" i="23"/>
  <c r="B145" i="23"/>
  <c r="B144" i="23"/>
  <c r="B143" i="23"/>
  <c r="B142" i="23"/>
  <c r="B141" i="23"/>
  <c r="B140" i="23"/>
  <c r="B139" i="23"/>
  <c r="B138" i="23"/>
  <c r="B137" i="23"/>
  <c r="B136" i="23"/>
  <c r="B135" i="23"/>
  <c r="B134" i="23"/>
  <c r="B133" i="23"/>
  <c r="B132" i="23"/>
  <c r="B131" i="23"/>
  <c r="B130" i="23"/>
  <c r="B129" i="23"/>
  <c r="B128" i="23"/>
  <c r="B127" i="23"/>
  <c r="B126" i="23"/>
  <c r="B125" i="23"/>
  <c r="B124" i="23"/>
  <c r="B123" i="23"/>
  <c r="B122" i="23"/>
  <c r="B121" i="23"/>
  <c r="B120" i="23"/>
  <c r="B119" i="23"/>
  <c r="B118" i="23"/>
  <c r="B117" i="23"/>
  <c r="B116" i="23"/>
  <c r="B115" i="23"/>
  <c r="B114" i="23"/>
  <c r="B113" i="23"/>
  <c r="B112" i="23"/>
  <c r="B111" i="23"/>
  <c r="B110" i="23"/>
  <c r="B109" i="23"/>
  <c r="B108" i="23"/>
  <c r="B107" i="23"/>
  <c r="B106" i="23"/>
  <c r="B105" i="23"/>
  <c r="B104" i="23"/>
  <c r="B103" i="23"/>
  <c r="B102" i="23"/>
  <c r="B101" i="23"/>
  <c r="B100" i="23"/>
  <c r="B99" i="23"/>
  <c r="B98" i="23"/>
  <c r="B97" i="23"/>
  <c r="B96" i="23"/>
  <c r="B95" i="23"/>
  <c r="B94" i="23"/>
  <c r="B93" i="23"/>
  <c r="B92" i="23"/>
  <c r="B91" i="23"/>
  <c r="B90" i="23"/>
  <c r="B89" i="23"/>
  <c r="B88" i="23"/>
  <c r="B87" i="23"/>
  <c r="B86" i="23"/>
  <c r="B85" i="23"/>
  <c r="B84" i="23"/>
  <c r="B83" i="23"/>
  <c r="B82" i="23"/>
  <c r="B81" i="23"/>
  <c r="B80" i="23"/>
  <c r="B79" i="23"/>
  <c r="B78" i="23"/>
  <c r="B77" i="23"/>
  <c r="B76" i="23"/>
  <c r="B75" i="23"/>
  <c r="B74" i="23"/>
  <c r="B73" i="23"/>
  <c r="B72" i="23"/>
  <c r="B71" i="23"/>
  <c r="B70" i="23"/>
  <c r="B69" i="23"/>
  <c r="B68" i="23"/>
  <c r="B67" i="23"/>
  <c r="B66" i="23"/>
  <c r="B65" i="23"/>
  <c r="B64" i="23"/>
  <c r="B63" i="23"/>
  <c r="B62" i="23"/>
  <c r="B61" i="23"/>
  <c r="B60" i="23"/>
  <c r="B59" i="23"/>
  <c r="B58" i="23"/>
  <c r="B57" i="23"/>
  <c r="B56" i="23"/>
  <c r="B55" i="23"/>
  <c r="B54" i="23"/>
  <c r="B53" i="23"/>
  <c r="B52" i="23"/>
  <c r="B51" i="23"/>
  <c r="B50" i="23"/>
  <c r="B49" i="23"/>
  <c r="B48" i="23"/>
  <c r="B47" i="23"/>
  <c r="B46" i="23"/>
  <c r="B45" i="23"/>
  <c r="B44" i="23"/>
  <c r="B43" i="23"/>
  <c r="B42" i="23"/>
  <c r="B41" i="23"/>
  <c r="B40" i="23"/>
  <c r="B39" i="23"/>
  <c r="B38" i="23"/>
  <c r="B37" i="23"/>
  <c r="B36" i="23"/>
  <c r="B35" i="23"/>
  <c r="B34" i="23"/>
  <c r="B33" i="23"/>
  <c r="B32" i="23"/>
  <c r="B31" i="23"/>
  <c r="B30" i="23"/>
  <c r="B29" i="23"/>
  <c r="B28" i="23"/>
  <c r="B27" i="23"/>
  <c r="B26" i="23"/>
  <c r="B25" i="23"/>
  <c r="B24" i="23"/>
  <c r="B23" i="23"/>
  <c r="B22" i="23"/>
  <c r="B21" i="23"/>
  <c r="B20" i="23"/>
  <c r="B19" i="23"/>
  <c r="B18" i="23"/>
  <c r="B17" i="23"/>
  <c r="B16" i="23"/>
  <c r="B15" i="23"/>
  <c r="B14" i="23"/>
  <c r="B13" i="23"/>
  <c r="B12" i="23"/>
  <c r="B11" i="23"/>
  <c r="B10" i="23"/>
  <c r="B9" i="23"/>
  <c r="B8" i="23"/>
  <c r="B7" i="23"/>
  <c r="C335" i="23" l="1"/>
  <c r="U25" i="14" s="1"/>
  <c r="D346" i="23"/>
  <c r="V36" i="14" s="1"/>
  <c r="D147" i="23"/>
  <c r="C324" i="23"/>
  <c r="U14" i="14" s="1"/>
  <c r="V27" i="14"/>
  <c r="C75" i="23"/>
  <c r="D335" i="23"/>
  <c r="V25" i="14" s="1"/>
  <c r="D228" i="23"/>
  <c r="D129" i="23"/>
  <c r="D181" i="23"/>
  <c r="D275" i="23"/>
  <c r="D131" i="23"/>
  <c r="D239" i="23"/>
  <c r="D139" i="23"/>
  <c r="D95" i="23"/>
  <c r="D266" i="23"/>
  <c r="D109" i="23"/>
  <c r="D38" i="23"/>
  <c r="D100" i="23"/>
  <c r="D45" i="23"/>
  <c r="D263" i="23"/>
  <c r="D312" i="23"/>
  <c r="C185" i="23"/>
  <c r="D276" i="23"/>
  <c r="C323" i="23"/>
  <c r="U13" i="14" s="1"/>
  <c r="D195" i="23"/>
  <c r="C107" i="23"/>
  <c r="C209" i="23"/>
  <c r="D287" i="23"/>
  <c r="C299" i="23"/>
  <c r="D314" i="23"/>
  <c r="V4" i="14" s="1"/>
  <c r="D189" i="23"/>
  <c r="C12" i="23"/>
  <c r="D142" i="23"/>
  <c r="D132" i="23"/>
  <c r="D52" i="23"/>
  <c r="C257" i="23"/>
  <c r="C203" i="23"/>
  <c r="D258" i="23"/>
  <c r="C282" i="23"/>
  <c r="D163" i="23"/>
  <c r="D288" i="23"/>
  <c r="C61" i="23"/>
  <c r="C221" i="23"/>
  <c r="D63" i="23"/>
  <c r="C125" i="23"/>
  <c r="D157" i="23"/>
  <c r="D203" i="23"/>
  <c r="C317" i="23"/>
  <c r="U7" i="14" s="1"/>
  <c r="D70" i="23"/>
  <c r="D311" i="23"/>
  <c r="D230" i="23"/>
  <c r="D210" i="23"/>
  <c r="D75" i="23"/>
  <c r="C53" i="23"/>
  <c r="D126" i="23"/>
  <c r="C194" i="23"/>
  <c r="C306" i="23"/>
  <c r="D34" i="23"/>
  <c r="C25" i="23"/>
  <c r="D199" i="23"/>
  <c r="D254" i="23"/>
  <c r="D222" i="23"/>
  <c r="D290" i="23"/>
  <c r="D145" i="23"/>
  <c r="D101" i="23"/>
  <c r="D127" i="23"/>
  <c r="D125" i="23"/>
  <c r="C189" i="23"/>
  <c r="D53" i="23"/>
  <c r="D306" i="23"/>
  <c r="C117" i="23"/>
  <c r="D260" i="23"/>
  <c r="C255" i="23"/>
  <c r="C318" i="23"/>
  <c r="U8" i="14" s="1"/>
  <c r="D326" i="23"/>
  <c r="V16" i="14" s="1"/>
  <c r="D246" i="23"/>
  <c r="D255" i="23"/>
  <c r="C81" i="23"/>
  <c r="C300" i="23"/>
  <c r="D318" i="23"/>
  <c r="V8" i="14" s="1"/>
  <c r="C45" i="23"/>
  <c r="C31" i="23"/>
  <c r="C200" i="23"/>
  <c r="C294" i="23"/>
  <c r="C311" i="23"/>
  <c r="D108" i="23"/>
  <c r="C71" i="23"/>
  <c r="C239" i="23"/>
  <c r="C79" i="23"/>
  <c r="C143" i="23"/>
  <c r="C276" i="23"/>
  <c r="D299" i="23"/>
  <c r="D110" i="23"/>
  <c r="D177" i="23"/>
  <c r="C32" i="23"/>
  <c r="D56" i="23"/>
  <c r="C161" i="23"/>
  <c r="D178" i="23"/>
  <c r="D185" i="23"/>
  <c r="C17" i="23"/>
  <c r="D179" i="23"/>
  <c r="D218" i="23"/>
  <c r="C234" i="23"/>
  <c r="D242" i="23"/>
  <c r="C263" i="23"/>
  <c r="D278" i="23"/>
  <c r="C287" i="23"/>
  <c r="D294" i="23"/>
  <c r="D302" i="23"/>
  <c r="C96" i="23"/>
  <c r="D282" i="23"/>
  <c r="D323" i="23"/>
  <c r="V13" i="14" s="1"/>
  <c r="D31" i="23"/>
  <c r="D167" i="23"/>
  <c r="D207" i="23"/>
  <c r="C224" i="23"/>
  <c r="D64" i="23"/>
  <c r="D74" i="23"/>
  <c r="D81" i="23"/>
  <c r="C128" i="23"/>
  <c r="D137" i="23"/>
  <c r="C27" i="23"/>
  <c r="D42" i="23"/>
  <c r="D82" i="23"/>
  <c r="D113" i="23"/>
  <c r="D234" i="23"/>
  <c r="D243" i="23"/>
  <c r="C251" i="23"/>
  <c r="D324" i="23"/>
  <c r="V14" i="14" s="1"/>
  <c r="C329" i="23"/>
  <c r="U19" i="14" s="1"/>
  <c r="C63" i="23"/>
  <c r="C78" i="23"/>
  <c r="D87" i="23"/>
  <c r="D149" i="23"/>
  <c r="C167" i="23"/>
  <c r="D143" i="23"/>
  <c r="C64" i="23"/>
  <c r="D270" i="23"/>
  <c r="C42" i="23"/>
  <c r="D121" i="23"/>
  <c r="C18" i="23"/>
  <c r="D27" i="23"/>
  <c r="C146" i="23"/>
  <c r="D154" i="23"/>
  <c r="C186" i="23"/>
  <c r="D251" i="23"/>
  <c r="D264" i="23"/>
  <c r="D300" i="23"/>
  <c r="C312" i="23"/>
  <c r="C330" i="23"/>
  <c r="U20" i="14" s="1"/>
  <c r="C275" i="23"/>
  <c r="C182" i="23"/>
  <c r="C260" i="23"/>
  <c r="C150" i="23"/>
  <c r="D224" i="23"/>
  <c r="C8" i="23"/>
  <c r="D161" i="23"/>
  <c r="D50" i="23"/>
  <c r="C35" i="23"/>
  <c r="D106" i="23"/>
  <c r="D114" i="23"/>
  <c r="C156" i="23"/>
  <c r="D194" i="23"/>
  <c r="C228" i="23"/>
  <c r="C288" i="23"/>
  <c r="D330" i="23"/>
  <c r="V20" i="14" s="1"/>
  <c r="D107" i="23"/>
  <c r="C21" i="23"/>
  <c r="D21" i="23"/>
  <c r="D122" i="23"/>
  <c r="D67" i="23"/>
  <c r="D78" i="23"/>
  <c r="D84" i="23"/>
  <c r="D43" i="23"/>
  <c r="C49" i="23"/>
  <c r="C60" i="23"/>
  <c r="D327" i="23"/>
  <c r="V17" i="14" s="1"/>
  <c r="C327" i="23"/>
  <c r="U17" i="14" s="1"/>
  <c r="C9" i="23"/>
  <c r="D49" i="23"/>
  <c r="D60" i="23"/>
  <c r="C103" i="23"/>
  <c r="C135" i="23"/>
  <c r="D303" i="23"/>
  <c r="C303" i="23"/>
  <c r="C91" i="23"/>
  <c r="C104" i="23"/>
  <c r="C14" i="23"/>
  <c r="D240" i="23"/>
  <c r="D54" i="23"/>
  <c r="D32" i="23"/>
  <c r="C54" i="23"/>
  <c r="C108" i="23"/>
  <c r="D120" i="23"/>
  <c r="C43" i="23"/>
  <c r="C219" i="23"/>
  <c r="C83" i="23"/>
  <c r="C162" i="23"/>
  <c r="D174" i="23"/>
  <c r="D271" i="23"/>
  <c r="C271" i="23"/>
  <c r="C39" i="23"/>
  <c r="D235" i="23"/>
  <c r="C235" i="23"/>
  <c r="D39" i="23"/>
  <c r="C130" i="23"/>
  <c r="D130" i="23"/>
  <c r="C24" i="23"/>
  <c r="C144" i="23"/>
  <c r="D156" i="23"/>
  <c r="C112" i="23"/>
  <c r="D112" i="23"/>
  <c r="D144" i="23"/>
  <c r="C95" i="23"/>
  <c r="C153" i="23"/>
  <c r="C240" i="23"/>
  <c r="C82" i="23"/>
  <c r="C175" i="23"/>
  <c r="C148" i="23"/>
  <c r="D148" i="23"/>
  <c r="C50" i="23"/>
  <c r="D96" i="23"/>
  <c r="D204" i="23"/>
  <c r="D272" i="23"/>
  <c r="C272" i="23"/>
  <c r="C28" i="23"/>
  <c r="C190" i="23"/>
  <c r="D190" i="23"/>
  <c r="D51" i="23"/>
  <c r="C136" i="23"/>
  <c r="D136" i="23"/>
  <c r="D245" i="23"/>
  <c r="C57" i="23"/>
  <c r="D68" i="23"/>
  <c r="D92" i="23"/>
  <c r="D117" i="23"/>
  <c r="D215" i="23"/>
  <c r="C245" i="23"/>
  <c r="D24" i="23"/>
  <c r="C46" i="23"/>
  <c r="D57" i="23"/>
  <c r="C86" i="23"/>
  <c r="C92" i="23"/>
  <c r="C99" i="23"/>
  <c r="C105" i="23"/>
  <c r="D105" i="23"/>
  <c r="C158" i="23"/>
  <c r="C171" i="23"/>
  <c r="C215" i="23"/>
  <c r="C13" i="23"/>
  <c r="D36" i="23"/>
  <c r="D46" i="23"/>
  <c r="C69" i="23"/>
  <c r="D86" i="23"/>
  <c r="D99" i="23"/>
  <c r="C118" i="23"/>
  <c r="D118" i="23"/>
  <c r="D158" i="23"/>
  <c r="D165" i="23"/>
  <c r="D171" i="23"/>
  <c r="D208" i="23"/>
  <c r="C208" i="23"/>
  <c r="C100" i="23"/>
  <c r="D140" i="23"/>
  <c r="C65" i="23"/>
  <c r="D65" i="23"/>
  <c r="D77" i="23"/>
  <c r="D71" i="23"/>
  <c r="C121" i="23"/>
  <c r="C140" i="23"/>
  <c r="D153" i="23"/>
  <c r="D175" i="23"/>
  <c r="C33" i="23"/>
  <c r="D72" i="23"/>
  <c r="C90" i="23"/>
  <c r="D176" i="23"/>
  <c r="D219" i="23"/>
  <c r="D61" i="23"/>
  <c r="C67" i="23"/>
  <c r="C72" i="23"/>
  <c r="D83" i="23"/>
  <c r="D90" i="23"/>
  <c r="D103" i="23"/>
  <c r="C122" i="23"/>
  <c r="D135" i="23"/>
  <c r="C149" i="23"/>
  <c r="D162" i="23"/>
  <c r="C176" i="23"/>
  <c r="C204" i="23"/>
  <c r="D244" i="23"/>
  <c r="C244" i="23"/>
  <c r="D28" i="23"/>
  <c r="C68" i="23"/>
  <c r="D91" i="23"/>
  <c r="C157" i="23"/>
  <c r="C29" i="23"/>
  <c r="D29" i="23"/>
  <c r="D35" i="23"/>
  <c r="D79" i="23"/>
  <c r="D104" i="23"/>
  <c r="D111" i="23"/>
  <c r="C131" i="23"/>
  <c r="D200" i="23"/>
  <c r="D20" i="23"/>
  <c r="D25" i="23"/>
  <c r="C36" i="23"/>
  <c r="C47" i="23"/>
  <c r="D47" i="23"/>
  <c r="C87" i="23"/>
  <c r="C113" i="23"/>
  <c r="C126" i="23"/>
  <c r="D138" i="23"/>
  <c r="C139" i="23"/>
  <c r="D180" i="23"/>
  <c r="C180" i="23"/>
  <c r="D192" i="23"/>
  <c r="D209" i="23"/>
  <c r="D213" i="23"/>
  <c r="C213" i="23"/>
  <c r="D249" i="23"/>
  <c r="C249" i="23"/>
  <c r="D295" i="23"/>
  <c r="C295" i="23"/>
  <c r="D261" i="23"/>
  <c r="C261" i="23"/>
  <c r="D283" i="23"/>
  <c r="C283" i="23"/>
  <c r="C210" i="23"/>
  <c r="D225" i="23"/>
  <c r="C225" i="23"/>
  <c r="C246" i="23"/>
  <c r="D256" i="23"/>
  <c r="C256" i="23"/>
  <c r="C267" i="23"/>
  <c r="D284" i="23"/>
  <c r="C284" i="23"/>
  <c r="D191" i="23"/>
  <c r="C191" i="23"/>
  <c r="C196" i="23"/>
  <c r="D220" i="23"/>
  <c r="C220" i="23"/>
  <c r="C236" i="23"/>
  <c r="D257" i="23"/>
  <c r="D267" i="23"/>
  <c r="C231" i="23"/>
  <c r="D236" i="23"/>
  <c r="D273" i="23"/>
  <c r="C273" i="23"/>
  <c r="D285" i="23"/>
  <c r="C285" i="23"/>
  <c r="C58" i="23"/>
  <c r="C114" i="23"/>
  <c r="C164" i="23"/>
  <c r="C201" i="23"/>
  <c r="D206" i="23"/>
  <c r="D211" i="23"/>
  <c r="C211" i="23"/>
  <c r="C216" i="23"/>
  <c r="C227" i="23"/>
  <c r="D231" i="23"/>
  <c r="D247" i="23"/>
  <c r="C247" i="23"/>
  <c r="C252" i="23"/>
  <c r="C258" i="23"/>
  <c r="D268" i="23"/>
  <c r="C268" i="23"/>
  <c r="C279" i="23"/>
  <c r="C291" i="23"/>
  <c r="D315" i="23"/>
  <c r="V5" i="14" s="1"/>
  <c r="C172" i="23"/>
  <c r="C44" i="23"/>
  <c r="C110" i="23"/>
  <c r="D173" i="23"/>
  <c r="C173" i="23"/>
  <c r="C124" i="23"/>
  <c r="D128" i="23"/>
  <c r="D146" i="23"/>
  <c r="D150" i="23"/>
  <c r="D155" i="23"/>
  <c r="D168" i="23"/>
  <c r="C187" i="23"/>
  <c r="D187" i="23"/>
  <c r="C197" i="23"/>
  <c r="D201" i="23"/>
  <c r="D216" i="23"/>
  <c r="C222" i="23"/>
  <c r="D227" i="23"/>
  <c r="D237" i="23"/>
  <c r="C237" i="23"/>
  <c r="D252" i="23"/>
  <c r="D269" i="23"/>
  <c r="D279" i="23"/>
  <c r="D291" i="23"/>
  <c r="D307" i="23"/>
  <c r="C307" i="23"/>
  <c r="C315" i="23"/>
  <c r="U5" i="14" s="1"/>
  <c r="D141" i="23"/>
  <c r="C141" i="23"/>
  <c r="C205" i="23"/>
  <c r="D205" i="23"/>
  <c r="C26" i="23"/>
  <c r="C137" i="23"/>
  <c r="C168" i="23"/>
  <c r="D22" i="23"/>
  <c r="D26" i="23"/>
  <c r="D33" i="23"/>
  <c r="D69" i="23"/>
  <c r="C160" i="23"/>
  <c r="D164" i="23"/>
  <c r="C23" i="23"/>
  <c r="C30" i="23"/>
  <c r="C37" i="23"/>
  <c r="C41" i="23"/>
  <c r="C48" i="23"/>
  <c r="C55" i="23"/>
  <c r="C59" i="23"/>
  <c r="C66" i="23"/>
  <c r="C73" i="23"/>
  <c r="C77" i="23"/>
  <c r="C89" i="23"/>
  <c r="C93" i="23"/>
  <c r="C98" i="23"/>
  <c r="C102" i="23"/>
  <c r="D124" i="23"/>
  <c r="D160" i="23"/>
  <c r="C174" i="23"/>
  <c r="C183" i="23"/>
  <c r="D188" i="23"/>
  <c r="D197" i="23"/>
  <c r="C212" i="23"/>
  <c r="D232" i="23"/>
  <c r="C232" i="23"/>
  <c r="C248" i="23"/>
  <c r="C269" i="23"/>
  <c r="C88" i="23"/>
  <c r="D123" i="23"/>
  <c r="C123" i="23"/>
  <c r="D172" i="23"/>
  <c r="D182" i="23"/>
  <c r="D186" i="23"/>
  <c r="D196" i="23"/>
  <c r="D221" i="23"/>
  <c r="C10" i="23"/>
  <c r="C22" i="23"/>
  <c r="C40" i="23"/>
  <c r="C51" i="23"/>
  <c r="C80" i="23"/>
  <c r="C84" i="23"/>
  <c r="D88" i="23"/>
  <c r="C119" i="23"/>
  <c r="C132" i="23"/>
  <c r="C178" i="23"/>
  <c r="C192" i="23"/>
  <c r="D58" i="23"/>
  <c r="D76" i="23"/>
  <c r="D80" i="23"/>
  <c r="C97" i="23"/>
  <c r="D97" i="23"/>
  <c r="C142" i="23"/>
  <c r="C15" i="23"/>
  <c r="C19" i="23"/>
  <c r="D30" i="23"/>
  <c r="D37" i="23"/>
  <c r="D41" i="23"/>
  <c r="D55" i="23"/>
  <c r="D59" i="23"/>
  <c r="D73" i="23"/>
  <c r="C85" i="23"/>
  <c r="D89" i="23"/>
  <c r="D93" i="23"/>
  <c r="D98" i="23"/>
  <c r="D102" i="23"/>
  <c r="C115" i="23"/>
  <c r="D115" i="23"/>
  <c r="C120" i="23"/>
  <c r="C133" i="23"/>
  <c r="D133" i="23"/>
  <c r="C138" i="23"/>
  <c r="C151" i="23"/>
  <c r="D151" i="23"/>
  <c r="C169" i="23"/>
  <c r="D169" i="23"/>
  <c r="C179" i="23"/>
  <c r="D183" i="23"/>
  <c r="C193" i="23"/>
  <c r="C207" i="23"/>
  <c r="D212" i="23"/>
  <c r="D233" i="23"/>
  <c r="C243" i="23"/>
  <c r="D248" i="23"/>
  <c r="D259" i="23"/>
  <c r="C259" i="23"/>
  <c r="C264" i="23"/>
  <c r="C270" i="23"/>
  <c r="D281" i="23"/>
  <c r="C154" i="23"/>
  <c r="C101" i="23"/>
  <c r="D159" i="23"/>
  <c r="C159" i="23"/>
  <c r="C62" i="23"/>
  <c r="C76" i="23"/>
  <c r="C155" i="23"/>
  <c r="D40" i="23"/>
  <c r="D44" i="23"/>
  <c r="D62" i="23"/>
  <c r="C106" i="23"/>
  <c r="D119" i="23"/>
  <c r="C11" i="23"/>
  <c r="D19" i="23"/>
  <c r="D23" i="23"/>
  <c r="D48" i="23"/>
  <c r="D66" i="23"/>
  <c r="C16" i="23"/>
  <c r="C20" i="23"/>
  <c r="C34" i="23"/>
  <c r="C38" i="23"/>
  <c r="C52" i="23"/>
  <c r="C56" i="23"/>
  <c r="C70" i="23"/>
  <c r="C74" i="23"/>
  <c r="D85" i="23"/>
  <c r="C94" i="23"/>
  <c r="D94" i="23"/>
  <c r="C111" i="23"/>
  <c r="D116" i="23"/>
  <c r="C116" i="23"/>
  <c r="C129" i="23"/>
  <c r="D134" i="23"/>
  <c r="C134" i="23"/>
  <c r="C147" i="23"/>
  <c r="D152" i="23"/>
  <c r="C152" i="23"/>
  <c r="C165" i="23"/>
  <c r="D170" i="23"/>
  <c r="D193" i="23"/>
  <c r="D198" i="23"/>
  <c r="C198" i="23"/>
  <c r="D223" i="23"/>
  <c r="C223" i="23"/>
  <c r="C233" i="23"/>
  <c r="C281" i="23"/>
  <c r="D319" i="23"/>
  <c r="V9" i="14" s="1"/>
  <c r="C319" i="23"/>
  <c r="U9" i="14" s="1"/>
  <c r="D331" i="23"/>
  <c r="V21" i="14" s="1"/>
  <c r="C331" i="23"/>
  <c r="U21" i="14" s="1"/>
  <c r="C296" i="23"/>
  <c r="C308" i="23"/>
  <c r="C320" i="23"/>
  <c r="U10" i="14" s="1"/>
  <c r="C332" i="23"/>
  <c r="U22" i="14" s="1"/>
  <c r="D280" i="23"/>
  <c r="C280" i="23"/>
  <c r="D292" i="23"/>
  <c r="C292" i="23"/>
  <c r="D296" i="23"/>
  <c r="D304" i="23"/>
  <c r="C304" i="23"/>
  <c r="D308" i="23"/>
  <c r="D316" i="23"/>
  <c r="V6" i="14" s="1"/>
  <c r="C316" i="23"/>
  <c r="U6" i="14" s="1"/>
  <c r="D320" i="23"/>
  <c r="V10" i="14" s="1"/>
  <c r="D328" i="23"/>
  <c r="V18" i="14" s="1"/>
  <c r="C328" i="23"/>
  <c r="U18" i="14" s="1"/>
  <c r="D332" i="23"/>
  <c r="V22" i="14" s="1"/>
  <c r="C305" i="23"/>
  <c r="C293" i="23"/>
  <c r="D217" i="23"/>
  <c r="C217" i="23"/>
  <c r="D229" i="23"/>
  <c r="C229" i="23"/>
  <c r="D241" i="23"/>
  <c r="C241" i="23"/>
  <c r="D253" i="23"/>
  <c r="C253" i="23"/>
  <c r="D265" i="23"/>
  <c r="C265" i="23"/>
  <c r="D277" i="23"/>
  <c r="C277" i="23"/>
  <c r="D289" i="23"/>
  <c r="C289" i="23"/>
  <c r="D293" i="23"/>
  <c r="C297" i="23"/>
  <c r="D301" i="23"/>
  <c r="C301" i="23"/>
  <c r="D305" i="23"/>
  <c r="C309" i="23"/>
  <c r="D313" i="23"/>
  <c r="C313" i="23"/>
  <c r="D317" i="23"/>
  <c r="V7" i="14" s="1"/>
  <c r="C321" i="23"/>
  <c r="U11" i="14" s="1"/>
  <c r="D325" i="23"/>
  <c r="V15" i="14" s="1"/>
  <c r="C325" i="23"/>
  <c r="U15" i="14" s="1"/>
  <c r="D329" i="23"/>
  <c r="V19" i="14" s="1"/>
  <c r="C333" i="23"/>
  <c r="U23" i="14" s="1"/>
  <c r="C184" i="23"/>
  <c r="C202" i="23"/>
  <c r="D297" i="23"/>
  <c r="D309" i="23"/>
  <c r="D321" i="23"/>
  <c r="V11" i="14" s="1"/>
  <c r="D333" i="23"/>
  <c r="V23" i="14" s="1"/>
  <c r="C166" i="23"/>
  <c r="D166" i="23"/>
  <c r="C170" i="23"/>
  <c r="C177" i="23"/>
  <c r="D184" i="23"/>
  <c r="C188" i="23"/>
  <c r="C195" i="23"/>
  <c r="D202" i="23"/>
  <c r="C206" i="23"/>
  <c r="C218" i="23"/>
  <c r="C230" i="23"/>
  <c r="C242" i="23"/>
  <c r="C254" i="23"/>
  <c r="C266" i="23"/>
  <c r="C278" i="23"/>
  <c r="C290" i="23"/>
  <c r="C302" i="23"/>
  <c r="C314" i="23"/>
  <c r="U4" i="14" s="1"/>
  <c r="C326" i="23"/>
  <c r="U16" i="14" s="1"/>
  <c r="C109" i="23"/>
  <c r="C127" i="23"/>
  <c r="C145" i="23"/>
  <c r="C163" i="23"/>
  <c r="C181" i="23"/>
  <c r="C199" i="23"/>
  <c r="D214" i="23"/>
  <c r="C214" i="23"/>
  <c r="D226" i="23"/>
  <c r="C226" i="23"/>
  <c r="D238" i="23"/>
  <c r="C238" i="23"/>
  <c r="D250" i="23"/>
  <c r="C250" i="23"/>
  <c r="D262" i="23"/>
  <c r="C262" i="23"/>
  <c r="D274" i="23"/>
  <c r="C274" i="23"/>
  <c r="D286" i="23"/>
  <c r="C286" i="23"/>
  <c r="D298" i="23"/>
  <c r="C298" i="23"/>
  <c r="D310" i="23"/>
  <c r="C310" i="23"/>
  <c r="D322" i="23"/>
  <c r="V12" i="14" s="1"/>
  <c r="C322" i="23"/>
  <c r="U12" i="14" s="1"/>
  <c r="C334" i="23"/>
  <c r="U24" i="14" s="1"/>
  <c r="D334" i="23"/>
  <c r="V24" i="14" s="1"/>
  <c r="G16" i="13" l="1"/>
  <c r="Q25" i="25" s="1"/>
  <c r="B336" i="3"/>
  <c r="D348" i="3" s="1"/>
  <c r="D38" i="14" s="1"/>
  <c r="B337" i="3"/>
  <c r="D349" i="3" s="1"/>
  <c r="D39" i="14" s="1"/>
  <c r="C337" i="3" l="1"/>
  <c r="C27" i="14" s="1"/>
  <c r="C338" i="3"/>
  <c r="C28" i="14" s="1"/>
  <c r="B335" i="20"/>
  <c r="B334" i="20"/>
  <c r="D346" i="20" s="1"/>
  <c r="Z36" i="14" s="1"/>
  <c r="B333" i="20"/>
  <c r="D345" i="20" s="1"/>
  <c r="Z35" i="14" s="1"/>
  <c r="B332" i="20"/>
  <c r="D344" i="20" s="1"/>
  <c r="Z34" i="14" s="1"/>
  <c r="B331" i="20"/>
  <c r="D343" i="20" s="1"/>
  <c r="Z33" i="14" s="1"/>
  <c r="B330" i="20"/>
  <c r="D342" i="20" s="1"/>
  <c r="Z32" i="14" s="1"/>
  <c r="B329" i="20"/>
  <c r="D341" i="20" s="1"/>
  <c r="Z31" i="14" s="1"/>
  <c r="B328" i="20"/>
  <c r="D340" i="20" s="1"/>
  <c r="Z30" i="14" s="1"/>
  <c r="B327" i="20"/>
  <c r="D339" i="20" s="1"/>
  <c r="Z29" i="14" s="1"/>
  <c r="B326" i="20"/>
  <c r="D338" i="20" s="1"/>
  <c r="Z28" i="14" s="1"/>
  <c r="B325" i="20"/>
  <c r="D337" i="20" s="1"/>
  <c r="B324" i="20"/>
  <c r="D336" i="20" s="1"/>
  <c r="Z26" i="14" s="1"/>
  <c r="B323" i="20"/>
  <c r="B322" i="20"/>
  <c r="B321" i="20"/>
  <c r="B320" i="20"/>
  <c r="B319" i="20"/>
  <c r="B318" i="20"/>
  <c r="B317" i="20"/>
  <c r="B316" i="20"/>
  <c r="B315" i="20"/>
  <c r="B314" i="20"/>
  <c r="B313" i="20"/>
  <c r="B312" i="20"/>
  <c r="B311" i="20"/>
  <c r="B310" i="20"/>
  <c r="B309" i="20"/>
  <c r="B308" i="20"/>
  <c r="B307" i="20"/>
  <c r="B306" i="20"/>
  <c r="B305" i="20"/>
  <c r="B304" i="20"/>
  <c r="B303" i="20"/>
  <c r="B302" i="20"/>
  <c r="B301" i="20"/>
  <c r="B300" i="20"/>
  <c r="B299" i="20"/>
  <c r="B298" i="20"/>
  <c r="B297" i="20"/>
  <c r="B296" i="20"/>
  <c r="B295" i="20"/>
  <c r="B294" i="20"/>
  <c r="B293" i="20"/>
  <c r="B292" i="20"/>
  <c r="B291" i="20"/>
  <c r="B290" i="20"/>
  <c r="B289" i="20"/>
  <c r="B288" i="20"/>
  <c r="B287" i="20"/>
  <c r="B286" i="20"/>
  <c r="B285" i="20"/>
  <c r="B284" i="20"/>
  <c r="B283" i="20"/>
  <c r="B282" i="20"/>
  <c r="B281" i="20"/>
  <c r="B280" i="20"/>
  <c r="B279" i="20"/>
  <c r="B278" i="20"/>
  <c r="B277" i="20"/>
  <c r="B276" i="20"/>
  <c r="B275" i="20"/>
  <c r="B274" i="20"/>
  <c r="B273" i="20"/>
  <c r="B272" i="20"/>
  <c r="B271" i="20"/>
  <c r="B270" i="20"/>
  <c r="B269" i="20"/>
  <c r="B268" i="20"/>
  <c r="B267" i="20"/>
  <c r="B266" i="20"/>
  <c r="B265" i="20"/>
  <c r="B264" i="20"/>
  <c r="B263" i="20"/>
  <c r="B262" i="20"/>
  <c r="B261" i="20"/>
  <c r="B260" i="20"/>
  <c r="B259" i="20"/>
  <c r="B258" i="20"/>
  <c r="B257" i="20"/>
  <c r="B256" i="20"/>
  <c r="B255" i="20"/>
  <c r="B254" i="20"/>
  <c r="B253" i="20"/>
  <c r="B252" i="20"/>
  <c r="B251" i="20"/>
  <c r="B250" i="20"/>
  <c r="B249" i="20"/>
  <c r="B248" i="20"/>
  <c r="B247" i="20"/>
  <c r="B246" i="20"/>
  <c r="B245" i="20"/>
  <c r="B244" i="20"/>
  <c r="B243" i="20"/>
  <c r="B242" i="20"/>
  <c r="B241" i="20"/>
  <c r="B240" i="20"/>
  <c r="B239" i="20"/>
  <c r="B238" i="20"/>
  <c r="B237" i="20"/>
  <c r="B236" i="20"/>
  <c r="B235" i="20"/>
  <c r="D247" i="20" s="1"/>
  <c r="B234" i="20"/>
  <c r="B233" i="20"/>
  <c r="B232" i="20"/>
  <c r="B231" i="20"/>
  <c r="B230" i="20"/>
  <c r="B229" i="20"/>
  <c r="B228" i="20"/>
  <c r="B227" i="20"/>
  <c r="B226" i="20"/>
  <c r="B225" i="20"/>
  <c r="B224" i="20"/>
  <c r="B223" i="20"/>
  <c r="B222" i="20"/>
  <c r="B221" i="20"/>
  <c r="B220" i="20"/>
  <c r="B219" i="20"/>
  <c r="B218" i="20"/>
  <c r="B217" i="20"/>
  <c r="B216" i="20"/>
  <c r="B215" i="20"/>
  <c r="B214" i="20"/>
  <c r="B213" i="20"/>
  <c r="B212" i="20"/>
  <c r="B211" i="20"/>
  <c r="B210" i="20"/>
  <c r="B209" i="20"/>
  <c r="B208" i="20"/>
  <c r="B207" i="20"/>
  <c r="B206" i="20"/>
  <c r="B205" i="20"/>
  <c r="B204" i="20"/>
  <c r="B203" i="20"/>
  <c r="B202" i="20"/>
  <c r="B201" i="20"/>
  <c r="B200" i="20"/>
  <c r="B199" i="20"/>
  <c r="B198" i="20"/>
  <c r="B197" i="20"/>
  <c r="B196" i="20"/>
  <c r="B195" i="20"/>
  <c r="B194" i="20"/>
  <c r="B193" i="20"/>
  <c r="B192" i="20"/>
  <c r="B191" i="20"/>
  <c r="B190" i="20"/>
  <c r="B189" i="20"/>
  <c r="B188" i="20"/>
  <c r="B187" i="20"/>
  <c r="B186" i="20"/>
  <c r="B185" i="20"/>
  <c r="B184" i="20"/>
  <c r="B183" i="20"/>
  <c r="B182" i="20"/>
  <c r="B181" i="20"/>
  <c r="B180" i="20"/>
  <c r="B179" i="20"/>
  <c r="B178" i="20"/>
  <c r="B177" i="20"/>
  <c r="B176" i="20"/>
  <c r="B175" i="20"/>
  <c r="B174" i="20"/>
  <c r="B173" i="20"/>
  <c r="B172" i="20"/>
  <c r="B171" i="20"/>
  <c r="B170" i="20"/>
  <c r="B169" i="20"/>
  <c r="B168" i="20"/>
  <c r="B167" i="20"/>
  <c r="B166" i="20"/>
  <c r="B165" i="20"/>
  <c r="B164" i="20"/>
  <c r="B163" i="20"/>
  <c r="B162" i="20"/>
  <c r="B161" i="20"/>
  <c r="B160" i="20"/>
  <c r="D172" i="20" s="1"/>
  <c r="B159" i="20"/>
  <c r="B158" i="20"/>
  <c r="B157" i="20"/>
  <c r="B156" i="20"/>
  <c r="B155" i="20"/>
  <c r="B154" i="20"/>
  <c r="B153" i="20"/>
  <c r="B152" i="20"/>
  <c r="B151" i="20"/>
  <c r="B150" i="20"/>
  <c r="B149" i="20"/>
  <c r="B148" i="20"/>
  <c r="B147" i="20"/>
  <c r="B146" i="20"/>
  <c r="B145" i="20"/>
  <c r="B144" i="20"/>
  <c r="B143" i="20"/>
  <c r="B142" i="20"/>
  <c r="B141" i="20"/>
  <c r="B140" i="20"/>
  <c r="B139" i="20"/>
  <c r="B138" i="20"/>
  <c r="B137" i="20"/>
  <c r="B136" i="20"/>
  <c r="B135" i="20"/>
  <c r="B134" i="20"/>
  <c r="B133" i="20"/>
  <c r="B132" i="20"/>
  <c r="B131" i="20"/>
  <c r="B130" i="20"/>
  <c r="B129" i="20"/>
  <c r="B128" i="20"/>
  <c r="B127" i="20"/>
  <c r="B126" i="20"/>
  <c r="B125" i="20"/>
  <c r="B124" i="20"/>
  <c r="B123" i="20"/>
  <c r="B122" i="20"/>
  <c r="B121" i="20"/>
  <c r="B120" i="20"/>
  <c r="B119" i="20"/>
  <c r="B118" i="20"/>
  <c r="B117" i="20"/>
  <c r="B116" i="20"/>
  <c r="B115" i="20"/>
  <c r="B114" i="20"/>
  <c r="D126" i="20" s="1"/>
  <c r="B113" i="20"/>
  <c r="B112" i="20"/>
  <c r="B111" i="20"/>
  <c r="B110" i="20"/>
  <c r="B109" i="20"/>
  <c r="B108" i="20"/>
  <c r="B107" i="20"/>
  <c r="B106" i="20"/>
  <c r="B105" i="20"/>
  <c r="B104" i="20"/>
  <c r="B103" i="20"/>
  <c r="B102" i="20"/>
  <c r="B101" i="20"/>
  <c r="B100" i="20"/>
  <c r="B99" i="20"/>
  <c r="B98" i="20"/>
  <c r="B97" i="20"/>
  <c r="B96" i="20"/>
  <c r="B95" i="20"/>
  <c r="B94" i="20"/>
  <c r="B93" i="20"/>
  <c r="B92" i="20"/>
  <c r="B91" i="20"/>
  <c r="B90" i="20"/>
  <c r="B89" i="20"/>
  <c r="B88" i="20"/>
  <c r="B87" i="20"/>
  <c r="B86" i="20"/>
  <c r="B85" i="20"/>
  <c r="B84" i="20"/>
  <c r="B83" i="20"/>
  <c r="B82" i="20"/>
  <c r="B81" i="20"/>
  <c r="B80" i="20"/>
  <c r="B79" i="20"/>
  <c r="B78" i="20"/>
  <c r="B77" i="20"/>
  <c r="B76" i="20"/>
  <c r="B75" i="20"/>
  <c r="B74" i="20"/>
  <c r="B73" i="20"/>
  <c r="B72" i="20"/>
  <c r="B71" i="20"/>
  <c r="B70" i="20"/>
  <c r="B69" i="20"/>
  <c r="B68" i="20"/>
  <c r="B67" i="20"/>
  <c r="B66" i="20"/>
  <c r="B65" i="20"/>
  <c r="B64" i="20"/>
  <c r="B63" i="20"/>
  <c r="B62" i="20"/>
  <c r="B61" i="20"/>
  <c r="B60" i="20"/>
  <c r="B59" i="20"/>
  <c r="B58" i="20"/>
  <c r="B57" i="20"/>
  <c r="B56" i="20"/>
  <c r="B55" i="20"/>
  <c r="B54" i="20"/>
  <c r="B53" i="20"/>
  <c r="B52" i="20"/>
  <c r="B51" i="20"/>
  <c r="B50" i="20"/>
  <c r="B49" i="20"/>
  <c r="B48" i="20"/>
  <c r="B47" i="20"/>
  <c r="B46" i="20"/>
  <c r="B45" i="20"/>
  <c r="B44" i="20"/>
  <c r="B43" i="20"/>
  <c r="B42" i="20"/>
  <c r="B41" i="20"/>
  <c r="B40" i="20"/>
  <c r="B39" i="20"/>
  <c r="B38" i="20"/>
  <c r="B37" i="20"/>
  <c r="B36" i="20"/>
  <c r="B35" i="20"/>
  <c r="B34" i="20"/>
  <c r="B33" i="20"/>
  <c r="B32" i="20"/>
  <c r="B31" i="20"/>
  <c r="B30" i="20"/>
  <c r="B29" i="20"/>
  <c r="B28" i="20"/>
  <c r="B27" i="20"/>
  <c r="B26" i="20"/>
  <c r="B25" i="20"/>
  <c r="B24" i="20"/>
  <c r="B23" i="20"/>
  <c r="B22" i="20"/>
  <c r="B21" i="20"/>
  <c r="B20" i="20"/>
  <c r="B19" i="20"/>
  <c r="B18" i="20"/>
  <c r="B17" i="20"/>
  <c r="B16" i="20"/>
  <c r="B15" i="20"/>
  <c r="B14" i="20"/>
  <c r="B13" i="20"/>
  <c r="B12" i="20"/>
  <c r="B11" i="20"/>
  <c r="B10" i="20"/>
  <c r="B9" i="20"/>
  <c r="B8" i="20"/>
  <c r="B7" i="20"/>
  <c r="B8" i="19"/>
  <c r="B9" i="19"/>
  <c r="B10" i="19"/>
  <c r="B11" i="19"/>
  <c r="B12" i="19"/>
  <c r="B13" i="19"/>
  <c r="B14" i="19"/>
  <c r="B15" i="19"/>
  <c r="B16" i="19"/>
  <c r="B17" i="19"/>
  <c r="B18" i="19"/>
  <c r="B19" i="19"/>
  <c r="B20" i="19"/>
  <c r="B21" i="19"/>
  <c r="B22" i="19"/>
  <c r="B23" i="19"/>
  <c r="B24" i="19"/>
  <c r="B25" i="19"/>
  <c r="B26" i="19"/>
  <c r="B27" i="19"/>
  <c r="B28" i="19"/>
  <c r="B29" i="19"/>
  <c r="B30" i="19"/>
  <c r="B31" i="19"/>
  <c r="B32" i="19"/>
  <c r="B33" i="19"/>
  <c r="B34" i="19"/>
  <c r="B35" i="19"/>
  <c r="B36" i="19"/>
  <c r="B37" i="19"/>
  <c r="B38" i="19"/>
  <c r="B39" i="19"/>
  <c r="B40" i="19"/>
  <c r="B41" i="19"/>
  <c r="B42" i="19"/>
  <c r="B43" i="19"/>
  <c r="B44" i="19"/>
  <c r="B45" i="19"/>
  <c r="B46" i="19"/>
  <c r="D46" i="19" s="1"/>
  <c r="B47" i="19"/>
  <c r="B48" i="19"/>
  <c r="B49" i="19"/>
  <c r="B50" i="19"/>
  <c r="B51" i="19"/>
  <c r="B52" i="19"/>
  <c r="B53" i="19"/>
  <c r="B54" i="19"/>
  <c r="B55" i="19"/>
  <c r="B56" i="19"/>
  <c r="B57" i="19"/>
  <c r="B58" i="19"/>
  <c r="B59" i="19"/>
  <c r="B60" i="19"/>
  <c r="B61" i="19"/>
  <c r="B62" i="19"/>
  <c r="B63" i="19"/>
  <c r="B64" i="19"/>
  <c r="B65" i="19"/>
  <c r="B66" i="19"/>
  <c r="B67" i="19"/>
  <c r="B68" i="19"/>
  <c r="B69" i="19"/>
  <c r="B70" i="19"/>
  <c r="B71" i="19"/>
  <c r="B72" i="19"/>
  <c r="B73" i="19"/>
  <c r="B74" i="19"/>
  <c r="B75" i="19"/>
  <c r="B76" i="19"/>
  <c r="B77" i="19"/>
  <c r="B78" i="19"/>
  <c r="B79" i="19"/>
  <c r="B80" i="19"/>
  <c r="B81" i="19"/>
  <c r="B82" i="19"/>
  <c r="B83" i="19"/>
  <c r="B84" i="19"/>
  <c r="B85" i="19"/>
  <c r="B86" i="19"/>
  <c r="B87" i="19"/>
  <c r="B88" i="19"/>
  <c r="B89" i="19"/>
  <c r="B90" i="19"/>
  <c r="B91" i="19"/>
  <c r="B92" i="19"/>
  <c r="B93" i="19"/>
  <c r="B94" i="19"/>
  <c r="B95" i="19"/>
  <c r="B96" i="19"/>
  <c r="B97" i="19"/>
  <c r="B98" i="19"/>
  <c r="B99" i="19"/>
  <c r="B100" i="19"/>
  <c r="B101" i="19"/>
  <c r="B102" i="19"/>
  <c r="B103" i="19"/>
  <c r="B104" i="19"/>
  <c r="B105" i="19"/>
  <c r="B106" i="19"/>
  <c r="B107" i="19"/>
  <c r="B108" i="19"/>
  <c r="B109" i="19"/>
  <c r="B110" i="19"/>
  <c r="B111" i="19"/>
  <c r="D111" i="19" s="1"/>
  <c r="B112" i="19"/>
  <c r="B113" i="19"/>
  <c r="B114" i="19"/>
  <c r="B115" i="19"/>
  <c r="B116" i="19"/>
  <c r="B117" i="19"/>
  <c r="B118" i="19"/>
  <c r="B119" i="19"/>
  <c r="B120" i="19"/>
  <c r="B121" i="19"/>
  <c r="B122" i="19"/>
  <c r="B123" i="19"/>
  <c r="B124" i="19"/>
  <c r="B125" i="19"/>
  <c r="B126" i="19"/>
  <c r="B127" i="19"/>
  <c r="B128" i="19"/>
  <c r="B129" i="19"/>
  <c r="B130" i="19"/>
  <c r="B131" i="19"/>
  <c r="B132" i="19"/>
  <c r="B133" i="19"/>
  <c r="B134" i="19"/>
  <c r="B135" i="19"/>
  <c r="B136" i="19"/>
  <c r="B137" i="19"/>
  <c r="B138" i="19"/>
  <c r="B139" i="19"/>
  <c r="B140" i="19"/>
  <c r="B141" i="19"/>
  <c r="B142" i="19"/>
  <c r="B143" i="19"/>
  <c r="B144" i="19"/>
  <c r="B145" i="19"/>
  <c r="B146" i="19"/>
  <c r="B147" i="19"/>
  <c r="B148" i="19"/>
  <c r="B149" i="19"/>
  <c r="B150" i="19"/>
  <c r="B151" i="19"/>
  <c r="B152" i="19"/>
  <c r="B153" i="19"/>
  <c r="B154" i="19"/>
  <c r="B155" i="19"/>
  <c r="B156" i="19"/>
  <c r="B157" i="19"/>
  <c r="B158" i="19"/>
  <c r="B159" i="19"/>
  <c r="B160" i="19"/>
  <c r="B161" i="19"/>
  <c r="B162" i="19"/>
  <c r="B163" i="19"/>
  <c r="B164" i="19"/>
  <c r="B165" i="19"/>
  <c r="B166" i="19"/>
  <c r="B167" i="19"/>
  <c r="B168" i="19"/>
  <c r="B169" i="19"/>
  <c r="B170" i="19"/>
  <c r="B171" i="19"/>
  <c r="B172" i="19"/>
  <c r="B173" i="19"/>
  <c r="B174" i="19"/>
  <c r="D174" i="19" s="1"/>
  <c r="B175" i="19"/>
  <c r="B176" i="19"/>
  <c r="B177" i="19"/>
  <c r="B178" i="19"/>
  <c r="B179" i="19"/>
  <c r="B180" i="19"/>
  <c r="B181" i="19"/>
  <c r="B182" i="19"/>
  <c r="B183" i="19"/>
  <c r="B184" i="19"/>
  <c r="B185" i="19"/>
  <c r="B186" i="19"/>
  <c r="B187" i="19"/>
  <c r="B188" i="19"/>
  <c r="B189" i="19"/>
  <c r="B190" i="19"/>
  <c r="B191" i="19"/>
  <c r="B192" i="19"/>
  <c r="B193" i="19"/>
  <c r="B194" i="19"/>
  <c r="B195" i="19"/>
  <c r="B196" i="19"/>
  <c r="B197" i="19"/>
  <c r="B198" i="19"/>
  <c r="B199" i="19"/>
  <c r="B200" i="19"/>
  <c r="B201" i="19"/>
  <c r="B202" i="19"/>
  <c r="B203" i="19"/>
  <c r="B204" i="19"/>
  <c r="B205" i="19"/>
  <c r="B206" i="19"/>
  <c r="B207" i="19"/>
  <c r="B208" i="19"/>
  <c r="B209" i="19"/>
  <c r="B210" i="19"/>
  <c r="B211" i="19"/>
  <c r="B212" i="19"/>
  <c r="B213" i="19"/>
  <c r="B214" i="19"/>
  <c r="B215" i="19"/>
  <c r="B216" i="19"/>
  <c r="B217" i="19"/>
  <c r="B218" i="19"/>
  <c r="B219" i="19"/>
  <c r="B220" i="19"/>
  <c r="B221" i="19"/>
  <c r="B222" i="19"/>
  <c r="B223" i="19"/>
  <c r="B224" i="19"/>
  <c r="B225" i="19"/>
  <c r="B226" i="19"/>
  <c r="B227" i="19"/>
  <c r="B228" i="19"/>
  <c r="B229" i="19"/>
  <c r="B230" i="19"/>
  <c r="B231" i="19"/>
  <c r="B232" i="19"/>
  <c r="B233" i="19"/>
  <c r="B234" i="19"/>
  <c r="B235" i="19"/>
  <c r="B236" i="19"/>
  <c r="B237" i="19"/>
  <c r="B238" i="19"/>
  <c r="B239" i="19"/>
  <c r="B240" i="19"/>
  <c r="B241" i="19"/>
  <c r="B242" i="19"/>
  <c r="B243" i="19"/>
  <c r="B244" i="19"/>
  <c r="D244" i="19" s="1"/>
  <c r="B245" i="19"/>
  <c r="B246" i="19"/>
  <c r="B247" i="19"/>
  <c r="D247" i="19" s="1"/>
  <c r="B248" i="19"/>
  <c r="B249" i="19"/>
  <c r="B250" i="19"/>
  <c r="B251" i="19"/>
  <c r="B252" i="19"/>
  <c r="B253" i="19"/>
  <c r="B254" i="19"/>
  <c r="B255" i="19"/>
  <c r="B256" i="19"/>
  <c r="B257" i="19"/>
  <c r="B258" i="19"/>
  <c r="B259" i="19"/>
  <c r="B260" i="19"/>
  <c r="B261" i="19"/>
  <c r="B262" i="19"/>
  <c r="B263" i="19"/>
  <c r="B264" i="19"/>
  <c r="B265" i="19"/>
  <c r="B266" i="19"/>
  <c r="B267" i="19"/>
  <c r="B268" i="19"/>
  <c r="B269" i="19"/>
  <c r="B270" i="19"/>
  <c r="B271" i="19"/>
  <c r="B272" i="19"/>
  <c r="B273" i="19"/>
  <c r="D273" i="19" s="1"/>
  <c r="B274" i="19"/>
  <c r="B275" i="19"/>
  <c r="B276" i="19"/>
  <c r="B277" i="19"/>
  <c r="B278" i="19"/>
  <c r="B279" i="19"/>
  <c r="B280" i="19"/>
  <c r="B281" i="19"/>
  <c r="B282" i="19"/>
  <c r="B283" i="19"/>
  <c r="D283" i="19" s="1"/>
  <c r="B284" i="19"/>
  <c r="B285" i="19"/>
  <c r="B286" i="19"/>
  <c r="B287" i="19"/>
  <c r="B288" i="19"/>
  <c r="B289" i="19"/>
  <c r="B290" i="19"/>
  <c r="B291" i="19"/>
  <c r="B292" i="19"/>
  <c r="B293" i="19"/>
  <c r="B294" i="19"/>
  <c r="B295" i="19"/>
  <c r="B296" i="19"/>
  <c r="B297" i="19"/>
  <c r="B298" i="19"/>
  <c r="B299" i="19"/>
  <c r="B300" i="19"/>
  <c r="B301" i="19"/>
  <c r="B302" i="19"/>
  <c r="B303" i="19"/>
  <c r="B304" i="19"/>
  <c r="B305" i="19"/>
  <c r="B306" i="19"/>
  <c r="D306" i="19" s="1"/>
  <c r="B307" i="19"/>
  <c r="B308" i="19"/>
  <c r="B309" i="19"/>
  <c r="B310" i="19"/>
  <c r="B311" i="19"/>
  <c r="B312" i="19"/>
  <c r="B313" i="19"/>
  <c r="B314" i="19"/>
  <c r="B315" i="19"/>
  <c r="B316" i="19"/>
  <c r="B317" i="19"/>
  <c r="B318" i="19"/>
  <c r="B319" i="19"/>
  <c r="B320" i="19"/>
  <c r="B321" i="19"/>
  <c r="B322" i="19"/>
  <c r="B323" i="19"/>
  <c r="B324" i="19"/>
  <c r="D336" i="19" s="1"/>
  <c r="AD26" i="14" s="1"/>
  <c r="B325" i="19"/>
  <c r="D337" i="19" s="1"/>
  <c r="B326" i="19"/>
  <c r="D338" i="19" s="1"/>
  <c r="AD28" i="14" s="1"/>
  <c r="B327" i="19"/>
  <c r="D339" i="19" s="1"/>
  <c r="AD29" i="14" s="1"/>
  <c r="B328" i="19"/>
  <c r="D340" i="19" s="1"/>
  <c r="AD30" i="14" s="1"/>
  <c r="B329" i="19"/>
  <c r="D341" i="19" s="1"/>
  <c r="AD31" i="14" s="1"/>
  <c r="B330" i="19"/>
  <c r="D342" i="19" s="1"/>
  <c r="AD32" i="14" s="1"/>
  <c r="B331" i="19"/>
  <c r="D343" i="19" s="1"/>
  <c r="AD33" i="14" s="1"/>
  <c r="B332" i="19"/>
  <c r="D344" i="19" s="1"/>
  <c r="AD34" i="14" s="1"/>
  <c r="B333" i="19"/>
  <c r="D345" i="19" s="1"/>
  <c r="AD35" i="14" s="1"/>
  <c r="B334" i="19"/>
  <c r="D346" i="19" s="1"/>
  <c r="AD36" i="14" s="1"/>
  <c r="B335" i="19"/>
  <c r="D347" i="19" s="1"/>
  <c r="AD37" i="14" s="1"/>
  <c r="B7" i="19"/>
  <c r="B17" i="18"/>
  <c r="B18" i="18"/>
  <c r="B19" i="18"/>
  <c r="B20" i="18"/>
  <c r="B21" i="18"/>
  <c r="B22" i="18"/>
  <c r="B23" i="18"/>
  <c r="B24" i="18"/>
  <c r="B25" i="18"/>
  <c r="B26" i="18"/>
  <c r="B27" i="18"/>
  <c r="B28" i="18"/>
  <c r="B29" i="18"/>
  <c r="B30" i="18"/>
  <c r="B31" i="18"/>
  <c r="B32" i="18"/>
  <c r="B33" i="18"/>
  <c r="B34" i="18"/>
  <c r="B35" i="18"/>
  <c r="B36" i="18"/>
  <c r="B37" i="18"/>
  <c r="B38" i="18"/>
  <c r="B39" i="18"/>
  <c r="B40" i="18"/>
  <c r="B41" i="18"/>
  <c r="B42" i="18"/>
  <c r="B43" i="18"/>
  <c r="B44" i="18"/>
  <c r="B45" i="18"/>
  <c r="B46" i="18"/>
  <c r="B47" i="18"/>
  <c r="D47" i="18" s="1"/>
  <c r="B48" i="18"/>
  <c r="B49" i="18"/>
  <c r="B50" i="18"/>
  <c r="B51" i="18"/>
  <c r="B52" i="18"/>
  <c r="B53" i="18"/>
  <c r="B54" i="18"/>
  <c r="B55" i="18"/>
  <c r="B56" i="18"/>
  <c r="B57" i="18"/>
  <c r="B58" i="18"/>
  <c r="B59" i="18"/>
  <c r="B60" i="18"/>
  <c r="B61" i="18"/>
  <c r="B62" i="18"/>
  <c r="B63" i="18"/>
  <c r="B64" i="18"/>
  <c r="B65" i="18"/>
  <c r="B66" i="18"/>
  <c r="B67" i="18"/>
  <c r="B68" i="18"/>
  <c r="B69" i="18"/>
  <c r="B70" i="18"/>
  <c r="B71" i="18"/>
  <c r="B72" i="18"/>
  <c r="B73" i="18"/>
  <c r="B74" i="18"/>
  <c r="B75" i="18"/>
  <c r="B76" i="18"/>
  <c r="B77" i="18"/>
  <c r="B78" i="18"/>
  <c r="B79" i="18"/>
  <c r="B80" i="18"/>
  <c r="B81" i="18"/>
  <c r="B82" i="18"/>
  <c r="B83" i="18"/>
  <c r="B84" i="18"/>
  <c r="B85" i="18"/>
  <c r="B86" i="18"/>
  <c r="B87" i="18"/>
  <c r="B88" i="18"/>
  <c r="B89" i="18"/>
  <c r="B90" i="18"/>
  <c r="B91" i="18"/>
  <c r="B92" i="18"/>
  <c r="B93" i="18"/>
  <c r="D93" i="18" s="1"/>
  <c r="B94" i="18"/>
  <c r="B95" i="18"/>
  <c r="B96" i="18"/>
  <c r="B97" i="18"/>
  <c r="D97" i="18" s="1"/>
  <c r="B98" i="18"/>
  <c r="B99" i="18"/>
  <c r="B100" i="18"/>
  <c r="B101" i="18"/>
  <c r="B102" i="18"/>
  <c r="B103" i="18"/>
  <c r="C103" i="18" s="1"/>
  <c r="B104" i="18"/>
  <c r="B105" i="18"/>
  <c r="D105" i="18" s="1"/>
  <c r="B106" i="18"/>
  <c r="B107" i="18"/>
  <c r="B108" i="18"/>
  <c r="B109" i="18"/>
  <c r="B110" i="18"/>
  <c r="B111" i="18"/>
  <c r="B112" i="18"/>
  <c r="B113" i="18"/>
  <c r="B114" i="18"/>
  <c r="B115" i="18"/>
  <c r="C115" i="18" s="1"/>
  <c r="B116" i="18"/>
  <c r="B117" i="18"/>
  <c r="B118" i="18"/>
  <c r="B119" i="18"/>
  <c r="B120" i="18"/>
  <c r="B121" i="18"/>
  <c r="B122" i="18"/>
  <c r="B123" i="18"/>
  <c r="B124" i="18"/>
  <c r="B125" i="18"/>
  <c r="B126" i="18"/>
  <c r="B127" i="18"/>
  <c r="B128" i="18"/>
  <c r="B129" i="18"/>
  <c r="B130" i="18"/>
  <c r="B131" i="18"/>
  <c r="B132" i="18"/>
  <c r="B133" i="18"/>
  <c r="B134" i="18"/>
  <c r="B135" i="18"/>
  <c r="B136" i="18"/>
  <c r="B137" i="18"/>
  <c r="B138" i="18"/>
  <c r="B139" i="18"/>
  <c r="B140" i="18"/>
  <c r="B141" i="18"/>
  <c r="B142" i="18"/>
  <c r="B143" i="18"/>
  <c r="B144" i="18"/>
  <c r="B145" i="18"/>
  <c r="B146" i="18"/>
  <c r="B147" i="18"/>
  <c r="B148" i="18"/>
  <c r="B149" i="18"/>
  <c r="B150" i="18"/>
  <c r="B151" i="18"/>
  <c r="B152" i="18"/>
  <c r="B153" i="18"/>
  <c r="B154" i="18"/>
  <c r="B155" i="18"/>
  <c r="B156" i="18"/>
  <c r="B157" i="18"/>
  <c r="B158" i="18"/>
  <c r="B159" i="18"/>
  <c r="B160" i="18"/>
  <c r="B161" i="18"/>
  <c r="B162" i="18"/>
  <c r="B163" i="18"/>
  <c r="B164" i="18"/>
  <c r="B165" i="18"/>
  <c r="B166" i="18"/>
  <c r="B167" i="18"/>
  <c r="B168" i="18"/>
  <c r="B169" i="18"/>
  <c r="B170" i="18"/>
  <c r="B171" i="18"/>
  <c r="B172" i="18"/>
  <c r="B173" i="18"/>
  <c r="B174" i="18"/>
  <c r="D174" i="18" s="1"/>
  <c r="B175" i="18"/>
  <c r="B176" i="18"/>
  <c r="B177" i="18"/>
  <c r="B178" i="18"/>
  <c r="B179" i="18"/>
  <c r="B180" i="18"/>
  <c r="B181" i="18"/>
  <c r="B182" i="18"/>
  <c r="B183" i="18"/>
  <c r="B184" i="18"/>
  <c r="B185" i="18"/>
  <c r="B186" i="18"/>
  <c r="B187" i="18"/>
  <c r="B188" i="18"/>
  <c r="B189" i="18"/>
  <c r="B190" i="18"/>
  <c r="B191" i="18"/>
  <c r="B192" i="18"/>
  <c r="B193" i="18"/>
  <c r="D193" i="18" s="1"/>
  <c r="B194" i="18"/>
  <c r="B195" i="18"/>
  <c r="B196" i="18"/>
  <c r="B197" i="18"/>
  <c r="B198" i="18"/>
  <c r="B199" i="18"/>
  <c r="B200" i="18"/>
  <c r="B201" i="18"/>
  <c r="B202" i="18"/>
  <c r="B203" i="18"/>
  <c r="B204" i="18"/>
  <c r="B205" i="18"/>
  <c r="B206" i="18"/>
  <c r="B207" i="18"/>
  <c r="B208" i="18"/>
  <c r="B209" i="18"/>
  <c r="B210" i="18"/>
  <c r="D210" i="18" s="1"/>
  <c r="B211" i="18"/>
  <c r="B212" i="18"/>
  <c r="B213" i="18"/>
  <c r="B214" i="18"/>
  <c r="B215" i="18"/>
  <c r="B216" i="18"/>
  <c r="B217" i="18"/>
  <c r="B218" i="18"/>
  <c r="B219" i="18"/>
  <c r="B220" i="18"/>
  <c r="B221" i="18"/>
  <c r="B222" i="18"/>
  <c r="B223" i="18"/>
  <c r="B224" i="18"/>
  <c r="B225" i="18"/>
  <c r="B226" i="18"/>
  <c r="B227" i="18"/>
  <c r="B228" i="18"/>
  <c r="B229" i="18"/>
  <c r="B230" i="18"/>
  <c r="B231" i="18"/>
  <c r="B232" i="18"/>
  <c r="B233" i="18"/>
  <c r="B234" i="18"/>
  <c r="B235" i="18"/>
  <c r="B236" i="18"/>
  <c r="B237" i="18"/>
  <c r="B238" i="18"/>
  <c r="B239" i="18"/>
  <c r="B240" i="18"/>
  <c r="B241" i="18"/>
  <c r="B242" i="18"/>
  <c r="B243" i="18"/>
  <c r="B244" i="18"/>
  <c r="B245" i="18"/>
  <c r="B246" i="18"/>
  <c r="B247" i="18"/>
  <c r="B248" i="18"/>
  <c r="B249" i="18"/>
  <c r="B250" i="18"/>
  <c r="B251" i="18"/>
  <c r="B252" i="18"/>
  <c r="B253" i="18"/>
  <c r="B254" i="18"/>
  <c r="B255" i="18"/>
  <c r="B256" i="18"/>
  <c r="B257" i="18"/>
  <c r="B258" i="18"/>
  <c r="B259" i="18"/>
  <c r="B260" i="18"/>
  <c r="B261" i="18"/>
  <c r="B262" i="18"/>
  <c r="B263" i="18"/>
  <c r="B264" i="18"/>
  <c r="D264" i="18" s="1"/>
  <c r="B265" i="18"/>
  <c r="B266" i="18"/>
  <c r="B267" i="18"/>
  <c r="B268" i="18"/>
  <c r="B269" i="18"/>
  <c r="B270" i="18"/>
  <c r="B271" i="18"/>
  <c r="B272" i="18"/>
  <c r="B273" i="18"/>
  <c r="B274" i="18"/>
  <c r="B275" i="18"/>
  <c r="B276" i="18"/>
  <c r="B277" i="18"/>
  <c r="B278" i="18"/>
  <c r="B279" i="18"/>
  <c r="B280" i="18"/>
  <c r="B281" i="18"/>
  <c r="B282" i="18"/>
  <c r="B283" i="18"/>
  <c r="B284" i="18"/>
  <c r="B285" i="18"/>
  <c r="B286" i="18"/>
  <c r="B287" i="18"/>
  <c r="B288" i="18"/>
  <c r="B289" i="18"/>
  <c r="B290" i="18"/>
  <c r="B291" i="18"/>
  <c r="B292" i="18"/>
  <c r="B293" i="18"/>
  <c r="B294" i="18"/>
  <c r="B295" i="18"/>
  <c r="B296" i="18"/>
  <c r="B297" i="18"/>
  <c r="B298" i="18"/>
  <c r="B299" i="18"/>
  <c r="B300" i="18"/>
  <c r="B301" i="18"/>
  <c r="B302" i="18"/>
  <c r="B303" i="18"/>
  <c r="B304" i="18"/>
  <c r="B305" i="18"/>
  <c r="B306" i="18"/>
  <c r="B307" i="18"/>
  <c r="B308" i="18"/>
  <c r="B309" i="18"/>
  <c r="B310" i="18"/>
  <c r="B311" i="18"/>
  <c r="B312" i="18"/>
  <c r="B313" i="18"/>
  <c r="B314" i="18"/>
  <c r="B315" i="18"/>
  <c r="B316" i="18"/>
  <c r="B317" i="18"/>
  <c r="B318" i="18"/>
  <c r="B319" i="18"/>
  <c r="B320" i="18"/>
  <c r="B321" i="18"/>
  <c r="B322" i="18"/>
  <c r="B323" i="18"/>
  <c r="B324" i="18"/>
  <c r="D336" i="18" s="1"/>
  <c r="AB26" i="14" s="1"/>
  <c r="B325" i="18"/>
  <c r="D337" i="18" s="1"/>
  <c r="B326" i="18"/>
  <c r="D338" i="18" s="1"/>
  <c r="AB28" i="14" s="1"/>
  <c r="B327" i="18"/>
  <c r="D339" i="18" s="1"/>
  <c r="AB29" i="14" s="1"/>
  <c r="B328" i="18"/>
  <c r="D340" i="18" s="1"/>
  <c r="AB30" i="14" s="1"/>
  <c r="B329" i="18"/>
  <c r="D341" i="18" s="1"/>
  <c r="AB31" i="14" s="1"/>
  <c r="B330" i="18"/>
  <c r="D342" i="18" s="1"/>
  <c r="AB32" i="14" s="1"/>
  <c r="B331" i="18"/>
  <c r="D343" i="18" s="1"/>
  <c r="AB33" i="14" s="1"/>
  <c r="B332" i="18"/>
  <c r="D344" i="18" s="1"/>
  <c r="AB34" i="14" s="1"/>
  <c r="B333" i="18"/>
  <c r="D345" i="18" s="1"/>
  <c r="AB35" i="14" s="1"/>
  <c r="B334" i="18"/>
  <c r="D346" i="18" s="1"/>
  <c r="AB36" i="14" s="1"/>
  <c r="B335" i="18"/>
  <c r="D347" i="18" s="1"/>
  <c r="AB37" i="14" s="1"/>
  <c r="B8" i="18"/>
  <c r="B9" i="18"/>
  <c r="B10" i="18"/>
  <c r="B11" i="18"/>
  <c r="B12" i="18"/>
  <c r="B13" i="18"/>
  <c r="B14" i="18"/>
  <c r="B15" i="18"/>
  <c r="B16" i="18"/>
  <c r="B7" i="18"/>
  <c r="D138" i="18"/>
  <c r="B8" i="11"/>
  <c r="B9" i="11"/>
  <c r="B10" i="11"/>
  <c r="B11" i="11"/>
  <c r="B12" i="11"/>
  <c r="B13" i="11"/>
  <c r="B14" i="11"/>
  <c r="B15" i="11"/>
  <c r="B16" i="11"/>
  <c r="B17" i="11"/>
  <c r="B18" i="11"/>
  <c r="B19" i="11"/>
  <c r="B20" i="11"/>
  <c r="B21" i="11"/>
  <c r="B22" i="11"/>
  <c r="B23" i="11"/>
  <c r="B24" i="11"/>
  <c r="B25" i="11"/>
  <c r="B26" i="11"/>
  <c r="B27" i="11"/>
  <c r="B28" i="11"/>
  <c r="B29" i="11"/>
  <c r="B30" i="11"/>
  <c r="B31" i="11"/>
  <c r="B32" i="11"/>
  <c r="B33" i="11"/>
  <c r="B34" i="11"/>
  <c r="B35" i="11"/>
  <c r="B36" i="11"/>
  <c r="B37" i="11"/>
  <c r="B38" i="11"/>
  <c r="B39" i="11"/>
  <c r="B40" i="11"/>
  <c r="B41" i="11"/>
  <c r="B42" i="11"/>
  <c r="B43" i="11"/>
  <c r="B44" i="11"/>
  <c r="B45" i="11"/>
  <c r="B46" i="11"/>
  <c r="B47" i="11"/>
  <c r="B48" i="11"/>
  <c r="B49" i="11"/>
  <c r="B50" i="11"/>
  <c r="B51" i="11"/>
  <c r="B52" i="11"/>
  <c r="B53" i="11"/>
  <c r="B54" i="11"/>
  <c r="B55" i="11"/>
  <c r="B56" i="11"/>
  <c r="B57" i="11"/>
  <c r="B58" i="11"/>
  <c r="B59" i="11"/>
  <c r="B60" i="11"/>
  <c r="B61" i="11"/>
  <c r="B62" i="11"/>
  <c r="B63" i="11"/>
  <c r="B64" i="11"/>
  <c r="B65" i="11"/>
  <c r="B66" i="11"/>
  <c r="B67" i="11"/>
  <c r="B68" i="11"/>
  <c r="B69" i="11"/>
  <c r="B70" i="11"/>
  <c r="B71" i="11"/>
  <c r="B72" i="11"/>
  <c r="B73" i="11"/>
  <c r="B74" i="11"/>
  <c r="B75" i="11"/>
  <c r="B76" i="11"/>
  <c r="B77" i="11"/>
  <c r="B78" i="11"/>
  <c r="B79" i="11"/>
  <c r="B80" i="11"/>
  <c r="B81" i="11"/>
  <c r="B82" i="11"/>
  <c r="B83" i="11"/>
  <c r="B84" i="11"/>
  <c r="B85" i="11"/>
  <c r="B86" i="11"/>
  <c r="B87" i="11"/>
  <c r="B88" i="11"/>
  <c r="B89" i="11"/>
  <c r="B90" i="11"/>
  <c r="B91" i="11"/>
  <c r="B92" i="11"/>
  <c r="B93" i="11"/>
  <c r="B94" i="11"/>
  <c r="B95" i="11"/>
  <c r="B96" i="11"/>
  <c r="B97" i="11"/>
  <c r="B98" i="11"/>
  <c r="B99" i="11"/>
  <c r="B100" i="11"/>
  <c r="B101" i="11"/>
  <c r="B102" i="11"/>
  <c r="B103" i="11"/>
  <c r="B104" i="11"/>
  <c r="B105" i="11"/>
  <c r="B106" i="11"/>
  <c r="B107" i="11"/>
  <c r="B108" i="11"/>
  <c r="B109" i="11"/>
  <c r="B110" i="11"/>
  <c r="B111" i="11"/>
  <c r="B112" i="11"/>
  <c r="B113" i="11"/>
  <c r="B114" i="11"/>
  <c r="B115" i="11"/>
  <c r="B116" i="11"/>
  <c r="B117" i="11"/>
  <c r="B118" i="11"/>
  <c r="B119" i="11"/>
  <c r="B120" i="11"/>
  <c r="B121" i="11"/>
  <c r="B122" i="11"/>
  <c r="B123" i="11"/>
  <c r="B124" i="11"/>
  <c r="B125" i="11"/>
  <c r="B126" i="11"/>
  <c r="B127" i="11"/>
  <c r="B128" i="11"/>
  <c r="B129" i="11"/>
  <c r="B130" i="11"/>
  <c r="B131" i="11"/>
  <c r="B132" i="11"/>
  <c r="B133" i="11"/>
  <c r="B134" i="11"/>
  <c r="B135" i="11"/>
  <c r="B136" i="11"/>
  <c r="B137" i="11"/>
  <c r="B138" i="11"/>
  <c r="B139" i="11"/>
  <c r="B140" i="11"/>
  <c r="B141" i="11"/>
  <c r="B142" i="11"/>
  <c r="B143" i="11"/>
  <c r="B144" i="11"/>
  <c r="B145" i="11"/>
  <c r="B146" i="11"/>
  <c r="B147" i="11"/>
  <c r="B148" i="11"/>
  <c r="B149" i="11"/>
  <c r="B150" i="11"/>
  <c r="B151" i="11"/>
  <c r="B152" i="11"/>
  <c r="B153" i="11"/>
  <c r="B154" i="11"/>
  <c r="B155" i="11"/>
  <c r="B156" i="11"/>
  <c r="B157" i="11"/>
  <c r="B158" i="11"/>
  <c r="B159" i="11"/>
  <c r="B160" i="11"/>
  <c r="B161" i="11"/>
  <c r="B162" i="11"/>
  <c r="B163" i="11"/>
  <c r="B164" i="11"/>
  <c r="B165" i="11"/>
  <c r="B166" i="11"/>
  <c r="B167" i="11"/>
  <c r="B168" i="11"/>
  <c r="B169" i="11"/>
  <c r="B170" i="11"/>
  <c r="B171" i="11"/>
  <c r="B172" i="11"/>
  <c r="B173" i="11"/>
  <c r="B174" i="11"/>
  <c r="B175" i="11"/>
  <c r="B176" i="11"/>
  <c r="B177" i="11"/>
  <c r="B178" i="11"/>
  <c r="B179" i="11"/>
  <c r="B180" i="11"/>
  <c r="B181" i="11"/>
  <c r="B182" i="11"/>
  <c r="B183" i="11"/>
  <c r="B184" i="11"/>
  <c r="B185" i="11"/>
  <c r="B186" i="11"/>
  <c r="B187" i="11"/>
  <c r="B188" i="11"/>
  <c r="B189" i="11"/>
  <c r="B190" i="11"/>
  <c r="B191" i="11"/>
  <c r="B192" i="11"/>
  <c r="B193" i="11"/>
  <c r="B194" i="11"/>
  <c r="B195" i="11"/>
  <c r="B196" i="11"/>
  <c r="B197" i="11"/>
  <c r="B198" i="11"/>
  <c r="B199" i="11"/>
  <c r="B200" i="11"/>
  <c r="B201" i="11"/>
  <c r="B202" i="11"/>
  <c r="B203" i="11"/>
  <c r="B204" i="11"/>
  <c r="B205" i="11"/>
  <c r="B206" i="11"/>
  <c r="B207" i="11"/>
  <c r="B208" i="11"/>
  <c r="B209" i="11"/>
  <c r="B210" i="11"/>
  <c r="B211" i="11"/>
  <c r="B212" i="11"/>
  <c r="B213" i="11"/>
  <c r="B214" i="11"/>
  <c r="B215" i="11"/>
  <c r="B216" i="11"/>
  <c r="B217" i="11"/>
  <c r="B218" i="11"/>
  <c r="B219" i="11"/>
  <c r="B220" i="11"/>
  <c r="B221" i="11"/>
  <c r="B222" i="11"/>
  <c r="B223" i="11"/>
  <c r="B224" i="11"/>
  <c r="B225" i="11"/>
  <c r="B226" i="11"/>
  <c r="B227" i="11"/>
  <c r="B228" i="11"/>
  <c r="B229" i="11"/>
  <c r="B230" i="11"/>
  <c r="B231" i="11"/>
  <c r="B232" i="11"/>
  <c r="B233" i="11"/>
  <c r="B234" i="11"/>
  <c r="B235" i="11"/>
  <c r="B236" i="11"/>
  <c r="B237" i="11"/>
  <c r="B238" i="11"/>
  <c r="B239" i="11"/>
  <c r="B240" i="11"/>
  <c r="B241" i="11"/>
  <c r="B242" i="11"/>
  <c r="B243" i="11"/>
  <c r="B244" i="11"/>
  <c r="B245" i="11"/>
  <c r="B246" i="11"/>
  <c r="B247" i="11"/>
  <c r="B248" i="11"/>
  <c r="B249" i="11"/>
  <c r="B250" i="11"/>
  <c r="B251" i="11"/>
  <c r="B252" i="11"/>
  <c r="B253" i="11"/>
  <c r="B254" i="11"/>
  <c r="B255" i="11"/>
  <c r="B256" i="11"/>
  <c r="B257" i="11"/>
  <c r="B258" i="11"/>
  <c r="B259" i="11"/>
  <c r="B260" i="11"/>
  <c r="B261" i="11"/>
  <c r="B262" i="11"/>
  <c r="B263" i="11"/>
  <c r="B264" i="11"/>
  <c r="B265" i="11"/>
  <c r="B266" i="11"/>
  <c r="B267" i="11"/>
  <c r="B268" i="11"/>
  <c r="B269" i="11"/>
  <c r="B270" i="11"/>
  <c r="B271" i="11"/>
  <c r="B272" i="11"/>
  <c r="B273" i="11"/>
  <c r="B274" i="11"/>
  <c r="B275" i="11"/>
  <c r="B276" i="11"/>
  <c r="B277" i="11"/>
  <c r="B278" i="11"/>
  <c r="B279" i="11"/>
  <c r="B280" i="11"/>
  <c r="B281" i="11"/>
  <c r="B282" i="11"/>
  <c r="B283" i="11"/>
  <c r="B284" i="11"/>
  <c r="B285" i="11"/>
  <c r="B286" i="11"/>
  <c r="B287" i="11"/>
  <c r="B288" i="11"/>
  <c r="B289" i="11"/>
  <c r="B290" i="11"/>
  <c r="B291" i="11"/>
  <c r="B292" i="11"/>
  <c r="B293" i="11"/>
  <c r="B294" i="11"/>
  <c r="B295" i="11"/>
  <c r="B296" i="11"/>
  <c r="B297" i="11"/>
  <c r="B298" i="11"/>
  <c r="B299" i="11"/>
  <c r="B300" i="11"/>
  <c r="B301" i="11"/>
  <c r="B302" i="11"/>
  <c r="B303" i="11"/>
  <c r="B304" i="11"/>
  <c r="B305" i="11"/>
  <c r="B306" i="11"/>
  <c r="B307" i="11"/>
  <c r="B308" i="11"/>
  <c r="B309" i="11"/>
  <c r="B310" i="11"/>
  <c r="B311" i="11"/>
  <c r="B312" i="11"/>
  <c r="B313" i="11"/>
  <c r="B314" i="11"/>
  <c r="B315" i="11"/>
  <c r="B316" i="11"/>
  <c r="B317" i="11"/>
  <c r="B318" i="11"/>
  <c r="B319" i="11"/>
  <c r="B320" i="11"/>
  <c r="B321" i="11"/>
  <c r="B322" i="11"/>
  <c r="B323" i="11"/>
  <c r="B324" i="11"/>
  <c r="D336" i="11" s="1"/>
  <c r="J26" i="14" s="1"/>
  <c r="B325" i="11"/>
  <c r="D337" i="11" s="1"/>
  <c r="J27" i="14" s="1"/>
  <c r="B326" i="11"/>
  <c r="D338" i="11" s="1"/>
  <c r="J28" i="14" s="1"/>
  <c r="B327" i="11"/>
  <c r="D339" i="11" s="1"/>
  <c r="J29" i="14" s="1"/>
  <c r="B328" i="11"/>
  <c r="D340" i="11" s="1"/>
  <c r="J30" i="14" s="1"/>
  <c r="B329" i="11"/>
  <c r="D341" i="11" s="1"/>
  <c r="J31" i="14" s="1"/>
  <c r="B330" i="11"/>
  <c r="D342" i="11" s="1"/>
  <c r="J32" i="14" s="1"/>
  <c r="B331" i="11"/>
  <c r="D343" i="11" s="1"/>
  <c r="J33" i="14" s="1"/>
  <c r="B332" i="11"/>
  <c r="D344" i="11" s="1"/>
  <c r="J34" i="14" s="1"/>
  <c r="B333" i="11"/>
  <c r="D345" i="11" s="1"/>
  <c r="J35" i="14" s="1"/>
  <c r="B334" i="11"/>
  <c r="D346" i="11" s="1"/>
  <c r="J36" i="14" s="1"/>
  <c r="B335" i="11"/>
  <c r="B7" i="11"/>
  <c r="B8" i="7"/>
  <c r="B9" i="7"/>
  <c r="B10" i="7"/>
  <c r="B11" i="7"/>
  <c r="B12" i="7"/>
  <c r="B13" i="7"/>
  <c r="B14" i="7"/>
  <c r="B15" i="7"/>
  <c r="B16" i="7"/>
  <c r="B17" i="7"/>
  <c r="B18" i="7"/>
  <c r="B19" i="7"/>
  <c r="B20" i="7"/>
  <c r="B21" i="7"/>
  <c r="B22" i="7"/>
  <c r="B23" i="7"/>
  <c r="B24" i="7"/>
  <c r="B25" i="7"/>
  <c r="B26" i="7"/>
  <c r="B27" i="7"/>
  <c r="B28" i="7"/>
  <c r="B29" i="7"/>
  <c r="B30" i="7"/>
  <c r="B31" i="7"/>
  <c r="B32" i="7"/>
  <c r="B33" i="7"/>
  <c r="B34" i="7"/>
  <c r="B35" i="7"/>
  <c r="B36" i="7"/>
  <c r="B37" i="7"/>
  <c r="B38" i="7"/>
  <c r="B39" i="7"/>
  <c r="B40" i="7"/>
  <c r="B41" i="7"/>
  <c r="B42" i="7"/>
  <c r="B43" i="7"/>
  <c r="B44" i="7"/>
  <c r="B45" i="7"/>
  <c r="B46" i="7"/>
  <c r="B47" i="7"/>
  <c r="B48" i="7"/>
  <c r="B49" i="7"/>
  <c r="B50" i="7"/>
  <c r="B51" i="7"/>
  <c r="B52" i="7"/>
  <c r="B53" i="7"/>
  <c r="B54" i="7"/>
  <c r="B55" i="7"/>
  <c r="B56" i="7"/>
  <c r="B57" i="7"/>
  <c r="B58" i="7"/>
  <c r="B59" i="7"/>
  <c r="B60" i="7"/>
  <c r="B61" i="7"/>
  <c r="B62" i="7"/>
  <c r="B63" i="7"/>
  <c r="B64" i="7"/>
  <c r="B65" i="7"/>
  <c r="B66" i="7"/>
  <c r="B67" i="7"/>
  <c r="B68" i="7"/>
  <c r="B69" i="7"/>
  <c r="B70" i="7"/>
  <c r="B71" i="7"/>
  <c r="B72" i="7"/>
  <c r="B73" i="7"/>
  <c r="B74" i="7"/>
  <c r="B75" i="7"/>
  <c r="B76" i="7"/>
  <c r="B77" i="7"/>
  <c r="B78" i="7"/>
  <c r="B79" i="7"/>
  <c r="B80" i="7"/>
  <c r="B81" i="7"/>
  <c r="B82" i="7"/>
  <c r="B83" i="7"/>
  <c r="B84" i="7"/>
  <c r="B85" i="7"/>
  <c r="B86" i="7"/>
  <c r="B87" i="7"/>
  <c r="B88" i="7"/>
  <c r="B89" i="7"/>
  <c r="B90" i="7"/>
  <c r="B91" i="7"/>
  <c r="B92" i="7"/>
  <c r="B93" i="7"/>
  <c r="B94" i="7"/>
  <c r="B95" i="7"/>
  <c r="B96" i="7"/>
  <c r="B97" i="7"/>
  <c r="B98" i="7"/>
  <c r="B99" i="7"/>
  <c r="B100" i="7"/>
  <c r="B101" i="7"/>
  <c r="B102" i="7"/>
  <c r="B103" i="7"/>
  <c r="B104" i="7"/>
  <c r="B105" i="7"/>
  <c r="B106" i="7"/>
  <c r="B107" i="7"/>
  <c r="B108" i="7"/>
  <c r="B109" i="7"/>
  <c r="B110" i="7"/>
  <c r="B111" i="7"/>
  <c r="B112" i="7"/>
  <c r="B113" i="7"/>
  <c r="B114" i="7"/>
  <c r="B115" i="7"/>
  <c r="B116" i="7"/>
  <c r="B117" i="7"/>
  <c r="B118" i="7"/>
  <c r="B119" i="7"/>
  <c r="B120" i="7"/>
  <c r="B121" i="7"/>
  <c r="B122" i="7"/>
  <c r="B123" i="7"/>
  <c r="B124" i="7"/>
  <c r="B125" i="7"/>
  <c r="B126" i="7"/>
  <c r="B127" i="7"/>
  <c r="B128" i="7"/>
  <c r="B129" i="7"/>
  <c r="B130" i="7"/>
  <c r="B131" i="7"/>
  <c r="B132" i="7"/>
  <c r="B133" i="7"/>
  <c r="B134" i="7"/>
  <c r="B135" i="7"/>
  <c r="B136" i="7"/>
  <c r="B137" i="7"/>
  <c r="B138" i="7"/>
  <c r="B139" i="7"/>
  <c r="B140" i="7"/>
  <c r="B141" i="7"/>
  <c r="B142" i="7"/>
  <c r="B143" i="7"/>
  <c r="B144" i="7"/>
  <c r="B145" i="7"/>
  <c r="B146" i="7"/>
  <c r="B147" i="7"/>
  <c r="B148" i="7"/>
  <c r="B149" i="7"/>
  <c r="B150" i="7"/>
  <c r="B151" i="7"/>
  <c r="B152" i="7"/>
  <c r="B153" i="7"/>
  <c r="B154" i="7"/>
  <c r="B155" i="7"/>
  <c r="B156" i="7"/>
  <c r="B157" i="7"/>
  <c r="B158" i="7"/>
  <c r="B159" i="7"/>
  <c r="B160" i="7"/>
  <c r="B161" i="7"/>
  <c r="B162" i="7"/>
  <c r="B163" i="7"/>
  <c r="B164" i="7"/>
  <c r="B165" i="7"/>
  <c r="B166" i="7"/>
  <c r="B167" i="7"/>
  <c r="B168" i="7"/>
  <c r="B169" i="7"/>
  <c r="B170" i="7"/>
  <c r="B171" i="7"/>
  <c r="B172" i="7"/>
  <c r="B173" i="7"/>
  <c r="B174" i="7"/>
  <c r="B175" i="7"/>
  <c r="B176" i="7"/>
  <c r="B177" i="7"/>
  <c r="B178" i="7"/>
  <c r="B179" i="7"/>
  <c r="B180" i="7"/>
  <c r="B181" i="7"/>
  <c r="B182" i="7"/>
  <c r="B183" i="7"/>
  <c r="B184" i="7"/>
  <c r="B185" i="7"/>
  <c r="B186" i="7"/>
  <c r="B187" i="7"/>
  <c r="B188" i="7"/>
  <c r="B189" i="7"/>
  <c r="B190" i="7"/>
  <c r="B191" i="7"/>
  <c r="B192" i="7"/>
  <c r="B193" i="7"/>
  <c r="B194" i="7"/>
  <c r="B195" i="7"/>
  <c r="B196" i="7"/>
  <c r="B197" i="7"/>
  <c r="B198" i="7"/>
  <c r="B199" i="7"/>
  <c r="B200" i="7"/>
  <c r="B201" i="7"/>
  <c r="B202" i="7"/>
  <c r="B203" i="7"/>
  <c r="B204" i="7"/>
  <c r="B205" i="7"/>
  <c r="B206" i="7"/>
  <c r="B207" i="7"/>
  <c r="B208" i="7"/>
  <c r="B209" i="7"/>
  <c r="B210" i="7"/>
  <c r="B211" i="7"/>
  <c r="B212" i="7"/>
  <c r="B213" i="7"/>
  <c r="B214" i="7"/>
  <c r="B215" i="7"/>
  <c r="B216" i="7"/>
  <c r="B217" i="7"/>
  <c r="B218" i="7"/>
  <c r="B219" i="7"/>
  <c r="B220" i="7"/>
  <c r="B221" i="7"/>
  <c r="B222" i="7"/>
  <c r="B223" i="7"/>
  <c r="B224" i="7"/>
  <c r="B225" i="7"/>
  <c r="B226" i="7"/>
  <c r="B227" i="7"/>
  <c r="B228" i="7"/>
  <c r="B229" i="7"/>
  <c r="B230" i="7"/>
  <c r="B231" i="7"/>
  <c r="B232" i="7"/>
  <c r="B233" i="7"/>
  <c r="B234" i="7"/>
  <c r="B235" i="7"/>
  <c r="B236" i="7"/>
  <c r="B237" i="7"/>
  <c r="B238" i="7"/>
  <c r="B239" i="7"/>
  <c r="B240" i="7"/>
  <c r="B241" i="7"/>
  <c r="B242" i="7"/>
  <c r="B243" i="7"/>
  <c r="B244" i="7"/>
  <c r="B245" i="7"/>
  <c r="B246" i="7"/>
  <c r="B247" i="7"/>
  <c r="B248" i="7"/>
  <c r="B249" i="7"/>
  <c r="B250" i="7"/>
  <c r="B251" i="7"/>
  <c r="B252" i="7"/>
  <c r="B253" i="7"/>
  <c r="B254" i="7"/>
  <c r="B255" i="7"/>
  <c r="B256" i="7"/>
  <c r="B257" i="7"/>
  <c r="B258" i="7"/>
  <c r="B259" i="7"/>
  <c r="B260" i="7"/>
  <c r="B261" i="7"/>
  <c r="B262" i="7"/>
  <c r="B263" i="7"/>
  <c r="B264" i="7"/>
  <c r="B265" i="7"/>
  <c r="B266" i="7"/>
  <c r="B267" i="7"/>
  <c r="B268" i="7"/>
  <c r="B269" i="7"/>
  <c r="B270" i="7"/>
  <c r="B271" i="7"/>
  <c r="B272" i="7"/>
  <c r="B273" i="7"/>
  <c r="B274" i="7"/>
  <c r="B275" i="7"/>
  <c r="B276" i="7"/>
  <c r="B277" i="7"/>
  <c r="B278" i="7"/>
  <c r="B279" i="7"/>
  <c r="B280" i="7"/>
  <c r="B281" i="7"/>
  <c r="B282" i="7"/>
  <c r="B283" i="7"/>
  <c r="B284" i="7"/>
  <c r="B285" i="7"/>
  <c r="B286" i="7"/>
  <c r="B287" i="7"/>
  <c r="B288" i="7"/>
  <c r="B289" i="7"/>
  <c r="B290" i="7"/>
  <c r="B291" i="7"/>
  <c r="B292" i="7"/>
  <c r="B293" i="7"/>
  <c r="B294" i="7"/>
  <c r="B295" i="7"/>
  <c r="B296" i="7"/>
  <c r="B297" i="7"/>
  <c r="B298" i="7"/>
  <c r="B299" i="7"/>
  <c r="B300" i="7"/>
  <c r="B301" i="7"/>
  <c r="B302" i="7"/>
  <c r="B303" i="7"/>
  <c r="B304" i="7"/>
  <c r="B305" i="7"/>
  <c r="B306" i="7"/>
  <c r="B307" i="7"/>
  <c r="B308" i="7"/>
  <c r="B309" i="7"/>
  <c r="B310" i="7"/>
  <c r="B311" i="7"/>
  <c r="B312" i="7"/>
  <c r="B313" i="7"/>
  <c r="B314" i="7"/>
  <c r="B315" i="7"/>
  <c r="B316" i="7"/>
  <c r="B317" i="7"/>
  <c r="B318" i="7"/>
  <c r="B319" i="7"/>
  <c r="B320" i="7"/>
  <c r="B321" i="7"/>
  <c r="B322" i="7"/>
  <c r="B323" i="7"/>
  <c r="B324" i="7"/>
  <c r="D336" i="7" s="1"/>
  <c r="AF26" i="14" s="1"/>
  <c r="B325" i="7"/>
  <c r="D337" i="7" s="1"/>
  <c r="AF27" i="14" s="1"/>
  <c r="B326" i="7"/>
  <c r="D338" i="7" s="1"/>
  <c r="AF28" i="14" s="1"/>
  <c r="B327" i="7"/>
  <c r="D339" i="7" s="1"/>
  <c r="AF29" i="14" s="1"/>
  <c r="B328" i="7"/>
  <c r="D340" i="7" s="1"/>
  <c r="AF30" i="14" s="1"/>
  <c r="B329" i="7"/>
  <c r="D341" i="7" s="1"/>
  <c r="AF31" i="14" s="1"/>
  <c r="B330" i="7"/>
  <c r="D342" i="7" s="1"/>
  <c r="AF32" i="14" s="1"/>
  <c r="B331" i="7"/>
  <c r="D343" i="7" s="1"/>
  <c r="AF33" i="14" s="1"/>
  <c r="B332" i="7"/>
  <c r="D344" i="7" s="1"/>
  <c r="AF34" i="14" s="1"/>
  <c r="B333" i="7"/>
  <c r="D345" i="7" s="1"/>
  <c r="AF35" i="14" s="1"/>
  <c r="B334" i="7"/>
  <c r="D346" i="7" s="1"/>
  <c r="AF36" i="14" s="1"/>
  <c r="B335" i="7"/>
  <c r="B7" i="7"/>
  <c r="B8" i="6"/>
  <c r="B9" i="6"/>
  <c r="B10" i="6"/>
  <c r="B11" i="6"/>
  <c r="B12" i="6"/>
  <c r="B13" i="6"/>
  <c r="B14" i="6"/>
  <c r="B15" i="6"/>
  <c r="B16" i="6"/>
  <c r="B17" i="6"/>
  <c r="B18" i="6"/>
  <c r="B19" i="6"/>
  <c r="B20" i="6"/>
  <c r="B21" i="6"/>
  <c r="B22" i="6"/>
  <c r="B23" i="6"/>
  <c r="B24" i="6"/>
  <c r="B25" i="6"/>
  <c r="B26" i="6"/>
  <c r="B27" i="6"/>
  <c r="B28" i="6"/>
  <c r="B29" i="6"/>
  <c r="B30" i="6"/>
  <c r="B31" i="6"/>
  <c r="B32" i="6"/>
  <c r="B33" i="6"/>
  <c r="B34" i="6"/>
  <c r="B35" i="6"/>
  <c r="B36" i="6"/>
  <c r="B37" i="6"/>
  <c r="B38" i="6"/>
  <c r="B39" i="6"/>
  <c r="B40" i="6"/>
  <c r="B41" i="6"/>
  <c r="B42" i="6"/>
  <c r="B43" i="6"/>
  <c r="B44" i="6"/>
  <c r="B45" i="6"/>
  <c r="B46" i="6"/>
  <c r="B47" i="6"/>
  <c r="B48" i="6"/>
  <c r="B49" i="6"/>
  <c r="B50" i="6"/>
  <c r="B51" i="6"/>
  <c r="B52" i="6"/>
  <c r="B53" i="6"/>
  <c r="B54" i="6"/>
  <c r="B55" i="6"/>
  <c r="B56" i="6"/>
  <c r="B57" i="6"/>
  <c r="B58" i="6"/>
  <c r="B59" i="6"/>
  <c r="B60" i="6"/>
  <c r="B61" i="6"/>
  <c r="B62" i="6"/>
  <c r="B63" i="6"/>
  <c r="B64" i="6"/>
  <c r="B65" i="6"/>
  <c r="B66" i="6"/>
  <c r="B67" i="6"/>
  <c r="B68" i="6"/>
  <c r="B69" i="6"/>
  <c r="B70" i="6"/>
  <c r="B71" i="6"/>
  <c r="B72" i="6"/>
  <c r="B73" i="6"/>
  <c r="B74" i="6"/>
  <c r="B75" i="6"/>
  <c r="B76" i="6"/>
  <c r="B77" i="6"/>
  <c r="B78" i="6"/>
  <c r="B79" i="6"/>
  <c r="B80" i="6"/>
  <c r="B81" i="6"/>
  <c r="B82" i="6"/>
  <c r="B83" i="6"/>
  <c r="B84" i="6"/>
  <c r="B85" i="6"/>
  <c r="B86" i="6"/>
  <c r="B87" i="6"/>
  <c r="B88" i="6"/>
  <c r="B89" i="6"/>
  <c r="B90" i="6"/>
  <c r="B91" i="6"/>
  <c r="B92" i="6"/>
  <c r="B93" i="6"/>
  <c r="B94" i="6"/>
  <c r="B95" i="6"/>
  <c r="B96" i="6"/>
  <c r="B97" i="6"/>
  <c r="B98" i="6"/>
  <c r="B99" i="6"/>
  <c r="B100" i="6"/>
  <c r="B101" i="6"/>
  <c r="B102" i="6"/>
  <c r="B103" i="6"/>
  <c r="B104" i="6"/>
  <c r="B105" i="6"/>
  <c r="B106" i="6"/>
  <c r="B107" i="6"/>
  <c r="B108" i="6"/>
  <c r="B109" i="6"/>
  <c r="B110" i="6"/>
  <c r="B111" i="6"/>
  <c r="B112" i="6"/>
  <c r="B113" i="6"/>
  <c r="B114" i="6"/>
  <c r="B115" i="6"/>
  <c r="B116" i="6"/>
  <c r="B117" i="6"/>
  <c r="B118" i="6"/>
  <c r="B119" i="6"/>
  <c r="B120" i="6"/>
  <c r="B121" i="6"/>
  <c r="B122" i="6"/>
  <c r="B123" i="6"/>
  <c r="B124" i="6"/>
  <c r="B125" i="6"/>
  <c r="B126" i="6"/>
  <c r="B127" i="6"/>
  <c r="B128" i="6"/>
  <c r="B129" i="6"/>
  <c r="B130" i="6"/>
  <c r="B131" i="6"/>
  <c r="B132" i="6"/>
  <c r="B133" i="6"/>
  <c r="B134" i="6"/>
  <c r="B135" i="6"/>
  <c r="B136" i="6"/>
  <c r="B137" i="6"/>
  <c r="B138" i="6"/>
  <c r="B139" i="6"/>
  <c r="B140" i="6"/>
  <c r="B141" i="6"/>
  <c r="B142" i="6"/>
  <c r="B143" i="6"/>
  <c r="B144" i="6"/>
  <c r="B145" i="6"/>
  <c r="B146" i="6"/>
  <c r="B147" i="6"/>
  <c r="B148" i="6"/>
  <c r="B149" i="6"/>
  <c r="B150" i="6"/>
  <c r="B151" i="6"/>
  <c r="B152" i="6"/>
  <c r="B153" i="6"/>
  <c r="B154" i="6"/>
  <c r="B155" i="6"/>
  <c r="B156" i="6"/>
  <c r="B157" i="6"/>
  <c r="B158" i="6"/>
  <c r="B159" i="6"/>
  <c r="B160" i="6"/>
  <c r="B161" i="6"/>
  <c r="B162" i="6"/>
  <c r="B163" i="6"/>
  <c r="B164" i="6"/>
  <c r="B165" i="6"/>
  <c r="B166" i="6"/>
  <c r="B167" i="6"/>
  <c r="B168" i="6"/>
  <c r="B169" i="6"/>
  <c r="B170" i="6"/>
  <c r="B171" i="6"/>
  <c r="B172" i="6"/>
  <c r="B173" i="6"/>
  <c r="B174" i="6"/>
  <c r="B175" i="6"/>
  <c r="B176" i="6"/>
  <c r="B177" i="6"/>
  <c r="B178" i="6"/>
  <c r="B179" i="6"/>
  <c r="B180" i="6"/>
  <c r="B181" i="6"/>
  <c r="B182" i="6"/>
  <c r="B183" i="6"/>
  <c r="B184" i="6"/>
  <c r="B185" i="6"/>
  <c r="B186" i="6"/>
  <c r="B187" i="6"/>
  <c r="B188" i="6"/>
  <c r="B189" i="6"/>
  <c r="B190" i="6"/>
  <c r="B191" i="6"/>
  <c r="B192" i="6"/>
  <c r="B193" i="6"/>
  <c r="B194" i="6"/>
  <c r="B195" i="6"/>
  <c r="B196" i="6"/>
  <c r="B197" i="6"/>
  <c r="B198" i="6"/>
  <c r="B199" i="6"/>
  <c r="B200" i="6"/>
  <c r="B201" i="6"/>
  <c r="B202" i="6"/>
  <c r="B203" i="6"/>
  <c r="B204" i="6"/>
  <c r="B205" i="6"/>
  <c r="B206" i="6"/>
  <c r="B207" i="6"/>
  <c r="B208" i="6"/>
  <c r="B209" i="6"/>
  <c r="B210" i="6"/>
  <c r="B211" i="6"/>
  <c r="B212" i="6"/>
  <c r="B213" i="6"/>
  <c r="B214" i="6"/>
  <c r="B215" i="6"/>
  <c r="B216" i="6"/>
  <c r="B217" i="6"/>
  <c r="B218" i="6"/>
  <c r="B219" i="6"/>
  <c r="B220" i="6"/>
  <c r="B221" i="6"/>
  <c r="B222" i="6"/>
  <c r="B223" i="6"/>
  <c r="B224" i="6"/>
  <c r="B225" i="6"/>
  <c r="B226" i="6"/>
  <c r="B227" i="6"/>
  <c r="B228" i="6"/>
  <c r="B229" i="6"/>
  <c r="B230" i="6"/>
  <c r="B231" i="6"/>
  <c r="B232" i="6"/>
  <c r="B233" i="6"/>
  <c r="B234" i="6"/>
  <c r="B235" i="6"/>
  <c r="B236" i="6"/>
  <c r="B237" i="6"/>
  <c r="B238" i="6"/>
  <c r="B239" i="6"/>
  <c r="B240" i="6"/>
  <c r="B241" i="6"/>
  <c r="B242" i="6"/>
  <c r="B243" i="6"/>
  <c r="B244" i="6"/>
  <c r="B245" i="6"/>
  <c r="B246" i="6"/>
  <c r="B247" i="6"/>
  <c r="B248" i="6"/>
  <c r="B249" i="6"/>
  <c r="B250" i="6"/>
  <c r="B251" i="6"/>
  <c r="B252" i="6"/>
  <c r="B253" i="6"/>
  <c r="B254" i="6"/>
  <c r="B255" i="6"/>
  <c r="B256" i="6"/>
  <c r="B257" i="6"/>
  <c r="B258" i="6"/>
  <c r="B259" i="6"/>
  <c r="B260" i="6"/>
  <c r="B261" i="6"/>
  <c r="B262" i="6"/>
  <c r="B263" i="6"/>
  <c r="B264" i="6"/>
  <c r="B265" i="6"/>
  <c r="B266" i="6"/>
  <c r="B267" i="6"/>
  <c r="B268" i="6"/>
  <c r="B269" i="6"/>
  <c r="B270" i="6"/>
  <c r="B271" i="6"/>
  <c r="B272" i="6"/>
  <c r="B273" i="6"/>
  <c r="B274" i="6"/>
  <c r="B275" i="6"/>
  <c r="B276" i="6"/>
  <c r="B277" i="6"/>
  <c r="B278" i="6"/>
  <c r="B279" i="6"/>
  <c r="B280" i="6"/>
  <c r="B281" i="6"/>
  <c r="B282" i="6"/>
  <c r="B283" i="6"/>
  <c r="B284" i="6"/>
  <c r="B285" i="6"/>
  <c r="B286" i="6"/>
  <c r="B287" i="6"/>
  <c r="B288" i="6"/>
  <c r="B289" i="6"/>
  <c r="B290" i="6"/>
  <c r="B291" i="6"/>
  <c r="B292" i="6"/>
  <c r="B293" i="6"/>
  <c r="B294" i="6"/>
  <c r="B295" i="6"/>
  <c r="B296" i="6"/>
  <c r="B297" i="6"/>
  <c r="B298" i="6"/>
  <c r="B299" i="6"/>
  <c r="B300" i="6"/>
  <c r="B301" i="6"/>
  <c r="B302" i="6"/>
  <c r="B303" i="6"/>
  <c r="B304" i="6"/>
  <c r="B305" i="6"/>
  <c r="B306" i="6"/>
  <c r="B307" i="6"/>
  <c r="B308" i="6"/>
  <c r="B309" i="6"/>
  <c r="B310" i="6"/>
  <c r="B311" i="6"/>
  <c r="B312" i="6"/>
  <c r="B313" i="6"/>
  <c r="B314" i="6"/>
  <c r="B315" i="6"/>
  <c r="B316" i="6"/>
  <c r="B317" i="6"/>
  <c r="B318" i="6"/>
  <c r="B319" i="6"/>
  <c r="B320" i="6"/>
  <c r="B321" i="6"/>
  <c r="B322" i="6"/>
  <c r="B323" i="6"/>
  <c r="B324" i="6"/>
  <c r="D336" i="6" s="1"/>
  <c r="X26" i="14" s="1"/>
  <c r="B325" i="6"/>
  <c r="D337" i="6" s="1"/>
  <c r="X27" i="14" s="1"/>
  <c r="B326" i="6"/>
  <c r="D338" i="6" s="1"/>
  <c r="X28" i="14" s="1"/>
  <c r="B327" i="6"/>
  <c r="D339" i="6" s="1"/>
  <c r="X29" i="14" s="1"/>
  <c r="B328" i="6"/>
  <c r="D340" i="6" s="1"/>
  <c r="X30" i="14" s="1"/>
  <c r="B329" i="6"/>
  <c r="D341" i="6" s="1"/>
  <c r="X31" i="14" s="1"/>
  <c r="B330" i="6"/>
  <c r="D342" i="6" s="1"/>
  <c r="X32" i="14" s="1"/>
  <c r="B331" i="6"/>
  <c r="D343" i="6" s="1"/>
  <c r="X33" i="14" s="1"/>
  <c r="B332" i="6"/>
  <c r="D344" i="6" s="1"/>
  <c r="X34" i="14" s="1"/>
  <c r="B333" i="6"/>
  <c r="D345" i="6" s="1"/>
  <c r="X35" i="14" s="1"/>
  <c r="B334" i="6"/>
  <c r="D346" i="6" s="1"/>
  <c r="X36" i="14" s="1"/>
  <c r="B335" i="6"/>
  <c r="B7" i="6"/>
  <c r="B8" i="5"/>
  <c r="B9" i="5"/>
  <c r="B10" i="5"/>
  <c r="B11" i="5"/>
  <c r="B12" i="5"/>
  <c r="B13" i="5"/>
  <c r="B14" i="5"/>
  <c r="B15" i="5"/>
  <c r="B16" i="5"/>
  <c r="B17" i="5"/>
  <c r="B18" i="5"/>
  <c r="B19" i="5"/>
  <c r="B20" i="5"/>
  <c r="B21" i="5"/>
  <c r="B22" i="5"/>
  <c r="B23" i="5"/>
  <c r="B24" i="5"/>
  <c r="B25" i="5"/>
  <c r="B26" i="5"/>
  <c r="B27" i="5"/>
  <c r="B28" i="5"/>
  <c r="B29" i="5"/>
  <c r="B30" i="5"/>
  <c r="B31" i="5"/>
  <c r="B32" i="5"/>
  <c r="B33" i="5"/>
  <c r="B34" i="5"/>
  <c r="B35" i="5"/>
  <c r="B36" i="5"/>
  <c r="B37" i="5"/>
  <c r="B38" i="5"/>
  <c r="B39" i="5"/>
  <c r="B40" i="5"/>
  <c r="B41" i="5"/>
  <c r="B42" i="5"/>
  <c r="B43" i="5"/>
  <c r="B44" i="5"/>
  <c r="B45" i="5"/>
  <c r="B46" i="5"/>
  <c r="B47" i="5"/>
  <c r="B48" i="5"/>
  <c r="B49" i="5"/>
  <c r="B50" i="5"/>
  <c r="B51" i="5"/>
  <c r="B52" i="5"/>
  <c r="B53" i="5"/>
  <c r="B54" i="5"/>
  <c r="B55" i="5"/>
  <c r="B56" i="5"/>
  <c r="B57" i="5"/>
  <c r="B58" i="5"/>
  <c r="B59" i="5"/>
  <c r="B60" i="5"/>
  <c r="B61" i="5"/>
  <c r="B62" i="5"/>
  <c r="B63" i="5"/>
  <c r="B64" i="5"/>
  <c r="B65" i="5"/>
  <c r="B66" i="5"/>
  <c r="B67" i="5"/>
  <c r="B68" i="5"/>
  <c r="B69" i="5"/>
  <c r="B70" i="5"/>
  <c r="B71" i="5"/>
  <c r="B72" i="5"/>
  <c r="B73" i="5"/>
  <c r="B74" i="5"/>
  <c r="B75" i="5"/>
  <c r="B76" i="5"/>
  <c r="B77" i="5"/>
  <c r="B78" i="5"/>
  <c r="B79" i="5"/>
  <c r="B80" i="5"/>
  <c r="B81" i="5"/>
  <c r="B82" i="5"/>
  <c r="B83" i="5"/>
  <c r="B84" i="5"/>
  <c r="B85" i="5"/>
  <c r="B86" i="5"/>
  <c r="B87" i="5"/>
  <c r="B88" i="5"/>
  <c r="B89" i="5"/>
  <c r="B90" i="5"/>
  <c r="B91" i="5"/>
  <c r="B92" i="5"/>
  <c r="B93" i="5"/>
  <c r="B94" i="5"/>
  <c r="B95" i="5"/>
  <c r="B96" i="5"/>
  <c r="B97" i="5"/>
  <c r="B98" i="5"/>
  <c r="B99" i="5"/>
  <c r="B100" i="5"/>
  <c r="B101" i="5"/>
  <c r="B102" i="5"/>
  <c r="B103" i="5"/>
  <c r="B104" i="5"/>
  <c r="B105" i="5"/>
  <c r="B106" i="5"/>
  <c r="B107" i="5"/>
  <c r="B108" i="5"/>
  <c r="B109" i="5"/>
  <c r="B110" i="5"/>
  <c r="B111" i="5"/>
  <c r="B112" i="5"/>
  <c r="B113" i="5"/>
  <c r="B114" i="5"/>
  <c r="B115" i="5"/>
  <c r="B116" i="5"/>
  <c r="B117" i="5"/>
  <c r="B118" i="5"/>
  <c r="B119" i="5"/>
  <c r="B120" i="5"/>
  <c r="B121" i="5"/>
  <c r="B122" i="5"/>
  <c r="B123" i="5"/>
  <c r="B124" i="5"/>
  <c r="B125" i="5"/>
  <c r="B126" i="5"/>
  <c r="B127" i="5"/>
  <c r="B128" i="5"/>
  <c r="B129" i="5"/>
  <c r="B130" i="5"/>
  <c r="B131" i="5"/>
  <c r="B132" i="5"/>
  <c r="B133" i="5"/>
  <c r="B134" i="5"/>
  <c r="B135" i="5"/>
  <c r="B136" i="5"/>
  <c r="B137" i="5"/>
  <c r="B138" i="5"/>
  <c r="B139" i="5"/>
  <c r="B140" i="5"/>
  <c r="B141" i="5"/>
  <c r="B142" i="5"/>
  <c r="B143" i="5"/>
  <c r="B144" i="5"/>
  <c r="B145" i="5"/>
  <c r="B146" i="5"/>
  <c r="B147" i="5"/>
  <c r="B148" i="5"/>
  <c r="B149" i="5"/>
  <c r="B150" i="5"/>
  <c r="B151" i="5"/>
  <c r="B152" i="5"/>
  <c r="B153" i="5"/>
  <c r="B154" i="5"/>
  <c r="B155" i="5"/>
  <c r="B156" i="5"/>
  <c r="B157" i="5"/>
  <c r="B158" i="5"/>
  <c r="B159" i="5"/>
  <c r="B160" i="5"/>
  <c r="B161" i="5"/>
  <c r="B162" i="5"/>
  <c r="B163" i="5"/>
  <c r="B164" i="5"/>
  <c r="B165" i="5"/>
  <c r="B166" i="5"/>
  <c r="B167" i="5"/>
  <c r="B168" i="5"/>
  <c r="B169" i="5"/>
  <c r="B170" i="5"/>
  <c r="B171" i="5"/>
  <c r="B172" i="5"/>
  <c r="B173" i="5"/>
  <c r="B174" i="5"/>
  <c r="B175" i="5"/>
  <c r="B176" i="5"/>
  <c r="B177" i="5"/>
  <c r="B178" i="5"/>
  <c r="B179" i="5"/>
  <c r="B180" i="5"/>
  <c r="B181" i="5"/>
  <c r="B182" i="5"/>
  <c r="B183" i="5"/>
  <c r="B184" i="5"/>
  <c r="B185" i="5"/>
  <c r="B186" i="5"/>
  <c r="B187" i="5"/>
  <c r="B188" i="5"/>
  <c r="B189" i="5"/>
  <c r="B190" i="5"/>
  <c r="B191" i="5"/>
  <c r="B192" i="5"/>
  <c r="B193" i="5"/>
  <c r="B194" i="5"/>
  <c r="B195" i="5"/>
  <c r="B196" i="5"/>
  <c r="B197" i="5"/>
  <c r="B198" i="5"/>
  <c r="B199" i="5"/>
  <c r="B200" i="5"/>
  <c r="B201" i="5"/>
  <c r="B202" i="5"/>
  <c r="B203" i="5"/>
  <c r="B204" i="5"/>
  <c r="B205" i="5"/>
  <c r="B206" i="5"/>
  <c r="B207" i="5"/>
  <c r="B208" i="5"/>
  <c r="B209" i="5"/>
  <c r="B210" i="5"/>
  <c r="B211" i="5"/>
  <c r="B212" i="5"/>
  <c r="B213" i="5"/>
  <c r="B214" i="5"/>
  <c r="B215" i="5"/>
  <c r="B216" i="5"/>
  <c r="B217" i="5"/>
  <c r="B218" i="5"/>
  <c r="B219" i="5"/>
  <c r="B220" i="5"/>
  <c r="B221" i="5"/>
  <c r="B222" i="5"/>
  <c r="B223" i="5"/>
  <c r="B224" i="5"/>
  <c r="B225" i="5"/>
  <c r="B226" i="5"/>
  <c r="B227" i="5"/>
  <c r="B228" i="5"/>
  <c r="B229" i="5"/>
  <c r="B230" i="5"/>
  <c r="B231" i="5"/>
  <c r="B232" i="5"/>
  <c r="B233" i="5"/>
  <c r="B234" i="5"/>
  <c r="B235" i="5"/>
  <c r="B236" i="5"/>
  <c r="B237" i="5"/>
  <c r="B238" i="5"/>
  <c r="B239" i="5"/>
  <c r="B240" i="5"/>
  <c r="B241" i="5"/>
  <c r="B242" i="5"/>
  <c r="B243" i="5"/>
  <c r="B244" i="5"/>
  <c r="B245" i="5"/>
  <c r="B246" i="5"/>
  <c r="B247" i="5"/>
  <c r="B248" i="5"/>
  <c r="B249" i="5"/>
  <c r="B250" i="5"/>
  <c r="B251" i="5"/>
  <c r="B252" i="5"/>
  <c r="B253" i="5"/>
  <c r="B254" i="5"/>
  <c r="B255" i="5"/>
  <c r="B256" i="5"/>
  <c r="B257" i="5"/>
  <c r="B258" i="5"/>
  <c r="B259" i="5"/>
  <c r="B260" i="5"/>
  <c r="B261" i="5"/>
  <c r="B262" i="5"/>
  <c r="B263" i="5"/>
  <c r="B264" i="5"/>
  <c r="B265" i="5"/>
  <c r="B266" i="5"/>
  <c r="B267" i="5"/>
  <c r="B268" i="5"/>
  <c r="B269" i="5"/>
  <c r="B270" i="5"/>
  <c r="B271" i="5"/>
  <c r="B272" i="5"/>
  <c r="B273" i="5"/>
  <c r="B274" i="5"/>
  <c r="B275" i="5"/>
  <c r="B276" i="5"/>
  <c r="B277" i="5"/>
  <c r="B278" i="5"/>
  <c r="B279" i="5"/>
  <c r="B280" i="5"/>
  <c r="B281" i="5"/>
  <c r="B282" i="5"/>
  <c r="B283" i="5"/>
  <c r="B284" i="5"/>
  <c r="B285" i="5"/>
  <c r="B286" i="5"/>
  <c r="B287" i="5"/>
  <c r="B288" i="5"/>
  <c r="B289" i="5"/>
  <c r="B290" i="5"/>
  <c r="B291" i="5"/>
  <c r="B292" i="5"/>
  <c r="B293" i="5"/>
  <c r="B294" i="5"/>
  <c r="B295" i="5"/>
  <c r="B296" i="5"/>
  <c r="B297" i="5"/>
  <c r="B298" i="5"/>
  <c r="B299" i="5"/>
  <c r="B300" i="5"/>
  <c r="B301" i="5"/>
  <c r="B302" i="5"/>
  <c r="B303" i="5"/>
  <c r="B304" i="5"/>
  <c r="B305" i="5"/>
  <c r="B306" i="5"/>
  <c r="B307" i="5"/>
  <c r="B308" i="5"/>
  <c r="B309" i="5"/>
  <c r="B310" i="5"/>
  <c r="B311" i="5"/>
  <c r="B312" i="5"/>
  <c r="B313" i="5"/>
  <c r="B314" i="5"/>
  <c r="B315" i="5"/>
  <c r="B316" i="5"/>
  <c r="B317" i="5"/>
  <c r="B318" i="5"/>
  <c r="B319" i="5"/>
  <c r="B320" i="5"/>
  <c r="B321" i="5"/>
  <c r="B322" i="5"/>
  <c r="B323" i="5"/>
  <c r="B324" i="5"/>
  <c r="D336" i="5" s="1"/>
  <c r="L26" i="14" s="1"/>
  <c r="B325" i="5"/>
  <c r="D337" i="5" s="1"/>
  <c r="L27" i="14" s="1"/>
  <c r="B326" i="5"/>
  <c r="D338" i="5" s="1"/>
  <c r="L28" i="14" s="1"/>
  <c r="B327" i="5"/>
  <c r="D339" i="5" s="1"/>
  <c r="L29" i="14" s="1"/>
  <c r="B328" i="5"/>
  <c r="D340" i="5" s="1"/>
  <c r="L30" i="14" s="1"/>
  <c r="B329" i="5"/>
  <c r="D341" i="5" s="1"/>
  <c r="L31" i="14" s="1"/>
  <c r="B330" i="5"/>
  <c r="D342" i="5" s="1"/>
  <c r="L32" i="14" s="1"/>
  <c r="B331" i="5"/>
  <c r="D343" i="5" s="1"/>
  <c r="L33" i="14" s="1"/>
  <c r="B332" i="5"/>
  <c r="D344" i="5" s="1"/>
  <c r="L34" i="14" s="1"/>
  <c r="B333" i="5"/>
  <c r="D345" i="5" s="1"/>
  <c r="L35" i="14" s="1"/>
  <c r="B334" i="5"/>
  <c r="D346" i="5" s="1"/>
  <c r="L36" i="14" s="1"/>
  <c r="B335" i="5"/>
  <c r="B7" i="5"/>
  <c r="B335" i="10"/>
  <c r="B335" i="9"/>
  <c r="B335" i="4"/>
  <c r="B335" i="17"/>
  <c r="B335" i="16"/>
  <c r="B335" i="3"/>
  <c r="D58" i="18" l="1"/>
  <c r="D67" i="18"/>
  <c r="D300" i="18"/>
  <c r="C93" i="18"/>
  <c r="D189" i="19"/>
  <c r="D241" i="18"/>
  <c r="D145" i="18"/>
  <c r="D280" i="20"/>
  <c r="C336" i="6"/>
  <c r="W26" i="14" s="1"/>
  <c r="D347" i="6"/>
  <c r="X37" i="14" s="1"/>
  <c r="C336" i="4"/>
  <c r="M26" i="14" s="1"/>
  <c r="D347" i="4"/>
  <c r="N37" i="14" s="1"/>
  <c r="C336" i="9"/>
  <c r="O26" i="14" s="1"/>
  <c r="D347" i="9"/>
  <c r="P37" i="14" s="1"/>
  <c r="C336" i="7"/>
  <c r="AE26" i="14" s="1"/>
  <c r="D347" i="7"/>
  <c r="AF37" i="14" s="1"/>
  <c r="C336" i="5"/>
  <c r="K26" i="14" s="1"/>
  <c r="D347" i="5"/>
  <c r="L37" i="14" s="1"/>
  <c r="C336" i="10"/>
  <c r="S26" i="14" s="1"/>
  <c r="D347" i="10"/>
  <c r="T37" i="14" s="1"/>
  <c r="C336" i="11"/>
  <c r="I26" i="14" s="1"/>
  <c r="D347" i="11"/>
  <c r="J37" i="14" s="1"/>
  <c r="C336" i="20"/>
  <c r="Y26" i="14" s="1"/>
  <c r="D347" i="20"/>
  <c r="Z37" i="14" s="1"/>
  <c r="C336" i="16"/>
  <c r="E26" i="14" s="1"/>
  <c r="D347" i="16"/>
  <c r="F37" i="14" s="1"/>
  <c r="C336" i="3"/>
  <c r="C26" i="14" s="1"/>
  <c r="D347" i="3"/>
  <c r="D37" i="14" s="1"/>
  <c r="C336" i="17"/>
  <c r="G26" i="14" s="1"/>
  <c r="D347" i="17"/>
  <c r="H37" i="14" s="1"/>
  <c r="D61" i="18"/>
  <c r="D157" i="18"/>
  <c r="C121" i="18"/>
  <c r="C85" i="18"/>
  <c r="C153" i="19"/>
  <c r="C52" i="19"/>
  <c r="D303" i="20"/>
  <c r="D255" i="20"/>
  <c r="D217" i="18"/>
  <c r="C79" i="19"/>
  <c r="G20" i="13"/>
  <c r="Q29" i="25" s="1"/>
  <c r="AD27" i="14"/>
  <c r="C85" i="19"/>
  <c r="Z27" i="14"/>
  <c r="G18" i="13"/>
  <c r="Q27" i="25" s="1"/>
  <c r="G19" i="13"/>
  <c r="Q28" i="25" s="1"/>
  <c r="AB27" i="14"/>
  <c r="E19" i="13"/>
  <c r="C336" i="18"/>
  <c r="AA26" i="14" s="1"/>
  <c r="C139" i="18"/>
  <c r="E20" i="13"/>
  <c r="C336" i="19"/>
  <c r="AC26" i="14" s="1"/>
  <c r="D303" i="19"/>
  <c r="D157" i="19"/>
  <c r="E18" i="13"/>
  <c r="C149" i="20"/>
  <c r="C259" i="20"/>
  <c r="C234" i="18"/>
  <c r="C225" i="18"/>
  <c r="C201" i="18"/>
  <c r="C177" i="18"/>
  <c r="C83" i="18"/>
  <c r="C267" i="19"/>
  <c r="C231" i="19"/>
  <c r="C120" i="20"/>
  <c r="C268" i="18"/>
  <c r="C134" i="19"/>
  <c r="C122" i="19"/>
  <c r="D169" i="19"/>
  <c r="C225" i="20"/>
  <c r="C94" i="18"/>
  <c r="C237" i="18"/>
  <c r="C154" i="18"/>
  <c r="C106" i="18"/>
  <c r="C326" i="19"/>
  <c r="AC16" i="14" s="1"/>
  <c r="C114" i="18"/>
  <c r="D85" i="19"/>
  <c r="C47" i="18"/>
  <c r="C161" i="19"/>
  <c r="C137" i="19"/>
  <c r="C48" i="20"/>
  <c r="D170" i="20"/>
  <c r="D242" i="20"/>
  <c r="C169" i="18"/>
  <c r="C133" i="18"/>
  <c r="C192" i="19"/>
  <c r="C36" i="19"/>
  <c r="C208" i="20"/>
  <c r="C267" i="20"/>
  <c r="C128" i="20"/>
  <c r="C150" i="19"/>
  <c r="C66" i="19"/>
  <c r="C30" i="19"/>
  <c r="C9" i="20"/>
  <c r="D164" i="20"/>
  <c r="D27" i="20"/>
  <c r="D182" i="20"/>
  <c r="C181" i="18"/>
  <c r="C241" i="18"/>
  <c r="D113" i="20"/>
  <c r="D231" i="20"/>
  <c r="C193" i="18"/>
  <c r="C18" i="20"/>
  <c r="C54" i="20"/>
  <c r="C173" i="20"/>
  <c r="D209" i="20"/>
  <c r="C116" i="19"/>
  <c r="C209" i="20"/>
  <c r="D244" i="20"/>
  <c r="C303" i="20"/>
  <c r="C187" i="20"/>
  <c r="D229" i="18"/>
  <c r="D64" i="20"/>
  <c r="C205" i="18"/>
  <c r="D129" i="20"/>
  <c r="C329" i="20"/>
  <c r="Y19" i="14" s="1"/>
  <c r="D58" i="20"/>
  <c r="D82" i="20"/>
  <c r="C94" i="20"/>
  <c r="C316" i="19"/>
  <c r="AC6" i="14" s="1"/>
  <c r="D190" i="20"/>
  <c r="C109" i="18"/>
  <c r="C217" i="18"/>
  <c r="C77" i="18"/>
  <c r="D25" i="20"/>
  <c r="D85" i="20"/>
  <c r="C157" i="20"/>
  <c r="D181" i="18"/>
  <c r="C207" i="18"/>
  <c r="C183" i="18"/>
  <c r="C123" i="20"/>
  <c r="D128" i="20"/>
  <c r="C140" i="20"/>
  <c r="D152" i="20"/>
  <c r="D264" i="20"/>
  <c r="C109" i="20"/>
  <c r="D198" i="20"/>
  <c r="D142" i="20"/>
  <c r="D28" i="20"/>
  <c r="D98" i="20"/>
  <c r="C177" i="20"/>
  <c r="D188" i="20"/>
  <c r="D221" i="20"/>
  <c r="D267" i="20"/>
  <c r="D39" i="20"/>
  <c r="D73" i="20"/>
  <c r="D63" i="20"/>
  <c r="D144" i="20"/>
  <c r="D121" i="20"/>
  <c r="C31" i="20"/>
  <c r="D43" i="20"/>
  <c r="C101" i="20"/>
  <c r="D202" i="20"/>
  <c r="C246" i="20"/>
  <c r="C280" i="20"/>
  <c r="D54" i="20"/>
  <c r="C113" i="20"/>
  <c r="C203" i="20"/>
  <c r="C293" i="20"/>
  <c r="C22" i="20"/>
  <c r="D100" i="20"/>
  <c r="D136" i="20"/>
  <c r="D257" i="20"/>
  <c r="C13" i="20"/>
  <c r="C24" i="20"/>
  <c r="D57" i="20"/>
  <c r="D81" i="20"/>
  <c r="D183" i="20"/>
  <c r="D216" i="20"/>
  <c r="D296" i="20"/>
  <c r="C319" i="20"/>
  <c r="Y9" i="14" s="1"/>
  <c r="C304" i="20"/>
  <c r="D37" i="20"/>
  <c r="C81" i="20"/>
  <c r="C91" i="20"/>
  <c r="C166" i="20"/>
  <c r="D304" i="20"/>
  <c r="C176" i="20"/>
  <c r="C66" i="20"/>
  <c r="D270" i="20"/>
  <c r="C330" i="20"/>
  <c r="Y20" i="14" s="1"/>
  <c r="D177" i="20"/>
  <c r="D330" i="20"/>
  <c r="Z20" i="14" s="1"/>
  <c r="C27" i="20"/>
  <c r="C169" i="20"/>
  <c r="C221" i="20"/>
  <c r="D229" i="20"/>
  <c r="C255" i="20"/>
  <c r="C306" i="20"/>
  <c r="C121" i="20"/>
  <c r="C10" i="20"/>
  <c r="D66" i="20"/>
  <c r="C186" i="20"/>
  <c r="D51" i="20"/>
  <c r="D214" i="20"/>
  <c r="C264" i="20"/>
  <c r="C300" i="20"/>
  <c r="D306" i="20"/>
  <c r="C87" i="20"/>
  <c r="D94" i="20"/>
  <c r="C124" i="20"/>
  <c r="D140" i="20"/>
  <c r="C147" i="20"/>
  <c r="C156" i="20"/>
  <c r="C196" i="20"/>
  <c r="D234" i="20"/>
  <c r="D238" i="20"/>
  <c r="C316" i="20"/>
  <c r="Y6" i="14" s="1"/>
  <c r="D48" i="20"/>
  <c r="C72" i="20"/>
  <c r="D105" i="20"/>
  <c r="C115" i="20"/>
  <c r="C160" i="20"/>
  <c r="D117" i="20"/>
  <c r="C195" i="20"/>
  <c r="C117" i="20"/>
  <c r="C130" i="20"/>
  <c r="C161" i="20"/>
  <c r="C36" i="20"/>
  <c r="C45" i="20"/>
  <c r="D87" i="20"/>
  <c r="C103" i="20"/>
  <c r="D123" i="20"/>
  <c r="D124" i="20"/>
  <c r="C141" i="20"/>
  <c r="D156" i="20"/>
  <c r="D162" i="20"/>
  <c r="C222" i="20"/>
  <c r="C247" i="20"/>
  <c r="D265" i="20"/>
  <c r="D316" i="20"/>
  <c r="Z6" i="14" s="1"/>
  <c r="D72" i="20"/>
  <c r="C114" i="20"/>
  <c r="D21" i="20"/>
  <c r="C154" i="20"/>
  <c r="D22" i="20"/>
  <c r="D75" i="20"/>
  <c r="C52" i="20"/>
  <c r="C14" i="20"/>
  <c r="D36" i="20"/>
  <c r="D46" i="20"/>
  <c r="D70" i="20"/>
  <c r="D103" i="20"/>
  <c r="D141" i="20"/>
  <c r="C216" i="20"/>
  <c r="C231" i="20"/>
  <c r="D274" i="20"/>
  <c r="D283" i="20"/>
  <c r="D160" i="20"/>
  <c r="C17" i="20"/>
  <c r="C125" i="20"/>
  <c r="D175" i="20"/>
  <c r="D211" i="20"/>
  <c r="D44" i="20"/>
  <c r="C44" i="20"/>
  <c r="D52" i="20"/>
  <c r="D298" i="20"/>
  <c r="C298" i="20"/>
  <c r="D322" i="20"/>
  <c r="Z12" i="14" s="1"/>
  <c r="C193" i="20"/>
  <c r="D193" i="20"/>
  <c r="C199" i="20"/>
  <c r="C287" i="20"/>
  <c r="C19" i="20"/>
  <c r="D40" i="20"/>
  <c r="D49" i="20"/>
  <c r="D67" i="20"/>
  <c r="C76" i="20"/>
  <c r="D99" i="20"/>
  <c r="C118" i="20"/>
  <c r="C133" i="20"/>
  <c r="D137" i="20"/>
  <c r="C153" i="20"/>
  <c r="D166" i="20"/>
  <c r="C183" i="20"/>
  <c r="D199" i="20"/>
  <c r="C205" i="20"/>
  <c r="D210" i="20"/>
  <c r="C210" i="20"/>
  <c r="D226" i="20"/>
  <c r="C238" i="20"/>
  <c r="D248" i="20"/>
  <c r="D260" i="20"/>
  <c r="C265" i="20"/>
  <c r="C281" i="20"/>
  <c r="D287" i="20"/>
  <c r="C310" i="20"/>
  <c r="C86" i="20"/>
  <c r="D19" i="20"/>
  <c r="D249" i="20"/>
  <c r="C249" i="20"/>
  <c r="D293" i="20"/>
  <c r="D310" i="20"/>
  <c r="D329" i="20"/>
  <c r="Z19" i="14" s="1"/>
  <c r="D317" i="20"/>
  <c r="Z7" i="14" s="1"/>
  <c r="C244" i="20"/>
  <c r="C63" i="20"/>
  <c r="C110" i="20"/>
  <c r="C138" i="20"/>
  <c r="D157" i="20"/>
  <c r="D195" i="20"/>
  <c r="D228" i="20"/>
  <c r="C228" i="20"/>
  <c r="C234" i="20"/>
  <c r="C261" i="20"/>
  <c r="C277" i="20"/>
  <c r="D282" i="20"/>
  <c r="C282" i="20"/>
  <c r="C288" i="20"/>
  <c r="D300" i="20"/>
  <c r="C317" i="20"/>
  <c r="Y7" i="14" s="1"/>
  <c r="C40" i="20"/>
  <c r="D161" i="20"/>
  <c r="D243" i="20"/>
  <c r="C243" i="20"/>
  <c r="C270" i="20"/>
  <c r="C162" i="20"/>
  <c r="D281" i="20"/>
  <c r="D45" i="20"/>
  <c r="D184" i="20"/>
  <c r="C184" i="20"/>
  <c r="C185" i="20"/>
  <c r="D272" i="20"/>
  <c r="D277" i="20"/>
  <c r="C283" i="20"/>
  <c r="D311" i="20"/>
  <c r="C311" i="20"/>
  <c r="D101" i="20"/>
  <c r="C89" i="20"/>
  <c r="D89" i="20"/>
  <c r="C85" i="20"/>
  <c r="C99" i="20"/>
  <c r="D171" i="20"/>
  <c r="C171" i="20"/>
  <c r="C172" i="20"/>
  <c r="C226" i="20"/>
  <c r="C49" i="20"/>
  <c r="C58" i="20"/>
  <c r="D76" i="20"/>
  <c r="D233" i="20"/>
  <c r="C233" i="20"/>
  <c r="D224" i="20"/>
  <c r="D261" i="20"/>
  <c r="C179" i="20"/>
  <c r="D223" i="20"/>
  <c r="C223" i="20"/>
  <c r="C229" i="20"/>
  <c r="C239" i="20"/>
  <c r="C251" i="20"/>
  <c r="D256" i="20"/>
  <c r="C256" i="20"/>
  <c r="C272" i="20"/>
  <c r="C326" i="20"/>
  <c r="Y16" i="14" s="1"/>
  <c r="D120" i="20"/>
  <c r="D108" i="20"/>
  <c r="C108" i="20"/>
  <c r="C15" i="20"/>
  <c r="D20" i="20"/>
  <c r="C20" i="20"/>
  <c r="D83" i="20"/>
  <c r="C83" i="20"/>
  <c r="C150" i="20"/>
  <c r="D239" i="20"/>
  <c r="D251" i="20"/>
  <c r="D262" i="20"/>
  <c r="C262" i="20"/>
  <c r="D273" i="20"/>
  <c r="D290" i="20"/>
  <c r="C301" i="20"/>
  <c r="D313" i="20"/>
  <c r="C313" i="20"/>
  <c r="D326" i="20"/>
  <c r="Z16" i="14" s="1"/>
  <c r="D139" i="20"/>
  <c r="D127" i="20"/>
  <c r="C127" i="20"/>
  <c r="D24" i="20"/>
  <c r="D118" i="20"/>
  <c r="D185" i="20"/>
  <c r="D178" i="20"/>
  <c r="C144" i="20"/>
  <c r="C143" i="20"/>
  <c r="D143" i="20"/>
  <c r="D33" i="20"/>
  <c r="D77" i="20"/>
  <c r="C77" i="20"/>
  <c r="D91" i="20"/>
  <c r="D288" i="20"/>
  <c r="D42" i="20"/>
  <c r="D96" i="20"/>
  <c r="D174" i="20"/>
  <c r="C51" i="20"/>
  <c r="D69" i="20"/>
  <c r="D47" i="20"/>
  <c r="C47" i="20"/>
  <c r="C55" i="20"/>
  <c r="C92" i="20"/>
  <c r="D135" i="20"/>
  <c r="C136" i="20"/>
  <c r="C135" i="20"/>
  <c r="C180" i="20"/>
  <c r="D180" i="20"/>
  <c r="C235" i="20"/>
  <c r="C257" i="20"/>
  <c r="C278" i="20"/>
  <c r="D301" i="20"/>
  <c r="D319" i="20"/>
  <c r="Z9" i="14" s="1"/>
  <c r="D307" i="20"/>
  <c r="D332" i="20"/>
  <c r="Z22" i="14" s="1"/>
  <c r="D269" i="20"/>
  <c r="C269" i="20"/>
  <c r="D23" i="20"/>
  <c r="C23" i="20"/>
  <c r="D122" i="20"/>
  <c r="C122" i="20"/>
  <c r="C137" i="20"/>
  <c r="C248" i="20"/>
  <c r="C67" i="20"/>
  <c r="D133" i="20"/>
  <c r="C189" i="20"/>
  <c r="D189" i="20"/>
  <c r="D205" i="20"/>
  <c r="D41" i="20"/>
  <c r="C41" i="20"/>
  <c r="C100" i="20"/>
  <c r="D222" i="20"/>
  <c r="D149" i="20"/>
  <c r="C11" i="20"/>
  <c r="D158" i="20"/>
  <c r="C158" i="20"/>
  <c r="D201" i="20"/>
  <c r="C16" i="20"/>
  <c r="C73" i="20"/>
  <c r="D106" i="20"/>
  <c r="C106" i="20"/>
  <c r="D134" i="20"/>
  <c r="C61" i="20"/>
  <c r="D60" i="20"/>
  <c r="D97" i="20"/>
  <c r="C97" i="20"/>
  <c r="D145" i="20"/>
  <c r="C145" i="20"/>
  <c r="D150" i="20"/>
  <c r="C159" i="20"/>
  <c r="C164" i="20"/>
  <c r="D169" i="20"/>
  <c r="C175" i="20"/>
  <c r="D196" i="20"/>
  <c r="D218" i="20"/>
  <c r="C285" i="20"/>
  <c r="D284" i="20"/>
  <c r="C284" i="20"/>
  <c r="C12" i="20"/>
  <c r="D26" i="20"/>
  <c r="C26" i="20"/>
  <c r="D30" i="20"/>
  <c r="D34" i="20"/>
  <c r="C43" i="20"/>
  <c r="D55" i="20"/>
  <c r="C60" i="20"/>
  <c r="C84" i="20"/>
  <c r="C88" i="20"/>
  <c r="D92" i="20"/>
  <c r="C102" i="20"/>
  <c r="D130" i="20"/>
  <c r="D186" i="20"/>
  <c r="C192" i="20"/>
  <c r="D208" i="20"/>
  <c r="D213" i="20"/>
  <c r="D219" i="20"/>
  <c r="C219" i="20"/>
  <c r="D235" i="20"/>
  <c r="C252" i="20"/>
  <c r="C268" i="20"/>
  <c r="D278" i="20"/>
  <c r="C291" i="20"/>
  <c r="C297" i="20"/>
  <c r="C307" i="20"/>
  <c r="C314" i="20"/>
  <c r="Y4" i="14" s="1"/>
  <c r="C320" i="20"/>
  <c r="Y10" i="14" s="1"/>
  <c r="C327" i="20"/>
  <c r="Y17" i="14" s="1"/>
  <c r="D80" i="20"/>
  <c r="C80" i="20"/>
  <c r="D116" i="20"/>
  <c r="C105" i="20"/>
  <c r="D104" i="20"/>
  <c r="C104" i="20"/>
  <c r="C33" i="20"/>
  <c r="D200" i="20"/>
  <c r="C37" i="20"/>
  <c r="D173" i="20"/>
  <c r="D295" i="20"/>
  <c r="C295" i="20"/>
  <c r="C25" i="20"/>
  <c r="C69" i="20"/>
  <c r="C139" i="20"/>
  <c r="D90" i="20"/>
  <c r="C79" i="20"/>
  <c r="D78" i="20"/>
  <c r="D154" i="20"/>
  <c r="D179" i="20"/>
  <c r="C218" i="20"/>
  <c r="C30" i="20"/>
  <c r="C34" i="20"/>
  <c r="D125" i="20"/>
  <c r="C213" i="20"/>
  <c r="C70" i="20"/>
  <c r="D74" i="20"/>
  <c r="C74" i="20"/>
  <c r="D79" i="20"/>
  <c r="D84" i="20"/>
  <c r="D88" i="20"/>
  <c r="C98" i="20"/>
  <c r="D102" i="20"/>
  <c r="C107" i="20"/>
  <c r="C126" i="20"/>
  <c r="C146" i="20"/>
  <c r="C151" i="20"/>
  <c r="D151" i="20"/>
  <c r="D165" i="20"/>
  <c r="D192" i="20"/>
  <c r="D225" i="20"/>
  <c r="D252" i="20"/>
  <c r="D258" i="20"/>
  <c r="C258" i="20"/>
  <c r="D268" i="20"/>
  <c r="C274" i="20"/>
  <c r="D286" i="20"/>
  <c r="D291" i="20"/>
  <c r="D297" i="20"/>
  <c r="D320" i="20"/>
  <c r="Z10" i="14" s="1"/>
  <c r="D327" i="20"/>
  <c r="Z17" i="14" s="1"/>
  <c r="C148" i="20"/>
  <c r="D159" i="20"/>
  <c r="D147" i="20"/>
  <c r="D62" i="20"/>
  <c r="C62" i="20"/>
  <c r="D153" i="20"/>
  <c r="C95" i="20"/>
  <c r="D114" i="20"/>
  <c r="D29" i="20"/>
  <c r="C29" i="20"/>
  <c r="D95" i="20"/>
  <c r="D110" i="20"/>
  <c r="D138" i="20"/>
  <c r="C190" i="20"/>
  <c r="C200" i="20"/>
  <c r="C212" i="20"/>
  <c r="D59" i="20"/>
  <c r="C59" i="20"/>
  <c r="D115" i="20"/>
  <c r="C134" i="20"/>
  <c r="D163" i="20"/>
  <c r="C163" i="20"/>
  <c r="D212" i="20"/>
  <c r="C42" i="20"/>
  <c r="C96" i="20"/>
  <c r="C111" i="20"/>
  <c r="C174" i="20"/>
  <c r="D38" i="20"/>
  <c r="C38" i="20"/>
  <c r="D65" i="20"/>
  <c r="C65" i="20"/>
  <c r="C78" i="20"/>
  <c r="D111" i="20"/>
  <c r="C8" i="20"/>
  <c r="D31" i="20"/>
  <c r="D56" i="20"/>
  <c r="C56" i="20"/>
  <c r="D61" i="20"/>
  <c r="D107" i="20"/>
  <c r="C131" i="20"/>
  <c r="D146" i="20"/>
  <c r="C170" i="20"/>
  <c r="C182" i="20"/>
  <c r="D187" i="20"/>
  <c r="D203" i="20"/>
  <c r="C242" i="20"/>
  <c r="D321" i="20"/>
  <c r="Z11" i="14" s="1"/>
  <c r="C321" i="20"/>
  <c r="Y11" i="14" s="1"/>
  <c r="D71" i="20"/>
  <c r="C71" i="20"/>
  <c r="D197" i="20"/>
  <c r="C197" i="20"/>
  <c r="D236" i="20"/>
  <c r="C323" i="20"/>
  <c r="Y13" i="14" s="1"/>
  <c r="D333" i="20"/>
  <c r="Z23" i="14" s="1"/>
  <c r="C333" i="20"/>
  <c r="Y23" i="14" s="1"/>
  <c r="D93" i="20"/>
  <c r="C93" i="20"/>
  <c r="C21" i="20"/>
  <c r="C28" i="20"/>
  <c r="C39" i="20"/>
  <c r="C46" i="20"/>
  <c r="C57" i="20"/>
  <c r="C64" i="20"/>
  <c r="C75" i="20"/>
  <c r="C82" i="20"/>
  <c r="D86" i="20"/>
  <c r="C112" i="20"/>
  <c r="C167" i="20"/>
  <c r="C198" i="20"/>
  <c r="C202" i="20"/>
  <c r="C206" i="20"/>
  <c r="C211" i="20"/>
  <c r="C215" i="20"/>
  <c r="C232" i="20"/>
  <c r="C236" i="20"/>
  <c r="C241" i="20"/>
  <c r="C245" i="20"/>
  <c r="C254" i="20"/>
  <c r="C271" i="20"/>
  <c r="C275" i="20"/>
  <c r="C294" i="20"/>
  <c r="D323" i="20"/>
  <c r="Z13" i="14" s="1"/>
  <c r="D35" i="20"/>
  <c r="C35" i="20"/>
  <c r="D53" i="20"/>
  <c r="C53" i="20"/>
  <c r="D32" i="20"/>
  <c r="C32" i="20"/>
  <c r="D50" i="20"/>
  <c r="C50" i="20"/>
  <c r="D68" i="20"/>
  <c r="C68" i="20"/>
  <c r="C90" i="20"/>
  <c r="D112" i="20"/>
  <c r="D131" i="20"/>
  <c r="D148" i="20"/>
  <c r="D167" i="20"/>
  <c r="D176" i="20"/>
  <c r="D206" i="20"/>
  <c r="D215" i="20"/>
  <c r="D232" i="20"/>
  <c r="D237" i="20"/>
  <c r="D241" i="20"/>
  <c r="D245" i="20"/>
  <c r="D250" i="20"/>
  <c r="D254" i="20"/>
  <c r="D271" i="20"/>
  <c r="D275" i="20"/>
  <c r="D285" i="20"/>
  <c r="C290" i="20"/>
  <c r="D294" i="20"/>
  <c r="D324" i="20"/>
  <c r="Z14" i="14" s="1"/>
  <c r="D334" i="20"/>
  <c r="Z24" i="14" s="1"/>
  <c r="C334" i="20"/>
  <c r="Y24" i="14" s="1"/>
  <c r="D109" i="20"/>
  <c r="D132" i="20"/>
  <c r="C132" i="20"/>
  <c r="D207" i="20"/>
  <c r="C207" i="20"/>
  <c r="D220" i="20"/>
  <c r="C220" i="20"/>
  <c r="D246" i="20"/>
  <c r="D259" i="20"/>
  <c r="D309" i="20"/>
  <c r="D314" i="20"/>
  <c r="Z4" i="14" s="1"/>
  <c r="C324" i="20"/>
  <c r="Y14" i="14" s="1"/>
  <c r="C308" i="20"/>
  <c r="C318" i="20"/>
  <c r="Y8" i="14" s="1"/>
  <c r="C331" i="20"/>
  <c r="Y21" i="14" s="1"/>
  <c r="C279" i="20"/>
  <c r="C292" i="20"/>
  <c r="C305" i="20"/>
  <c r="D308" i="20"/>
  <c r="C315" i="20"/>
  <c r="Y5" i="14" s="1"/>
  <c r="D318" i="20"/>
  <c r="Z8" i="14" s="1"/>
  <c r="C328" i="20"/>
  <c r="Y18" i="14" s="1"/>
  <c r="D331" i="20"/>
  <c r="Z21" i="14" s="1"/>
  <c r="C168" i="20"/>
  <c r="C181" i="20"/>
  <c r="C194" i="20"/>
  <c r="C204" i="20"/>
  <c r="C217" i="20"/>
  <c r="C230" i="20"/>
  <c r="C240" i="20"/>
  <c r="C253" i="20"/>
  <c r="C266" i="20"/>
  <c r="C276" i="20"/>
  <c r="D279" i="20"/>
  <c r="C289" i="20"/>
  <c r="D292" i="20"/>
  <c r="C302" i="20"/>
  <c r="D305" i="20"/>
  <c r="C312" i="20"/>
  <c r="D315" i="20"/>
  <c r="Z5" i="14" s="1"/>
  <c r="C325" i="20"/>
  <c r="Y15" i="14" s="1"/>
  <c r="D328" i="20"/>
  <c r="Z18" i="14" s="1"/>
  <c r="C119" i="20"/>
  <c r="C129" i="20"/>
  <c r="C142" i="20"/>
  <c r="C155" i="20"/>
  <c r="C165" i="20"/>
  <c r="D168" i="20"/>
  <c r="C178" i="20"/>
  <c r="D181" i="20"/>
  <c r="C191" i="20"/>
  <c r="D194" i="20"/>
  <c r="C201" i="20"/>
  <c r="D204" i="20"/>
  <c r="C214" i="20"/>
  <c r="D217" i="20"/>
  <c r="C227" i="20"/>
  <c r="D230" i="20"/>
  <c r="C237" i="20"/>
  <c r="D240" i="20"/>
  <c r="C250" i="20"/>
  <c r="D253" i="20"/>
  <c r="C263" i="20"/>
  <c r="D266" i="20"/>
  <c r="C273" i="20"/>
  <c r="D276" i="20"/>
  <c r="C286" i="20"/>
  <c r="D289" i="20"/>
  <c r="C299" i="20"/>
  <c r="D302" i="20"/>
  <c r="C309" i="20"/>
  <c r="D312" i="20"/>
  <c r="C322" i="20"/>
  <c r="Y12" i="14" s="1"/>
  <c r="D325" i="20"/>
  <c r="Z15" i="14" s="1"/>
  <c r="C335" i="20"/>
  <c r="Y25" i="14" s="1"/>
  <c r="C116" i="20"/>
  <c r="D119" i="20"/>
  <c r="C152" i="20"/>
  <c r="D155" i="20"/>
  <c r="C188" i="20"/>
  <c r="D191" i="20"/>
  <c r="C224" i="20"/>
  <c r="D227" i="20"/>
  <c r="C260" i="20"/>
  <c r="D263" i="20"/>
  <c r="C296" i="20"/>
  <c r="D299" i="20"/>
  <c r="C332" i="20"/>
  <c r="Y22" i="14" s="1"/>
  <c r="D335" i="20"/>
  <c r="Z25" i="14" s="1"/>
  <c r="C101" i="19"/>
  <c r="D45" i="19"/>
  <c r="C185" i="19"/>
  <c r="C131" i="19"/>
  <c r="D317" i="19"/>
  <c r="AD7" i="14" s="1"/>
  <c r="D27" i="19"/>
  <c r="C86" i="19"/>
  <c r="D238" i="19"/>
  <c r="D319" i="19"/>
  <c r="AD9" i="14" s="1"/>
  <c r="D330" i="19"/>
  <c r="AD20" i="14" s="1"/>
  <c r="D280" i="19"/>
  <c r="D104" i="19"/>
  <c r="D173" i="19"/>
  <c r="D70" i="19"/>
  <c r="C96" i="19"/>
  <c r="C329" i="19"/>
  <c r="AC19" i="14" s="1"/>
  <c r="C16" i="19"/>
  <c r="D203" i="19"/>
  <c r="D309" i="19"/>
  <c r="D34" i="19"/>
  <c r="C222" i="19"/>
  <c r="C282" i="19"/>
  <c r="C24" i="19"/>
  <c r="D164" i="19"/>
  <c r="D212" i="19"/>
  <c r="C189" i="19"/>
  <c r="D52" i="19"/>
  <c r="D123" i="19"/>
  <c r="D128" i="19"/>
  <c r="C25" i="19"/>
  <c r="D165" i="19"/>
  <c r="C307" i="19"/>
  <c r="D64" i="19"/>
  <c r="D88" i="19"/>
  <c r="C111" i="19"/>
  <c r="C89" i="19"/>
  <c r="D205" i="19"/>
  <c r="C277" i="19"/>
  <c r="D31" i="19"/>
  <c r="D90" i="19"/>
  <c r="D254" i="19"/>
  <c r="C82" i="19"/>
  <c r="C103" i="19"/>
  <c r="C127" i="19"/>
  <c r="C208" i="19"/>
  <c r="D255" i="19"/>
  <c r="D245" i="19"/>
  <c r="C268" i="19"/>
  <c r="C149" i="19"/>
  <c r="D311" i="19"/>
  <c r="C63" i="19"/>
  <c r="C157" i="19"/>
  <c r="D187" i="19"/>
  <c r="D196" i="19"/>
  <c r="D206" i="19"/>
  <c r="D229" i="19"/>
  <c r="C303" i="19"/>
  <c r="C70" i="19"/>
  <c r="C81" i="19"/>
  <c r="D215" i="19"/>
  <c r="C123" i="19"/>
  <c r="D216" i="19"/>
  <c r="C64" i="19"/>
  <c r="D39" i="19"/>
  <c r="C108" i="19"/>
  <c r="D87" i="19"/>
  <c r="D103" i="19"/>
  <c r="C100" i="19"/>
  <c r="D118" i="19"/>
  <c r="C169" i="19"/>
  <c r="D323" i="19"/>
  <c r="AD13" i="14" s="1"/>
  <c r="C34" i="19"/>
  <c r="C27" i="19"/>
  <c r="C97" i="19"/>
  <c r="C205" i="19"/>
  <c r="D167" i="19"/>
  <c r="C330" i="19"/>
  <c r="AC20" i="14" s="1"/>
  <c r="D57" i="19"/>
  <c r="C117" i="19"/>
  <c r="C11" i="19"/>
  <c r="D322" i="19"/>
  <c r="AD12" i="14" s="1"/>
  <c r="C31" i="19"/>
  <c r="D100" i="19"/>
  <c r="D126" i="19"/>
  <c r="D133" i="19"/>
  <c r="D151" i="19"/>
  <c r="D160" i="19"/>
  <c r="D179" i="19"/>
  <c r="D264" i="19"/>
  <c r="D275" i="19"/>
  <c r="D284" i="19"/>
  <c r="D314" i="19"/>
  <c r="AD4" i="14" s="1"/>
  <c r="C45" i="19"/>
  <c r="D63" i="19"/>
  <c r="C114" i="19"/>
  <c r="C130" i="19"/>
  <c r="D193" i="19"/>
  <c r="C46" i="19"/>
  <c r="D81" i="19"/>
  <c r="D130" i="19"/>
  <c r="C156" i="19"/>
  <c r="C238" i="19"/>
  <c r="D176" i="19"/>
  <c r="C118" i="19"/>
  <c r="D141" i="19"/>
  <c r="C197" i="19"/>
  <c r="C14" i="19"/>
  <c r="C67" i="19"/>
  <c r="C92" i="19"/>
  <c r="D134" i="19"/>
  <c r="D180" i="19"/>
  <c r="D200" i="19"/>
  <c r="D242" i="19"/>
  <c r="C173" i="19"/>
  <c r="D144" i="19"/>
  <c r="D201" i="19"/>
  <c r="D119" i="19"/>
  <c r="C119" i="19"/>
  <c r="D170" i="19"/>
  <c r="C170" i="19"/>
  <c r="C177" i="19"/>
  <c r="C213" i="19"/>
  <c r="D20" i="19"/>
  <c r="C20" i="19"/>
  <c r="D25" i="19"/>
  <c r="C37" i="19"/>
  <c r="D36" i="19"/>
  <c r="C42" i="19"/>
  <c r="C75" i="19"/>
  <c r="D97" i="19"/>
  <c r="D108" i="19"/>
  <c r="D131" i="19"/>
  <c r="D162" i="19"/>
  <c r="D150" i="19"/>
  <c r="D177" i="19"/>
  <c r="D213" i="19"/>
  <c r="D304" i="19"/>
  <c r="C304" i="19"/>
  <c r="D295" i="19"/>
  <c r="D222" i="19"/>
  <c r="C13" i="19"/>
  <c r="D42" i="19"/>
  <c r="D53" i="19"/>
  <c r="C53" i="19"/>
  <c r="D75" i="19"/>
  <c r="D86" i="19"/>
  <c r="C87" i="19"/>
  <c r="C120" i="19"/>
  <c r="D239" i="19"/>
  <c r="C239" i="19"/>
  <c r="D256" i="19"/>
  <c r="C256" i="19"/>
  <c r="C257" i="19"/>
  <c r="D265" i="19"/>
  <c r="D321" i="19"/>
  <c r="AD11" i="14" s="1"/>
  <c r="D98" i="19"/>
  <c r="C98" i="19"/>
  <c r="C99" i="19"/>
  <c r="D109" i="19"/>
  <c r="C109" i="19"/>
  <c r="C115" i="19"/>
  <c r="D120" i="19"/>
  <c r="C139" i="19"/>
  <c r="D138" i="19"/>
  <c r="D198" i="19"/>
  <c r="D186" i="19"/>
  <c r="D248" i="19"/>
  <c r="C248" i="19"/>
  <c r="C265" i="19"/>
  <c r="C321" i="19"/>
  <c r="AC11" i="14" s="1"/>
  <c r="D190" i="19"/>
  <c r="C190" i="19"/>
  <c r="C21" i="19"/>
  <c r="D38" i="19"/>
  <c r="C38" i="19"/>
  <c r="D43" i="19"/>
  <c r="D54" i="19"/>
  <c r="C55" i="19"/>
  <c r="C60" i="19"/>
  <c r="D93" i="19"/>
  <c r="C93" i="19"/>
  <c r="C104" i="19"/>
  <c r="D115" i="19"/>
  <c r="D139" i="19"/>
  <c r="C138" i="19"/>
  <c r="C186" i="19"/>
  <c r="C193" i="19"/>
  <c r="D225" i="19"/>
  <c r="D274" i="19"/>
  <c r="C274" i="19"/>
  <c r="D282" i="19"/>
  <c r="D287" i="19"/>
  <c r="C287" i="19"/>
  <c r="C8" i="19"/>
  <c r="D21" i="19"/>
  <c r="D32" i="19"/>
  <c r="C32" i="19"/>
  <c r="C43" i="19"/>
  <c r="C49" i="19"/>
  <c r="C54" i="19"/>
  <c r="D60" i="19"/>
  <c r="D71" i="19"/>
  <c r="C71" i="19"/>
  <c r="D145" i="19"/>
  <c r="C145" i="19"/>
  <c r="D166" i="19"/>
  <c r="C166" i="19"/>
  <c r="D209" i="19"/>
  <c r="D291" i="19"/>
  <c r="D300" i="19"/>
  <c r="C18" i="19"/>
  <c r="D136" i="19"/>
  <c r="C124" i="19"/>
  <c r="D124" i="19"/>
  <c r="C295" i="19"/>
  <c r="D49" i="19"/>
  <c r="D82" i="19"/>
  <c r="C95" i="19"/>
  <c r="D94" i="19"/>
  <c r="D105" i="19"/>
  <c r="D127" i="19"/>
  <c r="D146" i="19"/>
  <c r="C209" i="19"/>
  <c r="D226" i="19"/>
  <c r="D234" i="19"/>
  <c r="C291" i="19"/>
  <c r="C300" i="19"/>
  <c r="D307" i="19"/>
  <c r="D35" i="19"/>
  <c r="C35" i="19"/>
  <c r="D197" i="19"/>
  <c r="C198" i="19"/>
  <c r="C9" i="19"/>
  <c r="C39" i="19"/>
  <c r="D56" i="19"/>
  <c r="C56" i="19"/>
  <c r="D61" i="19"/>
  <c r="C73" i="19"/>
  <c r="D72" i="19"/>
  <c r="C78" i="19"/>
  <c r="D89" i="19"/>
  <c r="C90" i="19"/>
  <c r="C94" i="19"/>
  <c r="C105" i="19"/>
  <c r="C146" i="19"/>
  <c r="D153" i="19"/>
  <c r="C175" i="19"/>
  <c r="C174" i="19"/>
  <c r="D181" i="19"/>
  <c r="C181" i="19"/>
  <c r="D202" i="19"/>
  <c r="C202" i="19"/>
  <c r="D218" i="19"/>
  <c r="C218" i="19"/>
  <c r="C226" i="19"/>
  <c r="D243" i="19"/>
  <c r="C243" i="19"/>
  <c r="C244" i="19"/>
  <c r="D316" i="19"/>
  <c r="AD6" i="14" s="1"/>
  <c r="D50" i="19"/>
  <c r="C50" i="19"/>
  <c r="C61" i="19"/>
  <c r="C72" i="19"/>
  <c r="D78" i="19"/>
  <c r="C147" i="19"/>
  <c r="D159" i="19"/>
  <c r="D147" i="19"/>
  <c r="C219" i="19"/>
  <c r="D219" i="19"/>
  <c r="D231" i="19"/>
  <c r="D235" i="19"/>
  <c r="C235" i="19"/>
  <c r="D252" i="19"/>
  <c r="D261" i="19"/>
  <c r="D268" i="19"/>
  <c r="D277" i="19"/>
  <c r="D308" i="19"/>
  <c r="C308" i="19"/>
  <c r="D68" i="19"/>
  <c r="C68" i="19"/>
  <c r="C28" i="19"/>
  <c r="C113" i="19"/>
  <c r="D182" i="19"/>
  <c r="C17" i="19"/>
  <c r="D28" i="19"/>
  <c r="D67" i="19"/>
  <c r="D101" i="19"/>
  <c r="C112" i="19"/>
  <c r="C141" i="19"/>
  <c r="C148" i="19"/>
  <c r="D154" i="19"/>
  <c r="C154" i="19"/>
  <c r="D161" i="19"/>
  <c r="C162" i="19"/>
  <c r="C182" i="19"/>
  <c r="C252" i="19"/>
  <c r="C261" i="19"/>
  <c r="D294" i="19"/>
  <c r="D24" i="19"/>
  <c r="C12" i="19"/>
  <c r="C57" i="19"/>
  <c r="D74" i="19"/>
  <c r="C74" i="19"/>
  <c r="D79" i="19"/>
  <c r="D112" i="19"/>
  <c r="C135" i="19"/>
  <c r="D269" i="19"/>
  <c r="C270" i="19"/>
  <c r="C269" i="19"/>
  <c r="D278" i="19"/>
  <c r="C278" i="19"/>
  <c r="D286" i="19"/>
  <c r="D331" i="19"/>
  <c r="AD21" i="14" s="1"/>
  <c r="C331" i="19"/>
  <c r="AC21" i="14" s="1"/>
  <c r="C211" i="19"/>
  <c r="C283" i="19"/>
  <c r="C313" i="19"/>
  <c r="C317" i="19"/>
  <c r="AC7" i="14" s="1"/>
  <c r="C327" i="19"/>
  <c r="AC17" i="14" s="1"/>
  <c r="D142" i="19"/>
  <c r="C142" i="19"/>
  <c r="D158" i="19"/>
  <c r="C158" i="19"/>
  <c r="D178" i="19"/>
  <c r="D194" i="19"/>
  <c r="C194" i="19"/>
  <c r="C206" i="19"/>
  <c r="C210" i="19"/>
  <c r="D214" i="19"/>
  <c r="D270" i="19"/>
  <c r="D313" i="19"/>
  <c r="D327" i="19"/>
  <c r="AD17" i="14" s="1"/>
  <c r="D279" i="19"/>
  <c r="C279" i="19"/>
  <c r="D292" i="19"/>
  <c r="C292" i="19"/>
  <c r="D318" i="19"/>
  <c r="AD8" i="14" s="1"/>
  <c r="C318" i="19"/>
  <c r="AC8" i="14" s="1"/>
  <c r="C323" i="19"/>
  <c r="AC13" i="14" s="1"/>
  <c r="D135" i="19"/>
  <c r="C183" i="19"/>
  <c r="D236" i="19"/>
  <c r="C258" i="19"/>
  <c r="C262" i="19"/>
  <c r="C288" i="19"/>
  <c r="C297" i="19"/>
  <c r="C301" i="19"/>
  <c r="D305" i="19"/>
  <c r="C305" i="19"/>
  <c r="C319" i="19"/>
  <c r="AC9" i="14" s="1"/>
  <c r="C333" i="19"/>
  <c r="AC23" i="14" s="1"/>
  <c r="C224" i="19"/>
  <c r="D223" i="19"/>
  <c r="D171" i="19"/>
  <c r="C40" i="19"/>
  <c r="C102" i="19"/>
  <c r="D132" i="19"/>
  <c r="C143" i="19"/>
  <c r="C151" i="19"/>
  <c r="C163" i="19"/>
  <c r="C171" i="19"/>
  <c r="D175" i="19"/>
  <c r="C179" i="19"/>
  <c r="D183" i="19"/>
  <c r="C187" i="19"/>
  <c r="D195" i="19"/>
  <c r="C199" i="19"/>
  <c r="C207" i="19"/>
  <c r="D211" i="19"/>
  <c r="C215" i="19"/>
  <c r="D228" i="19"/>
  <c r="C232" i="19"/>
  <c r="C236" i="19"/>
  <c r="C241" i="19"/>
  <c r="C245" i="19"/>
  <c r="D249" i="19"/>
  <c r="C254" i="19"/>
  <c r="D258" i="19"/>
  <c r="D262" i="19"/>
  <c r="C271" i="19"/>
  <c r="C275" i="19"/>
  <c r="C280" i="19"/>
  <c r="C284" i="19"/>
  <c r="D288" i="19"/>
  <c r="C293" i="19"/>
  <c r="D297" i="19"/>
  <c r="D301" i="19"/>
  <c r="C306" i="19"/>
  <c r="C310" i="19"/>
  <c r="C314" i="19"/>
  <c r="AC4" i="14" s="1"/>
  <c r="D333" i="19"/>
  <c r="AD23" i="14" s="1"/>
  <c r="C228" i="19"/>
  <c r="C10" i="19"/>
  <c r="D22" i="19"/>
  <c r="D26" i="19"/>
  <c r="C26" i="19"/>
  <c r="D33" i="19"/>
  <c r="D40" i="19"/>
  <c r="D44" i="19"/>
  <c r="C44" i="19"/>
  <c r="D51" i="19"/>
  <c r="D58" i="19"/>
  <c r="D62" i="19"/>
  <c r="C62" i="19"/>
  <c r="D69" i="19"/>
  <c r="D76" i="19"/>
  <c r="D80" i="19"/>
  <c r="C80" i="19"/>
  <c r="C84" i="19"/>
  <c r="C91" i="19"/>
  <c r="D95" i="19"/>
  <c r="D102" i="19"/>
  <c r="D106" i="19"/>
  <c r="C106" i="19"/>
  <c r="C110" i="19"/>
  <c r="D117" i="19"/>
  <c r="C121" i="19"/>
  <c r="C128" i="19"/>
  <c r="C132" i="19"/>
  <c r="C136" i="19"/>
  <c r="D163" i="19"/>
  <c r="C167" i="19"/>
  <c r="D199" i="19"/>
  <c r="C203" i="19"/>
  <c r="D232" i="19"/>
  <c r="D237" i="19"/>
  <c r="D241" i="19"/>
  <c r="D250" i="19"/>
  <c r="D267" i="19"/>
  <c r="D271" i="19"/>
  <c r="D310" i="19"/>
  <c r="C324" i="19"/>
  <c r="AC14" i="14" s="1"/>
  <c r="D210" i="19"/>
  <c r="D47" i="19"/>
  <c r="C47" i="19"/>
  <c r="C188" i="19"/>
  <c r="C195" i="19"/>
  <c r="C223" i="19"/>
  <c r="C249" i="19"/>
  <c r="C22" i="19"/>
  <c r="C33" i="19"/>
  <c r="C51" i="19"/>
  <c r="C58" i="19"/>
  <c r="C69" i="19"/>
  <c r="C76" i="19"/>
  <c r="C48" i="19"/>
  <c r="D91" i="19"/>
  <c r="D121" i="19"/>
  <c r="D140" i="19"/>
  <c r="C172" i="19"/>
  <c r="D184" i="19"/>
  <c r="D220" i="19"/>
  <c r="C220" i="19"/>
  <c r="C247" i="19"/>
  <c r="D246" i="19"/>
  <c r="C260" i="19"/>
  <c r="D259" i="19"/>
  <c r="D320" i="19"/>
  <c r="AD10" i="14" s="1"/>
  <c r="D324" i="19"/>
  <c r="AD14" i="14" s="1"/>
  <c r="D334" i="19"/>
  <c r="AD24" i="14" s="1"/>
  <c r="D65" i="19"/>
  <c r="C65" i="19"/>
  <c r="C152" i="19"/>
  <c r="C159" i="19"/>
  <c r="D207" i="19"/>
  <c r="D110" i="19"/>
  <c r="C15" i="19"/>
  <c r="D19" i="19"/>
  <c r="D30" i="19"/>
  <c r="D41" i="19"/>
  <c r="C41" i="19"/>
  <c r="D55" i="19"/>
  <c r="D66" i="19"/>
  <c r="D77" i="19"/>
  <c r="C77" i="19"/>
  <c r="D107" i="19"/>
  <c r="D129" i="19"/>
  <c r="C129" i="19"/>
  <c r="C133" i="19"/>
  <c r="C140" i="19"/>
  <c r="C144" i="19"/>
  <c r="D156" i="19"/>
  <c r="C160" i="19"/>
  <c r="D168" i="19"/>
  <c r="C168" i="19"/>
  <c r="D172" i="19"/>
  <c r="C176" i="19"/>
  <c r="C180" i="19"/>
  <c r="C184" i="19"/>
  <c r="D192" i="19"/>
  <c r="C196" i="19"/>
  <c r="D204" i="19"/>
  <c r="C204" i="19"/>
  <c r="D208" i="19"/>
  <c r="C212" i="19"/>
  <c r="C216" i="19"/>
  <c r="C225" i="19"/>
  <c r="C229" i="19"/>
  <c r="D233" i="19"/>
  <c r="C234" i="19"/>
  <c r="C233" i="19"/>
  <c r="C246" i="19"/>
  <c r="D251" i="19"/>
  <c r="C255" i="19"/>
  <c r="C259" i="19"/>
  <c r="C264" i="19"/>
  <c r="D272" i="19"/>
  <c r="D281" i="19"/>
  <c r="C285" i="19"/>
  <c r="D290" i="19"/>
  <c r="C294" i="19"/>
  <c r="C298" i="19"/>
  <c r="C320" i="19"/>
  <c r="AC10" i="14" s="1"/>
  <c r="C334" i="19"/>
  <c r="AC24" i="14" s="1"/>
  <c r="D29" i="19"/>
  <c r="C29" i="19"/>
  <c r="D83" i="19"/>
  <c r="C83" i="19"/>
  <c r="D143" i="19"/>
  <c r="C19" i="19"/>
  <c r="D84" i="19"/>
  <c r="D125" i="19"/>
  <c r="C126" i="19"/>
  <c r="D148" i="19"/>
  <c r="D23" i="19"/>
  <c r="C23" i="19"/>
  <c r="D37" i="19"/>
  <c r="D48" i="19"/>
  <c r="D59" i="19"/>
  <c r="C59" i="19"/>
  <c r="D73" i="19"/>
  <c r="C88" i="19"/>
  <c r="D99" i="19"/>
  <c r="D114" i="19"/>
  <c r="C125" i="19"/>
  <c r="D92" i="19"/>
  <c r="D96" i="19"/>
  <c r="C107" i="19"/>
  <c r="D122" i="19"/>
  <c r="D137" i="19"/>
  <c r="C164" i="19"/>
  <c r="C200" i="19"/>
  <c r="C221" i="19"/>
  <c r="C242" i="19"/>
  <c r="C251" i="19"/>
  <c r="C272" i="19"/>
  <c r="C281" i="19"/>
  <c r="D285" i="19"/>
  <c r="C290" i="19"/>
  <c r="D298" i="19"/>
  <c r="C311" i="19"/>
  <c r="D326" i="19"/>
  <c r="AD16" i="14" s="1"/>
  <c r="D230" i="19"/>
  <c r="D266" i="19"/>
  <c r="D302" i="19"/>
  <c r="C315" i="19"/>
  <c r="AC5" i="14" s="1"/>
  <c r="C328" i="19"/>
  <c r="AC18" i="14" s="1"/>
  <c r="D155" i="19"/>
  <c r="D191" i="19"/>
  <c r="C217" i="19"/>
  <c r="D227" i="19"/>
  <c r="C230" i="19"/>
  <c r="C240" i="19"/>
  <c r="C253" i="19"/>
  <c r="D263" i="19"/>
  <c r="C266" i="19"/>
  <c r="C276" i="19"/>
  <c r="C289" i="19"/>
  <c r="D299" i="19"/>
  <c r="C302" i="19"/>
  <c r="C312" i="19"/>
  <c r="D315" i="19"/>
  <c r="AD5" i="14" s="1"/>
  <c r="C325" i="19"/>
  <c r="AC15" i="14" s="1"/>
  <c r="D328" i="19"/>
  <c r="AD18" i="14" s="1"/>
  <c r="D335" i="19"/>
  <c r="AD25" i="14" s="1"/>
  <c r="D116" i="19"/>
  <c r="D152" i="19"/>
  <c r="C155" i="19"/>
  <c r="C165" i="19"/>
  <c r="C178" i="19"/>
  <c r="D188" i="19"/>
  <c r="C191" i="19"/>
  <c r="C201" i="19"/>
  <c r="C214" i="19"/>
  <c r="D217" i="19"/>
  <c r="D224" i="19"/>
  <c r="C227" i="19"/>
  <c r="C237" i="19"/>
  <c r="D240" i="19"/>
  <c r="C250" i="19"/>
  <c r="D253" i="19"/>
  <c r="D260" i="19"/>
  <c r="C263" i="19"/>
  <c r="C273" i="19"/>
  <c r="D276" i="19"/>
  <c r="C286" i="19"/>
  <c r="D289" i="19"/>
  <c r="D296" i="19"/>
  <c r="C299" i="19"/>
  <c r="C309" i="19"/>
  <c r="D312" i="19"/>
  <c r="C322" i="19"/>
  <c r="AC12" i="14" s="1"/>
  <c r="D325" i="19"/>
  <c r="AD15" i="14" s="1"/>
  <c r="D332" i="19"/>
  <c r="AD22" i="14" s="1"/>
  <c r="C335" i="19"/>
  <c r="AC25" i="14" s="1"/>
  <c r="D113" i="19"/>
  <c r="D149" i="19"/>
  <c r="D185" i="19"/>
  <c r="D221" i="19"/>
  <c r="D257" i="19"/>
  <c r="D293" i="19"/>
  <c r="C296" i="19"/>
  <c r="D329" i="19"/>
  <c r="AD19" i="14" s="1"/>
  <c r="C332" i="19"/>
  <c r="AC22" i="14" s="1"/>
  <c r="D76" i="18"/>
  <c r="C229" i="18"/>
  <c r="C165" i="18"/>
  <c r="D20" i="18"/>
  <c r="C105" i="18"/>
  <c r="D121" i="18"/>
  <c r="D129" i="18"/>
  <c r="D165" i="18"/>
  <c r="D216" i="18"/>
  <c r="C226" i="18"/>
  <c r="D31" i="18"/>
  <c r="C97" i="18"/>
  <c r="C157" i="18"/>
  <c r="C166" i="18"/>
  <c r="C202" i="18"/>
  <c r="D255" i="18"/>
  <c r="D291" i="18"/>
  <c r="D327" i="18"/>
  <c r="AB17" i="14" s="1"/>
  <c r="D19" i="18"/>
  <c r="C129" i="18"/>
  <c r="D177" i="18"/>
  <c r="C11" i="18"/>
  <c r="C141" i="18"/>
  <c r="C178" i="18"/>
  <c r="D228" i="18"/>
  <c r="D237" i="18"/>
  <c r="D192" i="18"/>
  <c r="D201" i="18"/>
  <c r="C22" i="18"/>
  <c r="C130" i="18"/>
  <c r="D43" i="18"/>
  <c r="D141" i="18"/>
  <c r="D150" i="18"/>
  <c r="C195" i="18"/>
  <c r="D204" i="18"/>
  <c r="C213" i="18"/>
  <c r="C238" i="18"/>
  <c r="D246" i="18"/>
  <c r="D282" i="18"/>
  <c r="D318" i="18"/>
  <c r="AB8" i="14" s="1"/>
  <c r="C12" i="18"/>
  <c r="C13" i="18"/>
  <c r="C34" i="18"/>
  <c r="D53" i="18"/>
  <c r="D90" i="18"/>
  <c r="C150" i="18"/>
  <c r="D169" i="18"/>
  <c r="C189" i="18"/>
  <c r="D213" i="18"/>
  <c r="C259" i="18"/>
  <c r="C62" i="18"/>
  <c r="C82" i="18"/>
  <c r="C90" i="18"/>
  <c r="D109" i="18"/>
  <c r="C117" i="18"/>
  <c r="D133" i="18"/>
  <c r="C142" i="18"/>
  <c r="D189" i="18"/>
  <c r="D205" i="18"/>
  <c r="C277" i="18"/>
  <c r="C23" i="18"/>
  <c r="C61" i="18"/>
  <c r="C52" i="18"/>
  <c r="C123" i="18"/>
  <c r="D35" i="18"/>
  <c r="D55" i="18"/>
  <c r="D117" i="18"/>
  <c r="D126" i="18"/>
  <c r="D198" i="18"/>
  <c r="C214" i="18"/>
  <c r="D222" i="18"/>
  <c r="D273" i="18"/>
  <c r="D309" i="18"/>
  <c r="C76" i="18"/>
  <c r="C118" i="18"/>
  <c r="C145" i="18"/>
  <c r="C153" i="18"/>
  <c r="D162" i="18"/>
  <c r="C190" i="18"/>
  <c r="D214" i="18"/>
  <c r="D240" i="18"/>
  <c r="D225" i="18"/>
  <c r="D23" i="18"/>
  <c r="C15" i="18"/>
  <c r="C35" i="18"/>
  <c r="C56" i="18"/>
  <c r="D102" i="18"/>
  <c r="D153" i="18"/>
  <c r="D219" i="18"/>
  <c r="C9" i="18"/>
  <c r="C102" i="18"/>
  <c r="D127" i="18"/>
  <c r="D187" i="18"/>
  <c r="C187" i="18"/>
  <c r="C219" i="18"/>
  <c r="D226" i="18"/>
  <c r="C246" i="18"/>
  <c r="C255" i="18"/>
  <c r="C264" i="18"/>
  <c r="C273" i="18"/>
  <c r="C282" i="18"/>
  <c r="C291" i="18"/>
  <c r="C300" i="18"/>
  <c r="C309" i="18"/>
  <c r="C318" i="18"/>
  <c r="AA8" i="14" s="1"/>
  <c r="C327" i="18"/>
  <c r="AA17" i="14" s="1"/>
  <c r="C10" i="18"/>
  <c r="C20" i="18"/>
  <c r="D28" i="18"/>
  <c r="C32" i="18"/>
  <c r="D40" i="18"/>
  <c r="C44" i="18"/>
  <c r="D52" i="18"/>
  <c r="C67" i="18"/>
  <c r="D77" i="18"/>
  <c r="D83" i="18"/>
  <c r="C84" i="18"/>
  <c r="D115" i="18"/>
  <c r="C127" i="18"/>
  <c r="C174" i="18"/>
  <c r="D207" i="18"/>
  <c r="D234" i="18"/>
  <c r="D274" i="18"/>
  <c r="C274" i="18"/>
  <c r="C16" i="18"/>
  <c r="D175" i="18"/>
  <c r="C175" i="18"/>
  <c r="D159" i="18"/>
  <c r="D25" i="18"/>
  <c r="C29" i="18"/>
  <c r="D37" i="18"/>
  <c r="D49" i="18"/>
  <c r="C53" i="18"/>
  <c r="D79" i="18"/>
  <c r="D91" i="18"/>
  <c r="C135" i="18"/>
  <c r="C162" i="18"/>
  <c r="D202" i="18"/>
  <c r="C222" i="18"/>
  <c r="D235" i="18"/>
  <c r="C235" i="18"/>
  <c r="D71" i="18"/>
  <c r="C40" i="18"/>
  <c r="C25" i="18"/>
  <c r="D195" i="18"/>
  <c r="D250" i="18"/>
  <c r="D286" i="18"/>
  <c r="D295" i="18"/>
  <c r="D304" i="18"/>
  <c r="D313" i="18"/>
  <c r="D322" i="18"/>
  <c r="AB12" i="14" s="1"/>
  <c r="D331" i="18"/>
  <c r="AB21" i="14" s="1"/>
  <c r="D44" i="18"/>
  <c r="D147" i="18"/>
  <c r="D74" i="18"/>
  <c r="C111" i="18"/>
  <c r="D123" i="18"/>
  <c r="C136" i="18"/>
  <c r="D142" i="18"/>
  <c r="D163" i="18"/>
  <c r="C163" i="18"/>
  <c r="D190" i="18"/>
  <c r="C210" i="18"/>
  <c r="D223" i="18"/>
  <c r="C223" i="18"/>
  <c r="C250" i="18"/>
  <c r="C286" i="18"/>
  <c r="C295" i="18"/>
  <c r="C304" i="18"/>
  <c r="C313" i="18"/>
  <c r="C322" i="18"/>
  <c r="AA12" i="14" s="1"/>
  <c r="C331" i="18"/>
  <c r="AA21" i="14" s="1"/>
  <c r="D139" i="18"/>
  <c r="C28" i="18"/>
  <c r="D265" i="18"/>
  <c r="C265" i="18"/>
  <c r="C37" i="18"/>
  <c r="C147" i="18"/>
  <c r="D154" i="18"/>
  <c r="D68" i="18"/>
  <c r="D29" i="18"/>
  <c r="D41" i="18"/>
  <c r="D85" i="18"/>
  <c r="D259" i="18"/>
  <c r="C46" i="18"/>
  <c r="D59" i="18"/>
  <c r="D80" i="18"/>
  <c r="C99" i="18"/>
  <c r="D111" i="18"/>
  <c r="D251" i="18"/>
  <c r="C251" i="18"/>
  <c r="D260" i="18"/>
  <c r="C260" i="18"/>
  <c r="D269" i="18"/>
  <c r="C269" i="18"/>
  <c r="D278" i="18"/>
  <c r="C278" i="18"/>
  <c r="D287" i="18"/>
  <c r="C287" i="18"/>
  <c r="D296" i="18"/>
  <c r="C296" i="18"/>
  <c r="D305" i="18"/>
  <c r="C305" i="18"/>
  <c r="D314" i="18"/>
  <c r="AB4" i="14" s="1"/>
  <c r="C314" i="18"/>
  <c r="AA4" i="14" s="1"/>
  <c r="D323" i="18"/>
  <c r="AB13" i="14" s="1"/>
  <c r="C323" i="18"/>
  <c r="AA13" i="14" s="1"/>
  <c r="D332" i="18"/>
  <c r="AB22" i="14" s="1"/>
  <c r="C332" i="18"/>
  <c r="AA22" i="14" s="1"/>
  <c r="D56" i="18"/>
  <c r="C159" i="18"/>
  <c r="D32" i="18"/>
  <c r="D103" i="18"/>
  <c r="D256" i="18"/>
  <c r="C256" i="18"/>
  <c r="C49" i="18"/>
  <c r="C41" i="18"/>
  <c r="C68" i="18"/>
  <c r="D135" i="18"/>
  <c r="D26" i="18"/>
  <c r="D38" i="18"/>
  <c r="D99" i="18"/>
  <c r="D171" i="18"/>
  <c r="D211" i="18"/>
  <c r="C211" i="18"/>
  <c r="D261" i="18"/>
  <c r="C261" i="18"/>
  <c r="D270" i="18"/>
  <c r="C270" i="18"/>
  <c r="D279" i="18"/>
  <c r="C279" i="18"/>
  <c r="C71" i="18"/>
  <c r="C73" i="18"/>
  <c r="D73" i="18"/>
  <c r="C79" i="18"/>
  <c r="C91" i="18"/>
  <c r="D183" i="18"/>
  <c r="D268" i="18"/>
  <c r="C64" i="18"/>
  <c r="C18" i="18"/>
  <c r="D22" i="18"/>
  <c r="C26" i="18"/>
  <c r="D34" i="18"/>
  <c r="C38" i="18"/>
  <c r="D46" i="18"/>
  <c r="C50" i="18"/>
  <c r="D64" i="18"/>
  <c r="C74" i="18"/>
  <c r="D243" i="18"/>
  <c r="C59" i="18"/>
  <c r="C70" i="18"/>
  <c r="C80" i="18"/>
  <c r="C198" i="18"/>
  <c r="C243" i="18"/>
  <c r="C8" i="18"/>
  <c r="C19" i="18"/>
  <c r="C43" i="18"/>
  <c r="D65" i="18"/>
  <c r="C87" i="18"/>
  <c r="D106" i="18"/>
  <c r="D131" i="18"/>
  <c r="C131" i="18"/>
  <c r="C132" i="18"/>
  <c r="C138" i="18"/>
  <c r="D151" i="18"/>
  <c r="C151" i="18"/>
  <c r="C171" i="18"/>
  <c r="D178" i="18"/>
  <c r="D186" i="18"/>
  <c r="D231" i="18"/>
  <c r="C262" i="18"/>
  <c r="D107" i="18"/>
  <c r="C107" i="18"/>
  <c r="C108" i="18"/>
  <c r="D95" i="18"/>
  <c r="C95" i="18"/>
  <c r="C96" i="18"/>
  <c r="D166" i="18"/>
  <c r="D62" i="18"/>
  <c r="D247" i="18"/>
  <c r="C247" i="18"/>
  <c r="C58" i="18"/>
  <c r="D277" i="18"/>
  <c r="C17" i="18"/>
  <c r="D130" i="18"/>
  <c r="D50" i="18"/>
  <c r="D118" i="18"/>
  <c r="D252" i="18"/>
  <c r="C252" i="18"/>
  <c r="C31" i="18"/>
  <c r="C55" i="18"/>
  <c r="D70" i="18"/>
  <c r="C14" i="18"/>
  <c r="C65" i="18"/>
  <c r="D82" i="18"/>
  <c r="D87" i="18"/>
  <c r="D94" i="18"/>
  <c r="D114" i="18"/>
  <c r="D119" i="18"/>
  <c r="C119" i="18"/>
  <c r="C120" i="18"/>
  <c r="C126" i="18"/>
  <c r="C186" i="18"/>
  <c r="D199" i="18"/>
  <c r="C199" i="18"/>
  <c r="C231" i="18"/>
  <c r="D238" i="18"/>
  <c r="D86" i="18"/>
  <c r="C86" i="18"/>
  <c r="D98" i="18"/>
  <c r="C98" i="18"/>
  <c r="D110" i="18"/>
  <c r="C110" i="18"/>
  <c r="D122" i="18"/>
  <c r="C122" i="18"/>
  <c r="D134" i="18"/>
  <c r="C134" i="18"/>
  <c r="D146" i="18"/>
  <c r="C146" i="18"/>
  <c r="D158" i="18"/>
  <c r="C158" i="18"/>
  <c r="D170" i="18"/>
  <c r="C170" i="18"/>
  <c r="D182" i="18"/>
  <c r="C182" i="18"/>
  <c r="D194" i="18"/>
  <c r="C194" i="18"/>
  <c r="D206" i="18"/>
  <c r="C206" i="18"/>
  <c r="D218" i="18"/>
  <c r="C218" i="18"/>
  <c r="D230" i="18"/>
  <c r="C230" i="18"/>
  <c r="D242" i="18"/>
  <c r="C242" i="18"/>
  <c r="D143" i="18"/>
  <c r="C143" i="18"/>
  <c r="D155" i="18"/>
  <c r="C155" i="18"/>
  <c r="D167" i="18"/>
  <c r="C167" i="18"/>
  <c r="D179" i="18"/>
  <c r="C179" i="18"/>
  <c r="D191" i="18"/>
  <c r="C191" i="18"/>
  <c r="D203" i="18"/>
  <c r="C203" i="18"/>
  <c r="D215" i="18"/>
  <c r="C215" i="18"/>
  <c r="D227" i="18"/>
  <c r="C227" i="18"/>
  <c r="D239" i="18"/>
  <c r="C239" i="18"/>
  <c r="C283" i="18"/>
  <c r="C288" i="18"/>
  <c r="C292" i="18"/>
  <c r="C297" i="18"/>
  <c r="C301" i="18"/>
  <c r="C306" i="18"/>
  <c r="C310" i="18"/>
  <c r="C315" i="18"/>
  <c r="AA5" i="14" s="1"/>
  <c r="C319" i="18"/>
  <c r="AA9" i="14" s="1"/>
  <c r="C324" i="18"/>
  <c r="AA14" i="14" s="1"/>
  <c r="C328" i="18"/>
  <c r="AA18" i="14" s="1"/>
  <c r="C333" i="18"/>
  <c r="AA23" i="14" s="1"/>
  <c r="D283" i="18"/>
  <c r="D288" i="18"/>
  <c r="D292" i="18"/>
  <c r="D297" i="18"/>
  <c r="D301" i="18"/>
  <c r="D306" i="18"/>
  <c r="D310" i="18"/>
  <c r="D315" i="18"/>
  <c r="AB5" i="14" s="1"/>
  <c r="D319" i="18"/>
  <c r="AB9" i="14" s="1"/>
  <c r="D324" i="18"/>
  <c r="AB14" i="14" s="1"/>
  <c r="D328" i="18"/>
  <c r="AB18" i="14" s="1"/>
  <c r="D333" i="18"/>
  <c r="AB23" i="14" s="1"/>
  <c r="C180" i="18"/>
  <c r="C192" i="18"/>
  <c r="C204" i="18"/>
  <c r="C216" i="18"/>
  <c r="C228" i="18"/>
  <c r="C240" i="18"/>
  <c r="D248" i="18"/>
  <c r="C248" i="18"/>
  <c r="D257" i="18"/>
  <c r="C257" i="18"/>
  <c r="D266" i="18"/>
  <c r="C266" i="18"/>
  <c r="D275" i="18"/>
  <c r="C275" i="18"/>
  <c r="D284" i="18"/>
  <c r="C284" i="18"/>
  <c r="D293" i="18"/>
  <c r="C293" i="18"/>
  <c r="D302" i="18"/>
  <c r="C302" i="18"/>
  <c r="D311" i="18"/>
  <c r="C311" i="18"/>
  <c r="D320" i="18"/>
  <c r="AB10" i="14" s="1"/>
  <c r="C320" i="18"/>
  <c r="AA10" i="14" s="1"/>
  <c r="D329" i="18"/>
  <c r="AB19" i="14" s="1"/>
  <c r="C329" i="18"/>
  <c r="AA19" i="14" s="1"/>
  <c r="C156" i="18"/>
  <c r="C88" i="18"/>
  <c r="D116" i="18"/>
  <c r="C116" i="18"/>
  <c r="D120" i="18"/>
  <c r="C124" i="18"/>
  <c r="D132" i="18"/>
  <c r="C148" i="18"/>
  <c r="D176" i="18"/>
  <c r="C176" i="18"/>
  <c r="D200" i="18"/>
  <c r="C200" i="18"/>
  <c r="C208" i="18"/>
  <c r="D236" i="18"/>
  <c r="C236" i="18"/>
  <c r="C244" i="18"/>
  <c r="C168" i="18"/>
  <c r="D84" i="18"/>
  <c r="D96" i="18"/>
  <c r="D108" i="18"/>
  <c r="D140" i="18"/>
  <c r="C140" i="18"/>
  <c r="D164" i="18"/>
  <c r="C164" i="18"/>
  <c r="D168" i="18"/>
  <c r="C172" i="18"/>
  <c r="D180" i="18"/>
  <c r="C184" i="18"/>
  <c r="C196" i="18"/>
  <c r="D224" i="18"/>
  <c r="C224" i="18"/>
  <c r="C21" i="18"/>
  <c r="C24" i="18"/>
  <c r="C27" i="18"/>
  <c r="C33" i="18"/>
  <c r="C36" i="18"/>
  <c r="C39" i="18"/>
  <c r="C42" i="18"/>
  <c r="C48" i="18"/>
  <c r="C51" i="18"/>
  <c r="C54" i="18"/>
  <c r="C57" i="18"/>
  <c r="C60" i="18"/>
  <c r="C63" i="18"/>
  <c r="C66" i="18"/>
  <c r="C69" i="18"/>
  <c r="C72" i="18"/>
  <c r="C75" i="18"/>
  <c r="C78" i="18"/>
  <c r="C81" i="18"/>
  <c r="D100" i="18"/>
  <c r="D112" i="18"/>
  <c r="D124" i="18"/>
  <c r="D136" i="18"/>
  <c r="D148" i="18"/>
  <c r="D160" i="18"/>
  <c r="D172" i="18"/>
  <c r="D184" i="18"/>
  <c r="D196" i="18"/>
  <c r="D208" i="18"/>
  <c r="D220" i="18"/>
  <c r="D232" i="18"/>
  <c r="D244" i="18"/>
  <c r="C249" i="18"/>
  <c r="C253" i="18"/>
  <c r="C258" i="18"/>
  <c r="C267" i="18"/>
  <c r="C271" i="18"/>
  <c r="C276" i="18"/>
  <c r="C280" i="18"/>
  <c r="C285" i="18"/>
  <c r="C289" i="18"/>
  <c r="C294" i="18"/>
  <c r="C298" i="18"/>
  <c r="C303" i="18"/>
  <c r="C307" i="18"/>
  <c r="C312" i="18"/>
  <c r="C316" i="18"/>
  <c r="AA6" i="14" s="1"/>
  <c r="C321" i="18"/>
  <c r="AA11" i="14" s="1"/>
  <c r="C325" i="18"/>
  <c r="AA15" i="14" s="1"/>
  <c r="C330" i="18"/>
  <c r="AA20" i="14" s="1"/>
  <c r="C334" i="18"/>
  <c r="AA24" i="14" s="1"/>
  <c r="C144" i="18"/>
  <c r="D92" i="18"/>
  <c r="C92" i="18"/>
  <c r="C100" i="18"/>
  <c r="C112" i="18"/>
  <c r="D152" i="18"/>
  <c r="C152" i="18"/>
  <c r="C160" i="18"/>
  <c r="D188" i="18"/>
  <c r="C188" i="18"/>
  <c r="D212" i="18"/>
  <c r="C212" i="18"/>
  <c r="C220" i="18"/>
  <c r="C232" i="18"/>
  <c r="C30" i="18"/>
  <c r="C45" i="18"/>
  <c r="D88" i="18"/>
  <c r="D21" i="18"/>
  <c r="D24" i="18"/>
  <c r="D27" i="18"/>
  <c r="D30" i="18"/>
  <c r="D33" i="18"/>
  <c r="D36" i="18"/>
  <c r="D39" i="18"/>
  <c r="D42" i="18"/>
  <c r="D45" i="18"/>
  <c r="D48" i="18"/>
  <c r="D51" i="18"/>
  <c r="D54" i="18"/>
  <c r="D57" i="18"/>
  <c r="D60" i="18"/>
  <c r="D63" i="18"/>
  <c r="D66" i="18"/>
  <c r="D69" i="18"/>
  <c r="D72" i="18"/>
  <c r="D75" i="18"/>
  <c r="D78" i="18"/>
  <c r="D81" i="18"/>
  <c r="D249" i="18"/>
  <c r="D253" i="18"/>
  <c r="D258" i="18"/>
  <c r="D262" i="18"/>
  <c r="D267" i="18"/>
  <c r="D271" i="18"/>
  <c r="D276" i="18"/>
  <c r="D280" i="18"/>
  <c r="D285" i="18"/>
  <c r="D289" i="18"/>
  <c r="D294" i="18"/>
  <c r="D298" i="18"/>
  <c r="D303" i="18"/>
  <c r="D307" i="18"/>
  <c r="D312" i="18"/>
  <c r="D316" i="18"/>
  <c r="AB6" i="14" s="1"/>
  <c r="D321" i="18"/>
  <c r="AB11" i="14" s="1"/>
  <c r="D325" i="18"/>
  <c r="AB15" i="14" s="1"/>
  <c r="D330" i="18"/>
  <c r="AB20" i="14" s="1"/>
  <c r="D334" i="18"/>
  <c r="AB24" i="14" s="1"/>
  <c r="D104" i="18"/>
  <c r="C104" i="18"/>
  <c r="D128" i="18"/>
  <c r="C128" i="18"/>
  <c r="D144" i="18"/>
  <c r="D156" i="18"/>
  <c r="D89" i="18"/>
  <c r="C89" i="18"/>
  <c r="D101" i="18"/>
  <c r="C101" i="18"/>
  <c r="D113" i="18"/>
  <c r="C113" i="18"/>
  <c r="D125" i="18"/>
  <c r="C125" i="18"/>
  <c r="D137" i="18"/>
  <c r="C137" i="18"/>
  <c r="D149" i="18"/>
  <c r="C149" i="18"/>
  <c r="D161" i="18"/>
  <c r="C161" i="18"/>
  <c r="D173" i="18"/>
  <c r="C173" i="18"/>
  <c r="D185" i="18"/>
  <c r="C185" i="18"/>
  <c r="D197" i="18"/>
  <c r="C197" i="18"/>
  <c r="D209" i="18"/>
  <c r="C209" i="18"/>
  <c r="D221" i="18"/>
  <c r="C221" i="18"/>
  <c r="D233" i="18"/>
  <c r="C233" i="18"/>
  <c r="D245" i="18"/>
  <c r="C245" i="18"/>
  <c r="D254" i="18"/>
  <c r="C254" i="18"/>
  <c r="D263" i="18"/>
  <c r="C263" i="18"/>
  <c r="D272" i="18"/>
  <c r="C272" i="18"/>
  <c r="D281" i="18"/>
  <c r="C281" i="18"/>
  <c r="D290" i="18"/>
  <c r="C290" i="18"/>
  <c r="D299" i="18"/>
  <c r="C299" i="18"/>
  <c r="D308" i="18"/>
  <c r="C308" i="18"/>
  <c r="D317" i="18"/>
  <c r="AB7" i="14" s="1"/>
  <c r="C317" i="18"/>
  <c r="AA7" i="14" s="1"/>
  <c r="D326" i="18"/>
  <c r="AB16" i="14" s="1"/>
  <c r="C326" i="18"/>
  <c r="AA16" i="14" s="1"/>
  <c r="C335" i="18"/>
  <c r="AA25" i="14" s="1"/>
  <c r="D335" i="18"/>
  <c r="AB25" i="14" s="1"/>
  <c r="C335" i="11"/>
  <c r="I25" i="14" s="1"/>
  <c r="B334" i="10"/>
  <c r="B334" i="9"/>
  <c r="C335" i="7"/>
  <c r="AE25" i="14" s="1"/>
  <c r="C335" i="6"/>
  <c r="W25" i="14" s="1"/>
  <c r="C335" i="5"/>
  <c r="K25" i="14" s="1"/>
  <c r="B334" i="4"/>
  <c r="B334" i="17"/>
  <c r="B334" i="16"/>
  <c r="B334" i="3"/>
  <c r="D346" i="3" s="1"/>
  <c r="D36" i="14" s="1"/>
  <c r="C335" i="9" l="1"/>
  <c r="O25" i="14" s="1"/>
  <c r="D346" i="9"/>
  <c r="P36" i="14" s="1"/>
  <c r="C335" i="10"/>
  <c r="S25" i="14" s="1"/>
  <c r="D346" i="10"/>
  <c r="T36" i="14" s="1"/>
  <c r="C335" i="4"/>
  <c r="M25" i="14" s="1"/>
  <c r="D346" i="4"/>
  <c r="N36" i="14" s="1"/>
  <c r="C335" i="16"/>
  <c r="E25" i="14" s="1"/>
  <c r="D346" i="16"/>
  <c r="F36" i="14" s="1"/>
  <c r="C335" i="17"/>
  <c r="G25" i="14" s="1"/>
  <c r="D346" i="17"/>
  <c r="H36" i="14" s="1"/>
  <c r="C335" i="3"/>
  <c r="C25" i="14" s="1"/>
  <c r="B333" i="10"/>
  <c r="B333" i="9"/>
  <c r="D345" i="9" s="1"/>
  <c r="P35" i="14" s="1"/>
  <c r="C334" i="6"/>
  <c r="W24" i="14" s="1"/>
  <c r="B333" i="4"/>
  <c r="B333" i="17"/>
  <c r="D345" i="17" s="1"/>
  <c r="H35" i="14" s="1"/>
  <c r="B333" i="16"/>
  <c r="D345" i="16" s="1"/>
  <c r="F35" i="14" s="1"/>
  <c r="B333" i="3"/>
  <c r="D345" i="3" s="1"/>
  <c r="D35" i="14" s="1"/>
  <c r="C334" i="4" l="1"/>
  <c r="M24" i="14" s="1"/>
  <c r="D345" i="4"/>
  <c r="N35" i="14" s="1"/>
  <c r="C334" i="10"/>
  <c r="S24" i="14" s="1"/>
  <c r="D345" i="10"/>
  <c r="T35" i="14" s="1"/>
  <c r="C334" i="3"/>
  <c r="C24" i="14" s="1"/>
  <c r="C334" i="11"/>
  <c r="I24" i="14" s="1"/>
  <c r="C334" i="16"/>
  <c r="E24" i="14" s="1"/>
  <c r="C334" i="9"/>
  <c r="O24" i="14" s="1"/>
  <c r="C334" i="17"/>
  <c r="G24" i="14" s="1"/>
  <c r="C334" i="7"/>
  <c r="AE24" i="14" s="1"/>
  <c r="C334" i="5"/>
  <c r="K24" i="14" s="1"/>
  <c r="C333" i="11"/>
  <c r="I23" i="14" s="1"/>
  <c r="B332" i="10"/>
  <c r="B332" i="9"/>
  <c r="C333" i="7"/>
  <c r="AE23" i="14" s="1"/>
  <c r="C333" i="6"/>
  <c r="W23" i="14" s="1"/>
  <c r="C333" i="5"/>
  <c r="K23" i="14" s="1"/>
  <c r="B332" i="4"/>
  <c r="B332" i="17"/>
  <c r="B332" i="16"/>
  <c r="B332" i="3"/>
  <c r="C333" i="9" l="1"/>
  <c r="O23" i="14" s="1"/>
  <c r="D344" i="9"/>
  <c r="P34" i="14" s="1"/>
  <c r="C333" i="10"/>
  <c r="S23" i="14" s="1"/>
  <c r="D344" i="10"/>
  <c r="T34" i="14" s="1"/>
  <c r="C333" i="4"/>
  <c r="M23" i="14" s="1"/>
  <c r="D344" i="4"/>
  <c r="N34" i="14" s="1"/>
  <c r="C333" i="16"/>
  <c r="E23" i="14" s="1"/>
  <c r="D344" i="16"/>
  <c r="F34" i="14" s="1"/>
  <c r="C333" i="3"/>
  <c r="C23" i="14" s="1"/>
  <c r="D344" i="3"/>
  <c r="D34" i="14" s="1"/>
  <c r="C333" i="17"/>
  <c r="G23" i="14" s="1"/>
  <c r="D344" i="17"/>
  <c r="H34" i="14" s="1"/>
  <c r="C332" i="11"/>
  <c r="I22" i="14" s="1"/>
  <c r="B331" i="10"/>
  <c r="B331" i="9"/>
  <c r="C332" i="7"/>
  <c r="AE22" i="14" s="1"/>
  <c r="C332" i="6"/>
  <c r="W22" i="14" s="1"/>
  <c r="C332" i="5"/>
  <c r="K22" i="14" s="1"/>
  <c r="B331" i="4"/>
  <c r="B331" i="17"/>
  <c r="B331" i="16"/>
  <c r="B331" i="3"/>
  <c r="D343" i="3" s="1"/>
  <c r="D33" i="14" s="1"/>
  <c r="C332" i="10" l="1"/>
  <c r="S22" i="14" s="1"/>
  <c r="D343" i="10"/>
  <c r="T33" i="14" s="1"/>
  <c r="C332" i="4"/>
  <c r="M22" i="14" s="1"/>
  <c r="D343" i="4"/>
  <c r="N33" i="14" s="1"/>
  <c r="C332" i="9"/>
  <c r="O22" i="14" s="1"/>
  <c r="D343" i="9"/>
  <c r="P33" i="14" s="1"/>
  <c r="C332" i="16"/>
  <c r="E22" i="14" s="1"/>
  <c r="D343" i="16"/>
  <c r="F33" i="14" s="1"/>
  <c r="C332" i="17"/>
  <c r="G22" i="14" s="1"/>
  <c r="D343" i="17"/>
  <c r="H33" i="14" s="1"/>
  <c r="C332" i="3"/>
  <c r="C22" i="14" s="1"/>
  <c r="C331" i="11"/>
  <c r="I21" i="14" s="1"/>
  <c r="B330" i="10"/>
  <c r="D342" i="10" s="1"/>
  <c r="T32" i="14" s="1"/>
  <c r="B330" i="9"/>
  <c r="C331" i="7"/>
  <c r="AE21" i="14" s="1"/>
  <c r="C331" i="6"/>
  <c r="W21" i="14" s="1"/>
  <c r="B330" i="4"/>
  <c r="B330" i="17"/>
  <c r="B330" i="16"/>
  <c r="B330" i="3"/>
  <c r="D342" i="3" s="1"/>
  <c r="D32" i="14" s="1"/>
  <c r="C331" i="4" l="1"/>
  <c r="M21" i="14" s="1"/>
  <c r="D342" i="4"/>
  <c r="N32" i="14" s="1"/>
  <c r="C331" i="9"/>
  <c r="O21" i="14" s="1"/>
  <c r="D342" i="9"/>
  <c r="P32" i="14" s="1"/>
  <c r="C331" i="16"/>
  <c r="E21" i="14" s="1"/>
  <c r="D342" i="16"/>
  <c r="F32" i="14" s="1"/>
  <c r="C331" i="17"/>
  <c r="G21" i="14" s="1"/>
  <c r="D342" i="17"/>
  <c r="H32" i="14" s="1"/>
  <c r="C331" i="3"/>
  <c r="C21" i="14" s="1"/>
  <c r="C331" i="10"/>
  <c r="S21" i="14" s="1"/>
  <c r="C331" i="5"/>
  <c r="K21" i="14" s="1"/>
  <c r="C330" i="11" l="1"/>
  <c r="I20" i="14" s="1"/>
  <c r="B329" i="10"/>
  <c r="B329" i="9"/>
  <c r="C330" i="5"/>
  <c r="K20" i="14" s="1"/>
  <c r="B329" i="4"/>
  <c r="D341" i="4" s="1"/>
  <c r="N31" i="14" s="1"/>
  <c r="B329" i="17"/>
  <c r="D341" i="17" s="1"/>
  <c r="H31" i="14" s="1"/>
  <c r="B329" i="16"/>
  <c r="D341" i="16" s="1"/>
  <c r="F31" i="14" s="1"/>
  <c r="B329" i="3"/>
  <c r="D341" i="3" s="1"/>
  <c r="D31" i="14" s="1"/>
  <c r="C330" i="10" l="1"/>
  <c r="S20" i="14" s="1"/>
  <c r="D341" i="10"/>
  <c r="T31" i="14" s="1"/>
  <c r="C330" i="9"/>
  <c r="O20" i="14" s="1"/>
  <c r="D341" i="9"/>
  <c r="P31" i="14" s="1"/>
  <c r="C330" i="17"/>
  <c r="G20" i="14" s="1"/>
  <c r="C330" i="7"/>
  <c r="AE20" i="14" s="1"/>
  <c r="C330" i="16"/>
  <c r="E20" i="14" s="1"/>
  <c r="C330" i="6"/>
  <c r="W20" i="14" s="1"/>
  <c r="C330" i="3"/>
  <c r="C20" i="14" s="1"/>
  <c r="C330" i="4"/>
  <c r="M20" i="14" s="1"/>
  <c r="B328" i="10"/>
  <c r="B328" i="9"/>
  <c r="C329" i="7"/>
  <c r="AE19" i="14" s="1"/>
  <c r="C329" i="6"/>
  <c r="W19" i="14" s="1"/>
  <c r="B328" i="4"/>
  <c r="B328" i="17"/>
  <c r="D340" i="17" s="1"/>
  <c r="H30" i="14" s="1"/>
  <c r="B328" i="16"/>
  <c r="B328" i="3"/>
  <c r="D340" i="3" s="1"/>
  <c r="D30" i="14" s="1"/>
  <c r="C329" i="9" l="1"/>
  <c r="O19" i="14" s="1"/>
  <c r="D340" i="9"/>
  <c r="P30" i="14" s="1"/>
  <c r="C329" i="10"/>
  <c r="S19" i="14" s="1"/>
  <c r="D340" i="10"/>
  <c r="T30" i="14" s="1"/>
  <c r="C329" i="4"/>
  <c r="M19" i="14" s="1"/>
  <c r="D340" i="4"/>
  <c r="N30" i="14" s="1"/>
  <c r="C329" i="16"/>
  <c r="E19" i="14" s="1"/>
  <c r="D340" i="16"/>
  <c r="F30" i="14" s="1"/>
  <c r="C329" i="17"/>
  <c r="G19" i="14" s="1"/>
  <c r="C329" i="5"/>
  <c r="K19" i="14" s="1"/>
  <c r="C329" i="3"/>
  <c r="C19" i="14" s="1"/>
  <c r="C329" i="11"/>
  <c r="I19" i="14" s="1"/>
  <c r="C328" i="11"/>
  <c r="I18" i="14" s="1"/>
  <c r="B327" i="10"/>
  <c r="B327" i="9"/>
  <c r="C328" i="7"/>
  <c r="AE18" i="14" s="1"/>
  <c r="C328" i="6"/>
  <c r="W18" i="14" s="1"/>
  <c r="C328" i="5"/>
  <c r="K18" i="14" s="1"/>
  <c r="B327" i="4"/>
  <c r="B327" i="17"/>
  <c r="B327" i="16"/>
  <c r="B327" i="3"/>
  <c r="D339" i="3" s="1"/>
  <c r="D29" i="14" s="1"/>
  <c r="C328" i="4" l="1"/>
  <c r="M18" i="14" s="1"/>
  <c r="D339" i="4"/>
  <c r="N29" i="14" s="1"/>
  <c r="C328" i="9"/>
  <c r="O18" i="14" s="1"/>
  <c r="D339" i="9"/>
  <c r="P29" i="14" s="1"/>
  <c r="C328" i="10"/>
  <c r="S18" i="14" s="1"/>
  <c r="D339" i="10"/>
  <c r="T29" i="14" s="1"/>
  <c r="C328" i="16"/>
  <c r="E18" i="14" s="1"/>
  <c r="D339" i="16"/>
  <c r="F29" i="14" s="1"/>
  <c r="C328" i="17"/>
  <c r="G18" i="14" s="1"/>
  <c r="D339" i="17"/>
  <c r="H29" i="14" s="1"/>
  <c r="C328" i="3"/>
  <c r="C18" i="14" s="1"/>
  <c r="B326" i="10"/>
  <c r="B326" i="9"/>
  <c r="D338" i="9" s="1"/>
  <c r="P28" i="14" s="1"/>
  <c r="C327" i="6"/>
  <c r="W17" i="14" s="1"/>
  <c r="B326" i="4"/>
  <c r="D338" i="4" s="1"/>
  <c r="N28" i="14" s="1"/>
  <c r="B326" i="17"/>
  <c r="D338" i="17" s="1"/>
  <c r="H28" i="14" s="1"/>
  <c r="B326" i="16"/>
  <c r="D338" i="16" s="1"/>
  <c r="F28" i="14" s="1"/>
  <c r="B326" i="3"/>
  <c r="D338" i="3" s="1"/>
  <c r="D28" i="14" s="1"/>
  <c r="C327" i="10" l="1"/>
  <c r="S17" i="14" s="1"/>
  <c r="D338" i="10"/>
  <c r="T28" i="14" s="1"/>
  <c r="C327" i="3"/>
  <c r="C17" i="14" s="1"/>
  <c r="C327" i="11"/>
  <c r="I17" i="14" s="1"/>
  <c r="C327" i="4"/>
  <c r="M17" i="14" s="1"/>
  <c r="C327" i="7"/>
  <c r="AE17" i="14" s="1"/>
  <c r="C327" i="5"/>
  <c r="K17" i="14" s="1"/>
  <c r="C327" i="16"/>
  <c r="E17" i="14" s="1"/>
  <c r="C327" i="17"/>
  <c r="G17" i="14" s="1"/>
  <c r="C327" i="9"/>
  <c r="O17" i="14" s="1"/>
  <c r="C326" i="11"/>
  <c r="I16" i="14" s="1"/>
  <c r="B325" i="10"/>
  <c r="D337" i="10" s="1"/>
  <c r="T27" i="14" s="1"/>
  <c r="B325" i="9"/>
  <c r="C326" i="5"/>
  <c r="K16" i="14" s="1"/>
  <c r="B325" i="4"/>
  <c r="D337" i="4" s="1"/>
  <c r="N27" i="14" s="1"/>
  <c r="B325" i="17"/>
  <c r="B325" i="16"/>
  <c r="B325" i="3"/>
  <c r="D337" i="3" s="1"/>
  <c r="D27" i="14" s="1"/>
  <c r="C326" i="9" l="1"/>
  <c r="O16" i="14" s="1"/>
  <c r="D337" i="9"/>
  <c r="P27" i="14" s="1"/>
  <c r="C326" i="16"/>
  <c r="E16" i="14" s="1"/>
  <c r="D337" i="16"/>
  <c r="F27" i="14" s="1"/>
  <c r="C326" i="17"/>
  <c r="G16" i="14" s="1"/>
  <c r="D337" i="17"/>
  <c r="H27" i="14" s="1"/>
  <c r="C326" i="10"/>
  <c r="S16" i="14" s="1"/>
  <c r="C326" i="3"/>
  <c r="C16" i="14" s="1"/>
  <c r="C326" i="4"/>
  <c r="M16" i="14" s="1"/>
  <c r="C326" i="6"/>
  <c r="W16" i="14" s="1"/>
  <c r="C326" i="7"/>
  <c r="AE16" i="14" s="1"/>
  <c r="E8" i="13"/>
  <c r="B324" i="17"/>
  <c r="B323" i="17"/>
  <c r="B322" i="17"/>
  <c r="B321" i="17"/>
  <c r="B320" i="17"/>
  <c r="B319" i="17"/>
  <c r="B318" i="17"/>
  <c r="B317" i="17"/>
  <c r="B316" i="17"/>
  <c r="B315" i="17"/>
  <c r="B314" i="17"/>
  <c r="B313" i="17"/>
  <c r="D325" i="17" s="1"/>
  <c r="H15" i="14" s="1"/>
  <c r="B312" i="17"/>
  <c r="B311" i="17"/>
  <c r="B310" i="17"/>
  <c r="B309" i="17"/>
  <c r="B308" i="17"/>
  <c r="B307" i="17"/>
  <c r="B306" i="17"/>
  <c r="B305" i="17"/>
  <c r="B304" i="17"/>
  <c r="D316" i="17" s="1"/>
  <c r="H6" i="14" s="1"/>
  <c r="B303" i="17"/>
  <c r="B302" i="17"/>
  <c r="B301" i="17"/>
  <c r="B300" i="17"/>
  <c r="B299" i="17"/>
  <c r="B298" i="17"/>
  <c r="B297" i="17"/>
  <c r="B296" i="17"/>
  <c r="B295" i="17"/>
  <c r="B294" i="17"/>
  <c r="B293" i="17"/>
  <c r="B292" i="17"/>
  <c r="B291" i="17"/>
  <c r="B290" i="17"/>
  <c r="B289" i="17"/>
  <c r="B288" i="17"/>
  <c r="B287" i="17"/>
  <c r="B286" i="17"/>
  <c r="B285" i="17"/>
  <c r="B284" i="17"/>
  <c r="B283" i="17"/>
  <c r="B282" i="17"/>
  <c r="B281" i="17"/>
  <c r="B280" i="17"/>
  <c r="B279" i="17"/>
  <c r="B278" i="17"/>
  <c r="B277" i="17"/>
  <c r="B276" i="17"/>
  <c r="B275" i="17"/>
  <c r="B274" i="17"/>
  <c r="B273" i="17"/>
  <c r="B272" i="17"/>
  <c r="B271" i="17"/>
  <c r="B270" i="17"/>
  <c r="B269" i="17"/>
  <c r="B268" i="17"/>
  <c r="B267" i="17"/>
  <c r="B266" i="17"/>
  <c r="B265" i="17"/>
  <c r="B264" i="17"/>
  <c r="B263" i="17"/>
  <c r="B262" i="17"/>
  <c r="B261" i="17"/>
  <c r="B260" i="17"/>
  <c r="B259" i="17"/>
  <c r="B258" i="17"/>
  <c r="B257" i="17"/>
  <c r="B256" i="17"/>
  <c r="B255" i="17"/>
  <c r="B254" i="17"/>
  <c r="B253" i="17"/>
  <c r="B252" i="17"/>
  <c r="B251" i="17"/>
  <c r="B250" i="17"/>
  <c r="B249" i="17"/>
  <c r="B248" i="17"/>
  <c r="B247" i="17"/>
  <c r="B246" i="17"/>
  <c r="B245" i="17"/>
  <c r="B244" i="17"/>
  <c r="B243" i="17"/>
  <c r="B242" i="17"/>
  <c r="B241" i="17"/>
  <c r="B240" i="17"/>
  <c r="B239" i="17"/>
  <c r="B238" i="17"/>
  <c r="B237" i="17"/>
  <c r="B236" i="17"/>
  <c r="B235" i="17"/>
  <c r="B234" i="17"/>
  <c r="B233" i="17"/>
  <c r="B232" i="17"/>
  <c r="B231" i="17"/>
  <c r="B230" i="17"/>
  <c r="B229" i="17"/>
  <c r="B228" i="17"/>
  <c r="B227" i="17"/>
  <c r="B226" i="17"/>
  <c r="B225" i="17"/>
  <c r="B224" i="17"/>
  <c r="B223" i="17"/>
  <c r="D235" i="17" s="1"/>
  <c r="B222" i="17"/>
  <c r="B221" i="17"/>
  <c r="B220" i="17"/>
  <c r="B219" i="17"/>
  <c r="B218" i="17"/>
  <c r="B217" i="17"/>
  <c r="B216" i="17"/>
  <c r="B215" i="17"/>
  <c r="B214" i="17"/>
  <c r="B213" i="17"/>
  <c r="B212" i="17"/>
  <c r="B211" i="17"/>
  <c r="B210" i="17"/>
  <c r="B209" i="17"/>
  <c r="B208" i="17"/>
  <c r="B207" i="17"/>
  <c r="B206" i="17"/>
  <c r="B205" i="17"/>
  <c r="B204" i="17"/>
  <c r="B203" i="17"/>
  <c r="B202" i="17"/>
  <c r="B201" i="17"/>
  <c r="B200" i="17"/>
  <c r="B199" i="17"/>
  <c r="B198" i="17"/>
  <c r="B197" i="17"/>
  <c r="B196" i="17"/>
  <c r="B195" i="17"/>
  <c r="B194" i="17"/>
  <c r="B193" i="17"/>
  <c r="B192" i="17"/>
  <c r="B191" i="17"/>
  <c r="B190" i="17"/>
  <c r="B189" i="17"/>
  <c r="B188" i="17"/>
  <c r="B187" i="17"/>
  <c r="B186" i="17"/>
  <c r="B185" i="17"/>
  <c r="B184" i="17"/>
  <c r="B183" i="17"/>
  <c r="B182" i="17"/>
  <c r="B181" i="17"/>
  <c r="B180" i="17"/>
  <c r="B179" i="17"/>
  <c r="B178" i="17"/>
  <c r="B177" i="17"/>
  <c r="B176" i="17"/>
  <c r="B175" i="17"/>
  <c r="B174" i="17"/>
  <c r="B173" i="17"/>
  <c r="B172" i="17"/>
  <c r="B171" i="17"/>
  <c r="B170" i="17"/>
  <c r="B169" i="17"/>
  <c r="B168" i="17"/>
  <c r="B167" i="17"/>
  <c r="B166" i="17"/>
  <c r="B165" i="17"/>
  <c r="B164" i="17"/>
  <c r="B163" i="17"/>
  <c r="B162" i="17"/>
  <c r="B161" i="17"/>
  <c r="B160" i="17"/>
  <c r="B159" i="17"/>
  <c r="B158" i="17"/>
  <c r="B157" i="17"/>
  <c r="B156" i="17"/>
  <c r="B155" i="17"/>
  <c r="B154" i="17"/>
  <c r="B153" i="17"/>
  <c r="B152" i="17"/>
  <c r="B151" i="17"/>
  <c r="B150" i="17"/>
  <c r="B149" i="17"/>
  <c r="B148" i="17"/>
  <c r="B147" i="17"/>
  <c r="B146" i="17"/>
  <c r="B145" i="17"/>
  <c r="B144" i="17"/>
  <c r="B143" i="17"/>
  <c r="B142" i="17"/>
  <c r="B141" i="17"/>
  <c r="B140" i="17"/>
  <c r="B139" i="17"/>
  <c r="B138" i="17"/>
  <c r="B137" i="17"/>
  <c r="B136" i="17"/>
  <c r="B135" i="17"/>
  <c r="B134" i="17"/>
  <c r="B133" i="17"/>
  <c r="B132" i="17"/>
  <c r="B131" i="17"/>
  <c r="B130" i="17"/>
  <c r="B129" i="17"/>
  <c r="B128" i="17"/>
  <c r="B127" i="17"/>
  <c r="B126" i="17"/>
  <c r="B125" i="17"/>
  <c r="B124" i="17"/>
  <c r="B123" i="17"/>
  <c r="B122" i="17"/>
  <c r="B121" i="17"/>
  <c r="B120" i="17"/>
  <c r="B119" i="17"/>
  <c r="B118" i="17"/>
  <c r="B117" i="17"/>
  <c r="B116" i="17"/>
  <c r="B115" i="17"/>
  <c r="B114" i="17"/>
  <c r="B113" i="17"/>
  <c r="B112" i="17"/>
  <c r="B111" i="17"/>
  <c r="B110" i="17"/>
  <c r="B109" i="17"/>
  <c r="B108" i="17"/>
  <c r="B107" i="17"/>
  <c r="B106" i="17"/>
  <c r="B105" i="17"/>
  <c r="B104" i="17"/>
  <c r="B103" i="17"/>
  <c r="D115" i="17" s="1"/>
  <c r="B102" i="17"/>
  <c r="B101" i="17"/>
  <c r="B100" i="17"/>
  <c r="B99" i="17"/>
  <c r="B98" i="17"/>
  <c r="B97" i="17"/>
  <c r="B96" i="17"/>
  <c r="B95" i="17"/>
  <c r="B94" i="17"/>
  <c r="B93" i="17"/>
  <c r="B92" i="17"/>
  <c r="B91" i="17"/>
  <c r="B90" i="17"/>
  <c r="B89" i="17"/>
  <c r="B88" i="17"/>
  <c r="B87" i="17"/>
  <c r="B86" i="17"/>
  <c r="B85" i="17"/>
  <c r="B84" i="17"/>
  <c r="B83" i="17"/>
  <c r="B82" i="17"/>
  <c r="B81" i="17"/>
  <c r="B80" i="17"/>
  <c r="B79" i="17"/>
  <c r="B78" i="17"/>
  <c r="B77" i="17"/>
  <c r="B76" i="17"/>
  <c r="B75" i="17"/>
  <c r="B74" i="17"/>
  <c r="B73" i="17"/>
  <c r="B72" i="17"/>
  <c r="B71" i="17"/>
  <c r="B70" i="17"/>
  <c r="B69" i="17"/>
  <c r="B68" i="17"/>
  <c r="B67" i="17"/>
  <c r="B66" i="17"/>
  <c r="B65" i="17"/>
  <c r="B64" i="17"/>
  <c r="B63" i="17"/>
  <c r="B62" i="17"/>
  <c r="B61" i="17"/>
  <c r="B60" i="17"/>
  <c r="B59" i="17"/>
  <c r="B58" i="17"/>
  <c r="B57" i="17"/>
  <c r="B56" i="17"/>
  <c r="B55" i="17"/>
  <c r="B54" i="17"/>
  <c r="B53" i="17"/>
  <c r="B52" i="17"/>
  <c r="B51" i="17"/>
  <c r="B50" i="17"/>
  <c r="B49" i="17"/>
  <c r="B48" i="17"/>
  <c r="B47" i="17"/>
  <c r="B46" i="17"/>
  <c r="B45" i="17"/>
  <c r="B44" i="17"/>
  <c r="B43" i="17"/>
  <c r="B42" i="17"/>
  <c r="B41" i="17"/>
  <c r="B40" i="17"/>
  <c r="B39" i="17"/>
  <c r="B38" i="17"/>
  <c r="B37" i="17"/>
  <c r="B36" i="17"/>
  <c r="B35" i="17"/>
  <c r="B34" i="17"/>
  <c r="B33" i="17"/>
  <c r="B32" i="17"/>
  <c r="B31" i="17"/>
  <c r="B30" i="17"/>
  <c r="B29" i="17"/>
  <c r="B28" i="17"/>
  <c r="B27" i="17"/>
  <c r="B26" i="17"/>
  <c r="B25" i="17"/>
  <c r="B24" i="17"/>
  <c r="B23" i="17"/>
  <c r="B22" i="17"/>
  <c r="B21" i="17"/>
  <c r="B20" i="17"/>
  <c r="B19" i="17"/>
  <c r="B18" i="17"/>
  <c r="B17" i="17"/>
  <c r="B16" i="17"/>
  <c r="B15" i="17"/>
  <c r="B14" i="17"/>
  <c r="B13" i="17"/>
  <c r="B12" i="17"/>
  <c r="B11" i="17"/>
  <c r="B10" i="17"/>
  <c r="B9" i="17"/>
  <c r="B8" i="17"/>
  <c r="B7" i="17"/>
  <c r="B324" i="16"/>
  <c r="B323" i="16"/>
  <c r="B322" i="16"/>
  <c r="B321" i="16"/>
  <c r="B320" i="16"/>
  <c r="B319" i="16"/>
  <c r="B318" i="16"/>
  <c r="D330" i="16" s="1"/>
  <c r="F20" i="14" s="1"/>
  <c r="B317" i="16"/>
  <c r="B316" i="16"/>
  <c r="B315" i="16"/>
  <c r="D327" i="16" s="1"/>
  <c r="F17" i="14" s="1"/>
  <c r="B314" i="16"/>
  <c r="D326" i="16" s="1"/>
  <c r="F16" i="14" s="1"/>
  <c r="B313" i="16"/>
  <c r="D325" i="16" s="1"/>
  <c r="F15" i="14" s="1"/>
  <c r="B312" i="16"/>
  <c r="B311" i="16"/>
  <c r="B310" i="16"/>
  <c r="B309" i="16"/>
  <c r="B308" i="16"/>
  <c r="B307" i="16"/>
  <c r="B306" i="16"/>
  <c r="B305" i="16"/>
  <c r="B304" i="16"/>
  <c r="B303" i="16"/>
  <c r="B302" i="16"/>
  <c r="B301" i="16"/>
  <c r="B300" i="16"/>
  <c r="B299" i="16"/>
  <c r="B298" i="16"/>
  <c r="B297" i="16"/>
  <c r="B296" i="16"/>
  <c r="B295" i="16"/>
  <c r="B294" i="16"/>
  <c r="B293" i="16"/>
  <c r="B292" i="16"/>
  <c r="B291" i="16"/>
  <c r="B290" i="16"/>
  <c r="B289" i="16"/>
  <c r="B288" i="16"/>
  <c r="B287" i="16"/>
  <c r="B286" i="16"/>
  <c r="B285" i="16"/>
  <c r="B284" i="16"/>
  <c r="B283" i="16"/>
  <c r="B282" i="16"/>
  <c r="B281" i="16"/>
  <c r="B280" i="16"/>
  <c r="B279" i="16"/>
  <c r="B278" i="16"/>
  <c r="B277" i="16"/>
  <c r="B276" i="16"/>
  <c r="B275" i="16"/>
  <c r="B274" i="16"/>
  <c r="B273" i="16"/>
  <c r="B272" i="16"/>
  <c r="B271" i="16"/>
  <c r="B270" i="16"/>
  <c r="B269" i="16"/>
  <c r="B268" i="16"/>
  <c r="B267" i="16"/>
  <c r="B266" i="16"/>
  <c r="B265" i="16"/>
  <c r="B264" i="16"/>
  <c r="B263" i="16"/>
  <c r="B262" i="16"/>
  <c r="B261" i="16"/>
  <c r="B260" i="16"/>
  <c r="B259" i="16"/>
  <c r="B258" i="16"/>
  <c r="B257" i="16"/>
  <c r="B256" i="16"/>
  <c r="B255" i="16"/>
  <c r="B254" i="16"/>
  <c r="B253" i="16"/>
  <c r="B252" i="16"/>
  <c r="B251" i="16"/>
  <c r="B250" i="16"/>
  <c r="B249" i="16"/>
  <c r="B248" i="16"/>
  <c r="B247" i="16"/>
  <c r="B246" i="16"/>
  <c r="B245" i="16"/>
  <c r="B244" i="16"/>
  <c r="B243" i="16"/>
  <c r="B242" i="16"/>
  <c r="B241" i="16"/>
  <c r="B240" i="16"/>
  <c r="B239" i="16"/>
  <c r="B238" i="16"/>
  <c r="B237" i="16"/>
  <c r="B236" i="16"/>
  <c r="B235" i="16"/>
  <c r="B234" i="16"/>
  <c r="B233" i="16"/>
  <c r="B232" i="16"/>
  <c r="B231" i="16"/>
  <c r="B230" i="16"/>
  <c r="B229" i="16"/>
  <c r="B228" i="16"/>
  <c r="B227" i="16"/>
  <c r="B226" i="16"/>
  <c r="B225" i="16"/>
  <c r="B224" i="16"/>
  <c r="B223" i="16"/>
  <c r="B222" i="16"/>
  <c r="B221" i="16"/>
  <c r="B220" i="16"/>
  <c r="B219" i="16"/>
  <c r="B218" i="16"/>
  <c r="B217" i="16"/>
  <c r="B216" i="16"/>
  <c r="B215" i="16"/>
  <c r="B214" i="16"/>
  <c r="B213" i="16"/>
  <c r="B212" i="16"/>
  <c r="B211" i="16"/>
  <c r="B210" i="16"/>
  <c r="B209" i="16"/>
  <c r="B208" i="16"/>
  <c r="B207" i="16"/>
  <c r="B206" i="16"/>
  <c r="B205" i="16"/>
  <c r="B204" i="16"/>
  <c r="B203" i="16"/>
  <c r="B202" i="16"/>
  <c r="B201" i="16"/>
  <c r="B200" i="16"/>
  <c r="B199" i="16"/>
  <c r="B198" i="16"/>
  <c r="B197" i="16"/>
  <c r="B196" i="16"/>
  <c r="B195" i="16"/>
  <c r="B194" i="16"/>
  <c r="B193" i="16"/>
  <c r="B192" i="16"/>
  <c r="B191" i="16"/>
  <c r="B190" i="16"/>
  <c r="B189" i="16"/>
  <c r="B188" i="16"/>
  <c r="B187" i="16"/>
  <c r="B186" i="16"/>
  <c r="B185" i="16"/>
  <c r="B184" i="16"/>
  <c r="B183" i="16"/>
  <c r="B182" i="16"/>
  <c r="B181" i="16"/>
  <c r="B180" i="16"/>
  <c r="B179" i="16"/>
  <c r="B178" i="16"/>
  <c r="B177" i="16"/>
  <c r="B176" i="16"/>
  <c r="B175" i="16"/>
  <c r="B174" i="16"/>
  <c r="B173" i="16"/>
  <c r="B172" i="16"/>
  <c r="B171" i="16"/>
  <c r="B170" i="16"/>
  <c r="B169" i="16"/>
  <c r="B168" i="16"/>
  <c r="B167" i="16"/>
  <c r="B166" i="16"/>
  <c r="B165" i="16"/>
  <c r="B164" i="16"/>
  <c r="B163" i="16"/>
  <c r="B162" i="16"/>
  <c r="B161" i="16"/>
  <c r="B160" i="16"/>
  <c r="B159" i="16"/>
  <c r="B158" i="16"/>
  <c r="B157" i="16"/>
  <c r="B156" i="16"/>
  <c r="B155" i="16"/>
  <c r="B154" i="16"/>
  <c r="B153" i="16"/>
  <c r="B152" i="16"/>
  <c r="B151" i="16"/>
  <c r="B150" i="16"/>
  <c r="B149" i="16"/>
  <c r="B148" i="16"/>
  <c r="B147" i="16"/>
  <c r="B146" i="16"/>
  <c r="B145" i="16"/>
  <c r="B144" i="16"/>
  <c r="B143" i="16"/>
  <c r="B142" i="16"/>
  <c r="B141" i="16"/>
  <c r="B140" i="16"/>
  <c r="B139" i="16"/>
  <c r="B138" i="16"/>
  <c r="B137" i="16"/>
  <c r="B136" i="16"/>
  <c r="B135" i="16"/>
  <c r="B134" i="16"/>
  <c r="B133" i="16"/>
  <c r="B132" i="16"/>
  <c r="B131" i="16"/>
  <c r="B130" i="16"/>
  <c r="B129" i="16"/>
  <c r="B128" i="16"/>
  <c r="B127" i="16"/>
  <c r="B126" i="16"/>
  <c r="B125" i="16"/>
  <c r="B124" i="16"/>
  <c r="B123" i="16"/>
  <c r="B122" i="16"/>
  <c r="B121" i="16"/>
  <c r="B120" i="16"/>
  <c r="B119" i="16"/>
  <c r="B118" i="16"/>
  <c r="B117" i="16"/>
  <c r="B116" i="16"/>
  <c r="B115" i="16"/>
  <c r="B114" i="16"/>
  <c r="B113" i="16"/>
  <c r="B112" i="16"/>
  <c r="B111" i="16"/>
  <c r="B110" i="16"/>
  <c r="B109" i="16"/>
  <c r="B108" i="16"/>
  <c r="B107" i="16"/>
  <c r="B106" i="16"/>
  <c r="B105" i="16"/>
  <c r="B104" i="16"/>
  <c r="B103" i="16"/>
  <c r="B102" i="16"/>
  <c r="B101" i="16"/>
  <c r="B100" i="16"/>
  <c r="B99" i="16"/>
  <c r="B98" i="16"/>
  <c r="B97" i="16"/>
  <c r="B96" i="16"/>
  <c r="B95" i="16"/>
  <c r="B94" i="16"/>
  <c r="B93" i="16"/>
  <c r="B92" i="16"/>
  <c r="B91" i="16"/>
  <c r="B90" i="16"/>
  <c r="B89" i="16"/>
  <c r="B88" i="16"/>
  <c r="B87" i="16"/>
  <c r="B86" i="16"/>
  <c r="B85" i="16"/>
  <c r="B84" i="16"/>
  <c r="B83" i="16"/>
  <c r="B82" i="16"/>
  <c r="B81" i="16"/>
  <c r="B80" i="16"/>
  <c r="B79" i="16"/>
  <c r="B78" i="16"/>
  <c r="B77" i="16"/>
  <c r="B76" i="16"/>
  <c r="B75" i="16"/>
  <c r="B74" i="16"/>
  <c r="B73" i="16"/>
  <c r="B72" i="16"/>
  <c r="B71" i="16"/>
  <c r="B70" i="16"/>
  <c r="B69" i="16"/>
  <c r="B68" i="16"/>
  <c r="B67" i="16"/>
  <c r="B66" i="16"/>
  <c r="B65" i="16"/>
  <c r="B64" i="16"/>
  <c r="B63" i="16"/>
  <c r="B62" i="16"/>
  <c r="B61" i="16"/>
  <c r="B60" i="16"/>
  <c r="B59" i="16"/>
  <c r="B58" i="16"/>
  <c r="B57" i="16"/>
  <c r="B56" i="16"/>
  <c r="B55" i="16"/>
  <c r="B54" i="16"/>
  <c r="B53" i="16"/>
  <c r="B52" i="16"/>
  <c r="B51" i="16"/>
  <c r="B50" i="16"/>
  <c r="B49" i="16"/>
  <c r="B48" i="16"/>
  <c r="B47" i="16"/>
  <c r="B46" i="16"/>
  <c r="B45" i="16"/>
  <c r="B44" i="16"/>
  <c r="B43" i="16"/>
  <c r="B42" i="16"/>
  <c r="B41" i="16"/>
  <c r="B40" i="16"/>
  <c r="B39" i="16"/>
  <c r="B38" i="16"/>
  <c r="B37" i="16"/>
  <c r="B36" i="16"/>
  <c r="B35" i="16"/>
  <c r="B34" i="16"/>
  <c r="B33" i="16"/>
  <c r="B32" i="16"/>
  <c r="B31" i="16"/>
  <c r="B30" i="16"/>
  <c r="B29" i="16"/>
  <c r="B28" i="16"/>
  <c r="B27" i="16"/>
  <c r="B26" i="16"/>
  <c r="B25" i="16"/>
  <c r="B24" i="16"/>
  <c r="B23" i="16"/>
  <c r="B22" i="16"/>
  <c r="B21" i="16"/>
  <c r="B20" i="16"/>
  <c r="B19" i="16"/>
  <c r="B18" i="16"/>
  <c r="B17" i="16"/>
  <c r="B16" i="16"/>
  <c r="B15" i="16"/>
  <c r="B14" i="16"/>
  <c r="B13" i="16"/>
  <c r="B12" i="16"/>
  <c r="B11" i="16"/>
  <c r="B10" i="16"/>
  <c r="B9" i="16"/>
  <c r="B8" i="16"/>
  <c r="B7" i="16"/>
  <c r="D325" i="7"/>
  <c r="AF15" i="14" s="1"/>
  <c r="D326" i="7"/>
  <c r="AF16" i="14" s="1"/>
  <c r="D327" i="7"/>
  <c r="AF17" i="14" s="1"/>
  <c r="D328" i="7"/>
  <c r="AF18" i="14" s="1"/>
  <c r="D329" i="7"/>
  <c r="AF19" i="14" s="1"/>
  <c r="D330" i="7"/>
  <c r="AF20" i="14" s="1"/>
  <c r="D331" i="7"/>
  <c r="AF21" i="14" s="1"/>
  <c r="D332" i="7"/>
  <c r="AF22" i="14" s="1"/>
  <c r="D333" i="7"/>
  <c r="AF23" i="14" s="1"/>
  <c r="D334" i="7"/>
  <c r="AF24" i="14" s="1"/>
  <c r="D335" i="7"/>
  <c r="AF25" i="14" s="1"/>
  <c r="C325" i="7"/>
  <c r="AE15" i="14" s="1"/>
  <c r="D325" i="5"/>
  <c r="L15" i="14" s="1"/>
  <c r="D326" i="5"/>
  <c r="L16" i="14" s="1"/>
  <c r="D327" i="5"/>
  <c r="L17" i="14" s="1"/>
  <c r="D328" i="5"/>
  <c r="L18" i="14" s="1"/>
  <c r="D329" i="5"/>
  <c r="L19" i="14" s="1"/>
  <c r="D330" i="5"/>
  <c r="L20" i="14" s="1"/>
  <c r="D331" i="5"/>
  <c r="L21" i="14" s="1"/>
  <c r="D332" i="5"/>
  <c r="L22" i="14" s="1"/>
  <c r="D333" i="5"/>
  <c r="L23" i="14" s="1"/>
  <c r="D334" i="5"/>
  <c r="L24" i="14" s="1"/>
  <c r="D335" i="5"/>
  <c r="L25" i="14" s="1"/>
  <c r="C325" i="5"/>
  <c r="K15" i="14" s="1"/>
  <c r="C325" i="11"/>
  <c r="I15" i="14" s="1"/>
  <c r="B324" i="10"/>
  <c r="B324" i="9"/>
  <c r="C325" i="6"/>
  <c r="W15" i="14" s="1"/>
  <c r="B324" i="4"/>
  <c r="D336" i="4" s="1"/>
  <c r="N26" i="14" s="1"/>
  <c r="B324" i="3"/>
  <c r="D336" i="3" s="1"/>
  <c r="D26" i="14" s="1"/>
  <c r="D118" i="16" l="1"/>
  <c r="D158" i="17"/>
  <c r="D203" i="16"/>
  <c r="D33" i="16"/>
  <c r="C325" i="10"/>
  <c r="S15" i="14" s="1"/>
  <c r="D336" i="10"/>
  <c r="T26" i="14" s="1"/>
  <c r="C325" i="9"/>
  <c r="O15" i="14" s="1"/>
  <c r="D336" i="9"/>
  <c r="P26" i="14" s="1"/>
  <c r="D336" i="16"/>
  <c r="F26" i="14" s="1"/>
  <c r="E9" i="13"/>
  <c r="D336" i="17"/>
  <c r="H26" i="14" s="1"/>
  <c r="D193" i="16"/>
  <c r="D86" i="17"/>
  <c r="D73" i="17"/>
  <c r="D335" i="16"/>
  <c r="F25" i="14" s="1"/>
  <c r="D335" i="17"/>
  <c r="H25" i="14" s="1"/>
  <c r="D334" i="16"/>
  <c r="F24" i="14" s="1"/>
  <c r="D334" i="17"/>
  <c r="H24" i="14" s="1"/>
  <c r="C118" i="16"/>
  <c r="D333" i="16"/>
  <c r="F23" i="14" s="1"/>
  <c r="D333" i="17"/>
  <c r="H23" i="14" s="1"/>
  <c r="D332" i="16"/>
  <c r="F22" i="14" s="1"/>
  <c r="D332" i="17"/>
  <c r="H22" i="14" s="1"/>
  <c r="D331" i="17"/>
  <c r="H21" i="14" s="1"/>
  <c r="D331" i="16"/>
  <c r="F21" i="14" s="1"/>
  <c r="C36" i="16"/>
  <c r="D330" i="17"/>
  <c r="H20" i="14" s="1"/>
  <c r="D329" i="17"/>
  <c r="H19" i="14" s="1"/>
  <c r="D329" i="16"/>
  <c r="F19" i="14" s="1"/>
  <c r="D328" i="17"/>
  <c r="H18" i="14" s="1"/>
  <c r="D328" i="16"/>
  <c r="F18" i="14" s="1"/>
  <c r="C82" i="17"/>
  <c r="C226" i="17"/>
  <c r="C51" i="17"/>
  <c r="D327" i="17"/>
  <c r="H17" i="14" s="1"/>
  <c r="C301" i="17"/>
  <c r="D257" i="17"/>
  <c r="C116" i="17"/>
  <c r="D128" i="17"/>
  <c r="C315" i="16"/>
  <c r="E5" i="14" s="1"/>
  <c r="C57" i="17"/>
  <c r="C262" i="17"/>
  <c r="C274" i="17"/>
  <c r="C34" i="17"/>
  <c r="C30" i="16"/>
  <c r="C66" i="16"/>
  <c r="C258" i="16"/>
  <c r="D307" i="17"/>
  <c r="D187" i="16"/>
  <c r="C72" i="17"/>
  <c r="C156" i="17"/>
  <c r="D271" i="17"/>
  <c r="D87" i="16"/>
  <c r="D57" i="16"/>
  <c r="C213" i="16"/>
  <c r="D277" i="17"/>
  <c r="D313" i="17"/>
  <c r="C154" i="16"/>
  <c r="C190" i="16"/>
  <c r="C203" i="16"/>
  <c r="C226" i="16"/>
  <c r="C298" i="16"/>
  <c r="C311" i="16"/>
  <c r="C160" i="17"/>
  <c r="D326" i="17"/>
  <c r="H16" i="14" s="1"/>
  <c r="C325" i="17"/>
  <c r="G15" i="14" s="1"/>
  <c r="C146" i="16"/>
  <c r="C8" i="17"/>
  <c r="C138" i="17"/>
  <c r="C152" i="17"/>
  <c r="C281" i="16"/>
  <c r="D127" i="17"/>
  <c r="C46" i="16"/>
  <c r="D58" i="16"/>
  <c r="C105" i="16"/>
  <c r="D164" i="16"/>
  <c r="C12" i="17"/>
  <c r="C24" i="17"/>
  <c r="C36" i="17"/>
  <c r="C140" i="17"/>
  <c r="C13" i="16"/>
  <c r="D82" i="16"/>
  <c r="D213" i="16"/>
  <c r="C119" i="17"/>
  <c r="D60" i="16"/>
  <c r="D37" i="16"/>
  <c r="D61" i="16"/>
  <c r="D108" i="16"/>
  <c r="C131" i="16"/>
  <c r="D285" i="16"/>
  <c r="C73" i="17"/>
  <c r="D97" i="17"/>
  <c r="C108" i="17"/>
  <c r="D97" i="16"/>
  <c r="D144" i="16"/>
  <c r="D98" i="17"/>
  <c r="C28" i="16"/>
  <c r="C39" i="16"/>
  <c r="C74" i="16"/>
  <c r="C98" i="16"/>
  <c r="D133" i="16"/>
  <c r="C157" i="16"/>
  <c r="C17" i="17"/>
  <c r="C87" i="17"/>
  <c r="C122" i="17"/>
  <c r="C298" i="17"/>
  <c r="C325" i="3"/>
  <c r="C15" i="14" s="1"/>
  <c r="C252" i="16"/>
  <c r="C88" i="17"/>
  <c r="D287" i="17"/>
  <c r="D182" i="16"/>
  <c r="D123" i="16"/>
  <c r="D183" i="16"/>
  <c r="D195" i="16"/>
  <c r="D241" i="16"/>
  <c r="D277" i="16"/>
  <c r="C301" i="16"/>
  <c r="D313" i="16"/>
  <c r="C31" i="17"/>
  <c r="C66" i="17"/>
  <c r="D100" i="17"/>
  <c r="C325" i="16"/>
  <c r="E15" i="14" s="1"/>
  <c r="D31" i="16"/>
  <c r="C54" i="16"/>
  <c r="C148" i="17"/>
  <c r="D75" i="16"/>
  <c r="D173" i="16"/>
  <c r="C67" i="17"/>
  <c r="C325" i="4"/>
  <c r="M15" i="14" s="1"/>
  <c r="D226" i="16"/>
  <c r="C109" i="17"/>
  <c r="D124" i="16"/>
  <c r="C17" i="16"/>
  <c r="D25" i="16"/>
  <c r="D45" i="16"/>
  <c r="D54" i="16"/>
  <c r="D73" i="16"/>
  <c r="D128" i="16"/>
  <c r="C139" i="16"/>
  <c r="C171" i="16"/>
  <c r="D223" i="16"/>
  <c r="D305" i="16"/>
  <c r="C33" i="17"/>
  <c r="C75" i="17"/>
  <c r="C86" i="17"/>
  <c r="D299" i="17"/>
  <c r="C144" i="16"/>
  <c r="C55" i="16"/>
  <c r="D318" i="16"/>
  <c r="F8" i="14" s="1"/>
  <c r="D232" i="17"/>
  <c r="D110" i="16"/>
  <c r="D197" i="16"/>
  <c r="C89" i="17"/>
  <c r="D36" i="16"/>
  <c r="D46" i="16"/>
  <c r="D66" i="16"/>
  <c r="C86" i="16"/>
  <c r="D141" i="16"/>
  <c r="D268" i="17"/>
  <c r="C9" i="16"/>
  <c r="D28" i="16"/>
  <c r="D48" i="16"/>
  <c r="D88" i="16"/>
  <c r="D99" i="16"/>
  <c r="D111" i="16"/>
  <c r="D132" i="16"/>
  <c r="D205" i="16"/>
  <c r="C216" i="16"/>
  <c r="C239" i="16"/>
  <c r="C275" i="16"/>
  <c r="C285" i="16"/>
  <c r="C70" i="17"/>
  <c r="D88" i="17"/>
  <c r="D99" i="17"/>
  <c r="C141" i="17"/>
  <c r="D163" i="17"/>
  <c r="D110" i="17"/>
  <c r="D293" i="17"/>
  <c r="C21" i="16"/>
  <c r="D40" i="16"/>
  <c r="D51" i="16"/>
  <c r="D69" i="16"/>
  <c r="C134" i="16"/>
  <c r="C167" i="16"/>
  <c r="D218" i="16"/>
  <c r="D288" i="16"/>
  <c r="C40" i="17"/>
  <c r="D90" i="17"/>
  <c r="C112" i="17"/>
  <c r="D133" i="17"/>
  <c r="C145" i="17"/>
  <c r="D155" i="17"/>
  <c r="D262" i="16"/>
  <c r="C278" i="16"/>
  <c r="C101" i="17"/>
  <c r="D227" i="17"/>
  <c r="D251" i="17"/>
  <c r="D90" i="16"/>
  <c r="C265" i="16"/>
  <c r="D209" i="16"/>
  <c r="C70" i="16"/>
  <c r="D146" i="16"/>
  <c r="C159" i="16"/>
  <c r="C180" i="16"/>
  <c r="C256" i="16"/>
  <c r="D268" i="16"/>
  <c r="D290" i="16"/>
  <c r="C314" i="16"/>
  <c r="E4" i="14" s="1"/>
  <c r="C83" i="17"/>
  <c r="C123" i="17"/>
  <c r="C229" i="17"/>
  <c r="D263" i="17"/>
  <c r="C229" i="16"/>
  <c r="D159" i="16"/>
  <c r="D169" i="16"/>
  <c r="D291" i="16"/>
  <c r="D303" i="16"/>
  <c r="D84" i="17"/>
  <c r="D241" i="17"/>
  <c r="D39" i="16"/>
  <c r="D231" i="16"/>
  <c r="D267" i="16"/>
  <c r="C35" i="16"/>
  <c r="C44" i="16"/>
  <c r="D63" i="16"/>
  <c r="D72" i="16"/>
  <c r="D95" i="16"/>
  <c r="C9" i="17"/>
  <c r="C74" i="17"/>
  <c r="D85" i="17"/>
  <c r="C95" i="17"/>
  <c r="C142" i="17"/>
  <c r="D161" i="17"/>
  <c r="C155" i="17"/>
  <c r="C161" i="17"/>
  <c r="D289" i="17"/>
  <c r="D109" i="17"/>
  <c r="C144" i="17"/>
  <c r="C54" i="17"/>
  <c r="C63" i="17"/>
  <c r="C98" i="17"/>
  <c r="C127" i="17"/>
  <c r="C133" i="17"/>
  <c r="D151" i="17"/>
  <c r="D145" i="17"/>
  <c r="C158" i="17"/>
  <c r="C164" i="17"/>
  <c r="D280" i="17"/>
  <c r="D122" i="17"/>
  <c r="C157" i="17"/>
  <c r="C43" i="17"/>
  <c r="C55" i="17"/>
  <c r="C126" i="17"/>
  <c r="D139" i="17"/>
  <c r="C21" i="17"/>
  <c r="D101" i="17"/>
  <c r="C149" i="17"/>
  <c r="C13" i="17"/>
  <c r="C69" i="17"/>
  <c r="D89" i="17"/>
  <c r="D116" i="17"/>
  <c r="C130" i="17"/>
  <c r="C137" i="17"/>
  <c r="C76" i="17"/>
  <c r="D152" i="17"/>
  <c r="C215" i="17"/>
  <c r="D244" i="17"/>
  <c r="D292" i="17"/>
  <c r="C310" i="17"/>
  <c r="C42" i="17"/>
  <c r="C151" i="17"/>
  <c r="D157" i="17"/>
  <c r="C28" i="17"/>
  <c r="D87" i="17"/>
  <c r="C99" i="17"/>
  <c r="C134" i="17"/>
  <c r="D146" i="17"/>
  <c r="D256" i="17"/>
  <c r="D134" i="17"/>
  <c r="C60" i="17"/>
  <c r="C163" i="17"/>
  <c r="C19" i="17"/>
  <c r="C48" i="17"/>
  <c r="C115" i="17"/>
  <c r="D121" i="17"/>
  <c r="D140" i="17"/>
  <c r="D148" i="17"/>
  <c r="D160" i="17"/>
  <c r="C206" i="17"/>
  <c r="C265" i="17"/>
  <c r="D26" i="17"/>
  <c r="C26" i="17"/>
  <c r="D194" i="17"/>
  <c r="C194" i="17"/>
  <c r="D303" i="17"/>
  <c r="C303" i="17"/>
  <c r="C304" i="17"/>
  <c r="D27" i="17"/>
  <c r="D34" i="17"/>
  <c r="D41" i="17"/>
  <c r="C41" i="17"/>
  <c r="D70" i="17"/>
  <c r="D83" i="17"/>
  <c r="D267" i="17"/>
  <c r="C267" i="17"/>
  <c r="C268" i="17"/>
  <c r="D220" i="17"/>
  <c r="D208" i="17"/>
  <c r="C208" i="17"/>
  <c r="D19" i="17"/>
  <c r="D20" i="17"/>
  <c r="C20" i="17"/>
  <c r="D231" i="17"/>
  <c r="C231" i="17"/>
  <c r="C232" i="17"/>
  <c r="D64" i="17"/>
  <c r="D22" i="17"/>
  <c r="D29" i="17"/>
  <c r="C29" i="17"/>
  <c r="D58" i="17"/>
  <c r="D211" i="17"/>
  <c r="D199" i="17"/>
  <c r="C199" i="17"/>
  <c r="C308" i="17"/>
  <c r="D308" i="17"/>
  <c r="D55" i="17"/>
  <c r="D49" i="17"/>
  <c r="C49" i="17"/>
  <c r="C14" i="17"/>
  <c r="C15" i="17"/>
  <c r="C22" i="17"/>
  <c r="D30" i="17"/>
  <c r="D37" i="17"/>
  <c r="D44" i="17"/>
  <c r="C44" i="17"/>
  <c r="C58" i="17"/>
  <c r="D176" i="17"/>
  <c r="C176" i="17"/>
  <c r="D224" i="17"/>
  <c r="D212" i="17"/>
  <c r="C212" i="17"/>
  <c r="D28" i="17"/>
  <c r="D76" i="17"/>
  <c r="D50" i="17"/>
  <c r="C50" i="17"/>
  <c r="C64" i="17"/>
  <c r="D23" i="17"/>
  <c r="C23" i="17"/>
  <c r="C30" i="17"/>
  <c r="C37" i="17"/>
  <c r="D52" i="17"/>
  <c r="D79" i="17"/>
  <c r="C79" i="17"/>
  <c r="D91" i="17"/>
  <c r="D104" i="17"/>
  <c r="C272" i="17"/>
  <c r="D272" i="17"/>
  <c r="D172" i="17"/>
  <c r="C172" i="17"/>
  <c r="D221" i="17"/>
  <c r="C221" i="17"/>
  <c r="D36" i="17"/>
  <c r="C16" i="17"/>
  <c r="D24" i="17"/>
  <c r="D31" i="17"/>
  <c r="D38" i="17"/>
  <c r="C38" i="17"/>
  <c r="C45" i="17"/>
  <c r="C52" i="17"/>
  <c r="D67" i="17"/>
  <c r="D92" i="17"/>
  <c r="C92" i="17"/>
  <c r="D105" i="17"/>
  <c r="C105" i="17"/>
  <c r="D190" i="17"/>
  <c r="C190" i="17"/>
  <c r="D96" i="17"/>
  <c r="C97" i="17"/>
  <c r="C96" i="17"/>
  <c r="D21" i="17"/>
  <c r="D185" i="17"/>
  <c r="C185" i="17"/>
  <c r="C10" i="17"/>
  <c r="D46" i="17"/>
  <c r="D80" i="17"/>
  <c r="C80" i="17"/>
  <c r="C106" i="17"/>
  <c r="D106" i="17"/>
  <c r="D113" i="17"/>
  <c r="C113" i="17"/>
  <c r="D120" i="17"/>
  <c r="C120" i="17"/>
  <c r="D167" i="17"/>
  <c r="C167" i="17"/>
  <c r="D215" i="17"/>
  <c r="D203" i="17"/>
  <c r="C203" i="17"/>
  <c r="D283" i="17"/>
  <c r="C283" i="17"/>
  <c r="D25" i="17"/>
  <c r="C39" i="17"/>
  <c r="C236" i="17"/>
  <c r="D236" i="17"/>
  <c r="C27" i="17"/>
  <c r="D35" i="17"/>
  <c r="C35" i="17"/>
  <c r="D43" i="17"/>
  <c r="D32" i="17"/>
  <c r="C32" i="17"/>
  <c r="C46" i="17"/>
  <c r="D61" i="17"/>
  <c r="D93" i="17"/>
  <c r="C93" i="17"/>
  <c r="C114" i="17"/>
  <c r="C11" i="17"/>
  <c r="C18" i="17"/>
  <c r="C25" i="17"/>
  <c r="D33" i="17"/>
  <c r="D40" i="17"/>
  <c r="D47" i="17"/>
  <c r="C47" i="17"/>
  <c r="C61" i="17"/>
  <c r="D181" i="17"/>
  <c r="C181" i="17"/>
  <c r="D217" i="17"/>
  <c r="C217" i="17"/>
  <c r="D247" i="17"/>
  <c r="C247" i="17"/>
  <c r="D39" i="17"/>
  <c r="D42" i="17"/>
  <c r="D45" i="17"/>
  <c r="D48" i="17"/>
  <c r="D51" i="17"/>
  <c r="D54" i="17"/>
  <c r="D57" i="17"/>
  <c r="D60" i="17"/>
  <c r="D63" i="17"/>
  <c r="D66" i="17"/>
  <c r="D69" i="17"/>
  <c r="D82" i="17"/>
  <c r="D95" i="17"/>
  <c r="D102" i="17"/>
  <c r="D112" i="17"/>
  <c r="D119" i="17"/>
  <c r="D123" i="17"/>
  <c r="D130" i="17"/>
  <c r="D137" i="17"/>
  <c r="D141" i="17"/>
  <c r="D159" i="17"/>
  <c r="C159" i="17"/>
  <c r="D226" i="17"/>
  <c r="D252" i="17"/>
  <c r="C252" i="17"/>
  <c r="C257" i="17"/>
  <c r="D262" i="17"/>
  <c r="D288" i="17"/>
  <c r="C288" i="17"/>
  <c r="C293" i="17"/>
  <c r="D298" i="17"/>
  <c r="C319" i="17"/>
  <c r="G9" i="14" s="1"/>
  <c r="C102" i="17"/>
  <c r="D237" i="17"/>
  <c r="C237" i="17"/>
  <c r="C242" i="17"/>
  <c r="D273" i="17"/>
  <c r="C273" i="17"/>
  <c r="C278" i="17"/>
  <c r="D309" i="17"/>
  <c r="C309" i="17"/>
  <c r="C314" i="17"/>
  <c r="G4" i="14" s="1"/>
  <c r="D319" i="17"/>
  <c r="H9" i="14" s="1"/>
  <c r="D138" i="17"/>
  <c r="D156" i="17"/>
  <c r="D168" i="17"/>
  <c r="C168" i="17"/>
  <c r="D177" i="17"/>
  <c r="C177" i="17"/>
  <c r="D186" i="17"/>
  <c r="C186" i="17"/>
  <c r="D195" i="17"/>
  <c r="C195" i="17"/>
  <c r="D204" i="17"/>
  <c r="C204" i="17"/>
  <c r="D213" i="17"/>
  <c r="C213" i="17"/>
  <c r="D222" i="17"/>
  <c r="C222" i="17"/>
  <c r="C227" i="17"/>
  <c r="D242" i="17"/>
  <c r="C253" i="17"/>
  <c r="D258" i="17"/>
  <c r="C258" i="17"/>
  <c r="C263" i="17"/>
  <c r="D278" i="17"/>
  <c r="C289" i="17"/>
  <c r="D294" i="17"/>
  <c r="C294" i="17"/>
  <c r="C299" i="17"/>
  <c r="D304" i="17"/>
  <c r="D314" i="17"/>
  <c r="H4" i="14" s="1"/>
  <c r="C124" i="17"/>
  <c r="C131" i="17"/>
  <c r="C238" i="17"/>
  <c r="D243" i="17"/>
  <c r="C243" i="17"/>
  <c r="C248" i="17"/>
  <c r="D253" i="17"/>
  <c r="D279" i="17"/>
  <c r="C279" i="17"/>
  <c r="C284" i="17"/>
  <c r="D315" i="17"/>
  <c r="H5" i="14" s="1"/>
  <c r="C315" i="17"/>
  <c r="G5" i="14" s="1"/>
  <c r="C320" i="17"/>
  <c r="G10" i="14" s="1"/>
  <c r="C103" i="17"/>
  <c r="D117" i="17"/>
  <c r="D124" i="17"/>
  <c r="D131" i="17"/>
  <c r="D135" i="17"/>
  <c r="D142" i="17"/>
  <c r="D149" i="17"/>
  <c r="D153" i="17"/>
  <c r="D164" i="17"/>
  <c r="C169" i="17"/>
  <c r="C173" i="17"/>
  <c r="C178" i="17"/>
  <c r="C182" i="17"/>
  <c r="C187" i="17"/>
  <c r="C191" i="17"/>
  <c r="C196" i="17"/>
  <c r="C200" i="17"/>
  <c r="C205" i="17"/>
  <c r="C209" i="17"/>
  <c r="C214" i="17"/>
  <c r="C218" i="17"/>
  <c r="C223" i="17"/>
  <c r="D228" i="17"/>
  <c r="C228" i="17"/>
  <c r="C233" i="17"/>
  <c r="D238" i="17"/>
  <c r="D248" i="17"/>
  <c r="C259" i="17"/>
  <c r="D264" i="17"/>
  <c r="C264" i="17"/>
  <c r="C269" i="17"/>
  <c r="D274" i="17"/>
  <c r="D284" i="17"/>
  <c r="C295" i="17"/>
  <c r="D300" i="17"/>
  <c r="C300" i="17"/>
  <c r="C305" i="17"/>
  <c r="D310" i="17"/>
  <c r="D320" i="17"/>
  <c r="H10" i="14" s="1"/>
  <c r="C77" i="17"/>
  <c r="C90" i="17"/>
  <c r="C100" i="17"/>
  <c r="D103" i="17"/>
  <c r="C110" i="17"/>
  <c r="C117" i="17"/>
  <c r="C121" i="17"/>
  <c r="C128" i="17"/>
  <c r="C135" i="17"/>
  <c r="C139" i="17"/>
  <c r="C146" i="17"/>
  <c r="C153" i="17"/>
  <c r="D169" i="17"/>
  <c r="D173" i="17"/>
  <c r="D178" i="17"/>
  <c r="D182" i="17"/>
  <c r="D187" i="17"/>
  <c r="D191" i="17"/>
  <c r="D196" i="17"/>
  <c r="D200" i="17"/>
  <c r="D205" i="17"/>
  <c r="D209" i="17"/>
  <c r="D214" i="17"/>
  <c r="D218" i="17"/>
  <c r="D223" i="17"/>
  <c r="D233" i="17"/>
  <c r="C244" i="17"/>
  <c r="D249" i="17"/>
  <c r="C249" i="17"/>
  <c r="C254" i="17"/>
  <c r="D259" i="17"/>
  <c r="D269" i="17"/>
  <c r="C280" i="17"/>
  <c r="D285" i="17"/>
  <c r="C285" i="17"/>
  <c r="C290" i="17"/>
  <c r="D295" i="17"/>
  <c r="D305" i="17"/>
  <c r="C316" i="17"/>
  <c r="G6" i="14" s="1"/>
  <c r="D321" i="17"/>
  <c r="H11" i="14" s="1"/>
  <c r="C321" i="17"/>
  <c r="G11" i="14" s="1"/>
  <c r="D132" i="17"/>
  <c r="D150" i="17"/>
  <c r="D165" i="17"/>
  <c r="C165" i="17"/>
  <c r="D174" i="17"/>
  <c r="C174" i="17"/>
  <c r="D183" i="17"/>
  <c r="C183" i="17"/>
  <c r="D192" i="17"/>
  <c r="C192" i="17"/>
  <c r="D201" i="17"/>
  <c r="C201" i="17"/>
  <c r="D210" i="17"/>
  <c r="C210" i="17"/>
  <c r="D219" i="17"/>
  <c r="C219" i="17"/>
  <c r="D234" i="17"/>
  <c r="C234" i="17"/>
  <c r="C239" i="17"/>
  <c r="D254" i="17"/>
  <c r="D270" i="17"/>
  <c r="C270" i="17"/>
  <c r="C275" i="17"/>
  <c r="D290" i="17"/>
  <c r="D306" i="17"/>
  <c r="C306" i="17"/>
  <c r="C311" i="17"/>
  <c r="D322" i="17"/>
  <c r="H12" i="14" s="1"/>
  <c r="C322" i="17"/>
  <c r="G12" i="14" s="1"/>
  <c r="C53" i="17"/>
  <c r="C56" i="17"/>
  <c r="C59" i="17"/>
  <c r="C62" i="17"/>
  <c r="C65" i="17"/>
  <c r="C68" i="17"/>
  <c r="C71" i="17"/>
  <c r="D74" i="17"/>
  <c r="D81" i="17"/>
  <c r="C84" i="17"/>
  <c r="C94" i="17"/>
  <c r="C107" i="17"/>
  <c r="C118" i="17"/>
  <c r="C125" i="17"/>
  <c r="C132" i="17"/>
  <c r="C136" i="17"/>
  <c r="C143" i="17"/>
  <c r="C150" i="17"/>
  <c r="C154" i="17"/>
  <c r="C224" i="17"/>
  <c r="D229" i="17"/>
  <c r="D239" i="17"/>
  <c r="C250" i="17"/>
  <c r="D255" i="17"/>
  <c r="C255" i="17"/>
  <c r="C260" i="17"/>
  <c r="D265" i="17"/>
  <c r="D275" i="17"/>
  <c r="C286" i="17"/>
  <c r="D291" i="17"/>
  <c r="C291" i="17"/>
  <c r="C296" i="17"/>
  <c r="D301" i="17"/>
  <c r="D311" i="17"/>
  <c r="D53" i="17"/>
  <c r="D56" i="17"/>
  <c r="D59" i="17"/>
  <c r="D62" i="17"/>
  <c r="D65" i="17"/>
  <c r="D68" i="17"/>
  <c r="D71" i="17"/>
  <c r="D78" i="17"/>
  <c r="C81" i="17"/>
  <c r="C91" i="17"/>
  <c r="D94" i="17"/>
  <c r="C104" i="17"/>
  <c r="D107" i="17"/>
  <c r="D111" i="17"/>
  <c r="D118" i="17"/>
  <c r="D125" i="17"/>
  <c r="D129" i="17"/>
  <c r="D136" i="17"/>
  <c r="D143" i="17"/>
  <c r="D147" i="17"/>
  <c r="D154" i="17"/>
  <c r="C166" i="17"/>
  <c r="C170" i="17"/>
  <c r="C175" i="17"/>
  <c r="C179" i="17"/>
  <c r="C184" i="17"/>
  <c r="C188" i="17"/>
  <c r="C193" i="17"/>
  <c r="C197" i="17"/>
  <c r="C202" i="17"/>
  <c r="C211" i="17"/>
  <c r="C220" i="17"/>
  <c r="C235" i="17"/>
  <c r="D240" i="17"/>
  <c r="C240" i="17"/>
  <c r="C245" i="17"/>
  <c r="D250" i="17"/>
  <c r="D260" i="17"/>
  <c r="C271" i="17"/>
  <c r="D276" i="17"/>
  <c r="C276" i="17"/>
  <c r="C281" i="17"/>
  <c r="D286" i="17"/>
  <c r="D296" i="17"/>
  <c r="C307" i="17"/>
  <c r="D312" i="17"/>
  <c r="C312" i="17"/>
  <c r="C317" i="17"/>
  <c r="G7" i="14" s="1"/>
  <c r="C323" i="17"/>
  <c r="G13" i="14" s="1"/>
  <c r="D77" i="17"/>
  <c r="D114" i="17"/>
  <c r="D75" i="17"/>
  <c r="C78" i="17"/>
  <c r="C111" i="17"/>
  <c r="C129" i="17"/>
  <c r="C147" i="17"/>
  <c r="D162" i="17"/>
  <c r="C162" i="17"/>
  <c r="D166" i="17"/>
  <c r="D170" i="17"/>
  <c r="D175" i="17"/>
  <c r="D179" i="17"/>
  <c r="D184" i="17"/>
  <c r="D188" i="17"/>
  <c r="D193" i="17"/>
  <c r="D197" i="17"/>
  <c r="D202" i="17"/>
  <c r="D206" i="17"/>
  <c r="D225" i="17"/>
  <c r="C225" i="17"/>
  <c r="C230" i="17"/>
  <c r="D245" i="17"/>
  <c r="C256" i="17"/>
  <c r="D261" i="17"/>
  <c r="C261" i="17"/>
  <c r="C266" i="17"/>
  <c r="D281" i="17"/>
  <c r="C292" i="17"/>
  <c r="D297" i="17"/>
  <c r="C297" i="17"/>
  <c r="C302" i="17"/>
  <c r="D317" i="17"/>
  <c r="H7" i="14" s="1"/>
  <c r="D323" i="17"/>
  <c r="H13" i="14" s="1"/>
  <c r="D72" i="17"/>
  <c r="C85" i="17"/>
  <c r="D108" i="17"/>
  <c r="D126" i="17"/>
  <c r="D144" i="17"/>
  <c r="D171" i="17"/>
  <c r="C171" i="17"/>
  <c r="D180" i="17"/>
  <c r="C180" i="17"/>
  <c r="D189" i="17"/>
  <c r="C189" i="17"/>
  <c r="D198" i="17"/>
  <c r="C198" i="17"/>
  <c r="D207" i="17"/>
  <c r="C207" i="17"/>
  <c r="D216" i="17"/>
  <c r="C216" i="17"/>
  <c r="D230" i="17"/>
  <c r="C241" i="17"/>
  <c r="D246" i="17"/>
  <c r="C246" i="17"/>
  <c r="C251" i="17"/>
  <c r="D266" i="17"/>
  <c r="C277" i="17"/>
  <c r="D282" i="17"/>
  <c r="C282" i="17"/>
  <c r="C287" i="17"/>
  <c r="D302" i="17"/>
  <c r="C313" i="17"/>
  <c r="D318" i="17"/>
  <c r="H8" i="14" s="1"/>
  <c r="C318" i="17"/>
  <c r="G8" i="14" s="1"/>
  <c r="C324" i="17"/>
  <c r="G14" i="14" s="1"/>
  <c r="D324" i="17"/>
  <c r="H14" i="14" s="1"/>
  <c r="D21" i="16"/>
  <c r="C83" i="16"/>
  <c r="C242" i="16"/>
  <c r="C288" i="16"/>
  <c r="D98" i="16"/>
  <c r="C52" i="16"/>
  <c r="C197" i="16"/>
  <c r="C262" i="16"/>
  <c r="D272" i="16"/>
  <c r="D317" i="16"/>
  <c r="F7" i="14" s="1"/>
  <c r="D67" i="16"/>
  <c r="C99" i="16"/>
  <c r="C108" i="16"/>
  <c r="D27" i="16"/>
  <c r="C92" i="16"/>
  <c r="C170" i="16"/>
  <c r="C182" i="16"/>
  <c r="C206" i="16"/>
  <c r="C245" i="16"/>
  <c r="D85" i="16"/>
  <c r="D100" i="16"/>
  <c r="C110" i="16"/>
  <c r="D254" i="16"/>
  <c r="C209" i="16"/>
  <c r="C236" i="16"/>
  <c r="D102" i="16"/>
  <c r="D134" i="16"/>
  <c r="C128" i="16"/>
  <c r="D154" i="16"/>
  <c r="D174" i="16"/>
  <c r="C193" i="16"/>
  <c r="D256" i="16"/>
  <c r="D101" i="16"/>
  <c r="C26" i="16"/>
  <c r="D42" i="16"/>
  <c r="C34" i="16"/>
  <c r="D86" i="16"/>
  <c r="C18" i="16"/>
  <c r="D49" i="16"/>
  <c r="C64" i="16"/>
  <c r="C79" i="16"/>
  <c r="C87" i="16"/>
  <c r="C20" i="16"/>
  <c r="D80" i="16"/>
  <c r="D112" i="16"/>
  <c r="C121" i="16"/>
  <c r="C195" i="16"/>
  <c r="C294" i="16"/>
  <c r="C123" i="16"/>
  <c r="C222" i="16"/>
  <c r="D252" i="16"/>
  <c r="D162" i="16"/>
  <c r="C162" i="16"/>
  <c r="C169" i="16"/>
  <c r="C207" i="16"/>
  <c r="C231" i="16"/>
  <c r="D279" i="16"/>
  <c r="D304" i="16"/>
  <c r="D138" i="16"/>
  <c r="D50" i="16"/>
  <c r="C264" i="16"/>
  <c r="D263" i="16"/>
  <c r="C254" i="16"/>
  <c r="C263" i="16"/>
  <c r="D91" i="16"/>
  <c r="C91" i="16"/>
  <c r="C148" i="16"/>
  <c r="D70" i="16"/>
  <c r="D71" i="16"/>
  <c r="D105" i="16"/>
  <c r="C150" i="16"/>
  <c r="D149" i="16"/>
  <c r="C149" i="16"/>
  <c r="C174" i="16"/>
  <c r="C184" i="16"/>
  <c r="C194" i="16"/>
  <c r="C205" i="16"/>
  <c r="C220" i="16"/>
  <c r="D236" i="16"/>
  <c r="D247" i="16"/>
  <c r="C247" i="16"/>
  <c r="C253" i="16"/>
  <c r="C269" i="16"/>
  <c r="D281" i="16"/>
  <c r="D299" i="16"/>
  <c r="C299" i="16"/>
  <c r="C305" i="16"/>
  <c r="D311" i="16"/>
  <c r="C179" i="16"/>
  <c r="C50" i="16"/>
  <c r="C120" i="16"/>
  <c r="D148" i="16"/>
  <c r="C230" i="16"/>
  <c r="C292" i="16"/>
  <c r="D109" i="16"/>
  <c r="C40" i="16"/>
  <c r="C14" i="16"/>
  <c r="D22" i="16"/>
  <c r="C71" i="16"/>
  <c r="C145" i="16"/>
  <c r="C156" i="16"/>
  <c r="D184" i="16"/>
  <c r="D194" i="16"/>
  <c r="C204" i="16"/>
  <c r="D220" i="16"/>
  <c r="D242" i="16"/>
  <c r="D253" i="16"/>
  <c r="C259" i="16"/>
  <c r="D269" i="16"/>
  <c r="D275" i="16"/>
  <c r="C313" i="16"/>
  <c r="D312" i="16"/>
  <c r="C312" i="16"/>
  <c r="D32" i="16"/>
  <c r="D188" i="16"/>
  <c r="C25" i="16"/>
  <c r="C58" i="16"/>
  <c r="C101" i="16"/>
  <c r="C100" i="16"/>
  <c r="C279" i="16"/>
  <c r="D43" i="16"/>
  <c r="D93" i="16"/>
  <c r="C97" i="16"/>
  <c r="C106" i="16"/>
  <c r="C125" i="16"/>
  <c r="D145" i="16"/>
  <c r="C155" i="16"/>
  <c r="D160" i="16"/>
  <c r="C166" i="16"/>
  <c r="D165" i="16"/>
  <c r="D175" i="16"/>
  <c r="D180" i="16"/>
  <c r="D190" i="16"/>
  <c r="C200" i="16"/>
  <c r="D204" i="16"/>
  <c r="D232" i="16"/>
  <c r="C238" i="16"/>
  <c r="D237" i="16"/>
  <c r="C237" i="16"/>
  <c r="D259" i="16"/>
  <c r="D265" i="16"/>
  <c r="C241" i="16"/>
  <c r="D240" i="16"/>
  <c r="C12" i="16"/>
  <c r="C158" i="16"/>
  <c r="C32" i="16"/>
  <c r="C109" i="16"/>
  <c r="D158" i="16"/>
  <c r="C188" i="16"/>
  <c r="D207" i="16"/>
  <c r="C246" i="16"/>
  <c r="C130" i="16"/>
  <c r="D129" i="16"/>
  <c r="C22" i="16"/>
  <c r="D59" i="16"/>
  <c r="C67" i="16"/>
  <c r="C37" i="16"/>
  <c r="D41" i="16"/>
  <c r="D68" i="16"/>
  <c r="D116" i="16"/>
  <c r="D121" i="16"/>
  <c r="C135" i="16"/>
  <c r="C141" i="16"/>
  <c r="D155" i="16"/>
  <c r="C165" i="16"/>
  <c r="D170" i="16"/>
  <c r="C186" i="16"/>
  <c r="D185" i="16"/>
  <c r="C185" i="16"/>
  <c r="D200" i="16"/>
  <c r="C210" i="16"/>
  <c r="D216" i="16"/>
  <c r="C228" i="16"/>
  <c r="D227" i="16"/>
  <c r="C249" i="16"/>
  <c r="C277" i="16"/>
  <c r="D276" i="16"/>
  <c r="C276" i="16"/>
  <c r="C282" i="16"/>
  <c r="C290" i="16"/>
  <c r="D289" i="16"/>
  <c r="C295" i="16"/>
  <c r="D301" i="16"/>
  <c r="D62" i="16"/>
  <c r="C114" i="16"/>
  <c r="D113" i="16"/>
  <c r="C113" i="16"/>
  <c r="C178" i="16"/>
  <c r="C43" i="16"/>
  <c r="C62" i="16"/>
  <c r="D286" i="16"/>
  <c r="C286" i="16"/>
  <c r="D29" i="16"/>
  <c r="D198" i="16"/>
  <c r="C198" i="16"/>
  <c r="D79" i="16"/>
  <c r="D96" i="16"/>
  <c r="D44" i="16"/>
  <c r="D115" i="16"/>
  <c r="C10" i="16"/>
  <c r="D19" i="16"/>
  <c r="D56" i="16"/>
  <c r="C60" i="16"/>
  <c r="C80" i="16"/>
  <c r="D125" i="16"/>
  <c r="C27" i="16"/>
  <c r="C56" i="16"/>
  <c r="C68" i="16"/>
  <c r="D76" i="16"/>
  <c r="D94" i="16"/>
  <c r="C102" i="16"/>
  <c r="C116" i="16"/>
  <c r="D131" i="16"/>
  <c r="D135" i="16"/>
  <c r="D151" i="16"/>
  <c r="C181" i="16"/>
  <c r="C192" i="16"/>
  <c r="D210" i="16"/>
  <c r="C218" i="16"/>
  <c r="C227" i="16"/>
  <c r="C243" i="16"/>
  <c r="D249" i="16"/>
  <c r="D260" i="16"/>
  <c r="C260" i="16"/>
  <c r="C267" i="16"/>
  <c r="D282" i="16"/>
  <c r="C289" i="16"/>
  <c r="D295" i="16"/>
  <c r="C138" i="16"/>
  <c r="C240" i="16"/>
  <c r="D298" i="16"/>
  <c r="D47" i="16"/>
  <c r="D74" i="16"/>
  <c r="C96" i="16"/>
  <c r="C119" i="16"/>
  <c r="C47" i="16"/>
  <c r="C51" i="16"/>
  <c r="C63" i="16"/>
  <c r="D92" i="16"/>
  <c r="D119" i="16"/>
  <c r="D84" i="16"/>
  <c r="C19" i="16"/>
  <c r="C48" i="16"/>
  <c r="D55" i="16"/>
  <c r="D23" i="16"/>
  <c r="D30" i="16"/>
  <c r="C72" i="16"/>
  <c r="C76" i="16"/>
  <c r="C85" i="16"/>
  <c r="C93" i="16"/>
  <c r="D106" i="16"/>
  <c r="C151" i="16"/>
  <c r="C45" i="16"/>
  <c r="D38" i="16"/>
  <c r="D52" i="16"/>
  <c r="D64" i="16"/>
  <c r="C137" i="16"/>
  <c r="D136" i="16"/>
  <c r="C136" i="16"/>
  <c r="C161" i="16"/>
  <c r="D181" i="16"/>
  <c r="C191" i="16"/>
  <c r="D196" i="16"/>
  <c r="C202" i="16"/>
  <c r="D201" i="16"/>
  <c r="D211" i="16"/>
  <c r="C211" i="16"/>
  <c r="C217" i="16"/>
  <c r="C233" i="16"/>
  <c r="D243" i="16"/>
  <c r="C251" i="16"/>
  <c r="D250" i="16"/>
  <c r="D255" i="16"/>
  <c r="C266" i="16"/>
  <c r="C303" i="16"/>
  <c r="D302" i="16"/>
  <c r="C308" i="16"/>
  <c r="D314" i="16"/>
  <c r="F4" i="14" s="1"/>
  <c r="C173" i="16"/>
  <c r="D172" i="16"/>
  <c r="C172" i="16"/>
  <c r="D224" i="16"/>
  <c r="C224" i="16"/>
  <c r="C215" i="16"/>
  <c r="D214" i="16"/>
  <c r="D139" i="16"/>
  <c r="C164" i="16"/>
  <c r="D168" i="16"/>
  <c r="C33" i="16"/>
  <c r="C129" i="16"/>
  <c r="C175" i="16"/>
  <c r="C15" i="16"/>
  <c r="C23" i="16"/>
  <c r="C41" i="16"/>
  <c r="C89" i="16"/>
  <c r="D34" i="16"/>
  <c r="D81" i="16"/>
  <c r="C81" i="16"/>
  <c r="D89" i="16"/>
  <c r="C94" i="16"/>
  <c r="C107" i="16"/>
  <c r="D126" i="16"/>
  <c r="C126" i="16"/>
  <c r="C143" i="16"/>
  <c r="C24" i="16"/>
  <c r="C31" i="16"/>
  <c r="C38" i="16"/>
  <c r="C42" i="16"/>
  <c r="C49" i="16"/>
  <c r="D53" i="16"/>
  <c r="C57" i="16"/>
  <c r="D65" i="16"/>
  <c r="C69" i="16"/>
  <c r="C73" i="16"/>
  <c r="C78" i="16"/>
  <c r="C77" i="16"/>
  <c r="D103" i="16"/>
  <c r="C112" i="16"/>
  <c r="C122" i="16"/>
  <c r="C133" i="16"/>
  <c r="D137" i="16"/>
  <c r="C142" i="16"/>
  <c r="D152" i="16"/>
  <c r="D157" i="16"/>
  <c r="D161" i="16"/>
  <c r="C177" i="16"/>
  <c r="C187" i="16"/>
  <c r="D191" i="16"/>
  <c r="C201" i="16"/>
  <c r="D206" i="16"/>
  <c r="D217" i="16"/>
  <c r="C223" i="16"/>
  <c r="D233" i="16"/>
  <c r="D239" i="16"/>
  <c r="C250" i="16"/>
  <c r="D266" i="16"/>
  <c r="C272" i="16"/>
  <c r="C302" i="16"/>
  <c r="D308" i="16"/>
  <c r="D104" i="16"/>
  <c r="C104" i="16"/>
  <c r="C168" i="16"/>
  <c r="D178" i="16"/>
  <c r="D219" i="16"/>
  <c r="C8" i="16"/>
  <c r="C214" i="16"/>
  <c r="D230" i="16"/>
  <c r="D246" i="16"/>
  <c r="D292" i="16"/>
  <c r="C29" i="16"/>
  <c r="D83" i="16"/>
  <c r="C115" i="16"/>
  <c r="D26" i="16"/>
  <c r="C59" i="16"/>
  <c r="C84" i="16"/>
  <c r="D20" i="16"/>
  <c r="C11" i="16"/>
  <c r="C16" i="16"/>
  <c r="D24" i="16"/>
  <c r="D35" i="16"/>
  <c r="C53" i="16"/>
  <c r="C61" i="16"/>
  <c r="C65" i="16"/>
  <c r="D77" i="16"/>
  <c r="C82" i="16"/>
  <c r="C90" i="16"/>
  <c r="C95" i="16"/>
  <c r="C103" i="16"/>
  <c r="D122" i="16"/>
  <c r="C132" i="16"/>
  <c r="D142" i="16"/>
  <c r="D147" i="16"/>
  <c r="C152" i="16"/>
  <c r="D167" i="16"/>
  <c r="D171" i="16"/>
  <c r="D177" i="16"/>
  <c r="D229" i="16"/>
  <c r="D245" i="16"/>
  <c r="D278" i="16"/>
  <c r="C321" i="16"/>
  <c r="E11" i="14" s="1"/>
  <c r="C318" i="16"/>
  <c r="E8" i="14" s="1"/>
  <c r="D321" i="16"/>
  <c r="F11" i="14" s="1"/>
  <c r="D315" i="16"/>
  <c r="F5" i="14" s="1"/>
  <c r="C322" i="16"/>
  <c r="E12" i="14" s="1"/>
  <c r="C273" i="16"/>
  <c r="C283" i="16"/>
  <c r="C296" i="16"/>
  <c r="C309" i="16"/>
  <c r="C319" i="16"/>
  <c r="E9" i="14" s="1"/>
  <c r="D322" i="16"/>
  <c r="F12" i="14" s="1"/>
  <c r="C208" i="16"/>
  <c r="C221" i="16"/>
  <c r="C234" i="16"/>
  <c r="C244" i="16"/>
  <c r="C257" i="16"/>
  <c r="C270" i="16"/>
  <c r="D273" i="16"/>
  <c r="C280" i="16"/>
  <c r="D283" i="16"/>
  <c r="C293" i="16"/>
  <c r="D296" i="16"/>
  <c r="C306" i="16"/>
  <c r="D309" i="16"/>
  <c r="C316" i="16"/>
  <c r="E6" i="14" s="1"/>
  <c r="D319" i="16"/>
  <c r="F9" i="14" s="1"/>
  <c r="D208" i="16"/>
  <c r="D221" i="16"/>
  <c r="D234" i="16"/>
  <c r="D244" i="16"/>
  <c r="D257" i="16"/>
  <c r="D270" i="16"/>
  <c r="D280" i="16"/>
  <c r="D293" i="16"/>
  <c r="D306" i="16"/>
  <c r="D316" i="16"/>
  <c r="F6" i="14" s="1"/>
  <c r="C274" i="16"/>
  <c r="C287" i="16"/>
  <c r="C300" i="16"/>
  <c r="C310" i="16"/>
  <c r="C323" i="16"/>
  <c r="E13" i="14" s="1"/>
  <c r="D107" i="16"/>
  <c r="C117" i="16"/>
  <c r="D120" i="16"/>
  <c r="C127" i="16"/>
  <c r="D130" i="16"/>
  <c r="C140" i="16"/>
  <c r="D143" i="16"/>
  <c r="C153" i="16"/>
  <c r="D156" i="16"/>
  <c r="C163" i="16"/>
  <c r="D166" i="16"/>
  <c r="C176" i="16"/>
  <c r="D179" i="16"/>
  <c r="C189" i="16"/>
  <c r="D192" i="16"/>
  <c r="C199" i="16"/>
  <c r="D202" i="16"/>
  <c r="C212" i="16"/>
  <c r="D215" i="16"/>
  <c r="C225" i="16"/>
  <c r="D228" i="16"/>
  <c r="C235" i="16"/>
  <c r="D238" i="16"/>
  <c r="C248" i="16"/>
  <c r="D251" i="16"/>
  <c r="C261" i="16"/>
  <c r="D264" i="16"/>
  <c r="C271" i="16"/>
  <c r="D274" i="16"/>
  <c r="C284" i="16"/>
  <c r="D287" i="16"/>
  <c r="C297" i="16"/>
  <c r="D300" i="16"/>
  <c r="C307" i="16"/>
  <c r="D310" i="16"/>
  <c r="C320" i="16"/>
  <c r="E10" i="14" s="1"/>
  <c r="D323" i="16"/>
  <c r="F13" i="14" s="1"/>
  <c r="C88" i="16"/>
  <c r="D117" i="16"/>
  <c r="C124" i="16"/>
  <c r="D127" i="16"/>
  <c r="D140" i="16"/>
  <c r="D153" i="16"/>
  <c r="C160" i="16"/>
  <c r="D163" i="16"/>
  <c r="D176" i="16"/>
  <c r="D189" i="16"/>
  <c r="C196" i="16"/>
  <c r="D199" i="16"/>
  <c r="D212" i="16"/>
  <c r="D225" i="16"/>
  <c r="C232" i="16"/>
  <c r="D235" i="16"/>
  <c r="D248" i="16"/>
  <c r="D261" i="16"/>
  <c r="C268" i="16"/>
  <c r="D271" i="16"/>
  <c r="D284" i="16"/>
  <c r="D297" i="16"/>
  <c r="C304" i="16"/>
  <c r="D307" i="16"/>
  <c r="C317" i="16"/>
  <c r="E7" i="14" s="1"/>
  <c r="D320" i="16"/>
  <c r="F10" i="14" s="1"/>
  <c r="C75" i="16"/>
  <c r="D78" i="16"/>
  <c r="C111" i="16"/>
  <c r="D114" i="16"/>
  <c r="C147" i="16"/>
  <c r="D150" i="16"/>
  <c r="C183" i="16"/>
  <c r="D186" i="16"/>
  <c r="C219" i="16"/>
  <c r="D222" i="16"/>
  <c r="C255" i="16"/>
  <c r="D258" i="16"/>
  <c r="C291" i="16"/>
  <c r="D294" i="16"/>
  <c r="D324" i="16"/>
  <c r="F14" i="14" s="1"/>
  <c r="C324" i="16"/>
  <c r="E14" i="14" s="1"/>
  <c r="B323" i="10"/>
  <c r="B323" i="9"/>
  <c r="C324" i="7"/>
  <c r="AE14" i="14" s="1"/>
  <c r="B323" i="4"/>
  <c r="B323" i="3"/>
  <c r="D335" i="3" l="1"/>
  <c r="D25" i="14" s="1"/>
  <c r="M2" i="17"/>
  <c r="M3" i="17"/>
  <c r="L3" i="17"/>
  <c r="L2" i="17"/>
  <c r="D335" i="4"/>
  <c r="N25" i="14" s="1"/>
  <c r="C324" i="6"/>
  <c r="W14" i="14" s="1"/>
  <c r="D335" i="6"/>
  <c r="X25" i="14" s="1"/>
  <c r="C324" i="10"/>
  <c r="S14" i="14" s="1"/>
  <c r="D335" i="10"/>
  <c r="T25" i="14" s="1"/>
  <c r="C324" i="11"/>
  <c r="I14" i="14" s="1"/>
  <c r="D335" i="11"/>
  <c r="J25" i="14" s="1"/>
  <c r="C324" i="9"/>
  <c r="O14" i="14" s="1"/>
  <c r="D335" i="9"/>
  <c r="P25" i="14" s="1"/>
  <c r="G8" i="13"/>
  <c r="Q17" i="25" s="1"/>
  <c r="G9" i="13"/>
  <c r="Q18" i="25" s="1"/>
  <c r="C324" i="5"/>
  <c r="K14" i="14" s="1"/>
  <c r="C324" i="4"/>
  <c r="M14" i="14" s="1"/>
  <c r="C324" i="3"/>
  <c r="C14" i="14" s="1"/>
  <c r="D323" i="11"/>
  <c r="J13" i="14" s="1"/>
  <c r="D324" i="11"/>
  <c r="J14" i="14" s="1"/>
  <c r="D325" i="11"/>
  <c r="J15" i="14" s="1"/>
  <c r="D326" i="11"/>
  <c r="J16" i="14" s="1"/>
  <c r="D327" i="11"/>
  <c r="J17" i="14" s="1"/>
  <c r="D328" i="11"/>
  <c r="J18" i="14" s="1"/>
  <c r="D329" i="11"/>
  <c r="J19" i="14" s="1"/>
  <c r="D330" i="11"/>
  <c r="J20" i="14" s="1"/>
  <c r="D331" i="11"/>
  <c r="J21" i="14" s="1"/>
  <c r="D332" i="11"/>
  <c r="J22" i="14" s="1"/>
  <c r="D333" i="11"/>
  <c r="J23" i="14" s="1"/>
  <c r="B8" i="10"/>
  <c r="B9" i="10"/>
  <c r="B10" i="10"/>
  <c r="B11" i="10"/>
  <c r="B12" i="10"/>
  <c r="B13" i="10"/>
  <c r="B14" i="10"/>
  <c r="B15" i="10"/>
  <c r="B16" i="10"/>
  <c r="B17" i="10"/>
  <c r="B18" i="10"/>
  <c r="B19" i="10"/>
  <c r="B20" i="10"/>
  <c r="B21" i="10"/>
  <c r="B22" i="10"/>
  <c r="B23" i="10"/>
  <c r="B24" i="10"/>
  <c r="B25" i="10"/>
  <c r="B26" i="10"/>
  <c r="B27" i="10"/>
  <c r="B28" i="10"/>
  <c r="B29" i="10"/>
  <c r="B30" i="10"/>
  <c r="B31" i="10"/>
  <c r="B32" i="10"/>
  <c r="B33" i="10"/>
  <c r="B34" i="10"/>
  <c r="B35" i="10"/>
  <c r="B36" i="10"/>
  <c r="B37" i="10"/>
  <c r="B38" i="10"/>
  <c r="B39" i="10"/>
  <c r="B40" i="10"/>
  <c r="B41" i="10"/>
  <c r="B42" i="10"/>
  <c r="B43" i="10"/>
  <c r="B44" i="10"/>
  <c r="B45" i="10"/>
  <c r="B46" i="10"/>
  <c r="B47" i="10"/>
  <c r="B48" i="10"/>
  <c r="B49" i="10"/>
  <c r="B50" i="10"/>
  <c r="B51" i="10"/>
  <c r="B52" i="10"/>
  <c r="B53" i="10"/>
  <c r="B54" i="10"/>
  <c r="B55" i="10"/>
  <c r="B56" i="10"/>
  <c r="B57" i="10"/>
  <c r="B58" i="10"/>
  <c r="B59" i="10"/>
  <c r="B60" i="10"/>
  <c r="B61" i="10"/>
  <c r="B62" i="10"/>
  <c r="B63" i="10"/>
  <c r="B64" i="10"/>
  <c r="B65" i="10"/>
  <c r="B66" i="10"/>
  <c r="B67" i="10"/>
  <c r="B68" i="10"/>
  <c r="B69" i="10"/>
  <c r="B70" i="10"/>
  <c r="B71" i="10"/>
  <c r="B72" i="10"/>
  <c r="B73" i="10"/>
  <c r="B74" i="10"/>
  <c r="B75" i="10"/>
  <c r="B76" i="10"/>
  <c r="B77" i="10"/>
  <c r="B78" i="10"/>
  <c r="B79" i="10"/>
  <c r="B80" i="10"/>
  <c r="B81" i="10"/>
  <c r="B82" i="10"/>
  <c r="B83" i="10"/>
  <c r="B84" i="10"/>
  <c r="B85" i="10"/>
  <c r="B86" i="10"/>
  <c r="B87" i="10"/>
  <c r="B88" i="10"/>
  <c r="B89" i="10"/>
  <c r="B90" i="10"/>
  <c r="B91" i="10"/>
  <c r="B92" i="10"/>
  <c r="B93" i="10"/>
  <c r="B94" i="10"/>
  <c r="B95" i="10"/>
  <c r="B96" i="10"/>
  <c r="B97" i="10"/>
  <c r="B98" i="10"/>
  <c r="B99" i="10"/>
  <c r="B100" i="10"/>
  <c r="B101" i="10"/>
  <c r="B102" i="10"/>
  <c r="B103" i="10"/>
  <c r="B104" i="10"/>
  <c r="B105" i="10"/>
  <c r="B106" i="10"/>
  <c r="B107" i="10"/>
  <c r="B108" i="10"/>
  <c r="B109" i="10"/>
  <c r="B110" i="10"/>
  <c r="B111" i="10"/>
  <c r="B112" i="10"/>
  <c r="B113" i="10"/>
  <c r="B114" i="10"/>
  <c r="B115" i="10"/>
  <c r="B116" i="10"/>
  <c r="B117" i="10"/>
  <c r="B118" i="10"/>
  <c r="B119" i="10"/>
  <c r="B120" i="10"/>
  <c r="B121" i="10"/>
  <c r="B122" i="10"/>
  <c r="B123" i="10"/>
  <c r="B124" i="10"/>
  <c r="B125" i="10"/>
  <c r="B126" i="10"/>
  <c r="B127" i="10"/>
  <c r="B128" i="10"/>
  <c r="B129" i="10"/>
  <c r="B130" i="10"/>
  <c r="B131" i="10"/>
  <c r="B132" i="10"/>
  <c r="B133" i="10"/>
  <c r="B134" i="10"/>
  <c r="B135" i="10"/>
  <c r="B136" i="10"/>
  <c r="B137" i="10"/>
  <c r="B138" i="10"/>
  <c r="B139" i="10"/>
  <c r="B140" i="10"/>
  <c r="B141" i="10"/>
  <c r="B142" i="10"/>
  <c r="B143" i="10"/>
  <c r="B144" i="10"/>
  <c r="B145" i="10"/>
  <c r="B146" i="10"/>
  <c r="B147" i="10"/>
  <c r="B148" i="10"/>
  <c r="B149" i="10"/>
  <c r="B150" i="10"/>
  <c r="B151" i="10"/>
  <c r="B152" i="10"/>
  <c r="B153" i="10"/>
  <c r="B154" i="10"/>
  <c r="B155" i="10"/>
  <c r="B156" i="10"/>
  <c r="B157" i="10"/>
  <c r="B158" i="10"/>
  <c r="B159" i="10"/>
  <c r="B160" i="10"/>
  <c r="B161" i="10"/>
  <c r="B162" i="10"/>
  <c r="B163" i="10"/>
  <c r="B164" i="10"/>
  <c r="B165" i="10"/>
  <c r="B166" i="10"/>
  <c r="B167" i="10"/>
  <c r="B168" i="10"/>
  <c r="B169" i="10"/>
  <c r="B170" i="10"/>
  <c r="B171" i="10"/>
  <c r="B172" i="10"/>
  <c r="B173" i="10"/>
  <c r="B174" i="10"/>
  <c r="B175" i="10"/>
  <c r="B176" i="10"/>
  <c r="B177" i="10"/>
  <c r="B178" i="10"/>
  <c r="B179" i="10"/>
  <c r="B180" i="10"/>
  <c r="B181" i="10"/>
  <c r="B182" i="10"/>
  <c r="B183" i="10"/>
  <c r="B184" i="10"/>
  <c r="B185" i="10"/>
  <c r="B186" i="10"/>
  <c r="B187" i="10"/>
  <c r="B188" i="10"/>
  <c r="B189" i="10"/>
  <c r="B190" i="10"/>
  <c r="B191" i="10"/>
  <c r="B192" i="10"/>
  <c r="B193" i="10"/>
  <c r="B194" i="10"/>
  <c r="B195" i="10"/>
  <c r="B196" i="10"/>
  <c r="B197" i="10"/>
  <c r="B198" i="10"/>
  <c r="B199" i="10"/>
  <c r="B200" i="10"/>
  <c r="B201" i="10"/>
  <c r="B202" i="10"/>
  <c r="B203" i="10"/>
  <c r="B204" i="10"/>
  <c r="B205" i="10"/>
  <c r="B206" i="10"/>
  <c r="B207" i="10"/>
  <c r="B208" i="10"/>
  <c r="B209" i="10"/>
  <c r="B210" i="10"/>
  <c r="B211" i="10"/>
  <c r="B212" i="10"/>
  <c r="B213" i="10"/>
  <c r="B214" i="10"/>
  <c r="B215" i="10"/>
  <c r="B216" i="10"/>
  <c r="B217" i="10"/>
  <c r="B218" i="10"/>
  <c r="B219" i="10"/>
  <c r="B220" i="10"/>
  <c r="B221" i="10"/>
  <c r="B222" i="10"/>
  <c r="B223" i="10"/>
  <c r="B224" i="10"/>
  <c r="B225" i="10"/>
  <c r="B226" i="10"/>
  <c r="B227" i="10"/>
  <c r="B228" i="10"/>
  <c r="B229" i="10"/>
  <c r="B230" i="10"/>
  <c r="B231" i="10"/>
  <c r="B232" i="10"/>
  <c r="B233" i="10"/>
  <c r="B234" i="10"/>
  <c r="B235" i="10"/>
  <c r="B236" i="10"/>
  <c r="B237" i="10"/>
  <c r="B238" i="10"/>
  <c r="B239" i="10"/>
  <c r="B240" i="10"/>
  <c r="B241" i="10"/>
  <c r="B242" i="10"/>
  <c r="B243" i="10"/>
  <c r="B244" i="10"/>
  <c r="B245" i="10"/>
  <c r="B246" i="10"/>
  <c r="B247" i="10"/>
  <c r="B248" i="10"/>
  <c r="B249" i="10"/>
  <c r="B250" i="10"/>
  <c r="B251" i="10"/>
  <c r="B252" i="10"/>
  <c r="B253" i="10"/>
  <c r="B254" i="10"/>
  <c r="B255" i="10"/>
  <c r="B256" i="10"/>
  <c r="B257" i="10"/>
  <c r="B258" i="10"/>
  <c r="B259" i="10"/>
  <c r="B260" i="10"/>
  <c r="B261" i="10"/>
  <c r="B262" i="10"/>
  <c r="B263" i="10"/>
  <c r="B264" i="10"/>
  <c r="B265" i="10"/>
  <c r="B266" i="10"/>
  <c r="B267" i="10"/>
  <c r="B268" i="10"/>
  <c r="B269" i="10"/>
  <c r="B270" i="10"/>
  <c r="B271" i="10"/>
  <c r="B272" i="10"/>
  <c r="B273" i="10"/>
  <c r="B274" i="10"/>
  <c r="B275" i="10"/>
  <c r="B276" i="10"/>
  <c r="B277" i="10"/>
  <c r="B278" i="10"/>
  <c r="B279" i="10"/>
  <c r="B280" i="10"/>
  <c r="B281" i="10"/>
  <c r="B282" i="10"/>
  <c r="B283" i="10"/>
  <c r="B284" i="10"/>
  <c r="B285" i="10"/>
  <c r="B286" i="10"/>
  <c r="B287" i="10"/>
  <c r="B288" i="10"/>
  <c r="B289" i="10"/>
  <c r="B290" i="10"/>
  <c r="B291" i="10"/>
  <c r="B292" i="10"/>
  <c r="B293" i="10"/>
  <c r="B294" i="10"/>
  <c r="B295" i="10"/>
  <c r="B296" i="10"/>
  <c r="B297" i="10"/>
  <c r="B298" i="10"/>
  <c r="B299" i="10"/>
  <c r="B300" i="10"/>
  <c r="B301" i="10"/>
  <c r="B302" i="10"/>
  <c r="B303" i="10"/>
  <c r="B304" i="10"/>
  <c r="B305" i="10"/>
  <c r="B306" i="10"/>
  <c r="B307" i="10"/>
  <c r="B308" i="10"/>
  <c r="B309" i="10"/>
  <c r="B310" i="10"/>
  <c r="B311" i="10"/>
  <c r="D323" i="10" s="1"/>
  <c r="T13" i="14" s="1"/>
  <c r="B312" i="10"/>
  <c r="D324" i="10" s="1"/>
  <c r="T14" i="14" s="1"/>
  <c r="B313" i="10"/>
  <c r="D325" i="10" s="1"/>
  <c r="T15" i="14" s="1"/>
  <c r="B314" i="10"/>
  <c r="D326" i="10" s="1"/>
  <c r="T16" i="14" s="1"/>
  <c r="B315" i="10"/>
  <c r="D327" i="10" s="1"/>
  <c r="T17" i="14" s="1"/>
  <c r="B316" i="10"/>
  <c r="D328" i="10" s="1"/>
  <c r="T18" i="14" s="1"/>
  <c r="B317" i="10"/>
  <c r="D329" i="10" s="1"/>
  <c r="T19" i="14" s="1"/>
  <c r="B318" i="10"/>
  <c r="D330" i="10" s="1"/>
  <c r="T20" i="14" s="1"/>
  <c r="B319" i="10"/>
  <c r="D331" i="10" s="1"/>
  <c r="T21" i="14" s="1"/>
  <c r="B320" i="10"/>
  <c r="D332" i="10" s="1"/>
  <c r="T22" i="14" s="1"/>
  <c r="B321" i="10"/>
  <c r="D333" i="10" s="1"/>
  <c r="T23" i="14" s="1"/>
  <c r="B322" i="10"/>
  <c r="B7" i="10"/>
  <c r="B8" i="9"/>
  <c r="B9" i="9"/>
  <c r="B10" i="9"/>
  <c r="B11" i="9"/>
  <c r="B12" i="9"/>
  <c r="B13" i="9"/>
  <c r="B14" i="9"/>
  <c r="B15" i="9"/>
  <c r="B16" i="9"/>
  <c r="B17" i="9"/>
  <c r="B18" i="9"/>
  <c r="B19" i="9"/>
  <c r="B20" i="9"/>
  <c r="B21" i="9"/>
  <c r="B22" i="9"/>
  <c r="B23" i="9"/>
  <c r="B24" i="9"/>
  <c r="B25" i="9"/>
  <c r="B26" i="9"/>
  <c r="B27" i="9"/>
  <c r="B28" i="9"/>
  <c r="B29" i="9"/>
  <c r="B30" i="9"/>
  <c r="B31" i="9"/>
  <c r="B32" i="9"/>
  <c r="B33" i="9"/>
  <c r="B34" i="9"/>
  <c r="B35" i="9"/>
  <c r="B36" i="9"/>
  <c r="B37" i="9"/>
  <c r="B38" i="9"/>
  <c r="B39" i="9"/>
  <c r="B40" i="9"/>
  <c r="B41" i="9"/>
  <c r="B42" i="9"/>
  <c r="B43" i="9"/>
  <c r="B44" i="9"/>
  <c r="B45" i="9"/>
  <c r="B46" i="9"/>
  <c r="B47" i="9"/>
  <c r="B48" i="9"/>
  <c r="B49" i="9"/>
  <c r="B50" i="9"/>
  <c r="B51" i="9"/>
  <c r="B52" i="9"/>
  <c r="B53" i="9"/>
  <c r="B54" i="9"/>
  <c r="B55" i="9"/>
  <c r="B56" i="9"/>
  <c r="B57" i="9"/>
  <c r="B58" i="9"/>
  <c r="B59" i="9"/>
  <c r="B60" i="9"/>
  <c r="B61" i="9"/>
  <c r="B62" i="9"/>
  <c r="B63" i="9"/>
  <c r="B64" i="9"/>
  <c r="B65" i="9"/>
  <c r="B66" i="9"/>
  <c r="B67" i="9"/>
  <c r="B68" i="9"/>
  <c r="B69" i="9"/>
  <c r="B70" i="9"/>
  <c r="B71" i="9"/>
  <c r="B72" i="9"/>
  <c r="B73" i="9"/>
  <c r="B74" i="9"/>
  <c r="B75" i="9"/>
  <c r="B76" i="9"/>
  <c r="B77" i="9"/>
  <c r="B78" i="9"/>
  <c r="B79" i="9"/>
  <c r="B80" i="9"/>
  <c r="B81" i="9"/>
  <c r="B82" i="9"/>
  <c r="B83" i="9"/>
  <c r="B84" i="9"/>
  <c r="B85" i="9"/>
  <c r="B86" i="9"/>
  <c r="B87" i="9"/>
  <c r="B88" i="9"/>
  <c r="B89" i="9"/>
  <c r="B90" i="9"/>
  <c r="B91" i="9"/>
  <c r="B92" i="9"/>
  <c r="B93" i="9"/>
  <c r="B94" i="9"/>
  <c r="B95" i="9"/>
  <c r="B96" i="9"/>
  <c r="B97" i="9"/>
  <c r="B98" i="9"/>
  <c r="B99" i="9"/>
  <c r="B100" i="9"/>
  <c r="B101" i="9"/>
  <c r="B102" i="9"/>
  <c r="B103" i="9"/>
  <c r="B104" i="9"/>
  <c r="B105" i="9"/>
  <c r="B106" i="9"/>
  <c r="B107" i="9"/>
  <c r="B108" i="9"/>
  <c r="B109" i="9"/>
  <c r="B110" i="9"/>
  <c r="B111" i="9"/>
  <c r="B112" i="9"/>
  <c r="B113" i="9"/>
  <c r="B114" i="9"/>
  <c r="B115" i="9"/>
  <c r="B116" i="9"/>
  <c r="B117" i="9"/>
  <c r="B118" i="9"/>
  <c r="B119" i="9"/>
  <c r="B120" i="9"/>
  <c r="B121" i="9"/>
  <c r="B122" i="9"/>
  <c r="B123" i="9"/>
  <c r="B124" i="9"/>
  <c r="B125" i="9"/>
  <c r="B126" i="9"/>
  <c r="B127" i="9"/>
  <c r="B128" i="9"/>
  <c r="B129" i="9"/>
  <c r="B130" i="9"/>
  <c r="B131" i="9"/>
  <c r="B132" i="9"/>
  <c r="B133" i="9"/>
  <c r="B134" i="9"/>
  <c r="B135" i="9"/>
  <c r="B136" i="9"/>
  <c r="B137" i="9"/>
  <c r="B138" i="9"/>
  <c r="B139" i="9"/>
  <c r="B140" i="9"/>
  <c r="B141" i="9"/>
  <c r="B142" i="9"/>
  <c r="B143" i="9"/>
  <c r="B144" i="9"/>
  <c r="B145" i="9"/>
  <c r="B146" i="9"/>
  <c r="B147" i="9"/>
  <c r="B148" i="9"/>
  <c r="B149" i="9"/>
  <c r="B150" i="9"/>
  <c r="B151" i="9"/>
  <c r="B152" i="9"/>
  <c r="B153" i="9"/>
  <c r="B154" i="9"/>
  <c r="B155" i="9"/>
  <c r="B156" i="9"/>
  <c r="B157" i="9"/>
  <c r="B158" i="9"/>
  <c r="B159" i="9"/>
  <c r="B160" i="9"/>
  <c r="B161" i="9"/>
  <c r="B162" i="9"/>
  <c r="B163" i="9"/>
  <c r="B164" i="9"/>
  <c r="B165" i="9"/>
  <c r="B166" i="9"/>
  <c r="B167" i="9"/>
  <c r="B168" i="9"/>
  <c r="B169" i="9"/>
  <c r="B170" i="9"/>
  <c r="B171" i="9"/>
  <c r="B172" i="9"/>
  <c r="B173" i="9"/>
  <c r="B174" i="9"/>
  <c r="B175" i="9"/>
  <c r="B176" i="9"/>
  <c r="B177" i="9"/>
  <c r="B178" i="9"/>
  <c r="B179" i="9"/>
  <c r="B180" i="9"/>
  <c r="B181" i="9"/>
  <c r="B182" i="9"/>
  <c r="B183" i="9"/>
  <c r="B184" i="9"/>
  <c r="B185" i="9"/>
  <c r="B186" i="9"/>
  <c r="B187" i="9"/>
  <c r="B188" i="9"/>
  <c r="B189" i="9"/>
  <c r="B190" i="9"/>
  <c r="B191" i="9"/>
  <c r="B192" i="9"/>
  <c r="B193" i="9"/>
  <c r="B194" i="9"/>
  <c r="B195" i="9"/>
  <c r="B196" i="9"/>
  <c r="B197" i="9"/>
  <c r="B198" i="9"/>
  <c r="B199" i="9"/>
  <c r="B200" i="9"/>
  <c r="B201" i="9"/>
  <c r="B202" i="9"/>
  <c r="B203" i="9"/>
  <c r="B204" i="9"/>
  <c r="B205" i="9"/>
  <c r="B206" i="9"/>
  <c r="B207" i="9"/>
  <c r="B208" i="9"/>
  <c r="B209" i="9"/>
  <c r="B210" i="9"/>
  <c r="B211" i="9"/>
  <c r="B212" i="9"/>
  <c r="B213" i="9"/>
  <c r="B214" i="9"/>
  <c r="B215" i="9"/>
  <c r="B216" i="9"/>
  <c r="B217" i="9"/>
  <c r="B218" i="9"/>
  <c r="B219" i="9"/>
  <c r="B220" i="9"/>
  <c r="B221" i="9"/>
  <c r="B222" i="9"/>
  <c r="B223" i="9"/>
  <c r="B224" i="9"/>
  <c r="B225" i="9"/>
  <c r="B226" i="9"/>
  <c r="B227" i="9"/>
  <c r="B228" i="9"/>
  <c r="B229" i="9"/>
  <c r="B230" i="9"/>
  <c r="B231" i="9"/>
  <c r="B232" i="9"/>
  <c r="B233" i="9"/>
  <c r="B234" i="9"/>
  <c r="B235" i="9"/>
  <c r="B236" i="9"/>
  <c r="B237" i="9"/>
  <c r="B238" i="9"/>
  <c r="B239" i="9"/>
  <c r="B240" i="9"/>
  <c r="B241" i="9"/>
  <c r="B242" i="9"/>
  <c r="B243" i="9"/>
  <c r="B244" i="9"/>
  <c r="B245" i="9"/>
  <c r="B246" i="9"/>
  <c r="B247" i="9"/>
  <c r="B248" i="9"/>
  <c r="B249" i="9"/>
  <c r="B250" i="9"/>
  <c r="B251" i="9"/>
  <c r="B252" i="9"/>
  <c r="B253" i="9"/>
  <c r="B254" i="9"/>
  <c r="B255" i="9"/>
  <c r="B256" i="9"/>
  <c r="B257" i="9"/>
  <c r="B258" i="9"/>
  <c r="B259" i="9"/>
  <c r="B260" i="9"/>
  <c r="B261" i="9"/>
  <c r="B262" i="9"/>
  <c r="B263" i="9"/>
  <c r="B264" i="9"/>
  <c r="B265" i="9"/>
  <c r="B266" i="9"/>
  <c r="B267" i="9"/>
  <c r="B268" i="9"/>
  <c r="B269" i="9"/>
  <c r="B270" i="9"/>
  <c r="B271" i="9"/>
  <c r="B272" i="9"/>
  <c r="B273" i="9"/>
  <c r="B274" i="9"/>
  <c r="B275" i="9"/>
  <c r="B276" i="9"/>
  <c r="B277" i="9"/>
  <c r="B278" i="9"/>
  <c r="B279" i="9"/>
  <c r="B280" i="9"/>
  <c r="B281" i="9"/>
  <c r="B282" i="9"/>
  <c r="B283" i="9"/>
  <c r="B284" i="9"/>
  <c r="B285" i="9"/>
  <c r="B286" i="9"/>
  <c r="B287" i="9"/>
  <c r="B288" i="9"/>
  <c r="B289" i="9"/>
  <c r="B290" i="9"/>
  <c r="B291" i="9"/>
  <c r="B292" i="9"/>
  <c r="B293" i="9"/>
  <c r="B294" i="9"/>
  <c r="B295" i="9"/>
  <c r="B296" i="9"/>
  <c r="B297" i="9"/>
  <c r="B298" i="9"/>
  <c r="B299" i="9"/>
  <c r="B300" i="9"/>
  <c r="B301" i="9"/>
  <c r="B302" i="9"/>
  <c r="B303" i="9"/>
  <c r="B304" i="9"/>
  <c r="B305" i="9"/>
  <c r="B306" i="9"/>
  <c r="B307" i="9"/>
  <c r="B308" i="9"/>
  <c r="B309" i="9"/>
  <c r="B310" i="9"/>
  <c r="B311" i="9"/>
  <c r="D323" i="9" s="1"/>
  <c r="P13" i="14" s="1"/>
  <c r="B312" i="9"/>
  <c r="D324" i="9" s="1"/>
  <c r="P14" i="14" s="1"/>
  <c r="B313" i="9"/>
  <c r="D325" i="9" s="1"/>
  <c r="P15" i="14" s="1"/>
  <c r="B314" i="9"/>
  <c r="D326" i="9" s="1"/>
  <c r="P16" i="14" s="1"/>
  <c r="B315" i="9"/>
  <c r="D327" i="9" s="1"/>
  <c r="P17" i="14" s="1"/>
  <c r="B316" i="9"/>
  <c r="D328" i="9" s="1"/>
  <c r="P18" i="14" s="1"/>
  <c r="B317" i="9"/>
  <c r="D329" i="9" s="1"/>
  <c r="P19" i="14" s="1"/>
  <c r="B318" i="9"/>
  <c r="D330" i="9" s="1"/>
  <c r="P20" i="14" s="1"/>
  <c r="B319" i="9"/>
  <c r="D331" i="9" s="1"/>
  <c r="P21" i="14" s="1"/>
  <c r="B320" i="9"/>
  <c r="D332" i="9" s="1"/>
  <c r="P22" i="14" s="1"/>
  <c r="B321" i="9"/>
  <c r="D333" i="9" s="1"/>
  <c r="P23" i="14" s="1"/>
  <c r="B322" i="9"/>
  <c r="B7" i="9"/>
  <c r="D323" i="7"/>
  <c r="AF13" i="14" s="1"/>
  <c r="D324" i="7"/>
  <c r="AF14" i="14" s="1"/>
  <c r="C323" i="7"/>
  <c r="AE13" i="14" s="1"/>
  <c r="D323" i="6"/>
  <c r="X13" i="14" s="1"/>
  <c r="D324" i="6"/>
  <c r="X14" i="14" s="1"/>
  <c r="D325" i="6"/>
  <c r="X15" i="14" s="1"/>
  <c r="D326" i="6"/>
  <c r="X16" i="14" s="1"/>
  <c r="D327" i="6"/>
  <c r="X17" i="14" s="1"/>
  <c r="D328" i="6"/>
  <c r="X18" i="14" s="1"/>
  <c r="D329" i="6"/>
  <c r="X19" i="14" s="1"/>
  <c r="D330" i="6"/>
  <c r="X20" i="14" s="1"/>
  <c r="D331" i="6"/>
  <c r="X21" i="14" s="1"/>
  <c r="D332" i="6"/>
  <c r="X22" i="14" s="1"/>
  <c r="D333" i="6"/>
  <c r="X23" i="14" s="1"/>
  <c r="D323" i="5"/>
  <c r="L13" i="14" s="1"/>
  <c r="D324" i="5"/>
  <c r="L14" i="14" s="1"/>
  <c r="C323" i="5"/>
  <c r="K13" i="14" s="1"/>
  <c r="B8" i="4"/>
  <c r="B9" i="4"/>
  <c r="B10" i="4"/>
  <c r="B11" i="4"/>
  <c r="B12" i="4"/>
  <c r="B13" i="4"/>
  <c r="B14" i="4"/>
  <c r="B15" i="4"/>
  <c r="B16" i="4"/>
  <c r="B17" i="4"/>
  <c r="B18" i="4"/>
  <c r="B19" i="4"/>
  <c r="B20" i="4"/>
  <c r="B21" i="4"/>
  <c r="B22" i="4"/>
  <c r="B23" i="4"/>
  <c r="B24" i="4"/>
  <c r="B25" i="4"/>
  <c r="B26" i="4"/>
  <c r="B27" i="4"/>
  <c r="B28" i="4"/>
  <c r="B29" i="4"/>
  <c r="B30" i="4"/>
  <c r="B31" i="4"/>
  <c r="B32" i="4"/>
  <c r="B33" i="4"/>
  <c r="B34" i="4"/>
  <c r="B35" i="4"/>
  <c r="B36" i="4"/>
  <c r="B37" i="4"/>
  <c r="B38" i="4"/>
  <c r="B39" i="4"/>
  <c r="B40" i="4"/>
  <c r="B41" i="4"/>
  <c r="B42" i="4"/>
  <c r="B43" i="4"/>
  <c r="B44" i="4"/>
  <c r="B45" i="4"/>
  <c r="B46" i="4"/>
  <c r="B47" i="4"/>
  <c r="B48" i="4"/>
  <c r="B49" i="4"/>
  <c r="B50" i="4"/>
  <c r="B51" i="4"/>
  <c r="B52" i="4"/>
  <c r="B53" i="4"/>
  <c r="B54" i="4"/>
  <c r="B55" i="4"/>
  <c r="B56" i="4"/>
  <c r="B57" i="4"/>
  <c r="B58" i="4"/>
  <c r="B59" i="4"/>
  <c r="B60" i="4"/>
  <c r="B61" i="4"/>
  <c r="B62" i="4"/>
  <c r="B63" i="4"/>
  <c r="B64" i="4"/>
  <c r="B65" i="4"/>
  <c r="B66" i="4"/>
  <c r="B67" i="4"/>
  <c r="B68" i="4"/>
  <c r="B69" i="4"/>
  <c r="B70" i="4"/>
  <c r="B71" i="4"/>
  <c r="B72" i="4"/>
  <c r="B73" i="4"/>
  <c r="B74" i="4"/>
  <c r="B75" i="4"/>
  <c r="B76" i="4"/>
  <c r="B77" i="4"/>
  <c r="B78" i="4"/>
  <c r="B79" i="4"/>
  <c r="B80" i="4"/>
  <c r="B81" i="4"/>
  <c r="B82" i="4"/>
  <c r="B83" i="4"/>
  <c r="B84" i="4"/>
  <c r="B85" i="4"/>
  <c r="B86" i="4"/>
  <c r="B87" i="4"/>
  <c r="B88" i="4"/>
  <c r="B89" i="4"/>
  <c r="B90" i="4"/>
  <c r="B91" i="4"/>
  <c r="B92" i="4"/>
  <c r="B93" i="4"/>
  <c r="B94" i="4"/>
  <c r="B95" i="4"/>
  <c r="B96" i="4"/>
  <c r="B97" i="4"/>
  <c r="B98" i="4"/>
  <c r="B99" i="4"/>
  <c r="B100" i="4"/>
  <c r="B101" i="4"/>
  <c r="B102" i="4"/>
  <c r="B103" i="4"/>
  <c r="B104" i="4"/>
  <c r="B105" i="4"/>
  <c r="B106" i="4"/>
  <c r="B107" i="4"/>
  <c r="B108" i="4"/>
  <c r="B109" i="4"/>
  <c r="B110" i="4"/>
  <c r="B111" i="4"/>
  <c r="B112" i="4"/>
  <c r="B113" i="4"/>
  <c r="B114" i="4"/>
  <c r="B115" i="4"/>
  <c r="B116" i="4"/>
  <c r="B117" i="4"/>
  <c r="B118" i="4"/>
  <c r="B119" i="4"/>
  <c r="B120" i="4"/>
  <c r="B121" i="4"/>
  <c r="B122" i="4"/>
  <c r="B123" i="4"/>
  <c r="B124" i="4"/>
  <c r="B125" i="4"/>
  <c r="B126" i="4"/>
  <c r="B127" i="4"/>
  <c r="B128" i="4"/>
  <c r="B129" i="4"/>
  <c r="B130" i="4"/>
  <c r="B131" i="4"/>
  <c r="B132" i="4"/>
  <c r="B133" i="4"/>
  <c r="B134" i="4"/>
  <c r="B135" i="4"/>
  <c r="B136" i="4"/>
  <c r="B137" i="4"/>
  <c r="B138" i="4"/>
  <c r="B139" i="4"/>
  <c r="B140" i="4"/>
  <c r="B141" i="4"/>
  <c r="B142" i="4"/>
  <c r="B143" i="4"/>
  <c r="B144" i="4"/>
  <c r="B145" i="4"/>
  <c r="B146" i="4"/>
  <c r="B147" i="4"/>
  <c r="B148" i="4"/>
  <c r="B149" i="4"/>
  <c r="B150" i="4"/>
  <c r="B151" i="4"/>
  <c r="B152" i="4"/>
  <c r="B153" i="4"/>
  <c r="B154" i="4"/>
  <c r="B155" i="4"/>
  <c r="B156" i="4"/>
  <c r="B157" i="4"/>
  <c r="B158" i="4"/>
  <c r="B159" i="4"/>
  <c r="B160" i="4"/>
  <c r="B161" i="4"/>
  <c r="B162" i="4"/>
  <c r="B163" i="4"/>
  <c r="B164" i="4"/>
  <c r="B165" i="4"/>
  <c r="B166" i="4"/>
  <c r="B167" i="4"/>
  <c r="B168" i="4"/>
  <c r="B169" i="4"/>
  <c r="B170" i="4"/>
  <c r="B171" i="4"/>
  <c r="B172" i="4"/>
  <c r="B173" i="4"/>
  <c r="B174" i="4"/>
  <c r="B175" i="4"/>
  <c r="B176" i="4"/>
  <c r="B177" i="4"/>
  <c r="B178" i="4"/>
  <c r="B179" i="4"/>
  <c r="B180" i="4"/>
  <c r="B181" i="4"/>
  <c r="B182" i="4"/>
  <c r="B183" i="4"/>
  <c r="B184" i="4"/>
  <c r="B185" i="4"/>
  <c r="B186" i="4"/>
  <c r="B187" i="4"/>
  <c r="B188" i="4"/>
  <c r="B189" i="4"/>
  <c r="B190" i="4"/>
  <c r="B191" i="4"/>
  <c r="B192" i="4"/>
  <c r="B193" i="4"/>
  <c r="B194" i="4"/>
  <c r="B195" i="4"/>
  <c r="B196" i="4"/>
  <c r="B197" i="4"/>
  <c r="B198" i="4"/>
  <c r="B199" i="4"/>
  <c r="B200" i="4"/>
  <c r="B201" i="4"/>
  <c r="B202" i="4"/>
  <c r="B203" i="4"/>
  <c r="B204" i="4"/>
  <c r="B205" i="4"/>
  <c r="B206" i="4"/>
  <c r="B207" i="4"/>
  <c r="B208" i="4"/>
  <c r="B209" i="4"/>
  <c r="B210" i="4"/>
  <c r="B211" i="4"/>
  <c r="B212" i="4"/>
  <c r="B213" i="4"/>
  <c r="B214" i="4"/>
  <c r="B215" i="4"/>
  <c r="B216" i="4"/>
  <c r="B217" i="4"/>
  <c r="B218" i="4"/>
  <c r="B219" i="4"/>
  <c r="B220" i="4"/>
  <c r="B221" i="4"/>
  <c r="B222" i="4"/>
  <c r="B223" i="4"/>
  <c r="B224" i="4"/>
  <c r="B225" i="4"/>
  <c r="B226" i="4"/>
  <c r="B227" i="4"/>
  <c r="B228" i="4"/>
  <c r="B229" i="4"/>
  <c r="B230" i="4"/>
  <c r="B231" i="4"/>
  <c r="B232" i="4"/>
  <c r="B233" i="4"/>
  <c r="B234" i="4"/>
  <c r="B235" i="4"/>
  <c r="B236" i="4"/>
  <c r="B237" i="4"/>
  <c r="B238" i="4"/>
  <c r="B239" i="4"/>
  <c r="B240" i="4"/>
  <c r="B241" i="4"/>
  <c r="B242" i="4"/>
  <c r="B243" i="4"/>
  <c r="B244" i="4"/>
  <c r="B245" i="4"/>
  <c r="B246" i="4"/>
  <c r="B247" i="4"/>
  <c r="B248" i="4"/>
  <c r="B249" i="4"/>
  <c r="B250" i="4"/>
  <c r="B251" i="4"/>
  <c r="B252" i="4"/>
  <c r="B253" i="4"/>
  <c r="B254" i="4"/>
  <c r="B255" i="4"/>
  <c r="B256" i="4"/>
  <c r="B257" i="4"/>
  <c r="B258" i="4"/>
  <c r="B259" i="4"/>
  <c r="B260" i="4"/>
  <c r="B261" i="4"/>
  <c r="B262" i="4"/>
  <c r="B263" i="4"/>
  <c r="B264" i="4"/>
  <c r="B265" i="4"/>
  <c r="B266" i="4"/>
  <c r="B267" i="4"/>
  <c r="B268" i="4"/>
  <c r="B269" i="4"/>
  <c r="B270" i="4"/>
  <c r="B271" i="4"/>
  <c r="B272" i="4"/>
  <c r="B273" i="4"/>
  <c r="B274" i="4"/>
  <c r="B275" i="4"/>
  <c r="B276" i="4"/>
  <c r="B277" i="4"/>
  <c r="B278" i="4"/>
  <c r="B279" i="4"/>
  <c r="B280" i="4"/>
  <c r="B281" i="4"/>
  <c r="B282" i="4"/>
  <c r="B283" i="4"/>
  <c r="B284" i="4"/>
  <c r="B285" i="4"/>
  <c r="B286" i="4"/>
  <c r="B287" i="4"/>
  <c r="B288" i="4"/>
  <c r="B289" i="4"/>
  <c r="B290" i="4"/>
  <c r="B291" i="4"/>
  <c r="B292" i="4"/>
  <c r="B293" i="4"/>
  <c r="B294" i="4"/>
  <c r="B295" i="4"/>
  <c r="B296" i="4"/>
  <c r="B297" i="4"/>
  <c r="B298" i="4"/>
  <c r="B299" i="4"/>
  <c r="B300" i="4"/>
  <c r="B301" i="4"/>
  <c r="B302" i="4"/>
  <c r="B303" i="4"/>
  <c r="B304" i="4"/>
  <c r="B305" i="4"/>
  <c r="B306" i="4"/>
  <c r="B307" i="4"/>
  <c r="B308" i="4"/>
  <c r="B309" i="4"/>
  <c r="B310" i="4"/>
  <c r="B311" i="4"/>
  <c r="D323" i="4" s="1"/>
  <c r="N13" i="14" s="1"/>
  <c r="B312" i="4"/>
  <c r="D324" i="4" s="1"/>
  <c r="N14" i="14" s="1"/>
  <c r="B313" i="4"/>
  <c r="D325" i="4" s="1"/>
  <c r="N15" i="14" s="1"/>
  <c r="B314" i="4"/>
  <c r="D326" i="4" s="1"/>
  <c r="N16" i="14" s="1"/>
  <c r="B315" i="4"/>
  <c r="D327" i="4" s="1"/>
  <c r="N17" i="14" s="1"/>
  <c r="B316" i="4"/>
  <c r="D328" i="4" s="1"/>
  <c r="N18" i="14" s="1"/>
  <c r="B317" i="4"/>
  <c r="D329" i="4" s="1"/>
  <c r="N19" i="14" s="1"/>
  <c r="B318" i="4"/>
  <c r="D330" i="4" s="1"/>
  <c r="N20" i="14" s="1"/>
  <c r="B319" i="4"/>
  <c r="D331" i="4" s="1"/>
  <c r="N21" i="14" s="1"/>
  <c r="B320" i="4"/>
  <c r="D332" i="4" s="1"/>
  <c r="N22" i="14" s="1"/>
  <c r="B321" i="4"/>
  <c r="D333" i="4" s="1"/>
  <c r="N23" i="14" s="1"/>
  <c r="B322" i="4"/>
  <c r="D334" i="4" s="1"/>
  <c r="N24" i="14" s="1"/>
  <c r="B7" i="4"/>
  <c r="B13" i="3"/>
  <c r="B14" i="3"/>
  <c r="B15" i="3"/>
  <c r="B16" i="3"/>
  <c r="B17" i="3"/>
  <c r="B18" i="3"/>
  <c r="B19" i="3"/>
  <c r="B20" i="3"/>
  <c r="B21" i="3"/>
  <c r="B22" i="3"/>
  <c r="B23" i="3"/>
  <c r="B24" i="3"/>
  <c r="B25" i="3"/>
  <c r="B26" i="3"/>
  <c r="B27" i="3"/>
  <c r="B28" i="3"/>
  <c r="B29" i="3"/>
  <c r="B30" i="3"/>
  <c r="B31" i="3"/>
  <c r="B32" i="3"/>
  <c r="B33" i="3"/>
  <c r="B34" i="3"/>
  <c r="B35" i="3"/>
  <c r="B36" i="3"/>
  <c r="B37" i="3"/>
  <c r="B38" i="3"/>
  <c r="B39" i="3"/>
  <c r="B40" i="3"/>
  <c r="B41" i="3"/>
  <c r="B42" i="3"/>
  <c r="B43" i="3"/>
  <c r="B44" i="3"/>
  <c r="B45" i="3"/>
  <c r="B46" i="3"/>
  <c r="B47" i="3"/>
  <c r="B48" i="3"/>
  <c r="B49" i="3"/>
  <c r="B50" i="3"/>
  <c r="B51" i="3"/>
  <c r="B52" i="3"/>
  <c r="B53" i="3"/>
  <c r="B54" i="3"/>
  <c r="B55" i="3"/>
  <c r="B56" i="3"/>
  <c r="B57" i="3"/>
  <c r="B58" i="3"/>
  <c r="B59" i="3"/>
  <c r="B60" i="3"/>
  <c r="B61" i="3"/>
  <c r="B62" i="3"/>
  <c r="B63" i="3"/>
  <c r="B64" i="3"/>
  <c r="B65" i="3"/>
  <c r="B66" i="3"/>
  <c r="B67" i="3"/>
  <c r="B68" i="3"/>
  <c r="B69" i="3"/>
  <c r="B70" i="3"/>
  <c r="B71" i="3"/>
  <c r="B72" i="3"/>
  <c r="B73" i="3"/>
  <c r="B74" i="3"/>
  <c r="B75" i="3"/>
  <c r="B76" i="3"/>
  <c r="B77" i="3"/>
  <c r="B78" i="3"/>
  <c r="B79" i="3"/>
  <c r="B80" i="3"/>
  <c r="B81" i="3"/>
  <c r="B82" i="3"/>
  <c r="B83" i="3"/>
  <c r="B84" i="3"/>
  <c r="B85" i="3"/>
  <c r="B86" i="3"/>
  <c r="B87" i="3"/>
  <c r="B88" i="3"/>
  <c r="B89" i="3"/>
  <c r="B90" i="3"/>
  <c r="B91" i="3"/>
  <c r="B92" i="3"/>
  <c r="B93" i="3"/>
  <c r="B94" i="3"/>
  <c r="B95" i="3"/>
  <c r="B96" i="3"/>
  <c r="B97" i="3"/>
  <c r="B98" i="3"/>
  <c r="B99" i="3"/>
  <c r="B100" i="3"/>
  <c r="B101" i="3"/>
  <c r="B102" i="3"/>
  <c r="B103" i="3"/>
  <c r="B104" i="3"/>
  <c r="B105" i="3"/>
  <c r="B106" i="3"/>
  <c r="B107" i="3"/>
  <c r="B108" i="3"/>
  <c r="B109" i="3"/>
  <c r="B110" i="3"/>
  <c r="B111" i="3"/>
  <c r="B112" i="3"/>
  <c r="B113" i="3"/>
  <c r="B114" i="3"/>
  <c r="B115" i="3"/>
  <c r="B116" i="3"/>
  <c r="B117" i="3"/>
  <c r="B118" i="3"/>
  <c r="B119" i="3"/>
  <c r="B120" i="3"/>
  <c r="B121" i="3"/>
  <c r="B122" i="3"/>
  <c r="B123" i="3"/>
  <c r="B124" i="3"/>
  <c r="B125" i="3"/>
  <c r="B126" i="3"/>
  <c r="B127" i="3"/>
  <c r="B128" i="3"/>
  <c r="B129" i="3"/>
  <c r="B130" i="3"/>
  <c r="B131" i="3"/>
  <c r="B132" i="3"/>
  <c r="B133" i="3"/>
  <c r="B134" i="3"/>
  <c r="B135" i="3"/>
  <c r="B136" i="3"/>
  <c r="B137" i="3"/>
  <c r="B138" i="3"/>
  <c r="B139" i="3"/>
  <c r="B140" i="3"/>
  <c r="B141" i="3"/>
  <c r="B142" i="3"/>
  <c r="B143" i="3"/>
  <c r="B144" i="3"/>
  <c r="B145" i="3"/>
  <c r="B146" i="3"/>
  <c r="B147" i="3"/>
  <c r="B148" i="3"/>
  <c r="B149" i="3"/>
  <c r="B150" i="3"/>
  <c r="B151" i="3"/>
  <c r="B152" i="3"/>
  <c r="B153" i="3"/>
  <c r="B154" i="3"/>
  <c r="B155" i="3"/>
  <c r="B156" i="3"/>
  <c r="B157" i="3"/>
  <c r="B158" i="3"/>
  <c r="B159" i="3"/>
  <c r="B160" i="3"/>
  <c r="B161" i="3"/>
  <c r="B162" i="3"/>
  <c r="B163" i="3"/>
  <c r="B164" i="3"/>
  <c r="B165" i="3"/>
  <c r="B166" i="3"/>
  <c r="B167" i="3"/>
  <c r="B168" i="3"/>
  <c r="B169" i="3"/>
  <c r="B170" i="3"/>
  <c r="B171" i="3"/>
  <c r="B172" i="3"/>
  <c r="B173" i="3"/>
  <c r="B174" i="3"/>
  <c r="B175" i="3"/>
  <c r="B176" i="3"/>
  <c r="B177" i="3"/>
  <c r="B178" i="3"/>
  <c r="B179" i="3"/>
  <c r="B180" i="3"/>
  <c r="B181" i="3"/>
  <c r="B182" i="3"/>
  <c r="B183" i="3"/>
  <c r="B184" i="3"/>
  <c r="B185" i="3"/>
  <c r="B186" i="3"/>
  <c r="B187" i="3"/>
  <c r="B188" i="3"/>
  <c r="B189" i="3"/>
  <c r="B190" i="3"/>
  <c r="B191" i="3"/>
  <c r="B192" i="3"/>
  <c r="B193" i="3"/>
  <c r="B194" i="3"/>
  <c r="B195" i="3"/>
  <c r="B196" i="3"/>
  <c r="B197" i="3"/>
  <c r="B198" i="3"/>
  <c r="B199" i="3"/>
  <c r="B200" i="3"/>
  <c r="B201" i="3"/>
  <c r="B202" i="3"/>
  <c r="B203" i="3"/>
  <c r="B204" i="3"/>
  <c r="B205" i="3"/>
  <c r="B206" i="3"/>
  <c r="B207" i="3"/>
  <c r="B208" i="3"/>
  <c r="B209" i="3"/>
  <c r="B210" i="3"/>
  <c r="B211" i="3"/>
  <c r="B212" i="3"/>
  <c r="B213" i="3"/>
  <c r="B214" i="3"/>
  <c r="B215" i="3"/>
  <c r="B216" i="3"/>
  <c r="B217" i="3"/>
  <c r="B218" i="3"/>
  <c r="B219" i="3"/>
  <c r="B220" i="3"/>
  <c r="B221" i="3"/>
  <c r="B222" i="3"/>
  <c r="B223" i="3"/>
  <c r="B224" i="3"/>
  <c r="B225" i="3"/>
  <c r="B226" i="3"/>
  <c r="B227" i="3"/>
  <c r="B228" i="3"/>
  <c r="B229" i="3"/>
  <c r="B230" i="3"/>
  <c r="B231" i="3"/>
  <c r="B232" i="3"/>
  <c r="B233" i="3"/>
  <c r="B234" i="3"/>
  <c r="B235" i="3"/>
  <c r="B236" i="3"/>
  <c r="B237" i="3"/>
  <c r="B238" i="3"/>
  <c r="B239" i="3"/>
  <c r="B240" i="3"/>
  <c r="B241" i="3"/>
  <c r="B242" i="3"/>
  <c r="B243" i="3"/>
  <c r="B244" i="3"/>
  <c r="B245" i="3"/>
  <c r="B246" i="3"/>
  <c r="B247" i="3"/>
  <c r="B248" i="3"/>
  <c r="B249" i="3"/>
  <c r="B250" i="3"/>
  <c r="B251" i="3"/>
  <c r="B252" i="3"/>
  <c r="B253" i="3"/>
  <c r="B254" i="3"/>
  <c r="B255" i="3"/>
  <c r="B256" i="3"/>
  <c r="B257" i="3"/>
  <c r="B258" i="3"/>
  <c r="B259" i="3"/>
  <c r="B260" i="3"/>
  <c r="B261" i="3"/>
  <c r="B262" i="3"/>
  <c r="B263" i="3"/>
  <c r="B264" i="3"/>
  <c r="B265" i="3"/>
  <c r="B266" i="3"/>
  <c r="B267" i="3"/>
  <c r="B268" i="3"/>
  <c r="B269" i="3"/>
  <c r="B270" i="3"/>
  <c r="B271" i="3"/>
  <c r="B272" i="3"/>
  <c r="B273" i="3"/>
  <c r="B274" i="3"/>
  <c r="B275" i="3"/>
  <c r="B276" i="3"/>
  <c r="B277" i="3"/>
  <c r="B278" i="3"/>
  <c r="B279" i="3"/>
  <c r="B280" i="3"/>
  <c r="B281" i="3"/>
  <c r="B282" i="3"/>
  <c r="B283" i="3"/>
  <c r="B284" i="3"/>
  <c r="B285" i="3"/>
  <c r="B286" i="3"/>
  <c r="B287" i="3"/>
  <c r="B288" i="3"/>
  <c r="B289" i="3"/>
  <c r="B290" i="3"/>
  <c r="B291" i="3"/>
  <c r="B292" i="3"/>
  <c r="B293" i="3"/>
  <c r="B294" i="3"/>
  <c r="B295" i="3"/>
  <c r="B296" i="3"/>
  <c r="B297" i="3"/>
  <c r="B298" i="3"/>
  <c r="B299" i="3"/>
  <c r="B300" i="3"/>
  <c r="B301" i="3"/>
  <c r="B302" i="3"/>
  <c r="B303" i="3"/>
  <c r="B304" i="3"/>
  <c r="B305" i="3"/>
  <c r="B306" i="3"/>
  <c r="B307" i="3"/>
  <c r="B308" i="3"/>
  <c r="B309" i="3"/>
  <c r="B310" i="3"/>
  <c r="B311" i="3"/>
  <c r="D323" i="3" s="1"/>
  <c r="D13" i="14" s="1"/>
  <c r="B312" i="3"/>
  <c r="D324" i="3" s="1"/>
  <c r="D14" i="14" s="1"/>
  <c r="B313" i="3"/>
  <c r="D325" i="3" s="1"/>
  <c r="D15" i="14" s="1"/>
  <c r="B314" i="3"/>
  <c r="D326" i="3" s="1"/>
  <c r="D16" i="14" s="1"/>
  <c r="B315" i="3"/>
  <c r="D327" i="3" s="1"/>
  <c r="D17" i="14" s="1"/>
  <c r="B316" i="3"/>
  <c r="D328" i="3" s="1"/>
  <c r="D18" i="14" s="1"/>
  <c r="B317" i="3"/>
  <c r="D329" i="3" s="1"/>
  <c r="D19" i="14" s="1"/>
  <c r="B318" i="3"/>
  <c r="D330" i="3" s="1"/>
  <c r="D20" i="14" s="1"/>
  <c r="B319" i="3"/>
  <c r="D331" i="3" s="1"/>
  <c r="D21" i="14" s="1"/>
  <c r="B320" i="3"/>
  <c r="D332" i="3" s="1"/>
  <c r="D22" i="14" s="1"/>
  <c r="B321" i="3"/>
  <c r="D333" i="3" s="1"/>
  <c r="D23" i="14" s="1"/>
  <c r="B322" i="3"/>
  <c r="B8" i="3"/>
  <c r="B9" i="3"/>
  <c r="B10" i="3"/>
  <c r="B11" i="3"/>
  <c r="B12" i="3"/>
  <c r="B7" i="3"/>
  <c r="D334" i="3" l="1"/>
  <c r="D24" i="14" s="1"/>
  <c r="C323" i="3"/>
  <c r="C13" i="14" s="1"/>
  <c r="C323" i="11"/>
  <c r="I13" i="14" s="1"/>
  <c r="D334" i="11"/>
  <c r="J24" i="14" s="1"/>
  <c r="C323" i="9"/>
  <c r="O13" i="14" s="1"/>
  <c r="D334" i="9"/>
  <c r="P24" i="14" s="1"/>
  <c r="C323" i="6"/>
  <c r="W13" i="14" s="1"/>
  <c r="D334" i="6"/>
  <c r="X24" i="14" s="1"/>
  <c r="C323" i="10"/>
  <c r="S13" i="14" s="1"/>
  <c r="D334" i="10"/>
  <c r="T24" i="14" s="1"/>
  <c r="C323" i="4"/>
  <c r="M13" i="14" s="1"/>
  <c r="E2" i="13"/>
  <c r="C322" i="9"/>
  <c r="O12" i="14" s="1"/>
  <c r="C322" i="11"/>
  <c r="I12" i="14" s="1"/>
  <c r="C322" i="10"/>
  <c r="S12" i="14" s="1"/>
  <c r="C322" i="7"/>
  <c r="AE12" i="14" s="1"/>
  <c r="C322" i="6"/>
  <c r="W12" i="14" s="1"/>
  <c r="C322" i="5"/>
  <c r="K12" i="14" s="1"/>
  <c r="C322" i="4"/>
  <c r="M12" i="14" s="1"/>
  <c r="C322" i="3"/>
  <c r="C12" i="14" s="1"/>
  <c r="D21" i="13" l="1"/>
  <c r="D20" i="13"/>
  <c r="F20" i="13" s="1"/>
  <c r="P29" i="25" s="1"/>
  <c r="D19" i="13"/>
  <c r="F19" i="13" s="1"/>
  <c r="P28" i="25" s="1"/>
  <c r="D18" i="13"/>
  <c r="F18" i="13" s="1"/>
  <c r="P27" i="25" s="1"/>
  <c r="D16" i="13"/>
  <c r="D9" i="13"/>
  <c r="F9" i="13" s="1"/>
  <c r="P18" i="25" s="1"/>
  <c r="D8" i="13"/>
  <c r="F8" i="13" s="1"/>
  <c r="P17" i="25" s="1"/>
  <c r="C10" i="11"/>
  <c r="C22" i="11"/>
  <c r="D25" i="11"/>
  <c r="D28" i="11"/>
  <c r="D29" i="11"/>
  <c r="D39" i="11"/>
  <c r="D41" i="11"/>
  <c r="D45" i="11"/>
  <c r="C48" i="11"/>
  <c r="D51" i="11"/>
  <c r="D53" i="11"/>
  <c r="D59" i="11"/>
  <c r="D87" i="11"/>
  <c r="D89" i="11"/>
  <c r="D90" i="11"/>
  <c r="D91" i="11"/>
  <c r="D98" i="11"/>
  <c r="D103" i="11"/>
  <c r="C108" i="11"/>
  <c r="D111" i="11"/>
  <c r="D123" i="11"/>
  <c r="D126" i="11"/>
  <c r="D128" i="11"/>
  <c r="D132" i="11"/>
  <c r="D134" i="11"/>
  <c r="D137" i="11"/>
  <c r="D139" i="11"/>
  <c r="D144" i="11"/>
  <c r="D145" i="11"/>
  <c r="D150" i="11"/>
  <c r="D168" i="11"/>
  <c r="D173" i="11"/>
  <c r="D191" i="11"/>
  <c r="D216" i="11"/>
  <c r="D245" i="11"/>
  <c r="D255" i="11"/>
  <c r="D258" i="11"/>
  <c r="D278" i="11"/>
  <c r="D280" i="11"/>
  <c r="E10" i="13"/>
  <c r="D26" i="10"/>
  <c r="D29" i="10"/>
  <c r="D33" i="10"/>
  <c r="D38" i="10"/>
  <c r="D39" i="10"/>
  <c r="D43" i="10"/>
  <c r="D44" i="10"/>
  <c r="D50" i="10"/>
  <c r="D55" i="10"/>
  <c r="D56" i="10"/>
  <c r="D62" i="10"/>
  <c r="D64" i="10"/>
  <c r="D67" i="10"/>
  <c r="D73" i="10"/>
  <c r="D75" i="10"/>
  <c r="D78" i="10"/>
  <c r="D80" i="10"/>
  <c r="D85" i="10"/>
  <c r="D90" i="10"/>
  <c r="D91" i="10"/>
  <c r="D98" i="10"/>
  <c r="D103" i="10"/>
  <c r="D112" i="10"/>
  <c r="D119" i="10"/>
  <c r="D121" i="10"/>
  <c r="C129" i="10"/>
  <c r="D134" i="10"/>
  <c r="D137" i="10"/>
  <c r="D139" i="10"/>
  <c r="C141" i="10"/>
  <c r="D145" i="10"/>
  <c r="D147" i="10"/>
  <c r="D151" i="10"/>
  <c r="D157" i="10"/>
  <c r="D160" i="10"/>
  <c r="D175" i="10"/>
  <c r="D180" i="10"/>
  <c r="D186" i="10"/>
  <c r="D188" i="10"/>
  <c r="D196" i="10"/>
  <c r="D201" i="10"/>
  <c r="D209" i="10"/>
  <c r="D219" i="10"/>
  <c r="D220" i="10"/>
  <c r="D226" i="10"/>
  <c r="D229" i="10"/>
  <c r="D245" i="10"/>
  <c r="D249" i="10"/>
  <c r="D253" i="10"/>
  <c r="D279" i="10"/>
  <c r="D285" i="10"/>
  <c r="D304" i="10"/>
  <c r="D322" i="10"/>
  <c r="T12" i="14" s="1"/>
  <c r="D15" i="13"/>
  <c r="D21" i="9"/>
  <c r="D25" i="9"/>
  <c r="D27" i="9"/>
  <c r="D29" i="9"/>
  <c r="D31" i="9"/>
  <c r="D35" i="9"/>
  <c r="D36" i="9"/>
  <c r="D38" i="9"/>
  <c r="D41" i="9"/>
  <c r="D42" i="9"/>
  <c r="D47" i="9"/>
  <c r="D49" i="9"/>
  <c r="D50" i="9"/>
  <c r="D53" i="9"/>
  <c r="D54" i="9"/>
  <c r="D59" i="9"/>
  <c r="D61" i="9"/>
  <c r="D62" i="9"/>
  <c r="D66" i="9"/>
  <c r="D77" i="9"/>
  <c r="D85" i="9"/>
  <c r="D87" i="9"/>
  <c r="D89" i="9"/>
  <c r="D90" i="9"/>
  <c r="C92" i="9"/>
  <c r="D96" i="9"/>
  <c r="D98" i="9"/>
  <c r="D99" i="9"/>
  <c r="D100" i="9"/>
  <c r="D101" i="9"/>
  <c r="D103" i="9"/>
  <c r="D109" i="9"/>
  <c r="D111" i="9"/>
  <c r="D113" i="9"/>
  <c r="D122" i="9"/>
  <c r="D123" i="9"/>
  <c r="D124" i="9"/>
  <c r="D125" i="9"/>
  <c r="D136" i="9"/>
  <c r="D147" i="9"/>
  <c r="D148" i="9"/>
  <c r="D149" i="9"/>
  <c r="D150" i="9"/>
  <c r="D157" i="9"/>
  <c r="D160" i="9"/>
  <c r="D165" i="9"/>
  <c r="D172" i="9"/>
  <c r="D175" i="9"/>
  <c r="D180" i="9"/>
  <c r="D185" i="9"/>
  <c r="D187" i="9"/>
  <c r="D195" i="9"/>
  <c r="D197" i="9"/>
  <c r="D199" i="9"/>
  <c r="D203" i="9"/>
  <c r="D208" i="9"/>
  <c r="D210" i="9"/>
  <c r="D216" i="9"/>
  <c r="D221" i="9"/>
  <c r="D222" i="9"/>
  <c r="D231" i="9"/>
  <c r="D235" i="9"/>
  <c r="D243" i="9"/>
  <c r="D247" i="9"/>
  <c r="D250" i="9"/>
  <c r="D252" i="9"/>
  <c r="D256" i="9"/>
  <c r="D258" i="9"/>
  <c r="D268" i="9"/>
  <c r="D269" i="9"/>
  <c r="D270" i="9"/>
  <c r="D271" i="9"/>
  <c r="D273" i="9"/>
  <c r="D275" i="9"/>
  <c r="D276" i="9"/>
  <c r="D279" i="9"/>
  <c r="D281" i="9"/>
  <c r="D285" i="9"/>
  <c r="D301" i="9"/>
  <c r="D315" i="9"/>
  <c r="P5" i="14" s="1"/>
  <c r="E14" i="13"/>
  <c r="D29" i="7"/>
  <c r="D32" i="7"/>
  <c r="D33" i="7"/>
  <c r="D35" i="7"/>
  <c r="D38" i="7"/>
  <c r="D43" i="7"/>
  <c r="D44" i="7"/>
  <c r="D47" i="7"/>
  <c r="D56" i="7"/>
  <c r="D59" i="7"/>
  <c r="D69" i="7"/>
  <c r="D76" i="7"/>
  <c r="D82" i="7"/>
  <c r="D90" i="7"/>
  <c r="D102" i="7"/>
  <c r="D109" i="7"/>
  <c r="D120" i="7"/>
  <c r="D124" i="7"/>
  <c r="D126" i="7"/>
  <c r="D136" i="7"/>
  <c r="D138" i="7"/>
  <c r="D144" i="7"/>
  <c r="D145" i="7"/>
  <c r="D148" i="7"/>
  <c r="D150" i="7"/>
  <c r="D157" i="7"/>
  <c r="D160" i="7"/>
  <c r="D162" i="7"/>
  <c r="D172" i="7"/>
  <c r="D180" i="7"/>
  <c r="D184" i="7"/>
  <c r="D189" i="7"/>
  <c r="D201" i="7"/>
  <c r="D204" i="7"/>
  <c r="D205" i="7"/>
  <c r="D208" i="7"/>
  <c r="D213" i="7"/>
  <c r="D217" i="7"/>
  <c r="D220" i="7"/>
  <c r="D222" i="7"/>
  <c r="D225" i="7"/>
  <c r="D228" i="7"/>
  <c r="D229" i="7"/>
  <c r="D232" i="7"/>
  <c r="D234" i="7"/>
  <c r="D240" i="7"/>
  <c r="D250" i="7"/>
  <c r="D252" i="7"/>
  <c r="D261" i="7"/>
  <c r="D264" i="7"/>
  <c r="D268" i="7"/>
  <c r="D270" i="7"/>
  <c r="D276" i="7"/>
  <c r="D277" i="7"/>
  <c r="D280" i="7"/>
  <c r="D288" i="7"/>
  <c r="D289" i="7"/>
  <c r="D304" i="7"/>
  <c r="D306" i="7"/>
  <c r="D316" i="7"/>
  <c r="AF6" i="14" s="1"/>
  <c r="D22" i="6"/>
  <c r="D23" i="6"/>
  <c r="D25" i="6"/>
  <c r="D26" i="6"/>
  <c r="D29" i="6"/>
  <c r="D34" i="6"/>
  <c r="D35" i="6"/>
  <c r="D42" i="6"/>
  <c r="D47" i="6"/>
  <c r="D54" i="6"/>
  <c r="D57" i="6"/>
  <c r="D58" i="6"/>
  <c r="D61" i="6"/>
  <c r="D62" i="6"/>
  <c r="D65" i="6"/>
  <c r="D66" i="6"/>
  <c r="D69" i="6"/>
  <c r="D73" i="6"/>
  <c r="D78" i="6"/>
  <c r="D80" i="6"/>
  <c r="D85" i="6"/>
  <c r="D89" i="6"/>
  <c r="D91" i="6"/>
  <c r="D100" i="6"/>
  <c r="D101" i="6"/>
  <c r="D111" i="6"/>
  <c r="D113" i="6"/>
  <c r="D114" i="6"/>
  <c r="D116" i="6"/>
  <c r="D124" i="6"/>
  <c r="D125" i="6"/>
  <c r="D127" i="6"/>
  <c r="D134" i="6"/>
  <c r="D137" i="6"/>
  <c r="D141" i="6"/>
  <c r="C144" i="6"/>
  <c r="D148" i="6"/>
  <c r="D150" i="6"/>
  <c r="D152" i="6"/>
  <c r="D155" i="6"/>
  <c r="D157" i="6"/>
  <c r="D158" i="6"/>
  <c r="D172" i="6"/>
  <c r="D173" i="6"/>
  <c r="D191" i="6"/>
  <c r="D193" i="6"/>
  <c r="D196" i="6"/>
  <c r="D197" i="6"/>
  <c r="D199" i="6"/>
  <c r="D209" i="6"/>
  <c r="D216" i="6"/>
  <c r="D219" i="6"/>
  <c r="D227" i="6"/>
  <c r="D229" i="6"/>
  <c r="D232" i="6"/>
  <c r="D235" i="6"/>
  <c r="D242" i="6"/>
  <c r="D245" i="6"/>
  <c r="D255" i="6"/>
  <c r="D263" i="6"/>
  <c r="D268" i="6"/>
  <c r="D269" i="6"/>
  <c r="D278" i="6"/>
  <c r="D281" i="6"/>
  <c r="D288" i="6"/>
  <c r="D291" i="6"/>
  <c r="D299" i="6"/>
  <c r="D302" i="6"/>
  <c r="D307" i="6"/>
  <c r="D17" i="13"/>
  <c r="E17" i="13"/>
  <c r="D31" i="5"/>
  <c r="D34" i="5"/>
  <c r="D36" i="5"/>
  <c r="D37" i="5"/>
  <c r="D41" i="5"/>
  <c r="D45" i="5"/>
  <c r="D47" i="5"/>
  <c r="D54" i="5"/>
  <c r="D55" i="5"/>
  <c r="D59" i="5"/>
  <c r="D66" i="5"/>
  <c r="D69" i="5"/>
  <c r="D71" i="5"/>
  <c r="D81" i="5"/>
  <c r="D93" i="5"/>
  <c r="D103" i="5"/>
  <c r="D111" i="5"/>
  <c r="D120" i="5"/>
  <c r="D129" i="5"/>
  <c r="D138" i="5"/>
  <c r="D147" i="5"/>
  <c r="D148" i="5"/>
  <c r="D153" i="5"/>
  <c r="D164" i="5"/>
  <c r="D168" i="5"/>
  <c r="D172" i="5"/>
  <c r="D179" i="5"/>
  <c r="D183" i="5"/>
  <c r="D188" i="5"/>
  <c r="D200" i="5"/>
  <c r="D204" i="5"/>
  <c r="D208" i="5"/>
  <c r="D218" i="5"/>
  <c r="D224" i="5"/>
  <c r="D225" i="5"/>
  <c r="C228" i="5"/>
  <c r="D237" i="5"/>
  <c r="D244" i="5"/>
  <c r="D249" i="5"/>
  <c r="D253" i="5"/>
  <c r="D260" i="5"/>
  <c r="D264" i="5"/>
  <c r="D267" i="5"/>
  <c r="D271" i="5"/>
  <c r="D282" i="5"/>
  <c r="D11" i="13"/>
  <c r="E11" i="13"/>
  <c r="D20" i="4"/>
  <c r="D22" i="4"/>
  <c r="D25" i="4"/>
  <c r="D26" i="4"/>
  <c r="D29" i="4"/>
  <c r="D43" i="4"/>
  <c r="D45" i="4"/>
  <c r="D47" i="4"/>
  <c r="D57" i="4"/>
  <c r="D69" i="4"/>
  <c r="D79" i="4"/>
  <c r="D88" i="4"/>
  <c r="D95" i="4"/>
  <c r="D100" i="4"/>
  <c r="D102" i="4"/>
  <c r="D111" i="4"/>
  <c r="D116" i="4"/>
  <c r="D122" i="4"/>
  <c r="D123" i="4"/>
  <c r="D124" i="4"/>
  <c r="D135" i="4"/>
  <c r="D136" i="4"/>
  <c r="D154" i="4"/>
  <c r="D158" i="4"/>
  <c r="D160" i="4"/>
  <c r="D163" i="4"/>
  <c r="D164" i="4"/>
  <c r="D167" i="4"/>
  <c r="D171" i="4"/>
  <c r="D172" i="4"/>
  <c r="D188" i="4"/>
  <c r="D194" i="4"/>
  <c r="D203" i="4"/>
  <c r="D207" i="4"/>
  <c r="D208" i="4"/>
  <c r="D219" i="4"/>
  <c r="D220" i="4"/>
  <c r="D224" i="4"/>
  <c r="D230" i="4"/>
  <c r="D232" i="4"/>
  <c r="D243" i="4"/>
  <c r="D244" i="4"/>
  <c r="D247" i="4"/>
  <c r="D251" i="4"/>
  <c r="D255" i="4"/>
  <c r="D260" i="4"/>
  <c r="D263" i="4"/>
  <c r="D268" i="4"/>
  <c r="D271" i="4"/>
  <c r="D275" i="4"/>
  <c r="D301" i="4"/>
  <c r="E12" i="13"/>
  <c r="D294" i="11"/>
  <c r="D222" i="11"/>
  <c r="D232" i="11"/>
  <c r="D196" i="11"/>
  <c r="D160" i="11"/>
  <c r="D124" i="11"/>
  <c r="D108" i="11"/>
  <c r="D100" i="11"/>
  <c r="D85" i="11"/>
  <c r="C85" i="11"/>
  <c r="D60" i="11"/>
  <c r="D48" i="11"/>
  <c r="D35" i="11"/>
  <c r="C216" i="10"/>
  <c r="D167" i="10"/>
  <c r="C149" i="10"/>
  <c r="C144" i="10"/>
  <c r="D132" i="10"/>
  <c r="D144" i="10"/>
  <c r="C111" i="10"/>
  <c r="D108" i="10"/>
  <c r="D41" i="10"/>
  <c r="D291" i="9"/>
  <c r="D260" i="9"/>
  <c r="D237" i="9"/>
  <c r="D214" i="9"/>
  <c r="C201" i="9"/>
  <c r="D178" i="9"/>
  <c r="D159" i="9"/>
  <c r="D170" i="9"/>
  <c r="D152" i="9"/>
  <c r="D118" i="9"/>
  <c r="C118" i="9"/>
  <c r="D80" i="9"/>
  <c r="D75" i="9"/>
  <c r="D56" i="9"/>
  <c r="D44" i="9"/>
  <c r="D32" i="9"/>
  <c r="D24" i="9"/>
  <c r="D256" i="7"/>
  <c r="D253" i="7"/>
  <c r="D216" i="7"/>
  <c r="D196" i="7"/>
  <c r="D192" i="7"/>
  <c r="D168" i="7"/>
  <c r="D156" i="7"/>
  <c r="D132" i="7"/>
  <c r="D112" i="7"/>
  <c r="D100" i="7"/>
  <c r="D96" i="7"/>
  <c r="D108" i="7"/>
  <c r="D88" i="7"/>
  <c r="D84" i="7"/>
  <c r="D72" i="7"/>
  <c r="D65" i="7"/>
  <c r="D20" i="7"/>
  <c r="D233" i="6"/>
  <c r="D135" i="6"/>
  <c r="D88" i="6"/>
  <c r="D53" i="6"/>
  <c r="D46" i="6"/>
  <c r="D41" i="6"/>
  <c r="D84" i="5"/>
  <c r="D72" i="5"/>
  <c r="D48" i="5"/>
  <c r="D36" i="3"/>
  <c r="D37" i="3"/>
  <c r="D38" i="3"/>
  <c r="D39" i="3"/>
  <c r="D45" i="3"/>
  <c r="D57" i="3"/>
  <c r="D58" i="3"/>
  <c r="D59" i="3"/>
  <c r="D60" i="3"/>
  <c r="D66" i="3"/>
  <c r="D72" i="3"/>
  <c r="D73" i="3"/>
  <c r="D75" i="3"/>
  <c r="D80" i="3"/>
  <c r="D82" i="3"/>
  <c r="D91" i="3"/>
  <c r="D95" i="3"/>
  <c r="C105" i="3"/>
  <c r="D105" i="3"/>
  <c r="D107" i="3"/>
  <c r="D117" i="3"/>
  <c r="D118" i="3"/>
  <c r="D119" i="3"/>
  <c r="D120" i="3"/>
  <c r="D122" i="3"/>
  <c r="D127" i="3"/>
  <c r="D129" i="3"/>
  <c r="D131" i="3"/>
  <c r="D132" i="3"/>
  <c r="D138" i="3"/>
  <c r="D144" i="3"/>
  <c r="D151" i="3"/>
  <c r="C153" i="3"/>
  <c r="D155" i="3"/>
  <c r="D159" i="3"/>
  <c r="D165" i="3"/>
  <c r="D168" i="3"/>
  <c r="D177" i="3"/>
  <c r="D179" i="3"/>
  <c r="D188" i="3"/>
  <c r="D189" i="3"/>
  <c r="D191" i="3"/>
  <c r="D192" i="3"/>
  <c r="D199" i="3"/>
  <c r="C201" i="3"/>
  <c r="D201" i="3"/>
  <c r="D202" i="3"/>
  <c r="D203" i="3"/>
  <c r="D209" i="3"/>
  <c r="D213" i="3"/>
  <c r="D216" i="3"/>
  <c r="D217" i="3"/>
  <c r="D224" i="3"/>
  <c r="D225" i="3"/>
  <c r="D226" i="3"/>
  <c r="D227" i="3"/>
  <c r="C237" i="3"/>
  <c r="D237" i="3"/>
  <c r="D238" i="3"/>
  <c r="D239" i="3"/>
  <c r="D253" i="3"/>
  <c r="D261" i="3"/>
  <c r="D273" i="3"/>
  <c r="D275" i="3"/>
  <c r="D297" i="3"/>
  <c r="D299" i="3"/>
  <c r="D309" i="3"/>
  <c r="D322" i="3"/>
  <c r="D12" i="14" s="1"/>
  <c r="E7" i="13"/>
  <c r="D33" i="3"/>
  <c r="D69" i="3"/>
  <c r="D81" i="3"/>
  <c r="D93" i="3"/>
  <c r="D141" i="3"/>
  <c r="D145" i="3"/>
  <c r="D153" i="3"/>
  <c r="D58" i="11" l="1"/>
  <c r="D154" i="11"/>
  <c r="D102" i="10"/>
  <c r="D126" i="10"/>
  <c r="C54" i="7"/>
  <c r="C65" i="7"/>
  <c r="D37" i="6"/>
  <c r="D265" i="6"/>
  <c r="D121" i="6"/>
  <c r="D108" i="6"/>
  <c r="D236" i="5"/>
  <c r="C108" i="3"/>
  <c r="C93" i="3"/>
  <c r="D204" i="3"/>
  <c r="C79" i="9"/>
  <c r="C9" i="10"/>
  <c r="D62" i="7"/>
  <c r="D148" i="4"/>
  <c r="D236" i="4"/>
  <c r="D130" i="5"/>
  <c r="D48" i="3"/>
  <c r="D178" i="7"/>
  <c r="D83" i="3"/>
  <c r="D106" i="7"/>
  <c r="D47" i="3"/>
  <c r="C138" i="5"/>
  <c r="D196" i="4"/>
  <c r="D112" i="4"/>
  <c r="D304" i="6"/>
  <c r="D128" i="6"/>
  <c r="D56" i="6"/>
  <c r="D54" i="7"/>
  <c r="C72" i="5"/>
  <c r="D181" i="3"/>
  <c r="D127" i="9"/>
  <c r="D35" i="3"/>
  <c r="D152" i="4"/>
  <c r="D56" i="4"/>
  <c r="C25" i="6"/>
  <c r="C177" i="10"/>
  <c r="C263" i="11"/>
  <c r="C191" i="11"/>
  <c r="C167" i="11"/>
  <c r="C189" i="5"/>
  <c r="C121" i="7"/>
  <c r="C141" i="4"/>
  <c r="D272" i="5"/>
  <c r="C45" i="4"/>
  <c r="D141" i="10"/>
  <c r="D199" i="5"/>
  <c r="C46" i="6"/>
  <c r="C34" i="6"/>
  <c r="C22" i="6"/>
  <c r="C180" i="7"/>
  <c r="C156" i="7"/>
  <c r="C84" i="7"/>
  <c r="D47" i="11"/>
  <c r="D166" i="3"/>
  <c r="D94" i="3"/>
  <c r="D178" i="5"/>
  <c r="D180" i="6"/>
  <c r="D26" i="7"/>
  <c r="D271" i="3"/>
  <c r="D20" i="10"/>
  <c r="C273" i="7"/>
  <c r="C237" i="7"/>
  <c r="C57" i="7"/>
  <c r="C21" i="7"/>
  <c r="C9" i="7"/>
  <c r="C289" i="9"/>
  <c r="C193" i="9"/>
  <c r="C37" i="9"/>
  <c r="C207" i="10"/>
  <c r="C171" i="10"/>
  <c r="C136" i="10"/>
  <c r="C124" i="10"/>
  <c r="C99" i="10"/>
  <c r="C66" i="11"/>
  <c r="D167" i="3"/>
  <c r="D200" i="4"/>
  <c r="D252" i="6"/>
  <c r="C139" i="9"/>
  <c r="D93" i="10"/>
  <c r="D30" i="6"/>
  <c r="C60" i="3"/>
  <c r="D21" i="6"/>
  <c r="D262" i="11"/>
  <c r="C167" i="9"/>
  <c r="C83" i="9"/>
  <c r="D246" i="7"/>
  <c r="D301" i="6"/>
  <c r="D46" i="3"/>
  <c r="C249" i="4"/>
  <c r="C36" i="3"/>
  <c r="D302" i="3"/>
  <c r="C31" i="9"/>
  <c r="D98" i="5"/>
  <c r="D112" i="6"/>
  <c r="D312" i="7"/>
  <c r="C13" i="5"/>
  <c r="C184" i="6"/>
  <c r="C177" i="4"/>
  <c r="C9" i="4"/>
  <c r="D23" i="3"/>
  <c r="C240" i="3"/>
  <c r="C96" i="3"/>
  <c r="C24" i="3"/>
  <c r="C58" i="4"/>
  <c r="C22" i="4"/>
  <c r="C192" i="5"/>
  <c r="C96" i="5"/>
  <c r="C48" i="5"/>
  <c r="C24" i="5"/>
  <c r="C154" i="10"/>
  <c r="C10" i="10"/>
  <c r="C180" i="11"/>
  <c r="C120" i="11"/>
  <c r="C60" i="11"/>
  <c r="D128" i="4"/>
  <c r="D322" i="5"/>
  <c r="L12" i="14" s="1"/>
  <c r="D137" i="9"/>
  <c r="D65" i="9"/>
  <c r="D306" i="4"/>
  <c r="D32" i="10"/>
  <c r="D128" i="10"/>
  <c r="D33" i="11"/>
  <c r="D57" i="11"/>
  <c r="D31" i="10"/>
  <c r="D183" i="6"/>
  <c r="D322" i="7"/>
  <c r="AF12" i="14" s="1"/>
  <c r="D59" i="6"/>
  <c r="D322" i="6"/>
  <c r="X12" i="14" s="1"/>
  <c r="D108" i="3"/>
  <c r="D58" i="4"/>
  <c r="D141" i="11"/>
  <c r="C298" i="11"/>
  <c r="D154" i="5"/>
  <c r="D322" i="11"/>
  <c r="J12" i="14" s="1"/>
  <c r="D161" i="9"/>
  <c r="C36" i="5"/>
  <c r="D298" i="11"/>
  <c r="D177" i="11"/>
  <c r="D192" i="5"/>
  <c r="C220" i="6"/>
  <c r="C198" i="7"/>
  <c r="D322" i="9"/>
  <c r="P12" i="14" s="1"/>
  <c r="D89" i="3"/>
  <c r="D21" i="11"/>
  <c r="D322" i="4"/>
  <c r="N12" i="14" s="1"/>
  <c r="C109" i="5"/>
  <c r="C120" i="3"/>
  <c r="D96" i="3"/>
  <c r="D315" i="6"/>
  <c r="X5" i="14" s="1"/>
  <c r="C223" i="9"/>
  <c r="C151" i="9"/>
  <c r="D190" i="3"/>
  <c r="D284" i="3"/>
  <c r="D63" i="5"/>
  <c r="D63" i="11"/>
  <c r="D86" i="3"/>
  <c r="D223" i="4"/>
  <c r="D127" i="4"/>
  <c r="D285" i="5"/>
  <c r="D24" i="3"/>
  <c r="C121" i="3"/>
  <c r="C113" i="6"/>
  <c r="D77" i="6"/>
  <c r="D252" i="3"/>
  <c r="D221" i="4"/>
  <c r="D139" i="5"/>
  <c r="C48" i="3"/>
  <c r="C65" i="4"/>
  <c r="C17" i="4"/>
  <c r="D197" i="5"/>
  <c r="D161" i="5"/>
  <c r="D115" i="6"/>
  <c r="D45" i="7"/>
  <c r="C138" i="6"/>
  <c r="C102" i="6"/>
  <c r="C18" i="6"/>
  <c r="C144" i="9"/>
  <c r="C108" i="9"/>
  <c r="C84" i="9"/>
  <c r="D247" i="3"/>
  <c r="D79" i="3"/>
  <c r="D204" i="4"/>
  <c r="D168" i="4"/>
  <c r="D278" i="5"/>
  <c r="D242" i="5"/>
  <c r="D182" i="5"/>
  <c r="D146" i="5"/>
  <c r="D29" i="3"/>
  <c r="C222" i="3"/>
  <c r="C268" i="6"/>
  <c r="C148" i="6"/>
  <c r="C234" i="7"/>
  <c r="C162" i="7"/>
  <c r="C66" i="7"/>
  <c r="C42" i="7"/>
  <c r="C17" i="7"/>
  <c r="C82" i="9"/>
  <c r="C69" i="9"/>
  <c r="C58" i="9"/>
  <c r="C9" i="9"/>
  <c r="C180" i="10"/>
  <c r="C167" i="10"/>
  <c r="C132" i="10"/>
  <c r="C108" i="10"/>
  <c r="C133" i="11"/>
  <c r="C121" i="11"/>
  <c r="C321" i="7"/>
  <c r="AE11" i="14" s="1"/>
  <c r="D219" i="11"/>
  <c r="C204" i="3"/>
  <c r="D266" i="6"/>
  <c r="D230" i="6"/>
  <c r="D194" i="6"/>
  <c r="D292" i="7"/>
  <c r="C192" i="3"/>
  <c r="C264" i="5"/>
  <c r="D32" i="3"/>
  <c r="D75" i="5"/>
  <c r="D131" i="9"/>
  <c r="D289" i="10"/>
  <c r="D317" i="6"/>
  <c r="X7" i="14" s="1"/>
  <c r="D146" i="3"/>
  <c r="D273" i="7"/>
  <c r="C321" i="9"/>
  <c r="O11" i="14" s="1"/>
  <c r="D321" i="7"/>
  <c r="AF11" i="14" s="1"/>
  <c r="D87" i="4"/>
  <c r="D77" i="11"/>
  <c r="D321" i="9"/>
  <c r="P11" i="14" s="1"/>
  <c r="D117" i="7"/>
  <c r="C65" i="5"/>
  <c r="D204" i="9"/>
  <c r="C42" i="6"/>
  <c r="D69" i="9"/>
  <c r="D47" i="10"/>
  <c r="C13" i="10"/>
  <c r="D321" i="10"/>
  <c r="T11" i="14" s="1"/>
  <c r="C321" i="6"/>
  <c r="W11" i="14" s="1"/>
  <c r="C321" i="10"/>
  <c r="S11" i="14" s="1"/>
  <c r="D141" i="7"/>
  <c r="C77" i="5"/>
  <c r="C53" i="5"/>
  <c r="C29" i="5"/>
  <c r="C254" i="5"/>
  <c r="C134" i="5"/>
  <c r="C122" i="5"/>
  <c r="C38" i="5"/>
  <c r="C160" i="6"/>
  <c r="C112" i="6"/>
  <c r="C76" i="6"/>
  <c r="C186" i="7"/>
  <c r="C30" i="7"/>
  <c r="C18" i="7"/>
  <c r="C240" i="10"/>
  <c r="C72" i="10"/>
  <c r="D321" i="11"/>
  <c r="J11" i="14" s="1"/>
  <c r="C321" i="5"/>
  <c r="K11" i="14" s="1"/>
  <c r="D51" i="4"/>
  <c r="C154" i="3"/>
  <c r="C66" i="6"/>
  <c r="D321" i="6"/>
  <c r="X11" i="14" s="1"/>
  <c r="D61" i="3"/>
  <c r="C122" i="3"/>
  <c r="C253" i="5"/>
  <c r="D59" i="10"/>
  <c r="D13" i="13"/>
  <c r="C164" i="9"/>
  <c r="C321" i="4"/>
  <c r="M11" i="14" s="1"/>
  <c r="D29" i="5"/>
  <c r="D147" i="6"/>
  <c r="C312" i="6"/>
  <c r="C252" i="6"/>
  <c r="C132" i="6"/>
  <c r="C48" i="6"/>
  <c r="C36" i="6"/>
  <c r="C24" i="6"/>
  <c r="D266" i="4"/>
  <c r="D41" i="7"/>
  <c r="C21" i="9"/>
  <c r="C57" i="9"/>
  <c r="C285" i="9"/>
  <c r="D321" i="3"/>
  <c r="D11" i="14" s="1"/>
  <c r="C321" i="11"/>
  <c r="I11" i="14" s="1"/>
  <c r="D321" i="4"/>
  <c r="N11" i="14" s="1"/>
  <c r="D59" i="4"/>
  <c r="D57" i="9"/>
  <c r="D35" i="10"/>
  <c r="C213" i="5"/>
  <c r="C177" i="5"/>
  <c r="C153" i="5"/>
  <c r="C129" i="5"/>
  <c r="C117" i="5"/>
  <c r="C93" i="5"/>
  <c r="C81" i="5"/>
  <c r="C69" i="5"/>
  <c r="C9" i="5"/>
  <c r="C10" i="6"/>
  <c r="C196" i="9"/>
  <c r="C285" i="11"/>
  <c r="C57" i="11"/>
  <c r="C45" i="11"/>
  <c r="C33" i="11"/>
  <c r="C21" i="11"/>
  <c r="C9" i="11"/>
  <c r="C165" i="6"/>
  <c r="C207" i="9"/>
  <c r="C39" i="9"/>
  <c r="C15" i="9"/>
  <c r="D321" i="5"/>
  <c r="L11" i="14" s="1"/>
  <c r="C321" i="3"/>
  <c r="C11" i="14" s="1"/>
  <c r="C110" i="11"/>
  <c r="C86" i="11"/>
  <c r="C74" i="11"/>
  <c r="D183" i="10"/>
  <c r="C102" i="10"/>
  <c r="D158" i="10"/>
  <c r="D51" i="10"/>
  <c r="C119" i="10"/>
  <c r="D240" i="10"/>
  <c r="D229" i="9"/>
  <c r="C95" i="9"/>
  <c r="C11" i="9"/>
  <c r="C243" i="9"/>
  <c r="C147" i="9"/>
  <c r="C276" i="9"/>
  <c r="C148" i="9"/>
  <c r="C203" i="9"/>
  <c r="C305" i="9"/>
  <c r="C293" i="9"/>
  <c r="C257" i="9"/>
  <c r="C233" i="9"/>
  <c r="D214" i="7"/>
  <c r="C135" i="7"/>
  <c r="C123" i="7"/>
  <c r="C99" i="7"/>
  <c r="C63" i="7"/>
  <c r="C51" i="7"/>
  <c r="D23" i="7"/>
  <c r="D70" i="7"/>
  <c r="D45" i="6"/>
  <c r="C33" i="6"/>
  <c r="C125" i="6"/>
  <c r="D165" i="6"/>
  <c r="C292" i="6"/>
  <c r="C256" i="6"/>
  <c r="C249" i="6"/>
  <c r="C105" i="6"/>
  <c r="C21" i="6"/>
  <c r="D186" i="6"/>
  <c r="C57" i="6"/>
  <c r="D33" i="6"/>
  <c r="D129" i="6"/>
  <c r="C314" i="6"/>
  <c r="W4" i="14" s="1"/>
  <c r="C99" i="6"/>
  <c r="C51" i="6"/>
  <c r="C39" i="6"/>
  <c r="C15" i="6"/>
  <c r="C177" i="6"/>
  <c r="D92" i="6"/>
  <c r="C45" i="6"/>
  <c r="C9" i="6"/>
  <c r="C58" i="6"/>
  <c r="C56" i="5"/>
  <c r="C113" i="5"/>
  <c r="D159" i="5"/>
  <c r="C215" i="5"/>
  <c r="C95" i="5"/>
  <c r="C82" i="5"/>
  <c r="C59" i="5"/>
  <c r="C47" i="5"/>
  <c r="D195" i="4"/>
  <c r="C53" i="4"/>
  <c r="C42" i="4"/>
  <c r="C39" i="4"/>
  <c r="C148" i="4"/>
  <c r="D184" i="4"/>
  <c r="D99" i="4"/>
  <c r="D64" i="4"/>
  <c r="C40" i="4"/>
  <c r="C226" i="4"/>
  <c r="D305" i="4"/>
  <c r="D52" i="4"/>
  <c r="C188" i="11"/>
  <c r="D292" i="11"/>
  <c r="D268" i="11"/>
  <c r="D151" i="11"/>
  <c r="D102" i="11"/>
  <c r="C314" i="11"/>
  <c r="I4" i="14" s="1"/>
  <c r="C218" i="11"/>
  <c r="C182" i="11"/>
  <c r="C170" i="11"/>
  <c r="C146" i="11"/>
  <c r="D112" i="11"/>
  <c r="D162" i="11"/>
  <c r="D210" i="11"/>
  <c r="D282" i="11"/>
  <c r="D111" i="10"/>
  <c r="D315" i="10"/>
  <c r="T5" i="14" s="1"/>
  <c r="C279" i="10"/>
  <c r="C255" i="10"/>
  <c r="C242" i="10"/>
  <c r="C170" i="10"/>
  <c r="C98" i="10"/>
  <c r="C63" i="10"/>
  <c r="D207" i="10"/>
  <c r="D63" i="10"/>
  <c r="C123" i="10"/>
  <c r="C51" i="10"/>
  <c r="D255" i="10"/>
  <c r="D291" i="10"/>
  <c r="C285" i="10"/>
  <c r="C93" i="10"/>
  <c r="C299" i="10"/>
  <c r="C315" i="10"/>
  <c r="S5" i="14" s="1"/>
  <c r="C197" i="10"/>
  <c r="C185" i="10"/>
  <c r="C17" i="10"/>
  <c r="C24" i="9"/>
  <c r="C210" i="9"/>
  <c r="C174" i="9"/>
  <c r="C18" i="9"/>
  <c r="C88" i="9"/>
  <c r="C291" i="9"/>
  <c r="C81" i="7"/>
  <c r="D57" i="7"/>
  <c r="C309" i="7"/>
  <c r="C286" i="7"/>
  <c r="C226" i="7"/>
  <c r="C130" i="7"/>
  <c r="C94" i="7"/>
  <c r="C45" i="7"/>
  <c r="D285" i="7"/>
  <c r="C69" i="7"/>
  <c r="D105" i="7"/>
  <c r="C141" i="7"/>
  <c r="D297" i="7"/>
  <c r="D21" i="7"/>
  <c r="C33" i="7"/>
  <c r="C105" i="7"/>
  <c r="C297" i="7"/>
  <c r="C250" i="7"/>
  <c r="C201" i="7"/>
  <c r="D301" i="7"/>
  <c r="D309" i="7"/>
  <c r="C269" i="6"/>
  <c r="C233" i="6"/>
  <c r="C89" i="6"/>
  <c r="C17" i="6"/>
  <c r="C79" i="6"/>
  <c r="D305" i="6"/>
  <c r="C291" i="6"/>
  <c r="C255" i="6"/>
  <c r="C207" i="6"/>
  <c r="C183" i="6"/>
  <c r="C171" i="6"/>
  <c r="C49" i="6"/>
  <c r="C30" i="6"/>
  <c r="C88" i="5"/>
  <c r="D112" i="5"/>
  <c r="C306" i="5"/>
  <c r="C246" i="5"/>
  <c r="C210" i="5"/>
  <c r="C174" i="5"/>
  <c r="C102" i="5"/>
  <c r="C78" i="5"/>
  <c r="C66" i="5"/>
  <c r="C231" i="4"/>
  <c r="C15" i="4"/>
  <c r="C191" i="4"/>
  <c r="C155" i="4"/>
  <c r="C119" i="4"/>
  <c r="C35" i="4"/>
  <c r="C23" i="4"/>
  <c r="C62" i="4"/>
  <c r="D265" i="4"/>
  <c r="D304" i="4"/>
  <c r="D116" i="3"/>
  <c r="D68" i="3"/>
  <c r="D235" i="3"/>
  <c r="D103" i="3"/>
  <c r="D182" i="3"/>
  <c r="D140" i="3"/>
  <c r="D282" i="3"/>
  <c r="D288" i="3"/>
  <c r="D303" i="3"/>
  <c r="D128" i="3"/>
  <c r="D310" i="3"/>
  <c r="D274" i="3"/>
  <c r="C241" i="3"/>
  <c r="D276" i="3"/>
  <c r="D266" i="11"/>
  <c r="D72" i="11"/>
  <c r="C75" i="11"/>
  <c r="C36" i="11"/>
  <c r="D36" i="11"/>
  <c r="C72" i="11"/>
  <c r="C24" i="11"/>
  <c r="D24" i="11"/>
  <c r="C229" i="10"/>
  <c r="C206" i="10"/>
  <c r="C288" i="10"/>
  <c r="C252" i="10"/>
  <c r="C263" i="10"/>
  <c r="C239" i="10"/>
  <c r="C193" i="10"/>
  <c r="D154" i="10"/>
  <c r="D216" i="10"/>
  <c r="C278" i="10"/>
  <c r="D193" i="10"/>
  <c r="C301" i="10"/>
  <c r="C249" i="10"/>
  <c r="C314" i="10"/>
  <c r="S4" i="14" s="1"/>
  <c r="C106" i="10"/>
  <c r="D173" i="10"/>
  <c r="C226" i="10"/>
  <c r="D106" i="10"/>
  <c r="C268" i="10"/>
  <c r="C184" i="10"/>
  <c r="C100" i="10"/>
  <c r="C291" i="10"/>
  <c r="C15" i="10"/>
  <c r="E15" i="13"/>
  <c r="F15" i="13" s="1"/>
  <c r="P24" i="25" s="1"/>
  <c r="C17" i="9"/>
  <c r="C160" i="9"/>
  <c r="C242" i="9"/>
  <c r="C170" i="9"/>
  <c r="C74" i="9"/>
  <c r="C156" i="9"/>
  <c r="C124" i="9"/>
  <c r="D14" i="13"/>
  <c r="F14" i="13" s="1"/>
  <c r="P23" i="25" s="1"/>
  <c r="C11" i="7"/>
  <c r="C70" i="7"/>
  <c r="D94" i="7"/>
  <c r="C178" i="7"/>
  <c r="C181" i="7"/>
  <c r="C133" i="7"/>
  <c r="C85" i="7"/>
  <c r="C61" i="7"/>
  <c r="C49" i="7"/>
  <c r="C37" i="7"/>
  <c r="C25" i="7"/>
  <c r="C13" i="7"/>
  <c r="D130" i="7"/>
  <c r="C217" i="7"/>
  <c r="C285" i="7"/>
  <c r="E21" i="13"/>
  <c r="C310" i="7"/>
  <c r="D300" i="7"/>
  <c r="C152" i="6"/>
  <c r="C68" i="6"/>
  <c r="D314" i="6"/>
  <c r="X4" i="14" s="1"/>
  <c r="D98" i="6"/>
  <c r="D49" i="6"/>
  <c r="D38" i="6"/>
  <c r="D50" i="6"/>
  <c r="C229" i="6"/>
  <c r="C193" i="6"/>
  <c r="C157" i="6"/>
  <c r="C61" i="6"/>
  <c r="C13" i="6"/>
  <c r="C135" i="6"/>
  <c r="C206" i="6"/>
  <c r="C279" i="6"/>
  <c r="D44" i="6"/>
  <c r="C83" i="6"/>
  <c r="D32" i="6"/>
  <c r="F16" i="13"/>
  <c r="P25" i="25" s="1"/>
  <c r="D308" i="11"/>
  <c r="D20" i="11"/>
  <c r="D32" i="11"/>
  <c r="D44" i="11"/>
  <c r="D56" i="11"/>
  <c r="C292" i="11"/>
  <c r="C243" i="11"/>
  <c r="C39" i="11"/>
  <c r="D206" i="11"/>
  <c r="C288" i="11"/>
  <c r="D180" i="11"/>
  <c r="D288" i="11"/>
  <c r="C169" i="11"/>
  <c r="C219" i="11"/>
  <c r="C168" i="11"/>
  <c r="D311" i="11"/>
  <c r="C252" i="11"/>
  <c r="C97" i="11"/>
  <c r="C112" i="11"/>
  <c r="C255" i="11"/>
  <c r="D170" i="11"/>
  <c r="C256" i="11"/>
  <c r="C134" i="11"/>
  <c r="D50" i="11"/>
  <c r="C302" i="11"/>
  <c r="C304" i="11"/>
  <c r="C51" i="11"/>
  <c r="C27" i="11"/>
  <c r="D62" i="11"/>
  <c r="C206" i="11"/>
  <c r="C299" i="11"/>
  <c r="C203" i="11"/>
  <c r="C241" i="11"/>
  <c r="D26" i="11"/>
  <c r="C193" i="11"/>
  <c r="C242" i="11"/>
  <c r="D38" i="11"/>
  <c r="C229" i="11"/>
  <c r="C224" i="11"/>
  <c r="C211" i="11"/>
  <c r="C151" i="11"/>
  <c r="C116" i="11"/>
  <c r="D19" i="11"/>
  <c r="D10" i="13"/>
  <c r="D158" i="11"/>
  <c r="D229" i="11"/>
  <c r="C265" i="11"/>
  <c r="C301" i="11"/>
  <c r="C282" i="11"/>
  <c r="C210" i="11"/>
  <c r="C197" i="11"/>
  <c r="C125" i="11"/>
  <c r="C76" i="11"/>
  <c r="C198" i="10"/>
  <c r="C162" i="10"/>
  <c r="C138" i="10"/>
  <c r="C77" i="10"/>
  <c r="D76" i="10"/>
  <c r="C89" i="10"/>
  <c r="D268" i="10"/>
  <c r="D53" i="10"/>
  <c r="D89" i="10"/>
  <c r="D184" i="10"/>
  <c r="D197" i="10"/>
  <c r="D124" i="10"/>
  <c r="C304" i="10"/>
  <c r="C158" i="10"/>
  <c r="D171" i="10"/>
  <c r="C230" i="10"/>
  <c r="C265" i="10"/>
  <c r="D65" i="10"/>
  <c r="C14" i="10"/>
  <c r="D230" i="10"/>
  <c r="D265" i="10"/>
  <c r="C27" i="10"/>
  <c r="C145" i="10"/>
  <c r="D232" i="10"/>
  <c r="C39" i="10"/>
  <c r="C85" i="10"/>
  <c r="C121" i="10"/>
  <c r="C219" i="10"/>
  <c r="C253" i="10"/>
  <c r="C220" i="10"/>
  <c r="C223" i="10"/>
  <c r="C211" i="10"/>
  <c r="C188" i="10"/>
  <c r="C128" i="10"/>
  <c r="C115" i="10"/>
  <c r="C80" i="10"/>
  <c r="C19" i="10"/>
  <c r="C49" i="9"/>
  <c r="C275" i="9"/>
  <c r="C314" i="9"/>
  <c r="O4" i="14" s="1"/>
  <c r="C206" i="9"/>
  <c r="C134" i="9"/>
  <c r="C86" i="9"/>
  <c r="C288" i="9"/>
  <c r="E13" i="13"/>
  <c r="C110" i="9"/>
  <c r="C73" i="9"/>
  <c r="C157" i="9"/>
  <c r="C180" i="9"/>
  <c r="C299" i="9"/>
  <c r="C246" i="9"/>
  <c r="C301" i="9"/>
  <c r="D193" i="9"/>
  <c r="C216" i="9"/>
  <c r="C316" i="9"/>
  <c r="O6" i="14" s="1"/>
  <c r="C304" i="9"/>
  <c r="C280" i="9"/>
  <c r="C256" i="9"/>
  <c r="C232" i="9"/>
  <c r="C136" i="9"/>
  <c r="C112" i="9"/>
  <c r="C40" i="9"/>
  <c r="C183" i="9"/>
  <c r="C87" i="9"/>
  <c r="C280" i="7"/>
  <c r="D85" i="7"/>
  <c r="C145" i="7"/>
  <c r="D73" i="7"/>
  <c r="C109" i="7"/>
  <c r="D313" i="7"/>
  <c r="C316" i="7"/>
  <c r="AE6" i="14" s="1"/>
  <c r="C60" i="6"/>
  <c r="C301" i="6"/>
  <c r="C253" i="6"/>
  <c r="C217" i="6"/>
  <c r="C181" i="6"/>
  <c r="C37" i="6"/>
  <c r="C180" i="6"/>
  <c r="C216" i="6"/>
  <c r="C305" i="6"/>
  <c r="C197" i="6"/>
  <c r="C161" i="6"/>
  <c r="C243" i="6"/>
  <c r="C63" i="6"/>
  <c r="C27" i="6"/>
  <c r="D128" i="5"/>
  <c r="C308" i="5"/>
  <c r="D92" i="5"/>
  <c r="D116" i="5"/>
  <c r="C152" i="5"/>
  <c r="D152" i="5"/>
  <c r="C26" i="5"/>
  <c r="C14" i="5"/>
  <c r="D296" i="5"/>
  <c r="C145" i="5"/>
  <c r="C121" i="5"/>
  <c r="C85" i="5"/>
  <c r="C35" i="5"/>
  <c r="D214" i="5"/>
  <c r="C154" i="5"/>
  <c r="D94" i="5"/>
  <c r="C231" i="5"/>
  <c r="C207" i="5"/>
  <c r="C195" i="5"/>
  <c r="C171" i="5"/>
  <c r="C111" i="5"/>
  <c r="C63" i="5"/>
  <c r="D297" i="5"/>
  <c r="D110" i="5"/>
  <c r="D121" i="5"/>
  <c r="C135" i="5"/>
  <c r="C218" i="5"/>
  <c r="C315" i="5"/>
  <c r="K5" i="14" s="1"/>
  <c r="D254" i="5"/>
  <c r="C98" i="5"/>
  <c r="C99" i="5"/>
  <c r="C236" i="5"/>
  <c r="C200" i="5"/>
  <c r="C164" i="5"/>
  <c r="C127" i="5"/>
  <c r="C116" i="5"/>
  <c r="C79" i="5"/>
  <c r="C44" i="5"/>
  <c r="D19" i="5"/>
  <c r="D134" i="5"/>
  <c r="C305" i="5"/>
  <c r="C221" i="5"/>
  <c r="C182" i="5"/>
  <c r="D283" i="3"/>
  <c r="D67" i="3"/>
  <c r="D305" i="3"/>
  <c r="D133" i="3"/>
  <c r="C278" i="3"/>
  <c r="C312" i="3"/>
  <c r="C288" i="3"/>
  <c r="C264" i="3"/>
  <c r="C216" i="3"/>
  <c r="C180" i="3"/>
  <c r="C156" i="3"/>
  <c r="C144" i="3"/>
  <c r="C84" i="3"/>
  <c r="C72" i="3"/>
  <c r="D211" i="3"/>
  <c r="D43" i="3"/>
  <c r="D263" i="3"/>
  <c r="C128" i="3"/>
  <c r="C248" i="3"/>
  <c r="D20" i="3"/>
  <c r="C78" i="3"/>
  <c r="C54" i="3"/>
  <c r="D163" i="3"/>
  <c r="D55" i="3"/>
  <c r="D180" i="3"/>
  <c r="C14" i="3"/>
  <c r="C279" i="3"/>
  <c r="C147" i="3"/>
  <c r="C277" i="3"/>
  <c r="C265" i="3"/>
  <c r="C49" i="3"/>
  <c r="C25" i="3"/>
  <c r="D311" i="3"/>
  <c r="D251" i="3"/>
  <c r="C168" i="3"/>
  <c r="C212" i="3"/>
  <c r="C164" i="3"/>
  <c r="C44" i="3"/>
  <c r="D259" i="3"/>
  <c r="D187" i="3"/>
  <c r="C319" i="3"/>
  <c r="C9" i="14" s="1"/>
  <c r="C127" i="3"/>
  <c r="C91" i="3"/>
  <c r="D28" i="3"/>
  <c r="D109" i="3"/>
  <c r="D277" i="3"/>
  <c r="D200" i="3"/>
  <c r="C50" i="3"/>
  <c r="D92" i="3"/>
  <c r="C56" i="3"/>
  <c r="D260" i="3"/>
  <c r="C224" i="3"/>
  <c r="C140" i="3"/>
  <c r="C116" i="3"/>
  <c r="C32" i="3"/>
  <c r="D197" i="3"/>
  <c r="C309" i="3"/>
  <c r="D236" i="3"/>
  <c r="D270" i="3"/>
  <c r="C308" i="3"/>
  <c r="C117" i="3"/>
  <c r="C284" i="3"/>
  <c r="C189" i="3"/>
  <c r="D317" i="3"/>
  <c r="D7" i="14" s="1"/>
  <c r="C177" i="3"/>
  <c r="D44" i="3"/>
  <c r="C205" i="3"/>
  <c r="C81" i="3"/>
  <c r="D152" i="3"/>
  <c r="D183" i="3"/>
  <c r="C80" i="3"/>
  <c r="C276" i="3"/>
  <c r="D176" i="3"/>
  <c r="D210" i="3"/>
  <c r="C296" i="3"/>
  <c r="C33" i="3"/>
  <c r="D115" i="3"/>
  <c r="C21" i="3"/>
  <c r="C20" i="3"/>
  <c r="D240" i="3"/>
  <c r="C69" i="3"/>
  <c r="C11" i="3"/>
  <c r="D104" i="3"/>
  <c r="C132" i="3"/>
  <c r="D312" i="3"/>
  <c r="D212" i="3"/>
  <c r="D262" i="3"/>
  <c r="C249" i="3"/>
  <c r="C129" i="3"/>
  <c r="C57" i="3"/>
  <c r="D248" i="3"/>
  <c r="C273" i="3"/>
  <c r="C260" i="3"/>
  <c r="C200" i="3"/>
  <c r="C272" i="3"/>
  <c r="C236" i="3"/>
  <c r="C67" i="3"/>
  <c r="C176" i="3"/>
  <c r="C225" i="3"/>
  <c r="C165" i="3"/>
  <c r="C302" i="3"/>
  <c r="C290" i="3"/>
  <c r="C266" i="3"/>
  <c r="C254" i="3"/>
  <c r="C230" i="3"/>
  <c r="C158" i="3"/>
  <c r="C110" i="3"/>
  <c r="C86" i="3"/>
  <c r="C74" i="3"/>
  <c r="C62" i="3"/>
  <c r="C38" i="3"/>
  <c r="C104" i="3"/>
  <c r="D205" i="3"/>
  <c r="D164" i="3"/>
  <c r="D56" i="3"/>
  <c r="D87" i="3"/>
  <c r="C213" i="3"/>
  <c r="D296" i="3"/>
  <c r="D289" i="3"/>
  <c r="C45" i="3"/>
  <c r="D320" i="3"/>
  <c r="D10" i="14" s="1"/>
  <c r="C19" i="3"/>
  <c r="D272" i="3"/>
  <c r="C141" i="3"/>
  <c r="D223" i="3"/>
  <c r="C9" i="3"/>
  <c r="C130" i="3"/>
  <c r="D22" i="3"/>
  <c r="C8" i="3"/>
  <c r="C261" i="3"/>
  <c r="C92" i="3"/>
  <c r="C63" i="3"/>
  <c r="C15" i="3"/>
  <c r="C152" i="3"/>
  <c r="C68" i="3"/>
  <c r="D319" i="3"/>
  <c r="D9" i="14" s="1"/>
  <c r="D218" i="3"/>
  <c r="C188" i="3"/>
  <c r="D19" i="3"/>
  <c r="D295" i="3"/>
  <c r="D175" i="3"/>
  <c r="D31" i="3"/>
  <c r="C320" i="3"/>
  <c r="C10" i="14" s="1"/>
  <c r="C275" i="3"/>
  <c r="C182" i="3"/>
  <c r="C146" i="3"/>
  <c r="C109" i="3"/>
  <c r="D290" i="3"/>
  <c r="D25" i="3"/>
  <c r="C318" i="3"/>
  <c r="C8" i="14" s="1"/>
  <c r="D230" i="3"/>
  <c r="C18" i="3"/>
  <c r="C181" i="3"/>
  <c r="D139" i="3"/>
  <c r="D286" i="3"/>
  <c r="D250" i="3"/>
  <c r="D214" i="3"/>
  <c r="D178" i="3"/>
  <c r="D142" i="3"/>
  <c r="D106" i="3"/>
  <c r="D70" i="3"/>
  <c r="C317" i="3"/>
  <c r="C7" i="14" s="1"/>
  <c r="C61" i="3"/>
  <c r="D308" i="3"/>
  <c r="C314" i="3"/>
  <c r="C4" i="14" s="1"/>
  <c r="D307" i="3"/>
  <c r="C251" i="3"/>
  <c r="C47" i="3"/>
  <c r="C250" i="3"/>
  <c r="C155" i="3"/>
  <c r="C46" i="3"/>
  <c r="C311" i="3"/>
  <c r="C287" i="3"/>
  <c r="C215" i="3"/>
  <c r="C203" i="3"/>
  <c r="C143" i="3"/>
  <c r="C131" i="3"/>
  <c r="C71" i="3"/>
  <c r="C95" i="3"/>
  <c r="C94" i="3"/>
  <c r="C179" i="3"/>
  <c r="C119" i="3"/>
  <c r="C178" i="3"/>
  <c r="C118" i="3"/>
  <c r="C35" i="3"/>
  <c r="C17" i="3"/>
  <c r="C239" i="3"/>
  <c r="C34" i="3"/>
  <c r="D7" i="13"/>
  <c r="C274" i="3"/>
  <c r="C59" i="3"/>
  <c r="C238" i="3"/>
  <c r="C281" i="3"/>
  <c r="C269" i="3"/>
  <c r="C245" i="3"/>
  <c r="C233" i="3"/>
  <c r="C209" i="3"/>
  <c r="C197" i="3"/>
  <c r="C173" i="3"/>
  <c r="C161" i="3"/>
  <c r="C137" i="3"/>
  <c r="C125" i="3"/>
  <c r="C101" i="3"/>
  <c r="C89" i="3"/>
  <c r="C53" i="3"/>
  <c r="C41" i="3"/>
  <c r="D21" i="3"/>
  <c r="C263" i="3"/>
  <c r="C83" i="3"/>
  <c r="C262" i="3"/>
  <c r="C191" i="3"/>
  <c r="C167" i="3"/>
  <c r="C82" i="3"/>
  <c r="C10" i="3"/>
  <c r="C315" i="3"/>
  <c r="C5" i="14" s="1"/>
  <c r="C190" i="3"/>
  <c r="C166" i="3"/>
  <c r="C107" i="3"/>
  <c r="C227" i="3"/>
  <c r="C226" i="3"/>
  <c r="C106" i="3"/>
  <c r="C23" i="3"/>
  <c r="C12" i="3"/>
  <c r="C289" i="3"/>
  <c r="C217" i="3"/>
  <c r="C145" i="3"/>
  <c r="C73" i="3"/>
  <c r="D34" i="3"/>
  <c r="C22" i="3"/>
  <c r="D239" i="4"/>
  <c r="C124" i="4"/>
  <c r="D39" i="4"/>
  <c r="C207" i="4"/>
  <c r="C265" i="4"/>
  <c r="C252" i="4"/>
  <c r="C216" i="4"/>
  <c r="C180" i="4"/>
  <c r="C156" i="4"/>
  <c r="C144" i="4"/>
  <c r="C108" i="4"/>
  <c r="C48" i="4"/>
  <c r="C25" i="4"/>
  <c r="C13" i="4"/>
  <c r="C112" i="4"/>
  <c r="C286" i="4"/>
  <c r="C195" i="4"/>
  <c r="D286" i="4"/>
  <c r="C303" i="4"/>
  <c r="C267" i="4"/>
  <c r="C232" i="4"/>
  <c r="C220" i="4"/>
  <c r="C160" i="4"/>
  <c r="C123" i="4"/>
  <c r="C99" i="4"/>
  <c r="D131" i="4"/>
  <c r="C227" i="4"/>
  <c r="D288" i="4"/>
  <c r="C83" i="4"/>
  <c r="C210" i="4"/>
  <c r="D299" i="4"/>
  <c r="D48" i="4"/>
  <c r="C288" i="4"/>
  <c r="C72" i="4"/>
  <c r="D296" i="4"/>
  <c r="D308" i="4"/>
  <c r="C312" i="4"/>
  <c r="D312" i="4"/>
  <c r="C175" i="4"/>
  <c r="C151" i="4"/>
  <c r="C115" i="4"/>
  <c r="C79" i="4"/>
  <c r="D12" i="13"/>
  <c r="D289" i="4"/>
  <c r="D175" i="4"/>
  <c r="D183" i="4"/>
  <c r="F17" i="13"/>
  <c r="P26" i="25" s="1"/>
  <c r="F11" i="13"/>
  <c r="P20" i="25" s="1"/>
  <c r="D243" i="11"/>
  <c r="D233" i="11"/>
  <c r="D304" i="11"/>
  <c r="C63" i="11"/>
  <c r="C266" i="11"/>
  <c r="C278" i="11"/>
  <c r="C115" i="11"/>
  <c r="D115" i="11"/>
  <c r="C98" i="11"/>
  <c r="C147" i="11"/>
  <c r="C157" i="11"/>
  <c r="D174" i="11"/>
  <c r="C183" i="11"/>
  <c r="D193" i="11"/>
  <c r="D291" i="11"/>
  <c r="C291" i="11"/>
  <c r="C305" i="11"/>
  <c r="D235" i="11"/>
  <c r="D65" i="11"/>
  <c r="C111" i="11"/>
  <c r="C174" i="11"/>
  <c r="D183" i="11"/>
  <c r="C205" i="11"/>
  <c r="C216" i="11"/>
  <c r="C268" i="11"/>
  <c r="C67" i="10"/>
  <c r="C175" i="10"/>
  <c r="C43" i="10"/>
  <c r="D199" i="10"/>
  <c r="D222" i="10"/>
  <c r="D235" i="10"/>
  <c r="D115" i="10"/>
  <c r="D19" i="10"/>
  <c r="C55" i="10"/>
  <c r="C31" i="10"/>
  <c r="C76" i="10"/>
  <c r="D150" i="10"/>
  <c r="D162" i="10"/>
  <c r="C289" i="10"/>
  <c r="D301" i="10"/>
  <c r="D163" i="10"/>
  <c r="D252" i="10"/>
  <c r="C138" i="9"/>
  <c r="C149" i="9"/>
  <c r="C99" i="9"/>
  <c r="D112" i="9"/>
  <c r="D163" i="9"/>
  <c r="C197" i="9"/>
  <c r="C268" i="9"/>
  <c r="C54" i="9"/>
  <c r="C66" i="9"/>
  <c r="C113" i="9"/>
  <c r="C187" i="9"/>
  <c r="C229" i="9"/>
  <c r="C42" i="9"/>
  <c r="C100" i="9"/>
  <c r="C252" i="9"/>
  <c r="C315" i="9"/>
  <c r="O5" i="14" s="1"/>
  <c r="D114" i="7"/>
  <c r="D244" i="7"/>
  <c r="C304" i="7"/>
  <c r="D30" i="7"/>
  <c r="C292" i="7"/>
  <c r="C170" i="6"/>
  <c r="D206" i="6"/>
  <c r="C151" i="6"/>
  <c r="D170" i="6"/>
  <c r="C278" i="6"/>
  <c r="C232" i="6"/>
  <c r="C304" i="6"/>
  <c r="C14" i="6"/>
  <c r="C196" i="6"/>
  <c r="C242" i="6"/>
  <c r="C54" i="6"/>
  <c r="D102" i="6"/>
  <c r="C115" i="6"/>
  <c r="C288" i="6"/>
  <c r="C104" i="6"/>
  <c r="D160" i="6"/>
  <c r="C219" i="6"/>
  <c r="C265" i="6"/>
  <c r="C91" i="6"/>
  <c r="C272" i="5"/>
  <c r="C18" i="5"/>
  <c r="C139" i="5"/>
  <c r="D246" i="5"/>
  <c r="C282" i="5"/>
  <c r="C140" i="5"/>
  <c r="C30" i="5"/>
  <c r="D30" i="5"/>
  <c r="D102" i="5"/>
  <c r="C54" i="5"/>
  <c r="D163" i="5"/>
  <c r="D65" i="5"/>
  <c r="D78" i="5"/>
  <c r="C147" i="5"/>
  <c r="C183" i="5"/>
  <c r="D305" i="5"/>
  <c r="C103" i="5"/>
  <c r="C104" i="5"/>
  <c r="C120" i="5"/>
  <c r="C204" i="5"/>
  <c r="C271" i="5"/>
  <c r="D306" i="5"/>
  <c r="C80" i="4"/>
  <c r="C140" i="4"/>
  <c r="D151" i="4"/>
  <c r="D231" i="4"/>
  <c r="C139" i="4"/>
  <c r="C247" i="4"/>
  <c r="C127" i="4"/>
  <c r="C87" i="4"/>
  <c r="D115" i="4"/>
  <c r="C196" i="4"/>
  <c r="C223" i="4"/>
  <c r="C104" i="4"/>
  <c r="C184" i="4"/>
  <c r="D235" i="4"/>
  <c r="C211" i="4"/>
  <c r="C88" i="4"/>
  <c r="C103" i="4"/>
  <c r="C171" i="4"/>
  <c r="D103" i="4"/>
  <c r="D147" i="4"/>
  <c r="C159" i="4"/>
  <c r="C187" i="4"/>
  <c r="D211" i="4"/>
  <c r="D91" i="4"/>
  <c r="C135" i="4"/>
  <c r="D159" i="4"/>
  <c r="D187" i="4"/>
  <c r="D199" i="4"/>
  <c r="D259" i="4"/>
  <c r="D139" i="4"/>
  <c r="C8" i="4"/>
  <c r="D52" i="11"/>
  <c r="D94" i="11"/>
  <c r="C94" i="11"/>
  <c r="D159" i="11"/>
  <c r="C159" i="11"/>
  <c r="C187" i="11"/>
  <c r="C201" i="11"/>
  <c r="D234" i="11"/>
  <c r="C239" i="11"/>
  <c r="C254" i="11"/>
  <c r="D283" i="11"/>
  <c r="C283" i="11"/>
  <c r="D309" i="11"/>
  <c r="C309" i="11"/>
  <c r="C315" i="11"/>
  <c r="I5" i="14" s="1"/>
  <c r="C16" i="11"/>
  <c r="C69" i="11"/>
  <c r="C73" i="11"/>
  <c r="C77" i="11"/>
  <c r="C82" i="11"/>
  <c r="C90" i="11"/>
  <c r="C95" i="11"/>
  <c r="C99" i="11"/>
  <c r="C103" i="11"/>
  <c r="D116" i="11"/>
  <c r="C129" i="11"/>
  <c r="C138" i="11"/>
  <c r="C142" i="11"/>
  <c r="C155" i="11"/>
  <c r="C160" i="11"/>
  <c r="C164" i="11"/>
  <c r="C178" i="11"/>
  <c r="D187" i="11"/>
  <c r="D201" i="11"/>
  <c r="D211" i="11"/>
  <c r="C220" i="11"/>
  <c r="C234" i="11"/>
  <c r="D239" i="11"/>
  <c r="C249" i="11"/>
  <c r="C253" i="11"/>
  <c r="C279" i="11"/>
  <c r="C290" i="11"/>
  <c r="C300" i="11"/>
  <c r="D299" i="11"/>
  <c r="D315" i="11"/>
  <c r="J5" i="14" s="1"/>
  <c r="D37" i="11"/>
  <c r="D49" i="11"/>
  <c r="D61" i="11"/>
  <c r="D69" i="11"/>
  <c r="D73" i="11"/>
  <c r="D82" i="11"/>
  <c r="D95" i="11"/>
  <c r="D99" i="11"/>
  <c r="D129" i="11"/>
  <c r="D138" i="11"/>
  <c r="D142" i="11"/>
  <c r="D155" i="11"/>
  <c r="D164" i="11"/>
  <c r="D178" i="11"/>
  <c r="D220" i="11"/>
  <c r="D244" i="11"/>
  <c r="C244" i="11"/>
  <c r="D249" i="11"/>
  <c r="D253" i="11"/>
  <c r="D279" i="11"/>
  <c r="C289" i="11"/>
  <c r="C11" i="11"/>
  <c r="C17" i="11"/>
  <c r="C25" i="11"/>
  <c r="C37" i="11"/>
  <c r="C49" i="11"/>
  <c r="C61" i="11"/>
  <c r="D78" i="11"/>
  <c r="D86" i="11"/>
  <c r="D117" i="11"/>
  <c r="C117" i="11"/>
  <c r="D121" i="11"/>
  <c r="D125" i="11"/>
  <c r="D130" i="11"/>
  <c r="C130" i="11"/>
  <c r="D143" i="11"/>
  <c r="C143" i="11"/>
  <c r="D147" i="11"/>
  <c r="D188" i="11"/>
  <c r="D197" i="11"/>
  <c r="C207" i="11"/>
  <c r="C226" i="11"/>
  <c r="C230" i="11"/>
  <c r="C240" i="11"/>
  <c r="C259" i="11"/>
  <c r="C269" i="11"/>
  <c r="C275" i="11"/>
  <c r="D289" i="11"/>
  <c r="C311" i="11"/>
  <c r="C96" i="11"/>
  <c r="C165" i="11"/>
  <c r="D198" i="11"/>
  <c r="D221" i="11"/>
  <c r="C221" i="11"/>
  <c r="D226" i="11"/>
  <c r="D230" i="11"/>
  <c r="D240" i="11"/>
  <c r="D259" i="11"/>
  <c r="D269" i="11"/>
  <c r="D275" i="11"/>
  <c r="D285" i="11"/>
  <c r="C295" i="11"/>
  <c r="D317" i="11"/>
  <c r="J7" i="14" s="1"/>
  <c r="D273" i="11"/>
  <c r="D34" i="11"/>
  <c r="C42" i="11"/>
  <c r="C54" i="11"/>
  <c r="C83" i="11"/>
  <c r="D96" i="11"/>
  <c r="C105" i="11"/>
  <c r="C109" i="11"/>
  <c r="C113" i="11"/>
  <c r="C126" i="11"/>
  <c r="C131" i="11"/>
  <c r="C135" i="11"/>
  <c r="C139" i="11"/>
  <c r="C144" i="11"/>
  <c r="D152" i="11"/>
  <c r="C161" i="11"/>
  <c r="D165" i="11"/>
  <c r="D175" i="11"/>
  <c r="C184" i="11"/>
  <c r="C198" i="11"/>
  <c r="D203" i="11"/>
  <c r="C213" i="11"/>
  <c r="C217" i="11"/>
  <c r="D231" i="11"/>
  <c r="C231" i="11"/>
  <c r="C236" i="11"/>
  <c r="C250" i="11"/>
  <c r="D265" i="11"/>
  <c r="D270" i="11"/>
  <c r="C270" i="11"/>
  <c r="C277" i="11"/>
  <c r="D295" i="11"/>
  <c r="D305" i="11"/>
  <c r="C313" i="11"/>
  <c r="D312" i="11"/>
  <c r="C156" i="11"/>
  <c r="D54" i="11"/>
  <c r="D66" i="11"/>
  <c r="D70" i="11"/>
  <c r="C79" i="11"/>
  <c r="D83" i="11"/>
  <c r="C88" i="11"/>
  <c r="C92" i="11"/>
  <c r="D105" i="11"/>
  <c r="D109" i="11"/>
  <c r="D113" i="11"/>
  <c r="D118" i="11"/>
  <c r="C122" i="11"/>
  <c r="D131" i="11"/>
  <c r="D135" i="11"/>
  <c r="C148" i="11"/>
  <c r="C152" i="11"/>
  <c r="D161" i="11"/>
  <c r="C175" i="11"/>
  <c r="D184" i="11"/>
  <c r="D199" i="11"/>
  <c r="D208" i="11"/>
  <c r="C208" i="11"/>
  <c r="D213" i="11"/>
  <c r="D217" i="11"/>
  <c r="C228" i="11"/>
  <c r="C232" i="11"/>
  <c r="D236" i="11"/>
  <c r="C246" i="11"/>
  <c r="D250" i="11"/>
  <c r="D260" i="11"/>
  <c r="C260" i="11"/>
  <c r="D271" i="11"/>
  <c r="C276" i="11"/>
  <c r="D286" i="11"/>
  <c r="D301" i="11"/>
  <c r="C312" i="11"/>
  <c r="C318" i="11"/>
  <c r="I8" i="14" s="1"/>
  <c r="D81" i="11"/>
  <c r="C81" i="11"/>
  <c r="C264" i="11"/>
  <c r="D263" i="11"/>
  <c r="C12" i="11"/>
  <c r="C100" i="11"/>
  <c r="D207" i="11"/>
  <c r="D22" i="11"/>
  <c r="C30" i="11"/>
  <c r="D46" i="11"/>
  <c r="C118" i="11"/>
  <c r="C13" i="11"/>
  <c r="C18" i="11"/>
  <c r="D30" i="11"/>
  <c r="C34" i="11"/>
  <c r="D42" i="11"/>
  <c r="C46" i="11"/>
  <c r="C58" i="11"/>
  <c r="C8" i="11"/>
  <c r="D71" i="11"/>
  <c r="C71" i="11"/>
  <c r="D75" i="11"/>
  <c r="D79" i="11"/>
  <c r="D88" i="11"/>
  <c r="D92" i="11"/>
  <c r="D101" i="11"/>
  <c r="D114" i="11"/>
  <c r="D122" i="11"/>
  <c r="D127" i="11"/>
  <c r="D148" i="11"/>
  <c r="D153" i="11"/>
  <c r="C153" i="11"/>
  <c r="D157" i="11"/>
  <c r="C171" i="11"/>
  <c r="C190" i="11"/>
  <c r="C194" i="11"/>
  <c r="C204" i="11"/>
  <c r="C227" i="11"/>
  <c r="D246" i="11"/>
  <c r="D276" i="11"/>
  <c r="D281" i="11"/>
  <c r="C286" i="11"/>
  <c r="D296" i="11"/>
  <c r="C296" i="11"/>
  <c r="D307" i="11"/>
  <c r="D318" i="11"/>
  <c r="J8" i="14" s="1"/>
  <c r="D64" i="11"/>
  <c r="D224" i="11"/>
  <c r="C28" i="11"/>
  <c r="C52" i="11"/>
  <c r="C273" i="11"/>
  <c r="D23" i="11"/>
  <c r="D55" i="11"/>
  <c r="D67" i="11"/>
  <c r="C84" i="11"/>
  <c r="C123" i="11"/>
  <c r="C132" i="11"/>
  <c r="C136" i="11"/>
  <c r="C162" i="11"/>
  <c r="D171" i="11"/>
  <c r="D185" i="11"/>
  <c r="C185" i="11"/>
  <c r="D190" i="11"/>
  <c r="D194" i="11"/>
  <c r="D204" i="11"/>
  <c r="D209" i="11"/>
  <c r="C223" i="11"/>
  <c r="D227" i="11"/>
  <c r="C237" i="11"/>
  <c r="D40" i="11"/>
  <c r="D76" i="11"/>
  <c r="C40" i="11"/>
  <c r="C87" i="11"/>
  <c r="D31" i="11"/>
  <c r="D43" i="11"/>
  <c r="C14" i="11"/>
  <c r="C19" i="11"/>
  <c r="D27" i="11"/>
  <c r="C31" i="11"/>
  <c r="C43" i="11"/>
  <c r="C55" i="11"/>
  <c r="C67" i="11"/>
  <c r="D80" i="11"/>
  <c r="C93" i="11"/>
  <c r="C102" i="11"/>
  <c r="C106" i="11"/>
  <c r="C119" i="11"/>
  <c r="D136" i="11"/>
  <c r="C141" i="11"/>
  <c r="C145" i="11"/>
  <c r="C149" i="11"/>
  <c r="C154" i="11"/>
  <c r="D167" i="11"/>
  <c r="C177" i="11"/>
  <c r="C181" i="11"/>
  <c r="D186" i="11"/>
  <c r="D195" i="11"/>
  <c r="C195" i="11"/>
  <c r="C200" i="11"/>
  <c r="C214" i="11"/>
  <c r="D223" i="11"/>
  <c r="D237" i="11"/>
  <c r="D242" i="11"/>
  <c r="D247" i="11"/>
  <c r="D256" i="11"/>
  <c r="C262" i="11"/>
  <c r="C272" i="11"/>
  <c r="D107" i="11"/>
  <c r="C107" i="11"/>
  <c r="C15" i="11"/>
  <c r="C64" i="11"/>
  <c r="C70" i="11"/>
  <c r="C80" i="11"/>
  <c r="C89" i="11"/>
  <c r="D93" i="11"/>
  <c r="D106" i="11"/>
  <c r="D119" i="11"/>
  <c r="C124" i="11"/>
  <c r="C128" i="11"/>
  <c r="D149" i="11"/>
  <c r="C158" i="11"/>
  <c r="D163" i="11"/>
  <c r="D172" i="11"/>
  <c r="C172" i="11"/>
  <c r="D181" i="11"/>
  <c r="C192" i="11"/>
  <c r="C196" i="11"/>
  <c r="D200" i="11"/>
  <c r="D214" i="11"/>
  <c r="C233" i="11"/>
  <c r="C247" i="11"/>
  <c r="D252" i="11"/>
  <c r="D272" i="11"/>
  <c r="D302" i="11"/>
  <c r="C308" i="11"/>
  <c r="D314" i="11"/>
  <c r="J4" i="14" s="1"/>
  <c r="C306" i="11"/>
  <c r="C319" i="11"/>
  <c r="I9" i="14" s="1"/>
  <c r="C257" i="11"/>
  <c r="C267" i="11"/>
  <c r="C280" i="11"/>
  <c r="C293" i="11"/>
  <c r="C303" i="11"/>
  <c r="D306" i="11"/>
  <c r="C316" i="11"/>
  <c r="I6" i="14" s="1"/>
  <c r="D319" i="11"/>
  <c r="J9" i="14" s="1"/>
  <c r="D257" i="11"/>
  <c r="D267" i="11"/>
  <c r="D293" i="11"/>
  <c r="D303" i="11"/>
  <c r="D316" i="11"/>
  <c r="J6" i="14" s="1"/>
  <c r="D74" i="11"/>
  <c r="D84" i="11"/>
  <c r="D97" i="11"/>
  <c r="D110" i="11"/>
  <c r="D120" i="11"/>
  <c r="D133" i="11"/>
  <c r="D146" i="11"/>
  <c r="D156" i="11"/>
  <c r="C166" i="11"/>
  <c r="D169" i="11"/>
  <c r="C179" i="11"/>
  <c r="D182" i="11"/>
  <c r="C189" i="11"/>
  <c r="D192" i="11"/>
  <c r="C202" i="11"/>
  <c r="D205" i="11"/>
  <c r="C215" i="11"/>
  <c r="D218" i="11"/>
  <c r="C225" i="11"/>
  <c r="D228" i="11"/>
  <c r="C238" i="11"/>
  <c r="D241" i="11"/>
  <c r="C251" i="11"/>
  <c r="D254" i="11"/>
  <c r="C261" i="11"/>
  <c r="D264" i="11"/>
  <c r="C274" i="11"/>
  <c r="D277" i="11"/>
  <c r="C287" i="11"/>
  <c r="D290" i="11"/>
  <c r="C297" i="11"/>
  <c r="D300" i="11"/>
  <c r="C310" i="11"/>
  <c r="D313" i="11"/>
  <c r="C20" i="11"/>
  <c r="C23" i="11"/>
  <c r="C26" i="11"/>
  <c r="C29" i="11"/>
  <c r="C32" i="11"/>
  <c r="C35" i="11"/>
  <c r="C38" i="11"/>
  <c r="C41" i="11"/>
  <c r="C44" i="11"/>
  <c r="C47" i="11"/>
  <c r="C50" i="11"/>
  <c r="C53" i="11"/>
  <c r="C56" i="11"/>
  <c r="C59" i="11"/>
  <c r="C62" i="11"/>
  <c r="C65" i="11"/>
  <c r="C68" i="11"/>
  <c r="C78" i="11"/>
  <c r="C91" i="11"/>
  <c r="C104" i="11"/>
  <c r="C114" i="11"/>
  <c r="C127" i="11"/>
  <c r="C140" i="11"/>
  <c r="C150" i="11"/>
  <c r="C163" i="11"/>
  <c r="D166" i="11"/>
  <c r="C176" i="11"/>
  <c r="D179" i="11"/>
  <c r="C186" i="11"/>
  <c r="D189" i="11"/>
  <c r="C199" i="11"/>
  <c r="D202" i="11"/>
  <c r="C212" i="11"/>
  <c r="D215" i="11"/>
  <c r="C222" i="11"/>
  <c r="D225" i="11"/>
  <c r="C235" i="11"/>
  <c r="D238" i="11"/>
  <c r="C248" i="11"/>
  <c r="D251" i="11"/>
  <c r="C258" i="11"/>
  <c r="D261" i="11"/>
  <c r="C271" i="11"/>
  <c r="D274" i="11"/>
  <c r="C284" i="11"/>
  <c r="D287" i="11"/>
  <c r="C294" i="11"/>
  <c r="D297" i="11"/>
  <c r="C307" i="11"/>
  <c r="D310" i="11"/>
  <c r="C320" i="11"/>
  <c r="I10" i="14" s="1"/>
  <c r="D68" i="11"/>
  <c r="C101" i="11"/>
  <c r="D104" i="11"/>
  <c r="C137" i="11"/>
  <c r="D140" i="11"/>
  <c r="C173" i="11"/>
  <c r="D176" i="11"/>
  <c r="C209" i="11"/>
  <c r="D212" i="11"/>
  <c r="C245" i="11"/>
  <c r="D248" i="11"/>
  <c r="C281" i="11"/>
  <c r="D284" i="11"/>
  <c r="C317" i="11"/>
  <c r="I7" i="14" s="1"/>
  <c r="D320" i="11"/>
  <c r="J10" i="14" s="1"/>
  <c r="D27" i="10"/>
  <c r="D110" i="10"/>
  <c r="C110" i="10"/>
  <c r="C150" i="10"/>
  <c r="D149" i="10"/>
  <c r="D244" i="10"/>
  <c r="C244" i="10"/>
  <c r="C48" i="10"/>
  <c r="D221" i="10"/>
  <c r="C221" i="10"/>
  <c r="C259" i="10"/>
  <c r="C269" i="10"/>
  <c r="C275" i="10"/>
  <c r="C295" i="10"/>
  <c r="C305" i="10"/>
  <c r="C311" i="10"/>
  <c r="C52" i="10"/>
  <c r="D133" i="10"/>
  <c r="C133" i="10"/>
  <c r="D172" i="10"/>
  <c r="D203" i="10"/>
  <c r="C213" i="10"/>
  <c r="C217" i="10"/>
  <c r="C231" i="10"/>
  <c r="D231" i="10"/>
  <c r="C236" i="10"/>
  <c r="C250" i="10"/>
  <c r="D259" i="10"/>
  <c r="D269" i="10"/>
  <c r="D275" i="10"/>
  <c r="D295" i="10"/>
  <c r="D305" i="10"/>
  <c r="D311" i="10"/>
  <c r="C11" i="10"/>
  <c r="D208" i="10"/>
  <c r="C208" i="10"/>
  <c r="D213" i="10"/>
  <c r="D217" i="10"/>
  <c r="C232" i="10"/>
  <c r="D236" i="10"/>
  <c r="C246" i="10"/>
  <c r="D250" i="10"/>
  <c r="D270" i="10"/>
  <c r="C270" i="10"/>
  <c r="D286" i="10"/>
  <c r="D306" i="10"/>
  <c r="C306" i="10"/>
  <c r="C21" i="10"/>
  <c r="C33" i="10"/>
  <c r="C45" i="10"/>
  <c r="D69" i="10"/>
  <c r="C73" i="10"/>
  <c r="C82" i="10"/>
  <c r="C86" i="10"/>
  <c r="C95" i="10"/>
  <c r="D99" i="10"/>
  <c r="C112" i="10"/>
  <c r="C116" i="10"/>
  <c r="C125" i="10"/>
  <c r="D129" i="10"/>
  <c r="C134" i="10"/>
  <c r="D138" i="10"/>
  <c r="D142" i="10"/>
  <c r="C147" i="10"/>
  <c r="C151" i="10"/>
  <c r="C155" i="10"/>
  <c r="C160" i="10"/>
  <c r="C164" i="10"/>
  <c r="D168" i="10"/>
  <c r="D177" i="10"/>
  <c r="C181" i="10"/>
  <c r="C190" i="10"/>
  <c r="C194" i="10"/>
  <c r="C204" i="10"/>
  <c r="C227" i="10"/>
  <c r="D246" i="10"/>
  <c r="D260" i="10"/>
  <c r="C260" i="10"/>
  <c r="D271" i="10"/>
  <c r="C276" i="10"/>
  <c r="D281" i="10"/>
  <c r="C286" i="10"/>
  <c r="D296" i="10"/>
  <c r="C296" i="10"/>
  <c r="D307" i="10"/>
  <c r="C312" i="10"/>
  <c r="D317" i="10"/>
  <c r="T7" i="14" s="1"/>
  <c r="D45" i="10"/>
  <c r="D181" i="10"/>
  <c r="D190" i="10"/>
  <c r="D194" i="10"/>
  <c r="D204" i="10"/>
  <c r="C237" i="10"/>
  <c r="D276" i="10"/>
  <c r="D312" i="10"/>
  <c r="C142" i="10"/>
  <c r="D223" i="10"/>
  <c r="D237" i="10"/>
  <c r="D247" i="10"/>
  <c r="C266" i="10"/>
  <c r="C282" i="10"/>
  <c r="C292" i="10"/>
  <c r="C302" i="10"/>
  <c r="C318" i="10"/>
  <c r="S8" i="14" s="1"/>
  <c r="C36" i="10"/>
  <c r="D72" i="10"/>
  <c r="D24" i="10"/>
  <c r="D48" i="10"/>
  <c r="C91" i="10"/>
  <c r="D159" i="10"/>
  <c r="D28" i="10"/>
  <c r="D52" i="10"/>
  <c r="C78" i="10"/>
  <c r="D77" i="10"/>
  <c r="D146" i="10"/>
  <c r="C146" i="10"/>
  <c r="C172" i="10"/>
  <c r="D185" i="10"/>
  <c r="C37" i="10"/>
  <c r="C49" i="10"/>
  <c r="C61" i="10"/>
  <c r="D82" i="10"/>
  <c r="D95" i="10"/>
  <c r="D155" i="10"/>
  <c r="D164" i="10"/>
  <c r="D227" i="10"/>
  <c r="D25" i="10"/>
  <c r="D61" i="10"/>
  <c r="D87" i="10"/>
  <c r="D156" i="10"/>
  <c r="C156" i="10"/>
  <c r="D242" i="10"/>
  <c r="C30" i="10"/>
  <c r="C42" i="10"/>
  <c r="C54" i="10"/>
  <c r="C66" i="10"/>
  <c r="C70" i="10"/>
  <c r="D74" i="10"/>
  <c r="C74" i="10"/>
  <c r="C96" i="10"/>
  <c r="C105" i="10"/>
  <c r="C114" i="10"/>
  <c r="D113" i="10"/>
  <c r="C126" i="10"/>
  <c r="C135" i="10"/>
  <c r="C139" i="10"/>
  <c r="C165" i="10"/>
  <c r="C174" i="10"/>
  <c r="C178" i="10"/>
  <c r="D182" i="10"/>
  <c r="C182" i="10"/>
  <c r="C196" i="10"/>
  <c r="D200" i="10"/>
  <c r="C210" i="10"/>
  <c r="D214" i="10"/>
  <c r="C233" i="10"/>
  <c r="C247" i="10"/>
  <c r="D256" i="10"/>
  <c r="C262" i="10"/>
  <c r="D266" i="10"/>
  <c r="C272" i="10"/>
  <c r="D282" i="10"/>
  <c r="D292" i="10"/>
  <c r="C298" i="10"/>
  <c r="D302" i="10"/>
  <c r="C308" i="10"/>
  <c r="D318" i="10"/>
  <c r="T8" i="14" s="1"/>
  <c r="C18" i="10"/>
  <c r="C22" i="10"/>
  <c r="D30" i="10"/>
  <c r="C34" i="10"/>
  <c r="D42" i="10"/>
  <c r="C46" i="10"/>
  <c r="D54" i="10"/>
  <c r="C58" i="10"/>
  <c r="D66" i="10"/>
  <c r="D70" i="10"/>
  <c r="C75" i="10"/>
  <c r="C79" i="10"/>
  <c r="C83" i="10"/>
  <c r="C88" i="10"/>
  <c r="C92" i="10"/>
  <c r="D96" i="10"/>
  <c r="D105" i="10"/>
  <c r="C109" i="10"/>
  <c r="C113" i="10"/>
  <c r="C118" i="10"/>
  <c r="C122" i="10"/>
  <c r="C131" i="10"/>
  <c r="D135" i="10"/>
  <c r="C148" i="10"/>
  <c r="C152" i="10"/>
  <c r="C157" i="10"/>
  <c r="C161" i="10"/>
  <c r="D165" i="10"/>
  <c r="D174" i="10"/>
  <c r="D178" i="10"/>
  <c r="C183" i="10"/>
  <c r="C187" i="10"/>
  <c r="C191" i="10"/>
  <c r="D210" i="10"/>
  <c r="D224" i="10"/>
  <c r="D233" i="10"/>
  <c r="C243" i="10"/>
  <c r="D262" i="10"/>
  <c r="D272" i="10"/>
  <c r="D288" i="10"/>
  <c r="D298" i="10"/>
  <c r="D308" i="10"/>
  <c r="C60" i="10"/>
  <c r="D198" i="10"/>
  <c r="C104" i="10"/>
  <c r="D40" i="10"/>
  <c r="C159" i="10"/>
  <c r="C168" i="10"/>
  <c r="C57" i="10"/>
  <c r="C25" i="10"/>
  <c r="D57" i="10"/>
  <c r="D37" i="10"/>
  <c r="D49" i="10"/>
  <c r="D100" i="10"/>
  <c r="C140" i="10"/>
  <c r="D169" i="10"/>
  <c r="C169" i="10"/>
  <c r="C195" i="10"/>
  <c r="D195" i="10"/>
  <c r="C200" i="10"/>
  <c r="C256" i="10"/>
  <c r="C87" i="10"/>
  <c r="D22" i="10"/>
  <c r="D34" i="10"/>
  <c r="D46" i="10"/>
  <c r="D58" i="10"/>
  <c r="D79" i="10"/>
  <c r="D83" i="10"/>
  <c r="D88" i="10"/>
  <c r="D92" i="10"/>
  <c r="D101" i="10"/>
  <c r="D109" i="10"/>
  <c r="D114" i="10"/>
  <c r="D118" i="10"/>
  <c r="D122" i="10"/>
  <c r="D127" i="10"/>
  <c r="D131" i="10"/>
  <c r="D148" i="10"/>
  <c r="D152" i="10"/>
  <c r="D161" i="10"/>
  <c r="D170" i="10"/>
  <c r="D187" i="10"/>
  <c r="D191" i="10"/>
  <c r="C201" i="10"/>
  <c r="C224" i="10"/>
  <c r="D234" i="10"/>
  <c r="D243" i="10"/>
  <c r="D273" i="10"/>
  <c r="D278" i="10"/>
  <c r="D283" i="10"/>
  <c r="C283" i="10"/>
  <c r="D309" i="10"/>
  <c r="D314" i="10"/>
  <c r="T4" i="14" s="1"/>
  <c r="C24" i="10"/>
  <c r="C65" i="10"/>
  <c r="C203" i="10"/>
  <c r="C28" i="10"/>
  <c r="D36" i="10"/>
  <c r="C40" i="10"/>
  <c r="D60" i="10"/>
  <c r="C64" i="10"/>
  <c r="D120" i="10"/>
  <c r="C120" i="10"/>
  <c r="C69" i="10"/>
  <c r="C90" i="10"/>
  <c r="C103" i="10"/>
  <c r="D21" i="10"/>
  <c r="D86" i="10"/>
  <c r="D116" i="10"/>
  <c r="D125" i="10"/>
  <c r="C127" i="10"/>
  <c r="C214" i="10"/>
  <c r="D23" i="10"/>
  <c r="C68" i="10"/>
  <c r="D84" i="10"/>
  <c r="C84" i="10"/>
  <c r="D97" i="10"/>
  <c r="C97" i="10"/>
  <c r="D123" i="10"/>
  <c r="D136" i="10"/>
  <c r="C163" i="10"/>
  <c r="C176" i="10"/>
  <c r="D192" i="10"/>
  <c r="C192" i="10"/>
  <c r="D206" i="10"/>
  <c r="D211" i="10"/>
  <c r="C234" i="10"/>
  <c r="D239" i="10"/>
  <c r="D258" i="10"/>
  <c r="D263" i="10"/>
  <c r="C273" i="10"/>
  <c r="D294" i="10"/>
  <c r="D299" i="10"/>
  <c r="C309" i="10"/>
  <c r="C319" i="10"/>
  <c r="S9" i="14" s="1"/>
  <c r="C257" i="10"/>
  <c r="C267" i="10"/>
  <c r="C280" i="10"/>
  <c r="C293" i="10"/>
  <c r="C303" i="10"/>
  <c r="C316" i="10"/>
  <c r="S6" i="14" s="1"/>
  <c r="D319" i="10"/>
  <c r="T9" i="14" s="1"/>
  <c r="C205" i="10"/>
  <c r="C218" i="10"/>
  <c r="C228" i="10"/>
  <c r="C241" i="10"/>
  <c r="C254" i="10"/>
  <c r="D257" i="10"/>
  <c r="C264" i="10"/>
  <c r="D267" i="10"/>
  <c r="C277" i="10"/>
  <c r="D280" i="10"/>
  <c r="C290" i="10"/>
  <c r="D293" i="10"/>
  <c r="C300" i="10"/>
  <c r="D303" i="10"/>
  <c r="C313" i="10"/>
  <c r="D316" i="10"/>
  <c r="T6" i="14" s="1"/>
  <c r="C8" i="10"/>
  <c r="C12" i="10"/>
  <c r="C16" i="10"/>
  <c r="C71" i="10"/>
  <c r="C81" i="10"/>
  <c r="C94" i="10"/>
  <c r="C107" i="10"/>
  <c r="C117" i="10"/>
  <c r="C130" i="10"/>
  <c r="C143" i="10"/>
  <c r="C153" i="10"/>
  <c r="C166" i="10"/>
  <c r="C179" i="10"/>
  <c r="C189" i="10"/>
  <c r="C202" i="10"/>
  <c r="D205" i="10"/>
  <c r="C215" i="10"/>
  <c r="D218" i="10"/>
  <c r="C225" i="10"/>
  <c r="D228" i="10"/>
  <c r="C238" i="10"/>
  <c r="D241" i="10"/>
  <c r="C251" i="10"/>
  <c r="D254" i="10"/>
  <c r="C261" i="10"/>
  <c r="D264" i="10"/>
  <c r="C274" i="10"/>
  <c r="D277" i="10"/>
  <c r="C287" i="10"/>
  <c r="D290" i="10"/>
  <c r="C297" i="10"/>
  <c r="D300" i="10"/>
  <c r="C310" i="10"/>
  <c r="D313" i="10"/>
  <c r="C20" i="10"/>
  <c r="C23" i="10"/>
  <c r="C26" i="10"/>
  <c r="C29" i="10"/>
  <c r="C32" i="10"/>
  <c r="C35" i="10"/>
  <c r="C38" i="10"/>
  <c r="C41" i="10"/>
  <c r="C44" i="10"/>
  <c r="C47" i="10"/>
  <c r="C50" i="10"/>
  <c r="C53" i="10"/>
  <c r="C56" i="10"/>
  <c r="C59" i="10"/>
  <c r="C62" i="10"/>
  <c r="D71" i="10"/>
  <c r="D81" i="10"/>
  <c r="D94" i="10"/>
  <c r="D107" i="10"/>
  <c r="D117" i="10"/>
  <c r="D130" i="10"/>
  <c r="D143" i="10"/>
  <c r="D153" i="10"/>
  <c r="D166" i="10"/>
  <c r="D179" i="10"/>
  <c r="C186" i="10"/>
  <c r="D189" i="10"/>
  <c r="C199" i="10"/>
  <c r="D202" i="10"/>
  <c r="C212" i="10"/>
  <c r="D215" i="10"/>
  <c r="C222" i="10"/>
  <c r="D225" i="10"/>
  <c r="C235" i="10"/>
  <c r="D238" i="10"/>
  <c r="C248" i="10"/>
  <c r="D251" i="10"/>
  <c r="C258" i="10"/>
  <c r="D261" i="10"/>
  <c r="C271" i="10"/>
  <c r="D274" i="10"/>
  <c r="C284" i="10"/>
  <c r="D287" i="10"/>
  <c r="C294" i="10"/>
  <c r="D297" i="10"/>
  <c r="C307" i="10"/>
  <c r="D310" i="10"/>
  <c r="C320" i="10"/>
  <c r="S10" i="14" s="1"/>
  <c r="D68" i="10"/>
  <c r="C101" i="10"/>
  <c r="D104" i="10"/>
  <c r="C137" i="10"/>
  <c r="D140" i="10"/>
  <c r="C173" i="10"/>
  <c r="D176" i="10"/>
  <c r="C209" i="10"/>
  <c r="D212" i="10"/>
  <c r="C245" i="10"/>
  <c r="D248" i="10"/>
  <c r="C281" i="10"/>
  <c r="D284" i="10"/>
  <c r="C317" i="10"/>
  <c r="S7" i="14" s="1"/>
  <c r="D320" i="10"/>
  <c r="T10" i="14" s="1"/>
  <c r="D242" i="9"/>
  <c r="C231" i="9"/>
  <c r="D230" i="9"/>
  <c r="C14" i="9"/>
  <c r="D71" i="9"/>
  <c r="C71" i="9"/>
  <c r="C72" i="9"/>
  <c r="D78" i="9"/>
  <c r="D130" i="9"/>
  <c r="C130" i="9"/>
  <c r="D167" i="9"/>
  <c r="D317" i="9"/>
  <c r="P7" i="14" s="1"/>
  <c r="C96" i="9"/>
  <c r="C131" i="9"/>
  <c r="C161" i="9"/>
  <c r="C230" i="9"/>
  <c r="D277" i="9"/>
  <c r="C277" i="9"/>
  <c r="C278" i="9"/>
  <c r="D305" i="9"/>
  <c r="D102" i="9"/>
  <c r="C102" i="9"/>
  <c r="D119" i="9"/>
  <c r="C119" i="9"/>
  <c r="C224" i="9"/>
  <c r="D278" i="9"/>
  <c r="D306" i="9"/>
  <c r="C306" i="9"/>
  <c r="D79" i="9"/>
  <c r="D132" i="9"/>
  <c r="D144" i="9"/>
  <c r="C162" i="9"/>
  <c r="D162" i="9"/>
  <c r="D174" i="9"/>
  <c r="C211" i="9"/>
  <c r="D223" i="9"/>
  <c r="D224" i="9"/>
  <c r="C266" i="9"/>
  <c r="D272" i="9"/>
  <c r="D286" i="9"/>
  <c r="D97" i="9"/>
  <c r="C98" i="9"/>
  <c r="D39" i="9"/>
  <c r="C97" i="9"/>
  <c r="C109" i="9"/>
  <c r="C126" i="9"/>
  <c r="D138" i="9"/>
  <c r="C132" i="9"/>
  <c r="C195" i="9"/>
  <c r="D194" i="9"/>
  <c r="D206" i="9"/>
  <c r="D211" i="9"/>
  <c r="D232" i="9"/>
  <c r="C221" i="9"/>
  <c r="C239" i="9"/>
  <c r="D265" i="9"/>
  <c r="D253" i="9"/>
  <c r="D266" i="9"/>
  <c r="C272" i="9"/>
  <c r="C286" i="9"/>
  <c r="D108" i="9"/>
  <c r="D34" i="9"/>
  <c r="D22" i="9"/>
  <c r="D43" i="9"/>
  <c r="D45" i="9"/>
  <c r="D33" i="9"/>
  <c r="D74" i="9"/>
  <c r="D86" i="9"/>
  <c r="D91" i="9"/>
  <c r="C28" i="9"/>
  <c r="D28" i="9"/>
  <c r="C75" i="9"/>
  <c r="D114" i="9"/>
  <c r="D126" i="9"/>
  <c r="C145" i="9"/>
  <c r="D145" i="9"/>
  <c r="D151" i="9"/>
  <c r="C175" i="9"/>
  <c r="C194" i="9"/>
  <c r="D219" i="9"/>
  <c r="C208" i="9"/>
  <c r="C220" i="9"/>
  <c r="D226" i="9"/>
  <c r="C226" i="9"/>
  <c r="D245" i="9"/>
  <c r="D239" i="9"/>
  <c r="C247" i="9"/>
  <c r="C253" i="9"/>
  <c r="C214" i="9"/>
  <c r="C213" i="9"/>
  <c r="D213" i="9"/>
  <c r="D220" i="9"/>
  <c r="C267" i="9"/>
  <c r="C122" i="9"/>
  <c r="C295" i="9"/>
  <c r="C8" i="9"/>
  <c r="D198" i="9"/>
  <c r="C55" i="9"/>
  <c r="D55" i="9"/>
  <c r="D183" i="9"/>
  <c r="C172" i="9"/>
  <c r="C46" i="9"/>
  <c r="C63" i="9"/>
  <c r="D92" i="9"/>
  <c r="C105" i="9"/>
  <c r="D46" i="9"/>
  <c r="D70" i="9"/>
  <c r="D82" i="9"/>
  <c r="C77" i="9"/>
  <c r="D76" i="9"/>
  <c r="C76" i="9"/>
  <c r="D93" i="9"/>
  <c r="C93" i="9"/>
  <c r="D105" i="9"/>
  <c r="C135" i="9"/>
  <c r="C165" i="9"/>
  <c r="D171" i="9"/>
  <c r="D196" i="9"/>
  <c r="C185" i="9"/>
  <c r="D189" i="9"/>
  <c r="C189" i="9"/>
  <c r="C234" i="9"/>
  <c r="D246" i="9"/>
  <c r="D249" i="9"/>
  <c r="C262" i="9"/>
  <c r="D282" i="9"/>
  <c r="C282" i="9"/>
  <c r="D295" i="9"/>
  <c r="C311" i="9"/>
  <c r="D84" i="9"/>
  <c r="C85" i="9"/>
  <c r="D143" i="9"/>
  <c r="C143" i="9"/>
  <c r="C43" i="9"/>
  <c r="C22" i="9"/>
  <c r="C67" i="9"/>
  <c r="D67" i="9"/>
  <c r="C120" i="9"/>
  <c r="C33" i="9"/>
  <c r="D51" i="9"/>
  <c r="D134" i="9"/>
  <c r="C188" i="9"/>
  <c r="D200" i="9"/>
  <c r="C12" i="9"/>
  <c r="C51" i="9"/>
  <c r="D139" i="9"/>
  <c r="C171" i="9"/>
  <c r="D188" i="9"/>
  <c r="D207" i="9"/>
  <c r="D233" i="9"/>
  <c r="C13" i="9"/>
  <c r="C25" i="9"/>
  <c r="C36" i="9"/>
  <c r="D58" i="9"/>
  <c r="C70" i="9"/>
  <c r="D117" i="9"/>
  <c r="C117" i="9"/>
  <c r="D135" i="9"/>
  <c r="D153" i="9"/>
  <c r="C153" i="9"/>
  <c r="C184" i="9"/>
  <c r="C191" i="9"/>
  <c r="D190" i="9"/>
  <c r="C190" i="9"/>
  <c r="D234" i="9"/>
  <c r="C249" i="9"/>
  <c r="D262" i="9"/>
  <c r="D311" i="9"/>
  <c r="D173" i="9"/>
  <c r="C198" i="9"/>
  <c r="D121" i="9"/>
  <c r="D40" i="9"/>
  <c r="D63" i="9"/>
  <c r="D110" i="9"/>
  <c r="C159" i="9"/>
  <c r="D158" i="9"/>
  <c r="C158" i="9"/>
  <c r="C152" i="9"/>
  <c r="D164" i="9"/>
  <c r="D83" i="9"/>
  <c r="D95" i="9"/>
  <c r="D88" i="9"/>
  <c r="D106" i="9"/>
  <c r="C106" i="9"/>
  <c r="C123" i="9"/>
  <c r="C142" i="9"/>
  <c r="D141" i="9"/>
  <c r="C141" i="9"/>
  <c r="C155" i="9"/>
  <c r="D154" i="9"/>
  <c r="C154" i="9"/>
  <c r="D184" i="9"/>
  <c r="D209" i="9"/>
  <c r="D255" i="9"/>
  <c r="C244" i="9"/>
  <c r="D288" i="9"/>
  <c r="D289" i="9"/>
  <c r="D312" i="9"/>
  <c r="C312" i="9"/>
  <c r="D263" i="9"/>
  <c r="D296" i="9"/>
  <c r="C296" i="9"/>
  <c r="D307" i="9"/>
  <c r="D254" i="9"/>
  <c r="C254" i="9"/>
  <c r="C263" i="9"/>
  <c r="C303" i="9"/>
  <c r="C259" i="9"/>
  <c r="C273" i="9"/>
  <c r="C292" i="9"/>
  <c r="C302" i="9"/>
  <c r="C318" i="9"/>
  <c r="O8" i="14" s="1"/>
  <c r="C30" i="9"/>
  <c r="C48" i="9"/>
  <c r="D72" i="9"/>
  <c r="C177" i="9"/>
  <c r="C181" i="9"/>
  <c r="C204" i="9"/>
  <c r="D217" i="9"/>
  <c r="C255" i="9"/>
  <c r="C10" i="9"/>
  <c r="D19" i="9"/>
  <c r="D23" i="9"/>
  <c r="D30" i="9"/>
  <c r="D37" i="9"/>
  <c r="D48" i="9"/>
  <c r="C52" i="9"/>
  <c r="C60" i="9"/>
  <c r="C64" i="9"/>
  <c r="D81" i="9"/>
  <c r="C81" i="9"/>
  <c r="D94" i="9"/>
  <c r="C94" i="9"/>
  <c r="D107" i="9"/>
  <c r="C107" i="9"/>
  <c r="D115" i="9"/>
  <c r="D128" i="9"/>
  <c r="C133" i="9"/>
  <c r="D146" i="9"/>
  <c r="C168" i="9"/>
  <c r="D177" i="9"/>
  <c r="D181" i="9"/>
  <c r="D186" i="9"/>
  <c r="D218" i="9"/>
  <c r="C218" i="9"/>
  <c r="D227" i="9"/>
  <c r="C236" i="9"/>
  <c r="D241" i="9"/>
  <c r="C241" i="9"/>
  <c r="C250" i="9"/>
  <c r="D259" i="9"/>
  <c r="C283" i="9"/>
  <c r="D292" i="9"/>
  <c r="C298" i="9"/>
  <c r="D302" i="9"/>
  <c r="C308" i="9"/>
  <c r="D318" i="9"/>
  <c r="P8" i="14" s="1"/>
  <c r="C111" i="9"/>
  <c r="C217" i="9"/>
  <c r="C240" i="9"/>
  <c r="C19" i="9"/>
  <c r="C89" i="9"/>
  <c r="C115" i="9"/>
  <c r="C128" i="9"/>
  <c r="D264" i="9"/>
  <c r="C264" i="9"/>
  <c r="C27" i="9"/>
  <c r="C34" i="9"/>
  <c r="C45" i="9"/>
  <c r="D52" i="9"/>
  <c r="D60" i="9"/>
  <c r="D64" i="9"/>
  <c r="C90" i="9"/>
  <c r="C103" i="9"/>
  <c r="D129" i="9"/>
  <c r="D142" i="9"/>
  <c r="C146" i="9"/>
  <c r="D155" i="9"/>
  <c r="D168" i="9"/>
  <c r="D182" i="9"/>
  <c r="C182" i="9"/>
  <c r="D191" i="9"/>
  <c r="C200" i="9"/>
  <c r="D205" i="9"/>
  <c r="C205" i="9"/>
  <c r="C219" i="9"/>
  <c r="C227" i="9"/>
  <c r="D236" i="9"/>
  <c r="C265" i="9"/>
  <c r="C269" i="9"/>
  <c r="C279" i="9"/>
  <c r="D283" i="9"/>
  <c r="D298" i="9"/>
  <c r="D308" i="9"/>
  <c r="D26" i="9"/>
  <c r="D120" i="9"/>
  <c r="D240" i="9"/>
  <c r="D20" i="9"/>
  <c r="C116" i="9"/>
  <c r="C121" i="9"/>
  <c r="C129" i="9"/>
  <c r="D169" i="9"/>
  <c r="C169" i="9"/>
  <c r="D228" i="9"/>
  <c r="C228" i="9"/>
  <c r="C260" i="9"/>
  <c r="D309" i="9"/>
  <c r="D314" i="9"/>
  <c r="P4" i="14" s="1"/>
  <c r="D319" i="9"/>
  <c r="P9" i="14" s="1"/>
  <c r="C319" i="9"/>
  <c r="O9" i="14" s="1"/>
  <c r="C80" i="9"/>
  <c r="D133" i="9"/>
  <c r="C16" i="9"/>
  <c r="C61" i="9"/>
  <c r="D73" i="9"/>
  <c r="D116" i="9"/>
  <c r="C125" i="9"/>
  <c r="D156" i="9"/>
  <c r="C178" i="9"/>
  <c r="C192" i="9"/>
  <c r="D192" i="9"/>
  <c r="D201" i="9"/>
  <c r="C237" i="9"/>
  <c r="C270" i="9"/>
  <c r="D294" i="9"/>
  <c r="D299" i="9"/>
  <c r="D304" i="9"/>
  <c r="C309" i="9"/>
  <c r="D244" i="9"/>
  <c r="D257" i="9"/>
  <c r="D267" i="9"/>
  <c r="D280" i="9"/>
  <c r="C290" i="9"/>
  <c r="D293" i="9"/>
  <c r="C300" i="9"/>
  <c r="D303" i="9"/>
  <c r="C313" i="9"/>
  <c r="D316" i="9"/>
  <c r="P6" i="14" s="1"/>
  <c r="C166" i="9"/>
  <c r="C179" i="9"/>
  <c r="C202" i="9"/>
  <c r="C215" i="9"/>
  <c r="C225" i="9"/>
  <c r="C238" i="9"/>
  <c r="C251" i="9"/>
  <c r="C261" i="9"/>
  <c r="C274" i="9"/>
  <c r="C287" i="9"/>
  <c r="D290" i="9"/>
  <c r="C297" i="9"/>
  <c r="D300" i="9"/>
  <c r="C310" i="9"/>
  <c r="D313" i="9"/>
  <c r="C20" i="9"/>
  <c r="C23" i="9"/>
  <c r="C26" i="9"/>
  <c r="C29" i="9"/>
  <c r="C32" i="9"/>
  <c r="C35" i="9"/>
  <c r="C38" i="9"/>
  <c r="C41" i="9"/>
  <c r="C44" i="9"/>
  <c r="C47" i="9"/>
  <c r="C50" i="9"/>
  <c r="C53" i="9"/>
  <c r="C56" i="9"/>
  <c r="C59" i="9"/>
  <c r="C62" i="9"/>
  <c r="C65" i="9"/>
  <c r="C68" i="9"/>
  <c r="C78" i="9"/>
  <c r="C91" i="9"/>
  <c r="C104" i="9"/>
  <c r="C114" i="9"/>
  <c r="C127" i="9"/>
  <c r="C140" i="9"/>
  <c r="C150" i="9"/>
  <c r="C163" i="9"/>
  <c r="D166" i="9"/>
  <c r="C176" i="9"/>
  <c r="D179" i="9"/>
  <c r="C186" i="9"/>
  <c r="C199" i="9"/>
  <c r="D202" i="9"/>
  <c r="C212" i="9"/>
  <c r="D215" i="9"/>
  <c r="C222" i="9"/>
  <c r="D225" i="9"/>
  <c r="C235" i="9"/>
  <c r="D238" i="9"/>
  <c r="C248" i="9"/>
  <c r="D251" i="9"/>
  <c r="C258" i="9"/>
  <c r="D261" i="9"/>
  <c r="C271" i="9"/>
  <c r="D274" i="9"/>
  <c r="C284" i="9"/>
  <c r="D287" i="9"/>
  <c r="C294" i="9"/>
  <c r="D297" i="9"/>
  <c r="C307" i="9"/>
  <c r="D310" i="9"/>
  <c r="C320" i="9"/>
  <c r="O10" i="14" s="1"/>
  <c r="D68" i="9"/>
  <c r="C101" i="9"/>
  <c r="D104" i="9"/>
  <c r="C137" i="9"/>
  <c r="D140" i="9"/>
  <c r="C173" i="9"/>
  <c r="D176" i="9"/>
  <c r="C209" i="9"/>
  <c r="D212" i="9"/>
  <c r="C245" i="9"/>
  <c r="D248" i="9"/>
  <c r="C281" i="9"/>
  <c r="D284" i="9"/>
  <c r="C317" i="9"/>
  <c r="O7" i="14" s="1"/>
  <c r="D320" i="9"/>
  <c r="P10" i="14" s="1"/>
  <c r="C79" i="7"/>
  <c r="D79" i="7"/>
  <c r="D89" i="7"/>
  <c r="C89" i="7"/>
  <c r="C100" i="7"/>
  <c r="D99" i="7"/>
  <c r="C136" i="7"/>
  <c r="D135" i="7"/>
  <c r="D173" i="7"/>
  <c r="C173" i="7"/>
  <c r="C196" i="7"/>
  <c r="D195" i="7"/>
  <c r="C195" i="7"/>
  <c r="D245" i="7"/>
  <c r="C245" i="7"/>
  <c r="C268" i="7"/>
  <c r="D267" i="7"/>
  <c r="C267" i="7"/>
  <c r="D125" i="7"/>
  <c r="C125" i="7"/>
  <c r="D206" i="7"/>
  <c r="C206" i="7"/>
  <c r="D290" i="7"/>
  <c r="C290" i="7"/>
  <c r="D314" i="7"/>
  <c r="AF4" i="14" s="1"/>
  <c r="C314" i="7"/>
  <c r="AE4" i="14" s="1"/>
  <c r="D25" i="7"/>
  <c r="D37" i="7"/>
  <c r="D49" i="7"/>
  <c r="D61" i="7"/>
  <c r="C76" i="7"/>
  <c r="D75" i="7"/>
  <c r="C90" i="7"/>
  <c r="C115" i="7"/>
  <c r="D115" i="7"/>
  <c r="C157" i="7"/>
  <c r="C174" i="7"/>
  <c r="D185" i="7"/>
  <c r="C185" i="7"/>
  <c r="C190" i="7"/>
  <c r="C208" i="7"/>
  <c r="C207" i="7"/>
  <c r="D207" i="7"/>
  <c r="C213" i="7"/>
  <c r="C229" i="7"/>
  <c r="C246" i="7"/>
  <c r="D257" i="7"/>
  <c r="C257" i="7"/>
  <c r="C262" i="7"/>
  <c r="D218" i="7"/>
  <c r="C218" i="7"/>
  <c r="C34" i="7"/>
  <c r="D298" i="7"/>
  <c r="D58" i="7"/>
  <c r="C117" i="7"/>
  <c r="D202" i="7"/>
  <c r="D258" i="7"/>
  <c r="C298" i="7"/>
  <c r="D209" i="7"/>
  <c r="C209" i="7"/>
  <c r="D293" i="7"/>
  <c r="C293" i="7"/>
  <c r="D317" i="7"/>
  <c r="AF7" i="14" s="1"/>
  <c r="C317" i="7"/>
  <c r="AE7" i="14" s="1"/>
  <c r="D158" i="7"/>
  <c r="C158" i="7"/>
  <c r="C27" i="7"/>
  <c r="C82" i="7"/>
  <c r="D170" i="7"/>
  <c r="C170" i="7"/>
  <c r="D198" i="7"/>
  <c r="D278" i="7"/>
  <c r="C278" i="7"/>
  <c r="C112" i="7"/>
  <c r="D111" i="7"/>
  <c r="D46" i="7"/>
  <c r="D91" i="7"/>
  <c r="C91" i="7"/>
  <c r="D153" i="7"/>
  <c r="D241" i="7"/>
  <c r="C93" i="7"/>
  <c r="D149" i="7"/>
  <c r="C149" i="7"/>
  <c r="C172" i="7"/>
  <c r="D171" i="7"/>
  <c r="C171" i="7"/>
  <c r="C177" i="7"/>
  <c r="C193" i="7"/>
  <c r="C210" i="7"/>
  <c r="D221" i="7"/>
  <c r="C221" i="7"/>
  <c r="C244" i="7"/>
  <c r="D243" i="7"/>
  <c r="C243" i="7"/>
  <c r="C249" i="7"/>
  <c r="C265" i="7"/>
  <c r="C282" i="7"/>
  <c r="C294" i="7"/>
  <c r="C306" i="7"/>
  <c r="C318" i="7"/>
  <c r="AE8" i="14" s="1"/>
  <c r="C126" i="7"/>
  <c r="C58" i="7"/>
  <c r="C148" i="7"/>
  <c r="C147" i="7"/>
  <c r="D147" i="7"/>
  <c r="D197" i="7"/>
  <c r="C197" i="7"/>
  <c r="C202" i="7"/>
  <c r="C225" i="7"/>
  <c r="C241" i="7"/>
  <c r="C258" i="7"/>
  <c r="D310" i="7"/>
  <c r="D22" i="7"/>
  <c r="D101" i="7"/>
  <c r="C101" i="7"/>
  <c r="C106" i="7"/>
  <c r="C111" i="7"/>
  <c r="D121" i="7"/>
  <c r="C142" i="7"/>
  <c r="D169" i="7"/>
  <c r="D186" i="7"/>
  <c r="C160" i="7"/>
  <c r="D159" i="7"/>
  <c r="C159" i="7"/>
  <c r="C214" i="7"/>
  <c r="D305" i="7"/>
  <c r="C305" i="7"/>
  <c r="D27" i="7"/>
  <c r="C43" i="7"/>
  <c r="D77" i="7"/>
  <c r="C77" i="7"/>
  <c r="C102" i="7"/>
  <c r="D165" i="7"/>
  <c r="D181" i="7"/>
  <c r="D237" i="7"/>
  <c r="C10" i="7"/>
  <c r="D19" i="7"/>
  <c r="C97" i="7"/>
  <c r="C154" i="7"/>
  <c r="C15" i="7"/>
  <c r="C24" i="7"/>
  <c r="C36" i="7"/>
  <c r="C60" i="7"/>
  <c r="D93" i="7"/>
  <c r="D113" i="7"/>
  <c r="C113" i="7"/>
  <c r="C118" i="7"/>
  <c r="C129" i="7"/>
  <c r="D133" i="7"/>
  <c r="D154" i="7"/>
  <c r="D177" i="7"/>
  <c r="D182" i="7"/>
  <c r="C182" i="7"/>
  <c r="D193" i="7"/>
  <c r="D210" i="7"/>
  <c r="D226" i="7"/>
  <c r="D249" i="7"/>
  <c r="D254" i="7"/>
  <c r="C254" i="7"/>
  <c r="D265" i="7"/>
  <c r="D282" i="7"/>
  <c r="D294" i="7"/>
  <c r="D318" i="7"/>
  <c r="AF8" i="14" s="1"/>
  <c r="D74" i="7"/>
  <c r="C74" i="7"/>
  <c r="D302" i="7"/>
  <c r="C302" i="7"/>
  <c r="C62" i="7"/>
  <c r="D146" i="7"/>
  <c r="C146" i="7"/>
  <c r="D190" i="7"/>
  <c r="C22" i="7"/>
  <c r="D42" i="7"/>
  <c r="C46" i="7"/>
  <c r="D66" i="7"/>
  <c r="D81" i="7"/>
  <c r="D286" i="7"/>
  <c r="C14" i="7"/>
  <c r="C39" i="7"/>
  <c r="D71" i="7"/>
  <c r="C71" i="7"/>
  <c r="C127" i="7"/>
  <c r="D127" i="7"/>
  <c r="C165" i="7"/>
  <c r="D281" i="7"/>
  <c r="C281" i="7"/>
  <c r="C19" i="7"/>
  <c r="C31" i="7"/>
  <c r="D39" i="7"/>
  <c r="D51" i="7"/>
  <c r="C55" i="7"/>
  <c r="D63" i="7"/>
  <c r="C67" i="7"/>
  <c r="C88" i="7"/>
  <c r="D87" i="7"/>
  <c r="D122" i="7"/>
  <c r="C122" i="7"/>
  <c r="C138" i="7"/>
  <c r="D31" i="7"/>
  <c r="D55" i="7"/>
  <c r="C87" i="7"/>
  <c r="C48" i="7"/>
  <c r="C78" i="7"/>
  <c r="D97" i="7"/>
  <c r="D24" i="7"/>
  <c r="C28" i="7"/>
  <c r="D36" i="7"/>
  <c r="C40" i="7"/>
  <c r="D48" i="7"/>
  <c r="C52" i="7"/>
  <c r="D60" i="7"/>
  <c r="C64" i="7"/>
  <c r="C73" i="7"/>
  <c r="D78" i="7"/>
  <c r="D103" i="7"/>
  <c r="C103" i="7"/>
  <c r="D118" i="7"/>
  <c r="D129" i="7"/>
  <c r="D139" i="7"/>
  <c r="C139" i="7"/>
  <c r="C150" i="7"/>
  <c r="D161" i="7"/>
  <c r="C161" i="7"/>
  <c r="C166" i="7"/>
  <c r="C184" i="7"/>
  <c r="D183" i="7"/>
  <c r="C183" i="7"/>
  <c r="C189" i="7"/>
  <c r="C205" i="7"/>
  <c r="C222" i="7"/>
  <c r="D233" i="7"/>
  <c r="C233" i="7"/>
  <c r="C238" i="7"/>
  <c r="C256" i="7"/>
  <c r="D255" i="7"/>
  <c r="C255" i="7"/>
  <c r="C261" i="7"/>
  <c r="C277" i="7"/>
  <c r="C289" i="7"/>
  <c r="C301" i="7"/>
  <c r="C313" i="7"/>
  <c r="C75" i="7"/>
  <c r="D110" i="7"/>
  <c r="C110" i="7"/>
  <c r="D174" i="7"/>
  <c r="D262" i="7"/>
  <c r="C153" i="7"/>
  <c r="C169" i="7"/>
  <c r="C220" i="7"/>
  <c r="D219" i="7"/>
  <c r="C219" i="7"/>
  <c r="D269" i="7"/>
  <c r="C269" i="7"/>
  <c r="C274" i="7"/>
  <c r="D34" i="7"/>
  <c r="D137" i="7"/>
  <c r="C137" i="7"/>
  <c r="D230" i="7"/>
  <c r="C230" i="7"/>
  <c r="D274" i="7"/>
  <c r="D86" i="7"/>
  <c r="C86" i="7"/>
  <c r="D142" i="7"/>
  <c r="C232" i="7"/>
  <c r="C231" i="7"/>
  <c r="D231" i="7"/>
  <c r="C253" i="7"/>
  <c r="C270" i="7"/>
  <c r="C72" i="7"/>
  <c r="D242" i="7"/>
  <c r="C242" i="7"/>
  <c r="D67" i="7"/>
  <c r="C124" i="7"/>
  <c r="D123" i="7"/>
  <c r="D28" i="7"/>
  <c r="D40" i="7"/>
  <c r="D52" i="7"/>
  <c r="D64" i="7"/>
  <c r="D98" i="7"/>
  <c r="C98" i="7"/>
  <c r="C114" i="7"/>
  <c r="D134" i="7"/>
  <c r="C134" i="7"/>
  <c r="D166" i="7"/>
  <c r="D194" i="7"/>
  <c r="C194" i="7"/>
  <c r="D238" i="7"/>
  <c r="D266" i="7"/>
  <c r="C266" i="7"/>
  <c r="C279" i="7"/>
  <c r="C291" i="7"/>
  <c r="C303" i="7"/>
  <c r="C315" i="7"/>
  <c r="AE5" i="14" s="1"/>
  <c r="D167" i="7"/>
  <c r="C167" i="7"/>
  <c r="C175" i="7"/>
  <c r="C187" i="7"/>
  <c r="C199" i="7"/>
  <c r="D203" i="7"/>
  <c r="C203" i="7"/>
  <c r="C211" i="7"/>
  <c r="D227" i="7"/>
  <c r="C227" i="7"/>
  <c r="C235" i="7"/>
  <c r="D239" i="7"/>
  <c r="C239" i="7"/>
  <c r="C247" i="7"/>
  <c r="D251" i="7"/>
  <c r="C251" i="7"/>
  <c r="C259" i="7"/>
  <c r="D263" i="7"/>
  <c r="C263" i="7"/>
  <c r="C271" i="7"/>
  <c r="D275" i="7"/>
  <c r="C275" i="7"/>
  <c r="D279" i="7"/>
  <c r="C283" i="7"/>
  <c r="D287" i="7"/>
  <c r="C287" i="7"/>
  <c r="D291" i="7"/>
  <c r="C295" i="7"/>
  <c r="D299" i="7"/>
  <c r="C299" i="7"/>
  <c r="D303" i="7"/>
  <c r="C307" i="7"/>
  <c r="D311" i="7"/>
  <c r="C311" i="7"/>
  <c r="D315" i="7"/>
  <c r="AF5" i="14" s="1"/>
  <c r="C319" i="7"/>
  <c r="AE9" i="14" s="1"/>
  <c r="D95" i="7"/>
  <c r="C95" i="7"/>
  <c r="D131" i="7"/>
  <c r="C131" i="7"/>
  <c r="C163" i="7"/>
  <c r="D215" i="7"/>
  <c r="C215" i="7"/>
  <c r="C8" i="7"/>
  <c r="C12" i="7"/>
  <c r="C16" i="7"/>
  <c r="D68" i="7"/>
  <c r="D151" i="7"/>
  <c r="D163" i="7"/>
  <c r="D175" i="7"/>
  <c r="D187" i="7"/>
  <c r="D199" i="7"/>
  <c r="D211" i="7"/>
  <c r="D223" i="7"/>
  <c r="D235" i="7"/>
  <c r="D247" i="7"/>
  <c r="D259" i="7"/>
  <c r="D271" i="7"/>
  <c r="D283" i="7"/>
  <c r="D295" i="7"/>
  <c r="D307" i="7"/>
  <c r="D319" i="7"/>
  <c r="AF9" i="14" s="1"/>
  <c r="D83" i="7"/>
  <c r="C83" i="7"/>
  <c r="D119" i="7"/>
  <c r="C119" i="7"/>
  <c r="D143" i="7"/>
  <c r="C143" i="7"/>
  <c r="C151" i="7"/>
  <c r="D191" i="7"/>
  <c r="C191" i="7"/>
  <c r="C223" i="7"/>
  <c r="C20" i="7"/>
  <c r="C23" i="7"/>
  <c r="C26" i="7"/>
  <c r="C29" i="7"/>
  <c r="C32" i="7"/>
  <c r="C35" i="7"/>
  <c r="C38" i="7"/>
  <c r="C41" i="7"/>
  <c r="C44" i="7"/>
  <c r="C47" i="7"/>
  <c r="C50" i="7"/>
  <c r="C53" i="7"/>
  <c r="C56" i="7"/>
  <c r="C59" i="7"/>
  <c r="C68" i="7"/>
  <c r="C96" i="7"/>
  <c r="C108" i="7"/>
  <c r="C120" i="7"/>
  <c r="C132" i="7"/>
  <c r="C144" i="7"/>
  <c r="C168" i="7"/>
  <c r="C192" i="7"/>
  <c r="C204" i="7"/>
  <c r="C216" i="7"/>
  <c r="C228" i="7"/>
  <c r="C240" i="7"/>
  <c r="C252" i="7"/>
  <c r="C264" i="7"/>
  <c r="C276" i="7"/>
  <c r="C288" i="7"/>
  <c r="C300" i="7"/>
  <c r="C312" i="7"/>
  <c r="D107" i="7"/>
  <c r="C107" i="7"/>
  <c r="D155" i="7"/>
  <c r="C155" i="7"/>
  <c r="D179" i="7"/>
  <c r="C179" i="7"/>
  <c r="D50" i="7"/>
  <c r="D53" i="7"/>
  <c r="D80" i="7"/>
  <c r="C80" i="7"/>
  <c r="D92" i="7"/>
  <c r="C92" i="7"/>
  <c r="D104" i="7"/>
  <c r="C104" i="7"/>
  <c r="D116" i="7"/>
  <c r="C116" i="7"/>
  <c r="D128" i="7"/>
  <c r="C128" i="7"/>
  <c r="D140" i="7"/>
  <c r="C140" i="7"/>
  <c r="D152" i="7"/>
  <c r="C152" i="7"/>
  <c r="D164" i="7"/>
  <c r="C164" i="7"/>
  <c r="D176" i="7"/>
  <c r="C176" i="7"/>
  <c r="D188" i="7"/>
  <c r="C188" i="7"/>
  <c r="D200" i="7"/>
  <c r="C200" i="7"/>
  <c r="D212" i="7"/>
  <c r="C212" i="7"/>
  <c r="D224" i="7"/>
  <c r="C224" i="7"/>
  <c r="D236" i="7"/>
  <c r="C236" i="7"/>
  <c r="D248" i="7"/>
  <c r="C248" i="7"/>
  <c r="D260" i="7"/>
  <c r="C260" i="7"/>
  <c r="D272" i="7"/>
  <c r="C272" i="7"/>
  <c r="D284" i="7"/>
  <c r="C284" i="7"/>
  <c r="D296" i="7"/>
  <c r="C296" i="7"/>
  <c r="D308" i="7"/>
  <c r="C308" i="7"/>
  <c r="D320" i="7"/>
  <c r="AF10" i="14" s="1"/>
  <c r="C320" i="7"/>
  <c r="AE10" i="14" s="1"/>
  <c r="C227" i="6"/>
  <c r="D226" i="6"/>
  <c r="D74" i="6"/>
  <c r="C87" i="6"/>
  <c r="C96" i="6"/>
  <c r="D117" i="6"/>
  <c r="C117" i="6"/>
  <c r="D130" i="6"/>
  <c r="C130" i="6"/>
  <c r="D203" i="6"/>
  <c r="D210" i="6"/>
  <c r="C210" i="6"/>
  <c r="C226" i="6"/>
  <c r="C8" i="6"/>
  <c r="C70" i="6"/>
  <c r="C74" i="6"/>
  <c r="D87" i="6"/>
  <c r="D96" i="6"/>
  <c r="C100" i="6"/>
  <c r="D105" i="6"/>
  <c r="C109" i="6"/>
  <c r="C114" i="6"/>
  <c r="D118" i="6"/>
  <c r="C122" i="6"/>
  <c r="C126" i="6"/>
  <c r="D131" i="6"/>
  <c r="C139" i="6"/>
  <c r="D187" i="6"/>
  <c r="C187" i="6"/>
  <c r="C203" i="6"/>
  <c r="D258" i="6"/>
  <c r="C299" i="6"/>
  <c r="D298" i="6"/>
  <c r="D70" i="6"/>
  <c r="C75" i="6"/>
  <c r="D83" i="6"/>
  <c r="C88" i="6"/>
  <c r="C92" i="6"/>
  <c r="D109" i="6"/>
  <c r="C118" i="6"/>
  <c r="D122" i="6"/>
  <c r="D126" i="6"/>
  <c r="C131" i="6"/>
  <c r="D139" i="6"/>
  <c r="D144" i="6"/>
  <c r="D154" i="6"/>
  <c r="C204" i="6"/>
  <c r="D275" i="6"/>
  <c r="D282" i="6"/>
  <c r="C282" i="6"/>
  <c r="C298" i="6"/>
  <c r="D75" i="6"/>
  <c r="D79" i="6"/>
  <c r="D84" i="6"/>
  <c r="D97" i="6"/>
  <c r="D149" i="6"/>
  <c r="D161" i="6"/>
  <c r="C154" i="6"/>
  <c r="C214" i="6"/>
  <c r="D213" i="6"/>
  <c r="D259" i="6"/>
  <c r="C259" i="6"/>
  <c r="C275" i="6"/>
  <c r="D71" i="6"/>
  <c r="C71" i="6"/>
  <c r="C84" i="6"/>
  <c r="C97" i="6"/>
  <c r="D110" i="6"/>
  <c r="C123" i="6"/>
  <c r="C145" i="6"/>
  <c r="C149" i="6"/>
  <c r="D167" i="6"/>
  <c r="C191" i="6"/>
  <c r="D190" i="6"/>
  <c r="C213" i="6"/>
  <c r="C237" i="6"/>
  <c r="D236" i="6"/>
  <c r="C236" i="6"/>
  <c r="C276" i="6"/>
  <c r="C19" i="6"/>
  <c r="D27" i="6"/>
  <c r="C31" i="6"/>
  <c r="D39" i="6"/>
  <c r="C43" i="6"/>
  <c r="D51" i="6"/>
  <c r="C55" i="6"/>
  <c r="D63" i="6"/>
  <c r="C67" i="6"/>
  <c r="C93" i="6"/>
  <c r="C106" i="6"/>
  <c r="C110" i="6"/>
  <c r="C119" i="6"/>
  <c r="D123" i="6"/>
  <c r="D132" i="6"/>
  <c r="C136" i="6"/>
  <c r="C141" i="6"/>
  <c r="D145" i="6"/>
  <c r="C167" i="6"/>
  <c r="D174" i="6"/>
  <c r="C174" i="6"/>
  <c r="C190" i="6"/>
  <c r="C286" i="6"/>
  <c r="D285" i="6"/>
  <c r="C273" i="6"/>
  <c r="D272" i="6"/>
  <c r="C272" i="6"/>
  <c r="D19" i="6"/>
  <c r="D31" i="6"/>
  <c r="D43" i="6"/>
  <c r="D55" i="6"/>
  <c r="D67" i="6"/>
  <c r="C72" i="6"/>
  <c r="C80" i="6"/>
  <c r="C85" i="6"/>
  <c r="D93" i="6"/>
  <c r="C98" i="6"/>
  <c r="D106" i="6"/>
  <c r="C111" i="6"/>
  <c r="D119" i="6"/>
  <c r="C124" i="6"/>
  <c r="C128" i="6"/>
  <c r="D136" i="6"/>
  <c r="C155" i="6"/>
  <c r="C168" i="6"/>
  <c r="D222" i="6"/>
  <c r="C263" i="6"/>
  <c r="D262" i="6"/>
  <c r="C285" i="6"/>
  <c r="C309" i="6"/>
  <c r="D308" i="6"/>
  <c r="C308" i="6"/>
  <c r="D120" i="6"/>
  <c r="D133" i="6"/>
  <c r="D146" i="6"/>
  <c r="C146" i="6"/>
  <c r="D239" i="6"/>
  <c r="D246" i="6"/>
  <c r="C246" i="6"/>
  <c r="C262" i="6"/>
  <c r="D72" i="6"/>
  <c r="D20" i="6"/>
  <c r="D24" i="6"/>
  <c r="C28" i="6"/>
  <c r="D36" i="6"/>
  <c r="C40" i="6"/>
  <c r="D48" i="6"/>
  <c r="C52" i="6"/>
  <c r="D60" i="6"/>
  <c r="C64" i="6"/>
  <c r="D81" i="6"/>
  <c r="C81" i="6"/>
  <c r="D94" i="6"/>
  <c r="C94" i="6"/>
  <c r="D107" i="6"/>
  <c r="C107" i="6"/>
  <c r="C120" i="6"/>
  <c r="C133" i="6"/>
  <c r="C142" i="6"/>
  <c r="C147" i="6"/>
  <c r="D151" i="6"/>
  <c r="D162" i="6"/>
  <c r="C162" i="6"/>
  <c r="C178" i="6"/>
  <c r="D177" i="6"/>
  <c r="D223" i="6"/>
  <c r="C223" i="6"/>
  <c r="C239" i="6"/>
  <c r="D294" i="6"/>
  <c r="C11" i="6"/>
  <c r="D28" i="6"/>
  <c r="D40" i="6"/>
  <c r="D64" i="6"/>
  <c r="C78" i="6"/>
  <c r="D95" i="6"/>
  <c r="C103" i="6"/>
  <c r="D142" i="6"/>
  <c r="D163" i="6"/>
  <c r="C201" i="6"/>
  <c r="D200" i="6"/>
  <c r="C200" i="6"/>
  <c r="C240" i="6"/>
  <c r="D271" i="6"/>
  <c r="D311" i="6"/>
  <c r="C12" i="6"/>
  <c r="D164" i="6"/>
  <c r="C164" i="6"/>
  <c r="D76" i="6"/>
  <c r="C16" i="6"/>
  <c r="D52" i="6"/>
  <c r="C73" i="6"/>
  <c r="D82" i="6"/>
  <c r="C86" i="6"/>
  <c r="C90" i="6"/>
  <c r="C129" i="6"/>
  <c r="C69" i="6"/>
  <c r="C77" i="6"/>
  <c r="C82" i="6"/>
  <c r="D86" i="6"/>
  <c r="D90" i="6"/>
  <c r="C95" i="6"/>
  <c r="D99" i="6"/>
  <c r="D103" i="6"/>
  <c r="C108" i="6"/>
  <c r="C116" i="6"/>
  <c r="C121" i="6"/>
  <c r="C134" i="6"/>
  <c r="D138" i="6"/>
  <c r="C250" i="6"/>
  <c r="D249" i="6"/>
  <c r="D295" i="6"/>
  <c r="C295" i="6"/>
  <c r="C311" i="6"/>
  <c r="C318" i="6"/>
  <c r="W8" i="14" s="1"/>
  <c r="C315" i="6"/>
  <c r="W5" i="14" s="1"/>
  <c r="D318" i="6"/>
  <c r="X8" i="14" s="1"/>
  <c r="C158" i="6"/>
  <c r="D171" i="6"/>
  <c r="D184" i="6"/>
  <c r="C194" i="6"/>
  <c r="D207" i="6"/>
  <c r="D220" i="6"/>
  <c r="C230" i="6"/>
  <c r="D243" i="6"/>
  <c r="D256" i="6"/>
  <c r="C266" i="6"/>
  <c r="D279" i="6"/>
  <c r="C289" i="6"/>
  <c r="D292" i="6"/>
  <c r="C302" i="6"/>
  <c r="D168" i="6"/>
  <c r="D181" i="6"/>
  <c r="D204" i="6"/>
  <c r="D217" i="6"/>
  <c r="D240" i="6"/>
  <c r="D253" i="6"/>
  <c r="D276" i="6"/>
  <c r="D289" i="6"/>
  <c r="D312" i="6"/>
  <c r="C175" i="6"/>
  <c r="D178" i="6"/>
  <c r="C188" i="6"/>
  <c r="C198" i="6"/>
  <c r="D201" i="6"/>
  <c r="C211" i="6"/>
  <c r="D214" i="6"/>
  <c r="C224" i="6"/>
  <c r="C234" i="6"/>
  <c r="D237" i="6"/>
  <c r="C247" i="6"/>
  <c r="D250" i="6"/>
  <c r="C260" i="6"/>
  <c r="C270" i="6"/>
  <c r="D273" i="6"/>
  <c r="C283" i="6"/>
  <c r="D286" i="6"/>
  <c r="C296" i="6"/>
  <c r="C306" i="6"/>
  <c r="D309" i="6"/>
  <c r="C319" i="6"/>
  <c r="W9" i="14" s="1"/>
  <c r="C159" i="6"/>
  <c r="C172" i="6"/>
  <c r="D175" i="6"/>
  <c r="C185" i="6"/>
  <c r="D188" i="6"/>
  <c r="C195" i="6"/>
  <c r="D198" i="6"/>
  <c r="C208" i="6"/>
  <c r="D211" i="6"/>
  <c r="C221" i="6"/>
  <c r="D224" i="6"/>
  <c r="C231" i="6"/>
  <c r="D234" i="6"/>
  <c r="C244" i="6"/>
  <c r="D247" i="6"/>
  <c r="C257" i="6"/>
  <c r="D260" i="6"/>
  <c r="C267" i="6"/>
  <c r="D270" i="6"/>
  <c r="C280" i="6"/>
  <c r="D283" i="6"/>
  <c r="C293" i="6"/>
  <c r="D296" i="6"/>
  <c r="C303" i="6"/>
  <c r="D306" i="6"/>
  <c r="C316" i="6"/>
  <c r="W6" i="14" s="1"/>
  <c r="D319" i="6"/>
  <c r="X9" i="14" s="1"/>
  <c r="C156" i="6"/>
  <c r="D159" i="6"/>
  <c r="C169" i="6"/>
  <c r="C182" i="6"/>
  <c r="D185" i="6"/>
  <c r="C192" i="6"/>
  <c r="D195" i="6"/>
  <c r="C205" i="6"/>
  <c r="D208" i="6"/>
  <c r="C218" i="6"/>
  <c r="D221" i="6"/>
  <c r="C228" i="6"/>
  <c r="D231" i="6"/>
  <c r="C241" i="6"/>
  <c r="D244" i="6"/>
  <c r="C254" i="6"/>
  <c r="D257" i="6"/>
  <c r="C264" i="6"/>
  <c r="D267" i="6"/>
  <c r="C277" i="6"/>
  <c r="D280" i="6"/>
  <c r="C290" i="6"/>
  <c r="D293" i="6"/>
  <c r="C300" i="6"/>
  <c r="D303" i="6"/>
  <c r="C313" i="6"/>
  <c r="D316" i="6"/>
  <c r="X6" i="14" s="1"/>
  <c r="C143" i="6"/>
  <c r="C153" i="6"/>
  <c r="D156" i="6"/>
  <c r="C166" i="6"/>
  <c r="D169" i="6"/>
  <c r="C179" i="6"/>
  <c r="D182" i="6"/>
  <c r="C189" i="6"/>
  <c r="D192" i="6"/>
  <c r="C202" i="6"/>
  <c r="D205" i="6"/>
  <c r="C215" i="6"/>
  <c r="D218" i="6"/>
  <c r="C225" i="6"/>
  <c r="D228" i="6"/>
  <c r="C238" i="6"/>
  <c r="D241" i="6"/>
  <c r="C251" i="6"/>
  <c r="D254" i="6"/>
  <c r="C261" i="6"/>
  <c r="D264" i="6"/>
  <c r="C274" i="6"/>
  <c r="D277" i="6"/>
  <c r="C287" i="6"/>
  <c r="D290" i="6"/>
  <c r="C297" i="6"/>
  <c r="D300" i="6"/>
  <c r="C310" i="6"/>
  <c r="D313" i="6"/>
  <c r="C20" i="6"/>
  <c r="C23" i="6"/>
  <c r="C26" i="6"/>
  <c r="C29" i="6"/>
  <c r="C32" i="6"/>
  <c r="C35" i="6"/>
  <c r="C38" i="6"/>
  <c r="C41" i="6"/>
  <c r="C44" i="6"/>
  <c r="C47" i="6"/>
  <c r="C50" i="6"/>
  <c r="C53" i="6"/>
  <c r="C56" i="6"/>
  <c r="C59" i="6"/>
  <c r="C62" i="6"/>
  <c r="C65" i="6"/>
  <c r="C127" i="6"/>
  <c r="C140" i="6"/>
  <c r="D143" i="6"/>
  <c r="C150" i="6"/>
  <c r="D153" i="6"/>
  <c r="C163" i="6"/>
  <c r="D166" i="6"/>
  <c r="C176" i="6"/>
  <c r="D179" i="6"/>
  <c r="C186" i="6"/>
  <c r="D189" i="6"/>
  <c r="C199" i="6"/>
  <c r="D202" i="6"/>
  <c r="C212" i="6"/>
  <c r="D215" i="6"/>
  <c r="C222" i="6"/>
  <c r="D225" i="6"/>
  <c r="C235" i="6"/>
  <c r="D238" i="6"/>
  <c r="C248" i="6"/>
  <c r="D251" i="6"/>
  <c r="C258" i="6"/>
  <c r="D261" i="6"/>
  <c r="C271" i="6"/>
  <c r="D274" i="6"/>
  <c r="C284" i="6"/>
  <c r="D287" i="6"/>
  <c r="C294" i="6"/>
  <c r="D297" i="6"/>
  <c r="C307" i="6"/>
  <c r="D310" i="6"/>
  <c r="C320" i="6"/>
  <c r="W10" i="14" s="1"/>
  <c r="D68" i="6"/>
  <c r="C101" i="6"/>
  <c r="D104" i="6"/>
  <c r="C137" i="6"/>
  <c r="D140" i="6"/>
  <c r="C173" i="6"/>
  <c r="D176" i="6"/>
  <c r="C209" i="6"/>
  <c r="D212" i="6"/>
  <c r="C245" i="6"/>
  <c r="D248" i="6"/>
  <c r="C281" i="6"/>
  <c r="D284" i="6"/>
  <c r="C317" i="6"/>
  <c r="W7" i="14" s="1"/>
  <c r="D320" i="6"/>
  <c r="X10" i="14" s="1"/>
  <c r="C40" i="5"/>
  <c r="D275" i="5"/>
  <c r="C33" i="5"/>
  <c r="D40" i="5"/>
  <c r="D58" i="5"/>
  <c r="C62" i="5"/>
  <c r="C73" i="5"/>
  <c r="D85" i="5"/>
  <c r="C89" i="5"/>
  <c r="C107" i="5"/>
  <c r="D162" i="5"/>
  <c r="C162" i="5"/>
  <c r="C167" i="5"/>
  <c r="C172" i="5"/>
  <c r="D198" i="5"/>
  <c r="C198" i="5"/>
  <c r="C203" i="5"/>
  <c r="C208" i="5"/>
  <c r="D231" i="5"/>
  <c r="C219" i="5"/>
  <c r="C227" i="5"/>
  <c r="C226" i="5"/>
  <c r="C232" i="5"/>
  <c r="D280" i="5"/>
  <c r="D268" i="5"/>
  <c r="C268" i="5"/>
  <c r="C275" i="5"/>
  <c r="C10" i="5"/>
  <c r="C19" i="5"/>
  <c r="D26" i="5"/>
  <c r="D33" i="5"/>
  <c r="C37" i="5"/>
  <c r="D44" i="5"/>
  <c r="D51" i="5"/>
  <c r="C55" i="5"/>
  <c r="D62" i="5"/>
  <c r="D73" i="5"/>
  <c r="D89" i="5"/>
  <c r="C94" i="5"/>
  <c r="D107" i="5"/>
  <c r="C112" i="5"/>
  <c r="D125" i="5"/>
  <c r="C130" i="5"/>
  <c r="D143" i="5"/>
  <c r="D157" i="5"/>
  <c r="C178" i="5"/>
  <c r="D195" i="5"/>
  <c r="C193" i="5"/>
  <c r="C214" i="5"/>
  <c r="D219" i="5"/>
  <c r="D226" i="5"/>
  <c r="D232" i="5"/>
  <c r="C15" i="5"/>
  <c r="C23" i="5"/>
  <c r="C41" i="5"/>
  <c r="D70" i="5"/>
  <c r="C74" i="5"/>
  <c r="C90" i="5"/>
  <c r="C108" i="5"/>
  <c r="C126" i="5"/>
  <c r="C144" i="5"/>
  <c r="D158" i="5"/>
  <c r="C163" i="5"/>
  <c r="C168" i="5"/>
  <c r="D193" i="5"/>
  <c r="C199" i="5"/>
  <c r="D239" i="5"/>
  <c r="D273" i="5"/>
  <c r="D261" i="5"/>
  <c r="C261" i="5"/>
  <c r="D295" i="5"/>
  <c r="C295" i="5"/>
  <c r="C296" i="5"/>
  <c r="C11" i="5"/>
  <c r="D23" i="5"/>
  <c r="C34" i="5"/>
  <c r="C52" i="5"/>
  <c r="C70" i="5"/>
  <c r="D74" i="5"/>
  <c r="C86" i="5"/>
  <c r="D90" i="5"/>
  <c r="D95" i="5"/>
  <c r="D99" i="5"/>
  <c r="D108" i="5"/>
  <c r="D113" i="5"/>
  <c r="D117" i="5"/>
  <c r="D126" i="5"/>
  <c r="D131" i="5"/>
  <c r="D135" i="5"/>
  <c r="D144" i="5"/>
  <c r="D149" i="5"/>
  <c r="C158" i="5"/>
  <c r="D189" i="5"/>
  <c r="D194" i="5"/>
  <c r="D221" i="5"/>
  <c r="C233" i="5"/>
  <c r="C239" i="5"/>
  <c r="D286" i="5"/>
  <c r="C286" i="5"/>
  <c r="C20" i="5"/>
  <c r="C27" i="5"/>
  <c r="C45" i="5"/>
  <c r="D52" i="5"/>
  <c r="D82" i="5"/>
  <c r="D86" i="5"/>
  <c r="D104" i="5"/>
  <c r="D122" i="5"/>
  <c r="C131" i="5"/>
  <c r="D140" i="5"/>
  <c r="C149" i="5"/>
  <c r="D166" i="5"/>
  <c r="C155" i="5"/>
  <c r="C159" i="5"/>
  <c r="C179" i="5"/>
  <c r="C194" i="5"/>
  <c r="D234" i="5"/>
  <c r="C234" i="5"/>
  <c r="D240" i="5"/>
  <c r="C240" i="5"/>
  <c r="D247" i="5"/>
  <c r="C247" i="5"/>
  <c r="D38" i="5"/>
  <c r="C170" i="5"/>
  <c r="D169" i="5"/>
  <c r="C169" i="5"/>
  <c r="D174" i="5"/>
  <c r="D185" i="5"/>
  <c r="D202" i="5"/>
  <c r="C191" i="5"/>
  <c r="C206" i="5"/>
  <c r="D205" i="5"/>
  <c r="C205" i="5"/>
  <c r="D210" i="5"/>
  <c r="D216" i="5"/>
  <c r="C216" i="5"/>
  <c r="C222" i="5"/>
  <c r="D228" i="5"/>
  <c r="C242" i="5"/>
  <c r="D241" i="5"/>
  <c r="C241" i="5"/>
  <c r="D279" i="5"/>
  <c r="C279" i="5"/>
  <c r="C125" i="5"/>
  <c r="C42" i="5"/>
  <c r="D83" i="5"/>
  <c r="D91" i="5"/>
  <c r="C105" i="5"/>
  <c r="D109" i="5"/>
  <c r="C114" i="5"/>
  <c r="C118" i="5"/>
  <c r="C123" i="5"/>
  <c r="D127" i="5"/>
  <c r="C132" i="5"/>
  <c r="C136" i="5"/>
  <c r="C141" i="5"/>
  <c r="D145" i="5"/>
  <c r="C150" i="5"/>
  <c r="D180" i="5"/>
  <c r="C180" i="5"/>
  <c r="C185" i="5"/>
  <c r="C190" i="5"/>
  <c r="D222" i="5"/>
  <c r="C229" i="5"/>
  <c r="C235" i="5"/>
  <c r="C248" i="5"/>
  <c r="C22" i="5"/>
  <c r="D167" i="5"/>
  <c r="D220" i="5"/>
  <c r="C209" i="5"/>
  <c r="C16" i="5"/>
  <c r="C49" i="5"/>
  <c r="D79" i="5"/>
  <c r="D24" i="5"/>
  <c r="C28" i="5"/>
  <c r="D42" i="5"/>
  <c r="C46" i="5"/>
  <c r="D53" i="5"/>
  <c r="D60" i="5"/>
  <c r="C64" i="5"/>
  <c r="C83" i="5"/>
  <c r="D96" i="5"/>
  <c r="D100" i="5"/>
  <c r="D105" i="5"/>
  <c r="D114" i="5"/>
  <c r="D118" i="5"/>
  <c r="D123" i="5"/>
  <c r="D132" i="5"/>
  <c r="D136" i="5"/>
  <c r="D141" i="5"/>
  <c r="D150" i="5"/>
  <c r="C160" i="5"/>
  <c r="D177" i="5"/>
  <c r="D170" i="5"/>
  <c r="C175" i="5"/>
  <c r="D190" i="5"/>
  <c r="C196" i="5"/>
  <c r="D213" i="5"/>
  <c r="D206" i="5"/>
  <c r="C211" i="5"/>
  <c r="C217" i="5"/>
  <c r="C224" i="5"/>
  <c r="D223" i="5"/>
  <c r="C223" i="5"/>
  <c r="D229" i="5"/>
  <c r="D235" i="5"/>
  <c r="D290" i="5"/>
  <c r="D300" i="5"/>
  <c r="C58" i="5"/>
  <c r="D311" i="5"/>
  <c r="C311" i="5"/>
  <c r="C51" i="5"/>
  <c r="C157" i="5"/>
  <c r="D20" i="5"/>
  <c r="D56" i="5"/>
  <c r="C75" i="5"/>
  <c r="C91" i="5"/>
  <c r="C71" i="5"/>
  <c r="C100" i="5"/>
  <c r="C8" i="5"/>
  <c r="D35" i="5"/>
  <c r="C17" i="5"/>
  <c r="C21" i="5"/>
  <c r="D28" i="5"/>
  <c r="C32" i="5"/>
  <c r="C39" i="5"/>
  <c r="D46" i="5"/>
  <c r="C50" i="5"/>
  <c r="C57" i="5"/>
  <c r="D64" i="5"/>
  <c r="C68" i="5"/>
  <c r="C76" i="5"/>
  <c r="C80" i="5"/>
  <c r="C84" i="5"/>
  <c r="D88" i="5"/>
  <c r="C92" i="5"/>
  <c r="C110" i="5"/>
  <c r="C128" i="5"/>
  <c r="C146" i="5"/>
  <c r="D160" i="5"/>
  <c r="C165" i="5"/>
  <c r="D175" i="5"/>
  <c r="C181" i="5"/>
  <c r="C186" i="5"/>
  <c r="D196" i="5"/>
  <c r="C201" i="5"/>
  <c r="D211" i="5"/>
  <c r="D217" i="5"/>
  <c r="D255" i="5"/>
  <c r="C243" i="5"/>
  <c r="D257" i="5"/>
  <c r="C290" i="5"/>
  <c r="C300" i="5"/>
  <c r="D184" i="5"/>
  <c r="C173" i="5"/>
  <c r="D203" i="5"/>
  <c r="D22" i="5"/>
  <c r="D27" i="5"/>
  <c r="D87" i="5"/>
  <c r="D49" i="5"/>
  <c r="C60" i="5"/>
  <c r="D21" i="5"/>
  <c r="C25" i="5"/>
  <c r="D32" i="5"/>
  <c r="D39" i="5"/>
  <c r="C43" i="5"/>
  <c r="D50" i="5"/>
  <c r="D57" i="5"/>
  <c r="C61" i="5"/>
  <c r="D68" i="5"/>
  <c r="D76" i="5"/>
  <c r="D80" i="5"/>
  <c r="C97" i="5"/>
  <c r="C101" i="5"/>
  <c r="C106" i="5"/>
  <c r="C115" i="5"/>
  <c r="C119" i="5"/>
  <c r="C124" i="5"/>
  <c r="C133" i="5"/>
  <c r="C137" i="5"/>
  <c r="C142" i="5"/>
  <c r="D151" i="5"/>
  <c r="C151" i="5"/>
  <c r="C156" i="5"/>
  <c r="D165" i="5"/>
  <c r="D171" i="5"/>
  <c r="D176" i="5"/>
  <c r="D181" i="5"/>
  <c r="D186" i="5"/>
  <c r="D201" i="5"/>
  <c r="D207" i="5"/>
  <c r="C230" i="5"/>
  <c r="D243" i="5"/>
  <c r="D262" i="5"/>
  <c r="C251" i="5"/>
  <c r="D250" i="5"/>
  <c r="C250" i="5"/>
  <c r="C257" i="5"/>
  <c r="C188" i="5"/>
  <c r="D187" i="5"/>
  <c r="C187" i="5"/>
  <c r="C143" i="5"/>
  <c r="C31" i="5"/>
  <c r="C67" i="5"/>
  <c r="C12" i="5"/>
  <c r="D67" i="5"/>
  <c r="C87" i="5"/>
  <c r="D25" i="5"/>
  <c r="D43" i="5"/>
  <c r="D61" i="5"/>
  <c r="D97" i="5"/>
  <c r="D106" i="5"/>
  <c r="D115" i="5"/>
  <c r="D124" i="5"/>
  <c r="D133" i="5"/>
  <c r="D142" i="5"/>
  <c r="D156" i="5"/>
  <c r="C161" i="5"/>
  <c r="C176" i="5"/>
  <c r="C197" i="5"/>
  <c r="C212" i="5"/>
  <c r="C225" i="5"/>
  <c r="D310" i="5"/>
  <c r="C310" i="5"/>
  <c r="D316" i="5"/>
  <c r="L6" i="14" s="1"/>
  <c r="C316" i="5"/>
  <c r="K6" i="14" s="1"/>
  <c r="D291" i="5"/>
  <c r="D301" i="5"/>
  <c r="C301" i="5"/>
  <c r="C258" i="5"/>
  <c r="C265" i="5"/>
  <c r="C276" i="5"/>
  <c r="C283" i="5"/>
  <c r="C291" i="5"/>
  <c r="D312" i="5"/>
  <c r="C317" i="5"/>
  <c r="K7" i="14" s="1"/>
  <c r="D258" i="5"/>
  <c r="D265" i="5"/>
  <c r="C269" i="5"/>
  <c r="D276" i="5"/>
  <c r="D283" i="5"/>
  <c r="C287" i="5"/>
  <c r="C302" i="5"/>
  <c r="D307" i="5"/>
  <c r="C307" i="5"/>
  <c r="C312" i="5"/>
  <c r="D317" i="5"/>
  <c r="L7" i="14" s="1"/>
  <c r="D215" i="5"/>
  <c r="D233" i="5"/>
  <c r="C237" i="5"/>
  <c r="C244" i="5"/>
  <c r="D251" i="5"/>
  <c r="C255" i="5"/>
  <c r="C262" i="5"/>
  <c r="D269" i="5"/>
  <c r="C273" i="5"/>
  <c r="C280" i="5"/>
  <c r="D287" i="5"/>
  <c r="D292" i="5"/>
  <c r="C292" i="5"/>
  <c r="C297" i="5"/>
  <c r="D302" i="5"/>
  <c r="D318" i="5"/>
  <c r="L8" i="14" s="1"/>
  <c r="C266" i="5"/>
  <c r="C284" i="5"/>
  <c r="D303" i="5"/>
  <c r="D313" i="5"/>
  <c r="C313" i="5"/>
  <c r="D212" i="5"/>
  <c r="D230" i="5"/>
  <c r="D248" i="5"/>
  <c r="C252" i="5"/>
  <c r="C259" i="5"/>
  <c r="D266" i="5"/>
  <c r="C270" i="5"/>
  <c r="C277" i="5"/>
  <c r="D284" i="5"/>
  <c r="C288" i="5"/>
  <c r="C293" i="5"/>
  <c r="D298" i="5"/>
  <c r="C298" i="5"/>
  <c r="C303" i="5"/>
  <c r="D308" i="5"/>
  <c r="D319" i="5"/>
  <c r="L9" i="14" s="1"/>
  <c r="C319" i="5"/>
  <c r="K9" i="14" s="1"/>
  <c r="C245" i="5"/>
  <c r="D252" i="5"/>
  <c r="D259" i="5"/>
  <c r="C263" i="5"/>
  <c r="D270" i="5"/>
  <c r="D277" i="5"/>
  <c r="C281" i="5"/>
  <c r="D288" i="5"/>
  <c r="D293" i="5"/>
  <c r="D309" i="5"/>
  <c r="C314" i="5"/>
  <c r="K4" i="14" s="1"/>
  <c r="D77" i="5"/>
  <c r="D101" i="5"/>
  <c r="D119" i="5"/>
  <c r="D137" i="5"/>
  <c r="C148" i="5"/>
  <c r="D155" i="5"/>
  <c r="C166" i="5"/>
  <c r="D173" i="5"/>
  <c r="C184" i="5"/>
  <c r="D191" i="5"/>
  <c r="C202" i="5"/>
  <c r="D209" i="5"/>
  <c r="C220" i="5"/>
  <c r="D227" i="5"/>
  <c r="C238" i="5"/>
  <c r="D245" i="5"/>
  <c r="C249" i="5"/>
  <c r="C256" i="5"/>
  <c r="D263" i="5"/>
  <c r="C267" i="5"/>
  <c r="C274" i="5"/>
  <c r="D281" i="5"/>
  <c r="C285" i="5"/>
  <c r="D294" i="5"/>
  <c r="C299" i="5"/>
  <c r="D304" i="5"/>
  <c r="C304" i="5"/>
  <c r="C309" i="5"/>
  <c r="D314" i="5"/>
  <c r="L4" i="14" s="1"/>
  <c r="C320" i="5"/>
  <c r="K10" i="14" s="1"/>
  <c r="D238" i="5"/>
  <c r="D256" i="5"/>
  <c r="C260" i="5"/>
  <c r="D274" i="5"/>
  <c r="C278" i="5"/>
  <c r="D289" i="5"/>
  <c r="C289" i="5"/>
  <c r="C294" i="5"/>
  <c r="D299" i="5"/>
  <c r="D315" i="5"/>
  <c r="L5" i="14" s="1"/>
  <c r="D320" i="5"/>
  <c r="L10" i="14" s="1"/>
  <c r="C318" i="5"/>
  <c r="K8" i="14" s="1"/>
  <c r="D77" i="4"/>
  <c r="C77" i="4"/>
  <c r="D84" i="4"/>
  <c r="D63" i="4"/>
  <c r="D108" i="4"/>
  <c r="D180" i="4"/>
  <c r="D30" i="4"/>
  <c r="C63" i="4"/>
  <c r="C11" i="4"/>
  <c r="D68" i="4"/>
  <c r="C73" i="4"/>
  <c r="C96" i="4"/>
  <c r="D144" i="4"/>
  <c r="C273" i="4"/>
  <c r="D96" i="4"/>
  <c r="D193" i="4"/>
  <c r="C181" i="4"/>
  <c r="D181" i="4"/>
  <c r="D97" i="4"/>
  <c r="C98" i="4"/>
  <c r="C97" i="4"/>
  <c r="D36" i="4"/>
  <c r="C157" i="4"/>
  <c r="C46" i="4"/>
  <c r="D283" i="4"/>
  <c r="C283" i="4"/>
  <c r="D309" i="4"/>
  <c r="C309" i="4"/>
  <c r="D279" i="4"/>
  <c r="C279" i="4"/>
  <c r="D125" i="4"/>
  <c r="C125" i="4"/>
  <c r="C295" i="4"/>
  <c r="D85" i="4"/>
  <c r="D295" i="4"/>
  <c r="D28" i="4"/>
  <c r="D262" i="4"/>
  <c r="C262" i="4"/>
  <c r="C269" i="4"/>
  <c r="D277" i="4"/>
  <c r="C277" i="4"/>
  <c r="D290" i="4"/>
  <c r="C290" i="4"/>
  <c r="C20" i="4"/>
  <c r="D161" i="4"/>
  <c r="C161" i="4"/>
  <c r="D233" i="4"/>
  <c r="C233" i="4"/>
  <c r="C240" i="4"/>
  <c r="D120" i="4"/>
  <c r="D132" i="4"/>
  <c r="D228" i="4"/>
  <c r="D240" i="4"/>
  <c r="D273" i="4"/>
  <c r="C26" i="4"/>
  <c r="C69" i="4"/>
  <c r="C145" i="4"/>
  <c r="D145" i="4"/>
  <c r="D157" i="4"/>
  <c r="C228" i="4"/>
  <c r="D253" i="4"/>
  <c r="C253" i="4"/>
  <c r="C282" i="4"/>
  <c r="D32" i="4"/>
  <c r="C36" i="4"/>
  <c r="C55" i="4"/>
  <c r="C59" i="4"/>
  <c r="D241" i="4"/>
  <c r="C242" i="4"/>
  <c r="C241" i="4"/>
  <c r="D282" i="4"/>
  <c r="D55" i="4"/>
  <c r="D75" i="4"/>
  <c r="C229" i="4"/>
  <c r="D60" i="4"/>
  <c r="C60" i="4"/>
  <c r="C236" i="4"/>
  <c r="D42" i="4"/>
  <c r="D46" i="4"/>
  <c r="C61" i="4"/>
  <c r="D105" i="4"/>
  <c r="C116" i="4"/>
  <c r="C152" i="4"/>
  <c r="D213" i="4"/>
  <c r="C19" i="4"/>
  <c r="C33" i="4"/>
  <c r="C56" i="4"/>
  <c r="D61" i="4"/>
  <c r="C76" i="4"/>
  <c r="D81" i="4"/>
  <c r="C81" i="4"/>
  <c r="D93" i="4"/>
  <c r="C93" i="4"/>
  <c r="C105" i="4"/>
  <c r="C129" i="4"/>
  <c r="D129" i="4"/>
  <c r="D165" i="4"/>
  <c r="C165" i="4"/>
  <c r="D201" i="4"/>
  <c r="C201" i="4"/>
  <c r="C213" i="4"/>
  <c r="D237" i="4"/>
  <c r="C237" i="4"/>
  <c r="C256" i="4"/>
  <c r="C291" i="4"/>
  <c r="C304" i="4"/>
  <c r="D318" i="4"/>
  <c r="N8" i="14" s="1"/>
  <c r="C318" i="4"/>
  <c r="M8" i="14" s="1"/>
  <c r="D53" i="4"/>
  <c r="C299" i="4"/>
  <c r="C30" i="4"/>
  <c r="D89" i="4"/>
  <c r="C89" i="4"/>
  <c r="C168" i="4"/>
  <c r="D313" i="4"/>
  <c r="C313" i="4"/>
  <c r="C314" i="4"/>
  <c r="M4" i="14" s="1"/>
  <c r="D40" i="4"/>
  <c r="C49" i="4"/>
  <c r="D73" i="4"/>
  <c r="D192" i="4"/>
  <c r="C16" i="4"/>
  <c r="D109" i="4"/>
  <c r="D121" i="4"/>
  <c r="C109" i="4"/>
  <c r="C120" i="4"/>
  <c r="C192" i="4"/>
  <c r="D133" i="4"/>
  <c r="C133" i="4"/>
  <c r="C134" i="4"/>
  <c r="C146" i="4"/>
  <c r="D316" i="4"/>
  <c r="N6" i="14" s="1"/>
  <c r="C32" i="4"/>
  <c r="D65" i="4"/>
  <c r="D92" i="4"/>
  <c r="C193" i="4"/>
  <c r="D70" i="4"/>
  <c r="C70" i="4"/>
  <c r="C92" i="4"/>
  <c r="C164" i="4"/>
  <c r="C200" i="4"/>
  <c r="D269" i="4"/>
  <c r="D23" i="4"/>
  <c r="D141" i="4"/>
  <c r="D177" i="4"/>
  <c r="C188" i="4"/>
  <c r="C224" i="4"/>
  <c r="D33" i="4"/>
  <c r="D256" i="4"/>
  <c r="D264" i="4"/>
  <c r="C264" i="4"/>
  <c r="D270" i="4"/>
  <c r="C270" i="4"/>
  <c r="C278" i="4"/>
  <c r="D291" i="4"/>
  <c r="D298" i="4"/>
  <c r="D257" i="4"/>
  <c r="C257" i="4"/>
  <c r="D149" i="4"/>
  <c r="C149" i="4"/>
  <c r="D185" i="4"/>
  <c r="C185" i="4"/>
  <c r="C68" i="4"/>
  <c r="C132" i="4"/>
  <c r="D197" i="4"/>
  <c r="C197" i="4"/>
  <c r="C204" i="4"/>
  <c r="D216" i="4"/>
  <c r="D252" i="4"/>
  <c r="C84" i="4"/>
  <c r="D156" i="4"/>
  <c r="D300" i="4"/>
  <c r="C300" i="4"/>
  <c r="C301" i="4"/>
  <c r="D49" i="4"/>
  <c r="C217" i="4"/>
  <c r="D217" i="4"/>
  <c r="D229" i="4"/>
  <c r="C85" i="4"/>
  <c r="D169" i="4"/>
  <c r="C170" i="4"/>
  <c r="C169" i="4"/>
  <c r="D205" i="4"/>
  <c r="C205" i="4"/>
  <c r="C206" i="4"/>
  <c r="C260" i="4"/>
  <c r="C308" i="4"/>
  <c r="D27" i="4"/>
  <c r="D50" i="4"/>
  <c r="C50" i="4"/>
  <c r="D80" i="4"/>
  <c r="C121" i="4"/>
  <c r="C316" i="4"/>
  <c r="M6" i="14" s="1"/>
  <c r="C27" i="4"/>
  <c r="C128" i="4"/>
  <c r="D303" i="4"/>
  <c r="C12" i="4"/>
  <c r="D37" i="4"/>
  <c r="C37" i="4"/>
  <c r="D249" i="4"/>
  <c r="D19" i="4"/>
  <c r="C52" i="4"/>
  <c r="C66" i="4"/>
  <c r="D76" i="4"/>
  <c r="D24" i="4"/>
  <c r="C24" i="4"/>
  <c r="C29" i="4"/>
  <c r="C43" i="4"/>
  <c r="D62" i="4"/>
  <c r="D66" i="4"/>
  <c r="D72" i="4"/>
  <c r="C100" i="4"/>
  <c r="D107" i="4"/>
  <c r="C107" i="4"/>
  <c r="C136" i="4"/>
  <c r="D143" i="4"/>
  <c r="C143" i="4"/>
  <c r="C172" i="4"/>
  <c r="D179" i="4"/>
  <c r="C179" i="4"/>
  <c r="C208" i="4"/>
  <c r="D215" i="4"/>
  <c r="C215" i="4"/>
  <c r="C244" i="4"/>
  <c r="D225" i="4"/>
  <c r="C225" i="4"/>
  <c r="C266" i="4"/>
  <c r="C275" i="4"/>
  <c r="C292" i="4"/>
  <c r="C296" i="4"/>
  <c r="C305" i="4"/>
  <c r="C113" i="4"/>
  <c r="D258" i="4"/>
  <c r="D292" i="4"/>
  <c r="C118" i="4"/>
  <c r="D153" i="4"/>
  <c r="C153" i="4"/>
  <c r="C21" i="4"/>
  <c r="D74" i="4"/>
  <c r="C82" i="4"/>
  <c r="C154" i="4"/>
  <c r="C190" i="4"/>
  <c r="C246" i="4"/>
  <c r="D280" i="4"/>
  <c r="D21" i="4"/>
  <c r="C31" i="4"/>
  <c r="C74" i="4"/>
  <c r="D82" i="4"/>
  <c r="C86" i="4"/>
  <c r="D110" i="4"/>
  <c r="D114" i="4"/>
  <c r="D118" i="4"/>
  <c r="C122" i="4"/>
  <c r="C126" i="4"/>
  <c r="D138" i="4"/>
  <c r="C142" i="4"/>
  <c r="D166" i="4"/>
  <c r="C166" i="4"/>
  <c r="D174" i="4"/>
  <c r="D182" i="4"/>
  <c r="D186" i="4"/>
  <c r="D190" i="4"/>
  <c r="C194" i="4"/>
  <c r="C198" i="4"/>
  <c r="D202" i="4"/>
  <c r="C202" i="4"/>
  <c r="D210" i="4"/>
  <c r="C214" i="4"/>
  <c r="D218" i="4"/>
  <c r="D222" i="4"/>
  <c r="D226" i="4"/>
  <c r="C230" i="4"/>
  <c r="C234" i="4"/>
  <c r="D238" i="4"/>
  <c r="C238" i="4"/>
  <c r="D246" i="4"/>
  <c r="C250" i="4"/>
  <c r="D254" i="4"/>
  <c r="C254" i="4"/>
  <c r="D272" i="4"/>
  <c r="C276" i="4"/>
  <c r="C280" i="4"/>
  <c r="C285" i="4"/>
  <c r="D293" i="4"/>
  <c r="D302" i="4"/>
  <c r="C306" i="4"/>
  <c r="D311" i="4"/>
  <c r="C315" i="4"/>
  <c r="M5" i="14" s="1"/>
  <c r="C319" i="4"/>
  <c r="M9" i="14" s="1"/>
  <c r="D117" i="4"/>
  <c r="C117" i="4"/>
  <c r="C221" i="4"/>
  <c r="C34" i="4"/>
  <c r="C102" i="4"/>
  <c r="C138" i="4"/>
  <c r="C174" i="4"/>
  <c r="D41" i="4"/>
  <c r="C44" i="4"/>
  <c r="C54" i="4"/>
  <c r="C67" i="4"/>
  <c r="D78" i="4"/>
  <c r="C90" i="4"/>
  <c r="D130" i="4"/>
  <c r="C130" i="4"/>
  <c r="C162" i="4"/>
  <c r="C14" i="4"/>
  <c r="C18" i="4"/>
  <c r="D38" i="4"/>
  <c r="C41" i="4"/>
  <c r="D71" i="4"/>
  <c r="D90" i="4"/>
  <c r="D106" i="4"/>
  <c r="C110" i="4"/>
  <c r="D142" i="4"/>
  <c r="D162" i="4"/>
  <c r="D178" i="4"/>
  <c r="C182" i="4"/>
  <c r="D198" i="4"/>
  <c r="D214" i="4"/>
  <c r="C218" i="4"/>
  <c r="D234" i="4"/>
  <c r="D250" i="4"/>
  <c r="C255" i="4"/>
  <c r="C259" i="4"/>
  <c r="C263" i="4"/>
  <c r="C268" i="4"/>
  <c r="C272" i="4"/>
  <c r="D276" i="4"/>
  <c r="D285" i="4"/>
  <c r="C289" i="4"/>
  <c r="C293" i="4"/>
  <c r="C298" i="4"/>
  <c r="C302" i="4"/>
  <c r="C311" i="4"/>
  <c r="D315" i="4"/>
  <c r="N5" i="14" s="1"/>
  <c r="D319" i="4"/>
  <c r="N9" i="14" s="1"/>
  <c r="D113" i="4"/>
  <c r="C114" i="4"/>
  <c r="D189" i="4"/>
  <c r="C189" i="4"/>
  <c r="D44" i="4"/>
  <c r="C47" i="4"/>
  <c r="C57" i="4"/>
  <c r="D86" i="4"/>
  <c r="D267" i="4"/>
  <c r="D34" i="4"/>
  <c r="D94" i="4"/>
  <c r="C94" i="4"/>
  <c r="C106" i="4"/>
  <c r="D146" i="4"/>
  <c r="D150" i="4"/>
  <c r="C158" i="4"/>
  <c r="C178" i="4"/>
  <c r="C10" i="4"/>
  <c r="C28" i="4"/>
  <c r="D31" i="4"/>
  <c r="C51" i="4"/>
  <c r="D54" i="4"/>
  <c r="C64" i="4"/>
  <c r="D67" i="4"/>
  <c r="D126" i="4"/>
  <c r="D35" i="4"/>
  <c r="C38" i="4"/>
  <c r="C71" i="4"/>
  <c r="C75" i="4"/>
  <c r="D83" i="4"/>
  <c r="C95" i="4"/>
  <c r="C111" i="4"/>
  <c r="D119" i="4"/>
  <c r="C131" i="4"/>
  <c r="C147" i="4"/>
  <c r="D155" i="4"/>
  <c r="C167" i="4"/>
  <c r="C183" i="4"/>
  <c r="D191" i="4"/>
  <c r="C203" i="4"/>
  <c r="C219" i="4"/>
  <c r="D227" i="4"/>
  <c r="C239" i="4"/>
  <c r="C243" i="4"/>
  <c r="D294" i="4"/>
  <c r="D307" i="4"/>
  <c r="D287" i="4"/>
  <c r="D104" i="4"/>
  <c r="D140" i="4"/>
  <c r="D176" i="4"/>
  <c r="D212" i="4"/>
  <c r="D248" i="4"/>
  <c r="C251" i="4"/>
  <c r="C261" i="4"/>
  <c r="C274" i="4"/>
  <c r="D284" i="4"/>
  <c r="C287" i="4"/>
  <c r="C297" i="4"/>
  <c r="C310" i="4"/>
  <c r="D320" i="4"/>
  <c r="N10" i="14" s="1"/>
  <c r="C78" i="4"/>
  <c r="D101" i="4"/>
  <c r="D137" i="4"/>
  <c r="C150" i="4"/>
  <c r="C163" i="4"/>
  <c r="D173" i="4"/>
  <c r="C176" i="4"/>
  <c r="C186" i="4"/>
  <c r="C199" i="4"/>
  <c r="D209" i="4"/>
  <c r="C212" i="4"/>
  <c r="C222" i="4"/>
  <c r="C235" i="4"/>
  <c r="D245" i="4"/>
  <c r="C248" i="4"/>
  <c r="C258" i="4"/>
  <c r="D261" i="4"/>
  <c r="C271" i="4"/>
  <c r="D274" i="4"/>
  <c r="D281" i="4"/>
  <c r="C284" i="4"/>
  <c r="C294" i="4"/>
  <c r="D297" i="4"/>
  <c r="C307" i="4"/>
  <c r="D310" i="4"/>
  <c r="D317" i="4"/>
  <c r="N7" i="14" s="1"/>
  <c r="C320" i="4"/>
  <c r="M10" i="14" s="1"/>
  <c r="C91" i="4"/>
  <c r="D98" i="4"/>
  <c r="C101" i="4"/>
  <c r="D134" i="4"/>
  <c r="C137" i="4"/>
  <c r="D170" i="4"/>
  <c r="C173" i="4"/>
  <c r="D206" i="4"/>
  <c r="C209" i="4"/>
  <c r="D242" i="4"/>
  <c r="C245" i="4"/>
  <c r="D278" i="4"/>
  <c r="C281" i="4"/>
  <c r="D314" i="4"/>
  <c r="N4" i="14" s="1"/>
  <c r="C317" i="4"/>
  <c r="M7" i="14" s="1"/>
  <c r="D294" i="3"/>
  <c r="C186" i="3"/>
  <c r="C187" i="3"/>
  <c r="D186" i="3"/>
  <c r="C102" i="3"/>
  <c r="C103" i="3"/>
  <c r="D42" i="3"/>
  <c r="C42" i="3"/>
  <c r="C43" i="3"/>
  <c r="C90" i="3"/>
  <c r="C66" i="3"/>
  <c r="D293" i="3"/>
  <c r="C257" i="3"/>
  <c r="D257" i="3"/>
  <c r="C221" i="3"/>
  <c r="D221" i="3"/>
  <c r="C185" i="3"/>
  <c r="D185" i="3"/>
  <c r="C149" i="3"/>
  <c r="D149" i="3"/>
  <c r="C113" i="3"/>
  <c r="D113" i="3"/>
  <c r="C77" i="3"/>
  <c r="D77" i="3"/>
  <c r="C65" i="3"/>
  <c r="D65" i="3"/>
  <c r="C29" i="3"/>
  <c r="C294" i="3"/>
  <c r="C223" i="3"/>
  <c r="C183" i="3"/>
  <c r="C123" i="3"/>
  <c r="D281" i="3"/>
  <c r="D158" i="3"/>
  <c r="D137" i="3"/>
  <c r="D74" i="3"/>
  <c r="D27" i="3"/>
  <c r="C316" i="3"/>
  <c r="C6" i="14" s="1"/>
  <c r="D316" i="3"/>
  <c r="D6" i="14" s="1"/>
  <c r="C304" i="3"/>
  <c r="D304" i="3"/>
  <c r="C292" i="3"/>
  <c r="D292" i="3"/>
  <c r="C280" i="3"/>
  <c r="D280" i="3"/>
  <c r="C268" i="3"/>
  <c r="D268" i="3"/>
  <c r="C256" i="3"/>
  <c r="D256" i="3"/>
  <c r="C244" i="3"/>
  <c r="D244" i="3"/>
  <c r="C232" i="3"/>
  <c r="D232" i="3"/>
  <c r="D198" i="3"/>
  <c r="C243" i="3"/>
  <c r="D243" i="3"/>
  <c r="D50" i="3"/>
  <c r="C231" i="3"/>
  <c r="D193" i="3"/>
  <c r="D49" i="3"/>
  <c r="C258" i="3"/>
  <c r="C259" i="3"/>
  <c r="D258" i="3"/>
  <c r="D63" i="3"/>
  <c r="C219" i="3"/>
  <c r="C242" i="3"/>
  <c r="D242" i="3"/>
  <c r="C313" i="3"/>
  <c r="D222" i="3"/>
  <c r="C174" i="3"/>
  <c r="C175" i="3"/>
  <c r="C30" i="3"/>
  <c r="C31" i="3"/>
  <c r="C126" i="3"/>
  <c r="C171" i="3"/>
  <c r="D171" i="3"/>
  <c r="D135" i="3"/>
  <c r="C87" i="3"/>
  <c r="C199" i="3"/>
  <c r="C139" i="3"/>
  <c r="D269" i="3"/>
  <c r="D314" i="3"/>
  <c r="D4" i="14" s="1"/>
  <c r="D206" i="3"/>
  <c r="D134" i="3"/>
  <c r="C98" i="3"/>
  <c r="D98" i="3"/>
  <c r="C218" i="3"/>
  <c r="C162" i="3"/>
  <c r="D125" i="3"/>
  <c r="D265" i="3"/>
  <c r="D121" i="3"/>
  <c r="C195" i="3"/>
  <c r="C97" i="3"/>
  <c r="D300" i="3"/>
  <c r="C300" i="3"/>
  <c r="C306" i="3"/>
  <c r="C194" i="3"/>
  <c r="C39" i="3"/>
  <c r="D245" i="3"/>
  <c r="D194" i="3"/>
  <c r="D173" i="3"/>
  <c r="D110" i="3"/>
  <c r="C247" i="3"/>
  <c r="C246" i="3"/>
  <c r="D78" i="3"/>
  <c r="C293" i="3"/>
  <c r="D126" i="3"/>
  <c r="D279" i="3"/>
  <c r="D207" i="3"/>
  <c r="C159" i="3"/>
  <c r="C163" i="3"/>
  <c r="D255" i="3"/>
  <c r="D278" i="3"/>
  <c r="C170" i="3"/>
  <c r="D170" i="3"/>
  <c r="D62" i="3"/>
  <c r="D174" i="3"/>
  <c r="C229" i="3"/>
  <c r="D229" i="3"/>
  <c r="C255" i="3"/>
  <c r="D254" i="3"/>
  <c r="C271" i="3"/>
  <c r="D150" i="3"/>
  <c r="C114" i="3"/>
  <c r="C115" i="3"/>
  <c r="D114" i="3"/>
  <c r="C295" i="3"/>
  <c r="D315" i="3"/>
  <c r="D5" i="14" s="1"/>
  <c r="C99" i="3"/>
  <c r="D99" i="3"/>
  <c r="C27" i="3"/>
  <c r="C291" i="3"/>
  <c r="D26" i="3"/>
  <c r="C26" i="3"/>
  <c r="C198" i="3"/>
  <c r="C138" i="3"/>
  <c r="D246" i="3"/>
  <c r="D195" i="3"/>
  <c r="D111" i="3"/>
  <c r="D301" i="3"/>
  <c r="C157" i="3"/>
  <c r="D157" i="3"/>
  <c r="C85" i="3"/>
  <c r="D85" i="3"/>
  <c r="C307" i="3"/>
  <c r="C135" i="3"/>
  <c r="C79" i="3"/>
  <c r="D267" i="3"/>
  <c r="D264" i="3"/>
  <c r="C228" i="3"/>
  <c r="D228" i="3"/>
  <c r="C134" i="3"/>
  <c r="D318" i="3"/>
  <c r="D8" i="14" s="1"/>
  <c r="D234" i="3"/>
  <c r="D123" i="3"/>
  <c r="D102" i="3"/>
  <c r="D54" i="3"/>
  <c r="C305" i="3"/>
  <c r="C270" i="3"/>
  <c r="C253" i="3"/>
  <c r="C235" i="3"/>
  <c r="C211" i="3"/>
  <c r="C193" i="3"/>
  <c r="C133" i="3"/>
  <c r="C75" i="3"/>
  <c r="D266" i="3"/>
  <c r="D241" i="3"/>
  <c r="D162" i="3"/>
  <c r="C303" i="3"/>
  <c r="C283" i="3"/>
  <c r="C252" i="3"/>
  <c r="C234" i="3"/>
  <c r="C210" i="3"/>
  <c r="C55" i="3"/>
  <c r="C37" i="3"/>
  <c r="D306" i="3"/>
  <c r="D233" i="3"/>
  <c r="D219" i="3"/>
  <c r="D169" i="3"/>
  <c r="D101" i="3"/>
  <c r="D53" i="3"/>
  <c r="C282" i="3"/>
  <c r="C267" i="3"/>
  <c r="C207" i="3"/>
  <c r="C169" i="3"/>
  <c r="C151" i="3"/>
  <c r="C111" i="3"/>
  <c r="D313" i="3"/>
  <c r="D161" i="3"/>
  <c r="D147" i="3"/>
  <c r="D90" i="3"/>
  <c r="C301" i="3"/>
  <c r="C206" i="3"/>
  <c r="C150" i="3"/>
  <c r="C51" i="3"/>
  <c r="D291" i="3"/>
  <c r="D231" i="3"/>
  <c r="D97" i="3"/>
  <c r="D51" i="3"/>
  <c r="D41" i="3"/>
  <c r="C220" i="3"/>
  <c r="D220" i="3"/>
  <c r="C208" i="3"/>
  <c r="D208" i="3"/>
  <c r="C196" i="3"/>
  <c r="D196" i="3"/>
  <c r="C184" i="3"/>
  <c r="D184" i="3"/>
  <c r="C172" i="3"/>
  <c r="D172" i="3"/>
  <c r="C160" i="3"/>
  <c r="D160" i="3"/>
  <c r="C148" i="3"/>
  <c r="D148" i="3"/>
  <c r="C136" i="3"/>
  <c r="D136" i="3"/>
  <c r="C124" i="3"/>
  <c r="D124" i="3"/>
  <c r="C112" i="3"/>
  <c r="D112" i="3"/>
  <c r="C100" i="3"/>
  <c r="D100" i="3"/>
  <c r="C88" i="3"/>
  <c r="D88" i="3"/>
  <c r="C76" i="3"/>
  <c r="D76" i="3"/>
  <c r="C64" i="3"/>
  <c r="D64" i="3"/>
  <c r="C52" i="3"/>
  <c r="D52" i="3"/>
  <c r="C40" i="3"/>
  <c r="D40" i="3"/>
  <c r="C28" i="3"/>
  <c r="D215" i="3"/>
  <c r="D154" i="3"/>
  <c r="D287" i="3"/>
  <c r="D143" i="3"/>
  <c r="D71" i="3"/>
  <c r="D298" i="3"/>
  <c r="D130" i="3"/>
  <c r="C299" i="3"/>
  <c r="C286" i="3"/>
  <c r="C202" i="3"/>
  <c r="C58" i="3"/>
  <c r="C298" i="3"/>
  <c r="C285" i="3"/>
  <c r="D285" i="3"/>
  <c r="D249" i="3"/>
  <c r="D156" i="3"/>
  <c r="D84" i="3"/>
  <c r="C310" i="3"/>
  <c r="C297" i="3"/>
  <c r="C214" i="3"/>
  <c r="C142" i="3"/>
  <c r="C70" i="3"/>
  <c r="D30" i="3"/>
  <c r="C16" i="3"/>
  <c r="C13" i="3"/>
  <c r="H10" i="13" l="1"/>
  <c r="F10" i="13"/>
  <c r="P19" i="25" s="1"/>
  <c r="D22" i="13"/>
  <c r="H12" i="13"/>
  <c r="E22" i="13"/>
  <c r="F13" i="13"/>
  <c r="P22" i="25" s="1"/>
  <c r="F12" i="13"/>
  <c r="P21" i="25" s="1"/>
  <c r="F7" i="13"/>
  <c r="P16" i="25" s="1"/>
  <c r="H11" i="13"/>
  <c r="H17" i="13"/>
  <c r="H15" i="13"/>
  <c r="H16" i="13"/>
  <c r="H18" i="13"/>
  <c r="H20" i="13"/>
  <c r="H21" i="13"/>
  <c r="H19" i="13"/>
  <c r="H14" i="13"/>
  <c r="H13" i="13"/>
  <c r="G7" i="13"/>
  <c r="Q16" i="25" s="1"/>
  <c r="G14" i="13"/>
  <c r="Q23" i="25" s="1"/>
  <c r="G13" i="13"/>
  <c r="Q22" i="25" s="1"/>
  <c r="G17" i="13"/>
  <c r="Q26" i="25" s="1"/>
  <c r="G21" i="13"/>
  <c r="Q30" i="25" s="1"/>
  <c r="G11" i="13"/>
  <c r="Q20" i="25" s="1"/>
  <c r="G15" i="13"/>
  <c r="Q24" i="25" s="1"/>
  <c r="G12" i="13"/>
  <c r="Q21" i="25" s="1"/>
  <c r="G10" i="13"/>
  <c r="Q19" i="25" s="1"/>
  <c r="F21" i="13"/>
  <c r="P30" i="25" s="1"/>
  <c r="H22" i="13" l="1"/>
</calcChain>
</file>

<file path=xl/sharedStrings.xml><?xml version="1.0" encoding="utf-8"?>
<sst xmlns="http://schemas.openxmlformats.org/spreadsheetml/2006/main" count="286" uniqueCount="124">
  <si>
    <t>RSAFS</t>
  </si>
  <si>
    <t>Retail and Food Services Sales (RSAFS), Millions of Dollars, Monthly, Seasonally Adjusted</t>
  </si>
  <si>
    <t>Date</t>
  </si>
  <si>
    <t>Retail Sales mil$</t>
  </si>
  <si>
    <t>Change m/m</t>
  </si>
  <si>
    <t xml:space="preserve">Change y/y </t>
  </si>
  <si>
    <t>https://fred.stlouisfed.org/series/RSAFS</t>
  </si>
  <si>
    <t>https://fred.stlouisfed.org/series/RSAFs</t>
  </si>
  <si>
    <t>https://tradingeconomics.com/united-states/retail-sales</t>
  </si>
  <si>
    <t>https://tradingeconomics.com/united-states/retail-sales-annual</t>
  </si>
  <si>
    <t>https://fred.stlouisfed.org/series/RSDBS</t>
  </si>
  <si>
    <t>RSDBS</t>
  </si>
  <si>
    <t>Food and Beverage Stores (RSDBS), Millions of Dollars, Monthly, Seasonally Adjusted</t>
  </si>
  <si>
    <t>RSNSR</t>
  </si>
  <si>
    <t>Retail Trade: Nonstore Retailers (RSNSR), Millions of Dollars, Monthly, Seasonally Adjusted</t>
  </si>
  <si>
    <t>https://fred.stlouisfed.org/series/RSNSR</t>
  </si>
  <si>
    <t>Retail Sales</t>
  </si>
  <si>
    <t>Previous</t>
  </si>
  <si>
    <t>Latest</t>
  </si>
  <si>
    <t>Food&amp;Beverage</t>
  </si>
  <si>
    <t>NonStore</t>
  </si>
  <si>
    <t>HealthCare</t>
  </si>
  <si>
    <t>Clothing, Sport</t>
  </si>
  <si>
    <t>General Merch</t>
  </si>
  <si>
    <t>FoodServices</t>
  </si>
  <si>
    <t>Gasoline St</t>
  </si>
  <si>
    <t>Motor Vechicle</t>
  </si>
  <si>
    <t>Housing Supplies</t>
  </si>
  <si>
    <t>RSHPCS</t>
  </si>
  <si>
    <t>RSSGHBMS</t>
  </si>
  <si>
    <t>RSGMS</t>
  </si>
  <si>
    <t>RSFSDP</t>
  </si>
  <si>
    <t>RSGASS</t>
  </si>
  <si>
    <t>RSMVPD</t>
  </si>
  <si>
    <t>RSBMGESD</t>
  </si>
  <si>
    <t>https://fred.stlouisfed.org/series/RSHPCS</t>
  </si>
  <si>
    <t>https://fred.stlouisfed.org/series/RSSGHBMS</t>
  </si>
  <si>
    <t>https://fred.stlouisfed.org/series/RSGMS</t>
  </si>
  <si>
    <t>https://fred.stlouisfed.org/series/RSGASS</t>
  </si>
  <si>
    <t>https://fred.stlouisfed.org/series/RSMVPD</t>
  </si>
  <si>
    <t>https://fred.stlouisfed.org/series/RSBMGESD</t>
  </si>
  <si>
    <t>https://fred.stlouisfed.org/series/RSDBs</t>
  </si>
  <si>
    <t>https://fred.stlouisfed.org/series/RSNSr</t>
  </si>
  <si>
    <t>https://fred.stlouisfed.org/series/RSHPCs</t>
  </si>
  <si>
    <t>https://fred.stlouisfed.org/series/RSSGHBMs</t>
  </si>
  <si>
    <t>https://fred.stlouisfed.org/series/RSGMs</t>
  </si>
  <si>
    <t>https://fred.stlouisfed.org/series/RSFSDp</t>
  </si>
  <si>
    <t>https://fred.stlouisfed.org/series/RSGASs</t>
  </si>
  <si>
    <t>https://fred.stlouisfed.org/series/RSMVPd</t>
  </si>
  <si>
    <t>Retail Trade: Building Materials, Garden Equipment and Supplies Dealers (RSBMGESD), Millions of Dollars, Monthly, Seasonally Adjusted</t>
  </si>
  <si>
    <t>Retail Trade: Motor Vehicle and Parts Dealers (RSMVPD), Millions of Dollars, Monthly, Seasonally Adjusted</t>
  </si>
  <si>
    <t>Retail Trade: Gasoline Stations (RSGASS), Millions of Dollars, Monthly, Seasonally Adjusted</t>
  </si>
  <si>
    <t>Retail Trade: General Merchandise Stores (RSGMS), Millions of Dollars, Monthly, Seasonally Adjusted</t>
  </si>
  <si>
    <t>Retail Trade: Sporting Goods, Hobby, Book, and Music Stores (RSSGHBMS), Millions of Dollars, Monthly, Seasonally Adjusted</t>
  </si>
  <si>
    <t>Retail Trade: Health and Personal Care Stores (RSHPCS), Millions of Dollars, Monthly, Seasonally Adjusted</t>
  </si>
  <si>
    <t>DATE</t>
  </si>
  <si>
    <t>Change % mom</t>
  </si>
  <si>
    <t>MARTSSM44W72USS</t>
  </si>
  <si>
    <t>RSFSXMV</t>
  </si>
  <si>
    <t>Advance Retail Sales: Retail and Food Services Excluding Motor Vehicles and Parts Dealers</t>
  </si>
  <si>
    <t>https://fred.stlouisfed.org/series/RSFSXMV</t>
  </si>
  <si>
    <t>Advance Retail Sales: Retail Trade and Food Services, Excluding Motor Vehicle and Parts Dealers and Gasoline Stations (MARTSMPCSM44W72USS)</t>
  </si>
  <si>
    <t>https://fred.stlouisfed.org/series/MARTSMPCSM44W72USS</t>
  </si>
  <si>
    <t>Retail Sales ex Auto and Gas</t>
  </si>
  <si>
    <t>Retail Sales ex Auto</t>
  </si>
  <si>
    <t>Furniture, home furn, electronics, and appliance stores</t>
  </si>
  <si>
    <t>Clothing and clothing access. stores</t>
  </si>
  <si>
    <t>Miscellaneous stores retailers</t>
  </si>
  <si>
    <t>RSFHFS + RSEAS</t>
  </si>
  <si>
    <t>https://fred.stlouisfed.org/series/RSFHFS</t>
  </si>
  <si>
    <t>RSCCAS</t>
  </si>
  <si>
    <t>RSMSR</t>
  </si>
  <si>
    <t>https://fred.stlouisfed.org/series/RSMSR</t>
  </si>
  <si>
    <t>RSEAS</t>
  </si>
  <si>
    <t>RSFHFS</t>
  </si>
  <si>
    <t>https://fred.stlouisfed.org/series/MARTSSM44W72USS</t>
  </si>
  <si>
    <t>https://fred.stlouisfed.org/series/RSCCAS</t>
  </si>
  <si>
    <t>Weight</t>
  </si>
  <si>
    <t>NAICS</t>
  </si>
  <si>
    <t>Name</t>
  </si>
  <si>
    <t xml:space="preserve">Fred </t>
  </si>
  <si>
    <t>Fred Hyper link</t>
  </si>
  <si>
    <t>mom</t>
  </si>
  <si>
    <t>yoy</t>
  </si>
  <si>
    <t>Database</t>
  </si>
  <si>
    <t>Create data on Fred</t>
  </si>
  <si>
    <t>https://research.stlouisfed.org/useraccount/datalists</t>
  </si>
  <si>
    <t>* to modify</t>
  </si>
  <si>
    <t>Retail Sales (RSAFS), Millions of Dollars</t>
  </si>
  <si>
    <t>Advance Retail Sales: Food Services and Drinking Places</t>
  </si>
  <si>
    <t>mom %</t>
  </si>
  <si>
    <t>yoy %</t>
  </si>
  <si>
    <t>Food and Beverage Stores, Millions of Dollars</t>
  </si>
  <si>
    <t>Nonstore Retailers, Millions of Dollars</t>
  </si>
  <si>
    <t>Health and Personal Care Stores, Millions of Dollars</t>
  </si>
  <si>
    <t>Sporting Goods, Millions of Dollars</t>
  </si>
  <si>
    <t>General Merchandise Stores, Millions of Dollars</t>
  </si>
  <si>
    <t>Food Services and Drinking Places</t>
  </si>
  <si>
    <t>Gasoline Stations, Millions of Dollars</t>
  </si>
  <si>
    <t>Clothing and clothing access. Stores, mil$</t>
  </si>
  <si>
    <t xml:space="preserve"> Miscellaneous stores retailers, mil$</t>
  </si>
  <si>
    <t>Building Materials. mil$</t>
  </si>
  <si>
    <t>Motor Vehicles, mil$</t>
  </si>
  <si>
    <t>Retail and Food Services Excluding Motor Vehicles and Parts Dealers, Retail Sales mil$</t>
  </si>
  <si>
    <t>Non Store</t>
  </si>
  <si>
    <t>Food &amp; Beverage</t>
  </si>
  <si>
    <t>Food Services</t>
  </si>
  <si>
    <t>General Merchandising</t>
  </si>
  <si>
    <t>Gasoline Stations</t>
  </si>
  <si>
    <t>General Merchandis</t>
  </si>
  <si>
    <t>Furniture</t>
  </si>
  <si>
    <t xml:space="preserve">Clothing </t>
  </si>
  <si>
    <t>Miscellan. stores</t>
  </si>
  <si>
    <t>Definition</t>
  </si>
  <si>
    <t>Process / TO DO LIST</t>
  </si>
  <si>
    <t>TO DO LIST</t>
  </si>
  <si>
    <t>Comments</t>
  </si>
  <si>
    <t>Sales include merchandise sold (for cash or credit at retail or wholesale) by establishments primarily engaged in retail trade. Services that are incidental to the sale of merchandise, and excise taxes that are paid by the manufacturer or wholesaler and passed along to the retailer are also included. Sales are net, after deductions, of refunds and allowances for merchandise returned by customers. Sales exclude sales taxes collected directly from customers and paid directly to a local, state, or federal tax agency.
The estimates of sales measure the operations receipts rendered by stores that primarily sell at retail. The sales estimates represent total sales and receipts of all establishments primarily engaged in retail trade. They do not include sales at retail by manufacturers, wholesalers, service establishments, and others whose primary activity is other than retail trade. Because the retail establishment is the basic unit of measure, the published estimates of sales by type of retail store are not intended to measure the total sales for a given commodity or merchandise line.</t>
  </si>
  <si>
    <t>https://www.census.gov/retail/index.html</t>
  </si>
  <si>
    <t>Summary</t>
  </si>
  <si>
    <t>* To modify</t>
  </si>
  <si>
    <t>Motor Vehicle</t>
  </si>
  <si>
    <t>442,443</t>
  </si>
  <si>
    <t>www.duponttrading.com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</si>
</sst>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409]mmm\-yy;@"/>
    <numFmt numFmtId="165" formatCode="yyyy\-mm\-dd"/>
    <numFmt numFmtId="166" formatCode="0.0%"/>
    <numFmt numFmtId="167" formatCode="0.0"/>
  </numFmts>
  <fonts count="29" x14ac:knownFonts="1">
    <font>
      <sz val="11"/>
      <color theme="1"/>
      <name val="Calibri"/>
      <family val="2"/>
      <scheme val="minor"/>
    </font>
    <font>
      <b/>
      <sz val="11"/>
      <color theme="1"/>
      <name val="Calibri"/>
      <family val="2"/>
      <scheme val="minor"/>
    </font>
    <font>
      <sz val="10"/>
      <name val="Arial"/>
      <family val="2"/>
    </font>
    <font>
      <b/>
      <sz val="10"/>
      <name val="Arial"/>
      <family val="2"/>
    </font>
    <font>
      <sz val="8"/>
      <name val="Calibri"/>
      <family val="2"/>
      <scheme val="minor"/>
    </font>
    <font>
      <u/>
      <sz val="11"/>
      <color theme="10"/>
      <name val="Calibri"/>
      <family val="2"/>
      <scheme val="minor"/>
    </font>
    <font>
      <sz val="10"/>
      <name val="Arial"/>
      <family val="2"/>
    </font>
    <font>
      <sz val="10"/>
      <name val="Arial"/>
      <family val="2"/>
    </font>
    <font>
      <b/>
      <sz val="9"/>
      <color rgb="FF666666"/>
      <name val="Verdana"/>
      <family val="2"/>
    </font>
    <font>
      <sz val="10"/>
      <name val="Arial"/>
      <family val="2"/>
    </font>
    <font>
      <sz val="10"/>
      <name val="Arial"/>
      <family val="2"/>
    </font>
    <font>
      <sz val="10"/>
      <name val="Arial"/>
      <family val="2"/>
    </font>
    <font>
      <sz val="11"/>
      <color theme="1"/>
      <name val="Calibri"/>
      <family val="2"/>
      <scheme val="minor"/>
    </font>
    <font>
      <b/>
      <sz val="11"/>
      <color theme="0"/>
      <name val="Calibri"/>
      <family val="2"/>
      <scheme val="minor"/>
    </font>
    <font>
      <sz val="11"/>
      <color rgb="FF00B0F0"/>
      <name val="Calibri"/>
      <family val="2"/>
      <scheme val="minor"/>
    </font>
    <font>
      <sz val="14"/>
      <color theme="1"/>
      <name val="Calibri"/>
      <family val="2"/>
      <scheme val="minor"/>
    </font>
    <font>
      <b/>
      <sz val="14"/>
      <name val="Calibri"/>
      <family val="2"/>
      <scheme val="minor"/>
    </font>
    <font>
      <sz val="14"/>
      <name val="Calibri"/>
      <family val="2"/>
      <scheme val="minor"/>
    </font>
    <font>
      <sz val="8"/>
      <color theme="1"/>
      <name val="Calibri"/>
      <family val="2"/>
      <scheme val="minor"/>
    </font>
    <font>
      <u/>
      <sz val="8"/>
      <color theme="10"/>
      <name val="Calibri"/>
      <family val="2"/>
      <scheme val="minor"/>
    </font>
    <font>
      <b/>
      <sz val="14"/>
      <color theme="1"/>
      <name val="Calibri"/>
      <family val="2"/>
      <scheme val="minor"/>
    </font>
    <font>
      <b/>
      <sz val="10"/>
      <name val="Calibri"/>
      <family val="2"/>
      <scheme val="minor"/>
    </font>
    <font>
      <sz val="10"/>
      <name val="Calibri"/>
      <family val="2"/>
      <scheme val="minor"/>
    </font>
    <font>
      <sz val="11"/>
      <name val="Calibri"/>
      <family val="2"/>
      <scheme val="minor"/>
    </font>
    <font>
      <b/>
      <sz val="11"/>
      <color rgb="FF00B0F0"/>
      <name val="Calibri"/>
      <family val="2"/>
      <scheme val="minor"/>
    </font>
    <font>
      <b/>
      <sz val="11"/>
      <name val="Calibri"/>
      <family val="2"/>
      <scheme val="minor"/>
    </font>
    <font>
      <sz val="11"/>
      <color theme="0"/>
      <name val="Calibri"/>
      <family val="2"/>
      <scheme val="minor"/>
    </font>
    <font>
      <b/>
      <sz val="14"/>
      <color theme="0"/>
      <name val="Calibri"/>
      <family val="2"/>
      <scheme val="minor"/>
    </font>
    <font>
      <b/>
      <sz val="10"/>
      <color theme="0"/>
      <name val="Arial"/>
      <family val="2"/>
    </font>
  </fonts>
  <fills count="7">
    <fill>
      <patternFill patternType="none"/>
    </fill>
    <fill>
      <patternFill patternType="gray125"/>
    </fill>
    <fill>
      <patternFill patternType="solid">
        <fgColor theme="0"/>
        <bgColor indexed="64"/>
      </patternFill>
    </fill>
    <fill>
      <patternFill patternType="solid">
        <fgColor theme="0"/>
        <bgColor theme="4" tint="0.79998168889431442"/>
      </patternFill>
    </fill>
    <fill>
      <patternFill patternType="solid">
        <fgColor rgb="FF00B050"/>
        <bgColor indexed="64"/>
      </patternFill>
    </fill>
    <fill>
      <patternFill patternType="solid">
        <fgColor theme="7" tint="0.79998168889431442"/>
        <bgColor indexed="64"/>
      </patternFill>
    </fill>
    <fill>
      <patternFill patternType="solid">
        <fgColor theme="4" tint="0.79998168889431442"/>
        <bgColor indexed="64"/>
      </patternFill>
    </fill>
  </fills>
  <borders count="35">
    <border>
      <left/>
      <right/>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style="thin">
        <color indexed="64"/>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diagonal/>
    </border>
    <border>
      <left style="medium">
        <color indexed="64"/>
      </left>
      <right/>
      <top/>
      <bottom/>
      <diagonal/>
    </border>
    <border>
      <left style="thin">
        <color indexed="64"/>
      </left>
      <right style="thin">
        <color indexed="64"/>
      </right>
      <top style="thin">
        <color indexed="64"/>
      </top>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thin">
        <color indexed="64"/>
      </left>
      <right style="thin">
        <color indexed="64"/>
      </right>
      <top style="medium">
        <color indexed="64"/>
      </top>
      <bottom style="medium">
        <color indexed="64"/>
      </bottom>
      <diagonal/>
    </border>
    <border>
      <left/>
      <right/>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thin">
        <color indexed="64"/>
      </left>
      <right style="thin">
        <color indexed="64"/>
      </right>
      <top style="medium">
        <color indexed="64"/>
      </top>
      <bottom style="thin">
        <color indexed="64"/>
      </bottom>
      <diagonal/>
    </border>
  </borders>
  <cellStyleXfs count="9">
    <xf numFmtId="0" fontId="0" fillId="0" borderId="0"/>
    <xf numFmtId="0" fontId="5" fillId="0" borderId="0" applyNumberFormat="0" applyFill="0" applyBorder="0" applyAlignment="0" applyProtection="0"/>
    <xf numFmtId="0" fontId="6" fillId="0" borderId="0"/>
    <xf numFmtId="0" fontId="2" fillId="0" borderId="0"/>
    <xf numFmtId="0" fontId="7" fillId="0" borderId="0"/>
    <xf numFmtId="0" fontId="9" fillId="0" borderId="0"/>
    <xf numFmtId="0" fontId="10" fillId="0" borderId="0"/>
    <xf numFmtId="0" fontId="11" fillId="0" borderId="0"/>
    <xf numFmtId="9" fontId="12" fillId="0" borderId="0" applyFont="0" applyFill="0" applyBorder="0" applyAlignment="0" applyProtection="0"/>
  </cellStyleXfs>
  <cellXfs count="152">
    <xf numFmtId="0" fontId="0" fillId="0" borderId="0" xfId="0"/>
    <xf numFmtId="0" fontId="0" fillId="2" borderId="0" xfId="0" applyFill="1"/>
    <xf numFmtId="0" fontId="5" fillId="2" borderId="0" xfId="1" applyFill="1"/>
    <xf numFmtId="0" fontId="0" fillId="2" borderId="1" xfId="0" applyFill="1" applyBorder="1" applyAlignment="1">
      <alignment horizontal="center"/>
    </xf>
    <xf numFmtId="0" fontId="0" fillId="0" borderId="0" xfId="0" applyAlignment="1">
      <alignment horizontal="center"/>
    </xf>
    <xf numFmtId="0" fontId="0" fillId="2" borderId="1" xfId="0" applyFill="1" applyBorder="1"/>
    <xf numFmtId="0" fontId="0" fillId="2" borderId="3" xfId="0" applyFill="1" applyBorder="1"/>
    <xf numFmtId="0" fontId="0" fillId="2" borderId="5" xfId="0" applyFill="1" applyBorder="1"/>
    <xf numFmtId="14" fontId="0" fillId="2" borderId="4" xfId="0" applyNumberFormat="1" applyFill="1" applyBorder="1" applyAlignment="1">
      <alignment horizontal="center"/>
    </xf>
    <xf numFmtId="14" fontId="14" fillId="2" borderId="6" xfId="0" applyNumberFormat="1" applyFont="1" applyFill="1" applyBorder="1" applyAlignment="1">
      <alignment horizontal="center"/>
    </xf>
    <xf numFmtId="0" fontId="14" fillId="2" borderId="0" xfId="0" applyFont="1" applyFill="1"/>
    <xf numFmtId="0" fontId="0" fillId="2" borderId="0" xfId="0" applyFill="1" applyAlignment="1">
      <alignment horizontal="center"/>
    </xf>
    <xf numFmtId="0" fontId="5" fillId="2" borderId="0" xfId="1" applyFill="1" applyAlignment="1">
      <alignment horizontal="center"/>
    </xf>
    <xf numFmtId="164" fontId="4" fillId="3" borderId="1" xfId="0" applyNumberFormat="1" applyFont="1" applyFill="1" applyBorder="1" applyAlignment="1">
      <alignment horizontal="center"/>
    </xf>
    <xf numFmtId="164" fontId="4" fillId="2" borderId="1" xfId="0" applyNumberFormat="1" applyFont="1" applyFill="1" applyBorder="1" applyAlignment="1">
      <alignment horizontal="center"/>
    </xf>
    <xf numFmtId="10" fontId="4" fillId="2" borderId="1" xfId="0" applyNumberFormat="1" applyFont="1" applyFill="1" applyBorder="1" applyAlignment="1">
      <alignment horizontal="center"/>
    </xf>
    <xf numFmtId="10" fontId="4" fillId="3" borderId="1" xfId="0" applyNumberFormat="1" applyFont="1" applyFill="1" applyBorder="1" applyAlignment="1">
      <alignment horizontal="center"/>
    </xf>
    <xf numFmtId="3" fontId="0" fillId="2" borderId="0" xfId="0" applyNumberFormat="1" applyFill="1" applyAlignment="1">
      <alignment horizontal="center"/>
    </xf>
    <xf numFmtId="3" fontId="6" fillId="2" borderId="1" xfId="2" applyNumberFormat="1" applyFill="1" applyBorder="1" applyAlignment="1">
      <alignment horizontal="center"/>
    </xf>
    <xf numFmtId="3" fontId="0" fillId="0" borderId="0" xfId="0" applyNumberFormat="1" applyAlignment="1">
      <alignment horizontal="center"/>
    </xf>
    <xf numFmtId="164" fontId="4" fillId="3" borderId="7" xfId="0" applyNumberFormat="1" applyFont="1" applyFill="1" applyBorder="1" applyAlignment="1">
      <alignment horizontal="center"/>
    </xf>
    <xf numFmtId="3" fontId="6" fillId="2" borderId="7" xfId="2" applyNumberFormat="1" applyFill="1" applyBorder="1" applyAlignment="1">
      <alignment horizontal="center"/>
    </xf>
    <xf numFmtId="0" fontId="0" fillId="2" borderId="7" xfId="0" applyFill="1" applyBorder="1" applyAlignment="1">
      <alignment horizontal="center"/>
    </xf>
    <xf numFmtId="0" fontId="8" fillId="2" borderId="0" xfId="0" applyFont="1" applyFill="1"/>
    <xf numFmtId="10" fontId="0" fillId="2" borderId="0" xfId="8" applyNumberFormat="1" applyFont="1" applyFill="1"/>
    <xf numFmtId="3" fontId="0" fillId="2" borderId="0" xfId="0" applyNumberFormat="1" applyFill="1"/>
    <xf numFmtId="3" fontId="0" fillId="0" borderId="0" xfId="0" applyNumberFormat="1"/>
    <xf numFmtId="3" fontId="1" fillId="2" borderId="0" xfId="0" applyNumberFormat="1" applyFont="1" applyFill="1"/>
    <xf numFmtId="0" fontId="1" fillId="2" borderId="0" xfId="0" applyFont="1" applyFill="1" applyAlignment="1"/>
    <xf numFmtId="3" fontId="3" fillId="2" borderId="0" xfId="0" applyNumberFormat="1" applyFont="1" applyFill="1" applyAlignment="1"/>
    <xf numFmtId="0" fontId="3" fillId="2" borderId="0" xfId="4" applyFont="1" applyFill="1"/>
    <xf numFmtId="0" fontId="1" fillId="2" borderId="0" xfId="0" applyFont="1" applyFill="1"/>
    <xf numFmtId="10" fontId="0" fillId="2" borderId="0" xfId="0" applyNumberFormat="1" applyFill="1"/>
    <xf numFmtId="0" fontId="0" fillId="2" borderId="0" xfId="0" applyFill="1" applyAlignment="1"/>
    <xf numFmtId="0" fontId="2" fillId="2" borderId="0" xfId="0" applyFont="1" applyFill="1" applyAlignment="1"/>
    <xf numFmtId="0" fontId="5" fillId="2" borderId="0" xfId="1" applyFill="1" applyAlignment="1"/>
    <xf numFmtId="164" fontId="4" fillId="3" borderId="13" xfId="0" applyNumberFormat="1" applyFont="1" applyFill="1" applyBorder="1" applyAlignment="1">
      <alignment horizontal="center"/>
    </xf>
    <xf numFmtId="3" fontId="6" fillId="2" borderId="13" xfId="2" applyNumberFormat="1" applyFill="1" applyBorder="1" applyAlignment="1">
      <alignment horizontal="center"/>
    </xf>
    <xf numFmtId="10" fontId="4" fillId="2" borderId="13" xfId="0" applyNumberFormat="1" applyFont="1" applyFill="1" applyBorder="1" applyAlignment="1">
      <alignment horizontal="center"/>
    </xf>
    <xf numFmtId="10" fontId="4" fillId="3" borderId="13" xfId="0" applyNumberFormat="1" applyFont="1" applyFill="1" applyBorder="1" applyAlignment="1">
      <alignment horizontal="center"/>
    </xf>
    <xf numFmtId="0" fontId="16" fillId="2" borderId="1" xfId="0" applyFont="1" applyFill="1" applyBorder="1" applyAlignment="1">
      <alignment horizontal="center"/>
    </xf>
    <xf numFmtId="3" fontId="16" fillId="2" borderId="1" xfId="0" applyNumberFormat="1" applyFont="1" applyFill="1" applyBorder="1" applyAlignment="1">
      <alignment horizontal="center"/>
    </xf>
    <xf numFmtId="166" fontId="17" fillId="2" borderId="1" xfId="0" applyNumberFormat="1" applyFont="1" applyFill="1" applyBorder="1" applyAlignment="1">
      <alignment horizontal="center"/>
    </xf>
    <xf numFmtId="0" fontId="18" fillId="0" borderId="1" xfId="0" applyFont="1" applyBorder="1"/>
    <xf numFmtId="0" fontId="18" fillId="2" borderId="1" xfId="0" applyFont="1" applyFill="1" applyBorder="1"/>
    <xf numFmtId="0" fontId="15" fillId="2" borderId="16" xfId="0" applyFont="1" applyFill="1" applyBorder="1"/>
    <xf numFmtId="0" fontId="19" fillId="2" borderId="17" xfId="1" applyFont="1" applyFill="1" applyBorder="1"/>
    <xf numFmtId="0" fontId="15" fillId="2" borderId="16" xfId="0" applyFont="1" applyFill="1" applyBorder="1" applyAlignment="1">
      <alignment horizontal="center"/>
    </xf>
    <xf numFmtId="0" fontId="19" fillId="0" borderId="17" xfId="1" applyFont="1" applyBorder="1"/>
    <xf numFmtId="0" fontId="15" fillId="2" borderId="18" xfId="0" applyFont="1" applyFill="1" applyBorder="1" applyAlignment="1">
      <alignment horizontal="center"/>
    </xf>
    <xf numFmtId="0" fontId="16" fillId="2" borderId="19" xfId="0" applyFont="1" applyFill="1" applyBorder="1" applyAlignment="1">
      <alignment horizontal="center"/>
    </xf>
    <xf numFmtId="3" fontId="16" fillId="2" borderId="19" xfId="0" applyNumberFormat="1" applyFont="1" applyFill="1" applyBorder="1" applyAlignment="1">
      <alignment horizontal="center"/>
    </xf>
    <xf numFmtId="166" fontId="17" fillId="2" borderId="19" xfId="0" applyNumberFormat="1" applyFont="1" applyFill="1" applyBorder="1" applyAlignment="1">
      <alignment horizontal="center"/>
    </xf>
    <xf numFmtId="3" fontId="16" fillId="5" borderId="21" xfId="0" applyNumberFormat="1" applyFont="1" applyFill="1" applyBorder="1" applyAlignment="1">
      <alignment horizontal="center"/>
    </xf>
    <xf numFmtId="3" fontId="16" fillId="5" borderId="22" xfId="0" applyNumberFormat="1" applyFont="1" applyFill="1" applyBorder="1" applyAlignment="1">
      <alignment horizontal="center"/>
    </xf>
    <xf numFmtId="166" fontId="16" fillId="2" borderId="1" xfId="8" applyNumberFormat="1" applyFont="1" applyFill="1" applyBorder="1" applyAlignment="1">
      <alignment horizontal="center"/>
    </xf>
    <xf numFmtId="166" fontId="16" fillId="2" borderId="19" xfId="8" applyNumberFormat="1" applyFont="1" applyFill="1" applyBorder="1" applyAlignment="1">
      <alignment horizontal="center"/>
    </xf>
    <xf numFmtId="166" fontId="20" fillId="2" borderId="2" xfId="0" applyNumberFormat="1" applyFont="1" applyFill="1" applyBorder="1" applyAlignment="1">
      <alignment horizontal="center"/>
    </xf>
    <xf numFmtId="0" fontId="18" fillId="0" borderId="19" xfId="0" applyFont="1" applyBorder="1"/>
    <xf numFmtId="0" fontId="19" fillId="2" borderId="20" xfId="1" applyFont="1" applyFill="1" applyBorder="1"/>
    <xf numFmtId="0" fontId="3" fillId="2" borderId="0" xfId="0" applyFont="1" applyFill="1"/>
    <xf numFmtId="10" fontId="21" fillId="2" borderId="23" xfId="0" applyNumberFormat="1" applyFont="1" applyFill="1" applyBorder="1" applyAlignment="1">
      <alignment horizontal="center" vertical="center"/>
    </xf>
    <xf numFmtId="10" fontId="21" fillId="2" borderId="24" xfId="0" applyNumberFormat="1" applyFont="1" applyFill="1" applyBorder="1" applyAlignment="1">
      <alignment horizontal="center" vertical="center"/>
    </xf>
    <xf numFmtId="10" fontId="22" fillId="2" borderId="16" xfId="0" applyNumberFormat="1" applyFont="1" applyFill="1" applyBorder="1" applyAlignment="1">
      <alignment horizontal="center" vertical="center"/>
    </xf>
    <xf numFmtId="10" fontId="22" fillId="2" borderId="17" xfId="0" applyNumberFormat="1" applyFont="1" applyFill="1" applyBorder="1" applyAlignment="1">
      <alignment horizontal="center" vertical="center"/>
    </xf>
    <xf numFmtId="0" fontId="0" fillId="2" borderId="0" xfId="0" applyFill="1" applyBorder="1" applyAlignment="1">
      <alignment horizontal="center"/>
    </xf>
    <xf numFmtId="164" fontId="21" fillId="2" borderId="25" xfId="0" applyNumberFormat="1" applyFont="1" applyFill="1" applyBorder="1" applyAlignment="1">
      <alignment horizontal="center" vertical="center"/>
    </xf>
    <xf numFmtId="164" fontId="21" fillId="2" borderId="26" xfId="0" applyNumberFormat="1" applyFont="1" applyFill="1" applyBorder="1" applyAlignment="1">
      <alignment horizontal="center" vertical="center"/>
    </xf>
    <xf numFmtId="10" fontId="21" fillId="2" borderId="14" xfId="0" applyNumberFormat="1" applyFont="1" applyFill="1" applyBorder="1" applyAlignment="1">
      <alignment horizontal="center" vertical="center"/>
    </xf>
    <xf numFmtId="10" fontId="21" fillId="2" borderId="15" xfId="0" applyNumberFormat="1" applyFont="1" applyFill="1" applyBorder="1" applyAlignment="1">
      <alignment horizontal="center" vertical="center"/>
    </xf>
    <xf numFmtId="0" fontId="15" fillId="2" borderId="23" xfId="0" applyFont="1" applyFill="1" applyBorder="1"/>
    <xf numFmtId="0" fontId="16" fillId="2" borderId="7" xfId="0" applyFont="1" applyFill="1" applyBorder="1" applyAlignment="1">
      <alignment horizontal="center"/>
    </xf>
    <xf numFmtId="3" fontId="16" fillId="5" borderId="7" xfId="0" applyNumberFormat="1" applyFont="1" applyFill="1" applyBorder="1" applyAlignment="1">
      <alignment horizontal="center"/>
    </xf>
    <xf numFmtId="166" fontId="17" fillId="2" borderId="7" xfId="0" applyNumberFormat="1" applyFont="1" applyFill="1" applyBorder="1" applyAlignment="1">
      <alignment horizontal="center"/>
    </xf>
    <xf numFmtId="0" fontId="0" fillId="2" borderId="7" xfId="0" applyFill="1" applyBorder="1"/>
    <xf numFmtId="0" fontId="18" fillId="0" borderId="7" xfId="0" applyFont="1" applyBorder="1"/>
    <xf numFmtId="0" fontId="19" fillId="2" borderId="24" xfId="1" applyFont="1" applyFill="1" applyBorder="1"/>
    <xf numFmtId="0" fontId="0" fillId="2" borderId="0" xfId="0" applyFill="1" applyAlignment="1">
      <alignment vertical="center"/>
    </xf>
    <xf numFmtId="0" fontId="0" fillId="2" borderId="0" xfId="0" applyFill="1"/>
    <xf numFmtId="0" fontId="0" fillId="0" borderId="0" xfId="0" applyAlignment="1">
      <alignment vertical="center"/>
    </xf>
    <xf numFmtId="167" fontId="0" fillId="2" borderId="0" xfId="0" applyNumberFormat="1" applyFill="1" applyAlignment="1">
      <alignment horizontal="left" vertical="center"/>
    </xf>
    <xf numFmtId="167" fontId="23" fillId="2" borderId="0" xfId="0" applyNumberFormat="1" applyFont="1" applyFill="1" applyAlignment="1">
      <alignment horizontal="left" vertical="center"/>
    </xf>
    <xf numFmtId="0" fontId="0" fillId="2" borderId="0" xfId="0" applyFill="1" applyAlignment="1">
      <alignment horizontal="left" vertical="center"/>
    </xf>
    <xf numFmtId="14" fontId="24" fillId="2" borderId="32" xfId="0" applyNumberFormat="1" applyFont="1" applyFill="1" applyBorder="1" applyAlignment="1">
      <alignment horizontal="center"/>
    </xf>
    <xf numFmtId="14" fontId="1" fillId="2" borderId="32" xfId="0" applyNumberFormat="1" applyFont="1" applyFill="1" applyBorder="1" applyAlignment="1">
      <alignment horizontal="center"/>
    </xf>
    <xf numFmtId="0" fontId="1" fillId="2" borderId="33" xfId="0" applyFont="1" applyFill="1" applyBorder="1" applyAlignment="1">
      <alignment horizontal="center"/>
    </xf>
    <xf numFmtId="0" fontId="18" fillId="2" borderId="0" xfId="0" applyFont="1" applyFill="1" applyAlignment="1">
      <alignment horizontal="left" vertical="center"/>
    </xf>
    <xf numFmtId="14" fontId="1" fillId="2" borderId="2" xfId="0" applyNumberFormat="1" applyFont="1" applyFill="1" applyBorder="1" applyAlignment="1">
      <alignment horizontal="center"/>
    </xf>
    <xf numFmtId="0" fontId="27" fillId="4" borderId="21" xfId="0" applyFont="1" applyFill="1" applyBorder="1" applyAlignment="1">
      <alignment horizontal="center" wrapText="1"/>
    </xf>
    <xf numFmtId="0" fontId="27" fillId="4" borderId="27" xfId="0" applyFont="1" applyFill="1" applyBorder="1" applyAlignment="1">
      <alignment horizontal="center" wrapText="1"/>
    </xf>
    <xf numFmtId="0" fontId="27" fillId="4" borderId="22" xfId="0" applyFont="1" applyFill="1" applyBorder="1" applyAlignment="1">
      <alignment horizontal="center" wrapText="1"/>
    </xf>
    <xf numFmtId="0" fontId="13" fillId="4" borderId="1" xfId="0" applyFont="1" applyFill="1" applyBorder="1"/>
    <xf numFmtId="0" fontId="13" fillId="4" borderId="1" xfId="0" applyFont="1" applyFill="1" applyBorder="1" applyAlignment="1">
      <alignment horizontal="center"/>
    </xf>
    <xf numFmtId="0" fontId="13" fillId="4" borderId="8" xfId="0" applyFont="1" applyFill="1" applyBorder="1" applyAlignment="1">
      <alignment horizontal="center" wrapText="1"/>
    </xf>
    <xf numFmtId="3" fontId="13" fillId="4" borderId="9" xfId="0" applyNumberFormat="1" applyFont="1" applyFill="1" applyBorder="1" applyAlignment="1">
      <alignment horizontal="center" wrapText="1"/>
    </xf>
    <xf numFmtId="0" fontId="13" fillId="4" borderId="9" xfId="0" applyFont="1" applyFill="1" applyBorder="1" applyAlignment="1">
      <alignment horizontal="center" wrapText="1"/>
    </xf>
    <xf numFmtId="0" fontId="13" fillId="4" borderId="10" xfId="0" applyFont="1" applyFill="1" applyBorder="1" applyAlignment="1">
      <alignment horizontal="center" wrapText="1"/>
    </xf>
    <xf numFmtId="0" fontId="13" fillId="4" borderId="3" xfId="0" applyFont="1" applyFill="1" applyBorder="1" applyAlignment="1">
      <alignment horizontal="center"/>
    </xf>
    <xf numFmtId="0" fontId="13" fillId="4" borderId="11" xfId="0" applyFont="1" applyFill="1" applyBorder="1" applyAlignment="1">
      <alignment horizontal="center" wrapText="1"/>
    </xf>
    <xf numFmtId="0" fontId="13" fillId="4" borderId="11" xfId="0" applyFont="1" applyFill="1" applyBorder="1" applyAlignment="1">
      <alignment horizontal="center"/>
    </xf>
    <xf numFmtId="0" fontId="13" fillId="4" borderId="4" xfId="0" applyFont="1" applyFill="1" applyBorder="1" applyAlignment="1">
      <alignment horizontal="center"/>
    </xf>
    <xf numFmtId="0" fontId="13" fillId="4" borderId="3" xfId="0" applyFont="1" applyFill="1" applyBorder="1" applyAlignment="1">
      <alignment horizontal="center" wrapText="1"/>
    </xf>
    <xf numFmtId="0" fontId="28" fillId="4" borderId="11" xfId="0" applyFont="1" applyFill="1" applyBorder="1" applyAlignment="1">
      <alignment horizontal="center" wrapText="1"/>
    </xf>
    <xf numFmtId="0" fontId="26" fillId="4" borderId="8" xfId="0" applyFont="1" applyFill="1" applyBorder="1" applyAlignment="1">
      <alignment horizontal="center"/>
    </xf>
    <xf numFmtId="0" fontId="26" fillId="4" borderId="9" xfId="0" applyFont="1" applyFill="1" applyBorder="1" applyAlignment="1">
      <alignment horizontal="center"/>
    </xf>
    <xf numFmtId="0" fontId="26" fillId="4" borderId="10" xfId="0" applyFont="1" applyFill="1" applyBorder="1" applyAlignment="1">
      <alignment horizontal="center"/>
    </xf>
    <xf numFmtId="0" fontId="13" fillId="4" borderId="12" xfId="0" applyFont="1" applyFill="1" applyBorder="1" applyAlignment="1">
      <alignment horizontal="center" wrapText="1"/>
    </xf>
    <xf numFmtId="0" fontId="13" fillId="4" borderId="0" xfId="0" applyFont="1" applyFill="1" applyBorder="1" applyAlignment="1">
      <alignment horizontal="center" wrapText="1"/>
    </xf>
    <xf numFmtId="0" fontId="13" fillId="4" borderId="9" xfId="0" applyFont="1" applyFill="1" applyBorder="1" applyAlignment="1">
      <alignment horizontal="center"/>
    </xf>
    <xf numFmtId="0" fontId="13" fillId="4" borderId="10" xfId="0" applyFont="1" applyFill="1" applyBorder="1" applyAlignment="1">
      <alignment horizontal="center"/>
    </xf>
    <xf numFmtId="165" fontId="0" fillId="0" borderId="0" xfId="0" applyNumberFormat="1"/>
    <xf numFmtId="1" fontId="0" fillId="0" borderId="0" xfId="0" applyNumberFormat="1"/>
    <xf numFmtId="166" fontId="0" fillId="2" borderId="34" xfId="8" applyNumberFormat="1" applyFont="1" applyFill="1" applyBorder="1" applyAlignment="1">
      <alignment horizontal="center" vertical="center"/>
    </xf>
    <xf numFmtId="166" fontId="0" fillId="2" borderId="15" xfId="8" applyNumberFormat="1" applyFont="1" applyFill="1" applyBorder="1" applyAlignment="1">
      <alignment horizontal="center" vertical="center"/>
    </xf>
    <xf numFmtId="166" fontId="0" fillId="2" borderId="1" xfId="8" applyNumberFormat="1" applyFont="1" applyFill="1" applyBorder="1" applyAlignment="1">
      <alignment horizontal="center" vertical="center"/>
    </xf>
    <xf numFmtId="166" fontId="0" fillId="2" borderId="17" xfId="8" applyNumberFormat="1" applyFont="1" applyFill="1" applyBorder="1" applyAlignment="1">
      <alignment horizontal="center" vertical="center"/>
    </xf>
    <xf numFmtId="166" fontId="0" fillId="2" borderId="19" xfId="8" applyNumberFormat="1" applyFont="1" applyFill="1" applyBorder="1" applyAlignment="1">
      <alignment horizontal="center" vertical="center"/>
    </xf>
    <xf numFmtId="166" fontId="0" fillId="2" borderId="20" xfId="8" applyNumberFormat="1" applyFont="1" applyFill="1" applyBorder="1" applyAlignment="1">
      <alignment horizontal="center" vertical="center"/>
    </xf>
    <xf numFmtId="0" fontId="5" fillId="2" borderId="0" xfId="1" applyFill="1"/>
    <xf numFmtId="0" fontId="0" fillId="0" borderId="0" xfId="0"/>
    <xf numFmtId="0" fontId="0" fillId="0" borderId="0" xfId="0"/>
    <xf numFmtId="0" fontId="25" fillId="2" borderId="16" xfId="0" applyFont="1" applyFill="1" applyBorder="1" applyAlignment="1">
      <alignment horizontal="center"/>
    </xf>
    <xf numFmtId="0" fontId="0" fillId="0" borderId="1" xfId="0" applyFont="1" applyBorder="1" applyAlignment="1">
      <alignment horizontal="center"/>
    </xf>
    <xf numFmtId="0" fontId="25" fillId="2" borderId="18" xfId="0" applyFont="1" applyFill="1" applyBorder="1" applyAlignment="1">
      <alignment horizontal="center"/>
    </xf>
    <xf numFmtId="0" fontId="0" fillId="0" borderId="19" xfId="0" applyFont="1" applyBorder="1" applyAlignment="1">
      <alignment horizontal="center"/>
    </xf>
    <xf numFmtId="0" fontId="1" fillId="6" borderId="29" xfId="0" applyFont="1" applyFill="1" applyBorder="1" applyAlignment="1">
      <alignment horizontal="center"/>
    </xf>
    <xf numFmtId="0" fontId="0" fillId="0" borderId="30" xfId="0" applyBorder="1" applyAlignment="1">
      <alignment horizontal="center"/>
    </xf>
    <xf numFmtId="0" fontId="0" fillId="0" borderId="31" xfId="0" applyBorder="1" applyAlignment="1">
      <alignment horizontal="center"/>
    </xf>
    <xf numFmtId="0" fontId="0" fillId="6" borderId="30" xfId="0" applyFill="1" applyBorder="1" applyAlignment="1">
      <alignment horizontal="center"/>
    </xf>
    <xf numFmtId="0" fontId="0" fillId="6" borderId="31" xfId="0" applyFill="1" applyBorder="1" applyAlignment="1">
      <alignment horizontal="center"/>
    </xf>
    <xf numFmtId="0" fontId="25" fillId="2" borderId="14" xfId="0" applyFont="1" applyFill="1" applyBorder="1" applyAlignment="1">
      <alignment horizontal="center"/>
    </xf>
    <xf numFmtId="0" fontId="0" fillId="0" borderId="34" xfId="0" applyFont="1" applyBorder="1" applyAlignment="1">
      <alignment horizontal="center"/>
    </xf>
    <xf numFmtId="0" fontId="1" fillId="2" borderId="0" xfId="0" applyFont="1" applyFill="1" applyAlignment="1">
      <alignment horizontal="center" vertical="center"/>
    </xf>
    <xf numFmtId="0" fontId="1" fillId="2" borderId="28" xfId="0" applyFont="1" applyFill="1" applyBorder="1" applyAlignment="1">
      <alignment horizontal="center" vertical="center"/>
    </xf>
    <xf numFmtId="0" fontId="13" fillId="4" borderId="8" xfId="0" applyFont="1" applyFill="1" applyBorder="1" applyAlignment="1">
      <alignment horizontal="center"/>
    </xf>
    <xf numFmtId="0" fontId="0" fillId="0" borderId="9" xfId="0" applyBorder="1" applyAlignment="1">
      <alignment horizontal="center"/>
    </xf>
    <xf numFmtId="0" fontId="0" fillId="0" borderId="10" xfId="0" applyBorder="1" applyAlignment="1">
      <alignment horizontal="center"/>
    </xf>
    <xf numFmtId="0" fontId="0" fillId="2" borderId="0" xfId="0" applyFill="1" applyAlignment="1">
      <alignment vertical="center" wrapText="1"/>
    </xf>
    <xf numFmtId="0" fontId="0" fillId="0" borderId="0" xfId="0" applyAlignment="1">
      <alignment wrapText="1"/>
    </xf>
    <xf numFmtId="0" fontId="5" fillId="2" borderId="0" xfId="1" applyFill="1"/>
    <xf numFmtId="0" fontId="0" fillId="0" borderId="0" xfId="0"/>
    <xf numFmtId="0" fontId="0" fillId="2" borderId="0" xfId="0" applyFill="1" applyAlignment="1">
      <alignment wrapText="1"/>
    </xf>
    <xf numFmtId="0" fontId="5" fillId="2" borderId="0" xfId="1" applyFill="1" applyAlignment="1">
      <alignment wrapText="1"/>
    </xf>
    <xf numFmtId="167" fontId="0" fillId="2" borderId="0" xfId="0" applyNumberFormat="1" applyFill="1" applyAlignment="1">
      <alignment horizontal="left" vertical="center" wrapText="1"/>
    </xf>
    <xf numFmtId="0" fontId="0" fillId="2" borderId="0" xfId="0" applyFill="1" applyAlignment="1">
      <alignment horizontal="left" vertical="center" wrapText="1"/>
    </xf>
    <xf numFmtId="0" fontId="1" fillId="6" borderId="30" xfId="0" applyFont="1" applyFill="1" applyBorder="1" applyAlignment="1">
      <alignment horizontal="center"/>
    </xf>
    <xf numFmtId="0" fontId="1" fillId="6" borderId="31" xfId="0" applyFont="1" applyFill="1" applyBorder="1" applyAlignment="1">
      <alignment horizontal="center"/>
    </xf>
    <xf numFmtId="0" fontId="0" fillId="2" borderId="0" xfId="0" applyFill="1"/>
    <xf numFmtId="0" fontId="27" fillId="4" borderId="8" xfId="0" applyFont="1" applyFill="1" applyBorder="1" applyAlignment="1">
      <alignment horizontal="center" vertical="center" wrapText="1"/>
    </xf>
    <xf numFmtId="0" fontId="27" fillId="4" borderId="10" xfId="0" applyFont="1" applyFill="1" applyBorder="1" applyAlignment="1">
      <alignment horizontal="center" vertical="center" wrapText="1"/>
    </xf>
    <xf numFmtId="0" fontId="27" fillId="4" borderId="9" xfId="0" applyFont="1" applyFill="1" applyBorder="1" applyAlignment="1">
      <alignment horizontal="center" vertical="center" wrapText="1"/>
    </xf>
    <xf numFmtId="0" fontId="26" fillId="4" borderId="10" xfId="0" applyFont="1" applyFill="1" applyBorder="1" applyAlignment="1">
      <alignment horizontal="center" vertical="center" wrapText="1"/>
    </xf>
  </cellXfs>
  <cellStyles count="9">
    <cellStyle name="Hyperlink" xfId="1" builtinId="8"/>
    <cellStyle name="Normal" xfId="0" builtinId="0"/>
    <cellStyle name="Normal 2" xfId="2" xr:uid="{00000000-0005-0000-0000-000002000000}"/>
    <cellStyle name="Normal 3" xfId="3" xr:uid="{00000000-0005-0000-0000-000003000000}"/>
    <cellStyle name="Normal 4" xfId="4" xr:uid="{00000000-0005-0000-0000-000004000000}"/>
    <cellStyle name="Normal 5" xfId="5" xr:uid="{00000000-0005-0000-0000-000034000000}"/>
    <cellStyle name="Normal 6" xfId="6" xr:uid="{DD9B2CE4-935F-496E-A17A-756C0672AB73}"/>
    <cellStyle name="Normal 7" xfId="7" xr:uid="{51892054-5B74-4498-B086-6338643A8AD0}"/>
    <cellStyle name="Per cent" xfId="8" builtinId="5"/>
  </cellStyles>
  <dxfs count="65">
    <dxf>
      <font>
        <b val="0"/>
        <i val="0"/>
        <strike val="0"/>
        <condense val="0"/>
        <extend val="0"/>
        <outline val="0"/>
        <shadow val="0"/>
        <u val="none"/>
        <vertAlign val="baseline"/>
        <sz val="8"/>
        <color auto="1"/>
        <name val="Calibri"/>
        <family val="2"/>
        <scheme val="minor"/>
      </font>
      <numFmt numFmtId="14" formatCode="0.00%"/>
      <fill>
        <patternFill patternType="solid">
          <fgColor theme="4" tint="0.79998168889431442"/>
          <bgColor theme="0"/>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8"/>
        <color auto="1"/>
        <name val="Calibri"/>
        <family val="2"/>
        <scheme val="minor"/>
      </font>
      <numFmt numFmtId="14" formatCode="0.00%"/>
      <fill>
        <patternFill patternType="solid">
          <fgColor indexed="64"/>
          <bgColor theme="0"/>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3" formatCode="#,##0"/>
      <fill>
        <patternFill patternType="solid">
          <fgColor indexed="64"/>
          <bgColor theme="0"/>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8"/>
        <color auto="1"/>
        <name val="Calibri"/>
        <family val="2"/>
        <scheme val="minor"/>
      </font>
      <numFmt numFmtId="164" formatCode="[$-409]mmm\-yy;@"/>
      <fill>
        <patternFill patternType="solid">
          <fgColor theme="4" tint="0.79998168889431442"/>
          <bgColor theme="0"/>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border outline="0">
        <bottom style="thin">
          <color theme="4" tint="0.39994506668294322"/>
        </bottom>
      </border>
    </dxf>
    <dxf>
      <border>
        <bottom style="medium">
          <color indexed="64"/>
        </bottom>
      </border>
    </dxf>
    <dxf>
      <font>
        <b/>
        <i val="0"/>
        <strike val="0"/>
        <condense val="0"/>
        <extend val="0"/>
        <outline val="0"/>
        <shadow val="0"/>
        <u val="none"/>
        <vertAlign val="baseline"/>
        <sz val="11"/>
        <color theme="0"/>
        <name val="Calibri"/>
        <family val="2"/>
        <scheme val="minor"/>
      </font>
      <fill>
        <patternFill patternType="solid">
          <fgColor indexed="64"/>
          <bgColor rgb="FF00B050"/>
        </patternFill>
      </fill>
      <alignment horizontal="center" vertical="bottom" textRotation="0" wrapText="1" indent="0" justifyLastLine="0" shrinkToFit="0" readingOrder="0"/>
      <border diagonalUp="0" diagonalDown="0" outline="0">
        <left/>
        <right/>
        <top/>
        <bottom/>
      </border>
    </dxf>
    <dxf>
      <font>
        <b val="0"/>
        <i val="0"/>
        <strike val="0"/>
        <condense val="0"/>
        <extend val="0"/>
        <outline val="0"/>
        <shadow val="0"/>
        <u val="none"/>
        <vertAlign val="baseline"/>
        <sz val="8"/>
        <color auto="1"/>
        <name val="Calibri"/>
        <family val="2"/>
        <scheme val="minor"/>
      </font>
      <numFmt numFmtId="14" formatCode="0.00%"/>
      <fill>
        <patternFill patternType="solid">
          <fgColor theme="4" tint="0.79998168889431442"/>
          <bgColor theme="0"/>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8"/>
        <color auto="1"/>
        <name val="Calibri"/>
        <family val="2"/>
        <scheme val="minor"/>
      </font>
      <numFmt numFmtId="14" formatCode="0.00%"/>
      <fill>
        <patternFill patternType="solid">
          <fgColor indexed="64"/>
          <bgColor theme="0"/>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3" formatCode="#,##0"/>
      <fill>
        <patternFill patternType="solid">
          <fgColor indexed="64"/>
          <bgColor theme="0"/>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8"/>
        <color auto="1"/>
        <name val="Calibri"/>
        <family val="2"/>
        <scheme val="minor"/>
      </font>
      <numFmt numFmtId="164" formatCode="[$-409]mmm\-yy;@"/>
      <fill>
        <patternFill patternType="solid">
          <fgColor theme="4" tint="0.79998168889431442"/>
          <bgColor theme="0"/>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border outline="0">
        <bottom style="thin">
          <color indexed="64"/>
        </bottom>
      </border>
    </dxf>
    <dxf>
      <border>
        <bottom style="medium">
          <color indexed="64"/>
        </bottom>
      </border>
    </dxf>
    <dxf>
      <font>
        <b/>
        <i val="0"/>
        <strike val="0"/>
        <condense val="0"/>
        <extend val="0"/>
        <outline val="0"/>
        <shadow val="0"/>
        <u val="none"/>
        <vertAlign val="baseline"/>
        <sz val="11"/>
        <color theme="0"/>
        <name val="Calibri"/>
        <family val="2"/>
        <scheme val="minor"/>
      </font>
      <fill>
        <patternFill patternType="solid">
          <fgColor indexed="64"/>
          <bgColor rgb="FF00B050"/>
        </patternFill>
      </fill>
      <alignment horizontal="center" vertical="bottom" textRotation="0" wrapText="1" indent="0" justifyLastLine="0" shrinkToFit="0" readingOrder="0"/>
      <border diagonalUp="0" diagonalDown="0" outline="0">
        <left/>
        <right/>
        <top/>
        <bottom/>
      </border>
    </dxf>
    <dxf>
      <font>
        <b val="0"/>
        <i val="0"/>
        <strike val="0"/>
        <condense val="0"/>
        <extend val="0"/>
        <outline val="0"/>
        <shadow val="0"/>
        <u val="none"/>
        <vertAlign val="baseline"/>
        <sz val="8"/>
        <color auto="1"/>
        <name val="Calibri"/>
        <family val="2"/>
        <scheme val="minor"/>
      </font>
      <numFmt numFmtId="14" formatCode="0.00%"/>
      <fill>
        <patternFill patternType="solid">
          <fgColor theme="4" tint="0.79998168889431442"/>
          <bgColor theme="0"/>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8"/>
        <color auto="1"/>
        <name val="Calibri"/>
        <family val="2"/>
        <scheme val="minor"/>
      </font>
      <numFmt numFmtId="14" formatCode="0.00%"/>
      <fill>
        <patternFill patternType="solid">
          <fgColor indexed="64"/>
          <bgColor theme="0"/>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3" formatCode="#,##0"/>
      <fill>
        <patternFill patternType="solid">
          <fgColor indexed="64"/>
          <bgColor theme="0"/>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8"/>
        <color auto="1"/>
        <name val="Calibri"/>
        <family val="2"/>
        <scheme val="minor"/>
      </font>
      <numFmt numFmtId="164" formatCode="[$-409]mmm\-yy;@"/>
      <fill>
        <patternFill patternType="solid">
          <fgColor theme="4" tint="0.79998168889431442"/>
          <bgColor theme="0"/>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border outline="0">
        <top style="medium">
          <color indexed="64"/>
        </top>
        <bottom style="thin">
          <color indexed="64"/>
        </bottom>
      </border>
    </dxf>
    <dxf>
      <font>
        <b/>
        <i val="0"/>
        <strike val="0"/>
        <condense val="0"/>
        <extend val="0"/>
        <outline val="0"/>
        <shadow val="0"/>
        <u val="none"/>
        <vertAlign val="baseline"/>
        <sz val="11"/>
        <color theme="0"/>
        <name val="Calibri"/>
        <family val="2"/>
        <scheme val="minor"/>
      </font>
      <fill>
        <patternFill patternType="solid">
          <fgColor indexed="64"/>
          <bgColor rgb="FF00B050"/>
        </patternFill>
      </fill>
      <alignment horizontal="center" vertical="bottom" textRotation="0" wrapText="1" indent="0" justifyLastLine="0" shrinkToFit="0" readingOrder="0"/>
    </dxf>
    <dxf>
      <font>
        <b val="0"/>
        <i val="0"/>
        <strike val="0"/>
        <condense val="0"/>
        <extend val="0"/>
        <outline val="0"/>
        <shadow val="0"/>
        <u val="none"/>
        <vertAlign val="baseline"/>
        <sz val="8"/>
        <color auto="1"/>
        <name val="Calibri"/>
        <family val="2"/>
        <scheme val="minor"/>
      </font>
      <numFmt numFmtId="14" formatCode="0.00%"/>
      <fill>
        <patternFill patternType="solid">
          <fgColor theme="4" tint="0.79998168889431442"/>
          <bgColor theme="0"/>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8"/>
        <color auto="1"/>
        <name val="Calibri"/>
        <family val="2"/>
        <scheme val="minor"/>
      </font>
      <numFmt numFmtId="14" formatCode="0.00%"/>
      <fill>
        <patternFill patternType="solid">
          <fgColor indexed="64"/>
          <bgColor theme="0"/>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3" formatCode="#,##0"/>
      <fill>
        <patternFill patternType="solid">
          <fgColor indexed="64"/>
          <bgColor theme="0"/>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8"/>
        <color auto="1"/>
        <name val="Calibri"/>
        <family val="2"/>
        <scheme val="minor"/>
      </font>
      <numFmt numFmtId="164" formatCode="[$-409]mmm\-yy;@"/>
      <fill>
        <patternFill patternType="solid">
          <fgColor indexed="64"/>
          <bgColor theme="0"/>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border outline="0">
        <bottom style="thin">
          <color indexed="64"/>
        </bottom>
      </border>
    </dxf>
    <dxf>
      <border>
        <bottom style="medium">
          <color indexed="64"/>
        </bottom>
      </border>
    </dxf>
    <dxf>
      <font>
        <strike val="0"/>
        <outline val="0"/>
        <shadow val="0"/>
        <u val="none"/>
        <vertAlign val="baseline"/>
        <sz val="11"/>
        <color theme="0"/>
        <name val="Calibri"/>
        <family val="2"/>
        <scheme val="minor"/>
      </font>
      <fill>
        <patternFill patternType="solid">
          <fgColor indexed="64"/>
          <bgColor rgb="FF00B050"/>
        </patternFill>
      </fill>
      <alignment horizontal="center"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8"/>
        <color auto="1"/>
        <name val="Calibri"/>
        <family val="2"/>
        <scheme val="minor"/>
      </font>
      <numFmt numFmtId="14" formatCode="0.00%"/>
      <fill>
        <patternFill patternType="solid">
          <fgColor theme="4" tint="0.79998168889431442"/>
          <bgColor theme="0"/>
        </patternFill>
      </fill>
      <alignment horizontal="center" vertical="bottom" textRotation="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8"/>
        <color auto="1"/>
        <name val="Calibri"/>
        <family val="2"/>
        <scheme val="minor"/>
      </font>
      <numFmt numFmtId="14" formatCode="0.00%"/>
      <fill>
        <patternFill>
          <bgColor theme="0"/>
        </patternFill>
      </fill>
      <alignment horizontal="center" vertical="bottom" textRotation="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3" formatCode="#,##0"/>
      <fill>
        <patternFill>
          <bgColor theme="0"/>
        </patternFill>
      </fill>
      <alignment horizontal="center" vertical="bottom" textRotation="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8"/>
        <color auto="1"/>
        <name val="Calibri"/>
        <family val="2"/>
        <scheme val="minor"/>
      </font>
      <numFmt numFmtId="164" formatCode="[$-409]mmm\-yy;@"/>
      <fill>
        <patternFill patternType="solid">
          <fgColor theme="4" tint="0.79998168889431442"/>
          <bgColor theme="0"/>
        </patternFill>
      </fill>
      <alignment horizontal="center" vertical="bottom" textRotation="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outline="0">
        <bottom style="thin">
          <color theme="4" tint="0.39994506668294322"/>
        </bottom>
      </border>
    </dxf>
    <dxf>
      <fill>
        <patternFill>
          <bgColor theme="0"/>
        </patternFill>
      </fill>
      <alignment horizontal="center" vertical="bottom" textRotation="0" indent="0" justifyLastLine="0" shrinkToFit="0" readingOrder="0"/>
    </dxf>
    <dxf>
      <border>
        <bottom style="medium">
          <color indexed="64"/>
        </bottom>
      </border>
    </dxf>
    <dxf>
      <font>
        <b/>
        <i val="0"/>
        <strike val="0"/>
        <condense val="0"/>
        <extend val="0"/>
        <outline val="0"/>
        <shadow val="0"/>
        <u val="none"/>
        <vertAlign val="baseline"/>
        <sz val="11"/>
        <color theme="0"/>
        <name val="Calibri"/>
        <family val="2"/>
        <scheme val="minor"/>
      </font>
      <fill>
        <patternFill patternType="solid">
          <fgColor indexed="64"/>
          <bgColor rgb="FF00B050"/>
        </patternFill>
      </fill>
      <alignment horizontal="center" vertical="bottom" textRotation="0" wrapText="1" indent="0" justifyLastLine="0" shrinkToFit="0" readingOrder="0"/>
      <border diagonalUp="0" diagonalDown="0" outline="0">
        <left/>
        <right/>
        <top/>
        <bottom/>
      </border>
    </dxf>
    <dxf>
      <font>
        <b val="0"/>
        <i val="0"/>
        <strike val="0"/>
        <condense val="0"/>
        <extend val="0"/>
        <outline val="0"/>
        <shadow val="0"/>
        <u val="none"/>
        <vertAlign val="baseline"/>
        <sz val="8"/>
        <color auto="1"/>
        <name val="Calibri"/>
        <family val="2"/>
        <scheme val="minor"/>
      </font>
      <numFmt numFmtId="14" formatCode="0.00%"/>
      <fill>
        <patternFill patternType="solid">
          <fgColor theme="4" tint="0.79998168889431442"/>
          <bgColor theme="0"/>
        </patternFill>
      </fill>
      <alignment horizontal="center" vertical="bottom" textRotation="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8"/>
        <color auto="1"/>
        <name val="Calibri"/>
        <family val="2"/>
        <scheme val="minor"/>
      </font>
      <numFmt numFmtId="14" formatCode="0.00%"/>
      <fill>
        <patternFill>
          <bgColor theme="0"/>
        </patternFill>
      </fill>
      <alignment horizontal="center" vertical="bottom" textRotation="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3" formatCode="#,##0"/>
      <fill>
        <patternFill>
          <bgColor theme="0"/>
        </patternFill>
      </fill>
      <alignment horizontal="center" vertical="bottom" textRotation="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8"/>
        <color auto="1"/>
        <name val="Calibri"/>
        <family val="2"/>
        <scheme val="minor"/>
      </font>
      <numFmt numFmtId="164" formatCode="[$-409]mmm\-yy;@"/>
      <fill>
        <patternFill patternType="solid">
          <fgColor theme="4" tint="0.79998168889431442"/>
          <bgColor theme="0"/>
        </patternFill>
      </fill>
      <alignment horizontal="center" vertical="bottom" textRotation="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outline="0">
        <bottom style="thin">
          <color theme="4" tint="0.39994506668294322"/>
        </bottom>
      </border>
    </dxf>
    <dxf>
      <fill>
        <patternFill>
          <bgColor theme="0"/>
        </patternFill>
      </fill>
      <alignment horizontal="center" vertical="bottom" textRotation="0" indent="0" justifyLastLine="0" shrinkToFit="0" readingOrder="0"/>
    </dxf>
    <dxf>
      <border>
        <bottom style="medium">
          <color indexed="64"/>
        </bottom>
      </border>
    </dxf>
    <dxf>
      <font>
        <b/>
        <i val="0"/>
        <strike val="0"/>
        <condense val="0"/>
        <extend val="0"/>
        <outline val="0"/>
        <shadow val="0"/>
        <u val="none"/>
        <vertAlign val="baseline"/>
        <sz val="11"/>
        <color theme="0"/>
        <name val="Calibri"/>
        <family val="2"/>
        <scheme val="minor"/>
      </font>
      <fill>
        <patternFill patternType="solid">
          <fgColor indexed="64"/>
          <bgColor rgb="FF00B050"/>
        </patternFill>
      </fill>
      <alignment horizontal="center" vertical="bottom" textRotation="0" wrapText="1" indent="0" justifyLastLine="0" shrinkToFit="0" readingOrder="0"/>
      <border diagonalUp="0" diagonalDown="0" outline="0">
        <left/>
        <right/>
        <top/>
        <bottom/>
      </border>
    </dxf>
    <dxf>
      <font>
        <b val="0"/>
        <i val="0"/>
        <strike val="0"/>
        <condense val="0"/>
        <extend val="0"/>
        <outline val="0"/>
        <shadow val="0"/>
        <u val="none"/>
        <vertAlign val="baseline"/>
        <sz val="8"/>
        <color auto="1"/>
        <name val="Calibri"/>
        <family val="2"/>
        <scheme val="minor"/>
      </font>
      <numFmt numFmtId="14" formatCode="0.00%"/>
      <fill>
        <patternFill patternType="solid">
          <fgColor theme="4" tint="0.79998168889431442"/>
          <bgColor theme="0"/>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8"/>
        <color auto="1"/>
        <name val="Calibri"/>
        <family val="2"/>
        <scheme val="minor"/>
      </font>
      <numFmt numFmtId="14" formatCode="0.00%"/>
      <fill>
        <patternFill>
          <bgColor theme="0"/>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3" formatCode="#,##0"/>
      <fill>
        <patternFill>
          <bgColor theme="0"/>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8"/>
        <color auto="1"/>
        <name val="Calibri"/>
        <family val="2"/>
        <scheme val="minor"/>
      </font>
      <numFmt numFmtId="164" formatCode="[$-409]mmm\-yy;@"/>
      <fill>
        <patternFill patternType="solid">
          <fgColor theme="4" tint="0.79998168889431442"/>
          <bgColor theme="0"/>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outline="0">
        <bottom style="thin">
          <color theme="4" tint="0.39994506668294322"/>
        </bottom>
      </border>
    </dxf>
    <dxf>
      <fill>
        <patternFill>
          <bgColor theme="0"/>
        </patternFill>
      </fill>
      <alignment horizontal="center" vertical="bottom" textRotation="0" wrapText="0" indent="0" justifyLastLine="0" shrinkToFit="0" readingOrder="0"/>
    </dxf>
    <dxf>
      <border>
        <bottom style="thin">
          <color indexed="64"/>
        </bottom>
      </border>
    </dxf>
    <dxf>
      <font>
        <b/>
        <i val="0"/>
        <strike val="0"/>
        <condense val="0"/>
        <extend val="0"/>
        <outline val="0"/>
        <shadow val="0"/>
        <u val="none"/>
        <vertAlign val="baseline"/>
        <sz val="11"/>
        <color theme="0"/>
        <name val="Calibri"/>
        <family val="2"/>
        <scheme val="minor"/>
      </font>
      <fill>
        <patternFill patternType="solid">
          <fgColor indexed="64"/>
          <bgColor rgb="FF00B050"/>
        </patternFill>
      </fill>
      <border diagonalUp="0" diagonalDown="0" outline="0">
        <left style="thin">
          <color indexed="64"/>
        </left>
        <right style="thin">
          <color indexed="64"/>
        </right>
        <top/>
        <bottom/>
      </border>
    </dxf>
    <dxf>
      <font>
        <b/>
        <i val="0"/>
        <color rgb="FF00B050"/>
      </font>
    </dxf>
    <dxf>
      <font>
        <b/>
        <i val="0"/>
        <color rgb="FFFF0000"/>
      </font>
    </dxf>
    <dxf>
      <font>
        <b/>
        <i val="0"/>
        <color theme="1"/>
      </font>
    </dxf>
    <dxf>
      <font>
        <b/>
        <i val="0"/>
        <color rgb="FF00B050"/>
      </font>
    </dxf>
    <dxf>
      <font>
        <b/>
        <i val="0"/>
        <color rgb="FFFF0000"/>
      </font>
    </dxf>
    <dxf>
      <font>
        <b/>
        <i val="0"/>
        <color theme="1"/>
      </font>
    </dxf>
    <dxf>
      <font>
        <b/>
        <i val="0"/>
        <color rgb="FF00B050"/>
      </font>
    </dxf>
    <dxf>
      <font>
        <b/>
        <i val="0"/>
        <color rgb="FFFF0000"/>
      </font>
    </dxf>
    <dxf>
      <font>
        <b/>
        <i val="0"/>
        <color theme="1"/>
      </font>
    </dxf>
    <dxf>
      <font>
        <b/>
        <i val="0"/>
        <color rgb="FF00B050"/>
      </font>
    </dxf>
    <dxf>
      <font>
        <b/>
        <i val="0"/>
        <color rgb="FFFF0000"/>
      </font>
    </dxf>
    <dxf>
      <font>
        <b/>
        <i val="0"/>
        <color theme="1"/>
      </font>
    </dxf>
    <dxf>
      <font>
        <color rgb="FF00B050"/>
      </font>
      <fill>
        <patternFill>
          <bgColor theme="0"/>
        </patternFill>
      </fill>
    </dxf>
    <dxf>
      <font>
        <color rgb="FFFF000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4.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5.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6.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27.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28.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29.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_rels/chart30.xml.rels><?xml version="1.0" encoding="UTF-8" standalone="yes"?>
<Relationships xmlns="http://schemas.openxmlformats.org/package/2006/relationships"><Relationship Id="rId2" Type="http://schemas.microsoft.com/office/2011/relationships/chartColorStyle" Target="colors30.xml"/><Relationship Id="rId1" Type="http://schemas.microsoft.com/office/2011/relationships/chartStyle" Target="style30.xml"/></Relationships>
</file>

<file path=xl/charts/_rels/chart31.xml.rels><?xml version="1.0" encoding="UTF-8" standalone="yes"?>
<Relationships xmlns="http://schemas.openxmlformats.org/package/2006/relationships"><Relationship Id="rId2" Type="http://schemas.microsoft.com/office/2011/relationships/chartColorStyle" Target="colors31.xml"/><Relationship Id="rId1" Type="http://schemas.microsoft.com/office/2011/relationships/chartStyle" Target="style31.xml"/></Relationships>
</file>

<file path=xl/charts/_rels/chart32.xml.rels><?xml version="1.0" encoding="UTF-8" standalone="yes"?>
<Relationships xmlns="http://schemas.openxmlformats.org/package/2006/relationships"><Relationship Id="rId2" Type="http://schemas.microsoft.com/office/2011/relationships/chartColorStyle" Target="colors32.xml"/><Relationship Id="rId1" Type="http://schemas.microsoft.com/office/2011/relationships/chartStyle" Target="style3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spc="0" baseline="0">
                <a:solidFill>
                  <a:schemeClr val="tx1">
                    <a:lumMod val="65000"/>
                    <a:lumOff val="35000"/>
                  </a:schemeClr>
                </a:solidFill>
                <a:latin typeface="+mn-lt"/>
                <a:ea typeface="+mn-ea"/>
                <a:cs typeface="+mn-cs"/>
              </a:defRPr>
            </a:pPr>
            <a:r>
              <a:rPr lang="en-GB" sz="1800" b="1" baseline="0"/>
              <a:t>Core Retail Sales mom %</a:t>
            </a:r>
          </a:p>
        </c:rich>
      </c:tx>
      <c:overlay val="0"/>
      <c:spPr>
        <a:noFill/>
        <a:ln>
          <a:noFill/>
        </a:ln>
        <a:effectLst/>
      </c:spPr>
      <c:txPr>
        <a:bodyPr rot="0" spcFirstLastPara="1" vertOverflow="ellipsis" vert="horz" wrap="square" anchor="ctr" anchorCtr="1"/>
        <a:lstStyle/>
        <a:p>
          <a:pPr>
            <a:defRPr sz="18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1"/>
          <c:order val="0"/>
          <c:spPr>
            <a:solidFill>
              <a:srgbClr val="00B050"/>
            </a:solidFill>
            <a:ln w="34925">
              <a:solidFill>
                <a:schemeClr val="accent1"/>
              </a:solidFill>
            </a:ln>
            <a:effectLst/>
          </c:spPr>
          <c:invertIfNegative val="1"/>
          <c:cat>
            <c:numRef>
              <c:f>'Retail Sales ex Auto and Gas'!$A$8:$A$368</c:f>
              <c:numCache>
                <c:formatCode>[$-409]mmm\-yy;@</c:formatCode>
                <c:ptCount val="361"/>
                <c:pt idx="0">
                  <c:v>33635</c:v>
                </c:pt>
                <c:pt idx="1">
                  <c:v>33664</c:v>
                </c:pt>
                <c:pt idx="2">
                  <c:v>33695</c:v>
                </c:pt>
                <c:pt idx="3">
                  <c:v>33725</c:v>
                </c:pt>
                <c:pt idx="4">
                  <c:v>33756</c:v>
                </c:pt>
                <c:pt idx="5">
                  <c:v>33786</c:v>
                </c:pt>
                <c:pt idx="6">
                  <c:v>33817</c:v>
                </c:pt>
                <c:pt idx="7">
                  <c:v>33848</c:v>
                </c:pt>
                <c:pt idx="8">
                  <c:v>33878</c:v>
                </c:pt>
                <c:pt idx="9">
                  <c:v>33909</c:v>
                </c:pt>
                <c:pt idx="10">
                  <c:v>33939</c:v>
                </c:pt>
                <c:pt idx="11">
                  <c:v>33970</c:v>
                </c:pt>
                <c:pt idx="12">
                  <c:v>34001</c:v>
                </c:pt>
                <c:pt idx="13">
                  <c:v>34029</c:v>
                </c:pt>
                <c:pt idx="14">
                  <c:v>34060</c:v>
                </c:pt>
                <c:pt idx="15">
                  <c:v>34090</c:v>
                </c:pt>
                <c:pt idx="16">
                  <c:v>34121</c:v>
                </c:pt>
                <c:pt idx="17">
                  <c:v>34151</c:v>
                </c:pt>
                <c:pt idx="18">
                  <c:v>34182</c:v>
                </c:pt>
                <c:pt idx="19">
                  <c:v>34213</c:v>
                </c:pt>
                <c:pt idx="20">
                  <c:v>34243</c:v>
                </c:pt>
                <c:pt idx="21">
                  <c:v>34274</c:v>
                </c:pt>
                <c:pt idx="22">
                  <c:v>34304</c:v>
                </c:pt>
                <c:pt idx="23">
                  <c:v>34335</c:v>
                </c:pt>
                <c:pt idx="24">
                  <c:v>34366</c:v>
                </c:pt>
                <c:pt idx="25">
                  <c:v>34394</c:v>
                </c:pt>
                <c:pt idx="26">
                  <c:v>34425</c:v>
                </c:pt>
                <c:pt idx="27">
                  <c:v>34455</c:v>
                </c:pt>
                <c:pt idx="28">
                  <c:v>34486</c:v>
                </c:pt>
                <c:pt idx="29">
                  <c:v>34516</c:v>
                </c:pt>
                <c:pt idx="30">
                  <c:v>34547</c:v>
                </c:pt>
                <c:pt idx="31">
                  <c:v>34578</c:v>
                </c:pt>
                <c:pt idx="32">
                  <c:v>34608</c:v>
                </c:pt>
                <c:pt idx="33">
                  <c:v>34639</c:v>
                </c:pt>
                <c:pt idx="34">
                  <c:v>34669</c:v>
                </c:pt>
                <c:pt idx="35">
                  <c:v>34700</c:v>
                </c:pt>
                <c:pt idx="36">
                  <c:v>34731</c:v>
                </c:pt>
                <c:pt idx="37">
                  <c:v>34759</c:v>
                </c:pt>
                <c:pt idx="38">
                  <c:v>34790</c:v>
                </c:pt>
                <c:pt idx="39">
                  <c:v>34820</c:v>
                </c:pt>
                <c:pt idx="40">
                  <c:v>34851</c:v>
                </c:pt>
                <c:pt idx="41">
                  <c:v>34881</c:v>
                </c:pt>
                <c:pt idx="42">
                  <c:v>34912</c:v>
                </c:pt>
                <c:pt idx="43">
                  <c:v>34943</c:v>
                </c:pt>
                <c:pt idx="44">
                  <c:v>34973</c:v>
                </c:pt>
                <c:pt idx="45">
                  <c:v>35004</c:v>
                </c:pt>
                <c:pt idx="46">
                  <c:v>35034</c:v>
                </c:pt>
                <c:pt idx="47">
                  <c:v>35065</c:v>
                </c:pt>
                <c:pt idx="48">
                  <c:v>35096</c:v>
                </c:pt>
                <c:pt idx="49">
                  <c:v>35125</c:v>
                </c:pt>
                <c:pt idx="50">
                  <c:v>35156</c:v>
                </c:pt>
                <c:pt idx="51">
                  <c:v>35186</c:v>
                </c:pt>
                <c:pt idx="52">
                  <c:v>35217</c:v>
                </c:pt>
                <c:pt idx="53">
                  <c:v>35247</c:v>
                </c:pt>
                <c:pt idx="54">
                  <c:v>35278</c:v>
                </c:pt>
                <c:pt idx="55">
                  <c:v>35309</c:v>
                </c:pt>
                <c:pt idx="56">
                  <c:v>35339</c:v>
                </c:pt>
                <c:pt idx="57">
                  <c:v>35370</c:v>
                </c:pt>
                <c:pt idx="58">
                  <c:v>35400</c:v>
                </c:pt>
                <c:pt idx="59">
                  <c:v>35431</c:v>
                </c:pt>
                <c:pt idx="60">
                  <c:v>35462</c:v>
                </c:pt>
                <c:pt idx="61">
                  <c:v>35490</c:v>
                </c:pt>
                <c:pt idx="62">
                  <c:v>35521</c:v>
                </c:pt>
                <c:pt idx="63">
                  <c:v>35551</c:v>
                </c:pt>
                <c:pt idx="64">
                  <c:v>35582</c:v>
                </c:pt>
                <c:pt idx="65">
                  <c:v>35612</c:v>
                </c:pt>
                <c:pt idx="66">
                  <c:v>35643</c:v>
                </c:pt>
                <c:pt idx="67">
                  <c:v>35674</c:v>
                </c:pt>
                <c:pt idx="68">
                  <c:v>35704</c:v>
                </c:pt>
                <c:pt idx="69">
                  <c:v>35735</c:v>
                </c:pt>
                <c:pt idx="70">
                  <c:v>35765</c:v>
                </c:pt>
                <c:pt idx="71">
                  <c:v>35796</c:v>
                </c:pt>
                <c:pt idx="72">
                  <c:v>35827</c:v>
                </c:pt>
                <c:pt idx="73">
                  <c:v>35855</c:v>
                </c:pt>
                <c:pt idx="74">
                  <c:v>35886</c:v>
                </c:pt>
                <c:pt idx="75">
                  <c:v>35916</c:v>
                </c:pt>
                <c:pt idx="76">
                  <c:v>35947</c:v>
                </c:pt>
                <c:pt idx="77">
                  <c:v>35977</c:v>
                </c:pt>
                <c:pt idx="78">
                  <c:v>36008</c:v>
                </c:pt>
                <c:pt idx="79">
                  <c:v>36039</c:v>
                </c:pt>
                <c:pt idx="80">
                  <c:v>36069</c:v>
                </c:pt>
                <c:pt idx="81">
                  <c:v>36100</c:v>
                </c:pt>
                <c:pt idx="82">
                  <c:v>36130</c:v>
                </c:pt>
                <c:pt idx="83">
                  <c:v>36161</c:v>
                </c:pt>
                <c:pt idx="84">
                  <c:v>36192</c:v>
                </c:pt>
                <c:pt idx="85">
                  <c:v>36220</c:v>
                </c:pt>
                <c:pt idx="86">
                  <c:v>36251</c:v>
                </c:pt>
                <c:pt idx="87">
                  <c:v>36281</c:v>
                </c:pt>
                <c:pt idx="88">
                  <c:v>36312</c:v>
                </c:pt>
                <c:pt idx="89">
                  <c:v>36342</c:v>
                </c:pt>
                <c:pt idx="90">
                  <c:v>36373</c:v>
                </c:pt>
                <c:pt idx="91">
                  <c:v>36404</c:v>
                </c:pt>
                <c:pt idx="92">
                  <c:v>36434</c:v>
                </c:pt>
                <c:pt idx="93">
                  <c:v>36465</c:v>
                </c:pt>
                <c:pt idx="94">
                  <c:v>36495</c:v>
                </c:pt>
                <c:pt idx="95">
                  <c:v>36526</c:v>
                </c:pt>
                <c:pt idx="96">
                  <c:v>36557</c:v>
                </c:pt>
                <c:pt idx="97">
                  <c:v>36586</c:v>
                </c:pt>
                <c:pt idx="98">
                  <c:v>36617</c:v>
                </c:pt>
                <c:pt idx="99">
                  <c:v>36647</c:v>
                </c:pt>
                <c:pt idx="100">
                  <c:v>36678</c:v>
                </c:pt>
                <c:pt idx="101">
                  <c:v>36708</c:v>
                </c:pt>
                <c:pt idx="102">
                  <c:v>36739</c:v>
                </c:pt>
                <c:pt idx="103">
                  <c:v>36770</c:v>
                </c:pt>
                <c:pt idx="104">
                  <c:v>36800</c:v>
                </c:pt>
                <c:pt idx="105">
                  <c:v>36831</c:v>
                </c:pt>
                <c:pt idx="106">
                  <c:v>36861</c:v>
                </c:pt>
                <c:pt idx="107">
                  <c:v>36892</c:v>
                </c:pt>
                <c:pt idx="108">
                  <c:v>36923</c:v>
                </c:pt>
                <c:pt idx="109">
                  <c:v>36951</c:v>
                </c:pt>
                <c:pt idx="110">
                  <c:v>36982</c:v>
                </c:pt>
                <c:pt idx="111">
                  <c:v>37012</c:v>
                </c:pt>
                <c:pt idx="112">
                  <c:v>37043</c:v>
                </c:pt>
                <c:pt idx="113">
                  <c:v>37073</c:v>
                </c:pt>
                <c:pt idx="114">
                  <c:v>37104</c:v>
                </c:pt>
                <c:pt idx="115">
                  <c:v>37135</c:v>
                </c:pt>
                <c:pt idx="116">
                  <c:v>37165</c:v>
                </c:pt>
                <c:pt idx="117">
                  <c:v>37196</c:v>
                </c:pt>
                <c:pt idx="118">
                  <c:v>37226</c:v>
                </c:pt>
                <c:pt idx="119">
                  <c:v>37257</c:v>
                </c:pt>
                <c:pt idx="120">
                  <c:v>37288</c:v>
                </c:pt>
                <c:pt idx="121">
                  <c:v>37316</c:v>
                </c:pt>
                <c:pt idx="122">
                  <c:v>37347</c:v>
                </c:pt>
                <c:pt idx="123">
                  <c:v>37377</c:v>
                </c:pt>
                <c:pt idx="124">
                  <c:v>37408</c:v>
                </c:pt>
                <c:pt idx="125">
                  <c:v>37438</c:v>
                </c:pt>
                <c:pt idx="126">
                  <c:v>37469</c:v>
                </c:pt>
                <c:pt idx="127">
                  <c:v>37500</c:v>
                </c:pt>
                <c:pt idx="128">
                  <c:v>37530</c:v>
                </c:pt>
                <c:pt idx="129">
                  <c:v>37561</c:v>
                </c:pt>
                <c:pt idx="130">
                  <c:v>37591</c:v>
                </c:pt>
                <c:pt idx="131">
                  <c:v>37622</c:v>
                </c:pt>
                <c:pt idx="132">
                  <c:v>37653</c:v>
                </c:pt>
                <c:pt idx="133">
                  <c:v>37681</c:v>
                </c:pt>
                <c:pt idx="134">
                  <c:v>37712</c:v>
                </c:pt>
                <c:pt idx="135">
                  <c:v>37742</c:v>
                </c:pt>
                <c:pt idx="136">
                  <c:v>37773</c:v>
                </c:pt>
                <c:pt idx="137">
                  <c:v>37803</c:v>
                </c:pt>
                <c:pt idx="138">
                  <c:v>37834</c:v>
                </c:pt>
                <c:pt idx="139">
                  <c:v>37865</c:v>
                </c:pt>
                <c:pt idx="140">
                  <c:v>37895</c:v>
                </c:pt>
                <c:pt idx="141">
                  <c:v>37926</c:v>
                </c:pt>
                <c:pt idx="142">
                  <c:v>37956</c:v>
                </c:pt>
                <c:pt idx="143">
                  <c:v>37987</c:v>
                </c:pt>
                <c:pt idx="144">
                  <c:v>38018</c:v>
                </c:pt>
                <c:pt idx="145">
                  <c:v>38047</c:v>
                </c:pt>
                <c:pt idx="146">
                  <c:v>38078</c:v>
                </c:pt>
                <c:pt idx="147">
                  <c:v>38108</c:v>
                </c:pt>
                <c:pt idx="148">
                  <c:v>38139</c:v>
                </c:pt>
                <c:pt idx="149">
                  <c:v>38169</c:v>
                </c:pt>
                <c:pt idx="150">
                  <c:v>38200</c:v>
                </c:pt>
                <c:pt idx="151">
                  <c:v>38231</c:v>
                </c:pt>
                <c:pt idx="152">
                  <c:v>38261</c:v>
                </c:pt>
                <c:pt idx="153">
                  <c:v>38292</c:v>
                </c:pt>
                <c:pt idx="154">
                  <c:v>38322</c:v>
                </c:pt>
                <c:pt idx="155">
                  <c:v>38353</c:v>
                </c:pt>
                <c:pt idx="156">
                  <c:v>38384</c:v>
                </c:pt>
                <c:pt idx="157">
                  <c:v>38412</c:v>
                </c:pt>
                <c:pt idx="158">
                  <c:v>38443</c:v>
                </c:pt>
                <c:pt idx="159">
                  <c:v>38473</c:v>
                </c:pt>
                <c:pt idx="160">
                  <c:v>38504</c:v>
                </c:pt>
                <c:pt idx="161">
                  <c:v>38534</c:v>
                </c:pt>
                <c:pt idx="162">
                  <c:v>38565</c:v>
                </c:pt>
                <c:pt idx="163">
                  <c:v>38596</c:v>
                </c:pt>
                <c:pt idx="164">
                  <c:v>38626</c:v>
                </c:pt>
                <c:pt idx="165">
                  <c:v>38657</c:v>
                </c:pt>
                <c:pt idx="166">
                  <c:v>38687</c:v>
                </c:pt>
                <c:pt idx="167">
                  <c:v>38718</c:v>
                </c:pt>
                <c:pt idx="168">
                  <c:v>38749</c:v>
                </c:pt>
                <c:pt idx="169">
                  <c:v>38777</c:v>
                </c:pt>
                <c:pt idx="170">
                  <c:v>38808</c:v>
                </c:pt>
                <c:pt idx="171">
                  <c:v>38838</c:v>
                </c:pt>
                <c:pt idx="172">
                  <c:v>38869</c:v>
                </c:pt>
                <c:pt idx="173">
                  <c:v>38899</c:v>
                </c:pt>
                <c:pt idx="174">
                  <c:v>38930</c:v>
                </c:pt>
                <c:pt idx="175">
                  <c:v>38961</c:v>
                </c:pt>
                <c:pt idx="176">
                  <c:v>38991</c:v>
                </c:pt>
                <c:pt idx="177">
                  <c:v>39022</c:v>
                </c:pt>
                <c:pt idx="178">
                  <c:v>39052</c:v>
                </c:pt>
                <c:pt idx="179">
                  <c:v>39083</c:v>
                </c:pt>
                <c:pt idx="180">
                  <c:v>39114</c:v>
                </c:pt>
                <c:pt idx="181">
                  <c:v>39142</c:v>
                </c:pt>
                <c:pt idx="182">
                  <c:v>39173</c:v>
                </c:pt>
                <c:pt idx="183">
                  <c:v>39203</c:v>
                </c:pt>
                <c:pt idx="184">
                  <c:v>39234</c:v>
                </c:pt>
                <c:pt idx="185">
                  <c:v>39264</c:v>
                </c:pt>
                <c:pt idx="186">
                  <c:v>39295</c:v>
                </c:pt>
                <c:pt idx="187">
                  <c:v>39326</c:v>
                </c:pt>
                <c:pt idx="188">
                  <c:v>39356</c:v>
                </c:pt>
                <c:pt idx="189">
                  <c:v>39387</c:v>
                </c:pt>
                <c:pt idx="190">
                  <c:v>39417</c:v>
                </c:pt>
                <c:pt idx="191">
                  <c:v>39448</c:v>
                </c:pt>
                <c:pt idx="192">
                  <c:v>39479</c:v>
                </c:pt>
                <c:pt idx="193">
                  <c:v>39508</c:v>
                </c:pt>
                <c:pt idx="194">
                  <c:v>39539</c:v>
                </c:pt>
                <c:pt idx="195">
                  <c:v>39569</c:v>
                </c:pt>
                <c:pt idx="196">
                  <c:v>39600</c:v>
                </c:pt>
                <c:pt idx="197">
                  <c:v>39630</c:v>
                </c:pt>
                <c:pt idx="198">
                  <c:v>39661</c:v>
                </c:pt>
                <c:pt idx="199">
                  <c:v>39692</c:v>
                </c:pt>
                <c:pt idx="200">
                  <c:v>39722</c:v>
                </c:pt>
                <c:pt idx="201">
                  <c:v>39753</c:v>
                </c:pt>
                <c:pt idx="202">
                  <c:v>39783</c:v>
                </c:pt>
                <c:pt idx="203">
                  <c:v>39814</c:v>
                </c:pt>
                <c:pt idx="204">
                  <c:v>39845</c:v>
                </c:pt>
                <c:pt idx="205">
                  <c:v>39873</c:v>
                </c:pt>
                <c:pt idx="206">
                  <c:v>39904</c:v>
                </c:pt>
                <c:pt idx="207">
                  <c:v>39934</c:v>
                </c:pt>
                <c:pt idx="208">
                  <c:v>39965</c:v>
                </c:pt>
                <c:pt idx="209">
                  <c:v>39995</c:v>
                </c:pt>
                <c:pt idx="210">
                  <c:v>40026</c:v>
                </c:pt>
                <c:pt idx="211">
                  <c:v>40057</c:v>
                </c:pt>
                <c:pt idx="212">
                  <c:v>40087</c:v>
                </c:pt>
                <c:pt idx="213">
                  <c:v>40118</c:v>
                </c:pt>
                <c:pt idx="214">
                  <c:v>40148</c:v>
                </c:pt>
                <c:pt idx="215">
                  <c:v>40179</c:v>
                </c:pt>
                <c:pt idx="216">
                  <c:v>40210</c:v>
                </c:pt>
                <c:pt idx="217">
                  <c:v>40238</c:v>
                </c:pt>
                <c:pt idx="218">
                  <c:v>40269</c:v>
                </c:pt>
                <c:pt idx="219">
                  <c:v>40299</c:v>
                </c:pt>
                <c:pt idx="220">
                  <c:v>40330</c:v>
                </c:pt>
                <c:pt idx="221">
                  <c:v>40360</c:v>
                </c:pt>
                <c:pt idx="222">
                  <c:v>40391</c:v>
                </c:pt>
                <c:pt idx="223">
                  <c:v>40422</c:v>
                </c:pt>
                <c:pt idx="224">
                  <c:v>40452</c:v>
                </c:pt>
                <c:pt idx="225">
                  <c:v>40483</c:v>
                </c:pt>
                <c:pt idx="226">
                  <c:v>40513</c:v>
                </c:pt>
                <c:pt idx="227">
                  <c:v>40544</c:v>
                </c:pt>
                <c:pt idx="228">
                  <c:v>40575</c:v>
                </c:pt>
                <c:pt idx="229">
                  <c:v>40603</c:v>
                </c:pt>
                <c:pt idx="230">
                  <c:v>40634</c:v>
                </c:pt>
                <c:pt idx="231">
                  <c:v>40664</c:v>
                </c:pt>
                <c:pt idx="232">
                  <c:v>40695</c:v>
                </c:pt>
                <c:pt idx="233">
                  <c:v>40725</c:v>
                </c:pt>
                <c:pt idx="234">
                  <c:v>40756</c:v>
                </c:pt>
                <c:pt idx="235">
                  <c:v>40787</c:v>
                </c:pt>
                <c:pt idx="236">
                  <c:v>40817</c:v>
                </c:pt>
                <c:pt idx="237">
                  <c:v>40848</c:v>
                </c:pt>
                <c:pt idx="238">
                  <c:v>40878</c:v>
                </c:pt>
                <c:pt idx="239">
                  <c:v>40909</c:v>
                </c:pt>
                <c:pt idx="240">
                  <c:v>40940</c:v>
                </c:pt>
                <c:pt idx="241">
                  <c:v>40969</c:v>
                </c:pt>
                <c:pt idx="242">
                  <c:v>41000</c:v>
                </c:pt>
                <c:pt idx="243">
                  <c:v>41030</c:v>
                </c:pt>
                <c:pt idx="244">
                  <c:v>41061</c:v>
                </c:pt>
                <c:pt idx="245">
                  <c:v>41091</c:v>
                </c:pt>
                <c:pt idx="246">
                  <c:v>41122</c:v>
                </c:pt>
                <c:pt idx="247">
                  <c:v>41153</c:v>
                </c:pt>
                <c:pt idx="248">
                  <c:v>41183</c:v>
                </c:pt>
                <c:pt idx="249">
                  <c:v>41214</c:v>
                </c:pt>
                <c:pt idx="250">
                  <c:v>41244</c:v>
                </c:pt>
                <c:pt idx="251">
                  <c:v>41275</c:v>
                </c:pt>
                <c:pt idx="252">
                  <c:v>41306</c:v>
                </c:pt>
                <c:pt idx="253">
                  <c:v>41334</c:v>
                </c:pt>
                <c:pt idx="254">
                  <c:v>41365</c:v>
                </c:pt>
                <c:pt idx="255">
                  <c:v>41395</c:v>
                </c:pt>
                <c:pt idx="256">
                  <c:v>41426</c:v>
                </c:pt>
                <c:pt idx="257">
                  <c:v>41456</c:v>
                </c:pt>
                <c:pt idx="258">
                  <c:v>41487</c:v>
                </c:pt>
                <c:pt idx="259">
                  <c:v>41518</c:v>
                </c:pt>
                <c:pt idx="260">
                  <c:v>41548</c:v>
                </c:pt>
                <c:pt idx="261">
                  <c:v>41579</c:v>
                </c:pt>
                <c:pt idx="262">
                  <c:v>41609</c:v>
                </c:pt>
                <c:pt idx="263">
                  <c:v>41640</c:v>
                </c:pt>
                <c:pt idx="264">
                  <c:v>41671</c:v>
                </c:pt>
                <c:pt idx="265">
                  <c:v>41699</c:v>
                </c:pt>
                <c:pt idx="266">
                  <c:v>41730</c:v>
                </c:pt>
                <c:pt idx="267">
                  <c:v>41760</c:v>
                </c:pt>
                <c:pt idx="268">
                  <c:v>41791</c:v>
                </c:pt>
                <c:pt idx="269">
                  <c:v>41821</c:v>
                </c:pt>
                <c:pt idx="270">
                  <c:v>41852</c:v>
                </c:pt>
                <c:pt idx="271">
                  <c:v>41883</c:v>
                </c:pt>
                <c:pt idx="272">
                  <c:v>41913</c:v>
                </c:pt>
                <c:pt idx="273">
                  <c:v>41944</c:v>
                </c:pt>
                <c:pt idx="274">
                  <c:v>41974</c:v>
                </c:pt>
                <c:pt idx="275">
                  <c:v>42005</c:v>
                </c:pt>
                <c:pt idx="276">
                  <c:v>42036</c:v>
                </c:pt>
                <c:pt idx="277">
                  <c:v>42064</c:v>
                </c:pt>
                <c:pt idx="278">
                  <c:v>42095</c:v>
                </c:pt>
                <c:pt idx="279">
                  <c:v>42125</c:v>
                </c:pt>
                <c:pt idx="280">
                  <c:v>42156</c:v>
                </c:pt>
                <c:pt idx="281">
                  <c:v>42186</c:v>
                </c:pt>
                <c:pt idx="282">
                  <c:v>42217</c:v>
                </c:pt>
                <c:pt idx="283">
                  <c:v>42248</c:v>
                </c:pt>
                <c:pt idx="284">
                  <c:v>42278</c:v>
                </c:pt>
                <c:pt idx="285">
                  <c:v>42309</c:v>
                </c:pt>
                <c:pt idx="286">
                  <c:v>42339</c:v>
                </c:pt>
                <c:pt idx="287">
                  <c:v>42370</c:v>
                </c:pt>
                <c:pt idx="288">
                  <c:v>42401</c:v>
                </c:pt>
                <c:pt idx="289">
                  <c:v>42430</c:v>
                </c:pt>
                <c:pt idx="290">
                  <c:v>42461</c:v>
                </c:pt>
                <c:pt idx="291">
                  <c:v>42491</c:v>
                </c:pt>
                <c:pt idx="292">
                  <c:v>42522</c:v>
                </c:pt>
                <c:pt idx="293">
                  <c:v>42552</c:v>
                </c:pt>
                <c:pt idx="294">
                  <c:v>42583</c:v>
                </c:pt>
                <c:pt idx="295">
                  <c:v>42614</c:v>
                </c:pt>
                <c:pt idx="296">
                  <c:v>42644</c:v>
                </c:pt>
                <c:pt idx="297">
                  <c:v>42675</c:v>
                </c:pt>
                <c:pt idx="298">
                  <c:v>42705</c:v>
                </c:pt>
                <c:pt idx="299">
                  <c:v>42736</c:v>
                </c:pt>
                <c:pt idx="300">
                  <c:v>42767</c:v>
                </c:pt>
                <c:pt idx="301">
                  <c:v>42795</c:v>
                </c:pt>
                <c:pt idx="302">
                  <c:v>42826</c:v>
                </c:pt>
                <c:pt idx="303">
                  <c:v>42856</c:v>
                </c:pt>
                <c:pt idx="304">
                  <c:v>42887</c:v>
                </c:pt>
                <c:pt idx="305">
                  <c:v>42917</c:v>
                </c:pt>
                <c:pt idx="306">
                  <c:v>42948</c:v>
                </c:pt>
                <c:pt idx="307">
                  <c:v>42979</c:v>
                </c:pt>
                <c:pt idx="308">
                  <c:v>43009</c:v>
                </c:pt>
                <c:pt idx="309">
                  <c:v>43040</c:v>
                </c:pt>
                <c:pt idx="310">
                  <c:v>43070</c:v>
                </c:pt>
                <c:pt idx="311">
                  <c:v>43101</c:v>
                </c:pt>
                <c:pt idx="312">
                  <c:v>43132</c:v>
                </c:pt>
                <c:pt idx="313">
                  <c:v>43160</c:v>
                </c:pt>
                <c:pt idx="314">
                  <c:v>43191</c:v>
                </c:pt>
                <c:pt idx="315">
                  <c:v>43221</c:v>
                </c:pt>
                <c:pt idx="316">
                  <c:v>43252</c:v>
                </c:pt>
                <c:pt idx="317">
                  <c:v>43282</c:v>
                </c:pt>
                <c:pt idx="318">
                  <c:v>43313</c:v>
                </c:pt>
                <c:pt idx="319">
                  <c:v>43344</c:v>
                </c:pt>
                <c:pt idx="320">
                  <c:v>43374</c:v>
                </c:pt>
                <c:pt idx="321">
                  <c:v>43405</c:v>
                </c:pt>
                <c:pt idx="322">
                  <c:v>43435</c:v>
                </c:pt>
                <c:pt idx="323">
                  <c:v>43466</c:v>
                </c:pt>
                <c:pt idx="324">
                  <c:v>43497</c:v>
                </c:pt>
                <c:pt idx="325">
                  <c:v>43525</c:v>
                </c:pt>
                <c:pt idx="326">
                  <c:v>43556</c:v>
                </c:pt>
                <c:pt idx="327">
                  <c:v>43586</c:v>
                </c:pt>
                <c:pt idx="328">
                  <c:v>43617</c:v>
                </c:pt>
                <c:pt idx="329">
                  <c:v>43647</c:v>
                </c:pt>
                <c:pt idx="330">
                  <c:v>43678</c:v>
                </c:pt>
                <c:pt idx="331">
                  <c:v>43709</c:v>
                </c:pt>
                <c:pt idx="332">
                  <c:v>43739</c:v>
                </c:pt>
                <c:pt idx="333">
                  <c:v>43770</c:v>
                </c:pt>
                <c:pt idx="334">
                  <c:v>43800</c:v>
                </c:pt>
                <c:pt idx="335">
                  <c:v>43831</c:v>
                </c:pt>
                <c:pt idx="336">
                  <c:v>43862</c:v>
                </c:pt>
                <c:pt idx="337">
                  <c:v>43891</c:v>
                </c:pt>
                <c:pt idx="338">
                  <c:v>43922</c:v>
                </c:pt>
                <c:pt idx="339">
                  <c:v>43952</c:v>
                </c:pt>
                <c:pt idx="340">
                  <c:v>43983</c:v>
                </c:pt>
                <c:pt idx="341">
                  <c:v>44013</c:v>
                </c:pt>
                <c:pt idx="342">
                  <c:v>44044</c:v>
                </c:pt>
                <c:pt idx="343">
                  <c:v>44075</c:v>
                </c:pt>
                <c:pt idx="344">
                  <c:v>44105</c:v>
                </c:pt>
                <c:pt idx="345">
                  <c:v>44136</c:v>
                </c:pt>
                <c:pt idx="346">
                  <c:v>44166</c:v>
                </c:pt>
                <c:pt idx="347">
                  <c:v>44197</c:v>
                </c:pt>
                <c:pt idx="348">
                  <c:v>44228</c:v>
                </c:pt>
                <c:pt idx="349">
                  <c:v>44256</c:v>
                </c:pt>
                <c:pt idx="350">
                  <c:v>44287</c:v>
                </c:pt>
                <c:pt idx="351">
                  <c:v>44317</c:v>
                </c:pt>
                <c:pt idx="352">
                  <c:v>44348</c:v>
                </c:pt>
                <c:pt idx="353">
                  <c:v>44378</c:v>
                </c:pt>
                <c:pt idx="354">
                  <c:v>44409</c:v>
                </c:pt>
              </c:numCache>
            </c:numRef>
          </c:cat>
          <c:val>
            <c:numRef>
              <c:f>'Retail Sales ex Auto and Gas'!$C$8:$C$368</c:f>
              <c:numCache>
                <c:formatCode>0.00%</c:formatCode>
                <c:ptCount val="361"/>
                <c:pt idx="0">
                  <c:v>-1.612711562293106E-4</c:v>
                </c:pt>
                <c:pt idx="1">
                  <c:v>-4.1597690903688611E-4</c:v>
                </c:pt>
                <c:pt idx="2">
                  <c:v>4.0510930307611302E-3</c:v>
                </c:pt>
                <c:pt idx="3">
                  <c:v>1.3702917368024834E-3</c:v>
                </c:pt>
                <c:pt idx="4">
                  <c:v>2.1117540228914137E-4</c:v>
                </c:pt>
                <c:pt idx="5">
                  <c:v>5.7596486783210877E-3</c:v>
                </c:pt>
                <c:pt idx="6">
                  <c:v>8.6571726060524629E-3</c:v>
                </c:pt>
                <c:pt idx="7">
                  <c:v>1.1737968582203242E-3</c:v>
                </c:pt>
                <c:pt idx="8">
                  <c:v>9.0218186656023415E-3</c:v>
                </c:pt>
                <c:pt idx="9">
                  <c:v>3.0325754641571008E-3</c:v>
                </c:pt>
                <c:pt idx="10">
                  <c:v>1.3482093709177847E-2</c:v>
                </c:pt>
                <c:pt idx="11">
                  <c:v>5.9258418586552956E-3</c:v>
                </c:pt>
                <c:pt idx="12">
                  <c:v>-5.3509980739630423E-3</c:v>
                </c:pt>
                <c:pt idx="13">
                  <c:v>-4.5452704071298356E-3</c:v>
                </c:pt>
                <c:pt idx="14">
                  <c:v>1.48538221122542E-2</c:v>
                </c:pt>
                <c:pt idx="15">
                  <c:v>9.7041439100482001E-3</c:v>
                </c:pt>
                <c:pt idx="16">
                  <c:v>-7.5457311019150276E-4</c:v>
                </c:pt>
                <c:pt idx="17">
                  <c:v>9.117357158754889E-3</c:v>
                </c:pt>
                <c:pt idx="18">
                  <c:v>-9.4524659120448051E-4</c:v>
                </c:pt>
                <c:pt idx="19">
                  <c:v>1.0431203727795255E-2</c:v>
                </c:pt>
                <c:pt idx="20">
                  <c:v>9.2076720196014171E-4</c:v>
                </c:pt>
                <c:pt idx="21">
                  <c:v>5.0205812648122742E-3</c:v>
                </c:pt>
                <c:pt idx="22">
                  <c:v>8.2224083899593535E-3</c:v>
                </c:pt>
                <c:pt idx="23">
                  <c:v>-8.8477872838062417E-3</c:v>
                </c:pt>
                <c:pt idx="24">
                  <c:v>1.3102945057674693E-2</c:v>
                </c:pt>
                <c:pt idx="25">
                  <c:v>2.0526533551956112E-2</c:v>
                </c:pt>
                <c:pt idx="26">
                  <c:v>-3.7013957189942414E-3</c:v>
                </c:pt>
                <c:pt idx="27">
                  <c:v>2.6978146194423513E-3</c:v>
                </c:pt>
                <c:pt idx="28">
                  <c:v>1.1062844774459258E-2</c:v>
                </c:pt>
                <c:pt idx="29">
                  <c:v>3.077380509923437E-3</c:v>
                </c:pt>
                <c:pt idx="30">
                  <c:v>9.6484467631017309E-3</c:v>
                </c:pt>
                <c:pt idx="31">
                  <c:v>4.0808537498348571E-3</c:v>
                </c:pt>
                <c:pt idx="32">
                  <c:v>7.4487215099194454E-3</c:v>
                </c:pt>
                <c:pt idx="33">
                  <c:v>-1.2407398001755901E-3</c:v>
                </c:pt>
                <c:pt idx="34">
                  <c:v>8.9066472938612428E-3</c:v>
                </c:pt>
                <c:pt idx="35">
                  <c:v>4.0179728678821393E-3</c:v>
                </c:pt>
                <c:pt idx="36">
                  <c:v>-1.3626518639643129E-2</c:v>
                </c:pt>
                <c:pt idx="37">
                  <c:v>8.0780025302834204E-3</c:v>
                </c:pt>
                <c:pt idx="38">
                  <c:v>2.2359262865591979E-3</c:v>
                </c:pt>
                <c:pt idx="39">
                  <c:v>7.9018387247670116E-3</c:v>
                </c:pt>
                <c:pt idx="40">
                  <c:v>3.2987511870506167E-3</c:v>
                </c:pt>
                <c:pt idx="41">
                  <c:v>2.3058036508557807E-3</c:v>
                </c:pt>
                <c:pt idx="42">
                  <c:v>5.0199163583950464E-3</c:v>
                </c:pt>
                <c:pt idx="43">
                  <c:v>7.6158987184378225E-3</c:v>
                </c:pt>
                <c:pt idx="44">
                  <c:v>-5.0903073816468474E-3</c:v>
                </c:pt>
                <c:pt idx="45">
                  <c:v>1.3544940732075152E-2</c:v>
                </c:pt>
                <c:pt idx="46">
                  <c:v>8.135168961201502E-3</c:v>
                </c:pt>
                <c:pt idx="47">
                  <c:v>-1.4614801020760052E-2</c:v>
                </c:pt>
                <c:pt idx="48">
                  <c:v>9.7430549236724034E-3</c:v>
                </c:pt>
                <c:pt idx="49">
                  <c:v>9.2123413487865905E-3</c:v>
                </c:pt>
                <c:pt idx="50">
                  <c:v>8.9359305456343761E-3</c:v>
                </c:pt>
                <c:pt idx="51">
                  <c:v>4.8879116091304553E-3</c:v>
                </c:pt>
                <c:pt idx="52">
                  <c:v>2.0797908014985331E-3</c:v>
                </c:pt>
                <c:pt idx="53">
                  <c:v>2.2647683175813626E-3</c:v>
                </c:pt>
                <c:pt idx="54">
                  <c:v>3.8245431795646632E-3</c:v>
                </c:pt>
                <c:pt idx="55">
                  <c:v>7.8215293643327504E-3</c:v>
                </c:pt>
                <c:pt idx="56">
                  <c:v>8.4409003627053548E-3</c:v>
                </c:pt>
                <c:pt idx="57">
                  <c:v>2.6512396694214875E-3</c:v>
                </c:pt>
                <c:pt idx="58">
                  <c:v>4.9191894547348843E-3</c:v>
                </c:pt>
                <c:pt idx="59">
                  <c:v>8.9240601849117766E-4</c:v>
                </c:pt>
                <c:pt idx="60">
                  <c:v>8.5489697311401467E-3</c:v>
                </c:pt>
                <c:pt idx="61">
                  <c:v>7.2934339593205798E-3</c:v>
                </c:pt>
                <c:pt idx="62">
                  <c:v>-5.2788156867300384E-3</c:v>
                </c:pt>
                <c:pt idx="63">
                  <c:v>1.4921403130899631E-3</c:v>
                </c:pt>
                <c:pt idx="64">
                  <c:v>8.0455525973142632E-3</c:v>
                </c:pt>
                <c:pt idx="65">
                  <c:v>9.2472993901537796E-3</c:v>
                </c:pt>
                <c:pt idx="66">
                  <c:v>5.5395665130020635E-4</c:v>
                </c:pt>
                <c:pt idx="67">
                  <c:v>6.8856235562145618E-3</c:v>
                </c:pt>
                <c:pt idx="68">
                  <c:v>3.0337312998906591E-4</c:v>
                </c:pt>
                <c:pt idx="69">
                  <c:v>1.3837201220706519E-3</c:v>
                </c:pt>
                <c:pt idx="70">
                  <c:v>2.4859926303568724E-3</c:v>
                </c:pt>
                <c:pt idx="71">
                  <c:v>6.2058634710036378E-3</c:v>
                </c:pt>
                <c:pt idx="72">
                  <c:v>5.7610028273325491E-3</c:v>
                </c:pt>
                <c:pt idx="73">
                  <c:v>2.836014901516895E-3</c:v>
                </c:pt>
                <c:pt idx="74">
                  <c:v>9.1723774380600941E-3</c:v>
                </c:pt>
                <c:pt idx="75">
                  <c:v>2.5318944962021582E-3</c:v>
                </c:pt>
                <c:pt idx="76">
                  <c:v>3.9108473911337776E-3</c:v>
                </c:pt>
                <c:pt idx="77">
                  <c:v>7.5103496281461041E-3</c:v>
                </c:pt>
                <c:pt idx="78">
                  <c:v>3.1938619669826186E-3</c:v>
                </c:pt>
                <c:pt idx="79">
                  <c:v>6.6452809443548342E-5</c:v>
                </c:pt>
                <c:pt idx="80">
                  <c:v>1.0661946817121938E-2</c:v>
                </c:pt>
                <c:pt idx="81">
                  <c:v>6.891522769519506E-3</c:v>
                </c:pt>
                <c:pt idx="82">
                  <c:v>7.11148047014128E-3</c:v>
                </c:pt>
                <c:pt idx="83">
                  <c:v>1.6562732084546559E-3</c:v>
                </c:pt>
                <c:pt idx="84">
                  <c:v>1.1839542424046275E-2</c:v>
                </c:pt>
                <c:pt idx="85">
                  <c:v>3.1753232025402587E-3</c:v>
                </c:pt>
                <c:pt idx="86">
                  <c:v>4.1449996231818524E-3</c:v>
                </c:pt>
                <c:pt idx="87">
                  <c:v>6.5007043391912805E-3</c:v>
                </c:pt>
                <c:pt idx="88">
                  <c:v>3.3784946483268134E-3</c:v>
                </c:pt>
                <c:pt idx="89">
                  <c:v>1.8064678408707632E-3</c:v>
                </c:pt>
                <c:pt idx="90">
                  <c:v>6.4995463442191698E-3</c:v>
                </c:pt>
                <c:pt idx="91">
                  <c:v>8.1981154539578875E-3</c:v>
                </c:pt>
                <c:pt idx="92">
                  <c:v>4.7180421530917515E-3</c:v>
                </c:pt>
                <c:pt idx="93">
                  <c:v>5.8040936490790125E-3</c:v>
                </c:pt>
                <c:pt idx="94">
                  <c:v>2.312135511730401E-2</c:v>
                </c:pt>
                <c:pt idx="95">
                  <c:v>-1.5511886826317994E-2</c:v>
                </c:pt>
                <c:pt idx="96">
                  <c:v>9.469247045694365E-3</c:v>
                </c:pt>
                <c:pt idx="97">
                  <c:v>1.7617022673912686E-2</c:v>
                </c:pt>
                <c:pt idx="98">
                  <c:v>-3.2967623964719802E-3</c:v>
                </c:pt>
                <c:pt idx="99">
                  <c:v>2.374181851538092E-4</c:v>
                </c:pt>
                <c:pt idx="100">
                  <c:v>2.8483419736636257E-3</c:v>
                </c:pt>
                <c:pt idx="101">
                  <c:v>3.3405236176633547E-3</c:v>
                </c:pt>
                <c:pt idx="102">
                  <c:v>2.7503752948745443E-3</c:v>
                </c:pt>
                <c:pt idx="103">
                  <c:v>1.2500467831879936E-2</c:v>
                </c:pt>
                <c:pt idx="104">
                  <c:v>-3.3796093382830526E-4</c:v>
                </c:pt>
                <c:pt idx="105">
                  <c:v>9.0329464837539029E-4</c:v>
                </c:pt>
                <c:pt idx="106">
                  <c:v>3.5096422803702803E-3</c:v>
                </c:pt>
                <c:pt idx="107">
                  <c:v>4.3861725122670836E-3</c:v>
                </c:pt>
                <c:pt idx="108">
                  <c:v>-3.665362844740466E-5</c:v>
                </c:pt>
                <c:pt idx="109">
                  <c:v>-4.4143059119233384E-3</c:v>
                </c:pt>
                <c:pt idx="110">
                  <c:v>1.1203037969357324E-2</c:v>
                </c:pt>
                <c:pt idx="111">
                  <c:v>-2.2261868228465025E-3</c:v>
                </c:pt>
                <c:pt idx="112">
                  <c:v>-3.4405642525374159E-4</c:v>
                </c:pt>
                <c:pt idx="113">
                  <c:v>5.1521930716561587E-3</c:v>
                </c:pt>
                <c:pt idx="114">
                  <c:v>7.4396501185467262E-3</c:v>
                </c:pt>
                <c:pt idx="115">
                  <c:v>-1.7333985632257898E-2</c:v>
                </c:pt>
                <c:pt idx="116">
                  <c:v>1.6942757272598641E-2</c:v>
                </c:pt>
                <c:pt idx="117">
                  <c:v>7.2197143033825989E-3</c:v>
                </c:pt>
                <c:pt idx="118">
                  <c:v>5.5358577253866656E-3</c:v>
                </c:pt>
                <c:pt idx="119">
                  <c:v>9.0569109827766045E-4</c:v>
                </c:pt>
                <c:pt idx="120">
                  <c:v>5.6173206651314355E-3</c:v>
                </c:pt>
                <c:pt idx="121">
                  <c:v>3.0836425401126286E-4</c:v>
                </c:pt>
                <c:pt idx="122">
                  <c:v>9.3339869314075768E-3</c:v>
                </c:pt>
                <c:pt idx="123">
                  <c:v>-3.8402611577861671E-3</c:v>
                </c:pt>
                <c:pt idx="124">
                  <c:v>1.6385285410561974E-3</c:v>
                </c:pt>
                <c:pt idx="125">
                  <c:v>-1.4150588353363273E-3</c:v>
                </c:pt>
                <c:pt idx="126">
                  <c:v>1.3115380170148189E-3</c:v>
                </c:pt>
                <c:pt idx="127">
                  <c:v>-9.6354584872330171E-4</c:v>
                </c:pt>
                <c:pt idx="128">
                  <c:v>6.4901141295611638E-3</c:v>
                </c:pt>
                <c:pt idx="129">
                  <c:v>5.8892815076560662E-3</c:v>
                </c:pt>
                <c:pt idx="130">
                  <c:v>7.1944587782320484E-4</c:v>
                </c:pt>
                <c:pt idx="131">
                  <c:v>4.0309585550029996E-3</c:v>
                </c:pt>
                <c:pt idx="132">
                  <c:v>-8.6665810708042388E-3</c:v>
                </c:pt>
                <c:pt idx="133">
                  <c:v>1.4854518373873582E-2</c:v>
                </c:pt>
                <c:pt idx="134">
                  <c:v>-1.4234595958356445E-3</c:v>
                </c:pt>
                <c:pt idx="135">
                  <c:v>7.3781330030131881E-3</c:v>
                </c:pt>
                <c:pt idx="136">
                  <c:v>1.260856836147165E-2</c:v>
                </c:pt>
                <c:pt idx="137">
                  <c:v>9.5314276902912429E-3</c:v>
                </c:pt>
                <c:pt idx="138">
                  <c:v>1.1050013842349953E-2</c:v>
                </c:pt>
                <c:pt idx="139">
                  <c:v>-1.3313379001685416E-3</c:v>
                </c:pt>
                <c:pt idx="140">
                  <c:v>3.5124211123454749E-3</c:v>
                </c:pt>
                <c:pt idx="141">
                  <c:v>4.8945251038732228E-3</c:v>
                </c:pt>
                <c:pt idx="142">
                  <c:v>-3.2815012399386825E-5</c:v>
                </c:pt>
                <c:pt idx="143">
                  <c:v>8.3681027612395112E-3</c:v>
                </c:pt>
                <c:pt idx="144">
                  <c:v>-2.3710453520537438E-4</c:v>
                </c:pt>
                <c:pt idx="145">
                  <c:v>1.8842655456557729E-2</c:v>
                </c:pt>
                <c:pt idx="146">
                  <c:v>-4.8471902727571479E-3</c:v>
                </c:pt>
                <c:pt idx="147">
                  <c:v>5.0359118302650049E-3</c:v>
                </c:pt>
                <c:pt idx="148">
                  <c:v>-9.8114378548089741E-4</c:v>
                </c:pt>
                <c:pt idx="149">
                  <c:v>7.5325351617279608E-3</c:v>
                </c:pt>
                <c:pt idx="150">
                  <c:v>2.2396924276633749E-3</c:v>
                </c:pt>
                <c:pt idx="151">
                  <c:v>7.3238034922645436E-3</c:v>
                </c:pt>
                <c:pt idx="152">
                  <c:v>6.9472199893119693E-3</c:v>
                </c:pt>
                <c:pt idx="153">
                  <c:v>3.8086573367941273E-3</c:v>
                </c:pt>
                <c:pt idx="154">
                  <c:v>1.0489603696463479E-2</c:v>
                </c:pt>
                <c:pt idx="155">
                  <c:v>3.5042054862579747E-3</c:v>
                </c:pt>
                <c:pt idx="156">
                  <c:v>8.762782709277158E-3</c:v>
                </c:pt>
                <c:pt idx="157">
                  <c:v>-1.3116861682259228E-3</c:v>
                </c:pt>
                <c:pt idx="158">
                  <c:v>1.2999269361909401E-2</c:v>
                </c:pt>
                <c:pt idx="159">
                  <c:v>-3.2971986690994957E-3</c:v>
                </c:pt>
                <c:pt idx="160">
                  <c:v>9.9630853258786088E-3</c:v>
                </c:pt>
                <c:pt idx="161">
                  <c:v>-2.0258455239476267E-3</c:v>
                </c:pt>
                <c:pt idx="162">
                  <c:v>9.0856642235945216E-3</c:v>
                </c:pt>
                <c:pt idx="163">
                  <c:v>4.6247474811643187E-3</c:v>
                </c:pt>
                <c:pt idx="164">
                  <c:v>1.3152736148524743E-2</c:v>
                </c:pt>
                <c:pt idx="165">
                  <c:v>2.4798924825138453E-3</c:v>
                </c:pt>
                <c:pt idx="166">
                  <c:v>-4.1506003843455954E-5</c:v>
                </c:pt>
                <c:pt idx="167">
                  <c:v>2.2235689173539654E-2</c:v>
                </c:pt>
                <c:pt idx="168">
                  <c:v>6.0095177768032613E-4</c:v>
                </c:pt>
                <c:pt idx="169">
                  <c:v>1.7733662305619582E-3</c:v>
                </c:pt>
                <c:pt idx="170">
                  <c:v>7.2915527361551647E-5</c:v>
                </c:pt>
                <c:pt idx="171">
                  <c:v>-1.6809854220083522E-3</c:v>
                </c:pt>
                <c:pt idx="172">
                  <c:v>-7.3844455985458326E-4</c:v>
                </c:pt>
                <c:pt idx="173">
                  <c:v>-8.2425837048586575E-4</c:v>
                </c:pt>
                <c:pt idx="174">
                  <c:v>7.0261989036041273E-3</c:v>
                </c:pt>
                <c:pt idx="175">
                  <c:v>6.613991477272727E-3</c:v>
                </c:pt>
                <c:pt idx="176">
                  <c:v>2.6298171555480723E-3</c:v>
                </c:pt>
                <c:pt idx="177">
                  <c:v>-8.9163264734929207E-4</c:v>
                </c:pt>
                <c:pt idx="178">
                  <c:v>1.4074755882823755E-2</c:v>
                </c:pt>
                <c:pt idx="179">
                  <c:v>2.273112941352897E-3</c:v>
                </c:pt>
                <c:pt idx="180">
                  <c:v>-2.9136955503144034E-3</c:v>
                </c:pt>
                <c:pt idx="181">
                  <c:v>9.6906801246283061E-3</c:v>
                </c:pt>
                <c:pt idx="182">
                  <c:v>-8.037170446678947E-3</c:v>
                </c:pt>
                <c:pt idx="183">
                  <c:v>8.3585667423668932E-3</c:v>
                </c:pt>
                <c:pt idx="184">
                  <c:v>1.1651912790515812E-3</c:v>
                </c:pt>
                <c:pt idx="185">
                  <c:v>6.5182581527045503E-3</c:v>
                </c:pt>
                <c:pt idx="186">
                  <c:v>-5.1606594779585516E-4</c:v>
                </c:pt>
                <c:pt idx="187">
                  <c:v>-3.9986645236930578E-4</c:v>
                </c:pt>
                <c:pt idx="188">
                  <c:v>3.4254688659057101E-3</c:v>
                </c:pt>
                <c:pt idx="189">
                  <c:v>1.0020707139124882E-2</c:v>
                </c:pt>
                <c:pt idx="190">
                  <c:v>-6.1083562620231919E-3</c:v>
                </c:pt>
                <c:pt idx="191">
                  <c:v>-1.4690006169031462E-3</c:v>
                </c:pt>
                <c:pt idx="192">
                  <c:v>-7.1666042420427912E-3</c:v>
                </c:pt>
                <c:pt idx="193">
                  <c:v>3.1269081334614171E-3</c:v>
                </c:pt>
                <c:pt idx="194">
                  <c:v>6.4359295459568014E-3</c:v>
                </c:pt>
                <c:pt idx="195">
                  <c:v>1.1410432725829875E-2</c:v>
                </c:pt>
                <c:pt idx="196">
                  <c:v>7.5414494056347573E-4</c:v>
                </c:pt>
                <c:pt idx="197">
                  <c:v>4.1142239492743971E-3</c:v>
                </c:pt>
                <c:pt idx="198">
                  <c:v>-8.2402171111481716E-3</c:v>
                </c:pt>
                <c:pt idx="199">
                  <c:v>-1.2424805277198131E-2</c:v>
                </c:pt>
                <c:pt idx="200">
                  <c:v>-1.0201119956037662E-2</c:v>
                </c:pt>
                <c:pt idx="201">
                  <c:v>-1.2421461721019522E-2</c:v>
                </c:pt>
                <c:pt idx="202">
                  <c:v>-1.0376499465537037E-2</c:v>
                </c:pt>
                <c:pt idx="203">
                  <c:v>9.4091667366753475E-3</c:v>
                </c:pt>
                <c:pt idx="204">
                  <c:v>-3.1428220401789782E-3</c:v>
                </c:pt>
                <c:pt idx="205">
                  <c:v>-1.4733946121306574E-2</c:v>
                </c:pt>
                <c:pt idx="206">
                  <c:v>4.9470991275996478E-3</c:v>
                </c:pt>
                <c:pt idx="207">
                  <c:v>2.5336481320869871E-3</c:v>
                </c:pt>
                <c:pt idx="208">
                  <c:v>8.7312108747631962E-4</c:v>
                </c:pt>
                <c:pt idx="209">
                  <c:v>-7.7631984377563555E-4</c:v>
                </c:pt>
                <c:pt idx="210">
                  <c:v>1.7620933669199008E-4</c:v>
                </c:pt>
                <c:pt idx="211">
                  <c:v>1.7057261949092481E-3</c:v>
                </c:pt>
                <c:pt idx="212">
                  <c:v>5.076487070946905E-4</c:v>
                </c:pt>
                <c:pt idx="213">
                  <c:v>5.8729524570515386E-4</c:v>
                </c:pt>
                <c:pt idx="214">
                  <c:v>5.4462620833948903E-3</c:v>
                </c:pt>
                <c:pt idx="215">
                  <c:v>1.9856161962741897E-4</c:v>
                </c:pt>
                <c:pt idx="216">
                  <c:v>8.8461492648722901E-3</c:v>
                </c:pt>
                <c:pt idx="217">
                  <c:v>8.7882592320013848E-3</c:v>
                </c:pt>
                <c:pt idx="218">
                  <c:v>7.7870803130437498E-3</c:v>
                </c:pt>
                <c:pt idx="219">
                  <c:v>-8.7024520165067867E-3</c:v>
                </c:pt>
                <c:pt idx="220">
                  <c:v>2.6711446088960051E-3</c:v>
                </c:pt>
                <c:pt idx="221">
                  <c:v>-1.842230306051707E-3</c:v>
                </c:pt>
                <c:pt idx="222">
                  <c:v>6.590422231847074E-3</c:v>
                </c:pt>
                <c:pt idx="223">
                  <c:v>3.4034965306043337E-3</c:v>
                </c:pt>
                <c:pt idx="224">
                  <c:v>4.9527135616269004E-3</c:v>
                </c:pt>
                <c:pt idx="225">
                  <c:v>9.7681928266635919E-3</c:v>
                </c:pt>
                <c:pt idx="226">
                  <c:v>-1.9796627720608669E-4</c:v>
                </c:pt>
                <c:pt idx="227">
                  <c:v>5.2319139133116793E-3</c:v>
                </c:pt>
                <c:pt idx="228">
                  <c:v>5.6251491516820518E-3</c:v>
                </c:pt>
                <c:pt idx="229">
                  <c:v>6.4299113297523712E-3</c:v>
                </c:pt>
                <c:pt idx="230">
                  <c:v>7.4929356064150311E-3</c:v>
                </c:pt>
                <c:pt idx="231">
                  <c:v>-1.6717003421413366E-4</c:v>
                </c:pt>
                <c:pt idx="232">
                  <c:v>9.7197761776311384E-3</c:v>
                </c:pt>
                <c:pt idx="233">
                  <c:v>-1.6558850153445344E-4</c:v>
                </c:pt>
                <c:pt idx="234">
                  <c:v>5.0016009539477317E-3</c:v>
                </c:pt>
                <c:pt idx="235">
                  <c:v>1.9738384015937187E-3</c:v>
                </c:pt>
                <c:pt idx="236">
                  <c:v>6.3922868598119227E-3</c:v>
                </c:pt>
                <c:pt idx="237">
                  <c:v>1.2202208018593842E-3</c:v>
                </c:pt>
                <c:pt idx="238">
                  <c:v>-3.1338865997330395E-3</c:v>
                </c:pt>
                <c:pt idx="239">
                  <c:v>1.2429411422250684E-2</c:v>
                </c:pt>
                <c:pt idx="240">
                  <c:v>8.3414795434288841E-3</c:v>
                </c:pt>
                <c:pt idx="241">
                  <c:v>3.2077670733402478E-3</c:v>
                </c:pt>
                <c:pt idx="242">
                  <c:v>-4.2811108861011337E-3</c:v>
                </c:pt>
                <c:pt idx="243">
                  <c:v>-1.3558644706419662E-3</c:v>
                </c:pt>
                <c:pt idx="244">
                  <c:v>-1.1826328050192222E-3</c:v>
                </c:pt>
                <c:pt idx="245">
                  <c:v>5.0258806022471592E-3</c:v>
                </c:pt>
                <c:pt idx="246">
                  <c:v>3.1784110080510255E-3</c:v>
                </c:pt>
                <c:pt idx="247">
                  <c:v>4.9742594491415677E-3</c:v>
                </c:pt>
                <c:pt idx="248">
                  <c:v>-1.2109315700098498E-3</c:v>
                </c:pt>
                <c:pt idx="249">
                  <c:v>6.4543494397511572E-3</c:v>
                </c:pt>
                <c:pt idx="250">
                  <c:v>5.3979826927399418E-3</c:v>
                </c:pt>
                <c:pt idx="251">
                  <c:v>7.471888721604902E-3</c:v>
                </c:pt>
                <c:pt idx="252">
                  <c:v>3.0511906578089675E-3</c:v>
                </c:pt>
                <c:pt idx="253">
                  <c:v>-2.4093303651673741E-3</c:v>
                </c:pt>
                <c:pt idx="254">
                  <c:v>-3.1739981635163467E-3</c:v>
                </c:pt>
                <c:pt idx="255">
                  <c:v>4.5849714438662538E-3</c:v>
                </c:pt>
                <c:pt idx="256">
                  <c:v>-1.3875528550370592E-3</c:v>
                </c:pt>
                <c:pt idx="257">
                  <c:v>7.9210802607095707E-3</c:v>
                </c:pt>
                <c:pt idx="258">
                  <c:v>-8.5601427378017962E-4</c:v>
                </c:pt>
                <c:pt idx="259">
                  <c:v>4.3594348906184407E-3</c:v>
                </c:pt>
                <c:pt idx="260">
                  <c:v>3.8780271393383373E-3</c:v>
                </c:pt>
                <c:pt idx="261">
                  <c:v>3.6855917251640601E-3</c:v>
                </c:pt>
                <c:pt idx="262">
                  <c:v>3.7842597913047026E-3</c:v>
                </c:pt>
                <c:pt idx="263">
                  <c:v>-8.2953398413418873E-3</c:v>
                </c:pt>
                <c:pt idx="264">
                  <c:v>1.071463946963047E-2</c:v>
                </c:pt>
                <c:pt idx="265">
                  <c:v>8.0090837202700781E-3</c:v>
                </c:pt>
                <c:pt idx="266">
                  <c:v>8.8439205589304157E-3</c:v>
                </c:pt>
                <c:pt idx="267">
                  <c:v>3.146994902333495E-3</c:v>
                </c:pt>
                <c:pt idx="268">
                  <c:v>6.4100652932232195E-3</c:v>
                </c:pt>
                <c:pt idx="269">
                  <c:v>7.7023343998104037E-4</c:v>
                </c:pt>
                <c:pt idx="270">
                  <c:v>8.3936876311513694E-3</c:v>
                </c:pt>
                <c:pt idx="271">
                  <c:v>9.8502886591213018E-4</c:v>
                </c:pt>
                <c:pt idx="272">
                  <c:v>6.5332429649518397E-3</c:v>
                </c:pt>
                <c:pt idx="273">
                  <c:v>3.8297555495844893E-3</c:v>
                </c:pt>
                <c:pt idx="274">
                  <c:v>3.3281733746130032E-3</c:v>
                </c:pt>
                <c:pt idx="275">
                  <c:v>8.6785466327239061E-4</c:v>
                </c:pt>
                <c:pt idx="276">
                  <c:v>-2.0168153586270238E-3</c:v>
                </c:pt>
                <c:pt idx="277">
                  <c:v>7.1310425609968017E-3</c:v>
                </c:pt>
                <c:pt idx="278">
                  <c:v>1.9203118509761319E-3</c:v>
                </c:pt>
                <c:pt idx="279">
                  <c:v>4.3881608949807218E-3</c:v>
                </c:pt>
                <c:pt idx="280">
                  <c:v>3.3021429002340076E-4</c:v>
                </c:pt>
                <c:pt idx="281">
                  <c:v>7.9701381681061157E-3</c:v>
                </c:pt>
                <c:pt idx="282">
                  <c:v>1.6658164389945901E-3</c:v>
                </c:pt>
                <c:pt idx="283">
                  <c:v>-2.8293790141814765E-5</c:v>
                </c:pt>
                <c:pt idx="284">
                  <c:v>-8.7084462497091948E-4</c:v>
                </c:pt>
                <c:pt idx="285">
                  <c:v>3.9584021648495149E-3</c:v>
                </c:pt>
                <c:pt idx="286">
                  <c:v>7.1490583364413928E-3</c:v>
                </c:pt>
                <c:pt idx="287">
                  <c:v>-3.5507120095598487E-3</c:v>
                </c:pt>
                <c:pt idx="288">
                  <c:v>1.1561415726898248E-2</c:v>
                </c:pt>
                <c:pt idx="289">
                  <c:v>-2.5748290393788303E-3</c:v>
                </c:pt>
                <c:pt idx="290">
                  <c:v>1.606458023158996E-3</c:v>
                </c:pt>
                <c:pt idx="291">
                  <c:v>2.1601409190642479E-3</c:v>
                </c:pt>
                <c:pt idx="292">
                  <c:v>8.4615882746562482E-3</c:v>
                </c:pt>
                <c:pt idx="293">
                  <c:v>-5.2655236627496306E-3</c:v>
                </c:pt>
                <c:pt idx="294">
                  <c:v>3.3998235534611495E-3</c:v>
                </c:pt>
                <c:pt idx="295">
                  <c:v>2.3497550679039388E-3</c:v>
                </c:pt>
                <c:pt idx="296">
                  <c:v>1.8368868893344418E-3</c:v>
                </c:pt>
                <c:pt idx="297">
                  <c:v>1.3179370624037097E-3</c:v>
                </c:pt>
                <c:pt idx="298">
                  <c:v>3.0467647928047602E-3</c:v>
                </c:pt>
                <c:pt idx="299">
                  <c:v>1.5114650823013392E-2</c:v>
                </c:pt>
                <c:pt idx="300">
                  <c:v>-3.6206623118976159E-4</c:v>
                </c:pt>
                <c:pt idx="301">
                  <c:v>4.3194281472257474E-3</c:v>
                </c:pt>
                <c:pt idx="302">
                  <c:v>5.5317944056152485E-3</c:v>
                </c:pt>
                <c:pt idx="303">
                  <c:v>-3.7970068559538312E-3</c:v>
                </c:pt>
                <c:pt idx="304">
                  <c:v>4.0138058258204646E-3</c:v>
                </c:pt>
                <c:pt idx="305">
                  <c:v>1.6002892374621783E-4</c:v>
                </c:pt>
                <c:pt idx="306">
                  <c:v>5.2919616110556371E-3</c:v>
                </c:pt>
                <c:pt idx="307">
                  <c:v>9.8355630616690105E-3</c:v>
                </c:pt>
                <c:pt idx="308">
                  <c:v>8.7561584981436942E-6</c:v>
                </c:pt>
                <c:pt idx="309">
                  <c:v>1.3922170107320376E-2</c:v>
                </c:pt>
                <c:pt idx="310">
                  <c:v>5.5039163588944959E-3</c:v>
                </c:pt>
                <c:pt idx="311">
                  <c:v>-2.4277056177909595E-3</c:v>
                </c:pt>
                <c:pt idx="312">
                  <c:v>6.6149523752127258E-3</c:v>
                </c:pt>
                <c:pt idx="313">
                  <c:v>-3.5922202772281745E-4</c:v>
                </c:pt>
                <c:pt idx="314">
                  <c:v>4.3549932692965847E-3</c:v>
                </c:pt>
                <c:pt idx="315">
                  <c:v>1.1804327022736889E-2</c:v>
                </c:pt>
                <c:pt idx="316">
                  <c:v>-2.9496289810168504E-3</c:v>
                </c:pt>
                <c:pt idx="317">
                  <c:v>6.5866325137573364E-3</c:v>
                </c:pt>
                <c:pt idx="318">
                  <c:v>-4.7538485200151003E-5</c:v>
                </c:pt>
                <c:pt idx="319">
                  <c:v>-2.0386590154032012E-3</c:v>
                </c:pt>
                <c:pt idx="320">
                  <c:v>9.5107591513735115E-3</c:v>
                </c:pt>
                <c:pt idx="321">
                  <c:v>6.3899537269641055E-3</c:v>
                </c:pt>
                <c:pt idx="322">
                  <c:v>-2.3982568162071963E-2</c:v>
                </c:pt>
                <c:pt idx="323">
                  <c:v>2.6784604080709887E-2</c:v>
                </c:pt>
                <c:pt idx="324">
                  <c:v>-6.8916546026014346E-3</c:v>
                </c:pt>
                <c:pt idx="325">
                  <c:v>9.9325451592699142E-3</c:v>
                </c:pt>
                <c:pt idx="326">
                  <c:v>6.1248346678813891E-3</c:v>
                </c:pt>
                <c:pt idx="327">
                  <c:v>3.6138006273012408E-3</c:v>
                </c:pt>
                <c:pt idx="328">
                  <c:v>6.4216319043413272E-3</c:v>
                </c:pt>
                <c:pt idx="329">
                  <c:v>5.4841793172723296E-3</c:v>
                </c:pt>
                <c:pt idx="330">
                  <c:v>2.9030343557063022E-3</c:v>
                </c:pt>
                <c:pt idx="331">
                  <c:v>-2.9321194269647877E-3</c:v>
                </c:pt>
                <c:pt idx="332">
                  <c:v>3.7491103919646573E-3</c:v>
                </c:pt>
                <c:pt idx="333">
                  <c:v>-2.0494928441663032E-3</c:v>
                </c:pt>
                <c:pt idx="334">
                  <c:v>5.2575840851508777E-3</c:v>
                </c:pt>
                <c:pt idx="335">
                  <c:v>9.673392968587477E-3</c:v>
                </c:pt>
                <c:pt idx="336">
                  <c:v>2.4301785917115061E-4</c:v>
                </c:pt>
                <c:pt idx="337">
                  <c:v>-2.8999247355842236E-2</c:v>
                </c:pt>
                <c:pt idx="338">
                  <c:v>-0.141953416520708</c:v>
                </c:pt>
                <c:pt idx="339">
                  <c:v>0.12123046689276998</c:v>
                </c:pt>
                <c:pt idx="340">
                  <c:v>7.7981664343848678E-2</c:v>
                </c:pt>
                <c:pt idx="341">
                  <c:v>1.7704197502373321E-2</c:v>
                </c:pt>
                <c:pt idx="342">
                  <c:v>9.1864159578223682E-3</c:v>
                </c:pt>
                <c:pt idx="343">
                  <c:v>1.6614833085655631E-2</c:v>
                </c:pt>
                <c:pt idx="344">
                  <c:v>1.135264790465785E-3</c:v>
                </c:pt>
                <c:pt idx="345">
                  <c:v>-1.176376139308625E-2</c:v>
                </c:pt>
                <c:pt idx="346">
                  <c:v>-2.9146399666927301E-2</c:v>
                </c:pt>
                <c:pt idx="347">
                  <c:v>8.6460945487635554E-2</c:v>
                </c:pt>
                <c:pt idx="348">
                  <c:v>-3.2412176407728671E-2</c:v>
                </c:pt>
                <c:pt idx="349">
                  <c:v>9.7528760649213356E-2</c:v>
                </c:pt>
                <c:pt idx="350">
                  <c:v>7.2977150446248474E-4</c:v>
                </c:pt>
                <c:pt idx="351">
                  <c:v>-6.6129777423475167E-3</c:v>
                </c:pt>
                <c:pt idx="352">
                  <c:v>1.4688716840387018E-2</c:v>
                </c:pt>
                <c:pt idx="353">
                  <c:v>-1.353467586653156E-2</c:v>
                </c:pt>
                <c:pt idx="354">
                  <c:v>1.996788557242259E-2</c:v>
                </c:pt>
              </c:numCache>
            </c:numRef>
          </c:val>
          <c:extLst>
            <c:ext xmlns:c14="http://schemas.microsoft.com/office/drawing/2007/8/2/chart" uri="{6F2FDCE9-48DA-4B69-8628-5D25D57E5C99}">
              <c14:invertSolidFillFmt>
                <c14:spPr xmlns:c14="http://schemas.microsoft.com/office/drawing/2007/8/2/chart">
                  <a:solidFill>
                    <a:srgbClr val="FF0000"/>
                  </a:solidFill>
                  <a:ln w="34925">
                    <a:solidFill>
                      <a:schemeClr val="accent1"/>
                    </a:solidFill>
                  </a:ln>
                  <a:effectLst/>
                </c14:spPr>
              </c14:invertSolidFillFmt>
            </c:ext>
            <c:ext xmlns:c16="http://schemas.microsoft.com/office/drawing/2014/chart" uri="{C3380CC4-5D6E-409C-BE32-E72D297353CC}">
              <c16:uniqueId val="{00000000-9B9A-46DF-B704-6DF2EA895240}"/>
            </c:ext>
          </c:extLst>
        </c:ser>
        <c:dLbls>
          <c:showLegendKey val="0"/>
          <c:showVal val="0"/>
          <c:showCatName val="0"/>
          <c:showSerName val="0"/>
          <c:showPercent val="0"/>
          <c:showBubbleSize val="0"/>
        </c:dLbls>
        <c:gapWidth val="219"/>
        <c:axId val="1023425784"/>
        <c:axId val="1023428408"/>
      </c:barChart>
      <c:dateAx>
        <c:axId val="1023425784"/>
        <c:scaling>
          <c:orientation val="minMax"/>
          <c:min val="42401"/>
        </c:scaling>
        <c:delete val="0"/>
        <c:axPos val="b"/>
        <c:numFmt formatCode="[$-409]mmm\-yy;@" sourceLinked="1"/>
        <c:majorTickMark val="out"/>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23428408"/>
        <c:crosses val="autoZero"/>
        <c:auto val="1"/>
        <c:lblOffset val="100"/>
        <c:baseTimeUnit val="months"/>
      </c:dateAx>
      <c:valAx>
        <c:axId val="1023428408"/>
        <c:scaling>
          <c:orientation val="minMax"/>
          <c:max val="0.15000000000000002"/>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2342578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spc="0" baseline="0">
                <a:solidFill>
                  <a:schemeClr val="tx1">
                    <a:lumMod val="65000"/>
                    <a:lumOff val="35000"/>
                  </a:schemeClr>
                </a:solidFill>
                <a:latin typeface="+mn-lt"/>
                <a:ea typeface="+mn-ea"/>
                <a:cs typeface="+mn-cs"/>
              </a:defRPr>
            </a:pPr>
            <a:r>
              <a:rPr lang="en-GB" sz="1800" b="1" baseline="0"/>
              <a:t>Core Retail Sales mom %</a:t>
            </a:r>
          </a:p>
        </c:rich>
      </c:tx>
      <c:overlay val="0"/>
      <c:spPr>
        <a:noFill/>
        <a:ln>
          <a:noFill/>
        </a:ln>
        <a:effectLst/>
      </c:spPr>
      <c:txPr>
        <a:bodyPr rot="0" spcFirstLastPara="1" vertOverflow="ellipsis" vert="horz" wrap="square" anchor="ctr" anchorCtr="1"/>
        <a:lstStyle/>
        <a:p>
          <a:pPr>
            <a:defRPr sz="18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1"/>
          <c:order val="0"/>
          <c:spPr>
            <a:solidFill>
              <a:srgbClr val="00B050"/>
            </a:solidFill>
            <a:ln>
              <a:noFill/>
            </a:ln>
            <a:effectLst/>
          </c:spPr>
          <c:invertIfNegative val="1"/>
          <c:cat>
            <c:numRef>
              <c:f>'Retail Sales ex Auto and Gas'!$A$8:$A$365</c:f>
              <c:numCache>
                <c:formatCode>[$-409]mmm\-yy;@</c:formatCode>
                <c:ptCount val="358"/>
                <c:pt idx="0">
                  <c:v>33635</c:v>
                </c:pt>
                <c:pt idx="1">
                  <c:v>33664</c:v>
                </c:pt>
                <c:pt idx="2">
                  <c:v>33695</c:v>
                </c:pt>
                <c:pt idx="3">
                  <c:v>33725</c:v>
                </c:pt>
                <c:pt idx="4">
                  <c:v>33756</c:v>
                </c:pt>
                <c:pt idx="5">
                  <c:v>33786</c:v>
                </c:pt>
                <c:pt idx="6">
                  <c:v>33817</c:v>
                </c:pt>
                <c:pt idx="7">
                  <c:v>33848</c:v>
                </c:pt>
                <c:pt idx="8">
                  <c:v>33878</c:v>
                </c:pt>
                <c:pt idx="9">
                  <c:v>33909</c:v>
                </c:pt>
                <c:pt idx="10">
                  <c:v>33939</c:v>
                </c:pt>
                <c:pt idx="11">
                  <c:v>33970</c:v>
                </c:pt>
                <c:pt idx="12">
                  <c:v>34001</c:v>
                </c:pt>
                <c:pt idx="13">
                  <c:v>34029</c:v>
                </c:pt>
                <c:pt idx="14">
                  <c:v>34060</c:v>
                </c:pt>
                <c:pt idx="15">
                  <c:v>34090</c:v>
                </c:pt>
                <c:pt idx="16">
                  <c:v>34121</c:v>
                </c:pt>
                <c:pt idx="17">
                  <c:v>34151</c:v>
                </c:pt>
                <c:pt idx="18">
                  <c:v>34182</c:v>
                </c:pt>
                <c:pt idx="19">
                  <c:v>34213</c:v>
                </c:pt>
                <c:pt idx="20">
                  <c:v>34243</c:v>
                </c:pt>
                <c:pt idx="21">
                  <c:v>34274</c:v>
                </c:pt>
                <c:pt idx="22">
                  <c:v>34304</c:v>
                </c:pt>
                <c:pt idx="23">
                  <c:v>34335</c:v>
                </c:pt>
                <c:pt idx="24">
                  <c:v>34366</c:v>
                </c:pt>
                <c:pt idx="25">
                  <c:v>34394</c:v>
                </c:pt>
                <c:pt idx="26">
                  <c:v>34425</c:v>
                </c:pt>
                <c:pt idx="27">
                  <c:v>34455</c:v>
                </c:pt>
                <c:pt idx="28">
                  <c:v>34486</c:v>
                </c:pt>
                <c:pt idx="29">
                  <c:v>34516</c:v>
                </c:pt>
                <c:pt idx="30">
                  <c:v>34547</c:v>
                </c:pt>
                <c:pt idx="31">
                  <c:v>34578</c:v>
                </c:pt>
                <c:pt idx="32">
                  <c:v>34608</c:v>
                </c:pt>
                <c:pt idx="33">
                  <c:v>34639</c:v>
                </c:pt>
                <c:pt idx="34">
                  <c:v>34669</c:v>
                </c:pt>
                <c:pt idx="35">
                  <c:v>34700</c:v>
                </c:pt>
                <c:pt idx="36">
                  <c:v>34731</c:v>
                </c:pt>
                <c:pt idx="37">
                  <c:v>34759</c:v>
                </c:pt>
                <c:pt idx="38">
                  <c:v>34790</c:v>
                </c:pt>
                <c:pt idx="39">
                  <c:v>34820</c:v>
                </c:pt>
                <c:pt idx="40">
                  <c:v>34851</c:v>
                </c:pt>
                <c:pt idx="41">
                  <c:v>34881</c:v>
                </c:pt>
                <c:pt idx="42">
                  <c:v>34912</c:v>
                </c:pt>
                <c:pt idx="43">
                  <c:v>34943</c:v>
                </c:pt>
                <c:pt idx="44">
                  <c:v>34973</c:v>
                </c:pt>
                <c:pt idx="45">
                  <c:v>35004</c:v>
                </c:pt>
                <c:pt idx="46">
                  <c:v>35034</c:v>
                </c:pt>
                <c:pt idx="47">
                  <c:v>35065</c:v>
                </c:pt>
                <c:pt idx="48">
                  <c:v>35096</c:v>
                </c:pt>
                <c:pt idx="49">
                  <c:v>35125</c:v>
                </c:pt>
                <c:pt idx="50">
                  <c:v>35156</c:v>
                </c:pt>
                <c:pt idx="51">
                  <c:v>35186</c:v>
                </c:pt>
                <c:pt idx="52">
                  <c:v>35217</c:v>
                </c:pt>
                <c:pt idx="53">
                  <c:v>35247</c:v>
                </c:pt>
                <c:pt idx="54">
                  <c:v>35278</c:v>
                </c:pt>
                <c:pt idx="55">
                  <c:v>35309</c:v>
                </c:pt>
                <c:pt idx="56">
                  <c:v>35339</c:v>
                </c:pt>
                <c:pt idx="57">
                  <c:v>35370</c:v>
                </c:pt>
                <c:pt idx="58">
                  <c:v>35400</c:v>
                </c:pt>
                <c:pt idx="59">
                  <c:v>35431</c:v>
                </c:pt>
                <c:pt idx="60">
                  <c:v>35462</c:v>
                </c:pt>
                <c:pt idx="61">
                  <c:v>35490</c:v>
                </c:pt>
                <c:pt idx="62">
                  <c:v>35521</c:v>
                </c:pt>
                <c:pt idx="63">
                  <c:v>35551</c:v>
                </c:pt>
                <c:pt idx="64">
                  <c:v>35582</c:v>
                </c:pt>
                <c:pt idx="65">
                  <c:v>35612</c:v>
                </c:pt>
                <c:pt idx="66">
                  <c:v>35643</c:v>
                </c:pt>
                <c:pt idx="67">
                  <c:v>35674</c:v>
                </c:pt>
                <c:pt idx="68">
                  <c:v>35704</c:v>
                </c:pt>
                <c:pt idx="69">
                  <c:v>35735</c:v>
                </c:pt>
                <c:pt idx="70">
                  <c:v>35765</c:v>
                </c:pt>
                <c:pt idx="71">
                  <c:v>35796</c:v>
                </c:pt>
                <c:pt idx="72">
                  <c:v>35827</c:v>
                </c:pt>
                <c:pt idx="73">
                  <c:v>35855</c:v>
                </c:pt>
                <c:pt idx="74">
                  <c:v>35886</c:v>
                </c:pt>
                <c:pt idx="75">
                  <c:v>35916</c:v>
                </c:pt>
                <c:pt idx="76">
                  <c:v>35947</c:v>
                </c:pt>
                <c:pt idx="77">
                  <c:v>35977</c:v>
                </c:pt>
                <c:pt idx="78">
                  <c:v>36008</c:v>
                </c:pt>
                <c:pt idx="79">
                  <c:v>36039</c:v>
                </c:pt>
                <c:pt idx="80">
                  <c:v>36069</c:v>
                </c:pt>
                <c:pt idx="81">
                  <c:v>36100</c:v>
                </c:pt>
                <c:pt idx="82">
                  <c:v>36130</c:v>
                </c:pt>
                <c:pt idx="83">
                  <c:v>36161</c:v>
                </c:pt>
                <c:pt idx="84">
                  <c:v>36192</c:v>
                </c:pt>
                <c:pt idx="85">
                  <c:v>36220</c:v>
                </c:pt>
                <c:pt idx="86">
                  <c:v>36251</c:v>
                </c:pt>
                <c:pt idx="87">
                  <c:v>36281</c:v>
                </c:pt>
                <c:pt idx="88">
                  <c:v>36312</c:v>
                </c:pt>
                <c:pt idx="89">
                  <c:v>36342</c:v>
                </c:pt>
                <c:pt idx="90">
                  <c:v>36373</c:v>
                </c:pt>
                <c:pt idx="91">
                  <c:v>36404</c:v>
                </c:pt>
                <c:pt idx="92">
                  <c:v>36434</c:v>
                </c:pt>
                <c:pt idx="93">
                  <c:v>36465</c:v>
                </c:pt>
                <c:pt idx="94">
                  <c:v>36495</c:v>
                </c:pt>
                <c:pt idx="95">
                  <c:v>36526</c:v>
                </c:pt>
                <c:pt idx="96">
                  <c:v>36557</c:v>
                </c:pt>
                <c:pt idx="97">
                  <c:v>36586</c:v>
                </c:pt>
                <c:pt idx="98">
                  <c:v>36617</c:v>
                </c:pt>
                <c:pt idx="99">
                  <c:v>36647</c:v>
                </c:pt>
                <c:pt idx="100">
                  <c:v>36678</c:v>
                </c:pt>
                <c:pt idx="101">
                  <c:v>36708</c:v>
                </c:pt>
                <c:pt idx="102">
                  <c:v>36739</c:v>
                </c:pt>
                <c:pt idx="103">
                  <c:v>36770</c:v>
                </c:pt>
                <c:pt idx="104">
                  <c:v>36800</c:v>
                </c:pt>
                <c:pt idx="105">
                  <c:v>36831</c:v>
                </c:pt>
                <c:pt idx="106">
                  <c:v>36861</c:v>
                </c:pt>
                <c:pt idx="107">
                  <c:v>36892</c:v>
                </c:pt>
                <c:pt idx="108">
                  <c:v>36923</c:v>
                </c:pt>
                <c:pt idx="109">
                  <c:v>36951</c:v>
                </c:pt>
                <c:pt idx="110">
                  <c:v>36982</c:v>
                </c:pt>
                <c:pt idx="111">
                  <c:v>37012</c:v>
                </c:pt>
                <c:pt idx="112">
                  <c:v>37043</c:v>
                </c:pt>
                <c:pt idx="113">
                  <c:v>37073</c:v>
                </c:pt>
                <c:pt idx="114">
                  <c:v>37104</c:v>
                </c:pt>
                <c:pt idx="115">
                  <c:v>37135</c:v>
                </c:pt>
                <c:pt idx="116">
                  <c:v>37165</c:v>
                </c:pt>
                <c:pt idx="117">
                  <c:v>37196</c:v>
                </c:pt>
                <c:pt idx="118">
                  <c:v>37226</c:v>
                </c:pt>
                <c:pt idx="119">
                  <c:v>37257</c:v>
                </c:pt>
                <c:pt idx="120">
                  <c:v>37288</c:v>
                </c:pt>
                <c:pt idx="121">
                  <c:v>37316</c:v>
                </c:pt>
                <c:pt idx="122">
                  <c:v>37347</c:v>
                </c:pt>
                <c:pt idx="123">
                  <c:v>37377</c:v>
                </c:pt>
                <c:pt idx="124">
                  <c:v>37408</c:v>
                </c:pt>
                <c:pt idx="125">
                  <c:v>37438</c:v>
                </c:pt>
                <c:pt idx="126">
                  <c:v>37469</c:v>
                </c:pt>
                <c:pt idx="127">
                  <c:v>37500</c:v>
                </c:pt>
                <c:pt idx="128">
                  <c:v>37530</c:v>
                </c:pt>
                <c:pt idx="129">
                  <c:v>37561</c:v>
                </c:pt>
                <c:pt idx="130">
                  <c:v>37591</c:v>
                </c:pt>
                <c:pt idx="131">
                  <c:v>37622</c:v>
                </c:pt>
                <c:pt idx="132">
                  <c:v>37653</c:v>
                </c:pt>
                <c:pt idx="133">
                  <c:v>37681</c:v>
                </c:pt>
                <c:pt idx="134">
                  <c:v>37712</c:v>
                </c:pt>
                <c:pt idx="135">
                  <c:v>37742</c:v>
                </c:pt>
                <c:pt idx="136">
                  <c:v>37773</c:v>
                </c:pt>
                <c:pt idx="137">
                  <c:v>37803</c:v>
                </c:pt>
                <c:pt idx="138">
                  <c:v>37834</c:v>
                </c:pt>
                <c:pt idx="139">
                  <c:v>37865</c:v>
                </c:pt>
                <c:pt idx="140">
                  <c:v>37895</c:v>
                </c:pt>
                <c:pt idx="141">
                  <c:v>37926</c:v>
                </c:pt>
                <c:pt idx="142">
                  <c:v>37956</c:v>
                </c:pt>
                <c:pt idx="143">
                  <c:v>37987</c:v>
                </c:pt>
                <c:pt idx="144">
                  <c:v>38018</c:v>
                </c:pt>
                <c:pt idx="145">
                  <c:v>38047</c:v>
                </c:pt>
                <c:pt idx="146">
                  <c:v>38078</c:v>
                </c:pt>
                <c:pt idx="147">
                  <c:v>38108</c:v>
                </c:pt>
                <c:pt idx="148">
                  <c:v>38139</c:v>
                </c:pt>
                <c:pt idx="149">
                  <c:v>38169</c:v>
                </c:pt>
                <c:pt idx="150">
                  <c:v>38200</c:v>
                </c:pt>
                <c:pt idx="151">
                  <c:v>38231</c:v>
                </c:pt>
                <c:pt idx="152">
                  <c:v>38261</c:v>
                </c:pt>
                <c:pt idx="153">
                  <c:v>38292</c:v>
                </c:pt>
                <c:pt idx="154">
                  <c:v>38322</c:v>
                </c:pt>
                <c:pt idx="155">
                  <c:v>38353</c:v>
                </c:pt>
                <c:pt idx="156">
                  <c:v>38384</c:v>
                </c:pt>
                <c:pt idx="157">
                  <c:v>38412</c:v>
                </c:pt>
                <c:pt idx="158">
                  <c:v>38443</c:v>
                </c:pt>
                <c:pt idx="159">
                  <c:v>38473</c:v>
                </c:pt>
                <c:pt idx="160">
                  <c:v>38504</c:v>
                </c:pt>
                <c:pt idx="161">
                  <c:v>38534</c:v>
                </c:pt>
                <c:pt idx="162">
                  <c:v>38565</c:v>
                </c:pt>
                <c:pt idx="163">
                  <c:v>38596</c:v>
                </c:pt>
                <c:pt idx="164">
                  <c:v>38626</c:v>
                </c:pt>
                <c:pt idx="165">
                  <c:v>38657</c:v>
                </c:pt>
                <c:pt idx="166">
                  <c:v>38687</c:v>
                </c:pt>
                <c:pt idx="167">
                  <c:v>38718</c:v>
                </c:pt>
                <c:pt idx="168">
                  <c:v>38749</c:v>
                </c:pt>
                <c:pt idx="169">
                  <c:v>38777</c:v>
                </c:pt>
                <c:pt idx="170">
                  <c:v>38808</c:v>
                </c:pt>
                <c:pt idx="171">
                  <c:v>38838</c:v>
                </c:pt>
                <c:pt idx="172">
                  <c:v>38869</c:v>
                </c:pt>
                <c:pt idx="173">
                  <c:v>38899</c:v>
                </c:pt>
                <c:pt idx="174">
                  <c:v>38930</c:v>
                </c:pt>
                <c:pt idx="175">
                  <c:v>38961</c:v>
                </c:pt>
                <c:pt idx="176">
                  <c:v>38991</c:v>
                </c:pt>
                <c:pt idx="177">
                  <c:v>39022</c:v>
                </c:pt>
                <c:pt idx="178">
                  <c:v>39052</c:v>
                </c:pt>
                <c:pt idx="179">
                  <c:v>39083</c:v>
                </c:pt>
                <c:pt idx="180">
                  <c:v>39114</c:v>
                </c:pt>
                <c:pt idx="181">
                  <c:v>39142</c:v>
                </c:pt>
                <c:pt idx="182">
                  <c:v>39173</c:v>
                </c:pt>
                <c:pt idx="183">
                  <c:v>39203</c:v>
                </c:pt>
                <c:pt idx="184">
                  <c:v>39234</c:v>
                </c:pt>
                <c:pt idx="185">
                  <c:v>39264</c:v>
                </c:pt>
                <c:pt idx="186">
                  <c:v>39295</c:v>
                </c:pt>
                <c:pt idx="187">
                  <c:v>39326</c:v>
                </c:pt>
                <c:pt idx="188">
                  <c:v>39356</c:v>
                </c:pt>
                <c:pt idx="189">
                  <c:v>39387</c:v>
                </c:pt>
                <c:pt idx="190">
                  <c:v>39417</c:v>
                </c:pt>
                <c:pt idx="191">
                  <c:v>39448</c:v>
                </c:pt>
                <c:pt idx="192">
                  <c:v>39479</c:v>
                </c:pt>
                <c:pt idx="193">
                  <c:v>39508</c:v>
                </c:pt>
                <c:pt idx="194">
                  <c:v>39539</c:v>
                </c:pt>
                <c:pt idx="195">
                  <c:v>39569</c:v>
                </c:pt>
                <c:pt idx="196">
                  <c:v>39600</c:v>
                </c:pt>
                <c:pt idx="197">
                  <c:v>39630</c:v>
                </c:pt>
                <c:pt idx="198">
                  <c:v>39661</c:v>
                </c:pt>
                <c:pt idx="199">
                  <c:v>39692</c:v>
                </c:pt>
                <c:pt idx="200">
                  <c:v>39722</c:v>
                </c:pt>
                <c:pt idx="201">
                  <c:v>39753</c:v>
                </c:pt>
                <c:pt idx="202">
                  <c:v>39783</c:v>
                </c:pt>
                <c:pt idx="203">
                  <c:v>39814</c:v>
                </c:pt>
                <c:pt idx="204">
                  <c:v>39845</c:v>
                </c:pt>
                <c:pt idx="205">
                  <c:v>39873</c:v>
                </c:pt>
                <c:pt idx="206">
                  <c:v>39904</c:v>
                </c:pt>
                <c:pt idx="207">
                  <c:v>39934</c:v>
                </c:pt>
                <c:pt idx="208">
                  <c:v>39965</c:v>
                </c:pt>
                <c:pt idx="209">
                  <c:v>39995</c:v>
                </c:pt>
                <c:pt idx="210">
                  <c:v>40026</c:v>
                </c:pt>
                <c:pt idx="211">
                  <c:v>40057</c:v>
                </c:pt>
                <c:pt idx="212">
                  <c:v>40087</c:v>
                </c:pt>
                <c:pt idx="213">
                  <c:v>40118</c:v>
                </c:pt>
                <c:pt idx="214">
                  <c:v>40148</c:v>
                </c:pt>
                <c:pt idx="215">
                  <c:v>40179</c:v>
                </c:pt>
                <c:pt idx="216">
                  <c:v>40210</c:v>
                </c:pt>
                <c:pt idx="217">
                  <c:v>40238</c:v>
                </c:pt>
                <c:pt idx="218">
                  <c:v>40269</c:v>
                </c:pt>
                <c:pt idx="219">
                  <c:v>40299</c:v>
                </c:pt>
                <c:pt idx="220">
                  <c:v>40330</c:v>
                </c:pt>
                <c:pt idx="221">
                  <c:v>40360</c:v>
                </c:pt>
                <c:pt idx="222">
                  <c:v>40391</c:v>
                </c:pt>
                <c:pt idx="223">
                  <c:v>40422</c:v>
                </c:pt>
                <c:pt idx="224">
                  <c:v>40452</c:v>
                </c:pt>
                <c:pt idx="225">
                  <c:v>40483</c:v>
                </c:pt>
                <c:pt idx="226">
                  <c:v>40513</c:v>
                </c:pt>
                <c:pt idx="227">
                  <c:v>40544</c:v>
                </c:pt>
                <c:pt idx="228">
                  <c:v>40575</c:v>
                </c:pt>
                <c:pt idx="229">
                  <c:v>40603</c:v>
                </c:pt>
                <c:pt idx="230">
                  <c:v>40634</c:v>
                </c:pt>
                <c:pt idx="231">
                  <c:v>40664</c:v>
                </c:pt>
                <c:pt idx="232">
                  <c:v>40695</c:v>
                </c:pt>
                <c:pt idx="233">
                  <c:v>40725</c:v>
                </c:pt>
                <c:pt idx="234">
                  <c:v>40756</c:v>
                </c:pt>
                <c:pt idx="235">
                  <c:v>40787</c:v>
                </c:pt>
                <c:pt idx="236">
                  <c:v>40817</c:v>
                </c:pt>
                <c:pt idx="237">
                  <c:v>40848</c:v>
                </c:pt>
                <c:pt idx="238">
                  <c:v>40878</c:v>
                </c:pt>
                <c:pt idx="239">
                  <c:v>40909</c:v>
                </c:pt>
                <c:pt idx="240">
                  <c:v>40940</c:v>
                </c:pt>
                <c:pt idx="241">
                  <c:v>40969</c:v>
                </c:pt>
                <c:pt idx="242">
                  <c:v>41000</c:v>
                </c:pt>
                <c:pt idx="243">
                  <c:v>41030</c:v>
                </c:pt>
                <c:pt idx="244">
                  <c:v>41061</c:v>
                </c:pt>
                <c:pt idx="245">
                  <c:v>41091</c:v>
                </c:pt>
                <c:pt idx="246">
                  <c:v>41122</c:v>
                </c:pt>
                <c:pt idx="247">
                  <c:v>41153</c:v>
                </c:pt>
                <c:pt idx="248">
                  <c:v>41183</c:v>
                </c:pt>
                <c:pt idx="249">
                  <c:v>41214</c:v>
                </c:pt>
                <c:pt idx="250">
                  <c:v>41244</c:v>
                </c:pt>
                <c:pt idx="251">
                  <c:v>41275</c:v>
                </c:pt>
                <c:pt idx="252">
                  <c:v>41306</c:v>
                </c:pt>
                <c:pt idx="253">
                  <c:v>41334</c:v>
                </c:pt>
                <c:pt idx="254">
                  <c:v>41365</c:v>
                </c:pt>
                <c:pt idx="255">
                  <c:v>41395</c:v>
                </c:pt>
                <c:pt idx="256">
                  <c:v>41426</c:v>
                </c:pt>
                <c:pt idx="257">
                  <c:v>41456</c:v>
                </c:pt>
                <c:pt idx="258">
                  <c:v>41487</c:v>
                </c:pt>
                <c:pt idx="259">
                  <c:v>41518</c:v>
                </c:pt>
                <c:pt idx="260">
                  <c:v>41548</c:v>
                </c:pt>
                <c:pt idx="261">
                  <c:v>41579</c:v>
                </c:pt>
                <c:pt idx="262">
                  <c:v>41609</c:v>
                </c:pt>
                <c:pt idx="263">
                  <c:v>41640</c:v>
                </c:pt>
                <c:pt idx="264">
                  <c:v>41671</c:v>
                </c:pt>
                <c:pt idx="265">
                  <c:v>41699</c:v>
                </c:pt>
                <c:pt idx="266">
                  <c:v>41730</c:v>
                </c:pt>
                <c:pt idx="267">
                  <c:v>41760</c:v>
                </c:pt>
                <c:pt idx="268">
                  <c:v>41791</c:v>
                </c:pt>
                <c:pt idx="269">
                  <c:v>41821</c:v>
                </c:pt>
                <c:pt idx="270">
                  <c:v>41852</c:v>
                </c:pt>
                <c:pt idx="271">
                  <c:v>41883</c:v>
                </c:pt>
                <c:pt idx="272">
                  <c:v>41913</c:v>
                </c:pt>
                <c:pt idx="273">
                  <c:v>41944</c:v>
                </c:pt>
                <c:pt idx="274">
                  <c:v>41974</c:v>
                </c:pt>
                <c:pt idx="275">
                  <c:v>42005</c:v>
                </c:pt>
                <c:pt idx="276">
                  <c:v>42036</c:v>
                </c:pt>
                <c:pt idx="277">
                  <c:v>42064</c:v>
                </c:pt>
                <c:pt idx="278">
                  <c:v>42095</c:v>
                </c:pt>
                <c:pt idx="279">
                  <c:v>42125</c:v>
                </c:pt>
                <c:pt idx="280">
                  <c:v>42156</c:v>
                </c:pt>
                <c:pt idx="281">
                  <c:v>42186</c:v>
                </c:pt>
                <c:pt idx="282">
                  <c:v>42217</c:v>
                </c:pt>
                <c:pt idx="283">
                  <c:v>42248</c:v>
                </c:pt>
                <c:pt idx="284">
                  <c:v>42278</c:v>
                </c:pt>
                <c:pt idx="285">
                  <c:v>42309</c:v>
                </c:pt>
                <c:pt idx="286">
                  <c:v>42339</c:v>
                </c:pt>
                <c:pt idx="287">
                  <c:v>42370</c:v>
                </c:pt>
                <c:pt idx="288">
                  <c:v>42401</c:v>
                </c:pt>
                <c:pt idx="289">
                  <c:v>42430</c:v>
                </c:pt>
                <c:pt idx="290">
                  <c:v>42461</c:v>
                </c:pt>
                <c:pt idx="291">
                  <c:v>42491</c:v>
                </c:pt>
                <c:pt idx="292">
                  <c:v>42522</c:v>
                </c:pt>
                <c:pt idx="293">
                  <c:v>42552</c:v>
                </c:pt>
                <c:pt idx="294">
                  <c:v>42583</c:v>
                </c:pt>
                <c:pt idx="295">
                  <c:v>42614</c:v>
                </c:pt>
                <c:pt idx="296">
                  <c:v>42644</c:v>
                </c:pt>
                <c:pt idx="297">
                  <c:v>42675</c:v>
                </c:pt>
                <c:pt idx="298">
                  <c:v>42705</c:v>
                </c:pt>
                <c:pt idx="299">
                  <c:v>42736</c:v>
                </c:pt>
                <c:pt idx="300">
                  <c:v>42767</c:v>
                </c:pt>
                <c:pt idx="301">
                  <c:v>42795</c:v>
                </c:pt>
                <c:pt idx="302">
                  <c:v>42826</c:v>
                </c:pt>
                <c:pt idx="303">
                  <c:v>42856</c:v>
                </c:pt>
                <c:pt idx="304">
                  <c:v>42887</c:v>
                </c:pt>
                <c:pt idx="305">
                  <c:v>42917</c:v>
                </c:pt>
                <c:pt idx="306">
                  <c:v>42948</c:v>
                </c:pt>
                <c:pt idx="307">
                  <c:v>42979</c:v>
                </c:pt>
                <c:pt idx="308">
                  <c:v>43009</c:v>
                </c:pt>
                <c:pt idx="309">
                  <c:v>43040</c:v>
                </c:pt>
                <c:pt idx="310">
                  <c:v>43070</c:v>
                </c:pt>
                <c:pt idx="311">
                  <c:v>43101</c:v>
                </c:pt>
                <c:pt idx="312">
                  <c:v>43132</c:v>
                </c:pt>
                <c:pt idx="313">
                  <c:v>43160</c:v>
                </c:pt>
                <c:pt idx="314">
                  <c:v>43191</c:v>
                </c:pt>
                <c:pt idx="315">
                  <c:v>43221</c:v>
                </c:pt>
                <c:pt idx="316">
                  <c:v>43252</c:v>
                </c:pt>
                <c:pt idx="317">
                  <c:v>43282</c:v>
                </c:pt>
                <c:pt idx="318">
                  <c:v>43313</c:v>
                </c:pt>
                <c:pt idx="319">
                  <c:v>43344</c:v>
                </c:pt>
                <c:pt idx="320">
                  <c:v>43374</c:v>
                </c:pt>
                <c:pt idx="321">
                  <c:v>43405</c:v>
                </c:pt>
                <c:pt idx="322">
                  <c:v>43435</c:v>
                </c:pt>
                <c:pt idx="323">
                  <c:v>43466</c:v>
                </c:pt>
                <c:pt idx="324">
                  <c:v>43497</c:v>
                </c:pt>
                <c:pt idx="325">
                  <c:v>43525</c:v>
                </c:pt>
                <c:pt idx="326">
                  <c:v>43556</c:v>
                </c:pt>
                <c:pt idx="327">
                  <c:v>43586</c:v>
                </c:pt>
                <c:pt idx="328">
                  <c:v>43617</c:v>
                </c:pt>
                <c:pt idx="329">
                  <c:v>43647</c:v>
                </c:pt>
                <c:pt idx="330">
                  <c:v>43678</c:v>
                </c:pt>
                <c:pt idx="331">
                  <c:v>43709</c:v>
                </c:pt>
                <c:pt idx="332">
                  <c:v>43739</c:v>
                </c:pt>
                <c:pt idx="333">
                  <c:v>43770</c:v>
                </c:pt>
                <c:pt idx="334">
                  <c:v>43800</c:v>
                </c:pt>
                <c:pt idx="335">
                  <c:v>43831</c:v>
                </c:pt>
                <c:pt idx="336">
                  <c:v>43862</c:v>
                </c:pt>
                <c:pt idx="337">
                  <c:v>43891</c:v>
                </c:pt>
                <c:pt idx="338">
                  <c:v>43922</c:v>
                </c:pt>
                <c:pt idx="339">
                  <c:v>43952</c:v>
                </c:pt>
                <c:pt idx="340">
                  <c:v>43983</c:v>
                </c:pt>
                <c:pt idx="341">
                  <c:v>44013</c:v>
                </c:pt>
                <c:pt idx="342">
                  <c:v>44044</c:v>
                </c:pt>
                <c:pt idx="343">
                  <c:v>44075</c:v>
                </c:pt>
                <c:pt idx="344">
                  <c:v>44105</c:v>
                </c:pt>
                <c:pt idx="345">
                  <c:v>44136</c:v>
                </c:pt>
                <c:pt idx="346">
                  <c:v>44166</c:v>
                </c:pt>
                <c:pt idx="347">
                  <c:v>44197</c:v>
                </c:pt>
                <c:pt idx="348">
                  <c:v>44228</c:v>
                </c:pt>
                <c:pt idx="349">
                  <c:v>44256</c:v>
                </c:pt>
                <c:pt idx="350">
                  <c:v>44287</c:v>
                </c:pt>
                <c:pt idx="351">
                  <c:v>44317</c:v>
                </c:pt>
                <c:pt idx="352">
                  <c:v>44348</c:v>
                </c:pt>
                <c:pt idx="353">
                  <c:v>44378</c:v>
                </c:pt>
                <c:pt idx="354">
                  <c:v>44409</c:v>
                </c:pt>
              </c:numCache>
            </c:numRef>
          </c:cat>
          <c:val>
            <c:numRef>
              <c:f>'Retail Sales ex Auto and Gas'!$C$8:$C$365</c:f>
              <c:numCache>
                <c:formatCode>0.00%</c:formatCode>
                <c:ptCount val="358"/>
                <c:pt idx="0">
                  <c:v>-1.612711562293106E-4</c:v>
                </c:pt>
                <c:pt idx="1">
                  <c:v>-4.1597690903688611E-4</c:v>
                </c:pt>
                <c:pt idx="2">
                  <c:v>4.0510930307611302E-3</c:v>
                </c:pt>
                <c:pt idx="3">
                  <c:v>1.3702917368024834E-3</c:v>
                </c:pt>
                <c:pt idx="4">
                  <c:v>2.1117540228914137E-4</c:v>
                </c:pt>
                <c:pt idx="5">
                  <c:v>5.7596486783210877E-3</c:v>
                </c:pt>
                <c:pt idx="6">
                  <c:v>8.6571726060524629E-3</c:v>
                </c:pt>
                <c:pt idx="7">
                  <c:v>1.1737968582203242E-3</c:v>
                </c:pt>
                <c:pt idx="8">
                  <c:v>9.0218186656023415E-3</c:v>
                </c:pt>
                <c:pt idx="9">
                  <c:v>3.0325754641571008E-3</c:v>
                </c:pt>
                <c:pt idx="10">
                  <c:v>1.3482093709177847E-2</c:v>
                </c:pt>
                <c:pt idx="11">
                  <c:v>5.9258418586552956E-3</c:v>
                </c:pt>
                <c:pt idx="12">
                  <c:v>-5.3509980739630423E-3</c:v>
                </c:pt>
                <c:pt idx="13">
                  <c:v>-4.5452704071298356E-3</c:v>
                </c:pt>
                <c:pt idx="14">
                  <c:v>1.48538221122542E-2</c:v>
                </c:pt>
                <c:pt idx="15">
                  <c:v>9.7041439100482001E-3</c:v>
                </c:pt>
                <c:pt idx="16">
                  <c:v>-7.5457311019150276E-4</c:v>
                </c:pt>
                <c:pt idx="17">
                  <c:v>9.117357158754889E-3</c:v>
                </c:pt>
                <c:pt idx="18">
                  <c:v>-9.4524659120448051E-4</c:v>
                </c:pt>
                <c:pt idx="19">
                  <c:v>1.0431203727795255E-2</c:v>
                </c:pt>
                <c:pt idx="20">
                  <c:v>9.2076720196014171E-4</c:v>
                </c:pt>
                <c:pt idx="21">
                  <c:v>5.0205812648122742E-3</c:v>
                </c:pt>
                <c:pt idx="22">
                  <c:v>8.2224083899593535E-3</c:v>
                </c:pt>
                <c:pt idx="23">
                  <c:v>-8.8477872838062417E-3</c:v>
                </c:pt>
                <c:pt idx="24">
                  <c:v>1.3102945057674693E-2</c:v>
                </c:pt>
                <c:pt idx="25">
                  <c:v>2.0526533551956112E-2</c:v>
                </c:pt>
                <c:pt idx="26">
                  <c:v>-3.7013957189942414E-3</c:v>
                </c:pt>
                <c:pt idx="27">
                  <c:v>2.6978146194423513E-3</c:v>
                </c:pt>
                <c:pt idx="28">
                  <c:v>1.1062844774459258E-2</c:v>
                </c:pt>
                <c:pt idx="29">
                  <c:v>3.077380509923437E-3</c:v>
                </c:pt>
                <c:pt idx="30">
                  <c:v>9.6484467631017309E-3</c:v>
                </c:pt>
                <c:pt idx="31">
                  <c:v>4.0808537498348571E-3</c:v>
                </c:pt>
                <c:pt idx="32">
                  <c:v>7.4487215099194454E-3</c:v>
                </c:pt>
                <c:pt idx="33">
                  <c:v>-1.2407398001755901E-3</c:v>
                </c:pt>
                <c:pt idx="34">
                  <c:v>8.9066472938612428E-3</c:v>
                </c:pt>
                <c:pt idx="35">
                  <c:v>4.0179728678821393E-3</c:v>
                </c:pt>
                <c:pt idx="36">
                  <c:v>-1.3626518639643129E-2</c:v>
                </c:pt>
                <c:pt idx="37">
                  <c:v>8.0780025302834204E-3</c:v>
                </c:pt>
                <c:pt idx="38">
                  <c:v>2.2359262865591979E-3</c:v>
                </c:pt>
                <c:pt idx="39">
                  <c:v>7.9018387247670116E-3</c:v>
                </c:pt>
                <c:pt idx="40">
                  <c:v>3.2987511870506167E-3</c:v>
                </c:pt>
                <c:pt idx="41">
                  <c:v>2.3058036508557807E-3</c:v>
                </c:pt>
                <c:pt idx="42">
                  <c:v>5.0199163583950464E-3</c:v>
                </c:pt>
                <c:pt idx="43">
                  <c:v>7.6158987184378225E-3</c:v>
                </c:pt>
                <c:pt idx="44">
                  <c:v>-5.0903073816468474E-3</c:v>
                </c:pt>
                <c:pt idx="45">
                  <c:v>1.3544940732075152E-2</c:v>
                </c:pt>
                <c:pt idx="46">
                  <c:v>8.135168961201502E-3</c:v>
                </c:pt>
                <c:pt idx="47">
                  <c:v>-1.4614801020760052E-2</c:v>
                </c:pt>
                <c:pt idx="48">
                  <c:v>9.7430549236724034E-3</c:v>
                </c:pt>
                <c:pt idx="49">
                  <c:v>9.2123413487865905E-3</c:v>
                </c:pt>
                <c:pt idx="50">
                  <c:v>8.9359305456343761E-3</c:v>
                </c:pt>
                <c:pt idx="51">
                  <c:v>4.8879116091304553E-3</c:v>
                </c:pt>
                <c:pt idx="52">
                  <c:v>2.0797908014985331E-3</c:v>
                </c:pt>
                <c:pt idx="53">
                  <c:v>2.2647683175813626E-3</c:v>
                </c:pt>
                <c:pt idx="54">
                  <c:v>3.8245431795646632E-3</c:v>
                </c:pt>
                <c:pt idx="55">
                  <c:v>7.8215293643327504E-3</c:v>
                </c:pt>
                <c:pt idx="56">
                  <c:v>8.4409003627053548E-3</c:v>
                </c:pt>
                <c:pt idx="57">
                  <c:v>2.6512396694214875E-3</c:v>
                </c:pt>
                <c:pt idx="58">
                  <c:v>4.9191894547348843E-3</c:v>
                </c:pt>
                <c:pt idx="59">
                  <c:v>8.9240601849117766E-4</c:v>
                </c:pt>
                <c:pt idx="60">
                  <c:v>8.5489697311401467E-3</c:v>
                </c:pt>
                <c:pt idx="61">
                  <c:v>7.2934339593205798E-3</c:v>
                </c:pt>
                <c:pt idx="62">
                  <c:v>-5.2788156867300384E-3</c:v>
                </c:pt>
                <c:pt idx="63">
                  <c:v>1.4921403130899631E-3</c:v>
                </c:pt>
                <c:pt idx="64">
                  <c:v>8.0455525973142632E-3</c:v>
                </c:pt>
                <c:pt idx="65">
                  <c:v>9.2472993901537796E-3</c:v>
                </c:pt>
                <c:pt idx="66">
                  <c:v>5.5395665130020635E-4</c:v>
                </c:pt>
                <c:pt idx="67">
                  <c:v>6.8856235562145618E-3</c:v>
                </c:pt>
                <c:pt idx="68">
                  <c:v>3.0337312998906591E-4</c:v>
                </c:pt>
                <c:pt idx="69">
                  <c:v>1.3837201220706519E-3</c:v>
                </c:pt>
                <c:pt idx="70">
                  <c:v>2.4859926303568724E-3</c:v>
                </c:pt>
                <c:pt idx="71">
                  <c:v>6.2058634710036378E-3</c:v>
                </c:pt>
                <c:pt idx="72">
                  <c:v>5.7610028273325491E-3</c:v>
                </c:pt>
                <c:pt idx="73">
                  <c:v>2.836014901516895E-3</c:v>
                </c:pt>
                <c:pt idx="74">
                  <c:v>9.1723774380600941E-3</c:v>
                </c:pt>
                <c:pt idx="75">
                  <c:v>2.5318944962021582E-3</c:v>
                </c:pt>
                <c:pt idx="76">
                  <c:v>3.9108473911337776E-3</c:v>
                </c:pt>
                <c:pt idx="77">
                  <c:v>7.5103496281461041E-3</c:v>
                </c:pt>
                <c:pt idx="78">
                  <c:v>3.1938619669826186E-3</c:v>
                </c:pt>
                <c:pt idx="79">
                  <c:v>6.6452809443548342E-5</c:v>
                </c:pt>
                <c:pt idx="80">
                  <c:v>1.0661946817121938E-2</c:v>
                </c:pt>
                <c:pt idx="81">
                  <c:v>6.891522769519506E-3</c:v>
                </c:pt>
                <c:pt idx="82">
                  <c:v>7.11148047014128E-3</c:v>
                </c:pt>
                <c:pt idx="83">
                  <c:v>1.6562732084546559E-3</c:v>
                </c:pt>
                <c:pt idx="84">
                  <c:v>1.1839542424046275E-2</c:v>
                </c:pt>
                <c:pt idx="85">
                  <c:v>3.1753232025402587E-3</c:v>
                </c:pt>
                <c:pt idx="86">
                  <c:v>4.1449996231818524E-3</c:v>
                </c:pt>
                <c:pt idx="87">
                  <c:v>6.5007043391912805E-3</c:v>
                </c:pt>
                <c:pt idx="88">
                  <c:v>3.3784946483268134E-3</c:v>
                </c:pt>
                <c:pt idx="89">
                  <c:v>1.8064678408707632E-3</c:v>
                </c:pt>
                <c:pt idx="90">
                  <c:v>6.4995463442191698E-3</c:v>
                </c:pt>
                <c:pt idx="91">
                  <c:v>8.1981154539578875E-3</c:v>
                </c:pt>
                <c:pt idx="92">
                  <c:v>4.7180421530917515E-3</c:v>
                </c:pt>
                <c:pt idx="93">
                  <c:v>5.8040936490790125E-3</c:v>
                </c:pt>
                <c:pt idx="94">
                  <c:v>2.312135511730401E-2</c:v>
                </c:pt>
                <c:pt idx="95">
                  <c:v>-1.5511886826317994E-2</c:v>
                </c:pt>
                <c:pt idx="96">
                  <c:v>9.469247045694365E-3</c:v>
                </c:pt>
                <c:pt idx="97">
                  <c:v>1.7617022673912686E-2</c:v>
                </c:pt>
                <c:pt idx="98">
                  <c:v>-3.2967623964719802E-3</c:v>
                </c:pt>
                <c:pt idx="99">
                  <c:v>2.374181851538092E-4</c:v>
                </c:pt>
                <c:pt idx="100">
                  <c:v>2.8483419736636257E-3</c:v>
                </c:pt>
                <c:pt idx="101">
                  <c:v>3.3405236176633547E-3</c:v>
                </c:pt>
                <c:pt idx="102">
                  <c:v>2.7503752948745443E-3</c:v>
                </c:pt>
                <c:pt idx="103">
                  <c:v>1.2500467831879936E-2</c:v>
                </c:pt>
                <c:pt idx="104">
                  <c:v>-3.3796093382830526E-4</c:v>
                </c:pt>
                <c:pt idx="105">
                  <c:v>9.0329464837539029E-4</c:v>
                </c:pt>
                <c:pt idx="106">
                  <c:v>3.5096422803702803E-3</c:v>
                </c:pt>
                <c:pt idx="107">
                  <c:v>4.3861725122670836E-3</c:v>
                </c:pt>
                <c:pt idx="108">
                  <c:v>-3.665362844740466E-5</c:v>
                </c:pt>
                <c:pt idx="109">
                  <c:v>-4.4143059119233384E-3</c:v>
                </c:pt>
                <c:pt idx="110">
                  <c:v>1.1203037969357324E-2</c:v>
                </c:pt>
                <c:pt idx="111">
                  <c:v>-2.2261868228465025E-3</c:v>
                </c:pt>
                <c:pt idx="112">
                  <c:v>-3.4405642525374159E-4</c:v>
                </c:pt>
                <c:pt idx="113">
                  <c:v>5.1521930716561587E-3</c:v>
                </c:pt>
                <c:pt idx="114">
                  <c:v>7.4396501185467262E-3</c:v>
                </c:pt>
                <c:pt idx="115">
                  <c:v>-1.7333985632257898E-2</c:v>
                </c:pt>
                <c:pt idx="116">
                  <c:v>1.6942757272598641E-2</c:v>
                </c:pt>
                <c:pt idx="117">
                  <c:v>7.2197143033825989E-3</c:v>
                </c:pt>
                <c:pt idx="118">
                  <c:v>5.5358577253866656E-3</c:v>
                </c:pt>
                <c:pt idx="119">
                  <c:v>9.0569109827766045E-4</c:v>
                </c:pt>
                <c:pt idx="120">
                  <c:v>5.6173206651314355E-3</c:v>
                </c:pt>
                <c:pt idx="121">
                  <c:v>3.0836425401126286E-4</c:v>
                </c:pt>
                <c:pt idx="122">
                  <c:v>9.3339869314075768E-3</c:v>
                </c:pt>
                <c:pt idx="123">
                  <c:v>-3.8402611577861671E-3</c:v>
                </c:pt>
                <c:pt idx="124">
                  <c:v>1.6385285410561974E-3</c:v>
                </c:pt>
                <c:pt idx="125">
                  <c:v>-1.4150588353363273E-3</c:v>
                </c:pt>
                <c:pt idx="126">
                  <c:v>1.3115380170148189E-3</c:v>
                </c:pt>
                <c:pt idx="127">
                  <c:v>-9.6354584872330171E-4</c:v>
                </c:pt>
                <c:pt idx="128">
                  <c:v>6.4901141295611638E-3</c:v>
                </c:pt>
                <c:pt idx="129">
                  <c:v>5.8892815076560662E-3</c:v>
                </c:pt>
                <c:pt idx="130">
                  <c:v>7.1944587782320484E-4</c:v>
                </c:pt>
                <c:pt idx="131">
                  <c:v>4.0309585550029996E-3</c:v>
                </c:pt>
                <c:pt idx="132">
                  <c:v>-8.6665810708042388E-3</c:v>
                </c:pt>
                <c:pt idx="133">
                  <c:v>1.4854518373873582E-2</c:v>
                </c:pt>
                <c:pt idx="134">
                  <c:v>-1.4234595958356445E-3</c:v>
                </c:pt>
                <c:pt idx="135">
                  <c:v>7.3781330030131881E-3</c:v>
                </c:pt>
                <c:pt idx="136">
                  <c:v>1.260856836147165E-2</c:v>
                </c:pt>
                <c:pt idx="137">
                  <c:v>9.5314276902912429E-3</c:v>
                </c:pt>
                <c:pt idx="138">
                  <c:v>1.1050013842349953E-2</c:v>
                </c:pt>
                <c:pt idx="139">
                  <c:v>-1.3313379001685416E-3</c:v>
                </c:pt>
                <c:pt idx="140">
                  <c:v>3.5124211123454749E-3</c:v>
                </c:pt>
                <c:pt idx="141">
                  <c:v>4.8945251038732228E-3</c:v>
                </c:pt>
                <c:pt idx="142">
                  <c:v>-3.2815012399386825E-5</c:v>
                </c:pt>
                <c:pt idx="143">
                  <c:v>8.3681027612395112E-3</c:v>
                </c:pt>
                <c:pt idx="144">
                  <c:v>-2.3710453520537438E-4</c:v>
                </c:pt>
                <c:pt idx="145">
                  <c:v>1.8842655456557729E-2</c:v>
                </c:pt>
                <c:pt idx="146">
                  <c:v>-4.8471902727571479E-3</c:v>
                </c:pt>
                <c:pt idx="147">
                  <c:v>5.0359118302650049E-3</c:v>
                </c:pt>
                <c:pt idx="148">
                  <c:v>-9.8114378548089741E-4</c:v>
                </c:pt>
                <c:pt idx="149">
                  <c:v>7.5325351617279608E-3</c:v>
                </c:pt>
                <c:pt idx="150">
                  <c:v>2.2396924276633749E-3</c:v>
                </c:pt>
                <c:pt idx="151">
                  <c:v>7.3238034922645436E-3</c:v>
                </c:pt>
                <c:pt idx="152">
                  <c:v>6.9472199893119693E-3</c:v>
                </c:pt>
                <c:pt idx="153">
                  <c:v>3.8086573367941273E-3</c:v>
                </c:pt>
                <c:pt idx="154">
                  <c:v>1.0489603696463479E-2</c:v>
                </c:pt>
                <c:pt idx="155">
                  <c:v>3.5042054862579747E-3</c:v>
                </c:pt>
                <c:pt idx="156">
                  <c:v>8.762782709277158E-3</c:v>
                </c:pt>
                <c:pt idx="157">
                  <c:v>-1.3116861682259228E-3</c:v>
                </c:pt>
                <c:pt idx="158">
                  <c:v>1.2999269361909401E-2</c:v>
                </c:pt>
                <c:pt idx="159">
                  <c:v>-3.2971986690994957E-3</c:v>
                </c:pt>
                <c:pt idx="160">
                  <c:v>9.9630853258786088E-3</c:v>
                </c:pt>
                <c:pt idx="161">
                  <c:v>-2.0258455239476267E-3</c:v>
                </c:pt>
                <c:pt idx="162">
                  <c:v>9.0856642235945216E-3</c:v>
                </c:pt>
                <c:pt idx="163">
                  <c:v>4.6247474811643187E-3</c:v>
                </c:pt>
                <c:pt idx="164">
                  <c:v>1.3152736148524743E-2</c:v>
                </c:pt>
                <c:pt idx="165">
                  <c:v>2.4798924825138453E-3</c:v>
                </c:pt>
                <c:pt idx="166">
                  <c:v>-4.1506003843455954E-5</c:v>
                </c:pt>
                <c:pt idx="167">
                  <c:v>2.2235689173539654E-2</c:v>
                </c:pt>
                <c:pt idx="168">
                  <c:v>6.0095177768032613E-4</c:v>
                </c:pt>
                <c:pt idx="169">
                  <c:v>1.7733662305619582E-3</c:v>
                </c:pt>
                <c:pt idx="170">
                  <c:v>7.2915527361551647E-5</c:v>
                </c:pt>
                <c:pt idx="171">
                  <c:v>-1.6809854220083522E-3</c:v>
                </c:pt>
                <c:pt idx="172">
                  <c:v>-7.3844455985458326E-4</c:v>
                </c:pt>
                <c:pt idx="173">
                  <c:v>-8.2425837048586575E-4</c:v>
                </c:pt>
                <c:pt idx="174">
                  <c:v>7.0261989036041273E-3</c:v>
                </c:pt>
                <c:pt idx="175">
                  <c:v>6.613991477272727E-3</c:v>
                </c:pt>
                <c:pt idx="176">
                  <c:v>2.6298171555480723E-3</c:v>
                </c:pt>
                <c:pt idx="177">
                  <c:v>-8.9163264734929207E-4</c:v>
                </c:pt>
                <c:pt idx="178">
                  <c:v>1.4074755882823755E-2</c:v>
                </c:pt>
                <c:pt idx="179">
                  <c:v>2.273112941352897E-3</c:v>
                </c:pt>
                <c:pt idx="180">
                  <c:v>-2.9136955503144034E-3</c:v>
                </c:pt>
                <c:pt idx="181">
                  <c:v>9.6906801246283061E-3</c:v>
                </c:pt>
                <c:pt idx="182">
                  <c:v>-8.037170446678947E-3</c:v>
                </c:pt>
                <c:pt idx="183">
                  <c:v>8.3585667423668932E-3</c:v>
                </c:pt>
                <c:pt idx="184">
                  <c:v>1.1651912790515812E-3</c:v>
                </c:pt>
                <c:pt idx="185">
                  <c:v>6.5182581527045503E-3</c:v>
                </c:pt>
                <c:pt idx="186">
                  <c:v>-5.1606594779585516E-4</c:v>
                </c:pt>
                <c:pt idx="187">
                  <c:v>-3.9986645236930578E-4</c:v>
                </c:pt>
                <c:pt idx="188">
                  <c:v>3.4254688659057101E-3</c:v>
                </c:pt>
                <c:pt idx="189">
                  <c:v>1.0020707139124882E-2</c:v>
                </c:pt>
                <c:pt idx="190">
                  <c:v>-6.1083562620231919E-3</c:v>
                </c:pt>
                <c:pt idx="191">
                  <c:v>-1.4690006169031462E-3</c:v>
                </c:pt>
                <c:pt idx="192">
                  <c:v>-7.1666042420427912E-3</c:v>
                </c:pt>
                <c:pt idx="193">
                  <c:v>3.1269081334614171E-3</c:v>
                </c:pt>
                <c:pt idx="194">
                  <c:v>6.4359295459568014E-3</c:v>
                </c:pt>
                <c:pt idx="195">
                  <c:v>1.1410432725829875E-2</c:v>
                </c:pt>
                <c:pt idx="196">
                  <c:v>7.5414494056347573E-4</c:v>
                </c:pt>
                <c:pt idx="197">
                  <c:v>4.1142239492743971E-3</c:v>
                </c:pt>
                <c:pt idx="198">
                  <c:v>-8.2402171111481716E-3</c:v>
                </c:pt>
                <c:pt idx="199">
                  <c:v>-1.2424805277198131E-2</c:v>
                </c:pt>
                <c:pt idx="200">
                  <c:v>-1.0201119956037662E-2</c:v>
                </c:pt>
                <c:pt idx="201">
                  <c:v>-1.2421461721019522E-2</c:v>
                </c:pt>
                <c:pt idx="202">
                  <c:v>-1.0376499465537037E-2</c:v>
                </c:pt>
                <c:pt idx="203">
                  <c:v>9.4091667366753475E-3</c:v>
                </c:pt>
                <c:pt idx="204">
                  <c:v>-3.1428220401789782E-3</c:v>
                </c:pt>
                <c:pt idx="205">
                  <c:v>-1.4733946121306574E-2</c:v>
                </c:pt>
                <c:pt idx="206">
                  <c:v>4.9470991275996478E-3</c:v>
                </c:pt>
                <c:pt idx="207">
                  <c:v>2.5336481320869871E-3</c:v>
                </c:pt>
                <c:pt idx="208">
                  <c:v>8.7312108747631962E-4</c:v>
                </c:pt>
                <c:pt idx="209">
                  <c:v>-7.7631984377563555E-4</c:v>
                </c:pt>
                <c:pt idx="210">
                  <c:v>1.7620933669199008E-4</c:v>
                </c:pt>
                <c:pt idx="211">
                  <c:v>1.7057261949092481E-3</c:v>
                </c:pt>
                <c:pt idx="212">
                  <c:v>5.076487070946905E-4</c:v>
                </c:pt>
                <c:pt idx="213">
                  <c:v>5.8729524570515386E-4</c:v>
                </c:pt>
                <c:pt idx="214">
                  <c:v>5.4462620833948903E-3</c:v>
                </c:pt>
                <c:pt idx="215">
                  <c:v>1.9856161962741897E-4</c:v>
                </c:pt>
                <c:pt idx="216">
                  <c:v>8.8461492648722901E-3</c:v>
                </c:pt>
                <c:pt idx="217">
                  <c:v>8.7882592320013848E-3</c:v>
                </c:pt>
                <c:pt idx="218">
                  <c:v>7.7870803130437498E-3</c:v>
                </c:pt>
                <c:pt idx="219">
                  <c:v>-8.7024520165067867E-3</c:v>
                </c:pt>
                <c:pt idx="220">
                  <c:v>2.6711446088960051E-3</c:v>
                </c:pt>
                <c:pt idx="221">
                  <c:v>-1.842230306051707E-3</c:v>
                </c:pt>
                <c:pt idx="222">
                  <c:v>6.590422231847074E-3</c:v>
                </c:pt>
                <c:pt idx="223">
                  <c:v>3.4034965306043337E-3</c:v>
                </c:pt>
                <c:pt idx="224">
                  <c:v>4.9527135616269004E-3</c:v>
                </c:pt>
                <c:pt idx="225">
                  <c:v>9.7681928266635919E-3</c:v>
                </c:pt>
                <c:pt idx="226">
                  <c:v>-1.9796627720608669E-4</c:v>
                </c:pt>
                <c:pt idx="227">
                  <c:v>5.2319139133116793E-3</c:v>
                </c:pt>
                <c:pt idx="228">
                  <c:v>5.6251491516820518E-3</c:v>
                </c:pt>
                <c:pt idx="229">
                  <c:v>6.4299113297523712E-3</c:v>
                </c:pt>
                <c:pt idx="230">
                  <c:v>7.4929356064150311E-3</c:v>
                </c:pt>
                <c:pt idx="231">
                  <c:v>-1.6717003421413366E-4</c:v>
                </c:pt>
                <c:pt idx="232">
                  <c:v>9.7197761776311384E-3</c:v>
                </c:pt>
                <c:pt idx="233">
                  <c:v>-1.6558850153445344E-4</c:v>
                </c:pt>
                <c:pt idx="234">
                  <c:v>5.0016009539477317E-3</c:v>
                </c:pt>
                <c:pt idx="235">
                  <c:v>1.9738384015937187E-3</c:v>
                </c:pt>
                <c:pt idx="236">
                  <c:v>6.3922868598119227E-3</c:v>
                </c:pt>
                <c:pt idx="237">
                  <c:v>1.2202208018593842E-3</c:v>
                </c:pt>
                <c:pt idx="238">
                  <c:v>-3.1338865997330395E-3</c:v>
                </c:pt>
                <c:pt idx="239">
                  <c:v>1.2429411422250684E-2</c:v>
                </c:pt>
                <c:pt idx="240">
                  <c:v>8.3414795434288841E-3</c:v>
                </c:pt>
                <c:pt idx="241">
                  <c:v>3.2077670733402478E-3</c:v>
                </c:pt>
                <c:pt idx="242">
                  <c:v>-4.2811108861011337E-3</c:v>
                </c:pt>
                <c:pt idx="243">
                  <c:v>-1.3558644706419662E-3</c:v>
                </c:pt>
                <c:pt idx="244">
                  <c:v>-1.1826328050192222E-3</c:v>
                </c:pt>
                <c:pt idx="245">
                  <c:v>5.0258806022471592E-3</c:v>
                </c:pt>
                <c:pt idx="246">
                  <c:v>3.1784110080510255E-3</c:v>
                </c:pt>
                <c:pt idx="247">
                  <c:v>4.9742594491415677E-3</c:v>
                </c:pt>
                <c:pt idx="248">
                  <c:v>-1.2109315700098498E-3</c:v>
                </c:pt>
                <c:pt idx="249">
                  <c:v>6.4543494397511572E-3</c:v>
                </c:pt>
                <c:pt idx="250">
                  <c:v>5.3979826927399418E-3</c:v>
                </c:pt>
                <c:pt idx="251">
                  <c:v>7.471888721604902E-3</c:v>
                </c:pt>
                <c:pt idx="252">
                  <c:v>3.0511906578089675E-3</c:v>
                </c:pt>
                <c:pt idx="253">
                  <c:v>-2.4093303651673741E-3</c:v>
                </c:pt>
                <c:pt idx="254">
                  <c:v>-3.1739981635163467E-3</c:v>
                </c:pt>
                <c:pt idx="255">
                  <c:v>4.5849714438662538E-3</c:v>
                </c:pt>
                <c:pt idx="256">
                  <c:v>-1.3875528550370592E-3</c:v>
                </c:pt>
                <c:pt idx="257">
                  <c:v>7.9210802607095707E-3</c:v>
                </c:pt>
                <c:pt idx="258">
                  <c:v>-8.5601427378017962E-4</c:v>
                </c:pt>
                <c:pt idx="259">
                  <c:v>4.3594348906184407E-3</c:v>
                </c:pt>
                <c:pt idx="260">
                  <c:v>3.8780271393383373E-3</c:v>
                </c:pt>
                <c:pt idx="261">
                  <c:v>3.6855917251640601E-3</c:v>
                </c:pt>
                <c:pt idx="262">
                  <c:v>3.7842597913047026E-3</c:v>
                </c:pt>
                <c:pt idx="263">
                  <c:v>-8.2953398413418873E-3</c:v>
                </c:pt>
                <c:pt idx="264">
                  <c:v>1.071463946963047E-2</c:v>
                </c:pt>
                <c:pt idx="265">
                  <c:v>8.0090837202700781E-3</c:v>
                </c:pt>
                <c:pt idx="266">
                  <c:v>8.8439205589304157E-3</c:v>
                </c:pt>
                <c:pt idx="267">
                  <c:v>3.146994902333495E-3</c:v>
                </c:pt>
                <c:pt idx="268">
                  <c:v>6.4100652932232195E-3</c:v>
                </c:pt>
                <c:pt idx="269">
                  <c:v>7.7023343998104037E-4</c:v>
                </c:pt>
                <c:pt idx="270">
                  <c:v>8.3936876311513694E-3</c:v>
                </c:pt>
                <c:pt idx="271">
                  <c:v>9.8502886591213018E-4</c:v>
                </c:pt>
                <c:pt idx="272">
                  <c:v>6.5332429649518397E-3</c:v>
                </c:pt>
                <c:pt idx="273">
                  <c:v>3.8297555495844893E-3</c:v>
                </c:pt>
                <c:pt idx="274">
                  <c:v>3.3281733746130032E-3</c:v>
                </c:pt>
                <c:pt idx="275">
                  <c:v>8.6785466327239061E-4</c:v>
                </c:pt>
                <c:pt idx="276">
                  <c:v>-2.0168153586270238E-3</c:v>
                </c:pt>
                <c:pt idx="277">
                  <c:v>7.1310425609968017E-3</c:v>
                </c:pt>
                <c:pt idx="278">
                  <c:v>1.9203118509761319E-3</c:v>
                </c:pt>
                <c:pt idx="279">
                  <c:v>4.3881608949807218E-3</c:v>
                </c:pt>
                <c:pt idx="280">
                  <c:v>3.3021429002340076E-4</c:v>
                </c:pt>
                <c:pt idx="281">
                  <c:v>7.9701381681061157E-3</c:v>
                </c:pt>
                <c:pt idx="282">
                  <c:v>1.6658164389945901E-3</c:v>
                </c:pt>
                <c:pt idx="283">
                  <c:v>-2.8293790141814765E-5</c:v>
                </c:pt>
                <c:pt idx="284">
                  <c:v>-8.7084462497091948E-4</c:v>
                </c:pt>
                <c:pt idx="285">
                  <c:v>3.9584021648495149E-3</c:v>
                </c:pt>
                <c:pt idx="286">
                  <c:v>7.1490583364413928E-3</c:v>
                </c:pt>
                <c:pt idx="287">
                  <c:v>-3.5507120095598487E-3</c:v>
                </c:pt>
                <c:pt idx="288">
                  <c:v>1.1561415726898248E-2</c:v>
                </c:pt>
                <c:pt idx="289">
                  <c:v>-2.5748290393788303E-3</c:v>
                </c:pt>
                <c:pt idx="290">
                  <c:v>1.606458023158996E-3</c:v>
                </c:pt>
                <c:pt idx="291">
                  <c:v>2.1601409190642479E-3</c:v>
                </c:pt>
                <c:pt idx="292">
                  <c:v>8.4615882746562482E-3</c:v>
                </c:pt>
                <c:pt idx="293">
                  <c:v>-5.2655236627496306E-3</c:v>
                </c:pt>
                <c:pt idx="294">
                  <c:v>3.3998235534611495E-3</c:v>
                </c:pt>
                <c:pt idx="295">
                  <c:v>2.3497550679039388E-3</c:v>
                </c:pt>
                <c:pt idx="296">
                  <c:v>1.8368868893344418E-3</c:v>
                </c:pt>
                <c:pt idx="297">
                  <c:v>1.3179370624037097E-3</c:v>
                </c:pt>
                <c:pt idx="298">
                  <c:v>3.0467647928047602E-3</c:v>
                </c:pt>
                <c:pt idx="299">
                  <c:v>1.5114650823013392E-2</c:v>
                </c:pt>
                <c:pt idx="300">
                  <c:v>-3.6206623118976159E-4</c:v>
                </c:pt>
                <c:pt idx="301">
                  <c:v>4.3194281472257474E-3</c:v>
                </c:pt>
                <c:pt idx="302">
                  <c:v>5.5317944056152485E-3</c:v>
                </c:pt>
                <c:pt idx="303">
                  <c:v>-3.7970068559538312E-3</c:v>
                </c:pt>
                <c:pt idx="304">
                  <c:v>4.0138058258204646E-3</c:v>
                </c:pt>
                <c:pt idx="305">
                  <c:v>1.6002892374621783E-4</c:v>
                </c:pt>
                <c:pt idx="306">
                  <c:v>5.2919616110556371E-3</c:v>
                </c:pt>
                <c:pt idx="307">
                  <c:v>9.8355630616690105E-3</c:v>
                </c:pt>
                <c:pt idx="308">
                  <c:v>8.7561584981436942E-6</c:v>
                </c:pt>
                <c:pt idx="309">
                  <c:v>1.3922170107320376E-2</c:v>
                </c:pt>
                <c:pt idx="310">
                  <c:v>5.5039163588944959E-3</c:v>
                </c:pt>
                <c:pt idx="311">
                  <c:v>-2.4277056177909595E-3</c:v>
                </c:pt>
                <c:pt idx="312">
                  <c:v>6.6149523752127258E-3</c:v>
                </c:pt>
                <c:pt idx="313">
                  <c:v>-3.5922202772281745E-4</c:v>
                </c:pt>
                <c:pt idx="314">
                  <c:v>4.3549932692965847E-3</c:v>
                </c:pt>
                <c:pt idx="315">
                  <c:v>1.1804327022736889E-2</c:v>
                </c:pt>
                <c:pt idx="316">
                  <c:v>-2.9496289810168504E-3</c:v>
                </c:pt>
                <c:pt idx="317">
                  <c:v>6.5866325137573364E-3</c:v>
                </c:pt>
                <c:pt idx="318">
                  <c:v>-4.7538485200151003E-5</c:v>
                </c:pt>
                <c:pt idx="319">
                  <c:v>-2.0386590154032012E-3</c:v>
                </c:pt>
                <c:pt idx="320">
                  <c:v>9.5107591513735115E-3</c:v>
                </c:pt>
                <c:pt idx="321">
                  <c:v>6.3899537269641055E-3</c:v>
                </c:pt>
                <c:pt idx="322">
                  <c:v>-2.3982568162071963E-2</c:v>
                </c:pt>
                <c:pt idx="323">
                  <c:v>2.6784604080709887E-2</c:v>
                </c:pt>
                <c:pt idx="324">
                  <c:v>-6.8916546026014346E-3</c:v>
                </c:pt>
                <c:pt idx="325">
                  <c:v>9.9325451592699142E-3</c:v>
                </c:pt>
                <c:pt idx="326">
                  <c:v>6.1248346678813891E-3</c:v>
                </c:pt>
                <c:pt idx="327">
                  <c:v>3.6138006273012408E-3</c:v>
                </c:pt>
                <c:pt idx="328">
                  <c:v>6.4216319043413272E-3</c:v>
                </c:pt>
                <c:pt idx="329">
                  <c:v>5.4841793172723296E-3</c:v>
                </c:pt>
                <c:pt idx="330">
                  <c:v>2.9030343557063022E-3</c:v>
                </c:pt>
                <c:pt idx="331">
                  <c:v>-2.9321194269647877E-3</c:v>
                </c:pt>
                <c:pt idx="332">
                  <c:v>3.7491103919646573E-3</c:v>
                </c:pt>
                <c:pt idx="333">
                  <c:v>-2.0494928441663032E-3</c:v>
                </c:pt>
                <c:pt idx="334">
                  <c:v>5.2575840851508777E-3</c:v>
                </c:pt>
                <c:pt idx="335">
                  <c:v>9.673392968587477E-3</c:v>
                </c:pt>
                <c:pt idx="336">
                  <c:v>2.4301785917115061E-4</c:v>
                </c:pt>
                <c:pt idx="337">
                  <c:v>-2.8999247355842236E-2</c:v>
                </c:pt>
                <c:pt idx="338">
                  <c:v>-0.141953416520708</c:v>
                </c:pt>
                <c:pt idx="339">
                  <c:v>0.12123046689276998</c:v>
                </c:pt>
                <c:pt idx="340">
                  <c:v>7.7981664343848678E-2</c:v>
                </c:pt>
                <c:pt idx="341">
                  <c:v>1.7704197502373321E-2</c:v>
                </c:pt>
                <c:pt idx="342">
                  <c:v>9.1864159578223682E-3</c:v>
                </c:pt>
                <c:pt idx="343">
                  <c:v>1.6614833085655631E-2</c:v>
                </c:pt>
                <c:pt idx="344">
                  <c:v>1.135264790465785E-3</c:v>
                </c:pt>
                <c:pt idx="345">
                  <c:v>-1.176376139308625E-2</c:v>
                </c:pt>
                <c:pt idx="346">
                  <c:v>-2.9146399666927301E-2</c:v>
                </c:pt>
                <c:pt idx="347">
                  <c:v>8.6460945487635554E-2</c:v>
                </c:pt>
                <c:pt idx="348">
                  <c:v>-3.2412176407728671E-2</c:v>
                </c:pt>
                <c:pt idx="349">
                  <c:v>9.7528760649213356E-2</c:v>
                </c:pt>
                <c:pt idx="350">
                  <c:v>7.2977150446248474E-4</c:v>
                </c:pt>
                <c:pt idx="351">
                  <c:v>-6.6129777423475167E-3</c:v>
                </c:pt>
                <c:pt idx="352">
                  <c:v>1.4688716840387018E-2</c:v>
                </c:pt>
                <c:pt idx="353">
                  <c:v>-1.353467586653156E-2</c:v>
                </c:pt>
                <c:pt idx="354">
                  <c:v>1.996788557242259E-2</c:v>
                </c:pt>
              </c:numCache>
            </c:numRef>
          </c:val>
          <c:extLst>
            <c:ext xmlns:c14="http://schemas.microsoft.com/office/drawing/2007/8/2/chart" uri="{6F2FDCE9-48DA-4B69-8628-5D25D57E5C99}">
              <c14:invertSolidFillFmt>
                <c14:spPr xmlns:c14="http://schemas.microsoft.com/office/drawing/2007/8/2/chart">
                  <a:solidFill>
                    <a:srgbClr val="FF0000"/>
                  </a:solidFill>
                  <a:ln>
                    <a:noFill/>
                  </a:ln>
                  <a:effectLst/>
                </c14:spPr>
              </c14:invertSolidFillFmt>
            </c:ext>
            <c:ext xmlns:c16="http://schemas.microsoft.com/office/drawing/2014/chart" uri="{C3380CC4-5D6E-409C-BE32-E72D297353CC}">
              <c16:uniqueId val="{00000001-61E9-4F5D-B654-5BCB8EA0B66F}"/>
            </c:ext>
          </c:extLst>
        </c:ser>
        <c:dLbls>
          <c:showLegendKey val="0"/>
          <c:showVal val="0"/>
          <c:showCatName val="0"/>
          <c:showSerName val="0"/>
          <c:showPercent val="0"/>
          <c:showBubbleSize val="0"/>
        </c:dLbls>
        <c:gapWidth val="219"/>
        <c:axId val="1023425784"/>
        <c:axId val="1023428408"/>
      </c:barChart>
      <c:dateAx>
        <c:axId val="1023425784"/>
        <c:scaling>
          <c:orientation val="minMax"/>
        </c:scaling>
        <c:delete val="0"/>
        <c:axPos val="b"/>
        <c:numFmt formatCode="[$-409]mmm\-yy;@" sourceLinked="1"/>
        <c:majorTickMark val="out"/>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23428408"/>
        <c:crosses val="autoZero"/>
        <c:auto val="1"/>
        <c:lblOffset val="100"/>
        <c:baseTimeUnit val="months"/>
      </c:dateAx>
      <c:valAx>
        <c:axId val="102342840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2342578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sz="1800" b="1" baseline="0"/>
              <a:t>Core Retail Sales yoy %</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spPr>
            <a:ln w="28575" cap="rnd">
              <a:solidFill>
                <a:schemeClr val="accent3"/>
              </a:solidFill>
              <a:round/>
            </a:ln>
            <a:effectLst/>
          </c:spPr>
          <c:marker>
            <c:symbol val="none"/>
          </c:marker>
          <c:cat>
            <c:numRef>
              <c:f>'Retail Sales ex Auto and Gas'!$A$19:$A$365</c:f>
              <c:numCache>
                <c:formatCode>[$-409]mmm\-yy;@</c:formatCode>
                <c:ptCount val="347"/>
                <c:pt idx="0">
                  <c:v>33970</c:v>
                </c:pt>
                <c:pt idx="1">
                  <c:v>34001</c:v>
                </c:pt>
                <c:pt idx="2">
                  <c:v>34029</c:v>
                </c:pt>
                <c:pt idx="3">
                  <c:v>34060</c:v>
                </c:pt>
                <c:pt idx="4">
                  <c:v>34090</c:v>
                </c:pt>
                <c:pt idx="5">
                  <c:v>34121</c:v>
                </c:pt>
                <c:pt idx="6">
                  <c:v>34151</c:v>
                </c:pt>
                <c:pt idx="7">
                  <c:v>34182</c:v>
                </c:pt>
                <c:pt idx="8">
                  <c:v>34213</c:v>
                </c:pt>
                <c:pt idx="9">
                  <c:v>34243</c:v>
                </c:pt>
                <c:pt idx="10">
                  <c:v>34274</c:v>
                </c:pt>
                <c:pt idx="11">
                  <c:v>34304</c:v>
                </c:pt>
                <c:pt idx="12">
                  <c:v>34335</c:v>
                </c:pt>
                <c:pt idx="13">
                  <c:v>34366</c:v>
                </c:pt>
                <c:pt idx="14">
                  <c:v>34394</c:v>
                </c:pt>
                <c:pt idx="15">
                  <c:v>34425</c:v>
                </c:pt>
                <c:pt idx="16">
                  <c:v>34455</c:v>
                </c:pt>
                <c:pt idx="17">
                  <c:v>34486</c:v>
                </c:pt>
                <c:pt idx="18">
                  <c:v>34516</c:v>
                </c:pt>
                <c:pt idx="19">
                  <c:v>34547</c:v>
                </c:pt>
                <c:pt idx="20">
                  <c:v>34578</c:v>
                </c:pt>
                <c:pt idx="21">
                  <c:v>34608</c:v>
                </c:pt>
                <c:pt idx="22">
                  <c:v>34639</c:v>
                </c:pt>
                <c:pt idx="23">
                  <c:v>34669</c:v>
                </c:pt>
                <c:pt idx="24">
                  <c:v>34700</c:v>
                </c:pt>
                <c:pt idx="25">
                  <c:v>34731</c:v>
                </c:pt>
                <c:pt idx="26">
                  <c:v>34759</c:v>
                </c:pt>
                <c:pt idx="27">
                  <c:v>34790</c:v>
                </c:pt>
                <c:pt idx="28">
                  <c:v>34820</c:v>
                </c:pt>
                <c:pt idx="29">
                  <c:v>34851</c:v>
                </c:pt>
                <c:pt idx="30">
                  <c:v>34881</c:v>
                </c:pt>
                <c:pt idx="31">
                  <c:v>34912</c:v>
                </c:pt>
                <c:pt idx="32">
                  <c:v>34943</c:v>
                </c:pt>
                <c:pt idx="33">
                  <c:v>34973</c:v>
                </c:pt>
                <c:pt idx="34">
                  <c:v>35004</c:v>
                </c:pt>
                <c:pt idx="35">
                  <c:v>35034</c:v>
                </c:pt>
                <c:pt idx="36">
                  <c:v>35065</c:v>
                </c:pt>
                <c:pt idx="37">
                  <c:v>35096</c:v>
                </c:pt>
                <c:pt idx="38">
                  <c:v>35125</c:v>
                </c:pt>
                <c:pt idx="39">
                  <c:v>35156</c:v>
                </c:pt>
                <c:pt idx="40">
                  <c:v>35186</c:v>
                </c:pt>
                <c:pt idx="41">
                  <c:v>35217</c:v>
                </c:pt>
                <c:pt idx="42">
                  <c:v>35247</c:v>
                </c:pt>
                <c:pt idx="43">
                  <c:v>35278</c:v>
                </c:pt>
                <c:pt idx="44">
                  <c:v>35309</c:v>
                </c:pt>
                <c:pt idx="45">
                  <c:v>35339</c:v>
                </c:pt>
                <c:pt idx="46">
                  <c:v>35370</c:v>
                </c:pt>
                <c:pt idx="47">
                  <c:v>35400</c:v>
                </c:pt>
                <c:pt idx="48">
                  <c:v>35431</c:v>
                </c:pt>
                <c:pt idx="49">
                  <c:v>35462</c:v>
                </c:pt>
                <c:pt idx="50">
                  <c:v>35490</c:v>
                </c:pt>
                <c:pt idx="51">
                  <c:v>35521</c:v>
                </c:pt>
                <c:pt idx="52">
                  <c:v>35551</c:v>
                </c:pt>
                <c:pt idx="53">
                  <c:v>35582</c:v>
                </c:pt>
                <c:pt idx="54">
                  <c:v>35612</c:v>
                </c:pt>
                <c:pt idx="55">
                  <c:v>35643</c:v>
                </c:pt>
                <c:pt idx="56">
                  <c:v>35674</c:v>
                </c:pt>
                <c:pt idx="57">
                  <c:v>35704</c:v>
                </c:pt>
                <c:pt idx="58">
                  <c:v>35735</c:v>
                </c:pt>
                <c:pt idx="59">
                  <c:v>35765</c:v>
                </c:pt>
                <c:pt idx="60">
                  <c:v>35796</c:v>
                </c:pt>
                <c:pt idx="61">
                  <c:v>35827</c:v>
                </c:pt>
                <c:pt idx="62">
                  <c:v>35855</c:v>
                </c:pt>
                <c:pt idx="63">
                  <c:v>35886</c:v>
                </c:pt>
                <c:pt idx="64">
                  <c:v>35916</c:v>
                </c:pt>
                <c:pt idx="65">
                  <c:v>35947</c:v>
                </c:pt>
                <c:pt idx="66">
                  <c:v>35977</c:v>
                </c:pt>
                <c:pt idx="67">
                  <c:v>36008</c:v>
                </c:pt>
                <c:pt idx="68">
                  <c:v>36039</c:v>
                </c:pt>
                <c:pt idx="69">
                  <c:v>36069</c:v>
                </c:pt>
                <c:pt idx="70">
                  <c:v>36100</c:v>
                </c:pt>
                <c:pt idx="71">
                  <c:v>36130</c:v>
                </c:pt>
                <c:pt idx="72">
                  <c:v>36161</c:v>
                </c:pt>
                <c:pt idx="73">
                  <c:v>36192</c:v>
                </c:pt>
                <c:pt idx="74">
                  <c:v>36220</c:v>
                </c:pt>
                <c:pt idx="75">
                  <c:v>36251</c:v>
                </c:pt>
                <c:pt idx="76">
                  <c:v>36281</c:v>
                </c:pt>
                <c:pt idx="77">
                  <c:v>36312</c:v>
                </c:pt>
                <c:pt idx="78">
                  <c:v>36342</c:v>
                </c:pt>
                <c:pt idx="79">
                  <c:v>36373</c:v>
                </c:pt>
                <c:pt idx="80">
                  <c:v>36404</c:v>
                </c:pt>
                <c:pt idx="81">
                  <c:v>36434</c:v>
                </c:pt>
                <c:pt idx="82">
                  <c:v>36465</c:v>
                </c:pt>
                <c:pt idx="83">
                  <c:v>36495</c:v>
                </c:pt>
                <c:pt idx="84">
                  <c:v>36526</c:v>
                </c:pt>
                <c:pt idx="85">
                  <c:v>36557</c:v>
                </c:pt>
                <c:pt idx="86">
                  <c:v>36586</c:v>
                </c:pt>
                <c:pt idx="87">
                  <c:v>36617</c:v>
                </c:pt>
                <c:pt idx="88">
                  <c:v>36647</c:v>
                </c:pt>
                <c:pt idx="89">
                  <c:v>36678</c:v>
                </c:pt>
                <c:pt idx="90">
                  <c:v>36708</c:v>
                </c:pt>
                <c:pt idx="91">
                  <c:v>36739</c:v>
                </c:pt>
                <c:pt idx="92">
                  <c:v>36770</c:v>
                </c:pt>
                <c:pt idx="93">
                  <c:v>36800</c:v>
                </c:pt>
                <c:pt idx="94">
                  <c:v>36831</c:v>
                </c:pt>
                <c:pt idx="95">
                  <c:v>36861</c:v>
                </c:pt>
                <c:pt idx="96">
                  <c:v>36892</c:v>
                </c:pt>
                <c:pt idx="97">
                  <c:v>36923</c:v>
                </c:pt>
                <c:pt idx="98">
                  <c:v>36951</c:v>
                </c:pt>
                <c:pt idx="99">
                  <c:v>36982</c:v>
                </c:pt>
                <c:pt idx="100">
                  <c:v>37012</c:v>
                </c:pt>
                <c:pt idx="101">
                  <c:v>37043</c:v>
                </c:pt>
                <c:pt idx="102">
                  <c:v>37073</c:v>
                </c:pt>
                <c:pt idx="103">
                  <c:v>37104</c:v>
                </c:pt>
                <c:pt idx="104">
                  <c:v>37135</c:v>
                </c:pt>
                <c:pt idx="105">
                  <c:v>37165</c:v>
                </c:pt>
                <c:pt idx="106">
                  <c:v>37196</c:v>
                </c:pt>
                <c:pt idx="107">
                  <c:v>37226</c:v>
                </c:pt>
                <c:pt idx="108">
                  <c:v>37257</c:v>
                </c:pt>
                <c:pt idx="109">
                  <c:v>37288</c:v>
                </c:pt>
                <c:pt idx="110">
                  <c:v>37316</c:v>
                </c:pt>
                <c:pt idx="111">
                  <c:v>37347</c:v>
                </c:pt>
                <c:pt idx="112">
                  <c:v>37377</c:v>
                </c:pt>
                <c:pt idx="113">
                  <c:v>37408</c:v>
                </c:pt>
                <c:pt idx="114">
                  <c:v>37438</c:v>
                </c:pt>
                <c:pt idx="115">
                  <c:v>37469</c:v>
                </c:pt>
                <c:pt idx="116">
                  <c:v>37500</c:v>
                </c:pt>
                <c:pt idx="117">
                  <c:v>37530</c:v>
                </c:pt>
                <c:pt idx="118">
                  <c:v>37561</c:v>
                </c:pt>
                <c:pt idx="119">
                  <c:v>37591</c:v>
                </c:pt>
                <c:pt idx="120">
                  <c:v>37622</c:v>
                </c:pt>
                <c:pt idx="121">
                  <c:v>37653</c:v>
                </c:pt>
                <c:pt idx="122">
                  <c:v>37681</c:v>
                </c:pt>
                <c:pt idx="123">
                  <c:v>37712</c:v>
                </c:pt>
                <c:pt idx="124">
                  <c:v>37742</c:v>
                </c:pt>
                <c:pt idx="125">
                  <c:v>37773</c:v>
                </c:pt>
                <c:pt idx="126">
                  <c:v>37803</c:v>
                </c:pt>
                <c:pt idx="127">
                  <c:v>37834</c:v>
                </c:pt>
                <c:pt idx="128">
                  <c:v>37865</c:v>
                </c:pt>
                <c:pt idx="129">
                  <c:v>37895</c:v>
                </c:pt>
                <c:pt idx="130">
                  <c:v>37926</c:v>
                </c:pt>
                <c:pt idx="131">
                  <c:v>37956</c:v>
                </c:pt>
                <c:pt idx="132">
                  <c:v>37987</c:v>
                </c:pt>
                <c:pt idx="133">
                  <c:v>38018</c:v>
                </c:pt>
                <c:pt idx="134">
                  <c:v>38047</c:v>
                </c:pt>
                <c:pt idx="135">
                  <c:v>38078</c:v>
                </c:pt>
                <c:pt idx="136">
                  <c:v>38108</c:v>
                </c:pt>
                <c:pt idx="137">
                  <c:v>38139</c:v>
                </c:pt>
                <c:pt idx="138">
                  <c:v>38169</c:v>
                </c:pt>
                <c:pt idx="139">
                  <c:v>38200</c:v>
                </c:pt>
                <c:pt idx="140">
                  <c:v>38231</c:v>
                </c:pt>
                <c:pt idx="141">
                  <c:v>38261</c:v>
                </c:pt>
                <c:pt idx="142">
                  <c:v>38292</c:v>
                </c:pt>
                <c:pt idx="143">
                  <c:v>38322</c:v>
                </c:pt>
                <c:pt idx="144">
                  <c:v>38353</c:v>
                </c:pt>
                <c:pt idx="145">
                  <c:v>38384</c:v>
                </c:pt>
                <c:pt idx="146">
                  <c:v>38412</c:v>
                </c:pt>
                <c:pt idx="147">
                  <c:v>38443</c:v>
                </c:pt>
                <c:pt idx="148">
                  <c:v>38473</c:v>
                </c:pt>
                <c:pt idx="149">
                  <c:v>38504</c:v>
                </c:pt>
                <c:pt idx="150">
                  <c:v>38534</c:v>
                </c:pt>
                <c:pt idx="151">
                  <c:v>38565</c:v>
                </c:pt>
                <c:pt idx="152">
                  <c:v>38596</c:v>
                </c:pt>
                <c:pt idx="153">
                  <c:v>38626</c:v>
                </c:pt>
                <c:pt idx="154">
                  <c:v>38657</c:v>
                </c:pt>
                <c:pt idx="155">
                  <c:v>38687</c:v>
                </c:pt>
                <c:pt idx="156">
                  <c:v>38718</c:v>
                </c:pt>
                <c:pt idx="157">
                  <c:v>38749</c:v>
                </c:pt>
                <c:pt idx="158">
                  <c:v>38777</c:v>
                </c:pt>
                <c:pt idx="159">
                  <c:v>38808</c:v>
                </c:pt>
                <c:pt idx="160">
                  <c:v>38838</c:v>
                </c:pt>
                <c:pt idx="161">
                  <c:v>38869</c:v>
                </c:pt>
                <c:pt idx="162">
                  <c:v>38899</c:v>
                </c:pt>
                <c:pt idx="163">
                  <c:v>38930</c:v>
                </c:pt>
                <c:pt idx="164">
                  <c:v>38961</c:v>
                </c:pt>
                <c:pt idx="165">
                  <c:v>38991</c:v>
                </c:pt>
                <c:pt idx="166">
                  <c:v>39022</c:v>
                </c:pt>
                <c:pt idx="167">
                  <c:v>39052</c:v>
                </c:pt>
                <c:pt idx="168">
                  <c:v>39083</c:v>
                </c:pt>
                <c:pt idx="169">
                  <c:v>39114</c:v>
                </c:pt>
                <c:pt idx="170">
                  <c:v>39142</c:v>
                </c:pt>
                <c:pt idx="171">
                  <c:v>39173</c:v>
                </c:pt>
                <c:pt idx="172">
                  <c:v>39203</c:v>
                </c:pt>
                <c:pt idx="173">
                  <c:v>39234</c:v>
                </c:pt>
                <c:pt idx="174">
                  <c:v>39264</c:v>
                </c:pt>
                <c:pt idx="175">
                  <c:v>39295</c:v>
                </c:pt>
                <c:pt idx="176">
                  <c:v>39326</c:v>
                </c:pt>
                <c:pt idx="177">
                  <c:v>39356</c:v>
                </c:pt>
                <c:pt idx="178">
                  <c:v>39387</c:v>
                </c:pt>
                <c:pt idx="179">
                  <c:v>39417</c:v>
                </c:pt>
                <c:pt idx="180">
                  <c:v>39448</c:v>
                </c:pt>
                <c:pt idx="181">
                  <c:v>39479</c:v>
                </c:pt>
                <c:pt idx="182">
                  <c:v>39508</c:v>
                </c:pt>
                <c:pt idx="183">
                  <c:v>39539</c:v>
                </c:pt>
                <c:pt idx="184">
                  <c:v>39569</c:v>
                </c:pt>
                <c:pt idx="185">
                  <c:v>39600</c:v>
                </c:pt>
                <c:pt idx="186">
                  <c:v>39630</c:v>
                </c:pt>
                <c:pt idx="187">
                  <c:v>39661</c:v>
                </c:pt>
                <c:pt idx="188">
                  <c:v>39692</c:v>
                </c:pt>
                <c:pt idx="189">
                  <c:v>39722</c:v>
                </c:pt>
                <c:pt idx="190">
                  <c:v>39753</c:v>
                </c:pt>
                <c:pt idx="191">
                  <c:v>39783</c:v>
                </c:pt>
                <c:pt idx="192">
                  <c:v>39814</c:v>
                </c:pt>
                <c:pt idx="193">
                  <c:v>39845</c:v>
                </c:pt>
                <c:pt idx="194">
                  <c:v>39873</c:v>
                </c:pt>
                <c:pt idx="195">
                  <c:v>39904</c:v>
                </c:pt>
                <c:pt idx="196">
                  <c:v>39934</c:v>
                </c:pt>
                <c:pt idx="197">
                  <c:v>39965</c:v>
                </c:pt>
                <c:pt idx="198">
                  <c:v>39995</c:v>
                </c:pt>
                <c:pt idx="199">
                  <c:v>40026</c:v>
                </c:pt>
                <c:pt idx="200">
                  <c:v>40057</c:v>
                </c:pt>
                <c:pt idx="201">
                  <c:v>40087</c:v>
                </c:pt>
                <c:pt idx="202">
                  <c:v>40118</c:v>
                </c:pt>
                <c:pt idx="203">
                  <c:v>40148</c:v>
                </c:pt>
                <c:pt idx="204">
                  <c:v>40179</c:v>
                </c:pt>
                <c:pt idx="205">
                  <c:v>40210</c:v>
                </c:pt>
                <c:pt idx="206">
                  <c:v>40238</c:v>
                </c:pt>
                <c:pt idx="207">
                  <c:v>40269</c:v>
                </c:pt>
                <c:pt idx="208">
                  <c:v>40299</c:v>
                </c:pt>
                <c:pt idx="209">
                  <c:v>40330</c:v>
                </c:pt>
                <c:pt idx="210">
                  <c:v>40360</c:v>
                </c:pt>
                <c:pt idx="211">
                  <c:v>40391</c:v>
                </c:pt>
                <c:pt idx="212">
                  <c:v>40422</c:v>
                </c:pt>
                <c:pt idx="213">
                  <c:v>40452</c:v>
                </c:pt>
                <c:pt idx="214">
                  <c:v>40483</c:v>
                </c:pt>
                <c:pt idx="215">
                  <c:v>40513</c:v>
                </c:pt>
                <c:pt idx="216">
                  <c:v>40544</c:v>
                </c:pt>
                <c:pt idx="217">
                  <c:v>40575</c:v>
                </c:pt>
                <c:pt idx="218">
                  <c:v>40603</c:v>
                </c:pt>
                <c:pt idx="219">
                  <c:v>40634</c:v>
                </c:pt>
                <c:pt idx="220">
                  <c:v>40664</c:v>
                </c:pt>
                <c:pt idx="221">
                  <c:v>40695</c:v>
                </c:pt>
                <c:pt idx="222">
                  <c:v>40725</c:v>
                </c:pt>
                <c:pt idx="223">
                  <c:v>40756</c:v>
                </c:pt>
                <c:pt idx="224">
                  <c:v>40787</c:v>
                </c:pt>
                <c:pt idx="225">
                  <c:v>40817</c:v>
                </c:pt>
                <c:pt idx="226">
                  <c:v>40848</c:v>
                </c:pt>
                <c:pt idx="227">
                  <c:v>40878</c:v>
                </c:pt>
                <c:pt idx="228">
                  <c:v>40909</c:v>
                </c:pt>
                <c:pt idx="229">
                  <c:v>40940</c:v>
                </c:pt>
                <c:pt idx="230">
                  <c:v>40969</c:v>
                </c:pt>
                <c:pt idx="231">
                  <c:v>41000</c:v>
                </c:pt>
                <c:pt idx="232">
                  <c:v>41030</c:v>
                </c:pt>
                <c:pt idx="233">
                  <c:v>41061</c:v>
                </c:pt>
                <c:pt idx="234">
                  <c:v>41091</c:v>
                </c:pt>
                <c:pt idx="235">
                  <c:v>41122</c:v>
                </c:pt>
                <c:pt idx="236">
                  <c:v>41153</c:v>
                </c:pt>
                <c:pt idx="237">
                  <c:v>41183</c:v>
                </c:pt>
                <c:pt idx="238">
                  <c:v>41214</c:v>
                </c:pt>
                <c:pt idx="239">
                  <c:v>41244</c:v>
                </c:pt>
                <c:pt idx="240">
                  <c:v>41275</c:v>
                </c:pt>
                <c:pt idx="241">
                  <c:v>41306</c:v>
                </c:pt>
                <c:pt idx="242">
                  <c:v>41334</c:v>
                </c:pt>
                <c:pt idx="243">
                  <c:v>41365</c:v>
                </c:pt>
                <c:pt idx="244">
                  <c:v>41395</c:v>
                </c:pt>
                <c:pt idx="245">
                  <c:v>41426</c:v>
                </c:pt>
                <c:pt idx="246">
                  <c:v>41456</c:v>
                </c:pt>
                <c:pt idx="247">
                  <c:v>41487</c:v>
                </c:pt>
                <c:pt idx="248">
                  <c:v>41518</c:v>
                </c:pt>
                <c:pt idx="249">
                  <c:v>41548</c:v>
                </c:pt>
                <c:pt idx="250">
                  <c:v>41579</c:v>
                </c:pt>
                <c:pt idx="251">
                  <c:v>41609</c:v>
                </c:pt>
                <c:pt idx="252">
                  <c:v>41640</c:v>
                </c:pt>
                <c:pt idx="253">
                  <c:v>41671</c:v>
                </c:pt>
                <c:pt idx="254">
                  <c:v>41699</c:v>
                </c:pt>
                <c:pt idx="255">
                  <c:v>41730</c:v>
                </c:pt>
                <c:pt idx="256">
                  <c:v>41760</c:v>
                </c:pt>
                <c:pt idx="257">
                  <c:v>41791</c:v>
                </c:pt>
                <c:pt idx="258">
                  <c:v>41821</c:v>
                </c:pt>
                <c:pt idx="259">
                  <c:v>41852</c:v>
                </c:pt>
                <c:pt idx="260">
                  <c:v>41883</c:v>
                </c:pt>
                <c:pt idx="261">
                  <c:v>41913</c:v>
                </c:pt>
                <c:pt idx="262">
                  <c:v>41944</c:v>
                </c:pt>
                <c:pt idx="263">
                  <c:v>41974</c:v>
                </c:pt>
                <c:pt idx="264">
                  <c:v>42005</c:v>
                </c:pt>
                <c:pt idx="265">
                  <c:v>42036</c:v>
                </c:pt>
                <c:pt idx="266">
                  <c:v>42064</c:v>
                </c:pt>
                <c:pt idx="267">
                  <c:v>42095</c:v>
                </c:pt>
                <c:pt idx="268">
                  <c:v>42125</c:v>
                </c:pt>
                <c:pt idx="269">
                  <c:v>42156</c:v>
                </c:pt>
                <c:pt idx="270">
                  <c:v>42186</c:v>
                </c:pt>
                <c:pt idx="271">
                  <c:v>42217</c:v>
                </c:pt>
                <c:pt idx="272">
                  <c:v>42248</c:v>
                </c:pt>
                <c:pt idx="273">
                  <c:v>42278</c:v>
                </c:pt>
                <c:pt idx="274">
                  <c:v>42309</c:v>
                </c:pt>
                <c:pt idx="275">
                  <c:v>42339</c:v>
                </c:pt>
                <c:pt idx="276">
                  <c:v>42370</c:v>
                </c:pt>
                <c:pt idx="277">
                  <c:v>42401</c:v>
                </c:pt>
                <c:pt idx="278">
                  <c:v>42430</c:v>
                </c:pt>
                <c:pt idx="279">
                  <c:v>42461</c:v>
                </c:pt>
                <c:pt idx="280">
                  <c:v>42491</c:v>
                </c:pt>
                <c:pt idx="281">
                  <c:v>42522</c:v>
                </c:pt>
                <c:pt idx="282">
                  <c:v>42552</c:v>
                </c:pt>
                <c:pt idx="283">
                  <c:v>42583</c:v>
                </c:pt>
                <c:pt idx="284">
                  <c:v>42614</c:v>
                </c:pt>
                <c:pt idx="285">
                  <c:v>42644</c:v>
                </c:pt>
                <c:pt idx="286">
                  <c:v>42675</c:v>
                </c:pt>
                <c:pt idx="287">
                  <c:v>42705</c:v>
                </c:pt>
                <c:pt idx="288">
                  <c:v>42736</c:v>
                </c:pt>
                <c:pt idx="289">
                  <c:v>42767</c:v>
                </c:pt>
                <c:pt idx="290">
                  <c:v>42795</c:v>
                </c:pt>
                <c:pt idx="291">
                  <c:v>42826</c:v>
                </c:pt>
                <c:pt idx="292">
                  <c:v>42856</c:v>
                </c:pt>
                <c:pt idx="293">
                  <c:v>42887</c:v>
                </c:pt>
                <c:pt idx="294">
                  <c:v>42917</c:v>
                </c:pt>
                <c:pt idx="295">
                  <c:v>42948</c:v>
                </c:pt>
                <c:pt idx="296">
                  <c:v>42979</c:v>
                </c:pt>
                <c:pt idx="297">
                  <c:v>43009</c:v>
                </c:pt>
                <c:pt idx="298">
                  <c:v>43040</c:v>
                </c:pt>
                <c:pt idx="299">
                  <c:v>43070</c:v>
                </c:pt>
                <c:pt idx="300">
                  <c:v>43101</c:v>
                </c:pt>
                <c:pt idx="301">
                  <c:v>43132</c:v>
                </c:pt>
                <c:pt idx="302">
                  <c:v>43160</c:v>
                </c:pt>
                <c:pt idx="303">
                  <c:v>43191</c:v>
                </c:pt>
                <c:pt idx="304">
                  <c:v>43221</c:v>
                </c:pt>
                <c:pt idx="305">
                  <c:v>43252</c:v>
                </c:pt>
                <c:pt idx="306">
                  <c:v>43282</c:v>
                </c:pt>
                <c:pt idx="307">
                  <c:v>43313</c:v>
                </c:pt>
                <c:pt idx="308">
                  <c:v>43344</c:v>
                </c:pt>
                <c:pt idx="309">
                  <c:v>43374</c:v>
                </c:pt>
                <c:pt idx="310">
                  <c:v>43405</c:v>
                </c:pt>
                <c:pt idx="311">
                  <c:v>43435</c:v>
                </c:pt>
                <c:pt idx="312">
                  <c:v>43466</c:v>
                </c:pt>
                <c:pt idx="313">
                  <c:v>43497</c:v>
                </c:pt>
                <c:pt idx="314">
                  <c:v>43525</c:v>
                </c:pt>
                <c:pt idx="315">
                  <c:v>43556</c:v>
                </c:pt>
                <c:pt idx="316">
                  <c:v>43586</c:v>
                </c:pt>
                <c:pt idx="317">
                  <c:v>43617</c:v>
                </c:pt>
                <c:pt idx="318">
                  <c:v>43647</c:v>
                </c:pt>
                <c:pt idx="319">
                  <c:v>43678</c:v>
                </c:pt>
                <c:pt idx="320">
                  <c:v>43709</c:v>
                </c:pt>
                <c:pt idx="321">
                  <c:v>43739</c:v>
                </c:pt>
                <c:pt idx="322">
                  <c:v>43770</c:v>
                </c:pt>
                <c:pt idx="323">
                  <c:v>43800</c:v>
                </c:pt>
                <c:pt idx="324">
                  <c:v>43831</c:v>
                </c:pt>
                <c:pt idx="325">
                  <c:v>43862</c:v>
                </c:pt>
                <c:pt idx="326">
                  <c:v>43891</c:v>
                </c:pt>
                <c:pt idx="327">
                  <c:v>43922</c:v>
                </c:pt>
                <c:pt idx="328">
                  <c:v>43952</c:v>
                </c:pt>
                <c:pt idx="329">
                  <c:v>43983</c:v>
                </c:pt>
                <c:pt idx="330">
                  <c:v>44013</c:v>
                </c:pt>
                <c:pt idx="331">
                  <c:v>44044</c:v>
                </c:pt>
                <c:pt idx="332">
                  <c:v>44075</c:v>
                </c:pt>
                <c:pt idx="333">
                  <c:v>44105</c:v>
                </c:pt>
                <c:pt idx="334">
                  <c:v>44136</c:v>
                </c:pt>
                <c:pt idx="335">
                  <c:v>44166</c:v>
                </c:pt>
                <c:pt idx="336">
                  <c:v>44197</c:v>
                </c:pt>
                <c:pt idx="337">
                  <c:v>44228</c:v>
                </c:pt>
                <c:pt idx="338">
                  <c:v>44256</c:v>
                </c:pt>
                <c:pt idx="339">
                  <c:v>44287</c:v>
                </c:pt>
                <c:pt idx="340">
                  <c:v>44317</c:v>
                </c:pt>
                <c:pt idx="341">
                  <c:v>44348</c:v>
                </c:pt>
                <c:pt idx="342">
                  <c:v>44378</c:v>
                </c:pt>
                <c:pt idx="343">
                  <c:v>44409</c:v>
                </c:pt>
              </c:numCache>
            </c:numRef>
          </c:cat>
          <c:val>
            <c:numRef>
              <c:f>'Retail Sales ex Auto and Gas'!$D$19:$D$365</c:f>
              <c:numCache>
                <c:formatCode>0.00%</c:formatCode>
                <c:ptCount val="347"/>
                <c:pt idx="0">
                  <c:v>5.3261921333627581E-2</c:v>
                </c:pt>
                <c:pt idx="1">
                  <c:v>4.7794897915870792E-2</c:v>
                </c:pt>
                <c:pt idx="2">
                  <c:v>4.3466444719990491E-2</c:v>
                </c:pt>
                <c:pt idx="3">
                  <c:v>5.4693249198548503E-2</c:v>
                </c:pt>
                <c:pt idx="4">
                  <c:v>6.3470878912024326E-2</c:v>
                </c:pt>
                <c:pt idx="5">
                  <c:v>6.2444050333586687E-2</c:v>
                </c:pt>
                <c:pt idx="6">
                  <c:v>6.5990998555738423E-2</c:v>
                </c:pt>
                <c:pt idx="7">
                  <c:v>5.5842761169800956E-2</c:v>
                </c:pt>
                <c:pt idx="8">
                  <c:v>6.560566753143085E-2</c:v>
                </c:pt>
                <c:pt idx="9">
                  <c:v>5.7050325919455455E-2</c:v>
                </c:pt>
                <c:pt idx="10">
                  <c:v>5.91453946449551E-2</c:v>
                </c:pt>
                <c:pt idx="11">
                  <c:v>5.3648729713516759E-2</c:v>
                </c:pt>
                <c:pt idx="12">
                  <c:v>3.8174213669221288E-2</c:v>
                </c:pt>
                <c:pt idx="13">
                  <c:v>5.7435689690095201E-2</c:v>
                </c:pt>
                <c:pt idx="14">
                  <c:v>8.4068563615054048E-2</c:v>
                </c:pt>
                <c:pt idx="15">
                  <c:v>6.4247848647434824E-2</c:v>
                </c:pt>
                <c:pt idx="16">
                  <c:v>5.6863041009062823E-2</c:v>
                </c:pt>
                <c:pt idx="17">
                  <c:v>6.9361864487615651E-2</c:v>
                </c:pt>
                <c:pt idx="18">
                  <c:v>6.2961300029145101E-2</c:v>
                </c:pt>
                <c:pt idx="19">
                  <c:v>7.4232640285103804E-2</c:v>
                </c:pt>
                <c:pt idx="20">
                  <c:v>6.7481311547044967E-2</c:v>
                </c:pt>
                <c:pt idx="21">
                  <c:v>7.4443370338031681E-2</c:v>
                </c:pt>
                <c:pt idx="22">
                  <c:v>6.7749542337646212E-2</c:v>
                </c:pt>
                <c:pt idx="23">
                  <c:v>6.8474179848587433E-2</c:v>
                </c:pt>
                <c:pt idx="24">
                  <c:v>8.2343626286619162E-2</c:v>
                </c:pt>
                <c:pt idx="25">
                  <c:v>5.3787333159661034E-2</c:v>
                </c:pt>
                <c:pt idx="26">
                  <c:v>4.0933082068877497E-2</c:v>
                </c:pt>
                <c:pt idx="27">
                  <c:v>4.7136397889977394E-2</c:v>
                </c:pt>
                <c:pt idx="28">
                  <c:v>5.257105923732508E-2</c:v>
                </c:pt>
                <c:pt idx="29">
                  <c:v>4.4488218241284475E-2</c:v>
                </c:pt>
                <c:pt idx="30">
                  <c:v>4.368478776381314E-2</c:v>
                </c:pt>
                <c:pt idx="31">
                  <c:v>3.890022459374954E-2</c:v>
                </c:pt>
                <c:pt idx="32">
                  <c:v>4.2557857341266943E-2</c:v>
                </c:pt>
                <c:pt idx="33">
                  <c:v>2.9581848919975912E-2</c:v>
                </c:pt>
                <c:pt idx="34">
                  <c:v>4.4823828550671997E-2</c:v>
                </c:pt>
                <c:pt idx="35">
                  <c:v>4.4024885509375271E-2</c:v>
                </c:pt>
                <c:pt idx="36">
                  <c:v>2.4649655033922861E-2</c:v>
                </c:pt>
                <c:pt idx="37">
                  <c:v>4.8926083732022625E-2</c:v>
                </c:pt>
                <c:pt idx="38">
                  <c:v>5.0106386815247574E-2</c:v>
                </c:pt>
                <c:pt idx="39">
                  <c:v>5.712640782987298E-2</c:v>
                </c:pt>
                <c:pt idx="40">
                  <c:v>5.3965284570841036E-2</c:v>
                </c:pt>
                <c:pt idx="41">
                  <c:v>5.2684766750880692E-2</c:v>
                </c:pt>
                <c:pt idx="42">
                  <c:v>5.2641668855927692E-2</c:v>
                </c:pt>
                <c:pt idx="43">
                  <c:v>5.1389654246675992E-2</c:v>
                </c:pt>
                <c:pt idx="44">
                  <c:v>5.1604218083912946E-2</c:v>
                </c:pt>
                <c:pt idx="45">
                  <c:v>6.5906496215591484E-2</c:v>
                </c:pt>
                <c:pt idx="46">
                  <c:v>5.4450006953135864E-2</c:v>
                </c:pt>
                <c:pt idx="47">
                  <c:v>5.1086281812538797E-2</c:v>
                </c:pt>
                <c:pt idx="48">
                  <c:v>6.7627440138306585E-2</c:v>
                </c:pt>
                <c:pt idx="49">
                  <c:v>6.6364902989678579E-2</c:v>
                </c:pt>
                <c:pt idx="50">
                  <c:v>6.4337326226715758E-2</c:v>
                </c:pt>
                <c:pt idx="51">
                  <c:v>4.9342038082141423E-2</c:v>
                </c:pt>
                <c:pt idx="52">
                  <c:v>4.579604501019572E-2</c:v>
                </c:pt>
                <c:pt idx="53">
                  <c:v>5.2022066279965924E-2</c:v>
                </c:pt>
                <c:pt idx="54">
                  <c:v>5.9351244156947917E-2</c:v>
                </c:pt>
                <c:pt idx="55">
                  <c:v>5.5899744657976078E-2</c:v>
                </c:pt>
                <c:pt idx="56">
                  <c:v>5.4919191380413908E-2</c:v>
                </c:pt>
                <c:pt idx="57">
                  <c:v>4.6406611570247933E-2</c:v>
                </c:pt>
                <c:pt idx="58">
                  <c:v>4.5083777884748537E-2</c:v>
                </c:pt>
                <c:pt idx="59">
                  <c:v>4.2553331102318286E-2</c:v>
                </c:pt>
                <c:pt idx="60">
                  <c:v>4.8087954737663328E-2</c:v>
                </c:pt>
                <c:pt idx="61">
                  <c:v>4.5190688845986336E-2</c:v>
                </c:pt>
                <c:pt idx="62">
                  <c:v>4.0565568956949904E-2</c:v>
                </c:pt>
                <c:pt idx="63">
                  <c:v>5.5682783944570234E-2</c:v>
                </c:pt>
                <c:pt idx="64">
                  <c:v>5.6778799126778995E-2</c:v>
                </c:pt>
                <c:pt idx="65">
                  <c:v>5.2444204533040301E-2</c:v>
                </c:pt>
                <c:pt idx="66">
                  <c:v>5.0632911392405063E-2</c:v>
                </c:pt>
                <c:pt idx="67">
                  <c:v>5.3404947212340667E-2</c:v>
                </c:pt>
                <c:pt idx="68">
                  <c:v>4.6270722596873995E-2</c:v>
                </c:pt>
                <c:pt idx="69">
                  <c:v>5.7105308051481972E-2</c:v>
                </c:pt>
                <c:pt idx="70">
                  <c:v>6.2919590126697289E-2</c:v>
                </c:pt>
                <c:pt idx="71">
                  <c:v>6.782391963847384E-2</c:v>
                </c:pt>
                <c:pt idx="72">
                  <c:v>6.2995721470212929E-2</c:v>
                </c:pt>
                <c:pt idx="73">
                  <c:v>6.9420171777920134E-2</c:v>
                </c:pt>
                <c:pt idx="74">
                  <c:v>6.9782008744457197E-2</c:v>
                </c:pt>
                <c:pt idx="75">
                  <c:v>6.4452692903320966E-2</c:v>
                </c:pt>
                <c:pt idx="76">
                  <c:v>6.8666633974107494E-2</c:v>
                </c:pt>
                <c:pt idx="77">
                  <c:v>6.8099942603832106E-2</c:v>
                </c:pt>
                <c:pt idx="78">
                  <c:v>6.2053041138396645E-2</c:v>
                </c:pt>
                <c:pt idx="79">
                  <c:v>6.5552675933813004E-2</c:v>
                </c:pt>
                <c:pt idx="80">
                  <c:v>7.4216815068079395E-2</c:v>
                </c:pt>
                <c:pt idx="81">
                  <c:v>6.7899131536636237E-2</c:v>
                </c:pt>
                <c:pt idx="82">
                  <c:v>6.6745815030274255E-2</c:v>
                </c:pt>
                <c:pt idx="83">
                  <c:v>8.3703686239375685E-2</c:v>
                </c:pt>
                <c:pt idx="84">
                  <c:v>6.5129252261105455E-2</c:v>
                </c:pt>
                <c:pt idx="85">
                  <c:v>6.2634122511645754E-2</c:v>
                </c:pt>
                <c:pt idx="86">
                  <c:v>7.7931790118089012E-2</c:v>
                </c:pt>
                <c:pt idx="87">
                  <c:v>6.9943191002932822E-2</c:v>
                </c:pt>
                <c:pt idx="88">
                  <c:v>6.3285112826807696E-2</c:v>
                </c:pt>
                <c:pt idx="89">
                  <c:v>6.2723307436816506E-2</c:v>
                </c:pt>
                <c:pt idx="90">
                  <c:v>6.4350644533590504E-2</c:v>
                </c:pt>
                <c:pt idx="91">
                  <c:v>6.0385980428841947E-2</c:v>
                </c:pt>
                <c:pt idx="92">
                  <c:v>6.4911037631868992E-2</c:v>
                </c:pt>
                <c:pt idx="93">
                  <c:v>5.9552127701254287E-2</c:v>
                </c:pt>
                <c:pt idx="94">
                  <c:v>5.4389440413123803E-2</c:v>
                </c:pt>
                <c:pt idx="95">
                  <c:v>3.4178364942700656E-2</c:v>
                </c:pt>
                <c:pt idx="96">
                  <c:v>5.5080742733706431E-2</c:v>
                </c:pt>
                <c:pt idx="97">
                  <c:v>4.5145330859616577E-2</c:v>
                </c:pt>
                <c:pt idx="98">
                  <c:v>2.2518016564483167E-2</c:v>
                </c:pt>
                <c:pt idx="99">
                  <c:v>3.7393364161724951E-2</c:v>
                </c:pt>
                <c:pt idx="100">
                  <c:v>3.4838243306666093E-2</c:v>
                </c:pt>
                <c:pt idx="101">
                  <c:v>3.1544010457291327E-2</c:v>
                </c:pt>
                <c:pt idx="102">
                  <c:v>3.340660518979198E-2</c:v>
                </c:pt>
                <c:pt idx="103">
                  <c:v>3.8239241203423993E-2</c:v>
                </c:pt>
                <c:pt idx="104">
                  <c:v>7.6463661278654074E-3</c:v>
                </c:pt>
                <c:pt idx="105">
                  <c:v>2.5065105886206005E-2</c:v>
                </c:pt>
                <c:pt idx="106">
                  <c:v>3.1534003947687857E-2</c:v>
                </c:pt>
                <c:pt idx="107">
                  <c:v>3.3616804194737643E-2</c:v>
                </c:pt>
                <c:pt idx="108">
                  <c:v>3.0035030396330448E-2</c:v>
                </c:pt>
                <c:pt idx="109">
                  <c:v>3.5859035450594337E-2</c:v>
                </c:pt>
                <c:pt idx="110">
                  <c:v>4.0772746637773701E-2</c:v>
                </c:pt>
                <c:pt idx="111">
                  <c:v>3.8849040607104035E-2</c:v>
                </c:pt>
                <c:pt idx="112">
                  <c:v>3.716851987968451E-2</c:v>
                </c:pt>
                <c:pt idx="113">
                  <c:v>3.9225502312750633E-2</c:v>
                </c:pt>
                <c:pt idx="114">
                  <c:v>3.2435629387136775E-2</c:v>
                </c:pt>
                <c:pt idx="115">
                  <c:v>2.6155470298941729E-2</c:v>
                </c:pt>
                <c:pt idx="116">
                  <c:v>4.3250410074468476E-2</c:v>
                </c:pt>
                <c:pt idx="117">
                  <c:v>3.2527363799393978E-2</c:v>
                </c:pt>
                <c:pt idx="118">
                  <c:v>3.1163502223040835E-2</c:v>
                </c:pt>
                <c:pt idx="119">
                  <c:v>2.6224336632152033E-2</c:v>
                </c:pt>
                <c:pt idx="120">
                  <c:v>2.942866002755283E-2</c:v>
                </c:pt>
                <c:pt idx="121">
                  <c:v>1.4806539344245721E-2</c:v>
                </c:pt>
                <c:pt idx="122">
                  <c:v>2.9563521141707811E-2</c:v>
                </c:pt>
                <c:pt idx="123">
                  <c:v>1.8590468942451158E-2</c:v>
                </c:pt>
                <c:pt idx="124">
                  <c:v>3.0061469951095453E-2</c:v>
                </c:pt>
                <c:pt idx="125">
                  <c:v>4.1342800511829793E-2</c:v>
                </c:pt>
                <c:pt idx="126">
                  <c:v>5.2757998623136335E-2</c:v>
                </c:pt>
                <c:pt idx="127">
                  <c:v>6.2996828328247947E-2</c:v>
                </c:pt>
                <c:pt idx="128">
                  <c:v>6.2605489471146122E-2</c:v>
                </c:pt>
                <c:pt idx="129">
                  <c:v>5.9461779561198622E-2</c:v>
                </c:pt>
                <c:pt idx="130">
                  <c:v>5.8414043583535108E-2</c:v>
                </c:pt>
                <c:pt idx="131">
                  <c:v>5.7618412506383589E-2</c:v>
                </c:pt>
                <c:pt idx="132">
                  <c:v>6.2187040127998736E-2</c:v>
                </c:pt>
                <c:pt idx="133">
                  <c:v>7.1218997046033072E-2</c:v>
                </c:pt>
                <c:pt idx="134">
                  <c:v>7.5428633135194309E-2</c:v>
                </c:pt>
                <c:pt idx="135">
                  <c:v>7.1741406514975001E-2</c:v>
                </c:pt>
                <c:pt idx="136">
                  <c:v>6.9249536449692589E-2</c:v>
                </c:pt>
                <c:pt idx="137">
                  <c:v>5.4899674254544055E-2</c:v>
                </c:pt>
                <c:pt idx="138">
                  <c:v>5.281095168542544E-2</c:v>
                </c:pt>
                <c:pt idx="139">
                  <c:v>4.3636724153396561E-2</c:v>
                </c:pt>
                <c:pt idx="140">
                  <c:v>5.2681589335098214E-2</c:v>
                </c:pt>
                <c:pt idx="141">
                  <c:v>5.6284683292663396E-2</c:v>
                </c:pt>
                <c:pt idx="142">
                  <c:v>5.5143284407712469E-2</c:v>
                </c:pt>
                <c:pt idx="143">
                  <c:v>6.6246308189958275E-2</c:v>
                </c:pt>
                <c:pt idx="144">
                  <c:v>6.1103233454985008E-2</c:v>
                </c:pt>
                <c:pt idx="145">
                  <c:v>7.0655307750971896E-2</c:v>
                </c:pt>
                <c:pt idx="146">
                  <c:v>4.9476028772775404E-2</c:v>
                </c:pt>
                <c:pt idx="147">
                  <c:v>6.8296687672564832E-2</c:v>
                </c:pt>
                <c:pt idx="148">
                  <c:v>5.9439059562272967E-2</c:v>
                </c:pt>
                <c:pt idx="149">
                  <c:v>7.1045190643029096E-2</c:v>
                </c:pt>
                <c:pt idx="150">
                  <c:v>6.0884270467796486E-2</c:v>
                </c:pt>
                <c:pt idx="151">
                  <c:v>6.8130824210621554E-2</c:v>
                </c:pt>
                <c:pt idx="152">
                  <c:v>6.5268839899586401E-2</c:v>
                </c:pt>
                <c:pt idx="153">
                  <c:v>7.1833774852158097E-2</c:v>
                </c:pt>
                <c:pt idx="154">
                  <c:v>7.0414963568508973E-2</c:v>
                </c:pt>
                <c:pt idx="155">
                  <c:v>5.925932439621704E-2</c:v>
                </c:pt>
                <c:pt idx="156">
                  <c:v>7.9031537254970682E-2</c:v>
                </c:pt>
                <c:pt idx="157">
                  <c:v>7.0301166618890021E-2</c:v>
                </c:pt>
                <c:pt idx="158">
                  <c:v>7.3607438591608093E-2</c:v>
                </c:pt>
                <c:pt idx="159">
                  <c:v>5.9907695610174949E-2</c:v>
                </c:pt>
                <c:pt idx="160">
                  <c:v>6.1626399376284155E-2</c:v>
                </c:pt>
                <c:pt idx="161">
                  <c:v>5.0377447008146031E-2</c:v>
                </c:pt>
                <c:pt idx="162">
                  <c:v>5.1642129105322766E-2</c:v>
                </c:pt>
                <c:pt idx="163">
                  <c:v>4.949580935198479E-2</c:v>
                </c:pt>
                <c:pt idx="164">
                  <c:v>5.1573901936234526E-2</c:v>
                </c:pt>
                <c:pt idx="165">
                  <c:v>4.06519287821481E-2</c:v>
                </c:pt>
                <c:pt idx="166">
                  <c:v>3.7152024040277426E-2</c:v>
                </c:pt>
                <c:pt idx="167">
                  <c:v>5.1793341330488671E-2</c:v>
                </c:pt>
                <c:pt idx="168">
                  <c:v>3.1253552924361286E-2</c:v>
                </c:pt>
                <c:pt idx="169">
                  <c:v>2.7631237217154173E-2</c:v>
                </c:pt>
                <c:pt idx="170">
                  <c:v>3.5752913582947486E-2</c:v>
                </c:pt>
                <c:pt idx="171">
                  <c:v>2.7353480854993742E-2</c:v>
                </c:pt>
                <c:pt idx="172">
                  <c:v>3.7685016878732797E-2</c:v>
                </c:pt>
                <c:pt idx="173">
                  <c:v>3.9661851048797721E-2</c:v>
                </c:pt>
                <c:pt idx="174">
                  <c:v>4.7301882728717201E-2</c:v>
                </c:pt>
                <c:pt idx="175">
                  <c:v>3.9457967458677683E-2</c:v>
                </c:pt>
                <c:pt idx="176">
                  <c:v>3.2215260155463887E-2</c:v>
                </c:pt>
                <c:pt idx="177">
                  <c:v>3.3034389831389468E-2</c:v>
                </c:pt>
                <c:pt idx="178">
                  <c:v>4.4317272290699539E-2</c:v>
                </c:pt>
                <c:pt idx="179">
                  <c:v>2.3532243870290494E-2</c:v>
                </c:pt>
                <c:pt idx="180">
                  <c:v>1.9710756655235005E-2</c:v>
                </c:pt>
                <c:pt idx="181">
                  <c:v>1.5361347059822377E-2</c:v>
                </c:pt>
                <c:pt idx="182">
                  <c:v>8.7607113384724298E-3</c:v>
                </c:pt>
                <c:pt idx="183">
                  <c:v>2.3478898561695685E-2</c:v>
                </c:pt>
                <c:pt idx="184">
                  <c:v>2.6576527260783883E-2</c:v>
                </c:pt>
                <c:pt idx="185">
                  <c:v>2.6155047842218317E-2</c:v>
                </c:pt>
                <c:pt idx="186">
                  <c:v>2.3704111842743455E-2</c:v>
                </c:pt>
                <c:pt idx="187">
                  <c:v>1.5792783769304233E-2</c:v>
                </c:pt>
                <c:pt idx="188">
                  <c:v>3.5730514247542555E-3</c:v>
                </c:pt>
                <c:pt idx="189">
                  <c:v>-1.0055541578774215E-2</c:v>
                </c:pt>
                <c:pt idx="190">
                  <c:v>-3.2051625957065233E-2</c:v>
                </c:pt>
                <c:pt idx="191">
                  <c:v>-3.6208359037631095E-2</c:v>
                </c:pt>
                <c:pt idx="192">
                  <c:v>-2.5708648191552212E-2</c:v>
                </c:pt>
                <c:pt idx="193">
                  <c:v>-2.1760013689946057E-2</c:v>
                </c:pt>
                <c:pt idx="194">
                  <c:v>-3.9177751844514143E-2</c:v>
                </c:pt>
                <c:pt idx="195">
                  <c:v>-4.0599105502201575E-2</c:v>
                </c:pt>
                <c:pt idx="196">
                  <c:v>-4.9019421136625926E-2</c:v>
                </c:pt>
                <c:pt idx="197">
                  <c:v>-4.890636239424237E-2</c:v>
                </c:pt>
                <c:pt idx="198">
                  <c:v>-5.3538669132919936E-2</c:v>
                </c:pt>
                <c:pt idx="199">
                  <c:v>-4.5506661468962831E-2</c:v>
                </c:pt>
                <c:pt idx="200">
                  <c:v>-3.1849475431786782E-2</c:v>
                </c:pt>
                <c:pt idx="201">
                  <c:v>-2.1374923270007468E-2</c:v>
                </c:pt>
                <c:pt idx="202">
                  <c:v>-8.4841046755611861E-3</c:v>
                </c:pt>
                <c:pt idx="203">
                  <c:v>7.3689137453044175E-3</c:v>
                </c:pt>
                <c:pt idx="204">
                  <c:v>-1.8230745756397605E-3</c:v>
                </c:pt>
                <c:pt idx="205">
                  <c:v>1.0181769027702681E-2</c:v>
                </c:pt>
                <c:pt idx="206">
                  <c:v>3.4298811243553842E-2</c:v>
                </c:pt>
                <c:pt idx="207">
                  <c:v>3.7221740387395202E-2</c:v>
                </c:pt>
                <c:pt idx="208">
                  <c:v>2.5596866376427333E-2</c:v>
                </c:pt>
                <c:pt idx="209">
                  <c:v>2.7439304993657387E-2</c:v>
                </c:pt>
                <c:pt idx="210">
                  <c:v>2.6343295835452519E-2</c:v>
                </c:pt>
                <c:pt idx="211">
                  <c:v>3.2925320424269364E-2</c:v>
                </c:pt>
                <c:pt idx="212">
                  <c:v>3.467600420509008E-2</c:v>
                </c:pt>
                <c:pt idx="213">
                  <c:v>3.9272872552936475E-2</c:v>
                </c:pt>
                <c:pt idx="214">
                  <c:v>4.8808729990776491E-2</c:v>
                </c:pt>
                <c:pt idx="215">
                  <c:v>4.2921079698662885E-2</c:v>
                </c:pt>
                <c:pt idx="216">
                  <c:v>4.8169426786997593E-2</c:v>
                </c:pt>
                <c:pt idx="217">
                  <c:v>4.4822877023405185E-2</c:v>
                </c:pt>
                <c:pt idx="218">
                  <c:v>4.2380287294886902E-2</c:v>
                </c:pt>
                <c:pt idx="219">
                  <c:v>4.2076045804009012E-2</c:v>
                </c:pt>
                <c:pt idx="220">
                  <c:v>5.1048541414456985E-2</c:v>
                </c:pt>
                <c:pt idx="221">
                  <c:v>5.8437259010570432E-2</c:v>
                </c:pt>
                <c:pt idx="222">
                  <c:v>6.0215154459362964E-2</c:v>
                </c:pt>
                <c:pt idx="223">
                  <c:v>5.8541690894290031E-2</c:v>
                </c:pt>
                <c:pt idx="224">
                  <c:v>5.7033471380887622E-2</c:v>
                </c:pt>
                <c:pt idx="225">
                  <c:v>5.8547649252296927E-2</c:v>
                </c:pt>
                <c:pt idx="226">
                  <c:v>4.9586745396332295E-2</c:v>
                </c:pt>
                <c:pt idx="227">
                  <c:v>4.6504632185790061E-2</c:v>
                </c:pt>
                <c:pt idx="228">
                  <c:v>5.3997643876920978E-2</c:v>
                </c:pt>
                <c:pt idx="229">
                  <c:v>5.6844634960335698E-2</c:v>
                </c:pt>
                <c:pt idx="230">
                  <c:v>5.3461085016000151E-2</c:v>
                </c:pt>
                <c:pt idx="231">
                  <c:v>4.1149832644221306E-2</c:v>
                </c:pt>
                <c:pt idx="232">
                  <c:v>3.991201670493643E-2</c:v>
                </c:pt>
                <c:pt idx="233">
                  <c:v>2.8683608210245879E-2</c:v>
                </c:pt>
                <c:pt idx="234">
                  <c:v>3.4024871831675331E-2</c:v>
                </c:pt>
                <c:pt idx="235">
                  <c:v>3.2149030292377104E-2</c:v>
                </c:pt>
                <c:pt idx="236">
                  <c:v>3.5239811264897974E-2</c:v>
                </c:pt>
                <c:pt idx="237">
                  <c:v>2.7418651946542708E-2</c:v>
                </c:pt>
                <c:pt idx="238">
                  <c:v>3.2789739423132729E-2</c:v>
                </c:pt>
                <c:pt idx="239">
                  <c:v>4.1629067939686792E-2</c:v>
                </c:pt>
                <c:pt idx="240">
                  <c:v>3.6528564446105631E-2</c:v>
                </c:pt>
                <c:pt idx="241">
                  <c:v>3.1090391311941089E-2</c:v>
                </c:pt>
                <c:pt idx="242">
                  <c:v>2.5317175248428778E-2</c:v>
                </c:pt>
                <c:pt idx="243">
                  <c:v>2.6457197499500471E-2</c:v>
                </c:pt>
                <c:pt idx="244">
                  <c:v>3.2563490588958285E-2</c:v>
                </c:pt>
                <c:pt idx="245">
                  <c:v>3.2351647093753239E-2</c:v>
                </c:pt>
                <c:pt idx="246">
                  <c:v>3.5325564675147178E-2</c:v>
                </c:pt>
                <c:pt idx="247">
                  <c:v>3.1161855022689294E-2</c:v>
                </c:pt>
                <c:pt idx="248">
                  <c:v>3.0531009380306652E-2</c:v>
                </c:pt>
                <c:pt idx="249">
                  <c:v>3.5781697359584322E-2</c:v>
                </c:pt>
                <c:pt idx="250">
                  <c:v>3.2932260058440098E-2</c:v>
                </c:pt>
                <c:pt idx="251">
                  <c:v>3.1274343022220048E-2</c:v>
                </c:pt>
                <c:pt idx="252">
                  <c:v>1.5134599115154709E-2</c:v>
                </c:pt>
                <c:pt idx="253">
                  <c:v>2.2890366826597348E-2</c:v>
                </c:pt>
                <c:pt idx="254">
                  <c:v>3.3573000225229126E-2</c:v>
                </c:pt>
                <c:pt idx="255">
                  <c:v>4.6033947559606367E-2</c:v>
                </c:pt>
                <c:pt idx="256">
                  <c:v>4.4536640391975031E-2</c:v>
                </c:pt>
                <c:pt idx="257">
                  <c:v>5.2692855435087685E-2</c:v>
                </c:pt>
                <c:pt idx="258">
                  <c:v>4.5224368560555277E-2</c:v>
                </c:pt>
                <c:pt idx="259">
                  <c:v>5.490066544175836E-2</c:v>
                </c:pt>
                <c:pt idx="260">
                  <c:v>5.1356453044011499E-2</c:v>
                </c:pt>
                <c:pt idx="261">
                  <c:v>5.413724734074319E-2</c:v>
                </c:pt>
                <c:pt idx="262">
                  <c:v>5.428865776079262E-2</c:v>
                </c:pt>
                <c:pt idx="263">
                  <c:v>5.3809623813620755E-2</c:v>
                </c:pt>
                <c:pt idx="264">
                  <c:v>6.35466583782196E-2</c:v>
                </c:pt>
                <c:pt idx="265">
                  <c:v>5.0149705657724877E-2</c:v>
                </c:pt>
                <c:pt idx="266">
                  <c:v>4.9234957289026562E-2</c:v>
                </c:pt>
                <c:pt idx="267">
                  <c:v>4.2034148383966609E-2</c:v>
                </c:pt>
                <c:pt idx="268">
                  <c:v>4.3323428374559825E-2</c:v>
                </c:pt>
                <c:pt idx="269">
                  <c:v>3.7020579057550261E-2</c:v>
                </c:pt>
                <c:pt idx="270">
                  <c:v>4.4481281945020032E-2</c:v>
                </c:pt>
                <c:pt idx="271">
                  <c:v>3.7512639029322545E-2</c:v>
                </c:pt>
                <c:pt idx="272">
                  <c:v>3.6462338542549169E-2</c:v>
                </c:pt>
                <c:pt idx="273">
                  <c:v>2.8838091661621833E-2</c:v>
                </c:pt>
                <c:pt idx="274">
                  <c:v>2.8969943240454075E-2</c:v>
                </c:pt>
                <c:pt idx="275">
                  <c:v>3.2888477461492968E-2</c:v>
                </c:pt>
                <c:pt idx="276">
                  <c:v>2.832854821409073E-2</c:v>
                </c:pt>
                <c:pt idx="277">
                  <c:v>4.231964833920078E-2</c:v>
                </c:pt>
                <c:pt idx="278">
                  <c:v>3.2274658912994858E-2</c:v>
                </c:pt>
                <c:pt idx="279">
                  <c:v>3.1951296516578381E-2</c:v>
                </c:pt>
                <c:pt idx="280">
                  <c:v>2.9662133628832788E-2</c:v>
                </c:pt>
                <c:pt idx="281">
                  <c:v>3.8031937686279361E-2</c:v>
                </c:pt>
                <c:pt idx="282">
                  <c:v>2.4401534188599392E-2</c:v>
                </c:pt>
                <c:pt idx="283">
                  <c:v>2.6174899635638859E-2</c:v>
                </c:pt>
                <c:pt idx="284">
                  <c:v>2.8615262730993896E-2</c:v>
                </c:pt>
                <c:pt idx="285">
                  <c:v>3.14029042966599E-2</c:v>
                </c:pt>
                <c:pt idx="286">
                  <c:v>2.86902586636495E-2</c:v>
                </c:pt>
                <c:pt idx="287">
                  <c:v>2.45002240589524E-2</c:v>
                </c:pt>
                <c:pt idx="288">
                  <c:v>4.369103350062304E-2</c:v>
                </c:pt>
                <c:pt idx="289">
                  <c:v>3.1388833145521065E-2</c:v>
                </c:pt>
                <c:pt idx="290">
                  <c:v>3.8517849017708182E-2</c:v>
                </c:pt>
                <c:pt idx="291">
                  <c:v>4.2587842640378258E-2</c:v>
                </c:pt>
                <c:pt idx="292">
                  <c:v>3.6390380185575215E-2</c:v>
                </c:pt>
                <c:pt idx="293">
                  <c:v>3.181941883540805E-2</c:v>
                </c:pt>
                <c:pt idx="294">
                  <c:v>3.744724279228185E-2</c:v>
                </c:pt>
                <c:pt idx="295">
                  <c:v>3.9403584984850665E-2</c:v>
                </c:pt>
                <c:pt idx="296">
                  <c:v>4.7166120592694018E-2</c:v>
                </c:pt>
                <c:pt idx="297">
                  <c:v>4.5255274036334794E-2</c:v>
                </c:pt>
                <c:pt idx="298">
                  <c:v>5.841257460765286E-2</c:v>
                </c:pt>
                <c:pt idx="299">
                  <c:v>6.1005355130506624E-2</c:v>
                </c:pt>
                <c:pt idx="300">
                  <c:v>4.2669954188148763E-2</c:v>
                </c:pt>
                <c:pt idx="301">
                  <c:v>4.994731674609066E-2</c:v>
                </c:pt>
                <c:pt idx="302">
                  <c:v>4.5056107774615141E-2</c:v>
                </c:pt>
                <c:pt idx="303">
                  <c:v>4.3833050262174281E-2</c:v>
                </c:pt>
                <c:pt idx="304">
                  <c:v>6.0180308845844861E-2</c:v>
                </c:pt>
                <c:pt idx="305">
                  <c:v>5.2827325827779242E-2</c:v>
                </c:pt>
                <c:pt idx="306">
                  <c:v>5.9592347100532454E-2</c:v>
                </c:pt>
                <c:pt idx="307">
                  <c:v>5.3964436348845637E-2</c:v>
                </c:pt>
                <c:pt idx="308">
                  <c:v>4.1571321829686883E-2</c:v>
                </c:pt>
                <c:pt idx="309">
                  <c:v>5.1468248987942875E-2</c:v>
                </c:pt>
                <c:pt idx="310">
                  <c:v>4.3657110616628622E-2</c:v>
                </c:pt>
                <c:pt idx="311">
                  <c:v>1.3051780556024746E-2</c:v>
                </c:pt>
                <c:pt idx="312">
                  <c:v>4.2717382258152463E-2</c:v>
                </c:pt>
                <c:pt idx="313">
                  <c:v>2.8726358343929434E-2</c:v>
                </c:pt>
                <c:pt idx="314">
                  <c:v>3.9317575121494898E-2</c:v>
                </c:pt>
                <c:pt idx="315">
                  <c:v>4.1149026434082331E-2</c:v>
                </c:pt>
                <c:pt idx="316">
                  <c:v>3.2720955556303957E-2</c:v>
                </c:pt>
                <c:pt idx="317">
                  <c:v>4.2427483709343732E-2</c:v>
                </c:pt>
                <c:pt idx="318">
                  <c:v>4.1285776205589965E-2</c:v>
                </c:pt>
                <c:pt idx="319">
                  <c:v>4.4358311800172266E-2</c:v>
                </c:pt>
                <c:pt idx="320">
                  <c:v>4.3423312849052424E-2</c:v>
                </c:pt>
                <c:pt idx="321">
                  <c:v>3.7468112687472417E-2</c:v>
                </c:pt>
                <c:pt idx="322">
                  <c:v>2.8768048985671139E-2</c:v>
                </c:pt>
                <c:pt idx="323">
                  <c:v>5.9588537839823659E-2</c:v>
                </c:pt>
                <c:pt idx="324">
                  <c:v>4.1930654101690439E-2</c:v>
                </c:pt>
                <c:pt idx="325">
                  <c:v>4.9416074981847607E-2</c:v>
                </c:pt>
                <c:pt idx="326">
                  <c:v>8.9622356744178382E-3</c:v>
                </c:pt>
                <c:pt idx="327">
                  <c:v>-0.13953361516432566</c:v>
                </c:pt>
                <c:pt idx="328">
                  <c:v>-3.8692845981384602E-2</c:v>
                </c:pt>
                <c:pt idx="329">
                  <c:v>2.9659392230880981E-2</c:v>
                </c:pt>
                <c:pt idx="330">
                  <c:v>4.2173220649409593E-2</c:v>
                </c:pt>
                <c:pt idx="331">
                  <c:v>4.8702637568616952E-2</c:v>
                </c:pt>
                <c:pt idx="332">
                  <c:v>6.9261860321467417E-2</c:v>
                </c:pt>
                <c:pt idx="333">
                  <c:v>6.6477414107253219E-2</c:v>
                </c:pt>
                <c:pt idx="334">
                  <c:v>5.6096089655079964E-2</c:v>
                </c:pt>
                <c:pt idx="335">
                  <c:v>1.9952206451062285E-2</c:v>
                </c:pt>
                <c:pt idx="336">
                  <c:v>9.7521481986301187E-2</c:v>
                </c:pt>
                <c:pt idx="337">
                  <c:v>6.1690412369772754E-2</c:v>
                </c:pt>
                <c:pt idx="338">
                  <c:v>0.20003590039272853</c:v>
                </c:pt>
                <c:pt idx="339">
                  <c:v>0.39958794256553298</c:v>
                </c:pt>
                <c:pt idx="340">
                  <c:v>0.24000599315310528</c:v>
                </c:pt>
                <c:pt idx="341">
                  <c:v>0.1671998992977064</c:v>
                </c:pt>
                <c:pt idx="342">
                  <c:v>0.13137219028378683</c:v>
                </c:pt>
                <c:pt idx="343">
                  <c:v>0.1434590106169473</c:v>
                </c:pt>
              </c:numCache>
            </c:numRef>
          </c:val>
          <c:smooth val="0"/>
          <c:extLst>
            <c:ext xmlns:c16="http://schemas.microsoft.com/office/drawing/2014/chart" uri="{C3380CC4-5D6E-409C-BE32-E72D297353CC}">
              <c16:uniqueId val="{00000002-56C6-47FE-B03F-7519703D5A38}"/>
            </c:ext>
          </c:extLst>
        </c:ser>
        <c:dLbls>
          <c:showLegendKey val="0"/>
          <c:showVal val="0"/>
          <c:showCatName val="0"/>
          <c:showSerName val="0"/>
          <c:showPercent val="0"/>
          <c:showBubbleSize val="0"/>
        </c:dLbls>
        <c:smooth val="0"/>
        <c:axId val="728847040"/>
        <c:axId val="728846712"/>
      </c:lineChart>
      <c:dateAx>
        <c:axId val="728847040"/>
        <c:scaling>
          <c:orientation val="minMax"/>
        </c:scaling>
        <c:delete val="0"/>
        <c:axPos val="b"/>
        <c:numFmt formatCode="[$-409]mmm\-yy;@" sourceLinked="1"/>
        <c:majorTickMark val="out"/>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28846712"/>
        <c:crosses val="autoZero"/>
        <c:auto val="1"/>
        <c:lblOffset val="100"/>
        <c:baseTimeUnit val="months"/>
      </c:dateAx>
      <c:valAx>
        <c:axId val="72884671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2884704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Retail Sales mil$</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spPr>
            <a:ln w="28575" cap="rnd">
              <a:solidFill>
                <a:schemeClr val="accent1"/>
              </a:solidFill>
              <a:round/>
            </a:ln>
            <a:effectLst/>
          </c:spPr>
          <c:marker>
            <c:symbol val="none"/>
          </c:marker>
          <c:cat>
            <c:numRef>
              <c:f>'Retail Sales ex Auto and Gas'!$A$7:$A$362</c:f>
              <c:numCache>
                <c:formatCode>[$-409]mmm\-yy;@</c:formatCode>
                <c:ptCount val="356"/>
                <c:pt idx="0">
                  <c:v>33604</c:v>
                </c:pt>
                <c:pt idx="1">
                  <c:v>33635</c:v>
                </c:pt>
                <c:pt idx="2">
                  <c:v>33664</c:v>
                </c:pt>
                <c:pt idx="3">
                  <c:v>33695</c:v>
                </c:pt>
                <c:pt idx="4">
                  <c:v>33725</c:v>
                </c:pt>
                <c:pt idx="5">
                  <c:v>33756</c:v>
                </c:pt>
                <c:pt idx="6">
                  <c:v>33786</c:v>
                </c:pt>
                <c:pt idx="7">
                  <c:v>33817</c:v>
                </c:pt>
                <c:pt idx="8">
                  <c:v>33848</c:v>
                </c:pt>
                <c:pt idx="9">
                  <c:v>33878</c:v>
                </c:pt>
                <c:pt idx="10">
                  <c:v>33909</c:v>
                </c:pt>
                <c:pt idx="11">
                  <c:v>33939</c:v>
                </c:pt>
                <c:pt idx="12">
                  <c:v>33970</c:v>
                </c:pt>
                <c:pt idx="13">
                  <c:v>34001</c:v>
                </c:pt>
                <c:pt idx="14">
                  <c:v>34029</c:v>
                </c:pt>
                <c:pt idx="15">
                  <c:v>34060</c:v>
                </c:pt>
                <c:pt idx="16">
                  <c:v>34090</c:v>
                </c:pt>
                <c:pt idx="17">
                  <c:v>34121</c:v>
                </c:pt>
                <c:pt idx="18">
                  <c:v>34151</c:v>
                </c:pt>
                <c:pt idx="19">
                  <c:v>34182</c:v>
                </c:pt>
                <c:pt idx="20">
                  <c:v>34213</c:v>
                </c:pt>
                <c:pt idx="21">
                  <c:v>34243</c:v>
                </c:pt>
                <c:pt idx="22">
                  <c:v>34274</c:v>
                </c:pt>
                <c:pt idx="23">
                  <c:v>34304</c:v>
                </c:pt>
                <c:pt idx="24">
                  <c:v>34335</c:v>
                </c:pt>
                <c:pt idx="25">
                  <c:v>34366</c:v>
                </c:pt>
                <c:pt idx="26">
                  <c:v>34394</c:v>
                </c:pt>
                <c:pt idx="27">
                  <c:v>34425</c:v>
                </c:pt>
                <c:pt idx="28">
                  <c:v>34455</c:v>
                </c:pt>
                <c:pt idx="29">
                  <c:v>34486</c:v>
                </c:pt>
                <c:pt idx="30">
                  <c:v>34516</c:v>
                </c:pt>
                <c:pt idx="31">
                  <c:v>34547</c:v>
                </c:pt>
                <c:pt idx="32">
                  <c:v>34578</c:v>
                </c:pt>
                <c:pt idx="33">
                  <c:v>34608</c:v>
                </c:pt>
                <c:pt idx="34">
                  <c:v>34639</c:v>
                </c:pt>
                <c:pt idx="35">
                  <c:v>34669</c:v>
                </c:pt>
                <c:pt idx="36">
                  <c:v>34700</c:v>
                </c:pt>
                <c:pt idx="37">
                  <c:v>34731</c:v>
                </c:pt>
                <c:pt idx="38">
                  <c:v>34759</c:v>
                </c:pt>
                <c:pt idx="39">
                  <c:v>34790</c:v>
                </c:pt>
                <c:pt idx="40">
                  <c:v>34820</c:v>
                </c:pt>
                <c:pt idx="41">
                  <c:v>34851</c:v>
                </c:pt>
                <c:pt idx="42">
                  <c:v>34881</c:v>
                </c:pt>
                <c:pt idx="43">
                  <c:v>34912</c:v>
                </c:pt>
                <c:pt idx="44">
                  <c:v>34943</c:v>
                </c:pt>
                <c:pt idx="45">
                  <c:v>34973</c:v>
                </c:pt>
                <c:pt idx="46">
                  <c:v>35004</c:v>
                </c:pt>
                <c:pt idx="47">
                  <c:v>35034</c:v>
                </c:pt>
                <c:pt idx="48">
                  <c:v>35065</c:v>
                </c:pt>
                <c:pt idx="49">
                  <c:v>35096</c:v>
                </c:pt>
                <c:pt idx="50">
                  <c:v>35125</c:v>
                </c:pt>
                <c:pt idx="51">
                  <c:v>35156</c:v>
                </c:pt>
                <c:pt idx="52">
                  <c:v>35186</c:v>
                </c:pt>
                <c:pt idx="53">
                  <c:v>35217</c:v>
                </c:pt>
                <c:pt idx="54">
                  <c:v>35247</c:v>
                </c:pt>
                <c:pt idx="55">
                  <c:v>35278</c:v>
                </c:pt>
                <c:pt idx="56">
                  <c:v>35309</c:v>
                </c:pt>
                <c:pt idx="57">
                  <c:v>35339</c:v>
                </c:pt>
                <c:pt idx="58">
                  <c:v>35370</c:v>
                </c:pt>
                <c:pt idx="59">
                  <c:v>35400</c:v>
                </c:pt>
                <c:pt idx="60">
                  <c:v>35431</c:v>
                </c:pt>
                <c:pt idx="61">
                  <c:v>35462</c:v>
                </c:pt>
                <c:pt idx="62">
                  <c:v>35490</c:v>
                </c:pt>
                <c:pt idx="63">
                  <c:v>35521</c:v>
                </c:pt>
                <c:pt idx="64">
                  <c:v>35551</c:v>
                </c:pt>
                <c:pt idx="65">
                  <c:v>35582</c:v>
                </c:pt>
                <c:pt idx="66">
                  <c:v>35612</c:v>
                </c:pt>
                <c:pt idx="67">
                  <c:v>35643</c:v>
                </c:pt>
                <c:pt idx="68">
                  <c:v>35674</c:v>
                </c:pt>
                <c:pt idx="69">
                  <c:v>35704</c:v>
                </c:pt>
                <c:pt idx="70">
                  <c:v>35735</c:v>
                </c:pt>
                <c:pt idx="71">
                  <c:v>35765</c:v>
                </c:pt>
                <c:pt idx="72">
                  <c:v>35796</c:v>
                </c:pt>
                <c:pt idx="73">
                  <c:v>35827</c:v>
                </c:pt>
                <c:pt idx="74">
                  <c:v>35855</c:v>
                </c:pt>
                <c:pt idx="75">
                  <c:v>35886</c:v>
                </c:pt>
                <c:pt idx="76">
                  <c:v>35916</c:v>
                </c:pt>
                <c:pt idx="77">
                  <c:v>35947</c:v>
                </c:pt>
                <c:pt idx="78">
                  <c:v>35977</c:v>
                </c:pt>
                <c:pt idx="79">
                  <c:v>36008</c:v>
                </c:pt>
                <c:pt idx="80">
                  <c:v>36039</c:v>
                </c:pt>
                <c:pt idx="81">
                  <c:v>36069</c:v>
                </c:pt>
                <c:pt idx="82">
                  <c:v>36100</c:v>
                </c:pt>
                <c:pt idx="83">
                  <c:v>36130</c:v>
                </c:pt>
                <c:pt idx="84">
                  <c:v>36161</c:v>
                </c:pt>
                <c:pt idx="85">
                  <c:v>36192</c:v>
                </c:pt>
                <c:pt idx="86">
                  <c:v>36220</c:v>
                </c:pt>
                <c:pt idx="87">
                  <c:v>36251</c:v>
                </c:pt>
                <c:pt idx="88">
                  <c:v>36281</c:v>
                </c:pt>
                <c:pt idx="89">
                  <c:v>36312</c:v>
                </c:pt>
                <c:pt idx="90">
                  <c:v>36342</c:v>
                </c:pt>
                <c:pt idx="91">
                  <c:v>36373</c:v>
                </c:pt>
                <c:pt idx="92">
                  <c:v>36404</c:v>
                </c:pt>
                <c:pt idx="93">
                  <c:v>36434</c:v>
                </c:pt>
                <c:pt idx="94">
                  <c:v>36465</c:v>
                </c:pt>
                <c:pt idx="95">
                  <c:v>36495</c:v>
                </c:pt>
                <c:pt idx="96">
                  <c:v>36526</c:v>
                </c:pt>
                <c:pt idx="97">
                  <c:v>36557</c:v>
                </c:pt>
                <c:pt idx="98">
                  <c:v>36586</c:v>
                </c:pt>
                <c:pt idx="99">
                  <c:v>36617</c:v>
                </c:pt>
                <c:pt idx="100">
                  <c:v>36647</c:v>
                </c:pt>
                <c:pt idx="101">
                  <c:v>36678</c:v>
                </c:pt>
                <c:pt idx="102">
                  <c:v>36708</c:v>
                </c:pt>
                <c:pt idx="103">
                  <c:v>36739</c:v>
                </c:pt>
                <c:pt idx="104">
                  <c:v>36770</c:v>
                </c:pt>
                <c:pt idx="105">
                  <c:v>36800</c:v>
                </c:pt>
                <c:pt idx="106">
                  <c:v>36831</c:v>
                </c:pt>
                <c:pt idx="107">
                  <c:v>36861</c:v>
                </c:pt>
                <c:pt idx="108">
                  <c:v>36892</c:v>
                </c:pt>
                <c:pt idx="109">
                  <c:v>36923</c:v>
                </c:pt>
                <c:pt idx="110">
                  <c:v>36951</c:v>
                </c:pt>
                <c:pt idx="111">
                  <c:v>36982</c:v>
                </c:pt>
                <c:pt idx="112">
                  <c:v>37012</c:v>
                </c:pt>
                <c:pt idx="113">
                  <c:v>37043</c:v>
                </c:pt>
                <c:pt idx="114">
                  <c:v>37073</c:v>
                </c:pt>
                <c:pt idx="115">
                  <c:v>37104</c:v>
                </c:pt>
                <c:pt idx="116">
                  <c:v>37135</c:v>
                </c:pt>
                <c:pt idx="117">
                  <c:v>37165</c:v>
                </c:pt>
                <c:pt idx="118">
                  <c:v>37196</c:v>
                </c:pt>
                <c:pt idx="119">
                  <c:v>37226</c:v>
                </c:pt>
                <c:pt idx="120">
                  <c:v>37257</c:v>
                </c:pt>
                <c:pt idx="121">
                  <c:v>37288</c:v>
                </c:pt>
                <c:pt idx="122">
                  <c:v>37316</c:v>
                </c:pt>
                <c:pt idx="123">
                  <c:v>37347</c:v>
                </c:pt>
                <c:pt idx="124">
                  <c:v>37377</c:v>
                </c:pt>
                <c:pt idx="125">
                  <c:v>37408</c:v>
                </c:pt>
                <c:pt idx="126">
                  <c:v>37438</c:v>
                </c:pt>
                <c:pt idx="127">
                  <c:v>37469</c:v>
                </c:pt>
                <c:pt idx="128">
                  <c:v>37500</c:v>
                </c:pt>
                <c:pt idx="129">
                  <c:v>37530</c:v>
                </c:pt>
                <c:pt idx="130">
                  <c:v>37561</c:v>
                </c:pt>
                <c:pt idx="131">
                  <c:v>37591</c:v>
                </c:pt>
                <c:pt idx="132">
                  <c:v>37622</c:v>
                </c:pt>
                <c:pt idx="133">
                  <c:v>37653</c:v>
                </c:pt>
                <c:pt idx="134">
                  <c:v>37681</c:v>
                </c:pt>
                <c:pt idx="135">
                  <c:v>37712</c:v>
                </c:pt>
                <c:pt idx="136">
                  <c:v>37742</c:v>
                </c:pt>
                <c:pt idx="137">
                  <c:v>37773</c:v>
                </c:pt>
                <c:pt idx="138">
                  <c:v>37803</c:v>
                </c:pt>
                <c:pt idx="139">
                  <c:v>37834</c:v>
                </c:pt>
                <c:pt idx="140">
                  <c:v>37865</c:v>
                </c:pt>
                <c:pt idx="141">
                  <c:v>37895</c:v>
                </c:pt>
                <c:pt idx="142">
                  <c:v>37926</c:v>
                </c:pt>
                <c:pt idx="143">
                  <c:v>37956</c:v>
                </c:pt>
                <c:pt idx="144">
                  <c:v>37987</c:v>
                </c:pt>
                <c:pt idx="145">
                  <c:v>38018</c:v>
                </c:pt>
                <c:pt idx="146">
                  <c:v>38047</c:v>
                </c:pt>
                <c:pt idx="147">
                  <c:v>38078</c:v>
                </c:pt>
                <c:pt idx="148">
                  <c:v>38108</c:v>
                </c:pt>
                <c:pt idx="149">
                  <c:v>38139</c:v>
                </c:pt>
                <c:pt idx="150">
                  <c:v>38169</c:v>
                </c:pt>
                <c:pt idx="151">
                  <c:v>38200</c:v>
                </c:pt>
                <c:pt idx="152">
                  <c:v>38231</c:v>
                </c:pt>
                <c:pt idx="153">
                  <c:v>38261</c:v>
                </c:pt>
                <c:pt idx="154">
                  <c:v>38292</c:v>
                </c:pt>
                <c:pt idx="155">
                  <c:v>38322</c:v>
                </c:pt>
                <c:pt idx="156">
                  <c:v>38353</c:v>
                </c:pt>
                <c:pt idx="157">
                  <c:v>38384</c:v>
                </c:pt>
                <c:pt idx="158">
                  <c:v>38412</c:v>
                </c:pt>
                <c:pt idx="159">
                  <c:v>38443</c:v>
                </c:pt>
                <c:pt idx="160">
                  <c:v>38473</c:v>
                </c:pt>
                <c:pt idx="161">
                  <c:v>38504</c:v>
                </c:pt>
                <c:pt idx="162">
                  <c:v>38534</c:v>
                </c:pt>
                <c:pt idx="163">
                  <c:v>38565</c:v>
                </c:pt>
                <c:pt idx="164">
                  <c:v>38596</c:v>
                </c:pt>
                <c:pt idx="165">
                  <c:v>38626</c:v>
                </c:pt>
                <c:pt idx="166">
                  <c:v>38657</c:v>
                </c:pt>
                <c:pt idx="167">
                  <c:v>38687</c:v>
                </c:pt>
                <c:pt idx="168">
                  <c:v>38718</c:v>
                </c:pt>
                <c:pt idx="169">
                  <c:v>38749</c:v>
                </c:pt>
                <c:pt idx="170">
                  <c:v>38777</c:v>
                </c:pt>
                <c:pt idx="171">
                  <c:v>38808</c:v>
                </c:pt>
                <c:pt idx="172">
                  <c:v>38838</c:v>
                </c:pt>
                <c:pt idx="173">
                  <c:v>38869</c:v>
                </c:pt>
                <c:pt idx="174">
                  <c:v>38899</c:v>
                </c:pt>
                <c:pt idx="175">
                  <c:v>38930</c:v>
                </c:pt>
                <c:pt idx="176">
                  <c:v>38961</c:v>
                </c:pt>
                <c:pt idx="177">
                  <c:v>38991</c:v>
                </c:pt>
                <c:pt idx="178">
                  <c:v>39022</c:v>
                </c:pt>
                <c:pt idx="179">
                  <c:v>39052</c:v>
                </c:pt>
                <c:pt idx="180">
                  <c:v>39083</c:v>
                </c:pt>
                <c:pt idx="181">
                  <c:v>39114</c:v>
                </c:pt>
                <c:pt idx="182">
                  <c:v>39142</c:v>
                </c:pt>
                <c:pt idx="183">
                  <c:v>39173</c:v>
                </c:pt>
                <c:pt idx="184">
                  <c:v>39203</c:v>
                </c:pt>
                <c:pt idx="185">
                  <c:v>39234</c:v>
                </c:pt>
                <c:pt idx="186">
                  <c:v>39264</c:v>
                </c:pt>
                <c:pt idx="187">
                  <c:v>39295</c:v>
                </c:pt>
                <c:pt idx="188">
                  <c:v>39326</c:v>
                </c:pt>
                <c:pt idx="189">
                  <c:v>39356</c:v>
                </c:pt>
                <c:pt idx="190">
                  <c:v>39387</c:v>
                </c:pt>
                <c:pt idx="191">
                  <c:v>39417</c:v>
                </c:pt>
                <c:pt idx="192">
                  <c:v>39448</c:v>
                </c:pt>
                <c:pt idx="193">
                  <c:v>39479</c:v>
                </c:pt>
                <c:pt idx="194">
                  <c:v>39508</c:v>
                </c:pt>
                <c:pt idx="195">
                  <c:v>39539</c:v>
                </c:pt>
                <c:pt idx="196">
                  <c:v>39569</c:v>
                </c:pt>
                <c:pt idx="197">
                  <c:v>39600</c:v>
                </c:pt>
                <c:pt idx="198">
                  <c:v>39630</c:v>
                </c:pt>
                <c:pt idx="199">
                  <c:v>39661</c:v>
                </c:pt>
                <c:pt idx="200">
                  <c:v>39692</c:v>
                </c:pt>
                <c:pt idx="201">
                  <c:v>39722</c:v>
                </c:pt>
                <c:pt idx="202">
                  <c:v>39753</c:v>
                </c:pt>
                <c:pt idx="203">
                  <c:v>39783</c:v>
                </c:pt>
                <c:pt idx="204">
                  <c:v>39814</c:v>
                </c:pt>
                <c:pt idx="205">
                  <c:v>39845</c:v>
                </c:pt>
                <c:pt idx="206">
                  <c:v>39873</c:v>
                </c:pt>
                <c:pt idx="207">
                  <c:v>39904</c:v>
                </c:pt>
                <c:pt idx="208">
                  <c:v>39934</c:v>
                </c:pt>
                <c:pt idx="209">
                  <c:v>39965</c:v>
                </c:pt>
                <c:pt idx="210">
                  <c:v>39995</c:v>
                </c:pt>
                <c:pt idx="211">
                  <c:v>40026</c:v>
                </c:pt>
                <c:pt idx="212">
                  <c:v>40057</c:v>
                </c:pt>
                <c:pt idx="213">
                  <c:v>40087</c:v>
                </c:pt>
                <c:pt idx="214">
                  <c:v>40118</c:v>
                </c:pt>
                <c:pt idx="215">
                  <c:v>40148</c:v>
                </c:pt>
                <c:pt idx="216">
                  <c:v>40179</c:v>
                </c:pt>
                <c:pt idx="217">
                  <c:v>40210</c:v>
                </c:pt>
                <c:pt idx="218">
                  <c:v>40238</c:v>
                </c:pt>
                <c:pt idx="219">
                  <c:v>40269</c:v>
                </c:pt>
                <c:pt idx="220">
                  <c:v>40299</c:v>
                </c:pt>
                <c:pt idx="221">
                  <c:v>40330</c:v>
                </c:pt>
                <c:pt idx="222">
                  <c:v>40360</c:v>
                </c:pt>
                <c:pt idx="223">
                  <c:v>40391</c:v>
                </c:pt>
                <c:pt idx="224">
                  <c:v>40422</c:v>
                </c:pt>
                <c:pt idx="225">
                  <c:v>40452</c:v>
                </c:pt>
                <c:pt idx="226">
                  <c:v>40483</c:v>
                </c:pt>
                <c:pt idx="227">
                  <c:v>40513</c:v>
                </c:pt>
                <c:pt idx="228">
                  <c:v>40544</c:v>
                </c:pt>
                <c:pt idx="229">
                  <c:v>40575</c:v>
                </c:pt>
                <c:pt idx="230">
                  <c:v>40603</c:v>
                </c:pt>
                <c:pt idx="231">
                  <c:v>40634</c:v>
                </c:pt>
                <c:pt idx="232">
                  <c:v>40664</c:v>
                </c:pt>
                <c:pt idx="233">
                  <c:v>40695</c:v>
                </c:pt>
                <c:pt idx="234">
                  <c:v>40725</c:v>
                </c:pt>
                <c:pt idx="235">
                  <c:v>40756</c:v>
                </c:pt>
                <c:pt idx="236">
                  <c:v>40787</c:v>
                </c:pt>
                <c:pt idx="237">
                  <c:v>40817</c:v>
                </c:pt>
                <c:pt idx="238">
                  <c:v>40848</c:v>
                </c:pt>
                <c:pt idx="239">
                  <c:v>40878</c:v>
                </c:pt>
                <c:pt idx="240">
                  <c:v>40909</c:v>
                </c:pt>
                <c:pt idx="241">
                  <c:v>40940</c:v>
                </c:pt>
                <c:pt idx="242">
                  <c:v>40969</c:v>
                </c:pt>
                <c:pt idx="243">
                  <c:v>41000</c:v>
                </c:pt>
                <c:pt idx="244">
                  <c:v>41030</c:v>
                </c:pt>
                <c:pt idx="245">
                  <c:v>41061</c:v>
                </c:pt>
                <c:pt idx="246">
                  <c:v>41091</c:v>
                </c:pt>
                <c:pt idx="247">
                  <c:v>41122</c:v>
                </c:pt>
                <c:pt idx="248">
                  <c:v>41153</c:v>
                </c:pt>
                <c:pt idx="249">
                  <c:v>41183</c:v>
                </c:pt>
                <c:pt idx="250">
                  <c:v>41214</c:v>
                </c:pt>
                <c:pt idx="251">
                  <c:v>41244</c:v>
                </c:pt>
                <c:pt idx="252">
                  <c:v>41275</c:v>
                </c:pt>
                <c:pt idx="253">
                  <c:v>41306</c:v>
                </c:pt>
                <c:pt idx="254">
                  <c:v>41334</c:v>
                </c:pt>
                <c:pt idx="255">
                  <c:v>41365</c:v>
                </c:pt>
                <c:pt idx="256">
                  <c:v>41395</c:v>
                </c:pt>
                <c:pt idx="257">
                  <c:v>41426</c:v>
                </c:pt>
                <c:pt idx="258">
                  <c:v>41456</c:v>
                </c:pt>
                <c:pt idx="259">
                  <c:v>41487</c:v>
                </c:pt>
                <c:pt idx="260">
                  <c:v>41518</c:v>
                </c:pt>
                <c:pt idx="261">
                  <c:v>41548</c:v>
                </c:pt>
                <c:pt idx="262">
                  <c:v>41579</c:v>
                </c:pt>
                <c:pt idx="263">
                  <c:v>41609</c:v>
                </c:pt>
                <c:pt idx="264">
                  <c:v>41640</c:v>
                </c:pt>
                <c:pt idx="265">
                  <c:v>41671</c:v>
                </c:pt>
                <c:pt idx="266">
                  <c:v>41699</c:v>
                </c:pt>
                <c:pt idx="267">
                  <c:v>41730</c:v>
                </c:pt>
                <c:pt idx="268">
                  <c:v>41760</c:v>
                </c:pt>
                <c:pt idx="269">
                  <c:v>41791</c:v>
                </c:pt>
                <c:pt idx="270">
                  <c:v>41821</c:v>
                </c:pt>
                <c:pt idx="271">
                  <c:v>41852</c:v>
                </c:pt>
                <c:pt idx="272">
                  <c:v>41883</c:v>
                </c:pt>
                <c:pt idx="273">
                  <c:v>41913</c:v>
                </c:pt>
                <c:pt idx="274">
                  <c:v>41944</c:v>
                </c:pt>
                <c:pt idx="275">
                  <c:v>41974</c:v>
                </c:pt>
                <c:pt idx="276">
                  <c:v>42005</c:v>
                </c:pt>
                <c:pt idx="277">
                  <c:v>42036</c:v>
                </c:pt>
                <c:pt idx="278">
                  <c:v>42064</c:v>
                </c:pt>
                <c:pt idx="279">
                  <c:v>42095</c:v>
                </c:pt>
                <c:pt idx="280">
                  <c:v>42125</c:v>
                </c:pt>
                <c:pt idx="281">
                  <c:v>42156</c:v>
                </c:pt>
                <c:pt idx="282">
                  <c:v>42186</c:v>
                </c:pt>
                <c:pt idx="283">
                  <c:v>42217</c:v>
                </c:pt>
                <c:pt idx="284">
                  <c:v>42248</c:v>
                </c:pt>
                <c:pt idx="285">
                  <c:v>42278</c:v>
                </c:pt>
                <c:pt idx="286">
                  <c:v>42309</c:v>
                </c:pt>
                <c:pt idx="287">
                  <c:v>42339</c:v>
                </c:pt>
                <c:pt idx="288">
                  <c:v>42370</c:v>
                </c:pt>
                <c:pt idx="289">
                  <c:v>42401</c:v>
                </c:pt>
                <c:pt idx="290">
                  <c:v>42430</c:v>
                </c:pt>
                <c:pt idx="291">
                  <c:v>42461</c:v>
                </c:pt>
                <c:pt idx="292">
                  <c:v>42491</c:v>
                </c:pt>
                <c:pt idx="293">
                  <c:v>42522</c:v>
                </c:pt>
                <c:pt idx="294">
                  <c:v>42552</c:v>
                </c:pt>
                <c:pt idx="295">
                  <c:v>42583</c:v>
                </c:pt>
                <c:pt idx="296">
                  <c:v>42614</c:v>
                </c:pt>
                <c:pt idx="297">
                  <c:v>42644</c:v>
                </c:pt>
                <c:pt idx="298">
                  <c:v>42675</c:v>
                </c:pt>
                <c:pt idx="299">
                  <c:v>42705</c:v>
                </c:pt>
                <c:pt idx="300">
                  <c:v>42736</c:v>
                </c:pt>
                <c:pt idx="301">
                  <c:v>42767</c:v>
                </c:pt>
                <c:pt idx="302">
                  <c:v>42795</c:v>
                </c:pt>
                <c:pt idx="303">
                  <c:v>42826</c:v>
                </c:pt>
                <c:pt idx="304">
                  <c:v>42856</c:v>
                </c:pt>
                <c:pt idx="305">
                  <c:v>42887</c:v>
                </c:pt>
                <c:pt idx="306">
                  <c:v>42917</c:v>
                </c:pt>
                <c:pt idx="307">
                  <c:v>42948</c:v>
                </c:pt>
                <c:pt idx="308">
                  <c:v>42979</c:v>
                </c:pt>
                <c:pt idx="309">
                  <c:v>43009</c:v>
                </c:pt>
                <c:pt idx="310">
                  <c:v>43040</c:v>
                </c:pt>
                <c:pt idx="311">
                  <c:v>43070</c:v>
                </c:pt>
                <c:pt idx="312">
                  <c:v>43101</c:v>
                </c:pt>
                <c:pt idx="313">
                  <c:v>43132</c:v>
                </c:pt>
                <c:pt idx="314">
                  <c:v>43160</c:v>
                </c:pt>
                <c:pt idx="315">
                  <c:v>43191</c:v>
                </c:pt>
                <c:pt idx="316">
                  <c:v>43221</c:v>
                </c:pt>
                <c:pt idx="317">
                  <c:v>43252</c:v>
                </c:pt>
                <c:pt idx="318">
                  <c:v>43282</c:v>
                </c:pt>
                <c:pt idx="319">
                  <c:v>43313</c:v>
                </c:pt>
                <c:pt idx="320">
                  <c:v>43344</c:v>
                </c:pt>
                <c:pt idx="321">
                  <c:v>43374</c:v>
                </c:pt>
                <c:pt idx="322">
                  <c:v>43405</c:v>
                </c:pt>
                <c:pt idx="323">
                  <c:v>43435</c:v>
                </c:pt>
                <c:pt idx="324">
                  <c:v>43466</c:v>
                </c:pt>
                <c:pt idx="325">
                  <c:v>43497</c:v>
                </c:pt>
                <c:pt idx="326">
                  <c:v>43525</c:v>
                </c:pt>
                <c:pt idx="327">
                  <c:v>43556</c:v>
                </c:pt>
                <c:pt idx="328">
                  <c:v>43586</c:v>
                </c:pt>
                <c:pt idx="329">
                  <c:v>43617</c:v>
                </c:pt>
                <c:pt idx="330">
                  <c:v>43647</c:v>
                </c:pt>
                <c:pt idx="331">
                  <c:v>43678</c:v>
                </c:pt>
                <c:pt idx="332">
                  <c:v>43709</c:v>
                </c:pt>
                <c:pt idx="333">
                  <c:v>43739</c:v>
                </c:pt>
                <c:pt idx="334">
                  <c:v>43770</c:v>
                </c:pt>
                <c:pt idx="335">
                  <c:v>43800</c:v>
                </c:pt>
                <c:pt idx="336">
                  <c:v>43831</c:v>
                </c:pt>
                <c:pt idx="337">
                  <c:v>43862</c:v>
                </c:pt>
                <c:pt idx="338">
                  <c:v>43891</c:v>
                </c:pt>
                <c:pt idx="339">
                  <c:v>43922</c:v>
                </c:pt>
                <c:pt idx="340">
                  <c:v>43952</c:v>
                </c:pt>
                <c:pt idx="341">
                  <c:v>43983</c:v>
                </c:pt>
                <c:pt idx="342">
                  <c:v>44013</c:v>
                </c:pt>
                <c:pt idx="343">
                  <c:v>44044</c:v>
                </c:pt>
                <c:pt idx="344">
                  <c:v>44075</c:v>
                </c:pt>
                <c:pt idx="345">
                  <c:v>44105</c:v>
                </c:pt>
                <c:pt idx="346">
                  <c:v>44136</c:v>
                </c:pt>
                <c:pt idx="347">
                  <c:v>44166</c:v>
                </c:pt>
                <c:pt idx="348">
                  <c:v>44197</c:v>
                </c:pt>
                <c:pt idx="349">
                  <c:v>44228</c:v>
                </c:pt>
                <c:pt idx="350">
                  <c:v>44256</c:v>
                </c:pt>
                <c:pt idx="351">
                  <c:v>44287</c:v>
                </c:pt>
                <c:pt idx="352">
                  <c:v>44317</c:v>
                </c:pt>
                <c:pt idx="353">
                  <c:v>44348</c:v>
                </c:pt>
                <c:pt idx="354">
                  <c:v>44378</c:v>
                </c:pt>
                <c:pt idx="355">
                  <c:v>44409</c:v>
                </c:pt>
              </c:numCache>
            </c:numRef>
          </c:cat>
          <c:val>
            <c:numRef>
              <c:f>'Retail Sales ex Auto and Gas'!$B$7:$B$362</c:f>
              <c:numCache>
                <c:formatCode>#,##0</c:formatCode>
                <c:ptCount val="356"/>
                <c:pt idx="0">
                  <c:v>117814</c:v>
                </c:pt>
                <c:pt idx="1">
                  <c:v>117795</c:v>
                </c:pt>
                <c:pt idx="2">
                  <c:v>117746</c:v>
                </c:pt>
                <c:pt idx="3">
                  <c:v>118223</c:v>
                </c:pt>
                <c:pt idx="4">
                  <c:v>118385</c:v>
                </c:pt>
                <c:pt idx="5">
                  <c:v>118410</c:v>
                </c:pt>
                <c:pt idx="6">
                  <c:v>119092</c:v>
                </c:pt>
                <c:pt idx="7">
                  <c:v>120123</c:v>
                </c:pt>
                <c:pt idx="8">
                  <c:v>120264</c:v>
                </c:pt>
                <c:pt idx="9">
                  <c:v>121349</c:v>
                </c:pt>
                <c:pt idx="10">
                  <c:v>121717</c:v>
                </c:pt>
                <c:pt idx="11">
                  <c:v>123358</c:v>
                </c:pt>
                <c:pt idx="12">
                  <c:v>124089</c:v>
                </c:pt>
                <c:pt idx="13">
                  <c:v>123425</c:v>
                </c:pt>
                <c:pt idx="14">
                  <c:v>122864</c:v>
                </c:pt>
                <c:pt idx="15">
                  <c:v>124689</c:v>
                </c:pt>
                <c:pt idx="16">
                  <c:v>125899</c:v>
                </c:pt>
                <c:pt idx="17">
                  <c:v>125804</c:v>
                </c:pt>
                <c:pt idx="18">
                  <c:v>126951</c:v>
                </c:pt>
                <c:pt idx="19">
                  <c:v>126831</c:v>
                </c:pt>
                <c:pt idx="20">
                  <c:v>128154</c:v>
                </c:pt>
                <c:pt idx="21">
                  <c:v>128272</c:v>
                </c:pt>
                <c:pt idx="22">
                  <c:v>128916</c:v>
                </c:pt>
                <c:pt idx="23">
                  <c:v>129976</c:v>
                </c:pt>
                <c:pt idx="24">
                  <c:v>128826</c:v>
                </c:pt>
                <c:pt idx="25">
                  <c:v>130514</c:v>
                </c:pt>
                <c:pt idx="26">
                  <c:v>133193</c:v>
                </c:pt>
                <c:pt idx="27">
                  <c:v>132700</c:v>
                </c:pt>
                <c:pt idx="28">
                  <c:v>133058</c:v>
                </c:pt>
                <c:pt idx="29">
                  <c:v>134530</c:v>
                </c:pt>
                <c:pt idx="30">
                  <c:v>134944</c:v>
                </c:pt>
                <c:pt idx="31">
                  <c:v>136246</c:v>
                </c:pt>
                <c:pt idx="32">
                  <c:v>136802</c:v>
                </c:pt>
                <c:pt idx="33">
                  <c:v>137821</c:v>
                </c:pt>
                <c:pt idx="34">
                  <c:v>137650</c:v>
                </c:pt>
                <c:pt idx="35">
                  <c:v>138876</c:v>
                </c:pt>
                <c:pt idx="36">
                  <c:v>139434</c:v>
                </c:pt>
                <c:pt idx="37">
                  <c:v>137534</c:v>
                </c:pt>
                <c:pt idx="38">
                  <c:v>138645</c:v>
                </c:pt>
                <c:pt idx="39">
                  <c:v>138955</c:v>
                </c:pt>
                <c:pt idx="40">
                  <c:v>140053</c:v>
                </c:pt>
                <c:pt idx="41">
                  <c:v>140515</c:v>
                </c:pt>
                <c:pt idx="42">
                  <c:v>140839</c:v>
                </c:pt>
                <c:pt idx="43">
                  <c:v>141546</c:v>
                </c:pt>
                <c:pt idx="44">
                  <c:v>142624</c:v>
                </c:pt>
                <c:pt idx="45">
                  <c:v>141898</c:v>
                </c:pt>
                <c:pt idx="46">
                  <c:v>143820</c:v>
                </c:pt>
                <c:pt idx="47">
                  <c:v>144990</c:v>
                </c:pt>
                <c:pt idx="48">
                  <c:v>142871</c:v>
                </c:pt>
                <c:pt idx="49">
                  <c:v>144263</c:v>
                </c:pt>
                <c:pt idx="50">
                  <c:v>145592</c:v>
                </c:pt>
                <c:pt idx="51">
                  <c:v>146893</c:v>
                </c:pt>
                <c:pt idx="52">
                  <c:v>147611</c:v>
                </c:pt>
                <c:pt idx="53">
                  <c:v>147918</c:v>
                </c:pt>
                <c:pt idx="54">
                  <c:v>148253</c:v>
                </c:pt>
                <c:pt idx="55">
                  <c:v>148820</c:v>
                </c:pt>
                <c:pt idx="56">
                  <c:v>149984</c:v>
                </c:pt>
                <c:pt idx="57">
                  <c:v>151250</c:v>
                </c:pt>
                <c:pt idx="58">
                  <c:v>151651</c:v>
                </c:pt>
                <c:pt idx="59">
                  <c:v>152397</c:v>
                </c:pt>
                <c:pt idx="60">
                  <c:v>152533</c:v>
                </c:pt>
                <c:pt idx="61">
                  <c:v>153837</c:v>
                </c:pt>
                <c:pt idx="62">
                  <c:v>154959</c:v>
                </c:pt>
                <c:pt idx="63">
                  <c:v>154141</c:v>
                </c:pt>
                <c:pt idx="64">
                  <c:v>154371</c:v>
                </c:pt>
                <c:pt idx="65">
                  <c:v>155613</c:v>
                </c:pt>
                <c:pt idx="66">
                  <c:v>157052</c:v>
                </c:pt>
                <c:pt idx="67">
                  <c:v>157139</c:v>
                </c:pt>
                <c:pt idx="68">
                  <c:v>158221</c:v>
                </c:pt>
                <c:pt idx="69">
                  <c:v>158269</c:v>
                </c:pt>
                <c:pt idx="70">
                  <c:v>158488</c:v>
                </c:pt>
                <c:pt idx="71">
                  <c:v>158882</c:v>
                </c:pt>
                <c:pt idx="72">
                  <c:v>159868</c:v>
                </c:pt>
                <c:pt idx="73">
                  <c:v>160789</c:v>
                </c:pt>
                <c:pt idx="74">
                  <c:v>161245</c:v>
                </c:pt>
                <c:pt idx="75">
                  <c:v>162724</c:v>
                </c:pt>
                <c:pt idx="76">
                  <c:v>163136</c:v>
                </c:pt>
                <c:pt idx="77">
                  <c:v>163774</c:v>
                </c:pt>
                <c:pt idx="78">
                  <c:v>165004</c:v>
                </c:pt>
                <c:pt idx="79">
                  <c:v>165531</c:v>
                </c:pt>
                <c:pt idx="80">
                  <c:v>165542</c:v>
                </c:pt>
                <c:pt idx="81">
                  <c:v>167307</c:v>
                </c:pt>
                <c:pt idx="82">
                  <c:v>168460</c:v>
                </c:pt>
                <c:pt idx="83">
                  <c:v>169658</c:v>
                </c:pt>
                <c:pt idx="84">
                  <c:v>169939</c:v>
                </c:pt>
                <c:pt idx="85">
                  <c:v>171951</c:v>
                </c:pt>
                <c:pt idx="86">
                  <c:v>172497</c:v>
                </c:pt>
                <c:pt idx="87">
                  <c:v>173212</c:v>
                </c:pt>
                <c:pt idx="88">
                  <c:v>174338</c:v>
                </c:pt>
                <c:pt idx="89">
                  <c:v>174927</c:v>
                </c:pt>
                <c:pt idx="90">
                  <c:v>175243</c:v>
                </c:pt>
                <c:pt idx="91">
                  <c:v>176382</c:v>
                </c:pt>
                <c:pt idx="92">
                  <c:v>177828</c:v>
                </c:pt>
                <c:pt idx="93">
                  <c:v>178667</c:v>
                </c:pt>
                <c:pt idx="94">
                  <c:v>179704</c:v>
                </c:pt>
                <c:pt idx="95">
                  <c:v>183859</c:v>
                </c:pt>
                <c:pt idx="96">
                  <c:v>181007</c:v>
                </c:pt>
                <c:pt idx="97">
                  <c:v>182721</c:v>
                </c:pt>
                <c:pt idx="98">
                  <c:v>185940</c:v>
                </c:pt>
                <c:pt idx="99">
                  <c:v>185327</c:v>
                </c:pt>
                <c:pt idx="100">
                  <c:v>185371</c:v>
                </c:pt>
                <c:pt idx="101">
                  <c:v>185899</c:v>
                </c:pt>
                <c:pt idx="102">
                  <c:v>186520</c:v>
                </c:pt>
                <c:pt idx="103">
                  <c:v>187033</c:v>
                </c:pt>
                <c:pt idx="104">
                  <c:v>189371</c:v>
                </c:pt>
                <c:pt idx="105">
                  <c:v>189307</c:v>
                </c:pt>
                <c:pt idx="106">
                  <c:v>189478</c:v>
                </c:pt>
                <c:pt idx="107">
                  <c:v>190143</c:v>
                </c:pt>
                <c:pt idx="108">
                  <c:v>190977</c:v>
                </c:pt>
                <c:pt idx="109">
                  <c:v>190970</c:v>
                </c:pt>
                <c:pt idx="110">
                  <c:v>190127</c:v>
                </c:pt>
                <c:pt idx="111">
                  <c:v>192257</c:v>
                </c:pt>
                <c:pt idx="112">
                  <c:v>191829</c:v>
                </c:pt>
                <c:pt idx="113">
                  <c:v>191763</c:v>
                </c:pt>
                <c:pt idx="114">
                  <c:v>192751</c:v>
                </c:pt>
                <c:pt idx="115">
                  <c:v>194185</c:v>
                </c:pt>
                <c:pt idx="116">
                  <c:v>190819</c:v>
                </c:pt>
                <c:pt idx="117">
                  <c:v>194052</c:v>
                </c:pt>
                <c:pt idx="118">
                  <c:v>195453</c:v>
                </c:pt>
                <c:pt idx="119">
                  <c:v>196535</c:v>
                </c:pt>
                <c:pt idx="120">
                  <c:v>196713</c:v>
                </c:pt>
                <c:pt idx="121">
                  <c:v>197818</c:v>
                </c:pt>
                <c:pt idx="122">
                  <c:v>197879</c:v>
                </c:pt>
                <c:pt idx="123">
                  <c:v>199726</c:v>
                </c:pt>
                <c:pt idx="124">
                  <c:v>198959</c:v>
                </c:pt>
                <c:pt idx="125">
                  <c:v>199285</c:v>
                </c:pt>
                <c:pt idx="126">
                  <c:v>199003</c:v>
                </c:pt>
                <c:pt idx="127">
                  <c:v>199264</c:v>
                </c:pt>
                <c:pt idx="128">
                  <c:v>199072</c:v>
                </c:pt>
                <c:pt idx="129">
                  <c:v>200364</c:v>
                </c:pt>
                <c:pt idx="130">
                  <c:v>201544</c:v>
                </c:pt>
                <c:pt idx="131">
                  <c:v>201689</c:v>
                </c:pt>
                <c:pt idx="132">
                  <c:v>202502</c:v>
                </c:pt>
                <c:pt idx="133">
                  <c:v>200747</c:v>
                </c:pt>
                <c:pt idx="134">
                  <c:v>203729</c:v>
                </c:pt>
                <c:pt idx="135">
                  <c:v>203439</c:v>
                </c:pt>
                <c:pt idx="136">
                  <c:v>204940</c:v>
                </c:pt>
                <c:pt idx="137">
                  <c:v>207524</c:v>
                </c:pt>
                <c:pt idx="138">
                  <c:v>209502</c:v>
                </c:pt>
                <c:pt idx="139">
                  <c:v>211817</c:v>
                </c:pt>
                <c:pt idx="140">
                  <c:v>211535</c:v>
                </c:pt>
                <c:pt idx="141">
                  <c:v>212278</c:v>
                </c:pt>
                <c:pt idx="142">
                  <c:v>213317</c:v>
                </c:pt>
                <c:pt idx="143">
                  <c:v>213310</c:v>
                </c:pt>
                <c:pt idx="144">
                  <c:v>215095</c:v>
                </c:pt>
                <c:pt idx="145">
                  <c:v>215044</c:v>
                </c:pt>
                <c:pt idx="146">
                  <c:v>219096</c:v>
                </c:pt>
                <c:pt idx="147">
                  <c:v>218034</c:v>
                </c:pt>
                <c:pt idx="148">
                  <c:v>219132</c:v>
                </c:pt>
                <c:pt idx="149">
                  <c:v>218917</c:v>
                </c:pt>
                <c:pt idx="150">
                  <c:v>220566</c:v>
                </c:pt>
                <c:pt idx="151">
                  <c:v>221060</c:v>
                </c:pt>
                <c:pt idx="152">
                  <c:v>222679</c:v>
                </c:pt>
                <c:pt idx="153">
                  <c:v>224226</c:v>
                </c:pt>
                <c:pt idx="154">
                  <c:v>225080</c:v>
                </c:pt>
                <c:pt idx="155">
                  <c:v>227441</c:v>
                </c:pt>
                <c:pt idx="156">
                  <c:v>228238</c:v>
                </c:pt>
                <c:pt idx="157">
                  <c:v>230238</c:v>
                </c:pt>
                <c:pt idx="158">
                  <c:v>229936</c:v>
                </c:pt>
                <c:pt idx="159">
                  <c:v>232925</c:v>
                </c:pt>
                <c:pt idx="160">
                  <c:v>232157</c:v>
                </c:pt>
                <c:pt idx="161">
                  <c:v>234470</c:v>
                </c:pt>
                <c:pt idx="162">
                  <c:v>233995</c:v>
                </c:pt>
                <c:pt idx="163">
                  <c:v>236121</c:v>
                </c:pt>
                <c:pt idx="164">
                  <c:v>237213</c:v>
                </c:pt>
                <c:pt idx="165">
                  <c:v>240333</c:v>
                </c:pt>
                <c:pt idx="166">
                  <c:v>240929</c:v>
                </c:pt>
                <c:pt idx="167">
                  <c:v>240919</c:v>
                </c:pt>
                <c:pt idx="168">
                  <c:v>246276</c:v>
                </c:pt>
                <c:pt idx="169">
                  <c:v>246424</c:v>
                </c:pt>
                <c:pt idx="170">
                  <c:v>246861</c:v>
                </c:pt>
                <c:pt idx="171">
                  <c:v>246879</c:v>
                </c:pt>
                <c:pt idx="172">
                  <c:v>246464</c:v>
                </c:pt>
                <c:pt idx="173">
                  <c:v>246282</c:v>
                </c:pt>
                <c:pt idx="174">
                  <c:v>246079</c:v>
                </c:pt>
                <c:pt idx="175">
                  <c:v>247808</c:v>
                </c:pt>
                <c:pt idx="176">
                  <c:v>249447</c:v>
                </c:pt>
                <c:pt idx="177">
                  <c:v>250103</c:v>
                </c:pt>
                <c:pt idx="178">
                  <c:v>249880</c:v>
                </c:pt>
                <c:pt idx="179">
                  <c:v>253397</c:v>
                </c:pt>
                <c:pt idx="180">
                  <c:v>253973</c:v>
                </c:pt>
                <c:pt idx="181">
                  <c:v>253233</c:v>
                </c:pt>
                <c:pt idx="182">
                  <c:v>255687</c:v>
                </c:pt>
                <c:pt idx="183">
                  <c:v>253632</c:v>
                </c:pt>
                <c:pt idx="184">
                  <c:v>255752</c:v>
                </c:pt>
                <c:pt idx="185">
                  <c:v>256050</c:v>
                </c:pt>
                <c:pt idx="186">
                  <c:v>257719</c:v>
                </c:pt>
                <c:pt idx="187">
                  <c:v>257586</c:v>
                </c:pt>
                <c:pt idx="188">
                  <c:v>257483</c:v>
                </c:pt>
                <c:pt idx="189">
                  <c:v>258365</c:v>
                </c:pt>
                <c:pt idx="190">
                  <c:v>260954</c:v>
                </c:pt>
                <c:pt idx="191">
                  <c:v>259360</c:v>
                </c:pt>
                <c:pt idx="192">
                  <c:v>258979</c:v>
                </c:pt>
                <c:pt idx="193">
                  <c:v>257123</c:v>
                </c:pt>
                <c:pt idx="194">
                  <c:v>257927</c:v>
                </c:pt>
                <c:pt idx="195">
                  <c:v>259587</c:v>
                </c:pt>
                <c:pt idx="196">
                  <c:v>262549</c:v>
                </c:pt>
                <c:pt idx="197">
                  <c:v>262747</c:v>
                </c:pt>
                <c:pt idx="198">
                  <c:v>263828</c:v>
                </c:pt>
                <c:pt idx="199">
                  <c:v>261654</c:v>
                </c:pt>
                <c:pt idx="200">
                  <c:v>258403</c:v>
                </c:pt>
                <c:pt idx="201">
                  <c:v>255767</c:v>
                </c:pt>
                <c:pt idx="202">
                  <c:v>252590</c:v>
                </c:pt>
                <c:pt idx="203">
                  <c:v>249969</c:v>
                </c:pt>
                <c:pt idx="204">
                  <c:v>252321</c:v>
                </c:pt>
                <c:pt idx="205">
                  <c:v>251528</c:v>
                </c:pt>
                <c:pt idx="206">
                  <c:v>247822</c:v>
                </c:pt>
                <c:pt idx="207">
                  <c:v>249048</c:v>
                </c:pt>
                <c:pt idx="208">
                  <c:v>249679</c:v>
                </c:pt>
                <c:pt idx="209">
                  <c:v>249897</c:v>
                </c:pt>
                <c:pt idx="210">
                  <c:v>249703</c:v>
                </c:pt>
                <c:pt idx="211">
                  <c:v>249747</c:v>
                </c:pt>
                <c:pt idx="212">
                  <c:v>250173</c:v>
                </c:pt>
                <c:pt idx="213">
                  <c:v>250300</c:v>
                </c:pt>
                <c:pt idx="214">
                  <c:v>250447</c:v>
                </c:pt>
                <c:pt idx="215">
                  <c:v>251811</c:v>
                </c:pt>
                <c:pt idx="216">
                  <c:v>251861</c:v>
                </c:pt>
                <c:pt idx="217">
                  <c:v>254089</c:v>
                </c:pt>
                <c:pt idx="218">
                  <c:v>256322</c:v>
                </c:pt>
                <c:pt idx="219">
                  <c:v>258318</c:v>
                </c:pt>
                <c:pt idx="220">
                  <c:v>256070</c:v>
                </c:pt>
                <c:pt idx="221">
                  <c:v>256754</c:v>
                </c:pt>
                <c:pt idx="222">
                  <c:v>256281</c:v>
                </c:pt>
                <c:pt idx="223">
                  <c:v>257970</c:v>
                </c:pt>
                <c:pt idx="224">
                  <c:v>258848</c:v>
                </c:pt>
                <c:pt idx="225">
                  <c:v>260130</c:v>
                </c:pt>
                <c:pt idx="226">
                  <c:v>262671</c:v>
                </c:pt>
                <c:pt idx="227">
                  <c:v>262619</c:v>
                </c:pt>
                <c:pt idx="228">
                  <c:v>263993</c:v>
                </c:pt>
                <c:pt idx="229">
                  <c:v>265478</c:v>
                </c:pt>
                <c:pt idx="230">
                  <c:v>267185</c:v>
                </c:pt>
                <c:pt idx="231">
                  <c:v>269187</c:v>
                </c:pt>
                <c:pt idx="232">
                  <c:v>269142</c:v>
                </c:pt>
                <c:pt idx="233">
                  <c:v>271758</c:v>
                </c:pt>
                <c:pt idx="234">
                  <c:v>271713</c:v>
                </c:pt>
                <c:pt idx="235">
                  <c:v>273072</c:v>
                </c:pt>
                <c:pt idx="236">
                  <c:v>273611</c:v>
                </c:pt>
                <c:pt idx="237">
                  <c:v>275360</c:v>
                </c:pt>
                <c:pt idx="238">
                  <c:v>275696</c:v>
                </c:pt>
                <c:pt idx="239">
                  <c:v>274832</c:v>
                </c:pt>
                <c:pt idx="240">
                  <c:v>278248</c:v>
                </c:pt>
                <c:pt idx="241">
                  <c:v>280569</c:v>
                </c:pt>
                <c:pt idx="242">
                  <c:v>281469</c:v>
                </c:pt>
                <c:pt idx="243">
                  <c:v>280264</c:v>
                </c:pt>
                <c:pt idx="244">
                  <c:v>279884</c:v>
                </c:pt>
                <c:pt idx="245">
                  <c:v>279553</c:v>
                </c:pt>
                <c:pt idx="246">
                  <c:v>280958</c:v>
                </c:pt>
                <c:pt idx="247">
                  <c:v>281851</c:v>
                </c:pt>
                <c:pt idx="248">
                  <c:v>283253</c:v>
                </c:pt>
                <c:pt idx="249">
                  <c:v>282910</c:v>
                </c:pt>
                <c:pt idx="250">
                  <c:v>284736</c:v>
                </c:pt>
                <c:pt idx="251">
                  <c:v>286273</c:v>
                </c:pt>
                <c:pt idx="252">
                  <c:v>288412</c:v>
                </c:pt>
                <c:pt idx="253">
                  <c:v>289292</c:v>
                </c:pt>
                <c:pt idx="254">
                  <c:v>288595</c:v>
                </c:pt>
                <c:pt idx="255">
                  <c:v>287679</c:v>
                </c:pt>
                <c:pt idx="256">
                  <c:v>288998</c:v>
                </c:pt>
                <c:pt idx="257">
                  <c:v>288597</c:v>
                </c:pt>
                <c:pt idx="258">
                  <c:v>290883</c:v>
                </c:pt>
                <c:pt idx="259">
                  <c:v>290634</c:v>
                </c:pt>
                <c:pt idx="260">
                  <c:v>291901</c:v>
                </c:pt>
                <c:pt idx="261">
                  <c:v>293033</c:v>
                </c:pt>
                <c:pt idx="262">
                  <c:v>294113</c:v>
                </c:pt>
                <c:pt idx="263">
                  <c:v>295226</c:v>
                </c:pt>
                <c:pt idx="264">
                  <c:v>292777</c:v>
                </c:pt>
                <c:pt idx="265">
                  <c:v>295914</c:v>
                </c:pt>
                <c:pt idx="266">
                  <c:v>298284</c:v>
                </c:pt>
                <c:pt idx="267">
                  <c:v>300922</c:v>
                </c:pt>
                <c:pt idx="268">
                  <c:v>301869</c:v>
                </c:pt>
                <c:pt idx="269">
                  <c:v>303804</c:v>
                </c:pt>
                <c:pt idx="270">
                  <c:v>304038</c:v>
                </c:pt>
                <c:pt idx="271">
                  <c:v>306590</c:v>
                </c:pt>
                <c:pt idx="272">
                  <c:v>306892</c:v>
                </c:pt>
                <c:pt idx="273">
                  <c:v>308897</c:v>
                </c:pt>
                <c:pt idx="274">
                  <c:v>310080</c:v>
                </c:pt>
                <c:pt idx="275">
                  <c:v>311112</c:v>
                </c:pt>
                <c:pt idx="276">
                  <c:v>311382</c:v>
                </c:pt>
                <c:pt idx="277">
                  <c:v>310754</c:v>
                </c:pt>
                <c:pt idx="278">
                  <c:v>312970</c:v>
                </c:pt>
                <c:pt idx="279">
                  <c:v>313571</c:v>
                </c:pt>
                <c:pt idx="280">
                  <c:v>314947</c:v>
                </c:pt>
                <c:pt idx="281">
                  <c:v>315051</c:v>
                </c:pt>
                <c:pt idx="282">
                  <c:v>317562</c:v>
                </c:pt>
                <c:pt idx="283">
                  <c:v>318091</c:v>
                </c:pt>
                <c:pt idx="284">
                  <c:v>318082</c:v>
                </c:pt>
                <c:pt idx="285">
                  <c:v>317805</c:v>
                </c:pt>
                <c:pt idx="286">
                  <c:v>319063</c:v>
                </c:pt>
                <c:pt idx="287">
                  <c:v>321344</c:v>
                </c:pt>
                <c:pt idx="288">
                  <c:v>320203</c:v>
                </c:pt>
                <c:pt idx="289">
                  <c:v>323905</c:v>
                </c:pt>
                <c:pt idx="290">
                  <c:v>323071</c:v>
                </c:pt>
                <c:pt idx="291">
                  <c:v>323590</c:v>
                </c:pt>
                <c:pt idx="292">
                  <c:v>324289</c:v>
                </c:pt>
                <c:pt idx="293">
                  <c:v>327033</c:v>
                </c:pt>
                <c:pt idx="294">
                  <c:v>325311</c:v>
                </c:pt>
                <c:pt idx="295">
                  <c:v>326417</c:v>
                </c:pt>
                <c:pt idx="296">
                  <c:v>327184</c:v>
                </c:pt>
                <c:pt idx="297">
                  <c:v>327785</c:v>
                </c:pt>
                <c:pt idx="298">
                  <c:v>328217</c:v>
                </c:pt>
                <c:pt idx="299">
                  <c:v>329217</c:v>
                </c:pt>
                <c:pt idx="300">
                  <c:v>334193</c:v>
                </c:pt>
                <c:pt idx="301">
                  <c:v>334072</c:v>
                </c:pt>
                <c:pt idx="302">
                  <c:v>335515</c:v>
                </c:pt>
                <c:pt idx="303">
                  <c:v>337371</c:v>
                </c:pt>
                <c:pt idx="304">
                  <c:v>336090</c:v>
                </c:pt>
                <c:pt idx="305">
                  <c:v>337439</c:v>
                </c:pt>
                <c:pt idx="306">
                  <c:v>337493</c:v>
                </c:pt>
                <c:pt idx="307">
                  <c:v>339279</c:v>
                </c:pt>
                <c:pt idx="308">
                  <c:v>342616</c:v>
                </c:pt>
                <c:pt idx="309">
                  <c:v>342619</c:v>
                </c:pt>
                <c:pt idx="310">
                  <c:v>347389</c:v>
                </c:pt>
                <c:pt idx="311">
                  <c:v>349301</c:v>
                </c:pt>
                <c:pt idx="312">
                  <c:v>348453</c:v>
                </c:pt>
                <c:pt idx="313">
                  <c:v>350758</c:v>
                </c:pt>
                <c:pt idx="314">
                  <c:v>350632</c:v>
                </c:pt>
                <c:pt idx="315">
                  <c:v>352159</c:v>
                </c:pt>
                <c:pt idx="316">
                  <c:v>356316</c:v>
                </c:pt>
                <c:pt idx="317">
                  <c:v>355265</c:v>
                </c:pt>
                <c:pt idx="318">
                  <c:v>357605</c:v>
                </c:pt>
                <c:pt idx="319">
                  <c:v>357588</c:v>
                </c:pt>
                <c:pt idx="320">
                  <c:v>356859</c:v>
                </c:pt>
                <c:pt idx="321">
                  <c:v>360253</c:v>
                </c:pt>
                <c:pt idx="322">
                  <c:v>362555</c:v>
                </c:pt>
                <c:pt idx="323">
                  <c:v>353860</c:v>
                </c:pt>
                <c:pt idx="324">
                  <c:v>363338</c:v>
                </c:pt>
                <c:pt idx="325">
                  <c:v>360834</c:v>
                </c:pt>
                <c:pt idx="326">
                  <c:v>364418</c:v>
                </c:pt>
                <c:pt idx="327">
                  <c:v>366650</c:v>
                </c:pt>
                <c:pt idx="328">
                  <c:v>367975</c:v>
                </c:pt>
                <c:pt idx="329">
                  <c:v>370338</c:v>
                </c:pt>
                <c:pt idx="330">
                  <c:v>372369</c:v>
                </c:pt>
                <c:pt idx="331">
                  <c:v>373450</c:v>
                </c:pt>
                <c:pt idx="332">
                  <c:v>372355</c:v>
                </c:pt>
                <c:pt idx="333">
                  <c:v>373751</c:v>
                </c:pt>
                <c:pt idx="334">
                  <c:v>372985</c:v>
                </c:pt>
                <c:pt idx="335">
                  <c:v>374946</c:v>
                </c:pt>
                <c:pt idx="336">
                  <c:v>378573</c:v>
                </c:pt>
                <c:pt idx="337">
                  <c:v>378665</c:v>
                </c:pt>
                <c:pt idx="338">
                  <c:v>367684</c:v>
                </c:pt>
                <c:pt idx="339">
                  <c:v>315490</c:v>
                </c:pt>
                <c:pt idx="340">
                  <c:v>353737</c:v>
                </c:pt>
                <c:pt idx="341">
                  <c:v>381322</c:v>
                </c:pt>
                <c:pt idx="342">
                  <c:v>388073</c:v>
                </c:pt>
                <c:pt idx="343">
                  <c:v>391638</c:v>
                </c:pt>
                <c:pt idx="344">
                  <c:v>398145</c:v>
                </c:pt>
                <c:pt idx="345">
                  <c:v>398597</c:v>
                </c:pt>
                <c:pt idx="346">
                  <c:v>393908</c:v>
                </c:pt>
                <c:pt idx="347">
                  <c:v>382427</c:v>
                </c:pt>
                <c:pt idx="348">
                  <c:v>415492</c:v>
                </c:pt>
                <c:pt idx="349">
                  <c:v>402025</c:v>
                </c:pt>
                <c:pt idx="350">
                  <c:v>441234</c:v>
                </c:pt>
                <c:pt idx="351">
                  <c:v>441556</c:v>
                </c:pt>
                <c:pt idx="352">
                  <c:v>438636</c:v>
                </c:pt>
                <c:pt idx="353">
                  <c:v>445079</c:v>
                </c:pt>
                <c:pt idx="354">
                  <c:v>439055</c:v>
                </c:pt>
                <c:pt idx="355">
                  <c:v>447822</c:v>
                </c:pt>
              </c:numCache>
            </c:numRef>
          </c:val>
          <c:smooth val="0"/>
          <c:extLst>
            <c:ext xmlns:c16="http://schemas.microsoft.com/office/drawing/2014/chart" uri="{C3380CC4-5D6E-409C-BE32-E72D297353CC}">
              <c16:uniqueId val="{00000000-11D4-4560-9EA0-D3E22730A431}"/>
            </c:ext>
          </c:extLst>
        </c:ser>
        <c:dLbls>
          <c:showLegendKey val="0"/>
          <c:showVal val="0"/>
          <c:showCatName val="0"/>
          <c:showSerName val="0"/>
          <c:showPercent val="0"/>
          <c:showBubbleSize val="0"/>
        </c:dLbls>
        <c:smooth val="0"/>
        <c:axId val="1560528767"/>
        <c:axId val="1592998671"/>
      </c:lineChart>
      <c:dateAx>
        <c:axId val="1560528767"/>
        <c:scaling>
          <c:orientation val="minMax"/>
        </c:scaling>
        <c:delete val="0"/>
        <c:axPos val="b"/>
        <c:numFmt formatCode="[$-409]mmm\-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92998671"/>
        <c:crosses val="autoZero"/>
        <c:auto val="1"/>
        <c:lblOffset val="100"/>
        <c:baseTimeUnit val="months"/>
      </c:dateAx>
      <c:valAx>
        <c:axId val="1592998671"/>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60528767"/>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GB" b="1"/>
              <a:t>Retail Sales y/y %</a:t>
            </a:r>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2"/>
          <c:spPr>
            <a:ln w="28575" cap="rnd">
              <a:solidFill>
                <a:schemeClr val="accent3"/>
              </a:solidFill>
              <a:round/>
            </a:ln>
            <a:effectLst/>
          </c:spPr>
          <c:marker>
            <c:symbol val="none"/>
          </c:marker>
          <c:cat>
            <c:numRef>
              <c:f>'Retail Sales'!$A$7:$A$367</c:f>
              <c:numCache>
                <c:formatCode>[$-409]mmm\-yy;@</c:formatCode>
                <c:ptCount val="361"/>
                <c:pt idx="0">
                  <c:v>33604</c:v>
                </c:pt>
                <c:pt idx="1">
                  <c:v>33635</c:v>
                </c:pt>
                <c:pt idx="2">
                  <c:v>33664</c:v>
                </c:pt>
                <c:pt idx="3">
                  <c:v>33695</c:v>
                </c:pt>
                <c:pt idx="4">
                  <c:v>33725</c:v>
                </c:pt>
                <c:pt idx="5">
                  <c:v>33756</c:v>
                </c:pt>
                <c:pt idx="6">
                  <c:v>33786</c:v>
                </c:pt>
                <c:pt idx="7">
                  <c:v>33817</c:v>
                </c:pt>
                <c:pt idx="8">
                  <c:v>33848</c:v>
                </c:pt>
                <c:pt idx="9">
                  <c:v>33878</c:v>
                </c:pt>
                <c:pt idx="10">
                  <c:v>33909</c:v>
                </c:pt>
                <c:pt idx="11">
                  <c:v>33939</c:v>
                </c:pt>
                <c:pt idx="12">
                  <c:v>33970</c:v>
                </c:pt>
                <c:pt idx="13">
                  <c:v>34001</c:v>
                </c:pt>
                <c:pt idx="14">
                  <c:v>34029</c:v>
                </c:pt>
                <c:pt idx="15">
                  <c:v>34060</c:v>
                </c:pt>
                <c:pt idx="16">
                  <c:v>34090</c:v>
                </c:pt>
                <c:pt idx="17">
                  <c:v>34121</c:v>
                </c:pt>
                <c:pt idx="18">
                  <c:v>34151</c:v>
                </c:pt>
                <c:pt idx="19">
                  <c:v>34182</c:v>
                </c:pt>
                <c:pt idx="20">
                  <c:v>34213</c:v>
                </c:pt>
                <c:pt idx="21">
                  <c:v>34243</c:v>
                </c:pt>
                <c:pt idx="22">
                  <c:v>34274</c:v>
                </c:pt>
                <c:pt idx="23">
                  <c:v>34304</c:v>
                </c:pt>
                <c:pt idx="24">
                  <c:v>34335</c:v>
                </c:pt>
                <c:pt idx="25">
                  <c:v>34366</c:v>
                </c:pt>
                <c:pt idx="26">
                  <c:v>34394</c:v>
                </c:pt>
                <c:pt idx="27">
                  <c:v>34425</c:v>
                </c:pt>
                <c:pt idx="28">
                  <c:v>34455</c:v>
                </c:pt>
                <c:pt idx="29">
                  <c:v>34486</c:v>
                </c:pt>
                <c:pt idx="30">
                  <c:v>34516</c:v>
                </c:pt>
                <c:pt idx="31">
                  <c:v>34547</c:v>
                </c:pt>
                <c:pt idx="32">
                  <c:v>34578</c:v>
                </c:pt>
                <c:pt idx="33">
                  <c:v>34608</c:v>
                </c:pt>
                <c:pt idx="34">
                  <c:v>34639</c:v>
                </c:pt>
                <c:pt idx="35">
                  <c:v>34669</c:v>
                </c:pt>
                <c:pt idx="36">
                  <c:v>34700</c:v>
                </c:pt>
                <c:pt idx="37">
                  <c:v>34731</c:v>
                </c:pt>
                <c:pt idx="38">
                  <c:v>34759</c:v>
                </c:pt>
                <c:pt idx="39">
                  <c:v>34790</c:v>
                </c:pt>
                <c:pt idx="40">
                  <c:v>34820</c:v>
                </c:pt>
                <c:pt idx="41">
                  <c:v>34851</c:v>
                </c:pt>
                <c:pt idx="42">
                  <c:v>34881</c:v>
                </c:pt>
                <c:pt idx="43">
                  <c:v>34912</c:v>
                </c:pt>
                <c:pt idx="44">
                  <c:v>34943</c:v>
                </c:pt>
                <c:pt idx="45">
                  <c:v>34973</c:v>
                </c:pt>
                <c:pt idx="46">
                  <c:v>35004</c:v>
                </c:pt>
                <c:pt idx="47">
                  <c:v>35034</c:v>
                </c:pt>
                <c:pt idx="48">
                  <c:v>35065</c:v>
                </c:pt>
                <c:pt idx="49">
                  <c:v>35096</c:v>
                </c:pt>
                <c:pt idx="50">
                  <c:v>35125</c:v>
                </c:pt>
                <c:pt idx="51">
                  <c:v>35156</c:v>
                </c:pt>
                <c:pt idx="52">
                  <c:v>35186</c:v>
                </c:pt>
                <c:pt idx="53">
                  <c:v>35217</c:v>
                </c:pt>
                <c:pt idx="54">
                  <c:v>35247</c:v>
                </c:pt>
                <c:pt idx="55">
                  <c:v>35278</c:v>
                </c:pt>
                <c:pt idx="56">
                  <c:v>35309</c:v>
                </c:pt>
                <c:pt idx="57">
                  <c:v>35339</c:v>
                </c:pt>
                <c:pt idx="58">
                  <c:v>35370</c:v>
                </c:pt>
                <c:pt idx="59">
                  <c:v>35400</c:v>
                </c:pt>
                <c:pt idx="60">
                  <c:v>35431</c:v>
                </c:pt>
                <c:pt idx="61">
                  <c:v>35462</c:v>
                </c:pt>
                <c:pt idx="62">
                  <c:v>35490</c:v>
                </c:pt>
                <c:pt idx="63">
                  <c:v>35521</c:v>
                </c:pt>
                <c:pt idx="64">
                  <c:v>35551</c:v>
                </c:pt>
                <c:pt idx="65">
                  <c:v>35582</c:v>
                </c:pt>
                <c:pt idx="66">
                  <c:v>35612</c:v>
                </c:pt>
                <c:pt idx="67">
                  <c:v>35643</c:v>
                </c:pt>
                <c:pt idx="68">
                  <c:v>35674</c:v>
                </c:pt>
                <c:pt idx="69">
                  <c:v>35704</c:v>
                </c:pt>
                <c:pt idx="70">
                  <c:v>35735</c:v>
                </c:pt>
                <c:pt idx="71">
                  <c:v>35765</c:v>
                </c:pt>
                <c:pt idx="72">
                  <c:v>35796</c:v>
                </c:pt>
                <c:pt idx="73">
                  <c:v>35827</c:v>
                </c:pt>
                <c:pt idx="74">
                  <c:v>35855</c:v>
                </c:pt>
                <c:pt idx="75">
                  <c:v>35886</c:v>
                </c:pt>
                <c:pt idx="76">
                  <c:v>35916</c:v>
                </c:pt>
                <c:pt idx="77">
                  <c:v>35947</c:v>
                </c:pt>
                <c:pt idx="78">
                  <c:v>35977</c:v>
                </c:pt>
                <c:pt idx="79">
                  <c:v>36008</c:v>
                </c:pt>
                <c:pt idx="80">
                  <c:v>36039</c:v>
                </c:pt>
                <c:pt idx="81">
                  <c:v>36069</c:v>
                </c:pt>
                <c:pt idx="82">
                  <c:v>36100</c:v>
                </c:pt>
                <c:pt idx="83">
                  <c:v>36130</c:v>
                </c:pt>
                <c:pt idx="84">
                  <c:v>36161</c:v>
                </c:pt>
                <c:pt idx="85">
                  <c:v>36192</c:v>
                </c:pt>
                <c:pt idx="86">
                  <c:v>36220</c:v>
                </c:pt>
                <c:pt idx="87">
                  <c:v>36251</c:v>
                </c:pt>
                <c:pt idx="88">
                  <c:v>36281</c:v>
                </c:pt>
                <c:pt idx="89">
                  <c:v>36312</c:v>
                </c:pt>
                <c:pt idx="90">
                  <c:v>36342</c:v>
                </c:pt>
                <c:pt idx="91">
                  <c:v>36373</c:v>
                </c:pt>
                <c:pt idx="92">
                  <c:v>36404</c:v>
                </c:pt>
                <c:pt idx="93">
                  <c:v>36434</c:v>
                </c:pt>
                <c:pt idx="94">
                  <c:v>36465</c:v>
                </c:pt>
                <c:pt idx="95">
                  <c:v>36495</c:v>
                </c:pt>
                <c:pt idx="96">
                  <c:v>36526</c:v>
                </c:pt>
                <c:pt idx="97">
                  <c:v>36557</c:v>
                </c:pt>
                <c:pt idx="98">
                  <c:v>36586</c:v>
                </c:pt>
                <c:pt idx="99">
                  <c:v>36617</c:v>
                </c:pt>
                <c:pt idx="100">
                  <c:v>36647</c:v>
                </c:pt>
                <c:pt idx="101">
                  <c:v>36678</c:v>
                </c:pt>
                <c:pt idx="102">
                  <c:v>36708</c:v>
                </c:pt>
                <c:pt idx="103">
                  <c:v>36739</c:v>
                </c:pt>
                <c:pt idx="104">
                  <c:v>36770</c:v>
                </c:pt>
                <c:pt idx="105">
                  <c:v>36800</c:v>
                </c:pt>
                <c:pt idx="106">
                  <c:v>36831</c:v>
                </c:pt>
                <c:pt idx="107">
                  <c:v>36861</c:v>
                </c:pt>
                <c:pt idx="108">
                  <c:v>36892</c:v>
                </c:pt>
                <c:pt idx="109">
                  <c:v>36923</c:v>
                </c:pt>
                <c:pt idx="110">
                  <c:v>36951</c:v>
                </c:pt>
                <c:pt idx="111">
                  <c:v>36982</c:v>
                </c:pt>
                <c:pt idx="112">
                  <c:v>37012</c:v>
                </c:pt>
                <c:pt idx="113">
                  <c:v>37043</c:v>
                </c:pt>
                <c:pt idx="114">
                  <c:v>37073</c:v>
                </c:pt>
                <c:pt idx="115">
                  <c:v>37104</c:v>
                </c:pt>
                <c:pt idx="116">
                  <c:v>37135</c:v>
                </c:pt>
                <c:pt idx="117">
                  <c:v>37165</c:v>
                </c:pt>
                <c:pt idx="118">
                  <c:v>37196</c:v>
                </c:pt>
                <c:pt idx="119">
                  <c:v>37226</c:v>
                </c:pt>
                <c:pt idx="120">
                  <c:v>37257</c:v>
                </c:pt>
                <c:pt idx="121">
                  <c:v>37288</c:v>
                </c:pt>
                <c:pt idx="122">
                  <c:v>37316</c:v>
                </c:pt>
                <c:pt idx="123">
                  <c:v>37347</c:v>
                </c:pt>
                <c:pt idx="124">
                  <c:v>37377</c:v>
                </c:pt>
                <c:pt idx="125">
                  <c:v>37408</c:v>
                </c:pt>
                <c:pt idx="126">
                  <c:v>37438</c:v>
                </c:pt>
                <c:pt idx="127">
                  <c:v>37469</c:v>
                </c:pt>
                <c:pt idx="128">
                  <c:v>37500</c:v>
                </c:pt>
                <c:pt idx="129">
                  <c:v>37530</c:v>
                </c:pt>
                <c:pt idx="130">
                  <c:v>37561</c:v>
                </c:pt>
                <c:pt idx="131">
                  <c:v>37591</c:v>
                </c:pt>
                <c:pt idx="132">
                  <c:v>37622</c:v>
                </c:pt>
                <c:pt idx="133">
                  <c:v>37653</c:v>
                </c:pt>
                <c:pt idx="134">
                  <c:v>37681</c:v>
                </c:pt>
                <c:pt idx="135">
                  <c:v>37712</c:v>
                </c:pt>
                <c:pt idx="136">
                  <c:v>37742</c:v>
                </c:pt>
                <c:pt idx="137">
                  <c:v>37773</c:v>
                </c:pt>
                <c:pt idx="138">
                  <c:v>37803</c:v>
                </c:pt>
                <c:pt idx="139">
                  <c:v>37834</c:v>
                </c:pt>
                <c:pt idx="140">
                  <c:v>37865</c:v>
                </c:pt>
                <c:pt idx="141">
                  <c:v>37895</c:v>
                </c:pt>
                <c:pt idx="142">
                  <c:v>37926</c:v>
                </c:pt>
                <c:pt idx="143">
                  <c:v>37956</c:v>
                </c:pt>
                <c:pt idx="144">
                  <c:v>37987</c:v>
                </c:pt>
                <c:pt idx="145">
                  <c:v>38018</c:v>
                </c:pt>
                <c:pt idx="146">
                  <c:v>38047</c:v>
                </c:pt>
                <c:pt idx="147">
                  <c:v>38078</c:v>
                </c:pt>
                <c:pt idx="148">
                  <c:v>38108</c:v>
                </c:pt>
                <c:pt idx="149">
                  <c:v>38139</c:v>
                </c:pt>
                <c:pt idx="150">
                  <c:v>38169</c:v>
                </c:pt>
                <c:pt idx="151">
                  <c:v>38200</c:v>
                </c:pt>
                <c:pt idx="152">
                  <c:v>38231</c:v>
                </c:pt>
                <c:pt idx="153">
                  <c:v>38261</c:v>
                </c:pt>
                <c:pt idx="154">
                  <c:v>38292</c:v>
                </c:pt>
                <c:pt idx="155">
                  <c:v>38322</c:v>
                </c:pt>
                <c:pt idx="156">
                  <c:v>38353</c:v>
                </c:pt>
                <c:pt idx="157">
                  <c:v>38384</c:v>
                </c:pt>
                <c:pt idx="158">
                  <c:v>38412</c:v>
                </c:pt>
                <c:pt idx="159">
                  <c:v>38443</c:v>
                </c:pt>
                <c:pt idx="160">
                  <c:v>38473</c:v>
                </c:pt>
                <c:pt idx="161">
                  <c:v>38504</c:v>
                </c:pt>
                <c:pt idx="162">
                  <c:v>38534</c:v>
                </c:pt>
                <c:pt idx="163">
                  <c:v>38565</c:v>
                </c:pt>
                <c:pt idx="164">
                  <c:v>38596</c:v>
                </c:pt>
                <c:pt idx="165">
                  <c:v>38626</c:v>
                </c:pt>
                <c:pt idx="166">
                  <c:v>38657</c:v>
                </c:pt>
                <c:pt idx="167">
                  <c:v>38687</c:v>
                </c:pt>
                <c:pt idx="168">
                  <c:v>38718</c:v>
                </c:pt>
                <c:pt idx="169">
                  <c:v>38749</c:v>
                </c:pt>
                <c:pt idx="170">
                  <c:v>38777</c:v>
                </c:pt>
                <c:pt idx="171">
                  <c:v>38808</c:v>
                </c:pt>
                <c:pt idx="172">
                  <c:v>38838</c:v>
                </c:pt>
                <c:pt idx="173">
                  <c:v>38869</c:v>
                </c:pt>
                <c:pt idx="174">
                  <c:v>38899</c:v>
                </c:pt>
                <c:pt idx="175">
                  <c:v>38930</c:v>
                </c:pt>
                <c:pt idx="176">
                  <c:v>38961</c:v>
                </c:pt>
                <c:pt idx="177">
                  <c:v>38991</c:v>
                </c:pt>
                <c:pt idx="178">
                  <c:v>39022</c:v>
                </c:pt>
                <c:pt idx="179">
                  <c:v>39052</c:v>
                </c:pt>
                <c:pt idx="180">
                  <c:v>39083</c:v>
                </c:pt>
                <c:pt idx="181">
                  <c:v>39114</c:v>
                </c:pt>
                <c:pt idx="182">
                  <c:v>39142</c:v>
                </c:pt>
                <c:pt idx="183">
                  <c:v>39173</c:v>
                </c:pt>
                <c:pt idx="184">
                  <c:v>39203</c:v>
                </c:pt>
                <c:pt idx="185">
                  <c:v>39234</c:v>
                </c:pt>
                <c:pt idx="186">
                  <c:v>39264</c:v>
                </c:pt>
                <c:pt idx="187">
                  <c:v>39295</c:v>
                </c:pt>
                <c:pt idx="188">
                  <c:v>39326</c:v>
                </c:pt>
                <c:pt idx="189">
                  <c:v>39356</c:v>
                </c:pt>
                <c:pt idx="190">
                  <c:v>39387</c:v>
                </c:pt>
                <c:pt idx="191">
                  <c:v>39417</c:v>
                </c:pt>
                <c:pt idx="192">
                  <c:v>39448</c:v>
                </c:pt>
                <c:pt idx="193">
                  <c:v>39479</c:v>
                </c:pt>
                <c:pt idx="194">
                  <c:v>39508</c:v>
                </c:pt>
                <c:pt idx="195">
                  <c:v>39539</c:v>
                </c:pt>
                <c:pt idx="196">
                  <c:v>39569</c:v>
                </c:pt>
                <c:pt idx="197">
                  <c:v>39600</c:v>
                </c:pt>
                <c:pt idx="198">
                  <c:v>39630</c:v>
                </c:pt>
                <c:pt idx="199">
                  <c:v>39661</c:v>
                </c:pt>
                <c:pt idx="200">
                  <c:v>39692</c:v>
                </c:pt>
                <c:pt idx="201">
                  <c:v>39722</c:v>
                </c:pt>
                <c:pt idx="202">
                  <c:v>39753</c:v>
                </c:pt>
                <c:pt idx="203">
                  <c:v>39783</c:v>
                </c:pt>
                <c:pt idx="204">
                  <c:v>39814</c:v>
                </c:pt>
                <c:pt idx="205">
                  <c:v>39845</c:v>
                </c:pt>
                <c:pt idx="206">
                  <c:v>39873</c:v>
                </c:pt>
                <c:pt idx="207">
                  <c:v>39904</c:v>
                </c:pt>
                <c:pt idx="208">
                  <c:v>39934</c:v>
                </c:pt>
                <c:pt idx="209">
                  <c:v>39965</c:v>
                </c:pt>
                <c:pt idx="210">
                  <c:v>39995</c:v>
                </c:pt>
                <c:pt idx="211">
                  <c:v>40026</c:v>
                </c:pt>
                <c:pt idx="212">
                  <c:v>40057</c:v>
                </c:pt>
                <c:pt idx="213">
                  <c:v>40087</c:v>
                </c:pt>
                <c:pt idx="214">
                  <c:v>40118</c:v>
                </c:pt>
                <c:pt idx="215">
                  <c:v>40148</c:v>
                </c:pt>
                <c:pt idx="216">
                  <c:v>40179</c:v>
                </c:pt>
                <c:pt idx="217">
                  <c:v>40210</c:v>
                </c:pt>
                <c:pt idx="218">
                  <c:v>40238</c:v>
                </c:pt>
                <c:pt idx="219">
                  <c:v>40269</c:v>
                </c:pt>
                <c:pt idx="220">
                  <c:v>40299</c:v>
                </c:pt>
                <c:pt idx="221">
                  <c:v>40330</c:v>
                </c:pt>
                <c:pt idx="222">
                  <c:v>40360</c:v>
                </c:pt>
                <c:pt idx="223">
                  <c:v>40391</c:v>
                </c:pt>
                <c:pt idx="224">
                  <c:v>40422</c:v>
                </c:pt>
                <c:pt idx="225">
                  <c:v>40452</c:v>
                </c:pt>
                <c:pt idx="226">
                  <c:v>40483</c:v>
                </c:pt>
                <c:pt idx="227">
                  <c:v>40513</c:v>
                </c:pt>
                <c:pt idx="228">
                  <c:v>40544</c:v>
                </c:pt>
                <c:pt idx="229">
                  <c:v>40575</c:v>
                </c:pt>
                <c:pt idx="230">
                  <c:v>40603</c:v>
                </c:pt>
                <c:pt idx="231">
                  <c:v>40634</c:v>
                </c:pt>
                <c:pt idx="232">
                  <c:v>40664</c:v>
                </c:pt>
                <c:pt idx="233">
                  <c:v>40695</c:v>
                </c:pt>
                <c:pt idx="234">
                  <c:v>40725</c:v>
                </c:pt>
                <c:pt idx="235">
                  <c:v>40756</c:v>
                </c:pt>
                <c:pt idx="236">
                  <c:v>40787</c:v>
                </c:pt>
                <c:pt idx="237">
                  <c:v>40817</c:v>
                </c:pt>
                <c:pt idx="238">
                  <c:v>40848</c:v>
                </c:pt>
                <c:pt idx="239">
                  <c:v>40878</c:v>
                </c:pt>
                <c:pt idx="240">
                  <c:v>40909</c:v>
                </c:pt>
                <c:pt idx="241">
                  <c:v>40940</c:v>
                </c:pt>
                <c:pt idx="242">
                  <c:v>40969</c:v>
                </c:pt>
                <c:pt idx="243">
                  <c:v>41000</c:v>
                </c:pt>
                <c:pt idx="244">
                  <c:v>41030</c:v>
                </c:pt>
                <c:pt idx="245">
                  <c:v>41061</c:v>
                </c:pt>
                <c:pt idx="246">
                  <c:v>41091</c:v>
                </c:pt>
                <c:pt idx="247">
                  <c:v>41122</c:v>
                </c:pt>
                <c:pt idx="248">
                  <c:v>41153</c:v>
                </c:pt>
                <c:pt idx="249">
                  <c:v>41183</c:v>
                </c:pt>
                <c:pt idx="250">
                  <c:v>41214</c:v>
                </c:pt>
                <c:pt idx="251">
                  <c:v>41244</c:v>
                </c:pt>
                <c:pt idx="252">
                  <c:v>41275</c:v>
                </c:pt>
                <c:pt idx="253">
                  <c:v>41306</c:v>
                </c:pt>
                <c:pt idx="254">
                  <c:v>41334</c:v>
                </c:pt>
                <c:pt idx="255">
                  <c:v>41365</c:v>
                </c:pt>
                <c:pt idx="256">
                  <c:v>41395</c:v>
                </c:pt>
                <c:pt idx="257">
                  <c:v>41426</c:v>
                </c:pt>
                <c:pt idx="258">
                  <c:v>41456</c:v>
                </c:pt>
                <c:pt idx="259">
                  <c:v>41487</c:v>
                </c:pt>
                <c:pt idx="260">
                  <c:v>41518</c:v>
                </c:pt>
                <c:pt idx="261">
                  <c:v>41548</c:v>
                </c:pt>
                <c:pt idx="262">
                  <c:v>41579</c:v>
                </c:pt>
                <c:pt idx="263">
                  <c:v>41609</c:v>
                </c:pt>
                <c:pt idx="264">
                  <c:v>41640</c:v>
                </c:pt>
                <c:pt idx="265">
                  <c:v>41671</c:v>
                </c:pt>
                <c:pt idx="266">
                  <c:v>41699</c:v>
                </c:pt>
                <c:pt idx="267">
                  <c:v>41730</c:v>
                </c:pt>
                <c:pt idx="268">
                  <c:v>41760</c:v>
                </c:pt>
                <c:pt idx="269">
                  <c:v>41791</c:v>
                </c:pt>
                <c:pt idx="270">
                  <c:v>41821</c:v>
                </c:pt>
                <c:pt idx="271">
                  <c:v>41852</c:v>
                </c:pt>
                <c:pt idx="272">
                  <c:v>41883</c:v>
                </c:pt>
                <c:pt idx="273">
                  <c:v>41913</c:v>
                </c:pt>
                <c:pt idx="274">
                  <c:v>41944</c:v>
                </c:pt>
                <c:pt idx="275">
                  <c:v>41974</c:v>
                </c:pt>
                <c:pt idx="276">
                  <c:v>42005</c:v>
                </c:pt>
                <c:pt idx="277">
                  <c:v>42036</c:v>
                </c:pt>
                <c:pt idx="278">
                  <c:v>42064</c:v>
                </c:pt>
                <c:pt idx="279">
                  <c:v>42095</c:v>
                </c:pt>
                <c:pt idx="280">
                  <c:v>42125</c:v>
                </c:pt>
                <c:pt idx="281">
                  <c:v>42156</c:v>
                </c:pt>
                <c:pt idx="282">
                  <c:v>42186</c:v>
                </c:pt>
                <c:pt idx="283">
                  <c:v>42217</c:v>
                </c:pt>
                <c:pt idx="284">
                  <c:v>42248</c:v>
                </c:pt>
                <c:pt idx="285">
                  <c:v>42278</c:v>
                </c:pt>
                <c:pt idx="286">
                  <c:v>42309</c:v>
                </c:pt>
                <c:pt idx="287">
                  <c:v>42339</c:v>
                </c:pt>
                <c:pt idx="288">
                  <c:v>42370</c:v>
                </c:pt>
                <c:pt idx="289">
                  <c:v>42401</c:v>
                </c:pt>
                <c:pt idx="290">
                  <c:v>42430</c:v>
                </c:pt>
                <c:pt idx="291">
                  <c:v>42461</c:v>
                </c:pt>
                <c:pt idx="292">
                  <c:v>42491</c:v>
                </c:pt>
                <c:pt idx="293">
                  <c:v>42522</c:v>
                </c:pt>
                <c:pt idx="294">
                  <c:v>42552</c:v>
                </c:pt>
                <c:pt idx="295">
                  <c:v>42583</c:v>
                </c:pt>
                <c:pt idx="296">
                  <c:v>42614</c:v>
                </c:pt>
                <c:pt idx="297">
                  <c:v>42644</c:v>
                </c:pt>
                <c:pt idx="298">
                  <c:v>42675</c:v>
                </c:pt>
                <c:pt idx="299">
                  <c:v>42705</c:v>
                </c:pt>
                <c:pt idx="300">
                  <c:v>42736</c:v>
                </c:pt>
                <c:pt idx="301">
                  <c:v>42767</c:v>
                </c:pt>
                <c:pt idx="302">
                  <c:v>42795</c:v>
                </c:pt>
                <c:pt idx="303">
                  <c:v>42826</c:v>
                </c:pt>
                <c:pt idx="304">
                  <c:v>42856</c:v>
                </c:pt>
                <c:pt idx="305">
                  <c:v>42887</c:v>
                </c:pt>
                <c:pt idx="306">
                  <c:v>42917</c:v>
                </c:pt>
                <c:pt idx="307">
                  <c:v>42948</c:v>
                </c:pt>
                <c:pt idx="308">
                  <c:v>42979</c:v>
                </c:pt>
                <c:pt idx="309">
                  <c:v>43009</c:v>
                </c:pt>
                <c:pt idx="310">
                  <c:v>43040</c:v>
                </c:pt>
                <c:pt idx="311">
                  <c:v>43070</c:v>
                </c:pt>
                <c:pt idx="312">
                  <c:v>43101</c:v>
                </c:pt>
                <c:pt idx="313">
                  <c:v>43132</c:v>
                </c:pt>
                <c:pt idx="314">
                  <c:v>43160</c:v>
                </c:pt>
                <c:pt idx="315">
                  <c:v>43191</c:v>
                </c:pt>
                <c:pt idx="316">
                  <c:v>43221</c:v>
                </c:pt>
                <c:pt idx="317">
                  <c:v>43252</c:v>
                </c:pt>
                <c:pt idx="318">
                  <c:v>43282</c:v>
                </c:pt>
                <c:pt idx="319">
                  <c:v>43313</c:v>
                </c:pt>
                <c:pt idx="320">
                  <c:v>43344</c:v>
                </c:pt>
                <c:pt idx="321">
                  <c:v>43374</c:v>
                </c:pt>
                <c:pt idx="322">
                  <c:v>43405</c:v>
                </c:pt>
                <c:pt idx="323">
                  <c:v>43435</c:v>
                </c:pt>
                <c:pt idx="324">
                  <c:v>43466</c:v>
                </c:pt>
                <c:pt idx="325">
                  <c:v>43497</c:v>
                </c:pt>
                <c:pt idx="326">
                  <c:v>43525</c:v>
                </c:pt>
                <c:pt idx="327">
                  <c:v>43556</c:v>
                </c:pt>
                <c:pt idx="328">
                  <c:v>43586</c:v>
                </c:pt>
                <c:pt idx="329">
                  <c:v>43617</c:v>
                </c:pt>
                <c:pt idx="330">
                  <c:v>43647</c:v>
                </c:pt>
                <c:pt idx="331">
                  <c:v>43678</c:v>
                </c:pt>
                <c:pt idx="332">
                  <c:v>43709</c:v>
                </c:pt>
                <c:pt idx="333">
                  <c:v>43739</c:v>
                </c:pt>
                <c:pt idx="334">
                  <c:v>43770</c:v>
                </c:pt>
                <c:pt idx="335">
                  <c:v>43800</c:v>
                </c:pt>
                <c:pt idx="336">
                  <c:v>43831</c:v>
                </c:pt>
                <c:pt idx="337">
                  <c:v>43862</c:v>
                </c:pt>
                <c:pt idx="338">
                  <c:v>43891</c:v>
                </c:pt>
                <c:pt idx="339">
                  <c:v>43922</c:v>
                </c:pt>
                <c:pt idx="340">
                  <c:v>43952</c:v>
                </c:pt>
                <c:pt idx="341">
                  <c:v>43983</c:v>
                </c:pt>
                <c:pt idx="342">
                  <c:v>44013</c:v>
                </c:pt>
                <c:pt idx="343">
                  <c:v>44044</c:v>
                </c:pt>
                <c:pt idx="344">
                  <c:v>44075</c:v>
                </c:pt>
                <c:pt idx="345">
                  <c:v>44105</c:v>
                </c:pt>
                <c:pt idx="346">
                  <c:v>44136</c:v>
                </c:pt>
                <c:pt idx="347">
                  <c:v>44166</c:v>
                </c:pt>
                <c:pt idx="348">
                  <c:v>44197</c:v>
                </c:pt>
                <c:pt idx="349">
                  <c:v>44228</c:v>
                </c:pt>
                <c:pt idx="350">
                  <c:v>44256</c:v>
                </c:pt>
                <c:pt idx="351">
                  <c:v>44287</c:v>
                </c:pt>
                <c:pt idx="352">
                  <c:v>44317</c:v>
                </c:pt>
                <c:pt idx="353">
                  <c:v>44348</c:v>
                </c:pt>
                <c:pt idx="354">
                  <c:v>44378</c:v>
                </c:pt>
                <c:pt idx="355">
                  <c:v>44409</c:v>
                </c:pt>
              </c:numCache>
            </c:numRef>
          </c:cat>
          <c:val>
            <c:numRef>
              <c:f>'Retail Sales'!$D$7:$D$367</c:f>
              <c:numCache>
                <c:formatCode>General</c:formatCode>
                <c:ptCount val="361"/>
                <c:pt idx="12" formatCode="0.00%">
                  <c:v>6.7113562265760693E-2</c:v>
                </c:pt>
                <c:pt idx="13" formatCode="0.00%">
                  <c:v>5.8040471826225695E-2</c:v>
                </c:pt>
                <c:pt idx="14" formatCode="0.00%">
                  <c:v>5.2436767427513881E-2</c:v>
                </c:pt>
                <c:pt idx="15" formatCode="0.00%">
                  <c:v>7.3098616347619133E-2</c:v>
                </c:pt>
                <c:pt idx="16" formatCode="0.00%">
                  <c:v>7.7373620269062623E-2</c:v>
                </c:pt>
                <c:pt idx="17" formatCode="0.00%">
                  <c:v>7.2737344725639308E-2</c:v>
                </c:pt>
                <c:pt idx="18" formatCode="0.00%">
                  <c:v>8.0630407098058673E-2</c:v>
                </c:pt>
                <c:pt idx="19" formatCode="0.00%">
                  <c:v>7.6918951132300364E-2</c:v>
                </c:pt>
                <c:pt idx="20" formatCode="0.00%">
                  <c:v>7.3040141676505313E-2</c:v>
                </c:pt>
                <c:pt idx="21" formatCode="0.00%">
                  <c:v>7.1847619047619049E-2</c:v>
                </c:pt>
                <c:pt idx="22" formatCode="0.00%">
                  <c:v>8.0372858955690837E-2</c:v>
                </c:pt>
                <c:pt idx="23" formatCode="0.00%">
                  <c:v>7.6797319545940324E-2</c:v>
                </c:pt>
                <c:pt idx="24" formatCode="0.00%">
                  <c:v>5.7301779473239375E-2</c:v>
                </c:pt>
                <c:pt idx="25" formatCode="0.00%">
                  <c:v>8.2477668293581358E-2</c:v>
                </c:pt>
                <c:pt idx="26" formatCode="0.00%">
                  <c:v>0.11185333070235512</c:v>
                </c:pt>
                <c:pt idx="27" formatCode="0.00%">
                  <c:v>8.4243758097641286E-2</c:v>
                </c:pt>
                <c:pt idx="28" formatCode="0.00%">
                  <c:v>7.0073868158228067E-2</c:v>
                </c:pt>
                <c:pt idx="29" formatCode="0.00%">
                  <c:v>8.4043848964677217E-2</c:v>
                </c:pt>
                <c:pt idx="30" formatCode="0.00%">
                  <c:v>7.1925330441566196E-2</c:v>
                </c:pt>
                <c:pt idx="31" formatCode="0.00%">
                  <c:v>8.5530721001400051E-2</c:v>
                </c:pt>
                <c:pt idx="32" formatCode="0.00%">
                  <c:v>8.7977862498830953E-2</c:v>
                </c:pt>
                <c:pt idx="33" formatCode="0.00%">
                  <c:v>9.1243629841866972E-2</c:v>
                </c:pt>
                <c:pt idx="34" formatCode="0.00%">
                  <c:v>8.1105511862168259E-2</c:v>
                </c:pt>
                <c:pt idx="35" formatCode="0.00%">
                  <c:v>7.6733244277061574E-2</c:v>
                </c:pt>
                <c:pt idx="36" formatCode="0.00%">
                  <c:v>8.8748096056000259E-2</c:v>
                </c:pt>
                <c:pt idx="37" formatCode="0.00%">
                  <c:v>5.4898603741080639E-2</c:v>
                </c:pt>
                <c:pt idx="38" formatCode="0.00%">
                  <c:v>4.5245042515098213E-2</c:v>
                </c:pt>
                <c:pt idx="39" formatCode="0.00%">
                  <c:v>4.9014031590646996E-2</c:v>
                </c:pt>
                <c:pt idx="40" formatCode="0.00%">
                  <c:v>6.3149128733717766E-2</c:v>
                </c:pt>
                <c:pt idx="41" formatCode="0.00%">
                  <c:v>6.4050121679697619E-2</c:v>
                </c:pt>
                <c:pt idx="42" formatCode="0.00%">
                  <c:v>5.7689826213076084E-2</c:v>
                </c:pt>
                <c:pt idx="43" formatCode="0.00%">
                  <c:v>5.2803026054862541E-2</c:v>
                </c:pt>
                <c:pt idx="44" formatCode="0.00%">
                  <c:v>4.6727176193967587E-2</c:v>
                </c:pt>
                <c:pt idx="45" formatCode="0.00%">
                  <c:v>3.3095990900481535E-2</c:v>
                </c:pt>
                <c:pt idx="46" formatCode="0.00%">
                  <c:v>4.4725155333924127E-2</c:v>
                </c:pt>
                <c:pt idx="47" formatCode="0.00%">
                  <c:v>4.8315412900718481E-2</c:v>
                </c:pt>
                <c:pt idx="48" formatCode="0.00%">
                  <c:v>3.5351956859301592E-2</c:v>
                </c:pt>
                <c:pt idx="49" formatCode="0.00%">
                  <c:v>6.859409573636964E-2</c:v>
                </c:pt>
                <c:pt idx="50" formatCode="0.00%">
                  <c:v>6.8135852222505205E-2</c:v>
                </c:pt>
                <c:pt idx="51" formatCode="0.00%">
                  <c:v>6.7869791873930524E-2</c:v>
                </c:pt>
                <c:pt idx="52" formatCode="0.00%">
                  <c:v>6.558580394707024E-2</c:v>
                </c:pt>
                <c:pt idx="53" formatCode="0.00%">
                  <c:v>5.1425790754257905E-2</c:v>
                </c:pt>
                <c:pt idx="54" formatCode="0.00%">
                  <c:v>5.5690025375756395E-2</c:v>
                </c:pt>
                <c:pt idx="55" formatCode="0.00%">
                  <c:v>4.7631959945961914E-2</c:v>
                </c:pt>
                <c:pt idx="56" formatCode="0.00%">
                  <c:v>5.9177028685158888E-2</c:v>
                </c:pt>
                <c:pt idx="57" formatCode="0.00%">
                  <c:v>7.21907496507838E-2</c:v>
                </c:pt>
                <c:pt idx="58" formatCode="0.00%">
                  <c:v>5.8941647816585514E-2</c:v>
                </c:pt>
                <c:pt idx="59" formatCode="0.00%">
                  <c:v>5.5095318894101207E-2</c:v>
                </c:pt>
                <c:pt idx="60" formatCode="0.00%">
                  <c:v>7.0829280446959492E-2</c:v>
                </c:pt>
                <c:pt idx="61" formatCode="0.00%">
                  <c:v>6.3271197313308936E-2</c:v>
                </c:pt>
                <c:pt idx="62" formatCode="0.00%">
                  <c:v>5.7365667559644867E-2</c:v>
                </c:pt>
                <c:pt idx="63" formatCode="0.00%">
                  <c:v>4.6297676498537332E-2</c:v>
                </c:pt>
                <c:pt idx="64" formatCode="0.00%">
                  <c:v>3.0652014110097596E-2</c:v>
                </c:pt>
                <c:pt idx="65" formatCode="0.00%">
                  <c:v>4.6230816224521909E-2</c:v>
                </c:pt>
                <c:pt idx="66" formatCode="0.00%">
                  <c:v>5.7185252297394747E-2</c:v>
                </c:pt>
                <c:pt idx="67" formatCode="0.00%">
                  <c:v>5.9859122380498987E-2</c:v>
                </c:pt>
                <c:pt idx="68" formatCode="0.00%">
                  <c:v>5.0425073886233442E-2</c:v>
                </c:pt>
                <c:pt idx="69" formatCode="0.00%">
                  <c:v>3.9699629059983713E-2</c:v>
                </c:pt>
                <c:pt idx="70" formatCode="0.00%">
                  <c:v>4.2889533541814691E-2</c:v>
                </c:pt>
                <c:pt idx="71" formatCode="0.00%">
                  <c:v>4.1398074696721937E-2</c:v>
                </c:pt>
                <c:pt idx="72" formatCode="0.00%">
                  <c:v>3.6271539862449159E-2</c:v>
                </c:pt>
                <c:pt idx="73" formatCode="0.00%">
                  <c:v>2.7779010034513045E-2</c:v>
                </c:pt>
                <c:pt idx="74" formatCode="0.00%">
                  <c:v>3.0606514827932314E-2</c:v>
                </c:pt>
                <c:pt idx="75" formatCode="0.00%">
                  <c:v>5.0624401754112591E-2</c:v>
                </c:pt>
                <c:pt idx="76" formatCode="0.00%">
                  <c:v>6.3455180797473629E-2</c:v>
                </c:pt>
                <c:pt idx="77" formatCode="0.00%">
                  <c:v>5.7127184736592986E-2</c:v>
                </c:pt>
                <c:pt idx="78" formatCode="0.00%">
                  <c:v>3.8075582742683745E-2</c:v>
                </c:pt>
                <c:pt idx="79" formatCode="0.00%">
                  <c:v>3.0831759765207644E-2</c:v>
                </c:pt>
                <c:pt idx="80" formatCode="0.00%">
                  <c:v>3.5768870054534718E-2</c:v>
                </c:pt>
                <c:pt idx="81" formatCode="0.00%">
                  <c:v>5.5313353869715795E-2</c:v>
                </c:pt>
                <c:pt idx="82" formatCode="0.00%">
                  <c:v>6.0106752299947927E-2</c:v>
                </c:pt>
                <c:pt idx="83" formatCode="0.00%">
                  <c:v>6.6393864547692069E-2</c:v>
                </c:pt>
                <c:pt idx="84" formatCode="0.00%">
                  <c:v>6.5983841925496681E-2</c:v>
                </c:pt>
                <c:pt idx="85" formatCode="0.00%">
                  <c:v>7.698416809102053E-2</c:v>
                </c:pt>
                <c:pt idx="86" formatCode="0.00%">
                  <c:v>7.5440937348498174E-2</c:v>
                </c:pt>
                <c:pt idx="87" formatCode="0.00%">
                  <c:v>6.9881264142788127E-2</c:v>
                </c:pt>
                <c:pt idx="88" formatCode="0.00%">
                  <c:v>7.4491194769587682E-2</c:v>
                </c:pt>
                <c:pt idx="89" formatCode="0.00%">
                  <c:v>6.8953973494691831E-2</c:v>
                </c:pt>
                <c:pt idx="90" formatCode="0.00%">
                  <c:v>8.4431639646014717E-2</c:v>
                </c:pt>
                <c:pt idx="91" formatCode="0.00%">
                  <c:v>0.10090151832438583</c:v>
                </c:pt>
                <c:pt idx="92" formatCode="0.00%">
                  <c:v>9.5439111297421927E-2</c:v>
                </c:pt>
                <c:pt idx="93" formatCode="0.00%">
                  <c:v>7.9443741264651674E-2</c:v>
                </c:pt>
                <c:pt idx="94" formatCode="0.00%">
                  <c:v>8.4628578212050387E-2</c:v>
                </c:pt>
                <c:pt idx="95" formatCode="0.00%">
                  <c:v>9.464568206709123E-2</c:v>
                </c:pt>
                <c:pt idx="96" formatCode="0.00%">
                  <c:v>8.5778634735972262E-2</c:v>
                </c:pt>
                <c:pt idx="97" formatCode="0.00%">
                  <c:v>9.017313241423533E-2</c:v>
                </c:pt>
                <c:pt idx="98" formatCode="0.00%">
                  <c:v>9.7838965639673356E-2</c:v>
                </c:pt>
                <c:pt idx="99" formatCode="0.00%">
                  <c:v>7.3547293416826087E-2</c:v>
                </c:pt>
                <c:pt idx="100" formatCode="0.00%">
                  <c:v>6.539737374133904E-2</c:v>
                </c:pt>
                <c:pt idx="101" formatCode="0.00%">
                  <c:v>7.0358466856397947E-2</c:v>
                </c:pt>
                <c:pt idx="102" formatCode="0.00%">
                  <c:v>5.8938226337704305E-2</c:v>
                </c:pt>
                <c:pt idx="103" formatCode="0.00%">
                  <c:v>4.8756868923644468E-2</c:v>
                </c:pt>
                <c:pt idx="104" formatCode="0.00%">
                  <c:v>6.2112300386121068E-2</c:v>
                </c:pt>
                <c:pt idx="105" formatCode="0.00%">
                  <c:v>5.7708026186129295E-2</c:v>
                </c:pt>
                <c:pt idx="106" formatCode="0.00%">
                  <c:v>4.1756458400166056E-2</c:v>
                </c:pt>
                <c:pt idx="107" formatCode="0.00%">
                  <c:v>2.1966701622675208E-2</c:v>
                </c:pt>
                <c:pt idx="108" formatCode="0.00%">
                  <c:v>4.0254585068123142E-2</c:v>
                </c:pt>
                <c:pt idx="109" formatCode="0.00%">
                  <c:v>2.4825380486728919E-2</c:v>
                </c:pt>
                <c:pt idx="110" formatCode="0.00%">
                  <c:v>4.5713538184249539E-3</c:v>
                </c:pt>
                <c:pt idx="111" formatCode="0.00%">
                  <c:v>3.6016026799878989E-2</c:v>
                </c:pt>
                <c:pt idx="112" formatCode="0.00%">
                  <c:v>3.7222635725181842E-2</c:v>
                </c:pt>
                <c:pt idx="113" formatCode="0.00%">
                  <c:v>2.5524646882840445E-2</c:v>
                </c:pt>
                <c:pt idx="114" formatCode="0.00%">
                  <c:v>2.5213659538568755E-2</c:v>
                </c:pt>
                <c:pt idx="115" formatCode="0.00%">
                  <c:v>3.1126565488535016E-2</c:v>
                </c:pt>
                <c:pt idx="116" formatCode="0.00%">
                  <c:v>-5.2747632841886813E-3</c:v>
                </c:pt>
                <c:pt idx="117" formatCode="0.00%">
                  <c:v>6.3601598977347823E-2</c:v>
                </c:pt>
                <c:pt idx="118" formatCode="0.00%">
                  <c:v>4.0147955468447155E-2</c:v>
                </c:pt>
                <c:pt idx="119" formatCode="0.00%">
                  <c:v>2.869564271495444E-2</c:v>
                </c:pt>
                <c:pt idx="120" formatCode="0.00%">
                  <c:v>1.6762661655321805E-2</c:v>
                </c:pt>
                <c:pt idx="121" formatCode="0.00%">
                  <c:v>2.2530876376119637E-2</c:v>
                </c:pt>
                <c:pt idx="122" formatCode="0.00%">
                  <c:v>2.8258274552360282E-2</c:v>
                </c:pt>
                <c:pt idx="123" formatCode="0.00%">
                  <c:v>2.857824563402752E-2</c:v>
                </c:pt>
                <c:pt idx="124" formatCode="0.00%">
                  <c:v>1.2273709040270555E-2</c:v>
                </c:pt>
                <c:pt idx="125" formatCode="0.00%">
                  <c:v>2.4860824319456777E-2</c:v>
                </c:pt>
                <c:pt idx="126" formatCode="0.00%">
                  <c:v>3.892967542503864E-2</c:v>
                </c:pt>
                <c:pt idx="127" formatCode="0.00%">
                  <c:v>3.9930635755988528E-2</c:v>
                </c:pt>
                <c:pt idx="128" formatCode="0.00%">
                  <c:v>4.4645832427811824E-2</c:v>
                </c:pt>
                <c:pt idx="129" formatCode="0.00%">
                  <c:v>-1.6853398519725674E-2</c:v>
                </c:pt>
                <c:pt idx="130" formatCode="0.00%">
                  <c:v>1.523104304606929E-2</c:v>
                </c:pt>
                <c:pt idx="131" formatCode="0.00%">
                  <c:v>3.6100879434623992E-2</c:v>
                </c:pt>
                <c:pt idx="132" formatCode="0.00%">
                  <c:v>4.1409766214709993E-2</c:v>
                </c:pt>
                <c:pt idx="133" formatCode="0.00%">
                  <c:v>2.1445059532579792E-2</c:v>
                </c:pt>
                <c:pt idx="134" formatCode="0.00%">
                  <c:v>4.2436203220972205E-2</c:v>
                </c:pt>
                <c:pt idx="135" formatCode="0.00%">
                  <c:v>2.3428763333829584E-2</c:v>
                </c:pt>
                <c:pt idx="136" formatCode="0.00%">
                  <c:v>4.0213931518050472E-2</c:v>
                </c:pt>
                <c:pt idx="137" formatCode="0.00%">
                  <c:v>4.2641593474660025E-2</c:v>
                </c:pt>
                <c:pt idx="138" formatCode="0.00%">
                  <c:v>4.257106944229213E-2</c:v>
                </c:pt>
                <c:pt idx="139" formatCode="0.00%">
                  <c:v>5.1799077396207073E-2</c:v>
                </c:pt>
                <c:pt idx="140" formatCode="0.00%">
                  <c:v>6.0757255296279601E-2</c:v>
                </c:pt>
                <c:pt idx="141" formatCode="0.00%">
                  <c:v>5.2604497610299193E-2</c:v>
                </c:pt>
                <c:pt idx="142" formatCode="0.00%">
                  <c:v>5.8469761633571656E-2</c:v>
                </c:pt>
                <c:pt idx="143" formatCode="0.00%">
                  <c:v>4.5790567687372212E-2</c:v>
                </c:pt>
                <c:pt idx="144" formatCode="0.00%">
                  <c:v>4.7438085948084324E-2</c:v>
                </c:pt>
                <c:pt idx="145" formatCode="0.00%">
                  <c:v>6.9465289679118858E-2</c:v>
                </c:pt>
                <c:pt idx="146" formatCode="0.00%">
                  <c:v>6.947439466801654E-2</c:v>
                </c:pt>
                <c:pt idx="147" formatCode="0.00%">
                  <c:v>6.0595399188092015E-2</c:v>
                </c:pt>
                <c:pt idx="148" formatCode="0.00%">
                  <c:v>7.6090550251341052E-2</c:v>
                </c:pt>
                <c:pt idx="149" formatCode="0.00%">
                  <c:v>5.1170459172434971E-2</c:v>
                </c:pt>
                <c:pt idx="150" formatCode="0.00%">
                  <c:v>5.2195397477101342E-2</c:v>
                </c:pt>
                <c:pt idx="151" formatCode="0.00%">
                  <c:v>3.6282239960494983E-2</c:v>
                </c:pt>
                <c:pt idx="152" formatCode="0.00%">
                  <c:v>6.0915298447699336E-2</c:v>
                </c:pt>
                <c:pt idx="153" formatCode="0.00%">
                  <c:v>7.1949975230390179E-2</c:v>
                </c:pt>
                <c:pt idx="154" formatCode="0.00%">
                  <c:v>6.2584473968242654E-2</c:v>
                </c:pt>
                <c:pt idx="155" formatCode="0.00%">
                  <c:v>7.9591551265911317E-2</c:v>
                </c:pt>
                <c:pt idx="156" formatCode="0.00%">
                  <c:v>6.2867416427920098E-2</c:v>
                </c:pt>
                <c:pt idx="157" formatCode="0.00%">
                  <c:v>6.9471696537815555E-2</c:v>
                </c:pt>
                <c:pt idx="158" formatCode="0.00%">
                  <c:v>5.2598197606906649E-2</c:v>
                </c:pt>
                <c:pt idx="159" formatCode="0.00%">
                  <c:v>7.3588889739467714E-2</c:v>
                </c:pt>
                <c:pt idx="160" formatCode="0.00%">
                  <c:v>4.8776664451160634E-2</c:v>
                </c:pt>
                <c:pt idx="161" formatCode="0.00%">
                  <c:v>9.2202769893128603E-2</c:v>
                </c:pt>
                <c:pt idx="162" formatCode="0.00%">
                  <c:v>8.7983324386515099E-2</c:v>
                </c:pt>
                <c:pt idx="163" formatCode="0.00%">
                  <c:v>7.6275091934528194E-2</c:v>
                </c:pt>
                <c:pt idx="164" formatCode="0.00%">
                  <c:v>5.9731520878457275E-2</c:v>
                </c:pt>
                <c:pt idx="165" formatCode="0.00%">
                  <c:v>5.312174817898023E-2</c:v>
                </c:pt>
                <c:pt idx="166" formatCode="0.00%">
                  <c:v>5.9447406630144341E-2</c:v>
                </c:pt>
                <c:pt idx="167" formatCode="0.00%">
                  <c:v>4.679788112355894E-2</c:v>
                </c:pt>
                <c:pt idx="168" formatCode="0.00%">
                  <c:v>8.7116971304792276E-2</c:v>
                </c:pt>
                <c:pt idx="169" formatCode="0.00%">
                  <c:v>6.5100022220487289E-2</c:v>
                </c:pt>
                <c:pt idx="170" formatCode="0.00%">
                  <c:v>6.6202811311195778E-2</c:v>
                </c:pt>
                <c:pt idx="171" formatCode="0.00%">
                  <c:v>6.1916377238303774E-2</c:v>
                </c:pt>
                <c:pt idx="172" formatCode="0.00%">
                  <c:v>6.6309540179719115E-2</c:v>
                </c:pt>
                <c:pt idx="173" formatCode="0.00%">
                  <c:v>4.0351978790574367E-2</c:v>
                </c:pt>
                <c:pt idx="174" formatCode="0.00%">
                  <c:v>3.586514934675223E-2</c:v>
                </c:pt>
                <c:pt idx="175" formatCode="0.00%">
                  <c:v>5.0636893509307994E-2</c:v>
                </c:pt>
                <c:pt idx="176" formatCode="0.00%">
                  <c:v>4.3624765958436541E-2</c:v>
                </c:pt>
                <c:pt idx="177" formatCode="0.00%">
                  <c:v>4.1746949261400129E-2</c:v>
                </c:pt>
                <c:pt idx="178" formatCode="0.00%">
                  <c:v>3.4379903548549633E-2</c:v>
                </c:pt>
                <c:pt idx="179" formatCode="0.00%">
                  <c:v>4.6991263798736346E-2</c:v>
                </c:pt>
                <c:pt idx="180" formatCode="0.00%">
                  <c:v>1.7588734254794573E-2</c:v>
                </c:pt>
                <c:pt idx="181" formatCode="0.00%">
                  <c:v>2.6218896776485315E-2</c:v>
                </c:pt>
                <c:pt idx="182" formatCode="0.00%">
                  <c:v>3.2314115811226854E-2</c:v>
                </c:pt>
                <c:pt idx="183" formatCode="0.00%">
                  <c:v>2.4519966538247399E-2</c:v>
                </c:pt>
                <c:pt idx="184" formatCode="0.00%">
                  <c:v>3.9893020543644027E-2</c:v>
                </c:pt>
                <c:pt idx="185" formatCode="0.00%">
                  <c:v>2.8710821255228721E-2</c:v>
                </c:pt>
                <c:pt idx="186" formatCode="0.00%">
                  <c:v>2.9548252675442751E-2</c:v>
                </c:pt>
                <c:pt idx="187" formatCode="0.00%">
                  <c:v>2.9573790308047607E-2</c:v>
                </c:pt>
                <c:pt idx="188" formatCode="0.00%">
                  <c:v>3.8745156159025636E-2</c:v>
                </c:pt>
                <c:pt idx="189" formatCode="0.00%">
                  <c:v>4.6942214237492397E-2</c:v>
                </c:pt>
                <c:pt idx="190" formatCode="0.00%">
                  <c:v>5.4538976691365169E-2</c:v>
                </c:pt>
                <c:pt idx="191" formatCode="0.00%">
                  <c:v>2.9054518461496166E-2</c:v>
                </c:pt>
                <c:pt idx="192" formatCode="0.00%">
                  <c:v>3.1956789580216492E-2</c:v>
                </c:pt>
                <c:pt idx="193" formatCode="0.00%">
                  <c:v>2.1502392817700808E-2</c:v>
                </c:pt>
                <c:pt idx="194" formatCode="0.00%">
                  <c:v>1.521688210525169E-2</c:v>
                </c:pt>
                <c:pt idx="195" formatCode="0.00%">
                  <c:v>1.7436446405798129E-2</c:v>
                </c:pt>
                <c:pt idx="196" formatCode="0.00%">
                  <c:v>1.3754468449912922E-2</c:v>
                </c:pt>
                <c:pt idx="197" formatCode="0.00%">
                  <c:v>2.2547629524601119E-2</c:v>
                </c:pt>
                <c:pt idx="198" formatCode="0.00%">
                  <c:v>1.4674768812869643E-2</c:v>
                </c:pt>
                <c:pt idx="199" formatCode="0.00%">
                  <c:v>2.493550697709488E-3</c:v>
                </c:pt>
                <c:pt idx="200" formatCode="0.00%">
                  <c:v>-1.6466909289857831E-2</c:v>
                </c:pt>
                <c:pt idx="201" formatCode="0.00%">
                  <c:v>-5.9524792892943837E-2</c:v>
                </c:pt>
                <c:pt idx="202" formatCode="0.00%">
                  <c:v>-0.10428654384205248</c:v>
                </c:pt>
                <c:pt idx="203" formatCode="0.00%">
                  <c:v>-0.11276309250917718</c:v>
                </c:pt>
                <c:pt idx="204" formatCode="0.00%">
                  <c:v>-0.10208775277425407</c:v>
                </c:pt>
                <c:pt idx="205" formatCode="0.00%">
                  <c:v>-9.7508827887788335E-2</c:v>
                </c:pt>
                <c:pt idx="206" formatCode="0.00%">
                  <c:v>-0.1153550014084696</c:v>
                </c:pt>
                <c:pt idx="207" formatCode="0.00%">
                  <c:v>-0.11063633337985677</c:v>
                </c:pt>
                <c:pt idx="208" formatCode="0.00%">
                  <c:v>-0.11110638343137359</c:v>
                </c:pt>
                <c:pt idx="209" formatCode="0.00%">
                  <c:v>-9.7148397550836083E-2</c:v>
                </c:pt>
                <c:pt idx="210" formatCode="0.00%">
                  <c:v>-9.2046672603842805E-2</c:v>
                </c:pt>
                <c:pt idx="211" formatCode="0.00%">
                  <c:v>-6.8807684455952978E-2</c:v>
                </c:pt>
                <c:pt idx="212" formatCode="0.00%">
                  <c:v>-7.6956008387665004E-2</c:v>
                </c:pt>
                <c:pt idx="213" formatCode="0.00%">
                  <c:v>-3.200453322000283E-2</c:v>
                </c:pt>
                <c:pt idx="214" formatCode="0.00%">
                  <c:v>1.4807720642404596E-2</c:v>
                </c:pt>
                <c:pt idx="215" formatCode="0.00%">
                  <c:v>4.2099906350970065E-2</c:v>
                </c:pt>
                <c:pt idx="216" formatCode="0.00%">
                  <c:v>2.6800898705662025E-2</c:v>
                </c:pt>
                <c:pt idx="217" formatCode="0.00%">
                  <c:v>3.3730064128543159E-2</c:v>
                </c:pt>
                <c:pt idx="218" formatCode="0.00%">
                  <c:v>7.4699694007830247E-2</c:v>
                </c:pt>
                <c:pt idx="219" formatCode="0.00%">
                  <c:v>7.8505637509355616E-2</c:v>
                </c:pt>
                <c:pt idx="220" formatCode="0.00%">
                  <c:v>5.9963022354123784E-2</c:v>
                </c:pt>
                <c:pt idx="221" formatCode="0.00%">
                  <c:v>4.0837582344512673E-2</c:v>
                </c:pt>
                <c:pt idx="222" formatCode="0.00%">
                  <c:v>4.1548586414187835E-2</c:v>
                </c:pt>
                <c:pt idx="223" formatCode="0.00%">
                  <c:v>2.9255656709012659E-2</c:v>
                </c:pt>
                <c:pt idx="224" formatCode="0.00%">
                  <c:v>6.1913047588380746E-2</c:v>
                </c:pt>
                <c:pt idx="225" formatCode="0.00%">
                  <c:v>6.3473572678792001E-2</c:v>
                </c:pt>
                <c:pt idx="226" formatCode="0.00%">
                  <c:v>6.7019963702359353E-2</c:v>
                </c:pt>
                <c:pt idx="227" formatCode="0.00%">
                  <c:v>6.6642201622783698E-2</c:v>
                </c:pt>
                <c:pt idx="228" formatCode="0.00%">
                  <c:v>7.5436684693851008E-2</c:v>
                </c:pt>
                <c:pt idx="229" formatCode="0.00%">
                  <c:v>8.1283962005794255E-2</c:v>
                </c:pt>
                <c:pt idx="230" formatCode="0.00%">
                  <c:v>6.8296936330877397E-2</c:v>
                </c:pt>
                <c:pt idx="231" formatCode="0.00%">
                  <c:v>6.4760119205853964E-2</c:v>
                </c:pt>
                <c:pt idx="232" formatCode="0.00%">
                  <c:v>7.3536758500588481E-2</c:v>
                </c:pt>
                <c:pt idx="233" formatCode="0.00%">
                  <c:v>8.3041471267486996E-2</c:v>
                </c:pt>
                <c:pt idx="234" formatCode="0.00%">
                  <c:v>7.9579321331397238E-2</c:v>
                </c:pt>
                <c:pt idx="235" formatCode="0.00%">
                  <c:v>7.6219836887979592E-2</c:v>
                </c:pt>
                <c:pt idx="236" formatCode="0.00%">
                  <c:v>7.8015940355806543E-2</c:v>
                </c:pt>
                <c:pt idx="237" formatCode="0.00%">
                  <c:v>7.3611493367094188E-2</c:v>
                </c:pt>
                <c:pt idx="238" formatCode="0.00%">
                  <c:v>6.5548162360016871E-2</c:v>
                </c:pt>
                <c:pt idx="239" formatCode="0.00%">
                  <c:v>6.0880165793002559E-2</c:v>
                </c:pt>
                <c:pt idx="240" formatCode="0.00%">
                  <c:v>6.3600469820484493E-2</c:v>
                </c:pt>
                <c:pt idx="241" formatCode="0.00%">
                  <c:v>6.7282160110053002E-2</c:v>
                </c:pt>
                <c:pt idx="242" formatCode="0.00%">
                  <c:v>6.0961693899868455E-2</c:v>
                </c:pt>
                <c:pt idx="243" formatCode="0.00%">
                  <c:v>5.1788661473608964E-2</c:v>
                </c:pt>
                <c:pt idx="244" formatCode="0.00%">
                  <c:v>4.9895754733103197E-2</c:v>
                </c:pt>
                <c:pt idx="245" formatCode="0.00%">
                  <c:v>3.2481599415357311E-2</c:v>
                </c:pt>
                <c:pt idx="246" formatCode="0.00%">
                  <c:v>3.8334869897019765E-2</c:v>
                </c:pt>
                <c:pt idx="247" formatCode="0.00%">
                  <c:v>4.7280511242011845E-2</c:v>
                </c:pt>
                <c:pt idx="248" formatCode="0.00%">
                  <c:v>4.6569240972467736E-2</c:v>
                </c:pt>
                <c:pt idx="249" formatCode="0.00%">
                  <c:v>4.0024507416313325E-2</c:v>
                </c:pt>
                <c:pt idx="250" formatCode="0.00%">
                  <c:v>4.0493843556613486E-2</c:v>
                </c:pt>
                <c:pt idx="251" formatCode="0.00%">
                  <c:v>4.4478151621008766E-2</c:v>
                </c:pt>
                <c:pt idx="252" formatCode="0.00%">
                  <c:v>4.1531891236227636E-2</c:v>
                </c:pt>
                <c:pt idx="253" formatCode="0.00%">
                  <c:v>4.204042175310807E-2</c:v>
                </c:pt>
                <c:pt idx="254" formatCode="0.00%">
                  <c:v>3.0948984342517694E-2</c:v>
                </c:pt>
                <c:pt idx="255" formatCode="0.00%">
                  <c:v>3.0041427836107682E-2</c:v>
                </c:pt>
                <c:pt idx="256" formatCode="0.00%">
                  <c:v>3.7507731681236868E-2</c:v>
                </c:pt>
                <c:pt idx="257" formatCode="0.00%">
                  <c:v>5.0954914872909741E-2</c:v>
                </c:pt>
                <c:pt idx="258" formatCode="0.00%">
                  <c:v>5.2914351543261892E-2</c:v>
                </c:pt>
                <c:pt idx="259" formatCode="0.00%">
                  <c:v>3.8496924125103811E-2</c:v>
                </c:pt>
                <c:pt idx="260" formatCode="0.00%">
                  <c:v>3.0314014128786478E-2</c:v>
                </c:pt>
                <c:pt idx="261" formatCode="0.00%">
                  <c:v>3.4261854231831972E-2</c:v>
                </c:pt>
                <c:pt idx="262" formatCode="0.00%">
                  <c:v>3.2553093304794355E-2</c:v>
                </c:pt>
                <c:pt idx="263" formatCode="0.00%">
                  <c:v>3.5049116682069108E-2</c:v>
                </c:pt>
                <c:pt idx="264" formatCode="0.00%">
                  <c:v>1.6479237180187064E-2</c:v>
                </c:pt>
                <c:pt idx="265" formatCode="0.00%">
                  <c:v>1.8808176258932444E-2</c:v>
                </c:pt>
                <c:pt idx="266" formatCode="0.00%">
                  <c:v>3.759068033190692E-2</c:v>
                </c:pt>
                <c:pt idx="267" formatCode="0.00%">
                  <c:v>5.2370359768773786E-2</c:v>
                </c:pt>
                <c:pt idx="268" formatCode="0.00%">
                  <c:v>4.9072069397478692E-2</c:v>
                </c:pt>
                <c:pt idx="269" formatCode="0.00%">
                  <c:v>4.8284753525022733E-2</c:v>
                </c:pt>
                <c:pt idx="270" formatCode="0.00%">
                  <c:v>4.2613066286992005E-2</c:v>
                </c:pt>
                <c:pt idx="271" formatCode="0.00%">
                  <c:v>5.2762639951729223E-2</c:v>
                </c:pt>
                <c:pt idx="272" formatCode="0.00%">
                  <c:v>5.0240637167972162E-2</c:v>
                </c:pt>
                <c:pt idx="273" formatCode="0.00%">
                  <c:v>4.9011079626023892E-2</c:v>
                </c:pt>
                <c:pt idx="274" formatCode="0.00%">
                  <c:v>4.9631767373971257E-2</c:v>
                </c:pt>
                <c:pt idx="275" formatCode="0.00%">
                  <c:v>3.7119533637879641E-2</c:v>
                </c:pt>
                <c:pt idx="276" formatCode="0.00%">
                  <c:v>4.1854936304592229E-2</c:v>
                </c:pt>
                <c:pt idx="277" formatCode="0.00%">
                  <c:v>2.5510288114257481E-2</c:v>
                </c:pt>
                <c:pt idx="278" formatCode="0.00%">
                  <c:v>2.985863174897244E-2</c:v>
                </c:pt>
                <c:pt idx="279" formatCode="0.00%">
                  <c:v>2.1365708832573427E-2</c:v>
                </c:pt>
                <c:pt idx="280" formatCode="0.00%">
                  <c:v>2.7353672004417448E-2</c:v>
                </c:pt>
                <c:pt idx="281" formatCode="0.00%">
                  <c:v>2.6449235457165408E-2</c:v>
                </c:pt>
                <c:pt idx="282" formatCode="0.00%">
                  <c:v>3.1866777257917429E-2</c:v>
                </c:pt>
                <c:pt idx="283" formatCode="0.00%">
                  <c:v>2.4656568413391557E-2</c:v>
                </c:pt>
                <c:pt idx="284" formatCode="0.00%">
                  <c:v>2.2315548648488521E-2</c:v>
                </c:pt>
                <c:pt idx="285" formatCode="0.00%">
                  <c:v>1.6125807653510963E-2</c:v>
                </c:pt>
                <c:pt idx="286" formatCode="0.00%">
                  <c:v>1.7178667198144659E-2</c:v>
                </c:pt>
                <c:pt idx="287" formatCode="0.00%">
                  <c:v>2.6680969397167239E-2</c:v>
                </c:pt>
                <c:pt idx="288" formatCode="0.00%">
                  <c:v>2.5916303535999195E-2</c:v>
                </c:pt>
                <c:pt idx="289" formatCode="0.00%">
                  <c:v>3.7845849575653845E-2</c:v>
                </c:pt>
                <c:pt idx="290" formatCode="0.00%">
                  <c:v>1.8854791214205163E-2</c:v>
                </c:pt>
                <c:pt idx="291" formatCode="0.00%">
                  <c:v>2.1067716855301909E-2</c:v>
                </c:pt>
                <c:pt idx="292" formatCode="0.00%">
                  <c:v>1.7723372950021164E-2</c:v>
                </c:pt>
                <c:pt idx="293" formatCode="0.00%">
                  <c:v>2.6174546153622611E-2</c:v>
                </c:pt>
                <c:pt idx="294" formatCode="0.00%">
                  <c:v>1.7120017763961364E-2</c:v>
                </c:pt>
                <c:pt idx="295" formatCode="0.00%">
                  <c:v>1.831213195389338E-2</c:v>
                </c:pt>
                <c:pt idx="296" formatCode="0.00%">
                  <c:v>2.8283571277318977E-2</c:v>
                </c:pt>
                <c:pt idx="297" formatCode="0.00%">
                  <c:v>3.467318931632913E-2</c:v>
                </c:pt>
                <c:pt idx="298" formatCode="0.00%">
                  <c:v>2.9582228397247067E-2</c:v>
                </c:pt>
                <c:pt idx="299" formatCode="0.00%">
                  <c:v>3.8308133241051305E-2</c:v>
                </c:pt>
                <c:pt idx="300" formatCode="0.00%">
                  <c:v>5.7370130015140894E-2</c:v>
                </c:pt>
                <c:pt idx="301" formatCode="0.00%">
                  <c:v>4.5657931388197424E-2</c:v>
                </c:pt>
                <c:pt idx="302" formatCode="0.00%">
                  <c:v>4.695561519863363E-2</c:v>
                </c:pt>
                <c:pt idx="303" formatCode="0.00%">
                  <c:v>4.8478217624825938E-2</c:v>
                </c:pt>
                <c:pt idx="304" formatCode="0.00%">
                  <c:v>3.8656113087890014E-2</c:v>
                </c:pt>
                <c:pt idx="305" formatCode="0.00%">
                  <c:v>3.205737040683844E-2</c:v>
                </c:pt>
                <c:pt idx="306" formatCode="0.00%">
                  <c:v>3.4709426712657733E-2</c:v>
                </c:pt>
                <c:pt idx="307" formatCode="0.00%">
                  <c:v>3.4727565604626275E-2</c:v>
                </c:pt>
                <c:pt idx="308" formatCode="0.00%">
                  <c:v>4.9988728095655112E-2</c:v>
                </c:pt>
                <c:pt idx="309" formatCode="0.00%">
                  <c:v>4.8164314886444667E-2</c:v>
                </c:pt>
                <c:pt idx="310" formatCode="0.00%">
                  <c:v>5.9687677738442538E-2</c:v>
                </c:pt>
                <c:pt idx="311" formatCode="0.00%">
                  <c:v>5.2001769000194417E-2</c:v>
                </c:pt>
                <c:pt idx="312" formatCode="0.00%">
                  <c:v>3.8032964155071763E-2</c:v>
                </c:pt>
                <c:pt idx="313" formatCode="0.00%">
                  <c:v>4.3898984133024663E-2</c:v>
                </c:pt>
                <c:pt idx="314" formatCode="0.00%">
                  <c:v>4.5283994245750518E-2</c:v>
                </c:pt>
                <c:pt idx="315" formatCode="0.00%">
                  <c:v>4.3557360080782016E-2</c:v>
                </c:pt>
                <c:pt idx="316" formatCode="0.00%">
                  <c:v>6.0822863922374529E-2</c:v>
                </c:pt>
                <c:pt idx="317" formatCode="0.00%">
                  <c:v>5.4590010300400199E-2</c:v>
                </c:pt>
                <c:pt idx="318" formatCode="0.00%">
                  <c:v>6.1193056783392659E-2</c:v>
                </c:pt>
                <c:pt idx="319" formatCode="0.00%">
                  <c:v>5.7320050642191013E-2</c:v>
                </c:pt>
                <c:pt idx="320" formatCode="0.00%">
                  <c:v>3.2984093231623608E-2</c:v>
                </c:pt>
                <c:pt idx="321" formatCode="0.00%">
                  <c:v>4.3192683776612742E-2</c:v>
                </c:pt>
                <c:pt idx="322" formatCode="0.00%">
                  <c:v>3.4623995167415975E-2</c:v>
                </c:pt>
                <c:pt idx="323" formatCode="0.00%">
                  <c:v>8.513386447224925E-3</c:v>
                </c:pt>
                <c:pt idx="324" formatCode="0.00%">
                  <c:v>2.285286433960268E-2</c:v>
                </c:pt>
                <c:pt idx="325" formatCode="0.00%">
                  <c:v>1.7960178953700084E-2</c:v>
                </c:pt>
                <c:pt idx="326" formatCode="0.00%">
                  <c:v>3.4349265160436425E-2</c:v>
                </c:pt>
                <c:pt idx="327" formatCode="0.00%">
                  <c:v>3.4949750012625624E-2</c:v>
                </c:pt>
                <c:pt idx="328" formatCode="0.00%">
                  <c:v>2.6264232034334627E-2</c:v>
                </c:pt>
                <c:pt idx="329" formatCode="0.00%">
                  <c:v>3.2584047026705712E-2</c:v>
                </c:pt>
                <c:pt idx="330" formatCode="0.00%">
                  <c:v>3.2775835947844965E-2</c:v>
                </c:pt>
                <c:pt idx="331" formatCode="0.00%">
                  <c:v>3.9688153126139387E-2</c:v>
                </c:pt>
                <c:pt idx="332" formatCode="0.00%">
                  <c:v>3.6459603247248992E-2</c:v>
                </c:pt>
                <c:pt idx="333" formatCode="0.00%">
                  <c:v>2.9849212466156794E-2</c:v>
                </c:pt>
                <c:pt idx="334" formatCode="0.00%">
                  <c:v>3.1228487513141726E-2</c:v>
                </c:pt>
                <c:pt idx="335" formatCode="0.00%">
                  <c:v>5.4912171536852107E-2</c:v>
                </c:pt>
                <c:pt idx="336" formatCode="0.00%">
                  <c:v>4.8149680540415817E-2</c:v>
                </c:pt>
                <c:pt idx="337" formatCode="0.00%">
                  <c:v>4.6123666257483181E-2</c:v>
                </c:pt>
                <c:pt idx="338" formatCode="0.00%">
                  <c:v>-5.8616162407900928E-2</c:v>
                </c:pt>
                <c:pt idx="339" formatCode="0.00%">
                  <c:v>-0.20008158867596024</c:v>
                </c:pt>
                <c:pt idx="340" formatCode="0.00%">
                  <c:v>-5.7553466830132134E-2</c:v>
                </c:pt>
                <c:pt idx="341" formatCode="0.00%">
                  <c:v>1.9918164179480568E-2</c:v>
                </c:pt>
                <c:pt idx="342" formatCode="0.00%">
                  <c:v>2.7086497756267723E-2</c:v>
                </c:pt>
                <c:pt idx="343" formatCode="0.00%">
                  <c:v>3.0444605841332382E-2</c:v>
                </c:pt>
                <c:pt idx="344" formatCode="0.00%">
                  <c:v>5.9627269309011674E-2</c:v>
                </c:pt>
                <c:pt idx="345" formatCode="0.00%">
                  <c:v>5.5504169912917324E-2</c:v>
                </c:pt>
                <c:pt idx="346" formatCode="0.00%">
                  <c:v>3.7830548674936161E-2</c:v>
                </c:pt>
                <c:pt idx="347" formatCode="0.00%">
                  <c:v>2.311677502853805E-2</c:v>
                </c:pt>
                <c:pt idx="348" formatCode="0.00%">
                  <c:v>9.4008691856603349E-2</c:v>
                </c:pt>
                <c:pt idx="349" formatCode="0.00%">
                  <c:v>6.4966432741864935E-2</c:v>
                </c:pt>
                <c:pt idx="350" formatCode="0.00%">
                  <c:v>0.29706478048821106</c:v>
                </c:pt>
                <c:pt idx="351" formatCode="0.00%">
                  <c:v>0.53421632476776337</c:v>
                </c:pt>
                <c:pt idx="352" formatCode="0.00%">
                  <c:v>0.28045715937600019</c:v>
                </c:pt>
                <c:pt idx="353" formatCode="0.00%">
                  <c:v>0.18856034071537306</c:v>
                </c:pt>
                <c:pt idx="354" formatCode="0.00%">
                  <c:v>0.15144034773025039</c:v>
                </c:pt>
                <c:pt idx="355" formatCode="0.00%">
                  <c:v>0.15055419177266979</c:v>
                </c:pt>
              </c:numCache>
            </c:numRef>
          </c:val>
          <c:smooth val="0"/>
          <c:extLst>
            <c:ext xmlns:c16="http://schemas.microsoft.com/office/drawing/2014/chart" uri="{C3380CC4-5D6E-409C-BE32-E72D297353CC}">
              <c16:uniqueId val="{00000000-9120-46A3-AE2C-1F63F5C1B579}"/>
            </c:ext>
          </c:extLst>
        </c:ser>
        <c:dLbls>
          <c:showLegendKey val="0"/>
          <c:showVal val="0"/>
          <c:showCatName val="0"/>
          <c:showSerName val="0"/>
          <c:showPercent val="0"/>
          <c:showBubbleSize val="0"/>
        </c:dLbls>
        <c:smooth val="0"/>
        <c:axId val="673094928"/>
        <c:axId val="673095320"/>
        <c:extLst>
          <c:ext xmlns:c15="http://schemas.microsoft.com/office/drawing/2012/chart" uri="{02D57815-91ED-43cb-92C2-25804820EDAC}">
            <c15:filteredLineSeries>
              <c15:ser>
                <c:idx val="0"/>
                <c:order val="0"/>
                <c:spPr>
                  <a:ln w="28575" cap="rnd">
                    <a:solidFill>
                      <a:schemeClr val="accent1"/>
                    </a:solidFill>
                    <a:round/>
                  </a:ln>
                  <a:effectLst/>
                </c:spPr>
                <c:marker>
                  <c:symbol val="none"/>
                </c:marker>
                <c:cat>
                  <c:numRef>
                    <c:extLst>
                      <c:ext uri="{02D57815-91ED-43cb-92C2-25804820EDAC}">
                        <c15:formulaRef>
                          <c15:sqref>'Retail Sales'!$A$7:$A$367</c15:sqref>
                        </c15:formulaRef>
                      </c:ext>
                    </c:extLst>
                    <c:numCache>
                      <c:formatCode>[$-409]mmm\-yy;@</c:formatCode>
                      <c:ptCount val="361"/>
                      <c:pt idx="0">
                        <c:v>33604</c:v>
                      </c:pt>
                      <c:pt idx="1">
                        <c:v>33635</c:v>
                      </c:pt>
                      <c:pt idx="2">
                        <c:v>33664</c:v>
                      </c:pt>
                      <c:pt idx="3">
                        <c:v>33695</c:v>
                      </c:pt>
                      <c:pt idx="4">
                        <c:v>33725</c:v>
                      </c:pt>
                      <c:pt idx="5">
                        <c:v>33756</c:v>
                      </c:pt>
                      <c:pt idx="6">
                        <c:v>33786</c:v>
                      </c:pt>
                      <c:pt idx="7">
                        <c:v>33817</c:v>
                      </c:pt>
                      <c:pt idx="8">
                        <c:v>33848</c:v>
                      </c:pt>
                      <c:pt idx="9">
                        <c:v>33878</c:v>
                      </c:pt>
                      <c:pt idx="10">
                        <c:v>33909</c:v>
                      </c:pt>
                      <c:pt idx="11">
                        <c:v>33939</c:v>
                      </c:pt>
                      <c:pt idx="12">
                        <c:v>33970</c:v>
                      </c:pt>
                      <c:pt idx="13">
                        <c:v>34001</c:v>
                      </c:pt>
                      <c:pt idx="14">
                        <c:v>34029</c:v>
                      </c:pt>
                      <c:pt idx="15">
                        <c:v>34060</c:v>
                      </c:pt>
                      <c:pt idx="16">
                        <c:v>34090</c:v>
                      </c:pt>
                      <c:pt idx="17">
                        <c:v>34121</c:v>
                      </c:pt>
                      <c:pt idx="18">
                        <c:v>34151</c:v>
                      </c:pt>
                      <c:pt idx="19">
                        <c:v>34182</c:v>
                      </c:pt>
                      <c:pt idx="20">
                        <c:v>34213</c:v>
                      </c:pt>
                      <c:pt idx="21">
                        <c:v>34243</c:v>
                      </c:pt>
                      <c:pt idx="22">
                        <c:v>34274</c:v>
                      </c:pt>
                      <c:pt idx="23">
                        <c:v>34304</c:v>
                      </c:pt>
                      <c:pt idx="24">
                        <c:v>34335</c:v>
                      </c:pt>
                      <c:pt idx="25">
                        <c:v>34366</c:v>
                      </c:pt>
                      <c:pt idx="26">
                        <c:v>34394</c:v>
                      </c:pt>
                      <c:pt idx="27">
                        <c:v>34425</c:v>
                      </c:pt>
                      <c:pt idx="28">
                        <c:v>34455</c:v>
                      </c:pt>
                      <c:pt idx="29">
                        <c:v>34486</c:v>
                      </c:pt>
                      <c:pt idx="30">
                        <c:v>34516</c:v>
                      </c:pt>
                      <c:pt idx="31">
                        <c:v>34547</c:v>
                      </c:pt>
                      <c:pt idx="32">
                        <c:v>34578</c:v>
                      </c:pt>
                      <c:pt idx="33">
                        <c:v>34608</c:v>
                      </c:pt>
                      <c:pt idx="34">
                        <c:v>34639</c:v>
                      </c:pt>
                      <c:pt idx="35">
                        <c:v>34669</c:v>
                      </c:pt>
                      <c:pt idx="36">
                        <c:v>34700</c:v>
                      </c:pt>
                      <c:pt idx="37">
                        <c:v>34731</c:v>
                      </c:pt>
                      <c:pt idx="38">
                        <c:v>34759</c:v>
                      </c:pt>
                      <c:pt idx="39">
                        <c:v>34790</c:v>
                      </c:pt>
                      <c:pt idx="40">
                        <c:v>34820</c:v>
                      </c:pt>
                      <c:pt idx="41">
                        <c:v>34851</c:v>
                      </c:pt>
                      <c:pt idx="42">
                        <c:v>34881</c:v>
                      </c:pt>
                      <c:pt idx="43">
                        <c:v>34912</c:v>
                      </c:pt>
                      <c:pt idx="44">
                        <c:v>34943</c:v>
                      </c:pt>
                      <c:pt idx="45">
                        <c:v>34973</c:v>
                      </c:pt>
                      <c:pt idx="46">
                        <c:v>35004</c:v>
                      </c:pt>
                      <c:pt idx="47">
                        <c:v>35034</c:v>
                      </c:pt>
                      <c:pt idx="48">
                        <c:v>35065</c:v>
                      </c:pt>
                      <c:pt idx="49">
                        <c:v>35096</c:v>
                      </c:pt>
                      <c:pt idx="50">
                        <c:v>35125</c:v>
                      </c:pt>
                      <c:pt idx="51">
                        <c:v>35156</c:v>
                      </c:pt>
                      <c:pt idx="52">
                        <c:v>35186</c:v>
                      </c:pt>
                      <c:pt idx="53">
                        <c:v>35217</c:v>
                      </c:pt>
                      <c:pt idx="54">
                        <c:v>35247</c:v>
                      </c:pt>
                      <c:pt idx="55">
                        <c:v>35278</c:v>
                      </c:pt>
                      <c:pt idx="56">
                        <c:v>35309</c:v>
                      </c:pt>
                      <c:pt idx="57">
                        <c:v>35339</c:v>
                      </c:pt>
                      <c:pt idx="58">
                        <c:v>35370</c:v>
                      </c:pt>
                      <c:pt idx="59">
                        <c:v>35400</c:v>
                      </c:pt>
                      <c:pt idx="60">
                        <c:v>35431</c:v>
                      </c:pt>
                      <c:pt idx="61">
                        <c:v>35462</c:v>
                      </c:pt>
                      <c:pt idx="62">
                        <c:v>35490</c:v>
                      </c:pt>
                      <c:pt idx="63">
                        <c:v>35521</c:v>
                      </c:pt>
                      <c:pt idx="64">
                        <c:v>35551</c:v>
                      </c:pt>
                      <c:pt idx="65">
                        <c:v>35582</c:v>
                      </c:pt>
                      <c:pt idx="66">
                        <c:v>35612</c:v>
                      </c:pt>
                      <c:pt idx="67">
                        <c:v>35643</c:v>
                      </c:pt>
                      <c:pt idx="68">
                        <c:v>35674</c:v>
                      </c:pt>
                      <c:pt idx="69">
                        <c:v>35704</c:v>
                      </c:pt>
                      <c:pt idx="70">
                        <c:v>35735</c:v>
                      </c:pt>
                      <c:pt idx="71">
                        <c:v>35765</c:v>
                      </c:pt>
                      <c:pt idx="72">
                        <c:v>35796</c:v>
                      </c:pt>
                      <c:pt idx="73">
                        <c:v>35827</c:v>
                      </c:pt>
                      <c:pt idx="74">
                        <c:v>35855</c:v>
                      </c:pt>
                      <c:pt idx="75">
                        <c:v>35886</c:v>
                      </c:pt>
                      <c:pt idx="76">
                        <c:v>35916</c:v>
                      </c:pt>
                      <c:pt idx="77">
                        <c:v>35947</c:v>
                      </c:pt>
                      <c:pt idx="78">
                        <c:v>35977</c:v>
                      </c:pt>
                      <c:pt idx="79">
                        <c:v>36008</c:v>
                      </c:pt>
                      <c:pt idx="80">
                        <c:v>36039</c:v>
                      </c:pt>
                      <c:pt idx="81">
                        <c:v>36069</c:v>
                      </c:pt>
                      <c:pt idx="82">
                        <c:v>36100</c:v>
                      </c:pt>
                      <c:pt idx="83">
                        <c:v>36130</c:v>
                      </c:pt>
                      <c:pt idx="84">
                        <c:v>36161</c:v>
                      </c:pt>
                      <c:pt idx="85">
                        <c:v>36192</c:v>
                      </c:pt>
                      <c:pt idx="86">
                        <c:v>36220</c:v>
                      </c:pt>
                      <c:pt idx="87">
                        <c:v>36251</c:v>
                      </c:pt>
                      <c:pt idx="88">
                        <c:v>36281</c:v>
                      </c:pt>
                      <c:pt idx="89">
                        <c:v>36312</c:v>
                      </c:pt>
                      <c:pt idx="90">
                        <c:v>36342</c:v>
                      </c:pt>
                      <c:pt idx="91">
                        <c:v>36373</c:v>
                      </c:pt>
                      <c:pt idx="92">
                        <c:v>36404</c:v>
                      </c:pt>
                      <c:pt idx="93">
                        <c:v>36434</c:v>
                      </c:pt>
                      <c:pt idx="94">
                        <c:v>36465</c:v>
                      </c:pt>
                      <c:pt idx="95">
                        <c:v>36495</c:v>
                      </c:pt>
                      <c:pt idx="96">
                        <c:v>36526</c:v>
                      </c:pt>
                      <c:pt idx="97">
                        <c:v>36557</c:v>
                      </c:pt>
                      <c:pt idx="98">
                        <c:v>36586</c:v>
                      </c:pt>
                      <c:pt idx="99">
                        <c:v>36617</c:v>
                      </c:pt>
                      <c:pt idx="100">
                        <c:v>36647</c:v>
                      </c:pt>
                      <c:pt idx="101">
                        <c:v>36678</c:v>
                      </c:pt>
                      <c:pt idx="102">
                        <c:v>36708</c:v>
                      </c:pt>
                      <c:pt idx="103">
                        <c:v>36739</c:v>
                      </c:pt>
                      <c:pt idx="104">
                        <c:v>36770</c:v>
                      </c:pt>
                      <c:pt idx="105">
                        <c:v>36800</c:v>
                      </c:pt>
                      <c:pt idx="106">
                        <c:v>36831</c:v>
                      </c:pt>
                      <c:pt idx="107">
                        <c:v>36861</c:v>
                      </c:pt>
                      <c:pt idx="108">
                        <c:v>36892</c:v>
                      </c:pt>
                      <c:pt idx="109">
                        <c:v>36923</c:v>
                      </c:pt>
                      <c:pt idx="110">
                        <c:v>36951</c:v>
                      </c:pt>
                      <c:pt idx="111">
                        <c:v>36982</c:v>
                      </c:pt>
                      <c:pt idx="112">
                        <c:v>37012</c:v>
                      </c:pt>
                      <c:pt idx="113">
                        <c:v>37043</c:v>
                      </c:pt>
                      <c:pt idx="114">
                        <c:v>37073</c:v>
                      </c:pt>
                      <c:pt idx="115">
                        <c:v>37104</c:v>
                      </c:pt>
                      <c:pt idx="116">
                        <c:v>37135</c:v>
                      </c:pt>
                      <c:pt idx="117">
                        <c:v>37165</c:v>
                      </c:pt>
                      <c:pt idx="118">
                        <c:v>37196</c:v>
                      </c:pt>
                      <c:pt idx="119">
                        <c:v>37226</c:v>
                      </c:pt>
                      <c:pt idx="120">
                        <c:v>37257</c:v>
                      </c:pt>
                      <c:pt idx="121">
                        <c:v>37288</c:v>
                      </c:pt>
                      <c:pt idx="122">
                        <c:v>37316</c:v>
                      </c:pt>
                      <c:pt idx="123">
                        <c:v>37347</c:v>
                      </c:pt>
                      <c:pt idx="124">
                        <c:v>37377</c:v>
                      </c:pt>
                      <c:pt idx="125">
                        <c:v>37408</c:v>
                      </c:pt>
                      <c:pt idx="126">
                        <c:v>37438</c:v>
                      </c:pt>
                      <c:pt idx="127">
                        <c:v>37469</c:v>
                      </c:pt>
                      <c:pt idx="128">
                        <c:v>37500</c:v>
                      </c:pt>
                      <c:pt idx="129">
                        <c:v>37530</c:v>
                      </c:pt>
                      <c:pt idx="130">
                        <c:v>37561</c:v>
                      </c:pt>
                      <c:pt idx="131">
                        <c:v>37591</c:v>
                      </c:pt>
                      <c:pt idx="132">
                        <c:v>37622</c:v>
                      </c:pt>
                      <c:pt idx="133">
                        <c:v>37653</c:v>
                      </c:pt>
                      <c:pt idx="134">
                        <c:v>37681</c:v>
                      </c:pt>
                      <c:pt idx="135">
                        <c:v>37712</c:v>
                      </c:pt>
                      <c:pt idx="136">
                        <c:v>37742</c:v>
                      </c:pt>
                      <c:pt idx="137">
                        <c:v>37773</c:v>
                      </c:pt>
                      <c:pt idx="138">
                        <c:v>37803</c:v>
                      </c:pt>
                      <c:pt idx="139">
                        <c:v>37834</c:v>
                      </c:pt>
                      <c:pt idx="140">
                        <c:v>37865</c:v>
                      </c:pt>
                      <c:pt idx="141">
                        <c:v>37895</c:v>
                      </c:pt>
                      <c:pt idx="142">
                        <c:v>37926</c:v>
                      </c:pt>
                      <c:pt idx="143">
                        <c:v>37956</c:v>
                      </c:pt>
                      <c:pt idx="144">
                        <c:v>37987</c:v>
                      </c:pt>
                      <c:pt idx="145">
                        <c:v>38018</c:v>
                      </c:pt>
                      <c:pt idx="146">
                        <c:v>38047</c:v>
                      </c:pt>
                      <c:pt idx="147">
                        <c:v>38078</c:v>
                      </c:pt>
                      <c:pt idx="148">
                        <c:v>38108</c:v>
                      </c:pt>
                      <c:pt idx="149">
                        <c:v>38139</c:v>
                      </c:pt>
                      <c:pt idx="150">
                        <c:v>38169</c:v>
                      </c:pt>
                      <c:pt idx="151">
                        <c:v>38200</c:v>
                      </c:pt>
                      <c:pt idx="152">
                        <c:v>38231</c:v>
                      </c:pt>
                      <c:pt idx="153">
                        <c:v>38261</c:v>
                      </c:pt>
                      <c:pt idx="154">
                        <c:v>38292</c:v>
                      </c:pt>
                      <c:pt idx="155">
                        <c:v>38322</c:v>
                      </c:pt>
                      <c:pt idx="156">
                        <c:v>38353</c:v>
                      </c:pt>
                      <c:pt idx="157">
                        <c:v>38384</c:v>
                      </c:pt>
                      <c:pt idx="158">
                        <c:v>38412</c:v>
                      </c:pt>
                      <c:pt idx="159">
                        <c:v>38443</c:v>
                      </c:pt>
                      <c:pt idx="160">
                        <c:v>38473</c:v>
                      </c:pt>
                      <c:pt idx="161">
                        <c:v>38504</c:v>
                      </c:pt>
                      <c:pt idx="162">
                        <c:v>38534</c:v>
                      </c:pt>
                      <c:pt idx="163">
                        <c:v>38565</c:v>
                      </c:pt>
                      <c:pt idx="164">
                        <c:v>38596</c:v>
                      </c:pt>
                      <c:pt idx="165">
                        <c:v>38626</c:v>
                      </c:pt>
                      <c:pt idx="166">
                        <c:v>38657</c:v>
                      </c:pt>
                      <c:pt idx="167">
                        <c:v>38687</c:v>
                      </c:pt>
                      <c:pt idx="168">
                        <c:v>38718</c:v>
                      </c:pt>
                      <c:pt idx="169">
                        <c:v>38749</c:v>
                      </c:pt>
                      <c:pt idx="170">
                        <c:v>38777</c:v>
                      </c:pt>
                      <c:pt idx="171">
                        <c:v>38808</c:v>
                      </c:pt>
                      <c:pt idx="172">
                        <c:v>38838</c:v>
                      </c:pt>
                      <c:pt idx="173">
                        <c:v>38869</c:v>
                      </c:pt>
                      <c:pt idx="174">
                        <c:v>38899</c:v>
                      </c:pt>
                      <c:pt idx="175">
                        <c:v>38930</c:v>
                      </c:pt>
                      <c:pt idx="176">
                        <c:v>38961</c:v>
                      </c:pt>
                      <c:pt idx="177">
                        <c:v>38991</c:v>
                      </c:pt>
                      <c:pt idx="178">
                        <c:v>39022</c:v>
                      </c:pt>
                      <c:pt idx="179">
                        <c:v>39052</c:v>
                      </c:pt>
                      <c:pt idx="180">
                        <c:v>39083</c:v>
                      </c:pt>
                      <c:pt idx="181">
                        <c:v>39114</c:v>
                      </c:pt>
                      <c:pt idx="182">
                        <c:v>39142</c:v>
                      </c:pt>
                      <c:pt idx="183">
                        <c:v>39173</c:v>
                      </c:pt>
                      <c:pt idx="184">
                        <c:v>39203</c:v>
                      </c:pt>
                      <c:pt idx="185">
                        <c:v>39234</c:v>
                      </c:pt>
                      <c:pt idx="186">
                        <c:v>39264</c:v>
                      </c:pt>
                      <c:pt idx="187">
                        <c:v>39295</c:v>
                      </c:pt>
                      <c:pt idx="188">
                        <c:v>39326</c:v>
                      </c:pt>
                      <c:pt idx="189">
                        <c:v>39356</c:v>
                      </c:pt>
                      <c:pt idx="190">
                        <c:v>39387</c:v>
                      </c:pt>
                      <c:pt idx="191">
                        <c:v>39417</c:v>
                      </c:pt>
                      <c:pt idx="192">
                        <c:v>39448</c:v>
                      </c:pt>
                      <c:pt idx="193">
                        <c:v>39479</c:v>
                      </c:pt>
                      <c:pt idx="194">
                        <c:v>39508</c:v>
                      </c:pt>
                      <c:pt idx="195">
                        <c:v>39539</c:v>
                      </c:pt>
                      <c:pt idx="196">
                        <c:v>39569</c:v>
                      </c:pt>
                      <c:pt idx="197">
                        <c:v>39600</c:v>
                      </c:pt>
                      <c:pt idx="198">
                        <c:v>39630</c:v>
                      </c:pt>
                      <c:pt idx="199">
                        <c:v>39661</c:v>
                      </c:pt>
                      <c:pt idx="200">
                        <c:v>39692</c:v>
                      </c:pt>
                      <c:pt idx="201">
                        <c:v>39722</c:v>
                      </c:pt>
                      <c:pt idx="202">
                        <c:v>39753</c:v>
                      </c:pt>
                      <c:pt idx="203">
                        <c:v>39783</c:v>
                      </c:pt>
                      <c:pt idx="204">
                        <c:v>39814</c:v>
                      </c:pt>
                      <c:pt idx="205">
                        <c:v>39845</c:v>
                      </c:pt>
                      <c:pt idx="206">
                        <c:v>39873</c:v>
                      </c:pt>
                      <c:pt idx="207">
                        <c:v>39904</c:v>
                      </c:pt>
                      <c:pt idx="208">
                        <c:v>39934</c:v>
                      </c:pt>
                      <c:pt idx="209">
                        <c:v>39965</c:v>
                      </c:pt>
                      <c:pt idx="210">
                        <c:v>39995</c:v>
                      </c:pt>
                      <c:pt idx="211">
                        <c:v>40026</c:v>
                      </c:pt>
                      <c:pt idx="212">
                        <c:v>40057</c:v>
                      </c:pt>
                      <c:pt idx="213">
                        <c:v>40087</c:v>
                      </c:pt>
                      <c:pt idx="214">
                        <c:v>40118</c:v>
                      </c:pt>
                      <c:pt idx="215">
                        <c:v>40148</c:v>
                      </c:pt>
                      <c:pt idx="216">
                        <c:v>40179</c:v>
                      </c:pt>
                      <c:pt idx="217">
                        <c:v>40210</c:v>
                      </c:pt>
                      <c:pt idx="218">
                        <c:v>40238</c:v>
                      </c:pt>
                      <c:pt idx="219">
                        <c:v>40269</c:v>
                      </c:pt>
                      <c:pt idx="220">
                        <c:v>40299</c:v>
                      </c:pt>
                      <c:pt idx="221">
                        <c:v>40330</c:v>
                      </c:pt>
                      <c:pt idx="222">
                        <c:v>40360</c:v>
                      </c:pt>
                      <c:pt idx="223">
                        <c:v>40391</c:v>
                      </c:pt>
                      <c:pt idx="224">
                        <c:v>40422</c:v>
                      </c:pt>
                      <c:pt idx="225">
                        <c:v>40452</c:v>
                      </c:pt>
                      <c:pt idx="226">
                        <c:v>40483</c:v>
                      </c:pt>
                      <c:pt idx="227">
                        <c:v>40513</c:v>
                      </c:pt>
                      <c:pt idx="228">
                        <c:v>40544</c:v>
                      </c:pt>
                      <c:pt idx="229">
                        <c:v>40575</c:v>
                      </c:pt>
                      <c:pt idx="230">
                        <c:v>40603</c:v>
                      </c:pt>
                      <c:pt idx="231">
                        <c:v>40634</c:v>
                      </c:pt>
                      <c:pt idx="232">
                        <c:v>40664</c:v>
                      </c:pt>
                      <c:pt idx="233">
                        <c:v>40695</c:v>
                      </c:pt>
                      <c:pt idx="234">
                        <c:v>40725</c:v>
                      </c:pt>
                      <c:pt idx="235">
                        <c:v>40756</c:v>
                      </c:pt>
                      <c:pt idx="236">
                        <c:v>40787</c:v>
                      </c:pt>
                      <c:pt idx="237">
                        <c:v>40817</c:v>
                      </c:pt>
                      <c:pt idx="238">
                        <c:v>40848</c:v>
                      </c:pt>
                      <c:pt idx="239">
                        <c:v>40878</c:v>
                      </c:pt>
                      <c:pt idx="240">
                        <c:v>40909</c:v>
                      </c:pt>
                      <c:pt idx="241">
                        <c:v>40940</c:v>
                      </c:pt>
                      <c:pt idx="242">
                        <c:v>40969</c:v>
                      </c:pt>
                      <c:pt idx="243">
                        <c:v>41000</c:v>
                      </c:pt>
                      <c:pt idx="244">
                        <c:v>41030</c:v>
                      </c:pt>
                      <c:pt idx="245">
                        <c:v>41061</c:v>
                      </c:pt>
                      <c:pt idx="246">
                        <c:v>41091</c:v>
                      </c:pt>
                      <c:pt idx="247">
                        <c:v>41122</c:v>
                      </c:pt>
                      <c:pt idx="248">
                        <c:v>41153</c:v>
                      </c:pt>
                      <c:pt idx="249">
                        <c:v>41183</c:v>
                      </c:pt>
                      <c:pt idx="250">
                        <c:v>41214</c:v>
                      </c:pt>
                      <c:pt idx="251">
                        <c:v>41244</c:v>
                      </c:pt>
                      <c:pt idx="252">
                        <c:v>41275</c:v>
                      </c:pt>
                      <c:pt idx="253">
                        <c:v>41306</c:v>
                      </c:pt>
                      <c:pt idx="254">
                        <c:v>41334</c:v>
                      </c:pt>
                      <c:pt idx="255">
                        <c:v>41365</c:v>
                      </c:pt>
                      <c:pt idx="256">
                        <c:v>41395</c:v>
                      </c:pt>
                      <c:pt idx="257">
                        <c:v>41426</c:v>
                      </c:pt>
                      <c:pt idx="258">
                        <c:v>41456</c:v>
                      </c:pt>
                      <c:pt idx="259">
                        <c:v>41487</c:v>
                      </c:pt>
                      <c:pt idx="260">
                        <c:v>41518</c:v>
                      </c:pt>
                      <c:pt idx="261">
                        <c:v>41548</c:v>
                      </c:pt>
                      <c:pt idx="262">
                        <c:v>41579</c:v>
                      </c:pt>
                      <c:pt idx="263">
                        <c:v>41609</c:v>
                      </c:pt>
                      <c:pt idx="264">
                        <c:v>41640</c:v>
                      </c:pt>
                      <c:pt idx="265">
                        <c:v>41671</c:v>
                      </c:pt>
                      <c:pt idx="266">
                        <c:v>41699</c:v>
                      </c:pt>
                      <c:pt idx="267">
                        <c:v>41730</c:v>
                      </c:pt>
                      <c:pt idx="268">
                        <c:v>41760</c:v>
                      </c:pt>
                      <c:pt idx="269">
                        <c:v>41791</c:v>
                      </c:pt>
                      <c:pt idx="270">
                        <c:v>41821</c:v>
                      </c:pt>
                      <c:pt idx="271">
                        <c:v>41852</c:v>
                      </c:pt>
                      <c:pt idx="272">
                        <c:v>41883</c:v>
                      </c:pt>
                      <c:pt idx="273">
                        <c:v>41913</c:v>
                      </c:pt>
                      <c:pt idx="274">
                        <c:v>41944</c:v>
                      </c:pt>
                      <c:pt idx="275">
                        <c:v>41974</c:v>
                      </c:pt>
                      <c:pt idx="276">
                        <c:v>42005</c:v>
                      </c:pt>
                      <c:pt idx="277">
                        <c:v>42036</c:v>
                      </c:pt>
                      <c:pt idx="278">
                        <c:v>42064</c:v>
                      </c:pt>
                      <c:pt idx="279">
                        <c:v>42095</c:v>
                      </c:pt>
                      <c:pt idx="280">
                        <c:v>42125</c:v>
                      </c:pt>
                      <c:pt idx="281">
                        <c:v>42156</c:v>
                      </c:pt>
                      <c:pt idx="282">
                        <c:v>42186</c:v>
                      </c:pt>
                      <c:pt idx="283">
                        <c:v>42217</c:v>
                      </c:pt>
                      <c:pt idx="284">
                        <c:v>42248</c:v>
                      </c:pt>
                      <c:pt idx="285">
                        <c:v>42278</c:v>
                      </c:pt>
                      <c:pt idx="286">
                        <c:v>42309</c:v>
                      </c:pt>
                      <c:pt idx="287">
                        <c:v>42339</c:v>
                      </c:pt>
                      <c:pt idx="288">
                        <c:v>42370</c:v>
                      </c:pt>
                      <c:pt idx="289">
                        <c:v>42401</c:v>
                      </c:pt>
                      <c:pt idx="290">
                        <c:v>42430</c:v>
                      </c:pt>
                      <c:pt idx="291">
                        <c:v>42461</c:v>
                      </c:pt>
                      <c:pt idx="292">
                        <c:v>42491</c:v>
                      </c:pt>
                      <c:pt idx="293">
                        <c:v>42522</c:v>
                      </c:pt>
                      <c:pt idx="294">
                        <c:v>42552</c:v>
                      </c:pt>
                      <c:pt idx="295">
                        <c:v>42583</c:v>
                      </c:pt>
                      <c:pt idx="296">
                        <c:v>42614</c:v>
                      </c:pt>
                      <c:pt idx="297">
                        <c:v>42644</c:v>
                      </c:pt>
                      <c:pt idx="298">
                        <c:v>42675</c:v>
                      </c:pt>
                      <c:pt idx="299">
                        <c:v>42705</c:v>
                      </c:pt>
                      <c:pt idx="300">
                        <c:v>42736</c:v>
                      </c:pt>
                      <c:pt idx="301">
                        <c:v>42767</c:v>
                      </c:pt>
                      <c:pt idx="302">
                        <c:v>42795</c:v>
                      </c:pt>
                      <c:pt idx="303">
                        <c:v>42826</c:v>
                      </c:pt>
                      <c:pt idx="304">
                        <c:v>42856</c:v>
                      </c:pt>
                      <c:pt idx="305">
                        <c:v>42887</c:v>
                      </c:pt>
                      <c:pt idx="306">
                        <c:v>42917</c:v>
                      </c:pt>
                      <c:pt idx="307">
                        <c:v>42948</c:v>
                      </c:pt>
                      <c:pt idx="308">
                        <c:v>42979</c:v>
                      </c:pt>
                      <c:pt idx="309">
                        <c:v>43009</c:v>
                      </c:pt>
                      <c:pt idx="310">
                        <c:v>43040</c:v>
                      </c:pt>
                      <c:pt idx="311">
                        <c:v>43070</c:v>
                      </c:pt>
                      <c:pt idx="312">
                        <c:v>43101</c:v>
                      </c:pt>
                      <c:pt idx="313">
                        <c:v>43132</c:v>
                      </c:pt>
                      <c:pt idx="314">
                        <c:v>43160</c:v>
                      </c:pt>
                      <c:pt idx="315">
                        <c:v>43191</c:v>
                      </c:pt>
                      <c:pt idx="316">
                        <c:v>43221</c:v>
                      </c:pt>
                      <c:pt idx="317">
                        <c:v>43252</c:v>
                      </c:pt>
                      <c:pt idx="318">
                        <c:v>43282</c:v>
                      </c:pt>
                      <c:pt idx="319">
                        <c:v>43313</c:v>
                      </c:pt>
                      <c:pt idx="320">
                        <c:v>43344</c:v>
                      </c:pt>
                      <c:pt idx="321">
                        <c:v>43374</c:v>
                      </c:pt>
                      <c:pt idx="322">
                        <c:v>43405</c:v>
                      </c:pt>
                      <c:pt idx="323">
                        <c:v>43435</c:v>
                      </c:pt>
                      <c:pt idx="324">
                        <c:v>43466</c:v>
                      </c:pt>
                      <c:pt idx="325">
                        <c:v>43497</c:v>
                      </c:pt>
                      <c:pt idx="326">
                        <c:v>43525</c:v>
                      </c:pt>
                      <c:pt idx="327">
                        <c:v>43556</c:v>
                      </c:pt>
                      <c:pt idx="328">
                        <c:v>43586</c:v>
                      </c:pt>
                      <c:pt idx="329">
                        <c:v>43617</c:v>
                      </c:pt>
                      <c:pt idx="330">
                        <c:v>43647</c:v>
                      </c:pt>
                      <c:pt idx="331">
                        <c:v>43678</c:v>
                      </c:pt>
                      <c:pt idx="332">
                        <c:v>43709</c:v>
                      </c:pt>
                      <c:pt idx="333">
                        <c:v>43739</c:v>
                      </c:pt>
                      <c:pt idx="334">
                        <c:v>43770</c:v>
                      </c:pt>
                      <c:pt idx="335">
                        <c:v>43800</c:v>
                      </c:pt>
                      <c:pt idx="336">
                        <c:v>43831</c:v>
                      </c:pt>
                      <c:pt idx="337">
                        <c:v>43862</c:v>
                      </c:pt>
                      <c:pt idx="338">
                        <c:v>43891</c:v>
                      </c:pt>
                      <c:pt idx="339">
                        <c:v>43922</c:v>
                      </c:pt>
                      <c:pt idx="340">
                        <c:v>43952</c:v>
                      </c:pt>
                      <c:pt idx="341">
                        <c:v>43983</c:v>
                      </c:pt>
                      <c:pt idx="342">
                        <c:v>44013</c:v>
                      </c:pt>
                      <c:pt idx="343">
                        <c:v>44044</c:v>
                      </c:pt>
                      <c:pt idx="344">
                        <c:v>44075</c:v>
                      </c:pt>
                      <c:pt idx="345">
                        <c:v>44105</c:v>
                      </c:pt>
                      <c:pt idx="346">
                        <c:v>44136</c:v>
                      </c:pt>
                      <c:pt idx="347">
                        <c:v>44166</c:v>
                      </c:pt>
                      <c:pt idx="348">
                        <c:v>44197</c:v>
                      </c:pt>
                      <c:pt idx="349">
                        <c:v>44228</c:v>
                      </c:pt>
                      <c:pt idx="350">
                        <c:v>44256</c:v>
                      </c:pt>
                      <c:pt idx="351">
                        <c:v>44287</c:v>
                      </c:pt>
                      <c:pt idx="352">
                        <c:v>44317</c:v>
                      </c:pt>
                      <c:pt idx="353">
                        <c:v>44348</c:v>
                      </c:pt>
                      <c:pt idx="354">
                        <c:v>44378</c:v>
                      </c:pt>
                      <c:pt idx="355">
                        <c:v>44409</c:v>
                      </c:pt>
                    </c:numCache>
                  </c:numRef>
                </c:cat>
                <c:val>
                  <c:numRef>
                    <c:extLst>
                      <c:ext uri="{02D57815-91ED-43cb-92C2-25804820EDAC}">
                        <c15:formulaRef>
                          <c15:sqref>'Retail Sales'!$B$7:$B$321</c15:sqref>
                        </c15:formulaRef>
                      </c:ext>
                    </c:extLst>
                    <c:numCache>
                      <c:formatCode>#,##0</c:formatCode>
                      <c:ptCount val="315"/>
                      <c:pt idx="0">
                        <c:v>164095</c:v>
                      </c:pt>
                      <c:pt idx="1">
                        <c:v>164213</c:v>
                      </c:pt>
                      <c:pt idx="2">
                        <c:v>163721</c:v>
                      </c:pt>
                      <c:pt idx="3">
                        <c:v>164709</c:v>
                      </c:pt>
                      <c:pt idx="4">
                        <c:v>165612</c:v>
                      </c:pt>
                      <c:pt idx="5">
                        <c:v>166077</c:v>
                      </c:pt>
                      <c:pt idx="6">
                        <c:v>167257</c:v>
                      </c:pt>
                      <c:pt idx="7">
                        <c:v>167800</c:v>
                      </c:pt>
                      <c:pt idx="8">
                        <c:v>169400</c:v>
                      </c:pt>
                      <c:pt idx="9">
                        <c:v>170625</c:v>
                      </c:pt>
                      <c:pt idx="10">
                        <c:v>171003</c:v>
                      </c:pt>
                      <c:pt idx="11">
                        <c:v>173105</c:v>
                      </c:pt>
                      <c:pt idx="12">
                        <c:v>175108</c:v>
                      </c:pt>
                      <c:pt idx="13">
                        <c:v>173744</c:v>
                      </c:pt>
                      <c:pt idx="14">
                        <c:v>172306</c:v>
                      </c:pt>
                      <c:pt idx="15">
                        <c:v>176749</c:v>
                      </c:pt>
                      <c:pt idx="16">
                        <c:v>178426</c:v>
                      </c:pt>
                      <c:pt idx="17">
                        <c:v>178157</c:v>
                      </c:pt>
                      <c:pt idx="18">
                        <c:v>180743</c:v>
                      </c:pt>
                      <c:pt idx="19">
                        <c:v>180707</c:v>
                      </c:pt>
                      <c:pt idx="20">
                        <c:v>181773</c:v>
                      </c:pt>
                      <c:pt idx="21">
                        <c:v>182884</c:v>
                      </c:pt>
                      <c:pt idx="22">
                        <c:v>184747</c:v>
                      </c:pt>
                      <c:pt idx="23">
                        <c:v>186399</c:v>
                      </c:pt>
                      <c:pt idx="24">
                        <c:v>185142</c:v>
                      </c:pt>
                      <c:pt idx="25">
                        <c:v>188074</c:v>
                      </c:pt>
                      <c:pt idx="26">
                        <c:v>191579</c:v>
                      </c:pt>
                      <c:pt idx="27">
                        <c:v>191639</c:v>
                      </c:pt>
                      <c:pt idx="28">
                        <c:v>190929</c:v>
                      </c:pt>
                      <c:pt idx="29">
                        <c:v>193130</c:v>
                      </c:pt>
                      <c:pt idx="30">
                        <c:v>193743</c:v>
                      </c:pt>
                      <c:pt idx="31">
                        <c:v>196163</c:v>
                      </c:pt>
                      <c:pt idx="32">
                        <c:v>197765</c:v>
                      </c:pt>
                      <c:pt idx="33">
                        <c:v>199571</c:v>
                      </c:pt>
                      <c:pt idx="34">
                        <c:v>199731</c:v>
                      </c:pt>
                      <c:pt idx="35">
                        <c:v>200702</c:v>
                      </c:pt>
                      <c:pt idx="36">
                        <c:v>201573</c:v>
                      </c:pt>
                      <c:pt idx="37">
                        <c:v>198399</c:v>
                      </c:pt>
                      <c:pt idx="38">
                        <c:v>200247</c:v>
                      </c:pt>
                      <c:pt idx="39">
                        <c:v>201032</c:v>
                      </c:pt>
                      <c:pt idx="40">
                        <c:v>202986</c:v>
                      </c:pt>
                      <c:pt idx="41">
                        <c:v>205500</c:v>
                      </c:pt>
                      <c:pt idx="42">
                        <c:v>204920</c:v>
                      </c:pt>
                      <c:pt idx="43">
                        <c:v>206521</c:v>
                      </c:pt>
                      <c:pt idx="44">
                        <c:v>207006</c:v>
                      </c:pt>
                      <c:pt idx="45">
                        <c:v>206176</c:v>
                      </c:pt>
                      <c:pt idx="46">
                        <c:v>208664</c:v>
                      </c:pt>
                      <c:pt idx="47">
                        <c:v>210399</c:v>
                      </c:pt>
                      <c:pt idx="48">
                        <c:v>208699</c:v>
                      </c:pt>
                      <c:pt idx="49">
                        <c:v>212008</c:v>
                      </c:pt>
                      <c:pt idx="50">
                        <c:v>213891</c:v>
                      </c:pt>
                      <c:pt idx="51">
                        <c:v>214676</c:v>
                      </c:pt>
                      <c:pt idx="52">
                        <c:v>216299</c:v>
                      </c:pt>
                      <c:pt idx="53">
                        <c:v>216068</c:v>
                      </c:pt>
                      <c:pt idx="54">
                        <c:v>216332</c:v>
                      </c:pt>
                      <c:pt idx="55">
                        <c:v>216358</c:v>
                      </c:pt>
                      <c:pt idx="56">
                        <c:v>219256</c:v>
                      </c:pt>
                      <c:pt idx="57">
                        <c:v>221060</c:v>
                      </c:pt>
                      <c:pt idx="58">
                        <c:v>220963</c:v>
                      </c:pt>
                      <c:pt idx="59">
                        <c:v>221991</c:v>
                      </c:pt>
                      <c:pt idx="60">
                        <c:v>223481</c:v>
                      </c:pt>
                      <c:pt idx="61">
                        <c:v>225422</c:v>
                      </c:pt>
                      <c:pt idx="62">
                        <c:v>226161</c:v>
                      </c:pt>
                      <c:pt idx="63">
                        <c:v>224615</c:v>
                      </c:pt>
                      <c:pt idx="64">
                        <c:v>222929</c:v>
                      </c:pt>
                      <c:pt idx="65">
                        <c:v>226057</c:v>
                      </c:pt>
                      <c:pt idx="66">
                        <c:v>228703</c:v>
                      </c:pt>
                      <c:pt idx="67">
                        <c:v>229309</c:v>
                      </c:pt>
                      <c:pt idx="68">
                        <c:v>230312</c:v>
                      </c:pt>
                      <c:pt idx="69">
                        <c:v>229836</c:v>
                      </c:pt>
                      <c:pt idx="70">
                        <c:v>230440</c:v>
                      </c:pt>
                      <c:pt idx="71">
                        <c:v>231181</c:v>
                      </c:pt>
                      <c:pt idx="72">
                        <c:v>231587</c:v>
                      </c:pt>
                      <c:pt idx="73">
                        <c:v>231684</c:v>
                      </c:pt>
                      <c:pt idx="74">
                        <c:v>233083</c:v>
                      </c:pt>
                      <c:pt idx="75">
                        <c:v>235986</c:v>
                      </c:pt>
                      <c:pt idx="76">
                        <c:v>237075</c:v>
                      </c:pt>
                      <c:pt idx="77">
                        <c:v>238971</c:v>
                      </c:pt>
                      <c:pt idx="78">
                        <c:v>237411</c:v>
                      </c:pt>
                      <c:pt idx="79">
                        <c:v>236379</c:v>
                      </c:pt>
                      <c:pt idx="80">
                        <c:v>238550</c:v>
                      </c:pt>
                      <c:pt idx="81">
                        <c:v>242549</c:v>
                      </c:pt>
                      <c:pt idx="82">
                        <c:v>244291</c:v>
                      </c:pt>
                      <c:pt idx="83">
                        <c:v>246530</c:v>
                      </c:pt>
                      <c:pt idx="84">
                        <c:v>246868</c:v>
                      </c:pt>
                      <c:pt idx="85">
                        <c:v>249520</c:v>
                      </c:pt>
                      <c:pt idx="86">
                        <c:v>250667</c:v>
                      </c:pt>
                      <c:pt idx="87">
                        <c:v>252477</c:v>
                      </c:pt>
                      <c:pt idx="88">
                        <c:v>254735</c:v>
                      </c:pt>
                      <c:pt idx="89">
                        <c:v>255449</c:v>
                      </c:pt>
                      <c:pt idx="90">
                        <c:v>257456</c:v>
                      </c:pt>
                      <c:pt idx="91">
                        <c:v>260230</c:v>
                      </c:pt>
                      <c:pt idx="92">
                        <c:v>261317</c:v>
                      </c:pt>
                      <c:pt idx="93">
                        <c:v>261818</c:v>
                      </c:pt>
                      <c:pt idx="94">
                        <c:v>264965</c:v>
                      </c:pt>
                      <c:pt idx="95">
                        <c:v>269863</c:v>
                      </c:pt>
                      <c:pt idx="96">
                        <c:v>268044</c:v>
                      </c:pt>
                      <c:pt idx="97">
                        <c:v>272020</c:v>
                      </c:pt>
                      <c:pt idx="98">
                        <c:v>275192</c:v>
                      </c:pt>
                      <c:pt idx="99">
                        <c:v>271046</c:v>
                      </c:pt>
                      <c:pt idx="100">
                        <c:v>271394</c:v>
                      </c:pt>
                      <c:pt idx="101">
                        <c:v>273422</c:v>
                      </c:pt>
                      <c:pt idx="102">
                        <c:v>272630</c:v>
                      </c:pt>
                      <c:pt idx="103">
                        <c:v>272918</c:v>
                      </c:pt>
                      <c:pt idx="104">
                        <c:v>277548</c:v>
                      </c:pt>
                      <c:pt idx="105">
                        <c:v>276927</c:v>
                      </c:pt>
                      <c:pt idx="106">
                        <c:v>276029</c:v>
                      </c:pt>
                      <c:pt idx="107">
                        <c:v>275791</c:v>
                      </c:pt>
                      <c:pt idx="108">
                        <c:v>278834</c:v>
                      </c:pt>
                      <c:pt idx="109">
                        <c:v>278773</c:v>
                      </c:pt>
                      <c:pt idx="110">
                        <c:v>276450</c:v>
                      </c:pt>
                      <c:pt idx="111">
                        <c:v>280808</c:v>
                      </c:pt>
                      <c:pt idx="112">
                        <c:v>281496</c:v>
                      </c:pt>
                      <c:pt idx="113">
                        <c:v>280401</c:v>
                      </c:pt>
                      <c:pt idx="114">
                        <c:v>279504</c:v>
                      </c:pt>
                      <c:pt idx="115">
                        <c:v>281413</c:v>
                      </c:pt>
                      <c:pt idx="116">
                        <c:v>276084</c:v>
                      </c:pt>
                      <c:pt idx="117">
                        <c:v>294540</c:v>
                      </c:pt>
                      <c:pt idx="118">
                        <c:v>287111</c:v>
                      </c:pt>
                      <c:pt idx="119">
                        <c:v>283705</c:v>
                      </c:pt>
                      <c:pt idx="120">
                        <c:v>283508</c:v>
                      </c:pt>
                      <c:pt idx="121">
                        <c:v>285054</c:v>
                      </c:pt>
                      <c:pt idx="122">
                        <c:v>284262</c:v>
                      </c:pt>
                      <c:pt idx="123">
                        <c:v>288833</c:v>
                      </c:pt>
                      <c:pt idx="124">
                        <c:v>284951</c:v>
                      </c:pt>
                      <c:pt idx="125">
                        <c:v>287372</c:v>
                      </c:pt>
                      <c:pt idx="126">
                        <c:v>290385</c:v>
                      </c:pt>
                      <c:pt idx="127">
                        <c:v>292650</c:v>
                      </c:pt>
                      <c:pt idx="128">
                        <c:v>288410</c:v>
                      </c:pt>
                      <c:pt idx="129">
                        <c:v>289576</c:v>
                      </c:pt>
                      <c:pt idx="130">
                        <c:v>291484</c:v>
                      </c:pt>
                      <c:pt idx="131">
                        <c:v>293947</c:v>
                      </c:pt>
                      <c:pt idx="132">
                        <c:v>295248</c:v>
                      </c:pt>
                      <c:pt idx="133">
                        <c:v>291167</c:v>
                      </c:pt>
                      <c:pt idx="134">
                        <c:v>296325</c:v>
                      </c:pt>
                      <c:pt idx="135">
                        <c:v>295600</c:v>
                      </c:pt>
                      <c:pt idx="136">
                        <c:v>296410</c:v>
                      </c:pt>
                      <c:pt idx="137">
                        <c:v>299626</c:v>
                      </c:pt>
                      <c:pt idx="138">
                        <c:v>302747</c:v>
                      </c:pt>
                      <c:pt idx="139">
                        <c:v>307809</c:v>
                      </c:pt>
                      <c:pt idx="140">
                        <c:v>305933</c:v>
                      </c:pt>
                      <c:pt idx="141">
                        <c:v>304809</c:v>
                      </c:pt>
                      <c:pt idx="142">
                        <c:v>308527</c:v>
                      </c:pt>
                      <c:pt idx="143">
                        <c:v>307407</c:v>
                      </c:pt>
                      <c:pt idx="144">
                        <c:v>309254</c:v>
                      </c:pt>
                      <c:pt idx="145">
                        <c:v>311393</c:v>
                      </c:pt>
                      <c:pt idx="146">
                        <c:v>316912</c:v>
                      </c:pt>
                      <c:pt idx="147">
                        <c:v>313512</c:v>
                      </c:pt>
                      <c:pt idx="148">
                        <c:v>318964</c:v>
                      </c:pt>
                      <c:pt idx="149">
                        <c:v>314958</c:v>
                      </c:pt>
                      <c:pt idx="150">
                        <c:v>318549</c:v>
                      </c:pt>
                      <c:pt idx="151">
                        <c:v>318977</c:v>
                      </c:pt>
                      <c:pt idx="152">
                        <c:v>324569</c:v>
                      </c:pt>
                      <c:pt idx="153">
                        <c:v>326740</c:v>
                      </c:pt>
                      <c:pt idx="154">
                        <c:v>327836</c:v>
                      </c:pt>
                      <c:pt idx="155">
                        <c:v>331874</c:v>
                      </c:pt>
                      <c:pt idx="156">
                        <c:v>328696</c:v>
                      </c:pt>
                      <c:pt idx="157">
                        <c:v>333026</c:v>
                      </c:pt>
                      <c:pt idx="158">
                        <c:v>333581</c:v>
                      </c:pt>
                      <c:pt idx="159">
                        <c:v>336583</c:v>
                      </c:pt>
                      <c:pt idx="160">
                        <c:v>334522</c:v>
                      </c:pt>
                      <c:pt idx="161">
                        <c:v>343998</c:v>
                      </c:pt>
                      <c:pt idx="162">
                        <c:v>346576</c:v>
                      </c:pt>
                      <c:pt idx="163">
                        <c:v>343307</c:v>
                      </c:pt>
                      <c:pt idx="164">
                        <c:v>343956</c:v>
                      </c:pt>
                      <c:pt idx="165">
                        <c:v>344097</c:v>
                      </c:pt>
                      <c:pt idx="166">
                        <c:v>347325</c:v>
                      </c:pt>
                      <c:pt idx="167">
                        <c:v>347405</c:v>
                      </c:pt>
                      <c:pt idx="168">
                        <c:v>357331</c:v>
                      </c:pt>
                      <c:pt idx="169">
                        <c:v>354706</c:v>
                      </c:pt>
                      <c:pt idx="170">
                        <c:v>355665</c:v>
                      </c:pt>
                      <c:pt idx="171">
                        <c:v>357423</c:v>
                      </c:pt>
                      <c:pt idx="172">
                        <c:v>356704</c:v>
                      </c:pt>
                      <c:pt idx="173">
                        <c:v>357879</c:v>
                      </c:pt>
                      <c:pt idx="174">
                        <c:v>359006</c:v>
                      </c:pt>
                      <c:pt idx="175">
                        <c:v>360691</c:v>
                      </c:pt>
                      <c:pt idx="176">
                        <c:v>358961</c:v>
                      </c:pt>
                      <c:pt idx="177">
                        <c:v>358462</c:v>
                      </c:pt>
                      <c:pt idx="178">
                        <c:v>359266</c:v>
                      </c:pt>
                      <c:pt idx="179">
                        <c:v>363730</c:v>
                      </c:pt>
                      <c:pt idx="180">
                        <c:v>363616</c:v>
                      </c:pt>
                      <c:pt idx="181">
                        <c:v>364006</c:v>
                      </c:pt>
                      <c:pt idx="182">
                        <c:v>367158</c:v>
                      </c:pt>
                      <c:pt idx="183">
                        <c:v>366187</c:v>
                      </c:pt>
                      <c:pt idx="184">
                        <c:v>370934</c:v>
                      </c:pt>
                      <c:pt idx="185">
                        <c:v>368154</c:v>
                      </c:pt>
                      <c:pt idx="186">
                        <c:v>369614</c:v>
                      </c:pt>
                      <c:pt idx="187">
                        <c:v>371358</c:v>
                      </c:pt>
                      <c:pt idx="188">
                        <c:v>372869</c:v>
                      </c:pt>
                      <c:pt idx="189">
                        <c:v>375289</c:v>
                      </c:pt>
                      <c:pt idx="190">
                        <c:v>378860</c:v>
                      </c:pt>
                      <c:pt idx="191">
                        <c:v>374298</c:v>
                      </c:pt>
                      <c:pt idx="192">
                        <c:v>375236</c:v>
                      </c:pt>
                      <c:pt idx="193">
                        <c:v>371833</c:v>
                      </c:pt>
                      <c:pt idx="194">
                        <c:v>372745</c:v>
                      </c:pt>
                      <c:pt idx="195">
                        <c:v>372572</c:v>
                      </c:pt>
                      <c:pt idx="196">
                        <c:v>376036</c:v>
                      </c:pt>
                      <c:pt idx="197">
                        <c:v>376455</c:v>
                      </c:pt>
                      <c:pt idx="198">
                        <c:v>375038</c:v>
                      </c:pt>
                      <c:pt idx="199">
                        <c:v>372284</c:v>
                      </c:pt>
                      <c:pt idx="200">
                        <c:v>366729</c:v>
                      </c:pt>
                      <c:pt idx="201">
                        <c:v>352950</c:v>
                      </c:pt>
                      <c:pt idx="202">
                        <c:v>339350</c:v>
                      </c:pt>
                      <c:pt idx="203">
                        <c:v>332091</c:v>
                      </c:pt>
                      <c:pt idx="204">
                        <c:v>336929</c:v>
                      </c:pt>
                      <c:pt idx="205">
                        <c:v>335576</c:v>
                      </c:pt>
                      <c:pt idx="206">
                        <c:v>329747</c:v>
                      </c:pt>
                      <c:pt idx="207">
                        <c:v>331352</c:v>
                      </c:pt>
                      <c:pt idx="208">
                        <c:v>334256</c:v>
                      </c:pt>
                      <c:pt idx="209">
                        <c:v>339883</c:v>
                      </c:pt>
                      <c:pt idx="210">
                        <c:v>340517</c:v>
                      </c:pt>
                      <c:pt idx="211">
                        <c:v>346668</c:v>
                      </c:pt>
                      <c:pt idx="212">
                        <c:v>338507</c:v>
                      </c:pt>
                      <c:pt idx="213">
                        <c:v>341654</c:v>
                      </c:pt>
                      <c:pt idx="214">
                        <c:v>344375</c:v>
                      </c:pt>
                      <c:pt idx="215">
                        <c:v>346072</c:v>
                      </c:pt>
                      <c:pt idx="216">
                        <c:v>345959</c:v>
                      </c:pt>
                      <c:pt idx="217">
                        <c:v>346895</c:v>
                      </c:pt>
                      <c:pt idx="218">
                        <c:v>354379</c:v>
                      </c:pt>
                      <c:pt idx="219">
                        <c:v>357365</c:v>
                      </c:pt>
                      <c:pt idx="220">
                        <c:v>354299</c:v>
                      </c:pt>
                      <c:pt idx="221">
                        <c:v>353763</c:v>
                      </c:pt>
                      <c:pt idx="222">
                        <c:v>354665</c:v>
                      </c:pt>
                      <c:pt idx="223">
                        <c:v>356810</c:v>
                      </c:pt>
                      <c:pt idx="224">
                        <c:v>359465</c:v>
                      </c:pt>
                      <c:pt idx="225">
                        <c:v>363340</c:v>
                      </c:pt>
                      <c:pt idx="226">
                        <c:v>367455</c:v>
                      </c:pt>
                      <c:pt idx="227">
                        <c:v>369135</c:v>
                      </c:pt>
                      <c:pt idx="228">
                        <c:v>372057</c:v>
                      </c:pt>
                      <c:pt idx="229">
                        <c:v>375092</c:v>
                      </c:pt>
                      <c:pt idx="230">
                        <c:v>378582</c:v>
                      </c:pt>
                      <c:pt idx="231">
                        <c:v>380508</c:v>
                      </c:pt>
                      <c:pt idx="232">
                        <c:v>380353</c:v>
                      </c:pt>
                      <c:pt idx="233">
                        <c:v>383140</c:v>
                      </c:pt>
                      <c:pt idx="234">
                        <c:v>382889</c:v>
                      </c:pt>
                      <c:pt idx="235">
                        <c:v>384006</c:v>
                      </c:pt>
                      <c:pt idx="236">
                        <c:v>387509</c:v>
                      </c:pt>
                      <c:pt idx="237">
                        <c:v>390086</c:v>
                      </c:pt>
                      <c:pt idx="238">
                        <c:v>391541</c:v>
                      </c:pt>
                      <c:pt idx="239">
                        <c:v>391608</c:v>
                      </c:pt>
                      <c:pt idx="240">
                        <c:v>395720</c:v>
                      </c:pt>
                      <c:pt idx="241">
                        <c:v>400329</c:v>
                      </c:pt>
                      <c:pt idx="242">
                        <c:v>401661</c:v>
                      </c:pt>
                      <c:pt idx="243">
                        <c:v>400214</c:v>
                      </c:pt>
                      <c:pt idx="244">
                        <c:v>399331</c:v>
                      </c:pt>
                      <c:pt idx="245">
                        <c:v>395585</c:v>
                      </c:pt>
                      <c:pt idx="246">
                        <c:v>397567</c:v>
                      </c:pt>
                      <c:pt idx="247">
                        <c:v>402162</c:v>
                      </c:pt>
                      <c:pt idx="248">
                        <c:v>405555</c:v>
                      </c:pt>
                      <c:pt idx="249">
                        <c:v>405699</c:v>
                      </c:pt>
                      <c:pt idx="250">
                        <c:v>407396</c:v>
                      </c:pt>
                      <c:pt idx="251">
                        <c:v>409026</c:v>
                      </c:pt>
                      <c:pt idx="252">
                        <c:v>412155</c:v>
                      </c:pt>
                      <c:pt idx="253">
                        <c:v>417159</c:v>
                      </c:pt>
                      <c:pt idx="254">
                        <c:v>414092</c:v>
                      </c:pt>
                      <c:pt idx="255">
                        <c:v>412237</c:v>
                      </c:pt>
                      <c:pt idx="256">
                        <c:v>414309</c:v>
                      </c:pt>
                      <c:pt idx="257">
                        <c:v>415742</c:v>
                      </c:pt>
                      <c:pt idx="258">
                        <c:v>418604</c:v>
                      </c:pt>
                      <c:pt idx="259">
                        <c:v>417644</c:v>
                      </c:pt>
                      <c:pt idx="260">
                        <c:v>417849</c:v>
                      </c:pt>
                      <c:pt idx="261">
                        <c:v>419599</c:v>
                      </c:pt>
                      <c:pt idx="262">
                        <c:v>420658</c:v>
                      </c:pt>
                      <c:pt idx="263">
                        <c:v>423362</c:v>
                      </c:pt>
                      <c:pt idx="264">
                        <c:v>418947</c:v>
                      </c:pt>
                      <c:pt idx="265">
                        <c:v>425005</c:v>
                      </c:pt>
                      <c:pt idx="266">
                        <c:v>429658</c:v>
                      </c:pt>
                      <c:pt idx="267">
                        <c:v>433826</c:v>
                      </c:pt>
                      <c:pt idx="268">
                        <c:v>434640</c:v>
                      </c:pt>
                      <c:pt idx="269">
                        <c:v>435816</c:v>
                      </c:pt>
                      <c:pt idx="270">
                        <c:v>436442</c:v>
                      </c:pt>
                      <c:pt idx="271">
                        <c:v>439680</c:v>
                      </c:pt>
                      <c:pt idx="272">
                        <c:v>438842</c:v>
                      </c:pt>
                      <c:pt idx="273">
                        <c:v>440164</c:v>
                      </c:pt>
                      <c:pt idx="274">
                        <c:v>441536</c:v>
                      </c:pt>
                      <c:pt idx="275">
                        <c:v>439077</c:v>
                      </c:pt>
                      <c:pt idx="276">
                        <c:v>436482</c:v>
                      </c:pt>
                      <c:pt idx="277">
                        <c:v>435847</c:v>
                      </c:pt>
                      <c:pt idx="278">
                        <c:v>442487</c:v>
                      </c:pt>
                      <c:pt idx="279">
                        <c:v>443095</c:v>
                      </c:pt>
                      <c:pt idx="280">
                        <c:v>446529</c:v>
                      </c:pt>
                      <c:pt idx="281">
                        <c:v>447343</c:v>
                      </c:pt>
                      <c:pt idx="282">
                        <c:v>450350</c:v>
                      </c:pt>
                      <c:pt idx="283">
                        <c:v>450521</c:v>
                      </c:pt>
                      <c:pt idx="284">
                        <c:v>448635</c:v>
                      </c:pt>
                      <c:pt idx="285">
                        <c:v>447262</c:v>
                      </c:pt>
                      <c:pt idx="286">
                        <c:v>449121</c:v>
                      </c:pt>
                      <c:pt idx="287">
                        <c:v>450792</c:v>
                      </c:pt>
                      <c:pt idx="288">
                        <c:v>447794</c:v>
                      </c:pt>
                      <c:pt idx="289">
                        <c:v>452342</c:v>
                      </c:pt>
                      <c:pt idx="290">
                        <c:v>450830</c:v>
                      </c:pt>
                      <c:pt idx="291">
                        <c:v>452430</c:v>
                      </c:pt>
                      <c:pt idx="292">
                        <c:v>454443</c:v>
                      </c:pt>
                      <c:pt idx="293">
                        <c:v>459052</c:v>
                      </c:pt>
                      <c:pt idx="294">
                        <c:v>458060</c:v>
                      </c:pt>
                      <c:pt idx="295">
                        <c:v>458771</c:v>
                      </c:pt>
                      <c:pt idx="296">
                        <c:v>461324</c:v>
                      </c:pt>
                      <c:pt idx="297">
                        <c:v>462770</c:v>
                      </c:pt>
                      <c:pt idx="298">
                        <c:v>462407</c:v>
                      </c:pt>
                      <c:pt idx="299">
                        <c:v>468061</c:v>
                      </c:pt>
                      <c:pt idx="300">
                        <c:v>473484</c:v>
                      </c:pt>
                      <c:pt idx="301">
                        <c:v>472995</c:v>
                      </c:pt>
                      <c:pt idx="302">
                        <c:v>471999</c:v>
                      </c:pt>
                      <c:pt idx="303">
                        <c:v>474363</c:v>
                      </c:pt>
                      <c:pt idx="304">
                        <c:v>472010</c:v>
                      </c:pt>
                      <c:pt idx="305">
                        <c:v>473768</c:v>
                      </c:pt>
                      <c:pt idx="306">
                        <c:v>473959</c:v>
                      </c:pt>
                      <c:pt idx="307">
                        <c:v>474703</c:v>
                      </c:pt>
                      <c:pt idx="308">
                        <c:v>484385</c:v>
                      </c:pt>
                      <c:pt idx="309">
                        <c:v>485059</c:v>
                      </c:pt>
                      <c:pt idx="310">
                        <c:v>490007</c:v>
                      </c:pt>
                      <c:pt idx="311">
                        <c:v>492401</c:v>
                      </c:pt>
                      <c:pt idx="312">
                        <c:v>491492</c:v>
                      </c:pt>
                      <c:pt idx="313">
                        <c:v>493759</c:v>
                      </c:pt>
                      <c:pt idx="314">
                        <c:v>493373</c:v>
                      </c:pt>
                    </c:numCache>
                  </c:numRef>
                </c:val>
                <c:smooth val="0"/>
                <c:extLst>
                  <c:ext xmlns:c16="http://schemas.microsoft.com/office/drawing/2014/chart" uri="{C3380CC4-5D6E-409C-BE32-E72D297353CC}">
                    <c16:uniqueId val="{00000001-9120-46A3-AE2C-1F63F5C1B579}"/>
                  </c:ext>
                </c:extLst>
              </c15:ser>
            </c15:filteredLineSeries>
            <c15:filteredLineSeries>
              <c15:ser>
                <c:idx val="1"/>
                <c:order val="1"/>
                <c:spPr>
                  <a:ln w="28575" cap="rnd">
                    <a:solidFill>
                      <a:schemeClr val="accent2"/>
                    </a:solidFill>
                    <a:round/>
                  </a:ln>
                  <a:effectLst/>
                </c:spPr>
                <c:marker>
                  <c:symbol val="none"/>
                </c:marker>
                <c:cat>
                  <c:numRef>
                    <c:extLst xmlns:c15="http://schemas.microsoft.com/office/drawing/2012/chart">
                      <c:ext xmlns:c15="http://schemas.microsoft.com/office/drawing/2012/chart" uri="{02D57815-91ED-43cb-92C2-25804820EDAC}">
                        <c15:formulaRef>
                          <c15:sqref>'Retail Sales'!$A$7:$A$367</c15:sqref>
                        </c15:formulaRef>
                      </c:ext>
                    </c:extLst>
                    <c:numCache>
                      <c:formatCode>[$-409]mmm\-yy;@</c:formatCode>
                      <c:ptCount val="361"/>
                      <c:pt idx="0">
                        <c:v>33604</c:v>
                      </c:pt>
                      <c:pt idx="1">
                        <c:v>33635</c:v>
                      </c:pt>
                      <c:pt idx="2">
                        <c:v>33664</c:v>
                      </c:pt>
                      <c:pt idx="3">
                        <c:v>33695</c:v>
                      </c:pt>
                      <c:pt idx="4">
                        <c:v>33725</c:v>
                      </c:pt>
                      <c:pt idx="5">
                        <c:v>33756</c:v>
                      </c:pt>
                      <c:pt idx="6">
                        <c:v>33786</c:v>
                      </c:pt>
                      <c:pt idx="7">
                        <c:v>33817</c:v>
                      </c:pt>
                      <c:pt idx="8">
                        <c:v>33848</c:v>
                      </c:pt>
                      <c:pt idx="9">
                        <c:v>33878</c:v>
                      </c:pt>
                      <c:pt idx="10">
                        <c:v>33909</c:v>
                      </c:pt>
                      <c:pt idx="11">
                        <c:v>33939</c:v>
                      </c:pt>
                      <c:pt idx="12">
                        <c:v>33970</c:v>
                      </c:pt>
                      <c:pt idx="13">
                        <c:v>34001</c:v>
                      </c:pt>
                      <c:pt idx="14">
                        <c:v>34029</c:v>
                      </c:pt>
                      <c:pt idx="15">
                        <c:v>34060</c:v>
                      </c:pt>
                      <c:pt idx="16">
                        <c:v>34090</c:v>
                      </c:pt>
                      <c:pt idx="17">
                        <c:v>34121</c:v>
                      </c:pt>
                      <c:pt idx="18">
                        <c:v>34151</c:v>
                      </c:pt>
                      <c:pt idx="19">
                        <c:v>34182</c:v>
                      </c:pt>
                      <c:pt idx="20">
                        <c:v>34213</c:v>
                      </c:pt>
                      <c:pt idx="21">
                        <c:v>34243</c:v>
                      </c:pt>
                      <c:pt idx="22">
                        <c:v>34274</c:v>
                      </c:pt>
                      <c:pt idx="23">
                        <c:v>34304</c:v>
                      </c:pt>
                      <c:pt idx="24">
                        <c:v>34335</c:v>
                      </c:pt>
                      <c:pt idx="25">
                        <c:v>34366</c:v>
                      </c:pt>
                      <c:pt idx="26">
                        <c:v>34394</c:v>
                      </c:pt>
                      <c:pt idx="27">
                        <c:v>34425</c:v>
                      </c:pt>
                      <c:pt idx="28">
                        <c:v>34455</c:v>
                      </c:pt>
                      <c:pt idx="29">
                        <c:v>34486</c:v>
                      </c:pt>
                      <c:pt idx="30">
                        <c:v>34516</c:v>
                      </c:pt>
                      <c:pt idx="31">
                        <c:v>34547</c:v>
                      </c:pt>
                      <c:pt idx="32">
                        <c:v>34578</c:v>
                      </c:pt>
                      <c:pt idx="33">
                        <c:v>34608</c:v>
                      </c:pt>
                      <c:pt idx="34">
                        <c:v>34639</c:v>
                      </c:pt>
                      <c:pt idx="35">
                        <c:v>34669</c:v>
                      </c:pt>
                      <c:pt idx="36">
                        <c:v>34700</c:v>
                      </c:pt>
                      <c:pt idx="37">
                        <c:v>34731</c:v>
                      </c:pt>
                      <c:pt idx="38">
                        <c:v>34759</c:v>
                      </c:pt>
                      <c:pt idx="39">
                        <c:v>34790</c:v>
                      </c:pt>
                      <c:pt idx="40">
                        <c:v>34820</c:v>
                      </c:pt>
                      <c:pt idx="41">
                        <c:v>34851</c:v>
                      </c:pt>
                      <c:pt idx="42">
                        <c:v>34881</c:v>
                      </c:pt>
                      <c:pt idx="43">
                        <c:v>34912</c:v>
                      </c:pt>
                      <c:pt idx="44">
                        <c:v>34943</c:v>
                      </c:pt>
                      <c:pt idx="45">
                        <c:v>34973</c:v>
                      </c:pt>
                      <c:pt idx="46">
                        <c:v>35004</c:v>
                      </c:pt>
                      <c:pt idx="47">
                        <c:v>35034</c:v>
                      </c:pt>
                      <c:pt idx="48">
                        <c:v>35065</c:v>
                      </c:pt>
                      <c:pt idx="49">
                        <c:v>35096</c:v>
                      </c:pt>
                      <c:pt idx="50">
                        <c:v>35125</c:v>
                      </c:pt>
                      <c:pt idx="51">
                        <c:v>35156</c:v>
                      </c:pt>
                      <c:pt idx="52">
                        <c:v>35186</c:v>
                      </c:pt>
                      <c:pt idx="53">
                        <c:v>35217</c:v>
                      </c:pt>
                      <c:pt idx="54">
                        <c:v>35247</c:v>
                      </c:pt>
                      <c:pt idx="55">
                        <c:v>35278</c:v>
                      </c:pt>
                      <c:pt idx="56">
                        <c:v>35309</c:v>
                      </c:pt>
                      <c:pt idx="57">
                        <c:v>35339</c:v>
                      </c:pt>
                      <c:pt idx="58">
                        <c:v>35370</c:v>
                      </c:pt>
                      <c:pt idx="59">
                        <c:v>35400</c:v>
                      </c:pt>
                      <c:pt idx="60">
                        <c:v>35431</c:v>
                      </c:pt>
                      <c:pt idx="61">
                        <c:v>35462</c:v>
                      </c:pt>
                      <c:pt idx="62">
                        <c:v>35490</c:v>
                      </c:pt>
                      <c:pt idx="63">
                        <c:v>35521</c:v>
                      </c:pt>
                      <c:pt idx="64">
                        <c:v>35551</c:v>
                      </c:pt>
                      <c:pt idx="65">
                        <c:v>35582</c:v>
                      </c:pt>
                      <c:pt idx="66">
                        <c:v>35612</c:v>
                      </c:pt>
                      <c:pt idx="67">
                        <c:v>35643</c:v>
                      </c:pt>
                      <c:pt idx="68">
                        <c:v>35674</c:v>
                      </c:pt>
                      <c:pt idx="69">
                        <c:v>35704</c:v>
                      </c:pt>
                      <c:pt idx="70">
                        <c:v>35735</c:v>
                      </c:pt>
                      <c:pt idx="71">
                        <c:v>35765</c:v>
                      </c:pt>
                      <c:pt idx="72">
                        <c:v>35796</c:v>
                      </c:pt>
                      <c:pt idx="73">
                        <c:v>35827</c:v>
                      </c:pt>
                      <c:pt idx="74">
                        <c:v>35855</c:v>
                      </c:pt>
                      <c:pt idx="75">
                        <c:v>35886</c:v>
                      </c:pt>
                      <c:pt idx="76">
                        <c:v>35916</c:v>
                      </c:pt>
                      <c:pt idx="77">
                        <c:v>35947</c:v>
                      </c:pt>
                      <c:pt idx="78">
                        <c:v>35977</c:v>
                      </c:pt>
                      <c:pt idx="79">
                        <c:v>36008</c:v>
                      </c:pt>
                      <c:pt idx="80">
                        <c:v>36039</c:v>
                      </c:pt>
                      <c:pt idx="81">
                        <c:v>36069</c:v>
                      </c:pt>
                      <c:pt idx="82">
                        <c:v>36100</c:v>
                      </c:pt>
                      <c:pt idx="83">
                        <c:v>36130</c:v>
                      </c:pt>
                      <c:pt idx="84">
                        <c:v>36161</c:v>
                      </c:pt>
                      <c:pt idx="85">
                        <c:v>36192</c:v>
                      </c:pt>
                      <c:pt idx="86">
                        <c:v>36220</c:v>
                      </c:pt>
                      <c:pt idx="87">
                        <c:v>36251</c:v>
                      </c:pt>
                      <c:pt idx="88">
                        <c:v>36281</c:v>
                      </c:pt>
                      <c:pt idx="89">
                        <c:v>36312</c:v>
                      </c:pt>
                      <c:pt idx="90">
                        <c:v>36342</c:v>
                      </c:pt>
                      <c:pt idx="91">
                        <c:v>36373</c:v>
                      </c:pt>
                      <c:pt idx="92">
                        <c:v>36404</c:v>
                      </c:pt>
                      <c:pt idx="93">
                        <c:v>36434</c:v>
                      </c:pt>
                      <c:pt idx="94">
                        <c:v>36465</c:v>
                      </c:pt>
                      <c:pt idx="95">
                        <c:v>36495</c:v>
                      </c:pt>
                      <c:pt idx="96">
                        <c:v>36526</c:v>
                      </c:pt>
                      <c:pt idx="97">
                        <c:v>36557</c:v>
                      </c:pt>
                      <c:pt idx="98">
                        <c:v>36586</c:v>
                      </c:pt>
                      <c:pt idx="99">
                        <c:v>36617</c:v>
                      </c:pt>
                      <c:pt idx="100">
                        <c:v>36647</c:v>
                      </c:pt>
                      <c:pt idx="101">
                        <c:v>36678</c:v>
                      </c:pt>
                      <c:pt idx="102">
                        <c:v>36708</c:v>
                      </c:pt>
                      <c:pt idx="103">
                        <c:v>36739</c:v>
                      </c:pt>
                      <c:pt idx="104">
                        <c:v>36770</c:v>
                      </c:pt>
                      <c:pt idx="105">
                        <c:v>36800</c:v>
                      </c:pt>
                      <c:pt idx="106">
                        <c:v>36831</c:v>
                      </c:pt>
                      <c:pt idx="107">
                        <c:v>36861</c:v>
                      </c:pt>
                      <c:pt idx="108">
                        <c:v>36892</c:v>
                      </c:pt>
                      <c:pt idx="109">
                        <c:v>36923</c:v>
                      </c:pt>
                      <c:pt idx="110">
                        <c:v>36951</c:v>
                      </c:pt>
                      <c:pt idx="111">
                        <c:v>36982</c:v>
                      </c:pt>
                      <c:pt idx="112">
                        <c:v>37012</c:v>
                      </c:pt>
                      <c:pt idx="113">
                        <c:v>37043</c:v>
                      </c:pt>
                      <c:pt idx="114">
                        <c:v>37073</c:v>
                      </c:pt>
                      <c:pt idx="115">
                        <c:v>37104</c:v>
                      </c:pt>
                      <c:pt idx="116">
                        <c:v>37135</c:v>
                      </c:pt>
                      <c:pt idx="117">
                        <c:v>37165</c:v>
                      </c:pt>
                      <c:pt idx="118">
                        <c:v>37196</c:v>
                      </c:pt>
                      <c:pt idx="119">
                        <c:v>37226</c:v>
                      </c:pt>
                      <c:pt idx="120">
                        <c:v>37257</c:v>
                      </c:pt>
                      <c:pt idx="121">
                        <c:v>37288</c:v>
                      </c:pt>
                      <c:pt idx="122">
                        <c:v>37316</c:v>
                      </c:pt>
                      <c:pt idx="123">
                        <c:v>37347</c:v>
                      </c:pt>
                      <c:pt idx="124">
                        <c:v>37377</c:v>
                      </c:pt>
                      <c:pt idx="125">
                        <c:v>37408</c:v>
                      </c:pt>
                      <c:pt idx="126">
                        <c:v>37438</c:v>
                      </c:pt>
                      <c:pt idx="127">
                        <c:v>37469</c:v>
                      </c:pt>
                      <c:pt idx="128">
                        <c:v>37500</c:v>
                      </c:pt>
                      <c:pt idx="129">
                        <c:v>37530</c:v>
                      </c:pt>
                      <c:pt idx="130">
                        <c:v>37561</c:v>
                      </c:pt>
                      <c:pt idx="131">
                        <c:v>37591</c:v>
                      </c:pt>
                      <c:pt idx="132">
                        <c:v>37622</c:v>
                      </c:pt>
                      <c:pt idx="133">
                        <c:v>37653</c:v>
                      </c:pt>
                      <c:pt idx="134">
                        <c:v>37681</c:v>
                      </c:pt>
                      <c:pt idx="135">
                        <c:v>37712</c:v>
                      </c:pt>
                      <c:pt idx="136">
                        <c:v>37742</c:v>
                      </c:pt>
                      <c:pt idx="137">
                        <c:v>37773</c:v>
                      </c:pt>
                      <c:pt idx="138">
                        <c:v>37803</c:v>
                      </c:pt>
                      <c:pt idx="139">
                        <c:v>37834</c:v>
                      </c:pt>
                      <c:pt idx="140">
                        <c:v>37865</c:v>
                      </c:pt>
                      <c:pt idx="141">
                        <c:v>37895</c:v>
                      </c:pt>
                      <c:pt idx="142">
                        <c:v>37926</c:v>
                      </c:pt>
                      <c:pt idx="143">
                        <c:v>37956</c:v>
                      </c:pt>
                      <c:pt idx="144">
                        <c:v>37987</c:v>
                      </c:pt>
                      <c:pt idx="145">
                        <c:v>38018</c:v>
                      </c:pt>
                      <c:pt idx="146">
                        <c:v>38047</c:v>
                      </c:pt>
                      <c:pt idx="147">
                        <c:v>38078</c:v>
                      </c:pt>
                      <c:pt idx="148">
                        <c:v>38108</c:v>
                      </c:pt>
                      <c:pt idx="149">
                        <c:v>38139</c:v>
                      </c:pt>
                      <c:pt idx="150">
                        <c:v>38169</c:v>
                      </c:pt>
                      <c:pt idx="151">
                        <c:v>38200</c:v>
                      </c:pt>
                      <c:pt idx="152">
                        <c:v>38231</c:v>
                      </c:pt>
                      <c:pt idx="153">
                        <c:v>38261</c:v>
                      </c:pt>
                      <c:pt idx="154">
                        <c:v>38292</c:v>
                      </c:pt>
                      <c:pt idx="155">
                        <c:v>38322</c:v>
                      </c:pt>
                      <c:pt idx="156">
                        <c:v>38353</c:v>
                      </c:pt>
                      <c:pt idx="157">
                        <c:v>38384</c:v>
                      </c:pt>
                      <c:pt idx="158">
                        <c:v>38412</c:v>
                      </c:pt>
                      <c:pt idx="159">
                        <c:v>38443</c:v>
                      </c:pt>
                      <c:pt idx="160">
                        <c:v>38473</c:v>
                      </c:pt>
                      <c:pt idx="161">
                        <c:v>38504</c:v>
                      </c:pt>
                      <c:pt idx="162">
                        <c:v>38534</c:v>
                      </c:pt>
                      <c:pt idx="163">
                        <c:v>38565</c:v>
                      </c:pt>
                      <c:pt idx="164">
                        <c:v>38596</c:v>
                      </c:pt>
                      <c:pt idx="165">
                        <c:v>38626</c:v>
                      </c:pt>
                      <c:pt idx="166">
                        <c:v>38657</c:v>
                      </c:pt>
                      <c:pt idx="167">
                        <c:v>38687</c:v>
                      </c:pt>
                      <c:pt idx="168">
                        <c:v>38718</c:v>
                      </c:pt>
                      <c:pt idx="169">
                        <c:v>38749</c:v>
                      </c:pt>
                      <c:pt idx="170">
                        <c:v>38777</c:v>
                      </c:pt>
                      <c:pt idx="171">
                        <c:v>38808</c:v>
                      </c:pt>
                      <c:pt idx="172">
                        <c:v>38838</c:v>
                      </c:pt>
                      <c:pt idx="173">
                        <c:v>38869</c:v>
                      </c:pt>
                      <c:pt idx="174">
                        <c:v>38899</c:v>
                      </c:pt>
                      <c:pt idx="175">
                        <c:v>38930</c:v>
                      </c:pt>
                      <c:pt idx="176">
                        <c:v>38961</c:v>
                      </c:pt>
                      <c:pt idx="177">
                        <c:v>38991</c:v>
                      </c:pt>
                      <c:pt idx="178">
                        <c:v>39022</c:v>
                      </c:pt>
                      <c:pt idx="179">
                        <c:v>39052</c:v>
                      </c:pt>
                      <c:pt idx="180">
                        <c:v>39083</c:v>
                      </c:pt>
                      <c:pt idx="181">
                        <c:v>39114</c:v>
                      </c:pt>
                      <c:pt idx="182">
                        <c:v>39142</c:v>
                      </c:pt>
                      <c:pt idx="183">
                        <c:v>39173</c:v>
                      </c:pt>
                      <c:pt idx="184">
                        <c:v>39203</c:v>
                      </c:pt>
                      <c:pt idx="185">
                        <c:v>39234</c:v>
                      </c:pt>
                      <c:pt idx="186">
                        <c:v>39264</c:v>
                      </c:pt>
                      <c:pt idx="187">
                        <c:v>39295</c:v>
                      </c:pt>
                      <c:pt idx="188">
                        <c:v>39326</c:v>
                      </c:pt>
                      <c:pt idx="189">
                        <c:v>39356</c:v>
                      </c:pt>
                      <c:pt idx="190">
                        <c:v>39387</c:v>
                      </c:pt>
                      <c:pt idx="191">
                        <c:v>39417</c:v>
                      </c:pt>
                      <c:pt idx="192">
                        <c:v>39448</c:v>
                      </c:pt>
                      <c:pt idx="193">
                        <c:v>39479</c:v>
                      </c:pt>
                      <c:pt idx="194">
                        <c:v>39508</c:v>
                      </c:pt>
                      <c:pt idx="195">
                        <c:v>39539</c:v>
                      </c:pt>
                      <c:pt idx="196">
                        <c:v>39569</c:v>
                      </c:pt>
                      <c:pt idx="197">
                        <c:v>39600</c:v>
                      </c:pt>
                      <c:pt idx="198">
                        <c:v>39630</c:v>
                      </c:pt>
                      <c:pt idx="199">
                        <c:v>39661</c:v>
                      </c:pt>
                      <c:pt idx="200">
                        <c:v>39692</c:v>
                      </c:pt>
                      <c:pt idx="201">
                        <c:v>39722</c:v>
                      </c:pt>
                      <c:pt idx="202">
                        <c:v>39753</c:v>
                      </c:pt>
                      <c:pt idx="203">
                        <c:v>39783</c:v>
                      </c:pt>
                      <c:pt idx="204">
                        <c:v>39814</c:v>
                      </c:pt>
                      <c:pt idx="205">
                        <c:v>39845</c:v>
                      </c:pt>
                      <c:pt idx="206">
                        <c:v>39873</c:v>
                      </c:pt>
                      <c:pt idx="207">
                        <c:v>39904</c:v>
                      </c:pt>
                      <c:pt idx="208">
                        <c:v>39934</c:v>
                      </c:pt>
                      <c:pt idx="209">
                        <c:v>39965</c:v>
                      </c:pt>
                      <c:pt idx="210">
                        <c:v>39995</c:v>
                      </c:pt>
                      <c:pt idx="211">
                        <c:v>40026</c:v>
                      </c:pt>
                      <c:pt idx="212">
                        <c:v>40057</c:v>
                      </c:pt>
                      <c:pt idx="213">
                        <c:v>40087</c:v>
                      </c:pt>
                      <c:pt idx="214">
                        <c:v>40118</c:v>
                      </c:pt>
                      <c:pt idx="215">
                        <c:v>40148</c:v>
                      </c:pt>
                      <c:pt idx="216">
                        <c:v>40179</c:v>
                      </c:pt>
                      <c:pt idx="217">
                        <c:v>40210</c:v>
                      </c:pt>
                      <c:pt idx="218">
                        <c:v>40238</c:v>
                      </c:pt>
                      <c:pt idx="219">
                        <c:v>40269</c:v>
                      </c:pt>
                      <c:pt idx="220">
                        <c:v>40299</c:v>
                      </c:pt>
                      <c:pt idx="221">
                        <c:v>40330</c:v>
                      </c:pt>
                      <c:pt idx="222">
                        <c:v>40360</c:v>
                      </c:pt>
                      <c:pt idx="223">
                        <c:v>40391</c:v>
                      </c:pt>
                      <c:pt idx="224">
                        <c:v>40422</c:v>
                      </c:pt>
                      <c:pt idx="225">
                        <c:v>40452</c:v>
                      </c:pt>
                      <c:pt idx="226">
                        <c:v>40483</c:v>
                      </c:pt>
                      <c:pt idx="227">
                        <c:v>40513</c:v>
                      </c:pt>
                      <c:pt idx="228">
                        <c:v>40544</c:v>
                      </c:pt>
                      <c:pt idx="229">
                        <c:v>40575</c:v>
                      </c:pt>
                      <c:pt idx="230">
                        <c:v>40603</c:v>
                      </c:pt>
                      <c:pt idx="231">
                        <c:v>40634</c:v>
                      </c:pt>
                      <c:pt idx="232">
                        <c:v>40664</c:v>
                      </c:pt>
                      <c:pt idx="233">
                        <c:v>40695</c:v>
                      </c:pt>
                      <c:pt idx="234">
                        <c:v>40725</c:v>
                      </c:pt>
                      <c:pt idx="235">
                        <c:v>40756</c:v>
                      </c:pt>
                      <c:pt idx="236">
                        <c:v>40787</c:v>
                      </c:pt>
                      <c:pt idx="237">
                        <c:v>40817</c:v>
                      </c:pt>
                      <c:pt idx="238">
                        <c:v>40848</c:v>
                      </c:pt>
                      <c:pt idx="239">
                        <c:v>40878</c:v>
                      </c:pt>
                      <c:pt idx="240">
                        <c:v>40909</c:v>
                      </c:pt>
                      <c:pt idx="241">
                        <c:v>40940</c:v>
                      </c:pt>
                      <c:pt idx="242">
                        <c:v>40969</c:v>
                      </c:pt>
                      <c:pt idx="243">
                        <c:v>41000</c:v>
                      </c:pt>
                      <c:pt idx="244">
                        <c:v>41030</c:v>
                      </c:pt>
                      <c:pt idx="245">
                        <c:v>41061</c:v>
                      </c:pt>
                      <c:pt idx="246">
                        <c:v>41091</c:v>
                      </c:pt>
                      <c:pt idx="247">
                        <c:v>41122</c:v>
                      </c:pt>
                      <c:pt idx="248">
                        <c:v>41153</c:v>
                      </c:pt>
                      <c:pt idx="249">
                        <c:v>41183</c:v>
                      </c:pt>
                      <c:pt idx="250">
                        <c:v>41214</c:v>
                      </c:pt>
                      <c:pt idx="251">
                        <c:v>41244</c:v>
                      </c:pt>
                      <c:pt idx="252">
                        <c:v>41275</c:v>
                      </c:pt>
                      <c:pt idx="253">
                        <c:v>41306</c:v>
                      </c:pt>
                      <c:pt idx="254">
                        <c:v>41334</c:v>
                      </c:pt>
                      <c:pt idx="255">
                        <c:v>41365</c:v>
                      </c:pt>
                      <c:pt idx="256">
                        <c:v>41395</c:v>
                      </c:pt>
                      <c:pt idx="257">
                        <c:v>41426</c:v>
                      </c:pt>
                      <c:pt idx="258">
                        <c:v>41456</c:v>
                      </c:pt>
                      <c:pt idx="259">
                        <c:v>41487</c:v>
                      </c:pt>
                      <c:pt idx="260">
                        <c:v>41518</c:v>
                      </c:pt>
                      <c:pt idx="261">
                        <c:v>41548</c:v>
                      </c:pt>
                      <c:pt idx="262">
                        <c:v>41579</c:v>
                      </c:pt>
                      <c:pt idx="263">
                        <c:v>41609</c:v>
                      </c:pt>
                      <c:pt idx="264">
                        <c:v>41640</c:v>
                      </c:pt>
                      <c:pt idx="265">
                        <c:v>41671</c:v>
                      </c:pt>
                      <c:pt idx="266">
                        <c:v>41699</c:v>
                      </c:pt>
                      <c:pt idx="267">
                        <c:v>41730</c:v>
                      </c:pt>
                      <c:pt idx="268">
                        <c:v>41760</c:v>
                      </c:pt>
                      <c:pt idx="269">
                        <c:v>41791</c:v>
                      </c:pt>
                      <c:pt idx="270">
                        <c:v>41821</c:v>
                      </c:pt>
                      <c:pt idx="271">
                        <c:v>41852</c:v>
                      </c:pt>
                      <c:pt idx="272">
                        <c:v>41883</c:v>
                      </c:pt>
                      <c:pt idx="273">
                        <c:v>41913</c:v>
                      </c:pt>
                      <c:pt idx="274">
                        <c:v>41944</c:v>
                      </c:pt>
                      <c:pt idx="275">
                        <c:v>41974</c:v>
                      </c:pt>
                      <c:pt idx="276">
                        <c:v>42005</c:v>
                      </c:pt>
                      <c:pt idx="277">
                        <c:v>42036</c:v>
                      </c:pt>
                      <c:pt idx="278">
                        <c:v>42064</c:v>
                      </c:pt>
                      <c:pt idx="279">
                        <c:v>42095</c:v>
                      </c:pt>
                      <c:pt idx="280">
                        <c:v>42125</c:v>
                      </c:pt>
                      <c:pt idx="281">
                        <c:v>42156</c:v>
                      </c:pt>
                      <c:pt idx="282">
                        <c:v>42186</c:v>
                      </c:pt>
                      <c:pt idx="283">
                        <c:v>42217</c:v>
                      </c:pt>
                      <c:pt idx="284">
                        <c:v>42248</c:v>
                      </c:pt>
                      <c:pt idx="285">
                        <c:v>42278</c:v>
                      </c:pt>
                      <c:pt idx="286">
                        <c:v>42309</c:v>
                      </c:pt>
                      <c:pt idx="287">
                        <c:v>42339</c:v>
                      </c:pt>
                      <c:pt idx="288">
                        <c:v>42370</c:v>
                      </c:pt>
                      <c:pt idx="289">
                        <c:v>42401</c:v>
                      </c:pt>
                      <c:pt idx="290">
                        <c:v>42430</c:v>
                      </c:pt>
                      <c:pt idx="291">
                        <c:v>42461</c:v>
                      </c:pt>
                      <c:pt idx="292">
                        <c:v>42491</c:v>
                      </c:pt>
                      <c:pt idx="293">
                        <c:v>42522</c:v>
                      </c:pt>
                      <c:pt idx="294">
                        <c:v>42552</c:v>
                      </c:pt>
                      <c:pt idx="295">
                        <c:v>42583</c:v>
                      </c:pt>
                      <c:pt idx="296">
                        <c:v>42614</c:v>
                      </c:pt>
                      <c:pt idx="297">
                        <c:v>42644</c:v>
                      </c:pt>
                      <c:pt idx="298">
                        <c:v>42675</c:v>
                      </c:pt>
                      <c:pt idx="299">
                        <c:v>42705</c:v>
                      </c:pt>
                      <c:pt idx="300">
                        <c:v>42736</c:v>
                      </c:pt>
                      <c:pt idx="301">
                        <c:v>42767</c:v>
                      </c:pt>
                      <c:pt idx="302">
                        <c:v>42795</c:v>
                      </c:pt>
                      <c:pt idx="303">
                        <c:v>42826</c:v>
                      </c:pt>
                      <c:pt idx="304">
                        <c:v>42856</c:v>
                      </c:pt>
                      <c:pt idx="305">
                        <c:v>42887</c:v>
                      </c:pt>
                      <c:pt idx="306">
                        <c:v>42917</c:v>
                      </c:pt>
                      <c:pt idx="307">
                        <c:v>42948</c:v>
                      </c:pt>
                      <c:pt idx="308">
                        <c:v>42979</c:v>
                      </c:pt>
                      <c:pt idx="309">
                        <c:v>43009</c:v>
                      </c:pt>
                      <c:pt idx="310">
                        <c:v>43040</c:v>
                      </c:pt>
                      <c:pt idx="311">
                        <c:v>43070</c:v>
                      </c:pt>
                      <c:pt idx="312">
                        <c:v>43101</c:v>
                      </c:pt>
                      <c:pt idx="313">
                        <c:v>43132</c:v>
                      </c:pt>
                      <c:pt idx="314">
                        <c:v>43160</c:v>
                      </c:pt>
                      <c:pt idx="315">
                        <c:v>43191</c:v>
                      </c:pt>
                      <c:pt idx="316">
                        <c:v>43221</c:v>
                      </c:pt>
                      <c:pt idx="317">
                        <c:v>43252</c:v>
                      </c:pt>
                      <c:pt idx="318">
                        <c:v>43282</c:v>
                      </c:pt>
                      <c:pt idx="319">
                        <c:v>43313</c:v>
                      </c:pt>
                      <c:pt idx="320">
                        <c:v>43344</c:v>
                      </c:pt>
                      <c:pt idx="321">
                        <c:v>43374</c:v>
                      </c:pt>
                      <c:pt idx="322">
                        <c:v>43405</c:v>
                      </c:pt>
                      <c:pt idx="323">
                        <c:v>43435</c:v>
                      </c:pt>
                      <c:pt idx="324">
                        <c:v>43466</c:v>
                      </c:pt>
                      <c:pt idx="325">
                        <c:v>43497</c:v>
                      </c:pt>
                      <c:pt idx="326">
                        <c:v>43525</c:v>
                      </c:pt>
                      <c:pt idx="327">
                        <c:v>43556</c:v>
                      </c:pt>
                      <c:pt idx="328">
                        <c:v>43586</c:v>
                      </c:pt>
                      <c:pt idx="329">
                        <c:v>43617</c:v>
                      </c:pt>
                      <c:pt idx="330">
                        <c:v>43647</c:v>
                      </c:pt>
                      <c:pt idx="331">
                        <c:v>43678</c:v>
                      </c:pt>
                      <c:pt idx="332">
                        <c:v>43709</c:v>
                      </c:pt>
                      <c:pt idx="333">
                        <c:v>43739</c:v>
                      </c:pt>
                      <c:pt idx="334">
                        <c:v>43770</c:v>
                      </c:pt>
                      <c:pt idx="335">
                        <c:v>43800</c:v>
                      </c:pt>
                      <c:pt idx="336">
                        <c:v>43831</c:v>
                      </c:pt>
                      <c:pt idx="337">
                        <c:v>43862</c:v>
                      </c:pt>
                      <c:pt idx="338">
                        <c:v>43891</c:v>
                      </c:pt>
                      <c:pt idx="339">
                        <c:v>43922</c:v>
                      </c:pt>
                      <c:pt idx="340">
                        <c:v>43952</c:v>
                      </c:pt>
                      <c:pt idx="341">
                        <c:v>43983</c:v>
                      </c:pt>
                      <c:pt idx="342">
                        <c:v>44013</c:v>
                      </c:pt>
                      <c:pt idx="343">
                        <c:v>44044</c:v>
                      </c:pt>
                      <c:pt idx="344">
                        <c:v>44075</c:v>
                      </c:pt>
                      <c:pt idx="345">
                        <c:v>44105</c:v>
                      </c:pt>
                      <c:pt idx="346">
                        <c:v>44136</c:v>
                      </c:pt>
                      <c:pt idx="347">
                        <c:v>44166</c:v>
                      </c:pt>
                      <c:pt idx="348">
                        <c:v>44197</c:v>
                      </c:pt>
                      <c:pt idx="349">
                        <c:v>44228</c:v>
                      </c:pt>
                      <c:pt idx="350">
                        <c:v>44256</c:v>
                      </c:pt>
                      <c:pt idx="351">
                        <c:v>44287</c:v>
                      </c:pt>
                      <c:pt idx="352">
                        <c:v>44317</c:v>
                      </c:pt>
                      <c:pt idx="353">
                        <c:v>44348</c:v>
                      </c:pt>
                      <c:pt idx="354">
                        <c:v>44378</c:v>
                      </c:pt>
                      <c:pt idx="355">
                        <c:v>44409</c:v>
                      </c:pt>
                    </c:numCache>
                  </c:numRef>
                </c:cat>
                <c:val>
                  <c:numRef>
                    <c:extLst xmlns:c15="http://schemas.microsoft.com/office/drawing/2012/chart">
                      <c:ext xmlns:c15="http://schemas.microsoft.com/office/drawing/2012/chart" uri="{02D57815-91ED-43cb-92C2-25804820EDAC}">
                        <c15:formulaRef>
                          <c15:sqref>'Retail Sales'!$C$7:$C$321</c15:sqref>
                        </c15:formulaRef>
                      </c:ext>
                    </c:extLst>
                    <c:numCache>
                      <c:formatCode>0.00%</c:formatCode>
                      <c:ptCount val="315"/>
                      <c:pt idx="1">
                        <c:v>7.1909564581492432E-4</c:v>
                      </c:pt>
                      <c:pt idx="2">
                        <c:v>-2.9961087124649082E-3</c:v>
                      </c:pt>
                      <c:pt idx="3">
                        <c:v>6.0346565193225062E-3</c:v>
                      </c:pt>
                      <c:pt idx="4">
                        <c:v>5.4823962260714355E-3</c:v>
                      </c:pt>
                      <c:pt idx="5">
                        <c:v>2.8077675530758643E-3</c:v>
                      </c:pt>
                      <c:pt idx="6">
                        <c:v>7.1051379781667543E-3</c:v>
                      </c:pt>
                      <c:pt idx="7">
                        <c:v>3.24650089383404E-3</c:v>
                      </c:pt>
                      <c:pt idx="8">
                        <c:v>9.5351609058402856E-3</c:v>
                      </c:pt>
                      <c:pt idx="9">
                        <c:v>7.2314049586776862E-3</c:v>
                      </c:pt>
                      <c:pt idx="10">
                        <c:v>2.2153846153846156E-3</c:v>
                      </c:pt>
                      <c:pt idx="11">
                        <c:v>1.2292182008502775E-2</c:v>
                      </c:pt>
                      <c:pt idx="12">
                        <c:v>1.157101181363912E-2</c:v>
                      </c:pt>
                      <c:pt idx="13">
                        <c:v>-7.7894784932727229E-3</c:v>
                      </c:pt>
                      <c:pt idx="14">
                        <c:v>-8.2765448015471033E-3</c:v>
                      </c:pt>
                      <c:pt idx="15">
                        <c:v>2.5785521107796593E-2</c:v>
                      </c:pt>
                      <c:pt idx="16">
                        <c:v>9.4880310496806199E-3</c:v>
                      </c:pt>
                      <c:pt idx="17">
                        <c:v>-1.5076278120901663E-3</c:v>
                      </c:pt>
                      <c:pt idx="18">
                        <c:v>1.4515287078251206E-2</c:v>
                      </c:pt>
                      <c:pt idx="19">
                        <c:v>-1.9917783814587563E-4</c:v>
                      </c:pt>
                      <c:pt idx="20">
                        <c:v>5.8990520566441808E-3</c:v>
                      </c:pt>
                      <c:pt idx="21">
                        <c:v>6.112018836680915E-3</c:v>
                      </c:pt>
                      <c:pt idx="22">
                        <c:v>1.018678506594344E-2</c:v>
                      </c:pt>
                      <c:pt idx="23">
                        <c:v>8.9419584621130525E-3</c:v>
                      </c:pt>
                      <c:pt idx="24">
                        <c:v>-6.743598409862714E-3</c:v>
                      </c:pt>
                      <c:pt idx="25">
                        <c:v>1.5836493070183966E-2</c:v>
                      </c:pt>
                      <c:pt idx="26">
                        <c:v>1.863628146367919E-2</c:v>
                      </c:pt>
                      <c:pt idx="27">
                        <c:v>3.1318672714650351E-4</c:v>
                      </c:pt>
                      <c:pt idx="28">
                        <c:v>-3.704882617838749E-3</c:v>
                      </c:pt>
                      <c:pt idx="29">
                        <c:v>1.1527845429452833E-2</c:v>
                      </c:pt>
                      <c:pt idx="30">
                        <c:v>3.1740278568839642E-3</c:v>
                      </c:pt>
                      <c:pt idx="31">
                        <c:v>1.2490773860216886E-2</c:v>
                      </c:pt>
                      <c:pt idx="32">
                        <c:v>8.1666777119028568E-3</c:v>
                      </c:pt>
                      <c:pt idx="33">
                        <c:v>9.1320506661947253E-3</c:v>
                      </c:pt>
                      <c:pt idx="34">
                        <c:v>8.0171968873233082E-4</c:v>
                      </c:pt>
                      <c:pt idx="35">
                        <c:v>4.8615387696451726E-3</c:v>
                      </c:pt>
                      <c:pt idx="36">
                        <c:v>4.339767416368546E-3</c:v>
                      </c:pt>
                      <c:pt idx="37">
                        <c:v>-1.5746156479290382E-2</c:v>
                      </c:pt>
                      <c:pt idx="38">
                        <c:v>9.3145630774348655E-3</c:v>
                      </c:pt>
                      <c:pt idx="39">
                        <c:v>3.9201586041239071E-3</c:v>
                      </c:pt>
                      <c:pt idx="40">
                        <c:v>9.7198455967209205E-3</c:v>
                      </c:pt>
                      <c:pt idx="41">
                        <c:v>1.2385090597381101E-2</c:v>
                      </c:pt>
                      <c:pt idx="42">
                        <c:v>-2.8223844282238442E-3</c:v>
                      </c:pt>
                      <c:pt idx="43">
                        <c:v>7.8128049970720287E-3</c:v>
                      </c:pt>
                      <c:pt idx="44">
                        <c:v>2.3484294575370061E-3</c:v>
                      </c:pt>
                      <c:pt idx="45">
                        <c:v>-4.0095456170352551E-3</c:v>
                      </c:pt>
                      <c:pt idx="46">
                        <c:v>1.2067359925500544E-2</c:v>
                      </c:pt>
                      <c:pt idx="47">
                        <c:v>8.3148027450830036E-3</c:v>
                      </c:pt>
                      <c:pt idx="48">
                        <c:v>-8.079886311246726E-3</c:v>
                      </c:pt>
                      <c:pt idx="49">
                        <c:v>1.58553706534291E-2</c:v>
                      </c:pt>
                      <c:pt idx="50">
                        <c:v>8.8817403116863512E-3</c:v>
                      </c:pt>
                      <c:pt idx="51">
                        <c:v>3.6700936458289504E-3</c:v>
                      </c:pt>
                      <c:pt idx="52">
                        <c:v>7.5602303005459391E-3</c:v>
                      </c:pt>
                      <c:pt idx="53">
                        <c:v>-1.0679661024785136E-3</c:v>
                      </c:pt>
                      <c:pt idx="54">
                        <c:v>1.2218375696539977E-3</c:v>
                      </c:pt>
                      <c:pt idx="55">
                        <c:v>1.2018564058946434E-4</c:v>
                      </c:pt>
                      <c:pt idx="56">
                        <c:v>1.3394466578541122E-2</c:v>
                      </c:pt>
                      <c:pt idx="57">
                        <c:v>8.2278250082095817E-3</c:v>
                      </c:pt>
                      <c:pt idx="58">
                        <c:v>-4.3879489731294671E-4</c:v>
                      </c:pt>
                      <c:pt idx="59">
                        <c:v>4.6523626127451204E-3</c:v>
                      </c:pt>
                      <c:pt idx="60">
                        <c:v>6.7119838191638395E-3</c:v>
                      </c:pt>
                      <c:pt idx="61">
                        <c:v>8.6853021062193204E-3</c:v>
                      </c:pt>
                      <c:pt idx="62">
                        <c:v>3.2782958185092847E-3</c:v>
                      </c:pt>
                      <c:pt idx="63">
                        <c:v>-6.8358381860709845E-3</c:v>
                      </c:pt>
                      <c:pt idx="64">
                        <c:v>-7.5061772366048574E-3</c:v>
                      </c:pt>
                      <c:pt idx="65">
                        <c:v>1.40313732174818E-2</c:v>
                      </c:pt>
                      <c:pt idx="66">
                        <c:v>1.170501245261151E-2</c:v>
                      </c:pt>
                      <c:pt idx="67">
                        <c:v>2.6497247521895207E-3</c:v>
                      </c:pt>
                      <c:pt idx="68">
                        <c:v>4.3740106144983405E-3</c:v>
                      </c:pt>
                      <c:pt idx="69">
                        <c:v>-2.0667616103372814E-3</c:v>
                      </c:pt>
                      <c:pt idx="70">
                        <c:v>2.627960806836179E-3</c:v>
                      </c:pt>
                      <c:pt idx="71">
                        <c:v>3.2155875716021525E-3</c:v>
                      </c:pt>
                      <c:pt idx="72">
                        <c:v>1.7561996876905973E-3</c:v>
                      </c:pt>
                      <c:pt idx="73">
                        <c:v>4.1884907183909289E-4</c:v>
                      </c:pt>
                      <c:pt idx="74">
                        <c:v>6.0383971271214237E-3</c:v>
                      </c:pt>
                      <c:pt idx="75">
                        <c:v>1.2454790782682563E-2</c:v>
                      </c:pt>
                      <c:pt idx="76">
                        <c:v>4.6146805318959599E-3</c:v>
                      </c:pt>
                      <c:pt idx="77">
                        <c:v>7.9974691553305922E-3</c:v>
                      </c:pt>
                      <c:pt idx="78">
                        <c:v>-6.5279887517732281E-3</c:v>
                      </c:pt>
                      <c:pt idx="79">
                        <c:v>-4.3468920985127056E-3</c:v>
                      </c:pt>
                      <c:pt idx="80">
                        <c:v>9.1844030138041027E-3</c:v>
                      </c:pt>
                      <c:pt idx="81">
                        <c:v>1.6763781177950115E-2</c:v>
                      </c:pt>
                      <c:pt idx="82">
                        <c:v>7.1820539354934465E-3</c:v>
                      </c:pt>
                      <c:pt idx="83">
                        <c:v>9.1652987625413952E-3</c:v>
                      </c:pt>
                      <c:pt idx="84">
                        <c:v>1.3710298949417921E-3</c:v>
                      </c:pt>
                      <c:pt idx="85">
                        <c:v>1.0742583080836723E-2</c:v>
                      </c:pt>
                      <c:pt idx="86">
                        <c:v>4.5968259057390191E-3</c:v>
                      </c:pt>
                      <c:pt idx="87">
                        <c:v>7.2207350788097355E-3</c:v>
                      </c:pt>
                      <c:pt idx="88">
                        <c:v>8.9433889027515385E-3</c:v>
                      </c:pt>
                      <c:pt idx="89">
                        <c:v>2.802912830981216E-3</c:v>
                      </c:pt>
                      <c:pt idx="90">
                        <c:v>7.8567541857670221E-3</c:v>
                      </c:pt>
                      <c:pt idx="91">
                        <c:v>1.0774656640357963E-2</c:v>
                      </c:pt>
                      <c:pt idx="92">
                        <c:v>4.1770741267340428E-3</c:v>
                      </c:pt>
                      <c:pt idx="93">
                        <c:v>1.9172116624635979E-3</c:v>
                      </c:pt>
                      <c:pt idx="94">
                        <c:v>1.2019800013750009E-2</c:v>
                      </c:pt>
                      <c:pt idx="95">
                        <c:v>1.8485460343818996E-2</c:v>
                      </c:pt>
                      <c:pt idx="96">
                        <c:v>-6.7404571949470655E-3</c:v>
                      </c:pt>
                      <c:pt idx="97">
                        <c:v>1.4833385563564191E-2</c:v>
                      </c:pt>
                      <c:pt idx="98">
                        <c:v>1.1660907286228954E-2</c:v>
                      </c:pt>
                      <c:pt idx="99">
                        <c:v>-1.5065844937352831E-2</c:v>
                      </c:pt>
                      <c:pt idx="100">
                        <c:v>1.2839149074326866E-3</c:v>
                      </c:pt>
                      <c:pt idx="101">
                        <c:v>7.4725307118064513E-3</c:v>
                      </c:pt>
                      <c:pt idx="102">
                        <c:v>-2.8966213399068109E-3</c:v>
                      </c:pt>
                      <c:pt idx="103">
                        <c:v>1.0563767743828633E-3</c:v>
                      </c:pt>
                      <c:pt idx="104">
                        <c:v>1.6964802614704785E-2</c:v>
                      </c:pt>
                      <c:pt idx="105">
                        <c:v>-2.2374508193177397E-3</c:v>
                      </c:pt>
                      <c:pt idx="106">
                        <c:v>-3.2427318390767243E-3</c:v>
                      </c:pt>
                      <c:pt idx="107">
                        <c:v>-8.6222824413376858E-4</c:v>
                      </c:pt>
                      <c:pt idx="108">
                        <c:v>1.1033717561486777E-2</c:v>
                      </c:pt>
                      <c:pt idx="109">
                        <c:v>-2.1876815596376338E-4</c:v>
                      </c:pt>
                      <c:pt idx="110">
                        <c:v>-8.3329447256369881E-3</c:v>
                      </c:pt>
                      <c:pt idx="111">
                        <c:v>1.5764152649665401E-2</c:v>
                      </c:pt>
                      <c:pt idx="112">
                        <c:v>2.45007264750292E-3</c:v>
                      </c:pt>
                      <c:pt idx="113">
                        <c:v>-3.8899309404041263E-3</c:v>
                      </c:pt>
                      <c:pt idx="114">
                        <c:v>-3.1989900178672685E-3</c:v>
                      </c:pt>
                      <c:pt idx="115">
                        <c:v>6.8299559219188273E-3</c:v>
                      </c:pt>
                      <c:pt idx="116">
                        <c:v>-1.8936580754975781E-2</c:v>
                      </c:pt>
                      <c:pt idx="117">
                        <c:v>6.6849219802668752E-2</c:v>
                      </c:pt>
                      <c:pt idx="118">
                        <c:v>-2.5222380661370274E-2</c:v>
                      </c:pt>
                      <c:pt idx="119">
                        <c:v>-1.1863007686922479E-2</c:v>
                      </c:pt>
                      <c:pt idx="120">
                        <c:v>-6.9438325020708131E-4</c:v>
                      </c:pt>
                      <c:pt idx="121">
                        <c:v>5.453108906979697E-3</c:v>
                      </c:pt>
                      <c:pt idx="122">
                        <c:v>-2.7784209307710117E-3</c:v>
                      </c:pt>
                      <c:pt idx="123">
                        <c:v>1.6080235838768459E-2</c:v>
                      </c:pt>
                      <c:pt idx="124">
                        <c:v>-1.3440292487354285E-2</c:v>
                      </c:pt>
                      <c:pt idx="125">
                        <c:v>8.4961975918666725E-3</c:v>
                      </c:pt>
                      <c:pt idx="126">
                        <c:v>1.0484667956516293E-2</c:v>
                      </c:pt>
                      <c:pt idx="127">
                        <c:v>7.7999896688878559E-3</c:v>
                      </c:pt>
                      <c:pt idx="128">
                        <c:v>-1.4488296600034171E-2</c:v>
                      </c:pt>
                      <c:pt idx="129">
                        <c:v>4.0428556568773621E-3</c:v>
                      </c:pt>
                      <c:pt idx="130">
                        <c:v>6.5889438351244582E-3</c:v>
                      </c:pt>
                      <c:pt idx="131">
                        <c:v>8.4498634573424262E-3</c:v>
                      </c:pt>
                      <c:pt idx="132">
                        <c:v>4.4259679466026186E-3</c:v>
                      </c:pt>
                      <c:pt idx="133">
                        <c:v>-1.3822278220343575E-2</c:v>
                      </c:pt>
                      <c:pt idx="134">
                        <c:v>1.7714919616577427E-2</c:v>
                      </c:pt>
                      <c:pt idx="135">
                        <c:v>-2.4466379819454991E-3</c:v>
                      </c:pt>
                      <c:pt idx="136">
                        <c:v>2.7401894451962111E-3</c:v>
                      </c:pt>
                      <c:pt idx="137">
                        <c:v>1.0849836375290982E-2</c:v>
                      </c:pt>
                      <c:pt idx="138">
                        <c:v>1.0416319011033756E-2</c:v>
                      </c:pt>
                      <c:pt idx="139">
                        <c:v>1.672023174465808E-2</c:v>
                      </c:pt>
                      <c:pt idx="140">
                        <c:v>-6.0946885893524878E-3</c:v>
                      </c:pt>
                      <c:pt idx="141">
                        <c:v>-3.6740070538320482E-3</c:v>
                      </c:pt>
                      <c:pt idx="142">
                        <c:v>1.2197802558323409E-2</c:v>
                      </c:pt>
                      <c:pt idx="143">
                        <c:v>-3.6301523043364113E-3</c:v>
                      </c:pt>
                      <c:pt idx="144">
                        <c:v>6.0083212158473943E-3</c:v>
                      </c:pt>
                      <c:pt idx="145">
                        <c:v>6.9166445704825158E-3</c:v>
                      </c:pt>
                      <c:pt idx="146">
                        <c:v>1.7723584024046782E-2</c:v>
                      </c:pt>
                      <c:pt idx="147">
                        <c:v>-1.0728530317564497E-2</c:v>
                      </c:pt>
                      <c:pt idx="148">
                        <c:v>1.7390083952129425E-2</c:v>
                      </c:pt>
                      <c:pt idx="149">
                        <c:v>-1.2559411093414932E-2</c:v>
                      </c:pt>
                      <c:pt idx="150">
                        <c:v>1.1401520202693692E-2</c:v>
                      </c:pt>
                      <c:pt idx="151">
                        <c:v>1.3435923515691464E-3</c:v>
                      </c:pt>
                      <c:pt idx="152">
                        <c:v>1.7531044558071585E-2</c:v>
                      </c:pt>
                      <c:pt idx="153">
                        <c:v>6.6888704713019423E-3</c:v>
                      </c:pt>
                      <c:pt idx="154">
                        <c:v>3.3543490236885598E-3</c:v>
                      </c:pt>
                      <c:pt idx="155">
                        <c:v>1.231713417684452E-2</c:v>
                      </c:pt>
                      <c:pt idx="156">
                        <c:v>-9.575923392612859E-3</c:v>
                      </c:pt>
                      <c:pt idx="157">
                        <c:v>1.317326648331589E-2</c:v>
                      </c:pt>
                      <c:pt idx="158">
                        <c:v>1.6665365466960538E-3</c:v>
                      </c:pt>
                      <c:pt idx="159">
                        <c:v>8.999313510062024E-3</c:v>
                      </c:pt>
                      <c:pt idx="160">
                        <c:v>-6.1233039101796583E-3</c:v>
                      </c:pt>
                      <c:pt idx="161">
                        <c:v>2.8326985968037975E-2</c:v>
                      </c:pt>
                      <c:pt idx="162">
                        <c:v>7.4942296176140561E-3</c:v>
                      </c:pt>
                      <c:pt idx="163">
                        <c:v>-9.4322745948940499E-3</c:v>
                      </c:pt>
                      <c:pt idx="164">
                        <c:v>1.890436256761441E-3</c:v>
                      </c:pt>
                      <c:pt idx="165">
                        <c:v>4.0993615462442873E-4</c:v>
                      </c:pt>
                      <c:pt idx="166">
                        <c:v>9.3810756850539242E-3</c:v>
                      </c:pt>
                      <c:pt idx="167">
                        <c:v>2.3033182178075289E-4</c:v>
                      </c:pt>
                      <c:pt idx="168">
                        <c:v>2.8571839783537945E-2</c:v>
                      </c:pt>
                      <c:pt idx="169">
                        <c:v>-7.3461300586850848E-3</c:v>
                      </c:pt>
                      <c:pt idx="170">
                        <c:v>2.7036475278117652E-3</c:v>
                      </c:pt>
                      <c:pt idx="171">
                        <c:v>4.9428535278984434E-3</c:v>
                      </c:pt>
                      <c:pt idx="172">
                        <c:v>-2.0116220836375945E-3</c:v>
                      </c:pt>
                      <c:pt idx="173">
                        <c:v>3.2940477258455191E-3</c:v>
                      </c:pt>
                      <c:pt idx="174">
                        <c:v>3.1491090564129218E-3</c:v>
                      </c:pt>
                      <c:pt idx="175">
                        <c:v>4.6935148716177443E-3</c:v>
                      </c:pt>
                      <c:pt idx="176">
                        <c:v>-4.7963492296730446E-3</c:v>
                      </c:pt>
                      <c:pt idx="177">
                        <c:v>-1.3901231610119204E-3</c:v>
                      </c:pt>
                      <c:pt idx="178">
                        <c:v>2.2429155670615018E-3</c:v>
                      </c:pt>
                      <c:pt idx="179">
                        <c:v>1.2425333875178838E-2</c:v>
                      </c:pt>
                      <c:pt idx="180">
                        <c:v>-3.1341929453165807E-4</c:v>
                      </c:pt>
                      <c:pt idx="181">
                        <c:v>1.0725600633635483E-3</c:v>
                      </c:pt>
                      <c:pt idx="182">
                        <c:v>8.6591979253089237E-3</c:v>
                      </c:pt>
                      <c:pt idx="183">
                        <c:v>-2.6446380032574533E-3</c:v>
                      </c:pt>
                      <c:pt idx="184">
                        <c:v>1.2963322018531516E-2</c:v>
                      </c:pt>
                      <c:pt idx="185">
                        <c:v>-7.4945947257463591E-3</c:v>
                      </c:pt>
                      <c:pt idx="186">
                        <c:v>3.9657317318296144E-3</c:v>
                      </c:pt>
                      <c:pt idx="187">
                        <c:v>4.7184359899787344E-3</c:v>
                      </c:pt>
                      <c:pt idx="188">
                        <c:v>4.0688500045777927E-3</c:v>
                      </c:pt>
                      <c:pt idx="189">
                        <c:v>6.4902150621263767E-3</c:v>
                      </c:pt>
                      <c:pt idx="190">
                        <c:v>9.5153335163034349E-3</c:v>
                      </c:pt>
                      <c:pt idx="191">
                        <c:v>-1.20413873198543E-2</c:v>
                      </c:pt>
                      <c:pt idx="192">
                        <c:v>2.506024611405885E-3</c:v>
                      </c:pt>
                      <c:pt idx="193">
                        <c:v>-9.0689592683004822E-3</c:v>
                      </c:pt>
                      <c:pt idx="194">
                        <c:v>2.4527139871931753E-3</c:v>
                      </c:pt>
                      <c:pt idx="195">
                        <c:v>-4.6412426726045959E-4</c:v>
                      </c:pt>
                      <c:pt idx="196">
                        <c:v>9.297531752251913E-3</c:v>
                      </c:pt>
                      <c:pt idx="197">
                        <c:v>1.1142550181365615E-3</c:v>
                      </c:pt>
                      <c:pt idx="198">
                        <c:v>-3.7640621056965638E-3</c:v>
                      </c:pt>
                      <c:pt idx="199">
                        <c:v>-7.3432558834038153E-3</c:v>
                      </c:pt>
                      <c:pt idx="200">
                        <c:v>-1.492140408935114E-2</c:v>
                      </c:pt>
                      <c:pt idx="201">
                        <c:v>-3.7572703549487496E-2</c:v>
                      </c:pt>
                      <c:pt idx="202">
                        <c:v>-3.8532370024082732E-2</c:v>
                      </c:pt>
                      <c:pt idx="203">
                        <c:v>-2.1390894356858699E-2</c:v>
                      </c:pt>
                      <c:pt idx="204">
                        <c:v>1.4568296039338615E-2</c:v>
                      </c:pt>
                      <c:pt idx="205">
                        <c:v>-4.0156828293201234E-3</c:v>
                      </c:pt>
                      <c:pt idx="206">
                        <c:v>-1.7370133740195963E-2</c:v>
                      </c:pt>
                      <c:pt idx="207">
                        <c:v>4.8673680124459058E-3</c:v>
                      </c:pt>
                      <c:pt idx="208">
                        <c:v>8.7640937733890235E-3</c:v>
                      </c:pt>
                      <c:pt idx="209">
                        <c:v>1.6834402374228136E-2</c:v>
                      </c:pt>
                      <c:pt idx="210">
                        <c:v>1.8653477814424375E-3</c:v>
                      </c:pt>
                      <c:pt idx="211">
                        <c:v>1.8063709007186131E-2</c:v>
                      </c:pt>
                      <c:pt idx="212">
                        <c:v>-2.3541255610555343E-2</c:v>
                      </c:pt>
                      <c:pt idx="213">
                        <c:v>9.2967058288307182E-3</c:v>
                      </c:pt>
                      <c:pt idx="214">
                        <c:v>7.9641976970853557E-3</c:v>
                      </c:pt>
                      <c:pt idx="215">
                        <c:v>4.9277676950998184E-3</c:v>
                      </c:pt>
                      <c:pt idx="216">
                        <c:v>-3.2652164867426434E-4</c:v>
                      </c:pt>
                      <c:pt idx="217">
                        <c:v>2.7055229087839887E-3</c:v>
                      </c:pt>
                      <c:pt idx="218">
                        <c:v>2.1574251574683984E-2</c:v>
                      </c:pt>
                      <c:pt idx="219">
                        <c:v>8.4260071843986241E-3</c:v>
                      </c:pt>
                      <c:pt idx="220">
                        <c:v>-8.579463573657185E-3</c:v>
                      </c:pt>
                      <c:pt idx="221">
                        <c:v>-1.5128464940629242E-3</c:v>
                      </c:pt>
                      <c:pt idx="222">
                        <c:v>2.549729621243601E-3</c:v>
                      </c:pt>
                      <c:pt idx="223">
                        <c:v>6.0479607516952614E-3</c:v>
                      </c:pt>
                      <c:pt idx="224">
                        <c:v>7.440934951374681E-3</c:v>
                      </c:pt>
                      <c:pt idx="225">
                        <c:v>1.0779909031477334E-2</c:v>
                      </c:pt>
                      <c:pt idx="226">
                        <c:v>1.132548026641713E-2</c:v>
                      </c:pt>
                      <c:pt idx="227">
                        <c:v>4.5719884067436829E-3</c:v>
                      </c:pt>
                      <c:pt idx="228">
                        <c:v>7.9158031614450005E-3</c:v>
                      </c:pt>
                      <c:pt idx="229">
                        <c:v>8.1573522336631215E-3</c:v>
                      </c:pt>
                      <c:pt idx="230">
                        <c:v>9.3043839911275093E-3</c:v>
                      </c:pt>
                      <c:pt idx="231">
                        <c:v>5.0874051064234435E-3</c:v>
                      </c:pt>
                      <c:pt idx="232">
                        <c:v>-4.0735017397794529E-4</c:v>
                      </c:pt>
                      <c:pt idx="233">
                        <c:v>7.3274037538812627E-3</c:v>
                      </c:pt>
                      <c:pt idx="234">
                        <c:v>-6.5511301351986223E-4</c:v>
                      </c:pt>
                      <c:pt idx="235">
                        <c:v>2.9172945683997192E-3</c:v>
                      </c:pt>
                      <c:pt idx="236">
                        <c:v>9.1222532981255506E-3</c:v>
                      </c:pt>
                      <c:pt idx="237">
                        <c:v>6.6501681251274168E-3</c:v>
                      </c:pt>
                      <c:pt idx="238">
                        <c:v>3.7299467296955028E-3</c:v>
                      </c:pt>
                      <c:pt idx="239">
                        <c:v>1.7111873341489142E-4</c:v>
                      </c:pt>
                      <c:pt idx="240">
                        <c:v>1.050029621458193E-2</c:v>
                      </c:pt>
                      <c:pt idx="241">
                        <c:v>1.1647124229253007E-2</c:v>
                      </c:pt>
                      <c:pt idx="242">
                        <c:v>3.3272633259144352E-3</c:v>
                      </c:pt>
                      <c:pt idx="243">
                        <c:v>-3.602540450778144E-3</c:v>
                      </c:pt>
                      <c:pt idx="244">
                        <c:v>-2.206319619003833E-3</c:v>
                      </c:pt>
                      <c:pt idx="245">
                        <c:v>-9.3806892026915018E-3</c:v>
                      </c:pt>
                      <c:pt idx="246">
                        <c:v>5.0103011994893643E-3</c:v>
                      </c:pt>
                      <c:pt idx="247">
                        <c:v>1.1557800320449133E-2</c:v>
                      </c:pt>
                      <c:pt idx="248">
                        <c:v>8.4368985632655505E-3</c:v>
                      </c:pt>
                      <c:pt idx="249">
                        <c:v>3.5506897954654733E-4</c:v>
                      </c:pt>
                      <c:pt idx="250">
                        <c:v>4.1829040742027953E-3</c:v>
                      </c:pt>
                      <c:pt idx="251">
                        <c:v>4.0010211195004369E-3</c:v>
                      </c:pt>
                      <c:pt idx="252">
                        <c:v>7.6498804476977014E-3</c:v>
                      </c:pt>
                      <c:pt idx="253">
                        <c:v>1.2141063434872803E-2</c:v>
                      </c:pt>
                      <c:pt idx="254">
                        <c:v>-7.3521127435821829E-3</c:v>
                      </c:pt>
                      <c:pt idx="255">
                        <c:v>-4.4796808438704446E-3</c:v>
                      </c:pt>
                      <c:pt idx="256">
                        <c:v>5.0262349085598819E-3</c:v>
                      </c:pt>
                      <c:pt idx="257">
                        <c:v>3.4587711104513779E-3</c:v>
                      </c:pt>
                      <c:pt idx="258">
                        <c:v>6.88407714399796E-3</c:v>
                      </c:pt>
                      <c:pt idx="259">
                        <c:v>-2.29333690074629E-3</c:v>
                      </c:pt>
                      <c:pt idx="260">
                        <c:v>4.9084866537050696E-4</c:v>
                      </c:pt>
                      <c:pt idx="261">
                        <c:v>4.1881158025985467E-3</c:v>
                      </c:pt>
                      <c:pt idx="262">
                        <c:v>2.5238382360301143E-3</c:v>
                      </c:pt>
                      <c:pt idx="263">
                        <c:v>6.4280246661183194E-3</c:v>
                      </c:pt>
                      <c:pt idx="264">
                        <c:v>-1.0428427681275125E-2</c:v>
                      </c:pt>
                      <c:pt idx="265">
                        <c:v>1.4460062967392056E-2</c:v>
                      </c:pt>
                      <c:pt idx="266">
                        <c:v>1.094810649286479E-2</c:v>
                      </c:pt>
                      <c:pt idx="267">
                        <c:v>9.7007387270806079E-3</c:v>
                      </c:pt>
                      <c:pt idx="268">
                        <c:v>1.876328297520204E-3</c:v>
                      </c:pt>
                      <c:pt idx="269">
                        <c:v>2.7056874654886802E-3</c:v>
                      </c:pt>
                      <c:pt idx="270">
                        <c:v>1.4363859977605227E-3</c:v>
                      </c:pt>
                      <c:pt idx="271">
                        <c:v>7.4190843227737021E-3</c:v>
                      </c:pt>
                      <c:pt idx="272">
                        <c:v>-1.9059315866084424E-3</c:v>
                      </c:pt>
                      <c:pt idx="273">
                        <c:v>3.0124737377005845E-3</c:v>
                      </c:pt>
                      <c:pt idx="274">
                        <c:v>3.1170200198107978E-3</c:v>
                      </c:pt>
                      <c:pt idx="275">
                        <c:v>-5.5691948108421508E-3</c:v>
                      </c:pt>
                      <c:pt idx="276">
                        <c:v>-5.9101251033417826E-3</c:v>
                      </c:pt>
                      <c:pt idx="277">
                        <c:v>-1.4548137151131088E-3</c:v>
                      </c:pt>
                      <c:pt idx="278">
                        <c:v>1.5234703921330191E-2</c:v>
                      </c:pt>
                      <c:pt idx="279">
                        <c:v>1.3740516670546253E-3</c:v>
                      </c:pt>
                      <c:pt idx="280">
                        <c:v>7.7500310317200598E-3</c:v>
                      </c:pt>
                      <c:pt idx="281">
                        <c:v>1.8229499091884289E-3</c:v>
                      </c:pt>
                      <c:pt idx="282">
                        <c:v>6.7219113744933978E-3</c:v>
                      </c:pt>
                      <c:pt idx="283">
                        <c:v>3.7970467414233372E-4</c:v>
                      </c:pt>
                      <c:pt idx="284">
                        <c:v>-4.1862643472779289E-3</c:v>
                      </c:pt>
                      <c:pt idx="285">
                        <c:v>-3.0603943071762121E-3</c:v>
                      </c:pt>
                      <c:pt idx="286">
                        <c:v>4.1564004990363593E-3</c:v>
                      </c:pt>
                      <c:pt idx="287">
                        <c:v>3.7206009071052122E-3</c:v>
                      </c:pt>
                      <c:pt idx="288">
                        <c:v>-6.6505173117535361E-3</c:v>
                      </c:pt>
                      <c:pt idx="289">
                        <c:v>1.0156455870333234E-2</c:v>
                      </c:pt>
                      <c:pt idx="290">
                        <c:v>-3.3426036052367457E-3</c:v>
                      </c:pt>
                      <c:pt idx="291">
                        <c:v>3.5490096045072421E-3</c:v>
                      </c:pt>
                      <c:pt idx="292">
                        <c:v>4.4493070751276441E-3</c:v>
                      </c:pt>
                      <c:pt idx="293">
                        <c:v>1.0142086026190303E-2</c:v>
                      </c:pt>
                      <c:pt idx="294">
                        <c:v>-2.1609752272073752E-3</c:v>
                      </c:pt>
                      <c:pt idx="295">
                        <c:v>1.5521984019560757E-3</c:v>
                      </c:pt>
                      <c:pt idx="296">
                        <c:v>5.564867875258026E-3</c:v>
                      </c:pt>
                      <c:pt idx="297">
                        <c:v>3.1344564774431851E-3</c:v>
                      </c:pt>
                      <c:pt idx="298">
                        <c:v>-7.8440694081293079E-4</c:v>
                      </c:pt>
                      <c:pt idx="299">
                        <c:v>1.2227323548302686E-2</c:v>
                      </c:pt>
                      <c:pt idx="300">
                        <c:v>1.1586096683979225E-2</c:v>
                      </c:pt>
                      <c:pt idx="301">
                        <c:v>-1.0327698507235725E-3</c:v>
                      </c:pt>
                      <c:pt idx="302">
                        <c:v>-2.105730504550788E-3</c:v>
                      </c:pt>
                      <c:pt idx="303">
                        <c:v>5.0084851874686179E-3</c:v>
                      </c:pt>
                      <c:pt idx="304">
                        <c:v>-4.9603362825515482E-3</c:v>
                      </c:pt>
                      <c:pt idx="305">
                        <c:v>3.7244973623440183E-3</c:v>
                      </c:pt>
                      <c:pt idx="306">
                        <c:v>4.031509093058206E-4</c:v>
                      </c:pt>
                      <c:pt idx="307">
                        <c:v>1.5697560337497548E-3</c:v>
                      </c:pt>
                      <c:pt idx="308">
                        <c:v>2.0395910706273186E-2</c:v>
                      </c:pt>
                      <c:pt idx="309">
                        <c:v>1.3914551441518627E-3</c:v>
                      </c:pt>
                      <c:pt idx="310">
                        <c:v>1.0200820931061994E-2</c:v>
                      </c:pt>
                      <c:pt idx="311">
                        <c:v>4.8856444907929885E-3</c:v>
                      </c:pt>
                      <c:pt idx="312">
                        <c:v>-1.8460563646296414E-3</c:v>
                      </c:pt>
                      <c:pt idx="313">
                        <c:v>4.6124860628453772E-3</c:v>
                      </c:pt>
                      <c:pt idx="314">
                        <c:v>-7.8175790213444213E-4</c:v>
                      </c:pt>
                    </c:numCache>
                  </c:numRef>
                </c:val>
                <c:smooth val="0"/>
                <c:extLst xmlns:c15="http://schemas.microsoft.com/office/drawing/2012/chart">
                  <c:ext xmlns:c16="http://schemas.microsoft.com/office/drawing/2014/chart" uri="{C3380CC4-5D6E-409C-BE32-E72D297353CC}">
                    <c16:uniqueId val="{00000002-9120-46A3-AE2C-1F63F5C1B579}"/>
                  </c:ext>
                </c:extLst>
              </c15:ser>
            </c15:filteredLineSeries>
          </c:ext>
        </c:extLst>
      </c:lineChart>
      <c:dateAx>
        <c:axId val="673094928"/>
        <c:scaling>
          <c:orientation val="minMax"/>
          <c:min val="40909"/>
        </c:scaling>
        <c:delete val="0"/>
        <c:axPos val="b"/>
        <c:numFmt formatCode="[$-409]mmm\-yy;@" sourceLinked="1"/>
        <c:majorTickMark val="out"/>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73095320"/>
        <c:crosses val="autoZero"/>
        <c:auto val="1"/>
        <c:lblOffset val="100"/>
        <c:baseTimeUnit val="months"/>
        <c:majorUnit val="12"/>
        <c:majorTimeUnit val="months"/>
      </c:dateAx>
      <c:valAx>
        <c:axId val="673095320"/>
        <c:scaling>
          <c:orientation val="minMax"/>
          <c:max val="7.0000000000000007E-2"/>
          <c:min val="-0.22000000000000003"/>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7309492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Retail Sales (RSAFS), Millions of Dollars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spPr>
            <a:ln w="28575" cap="rnd">
              <a:solidFill>
                <a:schemeClr val="accent1"/>
              </a:solidFill>
              <a:round/>
            </a:ln>
            <a:effectLst/>
          </c:spPr>
          <c:marker>
            <c:symbol val="none"/>
          </c:marker>
          <c:cat>
            <c:numRef>
              <c:f>'Retail Sales'!$A$7:$A$362</c:f>
              <c:numCache>
                <c:formatCode>[$-409]mmm\-yy;@</c:formatCode>
                <c:ptCount val="356"/>
                <c:pt idx="0">
                  <c:v>33604</c:v>
                </c:pt>
                <c:pt idx="1">
                  <c:v>33635</c:v>
                </c:pt>
                <c:pt idx="2">
                  <c:v>33664</c:v>
                </c:pt>
                <c:pt idx="3">
                  <c:v>33695</c:v>
                </c:pt>
                <c:pt idx="4">
                  <c:v>33725</c:v>
                </c:pt>
                <c:pt idx="5">
                  <c:v>33756</c:v>
                </c:pt>
                <c:pt idx="6">
                  <c:v>33786</c:v>
                </c:pt>
                <c:pt idx="7">
                  <c:v>33817</c:v>
                </c:pt>
                <c:pt idx="8">
                  <c:v>33848</c:v>
                </c:pt>
                <c:pt idx="9">
                  <c:v>33878</c:v>
                </c:pt>
                <c:pt idx="10">
                  <c:v>33909</c:v>
                </c:pt>
                <c:pt idx="11">
                  <c:v>33939</c:v>
                </c:pt>
                <c:pt idx="12">
                  <c:v>33970</c:v>
                </c:pt>
                <c:pt idx="13">
                  <c:v>34001</c:v>
                </c:pt>
                <c:pt idx="14">
                  <c:v>34029</c:v>
                </c:pt>
                <c:pt idx="15">
                  <c:v>34060</c:v>
                </c:pt>
                <c:pt idx="16">
                  <c:v>34090</c:v>
                </c:pt>
                <c:pt idx="17">
                  <c:v>34121</c:v>
                </c:pt>
                <c:pt idx="18">
                  <c:v>34151</c:v>
                </c:pt>
                <c:pt idx="19">
                  <c:v>34182</c:v>
                </c:pt>
                <c:pt idx="20">
                  <c:v>34213</c:v>
                </c:pt>
                <c:pt idx="21">
                  <c:v>34243</c:v>
                </c:pt>
                <c:pt idx="22">
                  <c:v>34274</c:v>
                </c:pt>
                <c:pt idx="23">
                  <c:v>34304</c:v>
                </c:pt>
                <c:pt idx="24">
                  <c:v>34335</c:v>
                </c:pt>
                <c:pt idx="25">
                  <c:v>34366</c:v>
                </c:pt>
                <c:pt idx="26">
                  <c:v>34394</c:v>
                </c:pt>
                <c:pt idx="27">
                  <c:v>34425</c:v>
                </c:pt>
                <c:pt idx="28">
                  <c:v>34455</c:v>
                </c:pt>
                <c:pt idx="29">
                  <c:v>34486</c:v>
                </c:pt>
                <c:pt idx="30">
                  <c:v>34516</c:v>
                </c:pt>
                <c:pt idx="31">
                  <c:v>34547</c:v>
                </c:pt>
                <c:pt idx="32">
                  <c:v>34578</c:v>
                </c:pt>
                <c:pt idx="33">
                  <c:v>34608</c:v>
                </c:pt>
                <c:pt idx="34">
                  <c:v>34639</c:v>
                </c:pt>
                <c:pt idx="35">
                  <c:v>34669</c:v>
                </c:pt>
                <c:pt idx="36">
                  <c:v>34700</c:v>
                </c:pt>
                <c:pt idx="37">
                  <c:v>34731</c:v>
                </c:pt>
                <c:pt idx="38">
                  <c:v>34759</c:v>
                </c:pt>
                <c:pt idx="39">
                  <c:v>34790</c:v>
                </c:pt>
                <c:pt idx="40">
                  <c:v>34820</c:v>
                </c:pt>
                <c:pt idx="41">
                  <c:v>34851</c:v>
                </c:pt>
                <c:pt idx="42">
                  <c:v>34881</c:v>
                </c:pt>
                <c:pt idx="43">
                  <c:v>34912</c:v>
                </c:pt>
                <c:pt idx="44">
                  <c:v>34943</c:v>
                </c:pt>
                <c:pt idx="45">
                  <c:v>34973</c:v>
                </c:pt>
                <c:pt idx="46">
                  <c:v>35004</c:v>
                </c:pt>
                <c:pt idx="47">
                  <c:v>35034</c:v>
                </c:pt>
                <c:pt idx="48">
                  <c:v>35065</c:v>
                </c:pt>
                <c:pt idx="49">
                  <c:v>35096</c:v>
                </c:pt>
                <c:pt idx="50">
                  <c:v>35125</c:v>
                </c:pt>
                <c:pt idx="51">
                  <c:v>35156</c:v>
                </c:pt>
                <c:pt idx="52">
                  <c:v>35186</c:v>
                </c:pt>
                <c:pt idx="53">
                  <c:v>35217</c:v>
                </c:pt>
                <c:pt idx="54">
                  <c:v>35247</c:v>
                </c:pt>
                <c:pt idx="55">
                  <c:v>35278</c:v>
                </c:pt>
                <c:pt idx="56">
                  <c:v>35309</c:v>
                </c:pt>
                <c:pt idx="57">
                  <c:v>35339</c:v>
                </c:pt>
                <c:pt idx="58">
                  <c:v>35370</c:v>
                </c:pt>
                <c:pt idx="59">
                  <c:v>35400</c:v>
                </c:pt>
                <c:pt idx="60">
                  <c:v>35431</c:v>
                </c:pt>
                <c:pt idx="61">
                  <c:v>35462</c:v>
                </c:pt>
                <c:pt idx="62">
                  <c:v>35490</c:v>
                </c:pt>
                <c:pt idx="63">
                  <c:v>35521</c:v>
                </c:pt>
                <c:pt idx="64">
                  <c:v>35551</c:v>
                </c:pt>
                <c:pt idx="65">
                  <c:v>35582</c:v>
                </c:pt>
                <c:pt idx="66">
                  <c:v>35612</c:v>
                </c:pt>
                <c:pt idx="67">
                  <c:v>35643</c:v>
                </c:pt>
                <c:pt idx="68">
                  <c:v>35674</c:v>
                </c:pt>
                <c:pt idx="69">
                  <c:v>35704</c:v>
                </c:pt>
                <c:pt idx="70">
                  <c:v>35735</c:v>
                </c:pt>
                <c:pt idx="71">
                  <c:v>35765</c:v>
                </c:pt>
                <c:pt idx="72">
                  <c:v>35796</c:v>
                </c:pt>
                <c:pt idx="73">
                  <c:v>35827</c:v>
                </c:pt>
                <c:pt idx="74">
                  <c:v>35855</c:v>
                </c:pt>
                <c:pt idx="75">
                  <c:v>35886</c:v>
                </c:pt>
                <c:pt idx="76">
                  <c:v>35916</c:v>
                </c:pt>
                <c:pt idx="77">
                  <c:v>35947</c:v>
                </c:pt>
                <c:pt idx="78">
                  <c:v>35977</c:v>
                </c:pt>
                <c:pt idx="79">
                  <c:v>36008</c:v>
                </c:pt>
                <c:pt idx="80">
                  <c:v>36039</c:v>
                </c:pt>
                <c:pt idx="81">
                  <c:v>36069</c:v>
                </c:pt>
                <c:pt idx="82">
                  <c:v>36100</c:v>
                </c:pt>
                <c:pt idx="83">
                  <c:v>36130</c:v>
                </c:pt>
                <c:pt idx="84">
                  <c:v>36161</c:v>
                </c:pt>
                <c:pt idx="85">
                  <c:v>36192</c:v>
                </c:pt>
                <c:pt idx="86">
                  <c:v>36220</c:v>
                </c:pt>
                <c:pt idx="87">
                  <c:v>36251</c:v>
                </c:pt>
                <c:pt idx="88">
                  <c:v>36281</c:v>
                </c:pt>
                <c:pt idx="89">
                  <c:v>36312</c:v>
                </c:pt>
                <c:pt idx="90">
                  <c:v>36342</c:v>
                </c:pt>
                <c:pt idx="91">
                  <c:v>36373</c:v>
                </c:pt>
                <c:pt idx="92">
                  <c:v>36404</c:v>
                </c:pt>
                <c:pt idx="93">
                  <c:v>36434</c:v>
                </c:pt>
                <c:pt idx="94">
                  <c:v>36465</c:v>
                </c:pt>
                <c:pt idx="95">
                  <c:v>36495</c:v>
                </c:pt>
                <c:pt idx="96">
                  <c:v>36526</c:v>
                </c:pt>
                <c:pt idx="97">
                  <c:v>36557</c:v>
                </c:pt>
                <c:pt idx="98">
                  <c:v>36586</c:v>
                </c:pt>
                <c:pt idx="99">
                  <c:v>36617</c:v>
                </c:pt>
                <c:pt idx="100">
                  <c:v>36647</c:v>
                </c:pt>
                <c:pt idx="101">
                  <c:v>36678</c:v>
                </c:pt>
                <c:pt idx="102">
                  <c:v>36708</c:v>
                </c:pt>
                <c:pt idx="103">
                  <c:v>36739</c:v>
                </c:pt>
                <c:pt idx="104">
                  <c:v>36770</c:v>
                </c:pt>
                <c:pt idx="105">
                  <c:v>36800</c:v>
                </c:pt>
                <c:pt idx="106">
                  <c:v>36831</c:v>
                </c:pt>
                <c:pt idx="107">
                  <c:v>36861</c:v>
                </c:pt>
                <c:pt idx="108">
                  <c:v>36892</c:v>
                </c:pt>
                <c:pt idx="109">
                  <c:v>36923</c:v>
                </c:pt>
                <c:pt idx="110">
                  <c:v>36951</c:v>
                </c:pt>
                <c:pt idx="111">
                  <c:v>36982</c:v>
                </c:pt>
                <c:pt idx="112">
                  <c:v>37012</c:v>
                </c:pt>
                <c:pt idx="113">
                  <c:v>37043</c:v>
                </c:pt>
                <c:pt idx="114">
                  <c:v>37073</c:v>
                </c:pt>
                <c:pt idx="115">
                  <c:v>37104</c:v>
                </c:pt>
                <c:pt idx="116">
                  <c:v>37135</c:v>
                </c:pt>
                <c:pt idx="117">
                  <c:v>37165</c:v>
                </c:pt>
                <c:pt idx="118">
                  <c:v>37196</c:v>
                </c:pt>
                <c:pt idx="119">
                  <c:v>37226</c:v>
                </c:pt>
                <c:pt idx="120">
                  <c:v>37257</c:v>
                </c:pt>
                <c:pt idx="121">
                  <c:v>37288</c:v>
                </c:pt>
                <c:pt idx="122">
                  <c:v>37316</c:v>
                </c:pt>
                <c:pt idx="123">
                  <c:v>37347</c:v>
                </c:pt>
                <c:pt idx="124">
                  <c:v>37377</c:v>
                </c:pt>
                <c:pt idx="125">
                  <c:v>37408</c:v>
                </c:pt>
                <c:pt idx="126">
                  <c:v>37438</c:v>
                </c:pt>
                <c:pt idx="127">
                  <c:v>37469</c:v>
                </c:pt>
                <c:pt idx="128">
                  <c:v>37500</c:v>
                </c:pt>
                <c:pt idx="129">
                  <c:v>37530</c:v>
                </c:pt>
                <c:pt idx="130">
                  <c:v>37561</c:v>
                </c:pt>
                <c:pt idx="131">
                  <c:v>37591</c:v>
                </c:pt>
                <c:pt idx="132">
                  <c:v>37622</c:v>
                </c:pt>
                <c:pt idx="133">
                  <c:v>37653</c:v>
                </c:pt>
                <c:pt idx="134">
                  <c:v>37681</c:v>
                </c:pt>
                <c:pt idx="135">
                  <c:v>37712</c:v>
                </c:pt>
                <c:pt idx="136">
                  <c:v>37742</c:v>
                </c:pt>
                <c:pt idx="137">
                  <c:v>37773</c:v>
                </c:pt>
                <c:pt idx="138">
                  <c:v>37803</c:v>
                </c:pt>
                <c:pt idx="139">
                  <c:v>37834</c:v>
                </c:pt>
                <c:pt idx="140">
                  <c:v>37865</c:v>
                </c:pt>
                <c:pt idx="141">
                  <c:v>37895</c:v>
                </c:pt>
                <c:pt idx="142">
                  <c:v>37926</c:v>
                </c:pt>
                <c:pt idx="143">
                  <c:v>37956</c:v>
                </c:pt>
                <c:pt idx="144">
                  <c:v>37987</c:v>
                </c:pt>
                <c:pt idx="145">
                  <c:v>38018</c:v>
                </c:pt>
                <c:pt idx="146">
                  <c:v>38047</c:v>
                </c:pt>
                <c:pt idx="147">
                  <c:v>38078</c:v>
                </c:pt>
                <c:pt idx="148">
                  <c:v>38108</c:v>
                </c:pt>
                <c:pt idx="149">
                  <c:v>38139</c:v>
                </c:pt>
                <c:pt idx="150">
                  <c:v>38169</c:v>
                </c:pt>
                <c:pt idx="151">
                  <c:v>38200</c:v>
                </c:pt>
                <c:pt idx="152">
                  <c:v>38231</c:v>
                </c:pt>
                <c:pt idx="153">
                  <c:v>38261</c:v>
                </c:pt>
                <c:pt idx="154">
                  <c:v>38292</c:v>
                </c:pt>
                <c:pt idx="155">
                  <c:v>38322</c:v>
                </c:pt>
                <c:pt idx="156">
                  <c:v>38353</c:v>
                </c:pt>
                <c:pt idx="157">
                  <c:v>38384</c:v>
                </c:pt>
                <c:pt idx="158">
                  <c:v>38412</c:v>
                </c:pt>
                <c:pt idx="159">
                  <c:v>38443</c:v>
                </c:pt>
                <c:pt idx="160">
                  <c:v>38473</c:v>
                </c:pt>
                <c:pt idx="161">
                  <c:v>38504</c:v>
                </c:pt>
                <c:pt idx="162">
                  <c:v>38534</c:v>
                </c:pt>
                <c:pt idx="163">
                  <c:v>38565</c:v>
                </c:pt>
                <c:pt idx="164">
                  <c:v>38596</c:v>
                </c:pt>
                <c:pt idx="165">
                  <c:v>38626</c:v>
                </c:pt>
                <c:pt idx="166">
                  <c:v>38657</c:v>
                </c:pt>
                <c:pt idx="167">
                  <c:v>38687</c:v>
                </c:pt>
                <c:pt idx="168">
                  <c:v>38718</c:v>
                </c:pt>
                <c:pt idx="169">
                  <c:v>38749</c:v>
                </c:pt>
                <c:pt idx="170">
                  <c:v>38777</c:v>
                </c:pt>
                <c:pt idx="171">
                  <c:v>38808</c:v>
                </c:pt>
                <c:pt idx="172">
                  <c:v>38838</c:v>
                </c:pt>
                <c:pt idx="173">
                  <c:v>38869</c:v>
                </c:pt>
                <c:pt idx="174">
                  <c:v>38899</c:v>
                </c:pt>
                <c:pt idx="175">
                  <c:v>38930</c:v>
                </c:pt>
                <c:pt idx="176">
                  <c:v>38961</c:v>
                </c:pt>
                <c:pt idx="177">
                  <c:v>38991</c:v>
                </c:pt>
                <c:pt idx="178">
                  <c:v>39022</c:v>
                </c:pt>
                <c:pt idx="179">
                  <c:v>39052</c:v>
                </c:pt>
                <c:pt idx="180">
                  <c:v>39083</c:v>
                </c:pt>
                <c:pt idx="181">
                  <c:v>39114</c:v>
                </c:pt>
                <c:pt idx="182">
                  <c:v>39142</c:v>
                </c:pt>
                <c:pt idx="183">
                  <c:v>39173</c:v>
                </c:pt>
                <c:pt idx="184">
                  <c:v>39203</c:v>
                </c:pt>
                <c:pt idx="185">
                  <c:v>39234</c:v>
                </c:pt>
                <c:pt idx="186">
                  <c:v>39264</c:v>
                </c:pt>
                <c:pt idx="187">
                  <c:v>39295</c:v>
                </c:pt>
                <c:pt idx="188">
                  <c:v>39326</c:v>
                </c:pt>
                <c:pt idx="189">
                  <c:v>39356</c:v>
                </c:pt>
                <c:pt idx="190">
                  <c:v>39387</c:v>
                </c:pt>
                <c:pt idx="191">
                  <c:v>39417</c:v>
                </c:pt>
                <c:pt idx="192">
                  <c:v>39448</c:v>
                </c:pt>
                <c:pt idx="193">
                  <c:v>39479</c:v>
                </c:pt>
                <c:pt idx="194">
                  <c:v>39508</c:v>
                </c:pt>
                <c:pt idx="195">
                  <c:v>39539</c:v>
                </c:pt>
                <c:pt idx="196">
                  <c:v>39569</c:v>
                </c:pt>
                <c:pt idx="197">
                  <c:v>39600</c:v>
                </c:pt>
                <c:pt idx="198">
                  <c:v>39630</c:v>
                </c:pt>
                <c:pt idx="199">
                  <c:v>39661</c:v>
                </c:pt>
                <c:pt idx="200">
                  <c:v>39692</c:v>
                </c:pt>
                <c:pt idx="201">
                  <c:v>39722</c:v>
                </c:pt>
                <c:pt idx="202">
                  <c:v>39753</c:v>
                </c:pt>
                <c:pt idx="203">
                  <c:v>39783</c:v>
                </c:pt>
                <c:pt idx="204">
                  <c:v>39814</c:v>
                </c:pt>
                <c:pt idx="205">
                  <c:v>39845</c:v>
                </c:pt>
                <c:pt idx="206">
                  <c:v>39873</c:v>
                </c:pt>
                <c:pt idx="207">
                  <c:v>39904</c:v>
                </c:pt>
                <c:pt idx="208">
                  <c:v>39934</c:v>
                </c:pt>
                <c:pt idx="209">
                  <c:v>39965</c:v>
                </c:pt>
                <c:pt idx="210">
                  <c:v>39995</c:v>
                </c:pt>
                <c:pt idx="211">
                  <c:v>40026</c:v>
                </c:pt>
                <c:pt idx="212">
                  <c:v>40057</c:v>
                </c:pt>
                <c:pt idx="213">
                  <c:v>40087</c:v>
                </c:pt>
                <c:pt idx="214">
                  <c:v>40118</c:v>
                </c:pt>
                <c:pt idx="215">
                  <c:v>40148</c:v>
                </c:pt>
                <c:pt idx="216">
                  <c:v>40179</c:v>
                </c:pt>
                <c:pt idx="217">
                  <c:v>40210</c:v>
                </c:pt>
                <c:pt idx="218">
                  <c:v>40238</c:v>
                </c:pt>
                <c:pt idx="219">
                  <c:v>40269</c:v>
                </c:pt>
                <c:pt idx="220">
                  <c:v>40299</c:v>
                </c:pt>
                <c:pt idx="221">
                  <c:v>40330</c:v>
                </c:pt>
                <c:pt idx="222">
                  <c:v>40360</c:v>
                </c:pt>
                <c:pt idx="223">
                  <c:v>40391</c:v>
                </c:pt>
                <c:pt idx="224">
                  <c:v>40422</c:v>
                </c:pt>
                <c:pt idx="225">
                  <c:v>40452</c:v>
                </c:pt>
                <c:pt idx="226">
                  <c:v>40483</c:v>
                </c:pt>
                <c:pt idx="227">
                  <c:v>40513</c:v>
                </c:pt>
                <c:pt idx="228">
                  <c:v>40544</c:v>
                </c:pt>
                <c:pt idx="229">
                  <c:v>40575</c:v>
                </c:pt>
                <c:pt idx="230">
                  <c:v>40603</c:v>
                </c:pt>
                <c:pt idx="231">
                  <c:v>40634</c:v>
                </c:pt>
                <c:pt idx="232">
                  <c:v>40664</c:v>
                </c:pt>
                <c:pt idx="233">
                  <c:v>40695</c:v>
                </c:pt>
                <c:pt idx="234">
                  <c:v>40725</c:v>
                </c:pt>
                <c:pt idx="235">
                  <c:v>40756</c:v>
                </c:pt>
                <c:pt idx="236">
                  <c:v>40787</c:v>
                </c:pt>
                <c:pt idx="237">
                  <c:v>40817</c:v>
                </c:pt>
                <c:pt idx="238">
                  <c:v>40848</c:v>
                </c:pt>
                <c:pt idx="239">
                  <c:v>40878</c:v>
                </c:pt>
                <c:pt idx="240">
                  <c:v>40909</c:v>
                </c:pt>
                <c:pt idx="241">
                  <c:v>40940</c:v>
                </c:pt>
                <c:pt idx="242">
                  <c:v>40969</c:v>
                </c:pt>
                <c:pt idx="243">
                  <c:v>41000</c:v>
                </c:pt>
                <c:pt idx="244">
                  <c:v>41030</c:v>
                </c:pt>
                <c:pt idx="245">
                  <c:v>41061</c:v>
                </c:pt>
                <c:pt idx="246">
                  <c:v>41091</c:v>
                </c:pt>
                <c:pt idx="247">
                  <c:v>41122</c:v>
                </c:pt>
                <c:pt idx="248">
                  <c:v>41153</c:v>
                </c:pt>
                <c:pt idx="249">
                  <c:v>41183</c:v>
                </c:pt>
                <c:pt idx="250">
                  <c:v>41214</c:v>
                </c:pt>
                <c:pt idx="251">
                  <c:v>41244</c:v>
                </c:pt>
                <c:pt idx="252">
                  <c:v>41275</c:v>
                </c:pt>
                <c:pt idx="253">
                  <c:v>41306</c:v>
                </c:pt>
                <c:pt idx="254">
                  <c:v>41334</c:v>
                </c:pt>
                <c:pt idx="255">
                  <c:v>41365</c:v>
                </c:pt>
                <c:pt idx="256">
                  <c:v>41395</c:v>
                </c:pt>
                <c:pt idx="257">
                  <c:v>41426</c:v>
                </c:pt>
                <c:pt idx="258">
                  <c:v>41456</c:v>
                </c:pt>
                <c:pt idx="259">
                  <c:v>41487</c:v>
                </c:pt>
                <c:pt idx="260">
                  <c:v>41518</c:v>
                </c:pt>
                <c:pt idx="261">
                  <c:v>41548</c:v>
                </c:pt>
                <c:pt idx="262">
                  <c:v>41579</c:v>
                </c:pt>
                <c:pt idx="263">
                  <c:v>41609</c:v>
                </c:pt>
                <c:pt idx="264">
                  <c:v>41640</c:v>
                </c:pt>
                <c:pt idx="265">
                  <c:v>41671</c:v>
                </c:pt>
                <c:pt idx="266">
                  <c:v>41699</c:v>
                </c:pt>
                <c:pt idx="267">
                  <c:v>41730</c:v>
                </c:pt>
                <c:pt idx="268">
                  <c:v>41760</c:v>
                </c:pt>
                <c:pt idx="269">
                  <c:v>41791</c:v>
                </c:pt>
                <c:pt idx="270">
                  <c:v>41821</c:v>
                </c:pt>
                <c:pt idx="271">
                  <c:v>41852</c:v>
                </c:pt>
                <c:pt idx="272">
                  <c:v>41883</c:v>
                </c:pt>
                <c:pt idx="273">
                  <c:v>41913</c:v>
                </c:pt>
                <c:pt idx="274">
                  <c:v>41944</c:v>
                </c:pt>
                <c:pt idx="275">
                  <c:v>41974</c:v>
                </c:pt>
                <c:pt idx="276">
                  <c:v>42005</c:v>
                </c:pt>
                <c:pt idx="277">
                  <c:v>42036</c:v>
                </c:pt>
                <c:pt idx="278">
                  <c:v>42064</c:v>
                </c:pt>
                <c:pt idx="279">
                  <c:v>42095</c:v>
                </c:pt>
                <c:pt idx="280">
                  <c:v>42125</c:v>
                </c:pt>
                <c:pt idx="281">
                  <c:v>42156</c:v>
                </c:pt>
                <c:pt idx="282">
                  <c:v>42186</c:v>
                </c:pt>
                <c:pt idx="283">
                  <c:v>42217</c:v>
                </c:pt>
                <c:pt idx="284">
                  <c:v>42248</c:v>
                </c:pt>
                <c:pt idx="285">
                  <c:v>42278</c:v>
                </c:pt>
                <c:pt idx="286">
                  <c:v>42309</c:v>
                </c:pt>
                <c:pt idx="287">
                  <c:v>42339</c:v>
                </c:pt>
                <c:pt idx="288">
                  <c:v>42370</c:v>
                </c:pt>
                <c:pt idx="289">
                  <c:v>42401</c:v>
                </c:pt>
                <c:pt idx="290">
                  <c:v>42430</c:v>
                </c:pt>
                <c:pt idx="291">
                  <c:v>42461</c:v>
                </c:pt>
                <c:pt idx="292">
                  <c:v>42491</c:v>
                </c:pt>
                <c:pt idx="293">
                  <c:v>42522</c:v>
                </c:pt>
                <c:pt idx="294">
                  <c:v>42552</c:v>
                </c:pt>
                <c:pt idx="295">
                  <c:v>42583</c:v>
                </c:pt>
                <c:pt idx="296">
                  <c:v>42614</c:v>
                </c:pt>
                <c:pt idx="297">
                  <c:v>42644</c:v>
                </c:pt>
                <c:pt idx="298">
                  <c:v>42675</c:v>
                </c:pt>
                <c:pt idx="299">
                  <c:v>42705</c:v>
                </c:pt>
                <c:pt idx="300">
                  <c:v>42736</c:v>
                </c:pt>
                <c:pt idx="301">
                  <c:v>42767</c:v>
                </c:pt>
                <c:pt idx="302">
                  <c:v>42795</c:v>
                </c:pt>
                <c:pt idx="303">
                  <c:v>42826</c:v>
                </c:pt>
                <c:pt idx="304">
                  <c:v>42856</c:v>
                </c:pt>
                <c:pt idx="305">
                  <c:v>42887</c:v>
                </c:pt>
                <c:pt idx="306">
                  <c:v>42917</c:v>
                </c:pt>
                <c:pt idx="307">
                  <c:v>42948</c:v>
                </c:pt>
                <c:pt idx="308">
                  <c:v>42979</c:v>
                </c:pt>
                <c:pt idx="309">
                  <c:v>43009</c:v>
                </c:pt>
                <c:pt idx="310">
                  <c:v>43040</c:v>
                </c:pt>
                <c:pt idx="311">
                  <c:v>43070</c:v>
                </c:pt>
                <c:pt idx="312">
                  <c:v>43101</c:v>
                </c:pt>
                <c:pt idx="313">
                  <c:v>43132</c:v>
                </c:pt>
                <c:pt idx="314">
                  <c:v>43160</c:v>
                </c:pt>
                <c:pt idx="315">
                  <c:v>43191</c:v>
                </c:pt>
                <c:pt idx="316">
                  <c:v>43221</c:v>
                </c:pt>
                <c:pt idx="317">
                  <c:v>43252</c:v>
                </c:pt>
                <c:pt idx="318">
                  <c:v>43282</c:v>
                </c:pt>
                <c:pt idx="319">
                  <c:v>43313</c:v>
                </c:pt>
                <c:pt idx="320">
                  <c:v>43344</c:v>
                </c:pt>
                <c:pt idx="321">
                  <c:v>43374</c:v>
                </c:pt>
                <c:pt idx="322">
                  <c:v>43405</c:v>
                </c:pt>
                <c:pt idx="323">
                  <c:v>43435</c:v>
                </c:pt>
                <c:pt idx="324">
                  <c:v>43466</c:v>
                </c:pt>
                <c:pt idx="325">
                  <c:v>43497</c:v>
                </c:pt>
                <c:pt idx="326">
                  <c:v>43525</c:v>
                </c:pt>
                <c:pt idx="327">
                  <c:v>43556</c:v>
                </c:pt>
                <c:pt idx="328">
                  <c:v>43586</c:v>
                </c:pt>
                <c:pt idx="329">
                  <c:v>43617</c:v>
                </c:pt>
                <c:pt idx="330">
                  <c:v>43647</c:v>
                </c:pt>
                <c:pt idx="331">
                  <c:v>43678</c:v>
                </c:pt>
                <c:pt idx="332">
                  <c:v>43709</c:v>
                </c:pt>
                <c:pt idx="333">
                  <c:v>43739</c:v>
                </c:pt>
                <c:pt idx="334">
                  <c:v>43770</c:v>
                </c:pt>
                <c:pt idx="335">
                  <c:v>43800</c:v>
                </c:pt>
                <c:pt idx="336">
                  <c:v>43831</c:v>
                </c:pt>
                <c:pt idx="337">
                  <c:v>43862</c:v>
                </c:pt>
                <c:pt idx="338">
                  <c:v>43891</c:v>
                </c:pt>
                <c:pt idx="339">
                  <c:v>43922</c:v>
                </c:pt>
                <c:pt idx="340">
                  <c:v>43952</c:v>
                </c:pt>
                <c:pt idx="341">
                  <c:v>43983</c:v>
                </c:pt>
                <c:pt idx="342">
                  <c:v>44013</c:v>
                </c:pt>
                <c:pt idx="343">
                  <c:v>44044</c:v>
                </c:pt>
                <c:pt idx="344">
                  <c:v>44075</c:v>
                </c:pt>
                <c:pt idx="345">
                  <c:v>44105</c:v>
                </c:pt>
                <c:pt idx="346">
                  <c:v>44136</c:v>
                </c:pt>
                <c:pt idx="347">
                  <c:v>44166</c:v>
                </c:pt>
                <c:pt idx="348">
                  <c:v>44197</c:v>
                </c:pt>
                <c:pt idx="349">
                  <c:v>44228</c:v>
                </c:pt>
                <c:pt idx="350">
                  <c:v>44256</c:v>
                </c:pt>
                <c:pt idx="351">
                  <c:v>44287</c:v>
                </c:pt>
                <c:pt idx="352">
                  <c:v>44317</c:v>
                </c:pt>
                <c:pt idx="353">
                  <c:v>44348</c:v>
                </c:pt>
                <c:pt idx="354">
                  <c:v>44378</c:v>
                </c:pt>
                <c:pt idx="355">
                  <c:v>44409</c:v>
                </c:pt>
              </c:numCache>
            </c:numRef>
          </c:cat>
          <c:val>
            <c:numRef>
              <c:f>'Retail Sales'!$B$7:$B$362</c:f>
              <c:numCache>
                <c:formatCode>#,##0</c:formatCode>
                <c:ptCount val="356"/>
                <c:pt idx="0">
                  <c:v>164095</c:v>
                </c:pt>
                <c:pt idx="1">
                  <c:v>164213</c:v>
                </c:pt>
                <c:pt idx="2">
                  <c:v>163721</c:v>
                </c:pt>
                <c:pt idx="3">
                  <c:v>164709</c:v>
                </c:pt>
                <c:pt idx="4">
                  <c:v>165612</c:v>
                </c:pt>
                <c:pt idx="5">
                  <c:v>166077</c:v>
                </c:pt>
                <c:pt idx="6">
                  <c:v>167257</c:v>
                </c:pt>
                <c:pt idx="7">
                  <c:v>167800</c:v>
                </c:pt>
                <c:pt idx="8">
                  <c:v>169400</c:v>
                </c:pt>
                <c:pt idx="9">
                  <c:v>170625</c:v>
                </c:pt>
                <c:pt idx="10">
                  <c:v>171003</c:v>
                </c:pt>
                <c:pt idx="11">
                  <c:v>173105</c:v>
                </c:pt>
                <c:pt idx="12">
                  <c:v>175108</c:v>
                </c:pt>
                <c:pt idx="13">
                  <c:v>173744</c:v>
                </c:pt>
                <c:pt idx="14">
                  <c:v>172306</c:v>
                </c:pt>
                <c:pt idx="15">
                  <c:v>176749</c:v>
                </c:pt>
                <c:pt idx="16">
                  <c:v>178426</c:v>
                </c:pt>
                <c:pt idx="17">
                  <c:v>178157</c:v>
                </c:pt>
                <c:pt idx="18">
                  <c:v>180743</c:v>
                </c:pt>
                <c:pt idx="19">
                  <c:v>180707</c:v>
                </c:pt>
                <c:pt idx="20">
                  <c:v>181773</c:v>
                </c:pt>
                <c:pt idx="21">
                  <c:v>182884</c:v>
                </c:pt>
                <c:pt idx="22">
                  <c:v>184747</c:v>
                </c:pt>
                <c:pt idx="23">
                  <c:v>186399</c:v>
                </c:pt>
                <c:pt idx="24">
                  <c:v>185142</c:v>
                </c:pt>
                <c:pt idx="25">
                  <c:v>188074</c:v>
                </c:pt>
                <c:pt idx="26">
                  <c:v>191579</c:v>
                </c:pt>
                <c:pt idx="27">
                  <c:v>191639</c:v>
                </c:pt>
                <c:pt idx="28">
                  <c:v>190929</c:v>
                </c:pt>
                <c:pt idx="29">
                  <c:v>193130</c:v>
                </c:pt>
                <c:pt idx="30">
                  <c:v>193743</c:v>
                </c:pt>
                <c:pt idx="31">
                  <c:v>196163</c:v>
                </c:pt>
                <c:pt idx="32">
                  <c:v>197765</c:v>
                </c:pt>
                <c:pt idx="33">
                  <c:v>199571</c:v>
                </c:pt>
                <c:pt idx="34">
                  <c:v>199731</c:v>
                </c:pt>
                <c:pt idx="35">
                  <c:v>200702</c:v>
                </c:pt>
                <c:pt idx="36">
                  <c:v>201573</c:v>
                </c:pt>
                <c:pt idx="37">
                  <c:v>198399</c:v>
                </c:pt>
                <c:pt idx="38">
                  <c:v>200247</c:v>
                </c:pt>
                <c:pt idx="39">
                  <c:v>201032</c:v>
                </c:pt>
                <c:pt idx="40">
                  <c:v>202986</c:v>
                </c:pt>
                <c:pt idx="41">
                  <c:v>205500</c:v>
                </c:pt>
                <c:pt idx="42">
                  <c:v>204920</c:v>
                </c:pt>
                <c:pt idx="43">
                  <c:v>206521</c:v>
                </c:pt>
                <c:pt idx="44">
                  <c:v>207006</c:v>
                </c:pt>
                <c:pt idx="45">
                  <c:v>206176</c:v>
                </c:pt>
                <c:pt idx="46">
                  <c:v>208664</c:v>
                </c:pt>
                <c:pt idx="47">
                  <c:v>210399</c:v>
                </c:pt>
                <c:pt idx="48">
                  <c:v>208699</c:v>
                </c:pt>
                <c:pt idx="49">
                  <c:v>212008</c:v>
                </c:pt>
                <c:pt idx="50">
                  <c:v>213891</c:v>
                </c:pt>
                <c:pt idx="51">
                  <c:v>214676</c:v>
                </c:pt>
                <c:pt idx="52">
                  <c:v>216299</c:v>
                </c:pt>
                <c:pt idx="53">
                  <c:v>216068</c:v>
                </c:pt>
                <c:pt idx="54">
                  <c:v>216332</c:v>
                </c:pt>
                <c:pt idx="55">
                  <c:v>216358</c:v>
                </c:pt>
                <c:pt idx="56">
                  <c:v>219256</c:v>
                </c:pt>
                <c:pt idx="57">
                  <c:v>221060</c:v>
                </c:pt>
                <c:pt idx="58">
                  <c:v>220963</c:v>
                </c:pt>
                <c:pt idx="59">
                  <c:v>221991</c:v>
                </c:pt>
                <c:pt idx="60">
                  <c:v>223481</c:v>
                </c:pt>
                <c:pt idx="61">
                  <c:v>225422</c:v>
                </c:pt>
                <c:pt idx="62">
                  <c:v>226161</c:v>
                </c:pt>
                <c:pt idx="63">
                  <c:v>224615</c:v>
                </c:pt>
                <c:pt idx="64">
                  <c:v>222929</c:v>
                </c:pt>
                <c:pt idx="65">
                  <c:v>226057</c:v>
                </c:pt>
                <c:pt idx="66">
                  <c:v>228703</c:v>
                </c:pt>
                <c:pt idx="67">
                  <c:v>229309</c:v>
                </c:pt>
                <c:pt idx="68">
                  <c:v>230312</c:v>
                </c:pt>
                <c:pt idx="69">
                  <c:v>229836</c:v>
                </c:pt>
                <c:pt idx="70">
                  <c:v>230440</c:v>
                </c:pt>
                <c:pt idx="71">
                  <c:v>231181</c:v>
                </c:pt>
                <c:pt idx="72">
                  <c:v>231587</c:v>
                </c:pt>
                <c:pt idx="73">
                  <c:v>231684</c:v>
                </c:pt>
                <c:pt idx="74">
                  <c:v>233083</c:v>
                </c:pt>
                <c:pt idx="75">
                  <c:v>235986</c:v>
                </c:pt>
                <c:pt idx="76">
                  <c:v>237075</c:v>
                </c:pt>
                <c:pt idx="77">
                  <c:v>238971</c:v>
                </c:pt>
                <c:pt idx="78">
                  <c:v>237411</c:v>
                </c:pt>
                <c:pt idx="79">
                  <c:v>236379</c:v>
                </c:pt>
                <c:pt idx="80">
                  <c:v>238550</c:v>
                </c:pt>
                <c:pt idx="81">
                  <c:v>242549</c:v>
                </c:pt>
                <c:pt idx="82">
                  <c:v>244291</c:v>
                </c:pt>
                <c:pt idx="83">
                  <c:v>246530</c:v>
                </c:pt>
                <c:pt idx="84">
                  <c:v>246868</c:v>
                </c:pt>
                <c:pt idx="85">
                  <c:v>249520</c:v>
                </c:pt>
                <c:pt idx="86">
                  <c:v>250667</c:v>
                </c:pt>
                <c:pt idx="87">
                  <c:v>252477</c:v>
                </c:pt>
                <c:pt idx="88">
                  <c:v>254735</c:v>
                </c:pt>
                <c:pt idx="89">
                  <c:v>255449</c:v>
                </c:pt>
                <c:pt idx="90">
                  <c:v>257456</c:v>
                </c:pt>
                <c:pt idx="91">
                  <c:v>260230</c:v>
                </c:pt>
                <c:pt idx="92">
                  <c:v>261317</c:v>
                </c:pt>
                <c:pt idx="93">
                  <c:v>261818</c:v>
                </c:pt>
                <c:pt idx="94">
                  <c:v>264965</c:v>
                </c:pt>
                <c:pt idx="95">
                  <c:v>269863</c:v>
                </c:pt>
                <c:pt idx="96">
                  <c:v>268044</c:v>
                </c:pt>
                <c:pt idx="97">
                  <c:v>272020</c:v>
                </c:pt>
                <c:pt idx="98">
                  <c:v>275192</c:v>
                </c:pt>
                <c:pt idx="99">
                  <c:v>271046</c:v>
                </c:pt>
                <c:pt idx="100">
                  <c:v>271394</c:v>
                </c:pt>
                <c:pt idx="101">
                  <c:v>273422</c:v>
                </c:pt>
                <c:pt idx="102">
                  <c:v>272630</c:v>
                </c:pt>
                <c:pt idx="103">
                  <c:v>272918</c:v>
                </c:pt>
                <c:pt idx="104">
                  <c:v>277548</c:v>
                </c:pt>
                <c:pt idx="105">
                  <c:v>276927</c:v>
                </c:pt>
                <c:pt idx="106">
                  <c:v>276029</c:v>
                </c:pt>
                <c:pt idx="107">
                  <c:v>275791</c:v>
                </c:pt>
                <c:pt idx="108">
                  <c:v>278834</c:v>
                </c:pt>
                <c:pt idx="109">
                  <c:v>278773</c:v>
                </c:pt>
                <c:pt idx="110">
                  <c:v>276450</c:v>
                </c:pt>
                <c:pt idx="111">
                  <c:v>280808</c:v>
                </c:pt>
                <c:pt idx="112">
                  <c:v>281496</c:v>
                </c:pt>
                <c:pt idx="113">
                  <c:v>280401</c:v>
                </c:pt>
                <c:pt idx="114">
                  <c:v>279504</c:v>
                </c:pt>
                <c:pt idx="115">
                  <c:v>281413</c:v>
                </c:pt>
                <c:pt idx="116">
                  <c:v>276084</c:v>
                </c:pt>
                <c:pt idx="117">
                  <c:v>294540</c:v>
                </c:pt>
                <c:pt idx="118">
                  <c:v>287111</c:v>
                </c:pt>
                <c:pt idx="119">
                  <c:v>283705</c:v>
                </c:pt>
                <c:pt idx="120">
                  <c:v>283508</c:v>
                </c:pt>
                <c:pt idx="121">
                  <c:v>285054</c:v>
                </c:pt>
                <c:pt idx="122">
                  <c:v>284262</c:v>
                </c:pt>
                <c:pt idx="123">
                  <c:v>288833</c:v>
                </c:pt>
                <c:pt idx="124">
                  <c:v>284951</c:v>
                </c:pt>
                <c:pt idx="125">
                  <c:v>287372</c:v>
                </c:pt>
                <c:pt idx="126">
                  <c:v>290385</c:v>
                </c:pt>
                <c:pt idx="127">
                  <c:v>292650</c:v>
                </c:pt>
                <c:pt idx="128">
                  <c:v>288410</c:v>
                </c:pt>
                <c:pt idx="129">
                  <c:v>289576</c:v>
                </c:pt>
                <c:pt idx="130">
                  <c:v>291484</c:v>
                </c:pt>
                <c:pt idx="131">
                  <c:v>293947</c:v>
                </c:pt>
                <c:pt idx="132">
                  <c:v>295248</c:v>
                </c:pt>
                <c:pt idx="133">
                  <c:v>291167</c:v>
                </c:pt>
                <c:pt idx="134">
                  <c:v>296325</c:v>
                </c:pt>
                <c:pt idx="135">
                  <c:v>295600</c:v>
                </c:pt>
                <c:pt idx="136">
                  <c:v>296410</c:v>
                </c:pt>
                <c:pt idx="137">
                  <c:v>299626</c:v>
                </c:pt>
                <c:pt idx="138">
                  <c:v>302747</c:v>
                </c:pt>
                <c:pt idx="139">
                  <c:v>307809</c:v>
                </c:pt>
                <c:pt idx="140">
                  <c:v>305933</c:v>
                </c:pt>
                <c:pt idx="141">
                  <c:v>304809</c:v>
                </c:pt>
                <c:pt idx="142">
                  <c:v>308527</c:v>
                </c:pt>
                <c:pt idx="143">
                  <c:v>307407</c:v>
                </c:pt>
                <c:pt idx="144">
                  <c:v>309254</c:v>
                </c:pt>
                <c:pt idx="145">
                  <c:v>311393</c:v>
                </c:pt>
                <c:pt idx="146">
                  <c:v>316912</c:v>
                </c:pt>
                <c:pt idx="147">
                  <c:v>313512</c:v>
                </c:pt>
                <c:pt idx="148">
                  <c:v>318964</c:v>
                </c:pt>
                <c:pt idx="149">
                  <c:v>314958</c:v>
                </c:pt>
                <c:pt idx="150">
                  <c:v>318549</c:v>
                </c:pt>
                <c:pt idx="151">
                  <c:v>318977</c:v>
                </c:pt>
                <c:pt idx="152">
                  <c:v>324569</c:v>
                </c:pt>
                <c:pt idx="153">
                  <c:v>326740</c:v>
                </c:pt>
                <c:pt idx="154">
                  <c:v>327836</c:v>
                </c:pt>
                <c:pt idx="155">
                  <c:v>331874</c:v>
                </c:pt>
                <c:pt idx="156">
                  <c:v>328696</c:v>
                </c:pt>
                <c:pt idx="157">
                  <c:v>333026</c:v>
                </c:pt>
                <c:pt idx="158">
                  <c:v>333581</c:v>
                </c:pt>
                <c:pt idx="159">
                  <c:v>336583</c:v>
                </c:pt>
                <c:pt idx="160">
                  <c:v>334522</c:v>
                </c:pt>
                <c:pt idx="161">
                  <c:v>343998</c:v>
                </c:pt>
                <c:pt idx="162">
                  <c:v>346576</c:v>
                </c:pt>
                <c:pt idx="163">
                  <c:v>343307</c:v>
                </c:pt>
                <c:pt idx="164">
                  <c:v>343956</c:v>
                </c:pt>
                <c:pt idx="165">
                  <c:v>344097</c:v>
                </c:pt>
                <c:pt idx="166">
                  <c:v>347325</c:v>
                </c:pt>
                <c:pt idx="167">
                  <c:v>347405</c:v>
                </c:pt>
                <c:pt idx="168">
                  <c:v>357331</c:v>
                </c:pt>
                <c:pt idx="169">
                  <c:v>354706</c:v>
                </c:pt>
                <c:pt idx="170">
                  <c:v>355665</c:v>
                </c:pt>
                <c:pt idx="171">
                  <c:v>357423</c:v>
                </c:pt>
                <c:pt idx="172">
                  <c:v>356704</c:v>
                </c:pt>
                <c:pt idx="173">
                  <c:v>357879</c:v>
                </c:pt>
                <c:pt idx="174">
                  <c:v>359006</c:v>
                </c:pt>
                <c:pt idx="175">
                  <c:v>360691</c:v>
                </c:pt>
                <c:pt idx="176">
                  <c:v>358961</c:v>
                </c:pt>
                <c:pt idx="177">
                  <c:v>358462</c:v>
                </c:pt>
                <c:pt idx="178">
                  <c:v>359266</c:v>
                </c:pt>
                <c:pt idx="179">
                  <c:v>363730</c:v>
                </c:pt>
                <c:pt idx="180">
                  <c:v>363616</c:v>
                </c:pt>
                <c:pt idx="181">
                  <c:v>364006</c:v>
                </c:pt>
                <c:pt idx="182">
                  <c:v>367158</c:v>
                </c:pt>
                <c:pt idx="183">
                  <c:v>366187</c:v>
                </c:pt>
                <c:pt idx="184">
                  <c:v>370934</c:v>
                </c:pt>
                <c:pt idx="185">
                  <c:v>368154</c:v>
                </c:pt>
                <c:pt idx="186">
                  <c:v>369614</c:v>
                </c:pt>
                <c:pt idx="187">
                  <c:v>371358</c:v>
                </c:pt>
                <c:pt idx="188">
                  <c:v>372869</c:v>
                </c:pt>
                <c:pt idx="189">
                  <c:v>375289</c:v>
                </c:pt>
                <c:pt idx="190">
                  <c:v>378860</c:v>
                </c:pt>
                <c:pt idx="191">
                  <c:v>374298</c:v>
                </c:pt>
                <c:pt idx="192">
                  <c:v>375236</c:v>
                </c:pt>
                <c:pt idx="193">
                  <c:v>371833</c:v>
                </c:pt>
                <c:pt idx="194">
                  <c:v>372745</c:v>
                </c:pt>
                <c:pt idx="195">
                  <c:v>372572</c:v>
                </c:pt>
                <c:pt idx="196">
                  <c:v>376036</c:v>
                </c:pt>
                <c:pt idx="197">
                  <c:v>376455</c:v>
                </c:pt>
                <c:pt idx="198">
                  <c:v>375038</c:v>
                </c:pt>
                <c:pt idx="199">
                  <c:v>372284</c:v>
                </c:pt>
                <c:pt idx="200">
                  <c:v>366729</c:v>
                </c:pt>
                <c:pt idx="201">
                  <c:v>352950</c:v>
                </c:pt>
                <c:pt idx="202">
                  <c:v>339350</c:v>
                </c:pt>
                <c:pt idx="203">
                  <c:v>332091</c:v>
                </c:pt>
                <c:pt idx="204">
                  <c:v>336929</c:v>
                </c:pt>
                <c:pt idx="205">
                  <c:v>335576</c:v>
                </c:pt>
                <c:pt idx="206">
                  <c:v>329747</c:v>
                </c:pt>
                <c:pt idx="207">
                  <c:v>331352</c:v>
                </c:pt>
                <c:pt idx="208">
                  <c:v>334256</c:v>
                </c:pt>
                <c:pt idx="209">
                  <c:v>339883</c:v>
                </c:pt>
                <c:pt idx="210">
                  <c:v>340517</c:v>
                </c:pt>
                <c:pt idx="211">
                  <c:v>346668</c:v>
                </c:pt>
                <c:pt idx="212">
                  <c:v>338507</c:v>
                </c:pt>
                <c:pt idx="213">
                  <c:v>341654</c:v>
                </c:pt>
                <c:pt idx="214">
                  <c:v>344375</c:v>
                </c:pt>
                <c:pt idx="215">
                  <c:v>346072</c:v>
                </c:pt>
                <c:pt idx="216">
                  <c:v>345959</c:v>
                </c:pt>
                <c:pt idx="217">
                  <c:v>346895</c:v>
                </c:pt>
                <c:pt idx="218">
                  <c:v>354379</c:v>
                </c:pt>
                <c:pt idx="219">
                  <c:v>357365</c:v>
                </c:pt>
                <c:pt idx="220">
                  <c:v>354299</c:v>
                </c:pt>
                <c:pt idx="221">
                  <c:v>353763</c:v>
                </c:pt>
                <c:pt idx="222">
                  <c:v>354665</c:v>
                </c:pt>
                <c:pt idx="223">
                  <c:v>356810</c:v>
                </c:pt>
                <c:pt idx="224">
                  <c:v>359465</c:v>
                </c:pt>
                <c:pt idx="225">
                  <c:v>363340</c:v>
                </c:pt>
                <c:pt idx="226">
                  <c:v>367455</c:v>
                </c:pt>
                <c:pt idx="227">
                  <c:v>369135</c:v>
                </c:pt>
                <c:pt idx="228">
                  <c:v>372057</c:v>
                </c:pt>
                <c:pt idx="229">
                  <c:v>375092</c:v>
                </c:pt>
                <c:pt idx="230">
                  <c:v>378582</c:v>
                </c:pt>
                <c:pt idx="231">
                  <c:v>380508</c:v>
                </c:pt>
                <c:pt idx="232">
                  <c:v>380353</c:v>
                </c:pt>
                <c:pt idx="233">
                  <c:v>383140</c:v>
                </c:pt>
                <c:pt idx="234">
                  <c:v>382889</c:v>
                </c:pt>
                <c:pt idx="235">
                  <c:v>384006</c:v>
                </c:pt>
                <c:pt idx="236">
                  <c:v>387509</c:v>
                </c:pt>
                <c:pt idx="237">
                  <c:v>390086</c:v>
                </c:pt>
                <c:pt idx="238">
                  <c:v>391541</c:v>
                </c:pt>
                <c:pt idx="239">
                  <c:v>391608</c:v>
                </c:pt>
                <c:pt idx="240">
                  <c:v>395720</c:v>
                </c:pt>
                <c:pt idx="241">
                  <c:v>400329</c:v>
                </c:pt>
                <c:pt idx="242">
                  <c:v>401661</c:v>
                </c:pt>
                <c:pt idx="243">
                  <c:v>400214</c:v>
                </c:pt>
                <c:pt idx="244">
                  <c:v>399331</c:v>
                </c:pt>
                <c:pt idx="245">
                  <c:v>395585</c:v>
                </c:pt>
                <c:pt idx="246">
                  <c:v>397567</c:v>
                </c:pt>
                <c:pt idx="247">
                  <c:v>402162</c:v>
                </c:pt>
                <c:pt idx="248">
                  <c:v>405555</c:v>
                </c:pt>
                <c:pt idx="249">
                  <c:v>405699</c:v>
                </c:pt>
                <c:pt idx="250">
                  <c:v>407396</c:v>
                </c:pt>
                <c:pt idx="251">
                  <c:v>409026</c:v>
                </c:pt>
                <c:pt idx="252">
                  <c:v>412155</c:v>
                </c:pt>
                <c:pt idx="253">
                  <c:v>417159</c:v>
                </c:pt>
                <c:pt idx="254">
                  <c:v>414092</c:v>
                </c:pt>
                <c:pt idx="255">
                  <c:v>412237</c:v>
                </c:pt>
                <c:pt idx="256">
                  <c:v>414309</c:v>
                </c:pt>
                <c:pt idx="257">
                  <c:v>415742</c:v>
                </c:pt>
                <c:pt idx="258">
                  <c:v>418604</c:v>
                </c:pt>
                <c:pt idx="259">
                  <c:v>417644</c:v>
                </c:pt>
                <c:pt idx="260">
                  <c:v>417849</c:v>
                </c:pt>
                <c:pt idx="261">
                  <c:v>419599</c:v>
                </c:pt>
                <c:pt idx="262">
                  <c:v>420658</c:v>
                </c:pt>
                <c:pt idx="263">
                  <c:v>423362</c:v>
                </c:pt>
                <c:pt idx="264">
                  <c:v>418947</c:v>
                </c:pt>
                <c:pt idx="265">
                  <c:v>425005</c:v>
                </c:pt>
                <c:pt idx="266">
                  <c:v>429658</c:v>
                </c:pt>
                <c:pt idx="267">
                  <c:v>433826</c:v>
                </c:pt>
                <c:pt idx="268">
                  <c:v>434640</c:v>
                </c:pt>
                <c:pt idx="269">
                  <c:v>435816</c:v>
                </c:pt>
                <c:pt idx="270">
                  <c:v>436442</c:v>
                </c:pt>
                <c:pt idx="271">
                  <c:v>439680</c:v>
                </c:pt>
                <c:pt idx="272">
                  <c:v>438842</c:v>
                </c:pt>
                <c:pt idx="273">
                  <c:v>440164</c:v>
                </c:pt>
                <c:pt idx="274">
                  <c:v>441536</c:v>
                </c:pt>
                <c:pt idx="275">
                  <c:v>439077</c:v>
                </c:pt>
                <c:pt idx="276">
                  <c:v>436482</c:v>
                </c:pt>
                <c:pt idx="277">
                  <c:v>435847</c:v>
                </c:pt>
                <c:pt idx="278">
                  <c:v>442487</c:v>
                </c:pt>
                <c:pt idx="279">
                  <c:v>443095</c:v>
                </c:pt>
                <c:pt idx="280">
                  <c:v>446529</c:v>
                </c:pt>
                <c:pt idx="281">
                  <c:v>447343</c:v>
                </c:pt>
                <c:pt idx="282">
                  <c:v>450350</c:v>
                </c:pt>
                <c:pt idx="283">
                  <c:v>450521</c:v>
                </c:pt>
                <c:pt idx="284">
                  <c:v>448635</c:v>
                </c:pt>
                <c:pt idx="285">
                  <c:v>447262</c:v>
                </c:pt>
                <c:pt idx="286">
                  <c:v>449121</c:v>
                </c:pt>
                <c:pt idx="287">
                  <c:v>450792</c:v>
                </c:pt>
                <c:pt idx="288">
                  <c:v>447794</c:v>
                </c:pt>
                <c:pt idx="289">
                  <c:v>452342</c:v>
                </c:pt>
                <c:pt idx="290">
                  <c:v>450830</c:v>
                </c:pt>
                <c:pt idx="291">
                  <c:v>452430</c:v>
                </c:pt>
                <c:pt idx="292">
                  <c:v>454443</c:v>
                </c:pt>
                <c:pt idx="293">
                  <c:v>459052</c:v>
                </c:pt>
                <c:pt idx="294">
                  <c:v>458060</c:v>
                </c:pt>
                <c:pt idx="295">
                  <c:v>458771</c:v>
                </c:pt>
                <c:pt idx="296">
                  <c:v>461324</c:v>
                </c:pt>
                <c:pt idx="297">
                  <c:v>462770</c:v>
                </c:pt>
                <c:pt idx="298">
                  <c:v>462407</c:v>
                </c:pt>
                <c:pt idx="299">
                  <c:v>468061</c:v>
                </c:pt>
                <c:pt idx="300">
                  <c:v>473484</c:v>
                </c:pt>
                <c:pt idx="301">
                  <c:v>472995</c:v>
                </c:pt>
                <c:pt idx="302">
                  <c:v>471999</c:v>
                </c:pt>
                <c:pt idx="303">
                  <c:v>474363</c:v>
                </c:pt>
                <c:pt idx="304">
                  <c:v>472010</c:v>
                </c:pt>
                <c:pt idx="305">
                  <c:v>473768</c:v>
                </c:pt>
                <c:pt idx="306">
                  <c:v>473959</c:v>
                </c:pt>
                <c:pt idx="307">
                  <c:v>474703</c:v>
                </c:pt>
                <c:pt idx="308">
                  <c:v>484385</c:v>
                </c:pt>
                <c:pt idx="309">
                  <c:v>485059</c:v>
                </c:pt>
                <c:pt idx="310">
                  <c:v>490007</c:v>
                </c:pt>
                <c:pt idx="311">
                  <c:v>492401</c:v>
                </c:pt>
                <c:pt idx="312">
                  <c:v>491492</c:v>
                </c:pt>
                <c:pt idx="313">
                  <c:v>493759</c:v>
                </c:pt>
                <c:pt idx="314">
                  <c:v>493373</c:v>
                </c:pt>
                <c:pt idx="315">
                  <c:v>495025</c:v>
                </c:pt>
                <c:pt idx="316">
                  <c:v>500719</c:v>
                </c:pt>
                <c:pt idx="317">
                  <c:v>499631</c:v>
                </c:pt>
                <c:pt idx="318">
                  <c:v>502962</c:v>
                </c:pt>
                <c:pt idx="319">
                  <c:v>501913</c:v>
                </c:pt>
                <c:pt idx="320">
                  <c:v>500362</c:v>
                </c:pt>
                <c:pt idx="321">
                  <c:v>506010</c:v>
                </c:pt>
                <c:pt idx="322">
                  <c:v>506973</c:v>
                </c:pt>
                <c:pt idx="323">
                  <c:v>496593</c:v>
                </c:pt>
                <c:pt idx="324">
                  <c:v>502724</c:v>
                </c:pt>
                <c:pt idx="325">
                  <c:v>502627</c:v>
                </c:pt>
                <c:pt idx="326">
                  <c:v>510320</c:v>
                </c:pt>
                <c:pt idx="327">
                  <c:v>512326</c:v>
                </c:pt>
                <c:pt idx="328">
                  <c:v>513870</c:v>
                </c:pt>
                <c:pt idx="329">
                  <c:v>515911</c:v>
                </c:pt>
                <c:pt idx="330">
                  <c:v>519447</c:v>
                </c:pt>
                <c:pt idx="331">
                  <c:v>521833</c:v>
                </c:pt>
                <c:pt idx="332">
                  <c:v>518605</c:v>
                </c:pt>
                <c:pt idx="333">
                  <c:v>521114</c:v>
                </c:pt>
                <c:pt idx="334">
                  <c:v>522805</c:v>
                </c:pt>
                <c:pt idx="335">
                  <c:v>523862</c:v>
                </c:pt>
                <c:pt idx="336">
                  <c:v>526930</c:v>
                </c:pt>
                <c:pt idx="337">
                  <c:v>525810</c:v>
                </c:pt>
                <c:pt idx="338">
                  <c:v>480407</c:v>
                </c:pt>
                <c:pt idx="339">
                  <c:v>409819</c:v>
                </c:pt>
                <c:pt idx="340">
                  <c:v>484295</c:v>
                </c:pt>
                <c:pt idx="341">
                  <c:v>526187</c:v>
                </c:pt>
                <c:pt idx="342">
                  <c:v>533517</c:v>
                </c:pt>
                <c:pt idx="343">
                  <c:v>537720</c:v>
                </c:pt>
                <c:pt idx="344">
                  <c:v>549528</c:v>
                </c:pt>
                <c:pt idx="345">
                  <c:v>550038</c:v>
                </c:pt>
                <c:pt idx="346">
                  <c:v>542583</c:v>
                </c:pt>
                <c:pt idx="347">
                  <c:v>535972</c:v>
                </c:pt>
                <c:pt idx="348">
                  <c:v>576466</c:v>
                </c:pt>
                <c:pt idx="349">
                  <c:v>559970</c:v>
                </c:pt>
                <c:pt idx="350">
                  <c:v>623119</c:v>
                </c:pt>
                <c:pt idx="351">
                  <c:v>628751</c:v>
                </c:pt>
                <c:pt idx="352">
                  <c:v>620119</c:v>
                </c:pt>
                <c:pt idx="353">
                  <c:v>625405</c:v>
                </c:pt>
                <c:pt idx="354">
                  <c:v>614313</c:v>
                </c:pt>
                <c:pt idx="355">
                  <c:v>618676</c:v>
                </c:pt>
              </c:numCache>
            </c:numRef>
          </c:val>
          <c:smooth val="0"/>
          <c:extLst>
            <c:ext xmlns:c16="http://schemas.microsoft.com/office/drawing/2014/chart" uri="{C3380CC4-5D6E-409C-BE32-E72D297353CC}">
              <c16:uniqueId val="{00000000-0839-4006-B6E0-49A5D7883F3C}"/>
            </c:ext>
          </c:extLst>
        </c:ser>
        <c:dLbls>
          <c:showLegendKey val="0"/>
          <c:showVal val="0"/>
          <c:showCatName val="0"/>
          <c:showSerName val="0"/>
          <c:showPercent val="0"/>
          <c:showBubbleSize val="0"/>
        </c:dLbls>
        <c:smooth val="0"/>
        <c:axId val="1474519791"/>
        <c:axId val="1311982767"/>
      </c:lineChart>
      <c:dateAx>
        <c:axId val="1474519791"/>
        <c:scaling>
          <c:orientation val="minMax"/>
        </c:scaling>
        <c:delete val="0"/>
        <c:axPos val="b"/>
        <c:numFmt formatCode="[$-409]mmm\-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11982767"/>
        <c:crosses val="autoZero"/>
        <c:auto val="1"/>
        <c:lblOffset val="100"/>
        <c:baseTimeUnit val="months"/>
      </c:dateAx>
      <c:valAx>
        <c:axId val="1311982767"/>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74519791"/>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1"/>
          <c:order val="0"/>
          <c:tx>
            <c:strRef>
              <c:f>'Retail Sales ex Auto'!$C$6</c:f>
              <c:strCache>
                <c:ptCount val="1"/>
                <c:pt idx="0">
                  <c:v>mom %</c:v>
                </c:pt>
              </c:strCache>
            </c:strRef>
          </c:tx>
          <c:spPr>
            <a:solidFill>
              <a:srgbClr val="00B050"/>
            </a:solidFill>
            <a:ln>
              <a:noFill/>
            </a:ln>
            <a:effectLst/>
          </c:spPr>
          <c:invertIfNegative val="1"/>
          <c:cat>
            <c:numRef>
              <c:f>'Retail Sales ex Auto'!$A$19:$A$335</c:f>
              <c:numCache>
                <c:formatCode>[$-409]mmm\-yy;@</c:formatCode>
                <c:ptCount val="317"/>
                <c:pt idx="0">
                  <c:v>33970</c:v>
                </c:pt>
                <c:pt idx="1">
                  <c:v>34001</c:v>
                </c:pt>
                <c:pt idx="2">
                  <c:v>34029</c:v>
                </c:pt>
                <c:pt idx="3">
                  <c:v>34060</c:v>
                </c:pt>
                <c:pt idx="4">
                  <c:v>34090</c:v>
                </c:pt>
                <c:pt idx="5">
                  <c:v>34121</c:v>
                </c:pt>
                <c:pt idx="6">
                  <c:v>34151</c:v>
                </c:pt>
                <c:pt idx="7">
                  <c:v>34182</c:v>
                </c:pt>
                <c:pt idx="8">
                  <c:v>34213</c:v>
                </c:pt>
                <c:pt idx="9">
                  <c:v>34243</c:v>
                </c:pt>
                <c:pt idx="10">
                  <c:v>34274</c:v>
                </c:pt>
                <c:pt idx="11">
                  <c:v>34304</c:v>
                </c:pt>
                <c:pt idx="12">
                  <c:v>34335</c:v>
                </c:pt>
                <c:pt idx="13">
                  <c:v>34366</c:v>
                </c:pt>
                <c:pt idx="14">
                  <c:v>34394</c:v>
                </c:pt>
                <c:pt idx="15">
                  <c:v>34425</c:v>
                </c:pt>
                <c:pt idx="16">
                  <c:v>34455</c:v>
                </c:pt>
                <c:pt idx="17">
                  <c:v>34486</c:v>
                </c:pt>
                <c:pt idx="18">
                  <c:v>34516</c:v>
                </c:pt>
                <c:pt idx="19">
                  <c:v>34547</c:v>
                </c:pt>
                <c:pt idx="20">
                  <c:v>34578</c:v>
                </c:pt>
                <c:pt idx="21">
                  <c:v>34608</c:v>
                </c:pt>
                <c:pt idx="22">
                  <c:v>34639</c:v>
                </c:pt>
                <c:pt idx="23">
                  <c:v>34669</c:v>
                </c:pt>
                <c:pt idx="24">
                  <c:v>34700</c:v>
                </c:pt>
                <c:pt idx="25">
                  <c:v>34731</c:v>
                </c:pt>
                <c:pt idx="26">
                  <c:v>34759</c:v>
                </c:pt>
                <c:pt idx="27">
                  <c:v>34790</c:v>
                </c:pt>
                <c:pt idx="28">
                  <c:v>34820</c:v>
                </c:pt>
                <c:pt idx="29">
                  <c:v>34851</c:v>
                </c:pt>
                <c:pt idx="30">
                  <c:v>34881</c:v>
                </c:pt>
                <c:pt idx="31">
                  <c:v>34912</c:v>
                </c:pt>
                <c:pt idx="32">
                  <c:v>34943</c:v>
                </c:pt>
                <c:pt idx="33">
                  <c:v>34973</c:v>
                </c:pt>
                <c:pt idx="34">
                  <c:v>35004</c:v>
                </c:pt>
                <c:pt idx="35">
                  <c:v>35034</c:v>
                </c:pt>
                <c:pt idx="36">
                  <c:v>35065</c:v>
                </c:pt>
                <c:pt idx="37">
                  <c:v>35096</c:v>
                </c:pt>
                <c:pt idx="38">
                  <c:v>35125</c:v>
                </c:pt>
                <c:pt idx="39">
                  <c:v>35156</c:v>
                </c:pt>
                <c:pt idx="40">
                  <c:v>35186</c:v>
                </c:pt>
                <c:pt idx="41">
                  <c:v>35217</c:v>
                </c:pt>
                <c:pt idx="42">
                  <c:v>35247</c:v>
                </c:pt>
                <c:pt idx="43">
                  <c:v>35278</c:v>
                </c:pt>
                <c:pt idx="44">
                  <c:v>35309</c:v>
                </c:pt>
                <c:pt idx="45">
                  <c:v>35339</c:v>
                </c:pt>
                <c:pt idx="46">
                  <c:v>35370</c:v>
                </c:pt>
                <c:pt idx="47">
                  <c:v>35400</c:v>
                </c:pt>
                <c:pt idx="48">
                  <c:v>35431</c:v>
                </c:pt>
                <c:pt idx="49">
                  <c:v>35462</c:v>
                </c:pt>
                <c:pt idx="50">
                  <c:v>35490</c:v>
                </c:pt>
                <c:pt idx="51">
                  <c:v>35521</c:v>
                </c:pt>
                <c:pt idx="52">
                  <c:v>35551</c:v>
                </c:pt>
                <c:pt idx="53">
                  <c:v>35582</c:v>
                </c:pt>
                <c:pt idx="54">
                  <c:v>35612</c:v>
                </c:pt>
                <c:pt idx="55">
                  <c:v>35643</c:v>
                </c:pt>
                <c:pt idx="56">
                  <c:v>35674</c:v>
                </c:pt>
                <c:pt idx="57">
                  <c:v>35704</c:v>
                </c:pt>
                <c:pt idx="58">
                  <c:v>35735</c:v>
                </c:pt>
                <c:pt idx="59">
                  <c:v>35765</c:v>
                </c:pt>
                <c:pt idx="60">
                  <c:v>35796</c:v>
                </c:pt>
                <c:pt idx="61">
                  <c:v>35827</c:v>
                </c:pt>
                <c:pt idx="62">
                  <c:v>35855</c:v>
                </c:pt>
                <c:pt idx="63">
                  <c:v>35886</c:v>
                </c:pt>
                <c:pt idx="64">
                  <c:v>35916</c:v>
                </c:pt>
                <c:pt idx="65">
                  <c:v>35947</c:v>
                </c:pt>
                <c:pt idx="66">
                  <c:v>35977</c:v>
                </c:pt>
                <c:pt idx="67">
                  <c:v>36008</c:v>
                </c:pt>
                <c:pt idx="68">
                  <c:v>36039</c:v>
                </c:pt>
                <c:pt idx="69">
                  <c:v>36069</c:v>
                </c:pt>
                <c:pt idx="70">
                  <c:v>36100</c:v>
                </c:pt>
                <c:pt idx="71">
                  <c:v>36130</c:v>
                </c:pt>
                <c:pt idx="72">
                  <c:v>36161</c:v>
                </c:pt>
                <c:pt idx="73">
                  <c:v>36192</c:v>
                </c:pt>
                <c:pt idx="74">
                  <c:v>36220</c:v>
                </c:pt>
                <c:pt idx="75">
                  <c:v>36251</c:v>
                </c:pt>
                <c:pt idx="76">
                  <c:v>36281</c:v>
                </c:pt>
                <c:pt idx="77">
                  <c:v>36312</c:v>
                </c:pt>
                <c:pt idx="78">
                  <c:v>36342</c:v>
                </c:pt>
                <c:pt idx="79">
                  <c:v>36373</c:v>
                </c:pt>
                <c:pt idx="80">
                  <c:v>36404</c:v>
                </c:pt>
                <c:pt idx="81">
                  <c:v>36434</c:v>
                </c:pt>
                <c:pt idx="82">
                  <c:v>36465</c:v>
                </c:pt>
                <c:pt idx="83">
                  <c:v>36495</c:v>
                </c:pt>
                <c:pt idx="84">
                  <c:v>36526</c:v>
                </c:pt>
                <c:pt idx="85">
                  <c:v>36557</c:v>
                </c:pt>
                <c:pt idx="86">
                  <c:v>36586</c:v>
                </c:pt>
                <c:pt idx="87">
                  <c:v>36617</c:v>
                </c:pt>
                <c:pt idx="88">
                  <c:v>36647</c:v>
                </c:pt>
                <c:pt idx="89">
                  <c:v>36678</c:v>
                </c:pt>
                <c:pt idx="90">
                  <c:v>36708</c:v>
                </c:pt>
                <c:pt idx="91">
                  <c:v>36739</c:v>
                </c:pt>
                <c:pt idx="92">
                  <c:v>36770</c:v>
                </c:pt>
                <c:pt idx="93">
                  <c:v>36800</c:v>
                </c:pt>
                <c:pt idx="94">
                  <c:v>36831</c:v>
                </c:pt>
                <c:pt idx="95">
                  <c:v>36861</c:v>
                </c:pt>
                <c:pt idx="96">
                  <c:v>36892</c:v>
                </c:pt>
                <c:pt idx="97">
                  <c:v>36923</c:v>
                </c:pt>
                <c:pt idx="98">
                  <c:v>36951</c:v>
                </c:pt>
                <c:pt idx="99">
                  <c:v>36982</c:v>
                </c:pt>
                <c:pt idx="100">
                  <c:v>37012</c:v>
                </c:pt>
                <c:pt idx="101">
                  <c:v>37043</c:v>
                </c:pt>
                <c:pt idx="102">
                  <c:v>37073</c:v>
                </c:pt>
                <c:pt idx="103">
                  <c:v>37104</c:v>
                </c:pt>
                <c:pt idx="104">
                  <c:v>37135</c:v>
                </c:pt>
                <c:pt idx="105">
                  <c:v>37165</c:v>
                </c:pt>
                <c:pt idx="106">
                  <c:v>37196</c:v>
                </c:pt>
                <c:pt idx="107">
                  <c:v>37226</c:v>
                </c:pt>
                <c:pt idx="108">
                  <c:v>37257</c:v>
                </c:pt>
                <c:pt idx="109">
                  <c:v>37288</c:v>
                </c:pt>
                <c:pt idx="110">
                  <c:v>37316</c:v>
                </c:pt>
                <c:pt idx="111">
                  <c:v>37347</c:v>
                </c:pt>
                <c:pt idx="112">
                  <c:v>37377</c:v>
                </c:pt>
                <c:pt idx="113">
                  <c:v>37408</c:v>
                </c:pt>
                <c:pt idx="114">
                  <c:v>37438</c:v>
                </c:pt>
                <c:pt idx="115">
                  <c:v>37469</c:v>
                </c:pt>
                <c:pt idx="116">
                  <c:v>37500</c:v>
                </c:pt>
                <c:pt idx="117">
                  <c:v>37530</c:v>
                </c:pt>
                <c:pt idx="118">
                  <c:v>37561</c:v>
                </c:pt>
                <c:pt idx="119">
                  <c:v>37591</c:v>
                </c:pt>
                <c:pt idx="120">
                  <c:v>37622</c:v>
                </c:pt>
                <c:pt idx="121">
                  <c:v>37653</c:v>
                </c:pt>
                <c:pt idx="122">
                  <c:v>37681</c:v>
                </c:pt>
                <c:pt idx="123">
                  <c:v>37712</c:v>
                </c:pt>
                <c:pt idx="124">
                  <c:v>37742</c:v>
                </c:pt>
                <c:pt idx="125">
                  <c:v>37773</c:v>
                </c:pt>
                <c:pt idx="126">
                  <c:v>37803</c:v>
                </c:pt>
                <c:pt idx="127">
                  <c:v>37834</c:v>
                </c:pt>
                <c:pt idx="128">
                  <c:v>37865</c:v>
                </c:pt>
                <c:pt idx="129">
                  <c:v>37895</c:v>
                </c:pt>
                <c:pt idx="130">
                  <c:v>37926</c:v>
                </c:pt>
                <c:pt idx="131">
                  <c:v>37956</c:v>
                </c:pt>
                <c:pt idx="132">
                  <c:v>37987</c:v>
                </c:pt>
                <c:pt idx="133">
                  <c:v>38018</c:v>
                </c:pt>
                <c:pt idx="134">
                  <c:v>38047</c:v>
                </c:pt>
                <c:pt idx="135">
                  <c:v>38078</c:v>
                </c:pt>
                <c:pt idx="136">
                  <c:v>38108</c:v>
                </c:pt>
                <c:pt idx="137">
                  <c:v>38139</c:v>
                </c:pt>
                <c:pt idx="138">
                  <c:v>38169</c:v>
                </c:pt>
                <c:pt idx="139">
                  <c:v>38200</c:v>
                </c:pt>
                <c:pt idx="140">
                  <c:v>38231</c:v>
                </c:pt>
                <c:pt idx="141">
                  <c:v>38261</c:v>
                </c:pt>
                <c:pt idx="142">
                  <c:v>38292</c:v>
                </c:pt>
                <c:pt idx="143">
                  <c:v>38322</c:v>
                </c:pt>
                <c:pt idx="144">
                  <c:v>38353</c:v>
                </c:pt>
                <c:pt idx="145">
                  <c:v>38384</c:v>
                </c:pt>
                <c:pt idx="146">
                  <c:v>38412</c:v>
                </c:pt>
                <c:pt idx="147">
                  <c:v>38443</c:v>
                </c:pt>
                <c:pt idx="148">
                  <c:v>38473</c:v>
                </c:pt>
                <c:pt idx="149">
                  <c:v>38504</c:v>
                </c:pt>
                <c:pt idx="150">
                  <c:v>38534</c:v>
                </c:pt>
                <c:pt idx="151">
                  <c:v>38565</c:v>
                </c:pt>
                <c:pt idx="152">
                  <c:v>38596</c:v>
                </c:pt>
                <c:pt idx="153">
                  <c:v>38626</c:v>
                </c:pt>
                <c:pt idx="154">
                  <c:v>38657</c:v>
                </c:pt>
                <c:pt idx="155">
                  <c:v>38687</c:v>
                </c:pt>
                <c:pt idx="156">
                  <c:v>38718</c:v>
                </c:pt>
                <c:pt idx="157">
                  <c:v>38749</c:v>
                </c:pt>
                <c:pt idx="158">
                  <c:v>38777</c:v>
                </c:pt>
                <c:pt idx="159">
                  <c:v>38808</c:v>
                </c:pt>
                <c:pt idx="160">
                  <c:v>38838</c:v>
                </c:pt>
                <c:pt idx="161">
                  <c:v>38869</c:v>
                </c:pt>
                <c:pt idx="162">
                  <c:v>38899</c:v>
                </c:pt>
                <c:pt idx="163">
                  <c:v>38930</c:v>
                </c:pt>
                <c:pt idx="164">
                  <c:v>38961</c:v>
                </c:pt>
                <c:pt idx="165">
                  <c:v>38991</c:v>
                </c:pt>
                <c:pt idx="166">
                  <c:v>39022</c:v>
                </c:pt>
                <c:pt idx="167">
                  <c:v>39052</c:v>
                </c:pt>
                <c:pt idx="168">
                  <c:v>39083</c:v>
                </c:pt>
                <c:pt idx="169">
                  <c:v>39114</c:v>
                </c:pt>
                <c:pt idx="170">
                  <c:v>39142</c:v>
                </c:pt>
                <c:pt idx="171">
                  <c:v>39173</c:v>
                </c:pt>
                <c:pt idx="172">
                  <c:v>39203</c:v>
                </c:pt>
                <c:pt idx="173">
                  <c:v>39234</c:v>
                </c:pt>
                <c:pt idx="174">
                  <c:v>39264</c:v>
                </c:pt>
                <c:pt idx="175">
                  <c:v>39295</c:v>
                </c:pt>
                <c:pt idx="176">
                  <c:v>39326</c:v>
                </c:pt>
                <c:pt idx="177">
                  <c:v>39356</c:v>
                </c:pt>
                <c:pt idx="178">
                  <c:v>39387</c:v>
                </c:pt>
                <c:pt idx="179">
                  <c:v>39417</c:v>
                </c:pt>
                <c:pt idx="180">
                  <c:v>39448</c:v>
                </c:pt>
                <c:pt idx="181">
                  <c:v>39479</c:v>
                </c:pt>
                <c:pt idx="182">
                  <c:v>39508</c:v>
                </c:pt>
                <c:pt idx="183">
                  <c:v>39539</c:v>
                </c:pt>
                <c:pt idx="184">
                  <c:v>39569</c:v>
                </c:pt>
                <c:pt idx="185">
                  <c:v>39600</c:v>
                </c:pt>
                <c:pt idx="186">
                  <c:v>39630</c:v>
                </c:pt>
                <c:pt idx="187">
                  <c:v>39661</c:v>
                </c:pt>
                <c:pt idx="188">
                  <c:v>39692</c:v>
                </c:pt>
                <c:pt idx="189">
                  <c:v>39722</c:v>
                </c:pt>
                <c:pt idx="190">
                  <c:v>39753</c:v>
                </c:pt>
                <c:pt idx="191">
                  <c:v>39783</c:v>
                </c:pt>
                <c:pt idx="192">
                  <c:v>39814</c:v>
                </c:pt>
                <c:pt idx="193">
                  <c:v>39845</c:v>
                </c:pt>
                <c:pt idx="194">
                  <c:v>39873</c:v>
                </c:pt>
                <c:pt idx="195">
                  <c:v>39904</c:v>
                </c:pt>
                <c:pt idx="196">
                  <c:v>39934</c:v>
                </c:pt>
                <c:pt idx="197">
                  <c:v>39965</c:v>
                </c:pt>
                <c:pt idx="198">
                  <c:v>39995</c:v>
                </c:pt>
                <c:pt idx="199">
                  <c:v>40026</c:v>
                </c:pt>
                <c:pt idx="200">
                  <c:v>40057</c:v>
                </c:pt>
                <c:pt idx="201">
                  <c:v>40087</c:v>
                </c:pt>
                <c:pt idx="202">
                  <c:v>40118</c:v>
                </c:pt>
                <c:pt idx="203">
                  <c:v>40148</c:v>
                </c:pt>
                <c:pt idx="204">
                  <c:v>40179</c:v>
                </c:pt>
                <c:pt idx="205">
                  <c:v>40210</c:v>
                </c:pt>
                <c:pt idx="206">
                  <c:v>40238</c:v>
                </c:pt>
                <c:pt idx="207">
                  <c:v>40269</c:v>
                </c:pt>
                <c:pt idx="208">
                  <c:v>40299</c:v>
                </c:pt>
                <c:pt idx="209">
                  <c:v>40330</c:v>
                </c:pt>
                <c:pt idx="210">
                  <c:v>40360</c:v>
                </c:pt>
                <c:pt idx="211">
                  <c:v>40391</c:v>
                </c:pt>
                <c:pt idx="212">
                  <c:v>40422</c:v>
                </c:pt>
                <c:pt idx="213">
                  <c:v>40452</c:v>
                </c:pt>
                <c:pt idx="214">
                  <c:v>40483</c:v>
                </c:pt>
                <c:pt idx="215">
                  <c:v>40513</c:v>
                </c:pt>
                <c:pt idx="216">
                  <c:v>40544</c:v>
                </c:pt>
                <c:pt idx="217">
                  <c:v>40575</c:v>
                </c:pt>
                <c:pt idx="218">
                  <c:v>40603</c:v>
                </c:pt>
                <c:pt idx="219">
                  <c:v>40634</c:v>
                </c:pt>
                <c:pt idx="220">
                  <c:v>40664</c:v>
                </c:pt>
                <c:pt idx="221">
                  <c:v>40695</c:v>
                </c:pt>
                <c:pt idx="222">
                  <c:v>40725</c:v>
                </c:pt>
                <c:pt idx="223">
                  <c:v>40756</c:v>
                </c:pt>
                <c:pt idx="224">
                  <c:v>40787</c:v>
                </c:pt>
                <c:pt idx="225">
                  <c:v>40817</c:v>
                </c:pt>
                <c:pt idx="226">
                  <c:v>40848</c:v>
                </c:pt>
                <c:pt idx="227">
                  <c:v>40878</c:v>
                </c:pt>
                <c:pt idx="228">
                  <c:v>40909</c:v>
                </c:pt>
                <c:pt idx="229">
                  <c:v>40940</c:v>
                </c:pt>
                <c:pt idx="230">
                  <c:v>40969</c:v>
                </c:pt>
                <c:pt idx="231">
                  <c:v>41000</c:v>
                </c:pt>
                <c:pt idx="232">
                  <c:v>41030</c:v>
                </c:pt>
                <c:pt idx="233">
                  <c:v>41061</c:v>
                </c:pt>
                <c:pt idx="234">
                  <c:v>41091</c:v>
                </c:pt>
                <c:pt idx="235">
                  <c:v>41122</c:v>
                </c:pt>
                <c:pt idx="236">
                  <c:v>41153</c:v>
                </c:pt>
                <c:pt idx="237">
                  <c:v>41183</c:v>
                </c:pt>
                <c:pt idx="238">
                  <c:v>41214</c:v>
                </c:pt>
                <c:pt idx="239">
                  <c:v>41244</c:v>
                </c:pt>
                <c:pt idx="240">
                  <c:v>41275</c:v>
                </c:pt>
                <c:pt idx="241">
                  <c:v>41306</c:v>
                </c:pt>
                <c:pt idx="242">
                  <c:v>41334</c:v>
                </c:pt>
                <c:pt idx="243">
                  <c:v>41365</c:v>
                </c:pt>
                <c:pt idx="244">
                  <c:v>41395</c:v>
                </c:pt>
                <c:pt idx="245">
                  <c:v>41426</c:v>
                </c:pt>
                <c:pt idx="246">
                  <c:v>41456</c:v>
                </c:pt>
                <c:pt idx="247">
                  <c:v>41487</c:v>
                </c:pt>
                <c:pt idx="248">
                  <c:v>41518</c:v>
                </c:pt>
                <c:pt idx="249">
                  <c:v>41548</c:v>
                </c:pt>
                <c:pt idx="250">
                  <c:v>41579</c:v>
                </c:pt>
                <c:pt idx="251">
                  <c:v>41609</c:v>
                </c:pt>
                <c:pt idx="252">
                  <c:v>41640</c:v>
                </c:pt>
                <c:pt idx="253">
                  <c:v>41671</c:v>
                </c:pt>
                <c:pt idx="254">
                  <c:v>41699</c:v>
                </c:pt>
                <c:pt idx="255">
                  <c:v>41730</c:v>
                </c:pt>
                <c:pt idx="256">
                  <c:v>41760</c:v>
                </c:pt>
                <c:pt idx="257">
                  <c:v>41791</c:v>
                </c:pt>
                <c:pt idx="258">
                  <c:v>41821</c:v>
                </c:pt>
                <c:pt idx="259">
                  <c:v>41852</c:v>
                </c:pt>
                <c:pt idx="260">
                  <c:v>41883</c:v>
                </c:pt>
                <c:pt idx="261">
                  <c:v>41913</c:v>
                </c:pt>
                <c:pt idx="262">
                  <c:v>41944</c:v>
                </c:pt>
                <c:pt idx="263">
                  <c:v>41974</c:v>
                </c:pt>
                <c:pt idx="264">
                  <c:v>42005</c:v>
                </c:pt>
                <c:pt idx="265">
                  <c:v>42036</c:v>
                </c:pt>
                <c:pt idx="266">
                  <c:v>42064</c:v>
                </c:pt>
                <c:pt idx="267">
                  <c:v>42095</c:v>
                </c:pt>
                <c:pt idx="268">
                  <c:v>42125</c:v>
                </c:pt>
                <c:pt idx="269">
                  <c:v>42156</c:v>
                </c:pt>
                <c:pt idx="270">
                  <c:v>42186</c:v>
                </c:pt>
                <c:pt idx="271">
                  <c:v>42217</c:v>
                </c:pt>
                <c:pt idx="272">
                  <c:v>42248</c:v>
                </c:pt>
                <c:pt idx="273">
                  <c:v>42278</c:v>
                </c:pt>
                <c:pt idx="274">
                  <c:v>42309</c:v>
                </c:pt>
                <c:pt idx="275">
                  <c:v>42339</c:v>
                </c:pt>
                <c:pt idx="276">
                  <c:v>42370</c:v>
                </c:pt>
                <c:pt idx="277">
                  <c:v>42401</c:v>
                </c:pt>
                <c:pt idx="278">
                  <c:v>42430</c:v>
                </c:pt>
                <c:pt idx="279">
                  <c:v>42461</c:v>
                </c:pt>
                <c:pt idx="280">
                  <c:v>42491</c:v>
                </c:pt>
                <c:pt idx="281">
                  <c:v>42522</c:v>
                </c:pt>
                <c:pt idx="282">
                  <c:v>42552</c:v>
                </c:pt>
                <c:pt idx="283">
                  <c:v>42583</c:v>
                </c:pt>
                <c:pt idx="284">
                  <c:v>42614</c:v>
                </c:pt>
                <c:pt idx="285">
                  <c:v>42644</c:v>
                </c:pt>
                <c:pt idx="286">
                  <c:v>42675</c:v>
                </c:pt>
                <c:pt idx="287">
                  <c:v>42705</c:v>
                </c:pt>
                <c:pt idx="288">
                  <c:v>42736</c:v>
                </c:pt>
                <c:pt idx="289">
                  <c:v>42767</c:v>
                </c:pt>
                <c:pt idx="290">
                  <c:v>42795</c:v>
                </c:pt>
                <c:pt idx="291">
                  <c:v>42826</c:v>
                </c:pt>
                <c:pt idx="292">
                  <c:v>42856</c:v>
                </c:pt>
                <c:pt idx="293">
                  <c:v>42887</c:v>
                </c:pt>
                <c:pt idx="294">
                  <c:v>42917</c:v>
                </c:pt>
                <c:pt idx="295">
                  <c:v>42948</c:v>
                </c:pt>
                <c:pt idx="296">
                  <c:v>42979</c:v>
                </c:pt>
                <c:pt idx="297">
                  <c:v>43009</c:v>
                </c:pt>
                <c:pt idx="298">
                  <c:v>43040</c:v>
                </c:pt>
                <c:pt idx="299">
                  <c:v>43070</c:v>
                </c:pt>
                <c:pt idx="300">
                  <c:v>43101</c:v>
                </c:pt>
                <c:pt idx="301">
                  <c:v>43132</c:v>
                </c:pt>
                <c:pt idx="302">
                  <c:v>43160</c:v>
                </c:pt>
                <c:pt idx="303">
                  <c:v>43191</c:v>
                </c:pt>
                <c:pt idx="304">
                  <c:v>43221</c:v>
                </c:pt>
                <c:pt idx="305">
                  <c:v>43252</c:v>
                </c:pt>
                <c:pt idx="306">
                  <c:v>43282</c:v>
                </c:pt>
                <c:pt idx="307">
                  <c:v>43313</c:v>
                </c:pt>
                <c:pt idx="308">
                  <c:v>43344</c:v>
                </c:pt>
                <c:pt idx="309">
                  <c:v>43374</c:v>
                </c:pt>
                <c:pt idx="310">
                  <c:v>43405</c:v>
                </c:pt>
                <c:pt idx="311">
                  <c:v>43435</c:v>
                </c:pt>
                <c:pt idx="312">
                  <c:v>43466</c:v>
                </c:pt>
                <c:pt idx="313">
                  <c:v>43497</c:v>
                </c:pt>
                <c:pt idx="314">
                  <c:v>43525</c:v>
                </c:pt>
                <c:pt idx="315">
                  <c:v>43556</c:v>
                </c:pt>
                <c:pt idx="316">
                  <c:v>43586</c:v>
                </c:pt>
              </c:numCache>
            </c:numRef>
          </c:cat>
          <c:val>
            <c:numRef>
              <c:f>'Retail Sales ex Auto'!$C$19:$C$335</c:f>
              <c:numCache>
                <c:formatCode>0.00%</c:formatCode>
                <c:ptCount val="317"/>
                <c:pt idx="0">
                  <c:v>4.7795487930543069E-3</c:v>
                </c:pt>
                <c:pt idx="1">
                  <c:v>-3.3894113625288209E-3</c:v>
                </c:pt>
                <c:pt idx="2">
                  <c:v>-4.8897614234314447E-3</c:v>
                </c:pt>
                <c:pt idx="3">
                  <c:v>1.376594231065412E-2</c:v>
                </c:pt>
                <c:pt idx="4">
                  <c:v>8.6234337471424016E-3</c:v>
                </c:pt>
                <c:pt idx="5">
                  <c:v>-1.1117486730741644E-3</c:v>
                </c:pt>
                <c:pt idx="6">
                  <c:v>8.5304994076042077E-3</c:v>
                </c:pt>
                <c:pt idx="7">
                  <c:v>-1.7799548603447417E-3</c:v>
                </c:pt>
                <c:pt idx="8">
                  <c:v>9.7501479996861696E-3</c:v>
                </c:pt>
                <c:pt idx="9">
                  <c:v>3.2280850462668644E-3</c:v>
                </c:pt>
                <c:pt idx="10">
                  <c:v>4.5273081878797698E-3</c:v>
                </c:pt>
                <c:pt idx="11">
                  <c:v>6.5395668325506414E-3</c:v>
                </c:pt>
                <c:pt idx="12">
                  <c:v>-7.8062436021531581E-3</c:v>
                </c:pt>
                <c:pt idx="13">
                  <c:v>1.3384146769416488E-2</c:v>
                </c:pt>
                <c:pt idx="14">
                  <c:v>1.8803371447963488E-2</c:v>
                </c:pt>
                <c:pt idx="15">
                  <c:v>-3.6504785729823798E-3</c:v>
                </c:pt>
                <c:pt idx="16">
                  <c:v>1.801224013591054E-3</c:v>
                </c:pt>
                <c:pt idx="17">
                  <c:v>1.1972948491803501E-2</c:v>
                </c:pt>
                <c:pt idx="18">
                  <c:v>4.5561919119181098E-3</c:v>
                </c:pt>
                <c:pt idx="19">
                  <c:v>1.1154583093269733E-2</c:v>
                </c:pt>
                <c:pt idx="20">
                  <c:v>3.4452829438617648E-3</c:v>
                </c:pt>
                <c:pt idx="21">
                  <c:v>7.1244164779367585E-3</c:v>
                </c:pt>
                <c:pt idx="22">
                  <c:v>-1.3112174654166393E-5</c:v>
                </c:pt>
                <c:pt idx="23">
                  <c:v>8.0837616699884606E-3</c:v>
                </c:pt>
                <c:pt idx="24">
                  <c:v>3.8241166485649806E-3</c:v>
                </c:pt>
                <c:pt idx="25">
                  <c:v>-1.1998781981094792E-2</c:v>
                </c:pt>
                <c:pt idx="26">
                  <c:v>7.0099739667009841E-3</c:v>
                </c:pt>
                <c:pt idx="27">
                  <c:v>2.6698618183712539E-3</c:v>
                </c:pt>
                <c:pt idx="28">
                  <c:v>8.3909180651530104E-3</c:v>
                </c:pt>
                <c:pt idx="29">
                  <c:v>3.7354767241157224E-3</c:v>
                </c:pt>
                <c:pt idx="30">
                  <c:v>1.5399620142703147E-3</c:v>
                </c:pt>
                <c:pt idx="31">
                  <c:v>4.3885500486904819E-3</c:v>
                </c:pt>
                <c:pt idx="32">
                  <c:v>6.6656886070943335E-3</c:v>
                </c:pt>
                <c:pt idx="33">
                  <c:v>-5.7851449137614214E-3</c:v>
                </c:pt>
                <c:pt idx="34">
                  <c:v>1.2083744941206462E-2</c:v>
                </c:pt>
                <c:pt idx="35">
                  <c:v>9.036467024766846E-3</c:v>
                </c:pt>
                <c:pt idx="36">
                  <c:v>-1.177013904490876E-2</c:v>
                </c:pt>
                <c:pt idx="37">
                  <c:v>8.6517208714872122E-3</c:v>
                </c:pt>
                <c:pt idx="38">
                  <c:v>1.1413724017029803E-2</c:v>
                </c:pt>
                <c:pt idx="39">
                  <c:v>9.9168642404808618E-3</c:v>
                </c:pt>
                <c:pt idx="40">
                  <c:v>5.8475589199791598E-3</c:v>
                </c:pt>
                <c:pt idx="41">
                  <c:v>1.0420538821077521E-3</c:v>
                </c:pt>
                <c:pt idx="42">
                  <c:v>3.5307725086747429E-4</c:v>
                </c:pt>
                <c:pt idx="43">
                  <c:v>3.3956477289323792E-3</c:v>
                </c:pt>
                <c:pt idx="44">
                  <c:v>7.1928483922225053E-3</c:v>
                </c:pt>
                <c:pt idx="45">
                  <c:v>9.2610434028614092E-3</c:v>
                </c:pt>
                <c:pt idx="46">
                  <c:v>3.8362866177435715E-3</c:v>
                </c:pt>
                <c:pt idx="47">
                  <c:v>5.3669176775451256E-3</c:v>
                </c:pt>
                <c:pt idx="48">
                  <c:v>1.8621863841660953E-3</c:v>
                </c:pt>
                <c:pt idx="49">
                  <c:v>7.9659646783225447E-3</c:v>
                </c:pt>
                <c:pt idx="50">
                  <c:v>6.4804678581673212E-3</c:v>
                </c:pt>
                <c:pt idx="51">
                  <c:v>-6.8284398120143312E-3</c:v>
                </c:pt>
                <c:pt idx="52">
                  <c:v>-9.3702050903639151E-5</c:v>
                </c:pt>
                <c:pt idx="53">
                  <c:v>7.3387295153978611E-3</c:v>
                </c:pt>
                <c:pt idx="54">
                  <c:v>8.4713735021018539E-3</c:v>
                </c:pt>
                <c:pt idx="55">
                  <c:v>2.1505004381716709E-3</c:v>
                </c:pt>
                <c:pt idx="56">
                  <c:v>6.6562728323965462E-3</c:v>
                </c:pt>
                <c:pt idx="57">
                  <c:v>1.1430008343906091E-5</c:v>
                </c:pt>
                <c:pt idx="58">
                  <c:v>8.3438107212252825E-4</c:v>
                </c:pt>
                <c:pt idx="59">
                  <c:v>1.6673709215079429E-3</c:v>
                </c:pt>
                <c:pt idx="60">
                  <c:v>3.8479517495353956E-3</c:v>
                </c:pt>
                <c:pt idx="61">
                  <c:v>4.2591130822917439E-3</c:v>
                </c:pt>
                <c:pt idx="62">
                  <c:v>5.9374699592293725E-4</c:v>
                </c:pt>
                <c:pt idx="63">
                  <c:v>8.8952686665008922E-3</c:v>
                </c:pt>
                <c:pt idx="64">
                  <c:v>3.7586403916604117E-3</c:v>
                </c:pt>
                <c:pt idx="65">
                  <c:v>2.8684156189136851E-3</c:v>
                </c:pt>
                <c:pt idx="66">
                  <c:v>7.701425097519852E-3</c:v>
                </c:pt>
                <c:pt idx="67">
                  <c:v>1.6069269041531606E-3</c:v>
                </c:pt>
                <c:pt idx="68">
                  <c:v>-1.5437033443230309E-4</c:v>
                </c:pt>
                <c:pt idx="69">
                  <c:v>1.0482261212876473E-2</c:v>
                </c:pt>
                <c:pt idx="70">
                  <c:v>6.6519330986876211E-3</c:v>
                </c:pt>
                <c:pt idx="71">
                  <c:v>8.5811550679228514E-3</c:v>
                </c:pt>
                <c:pt idx="72">
                  <c:v>1.4834163724020059E-3</c:v>
                </c:pt>
                <c:pt idx="73">
                  <c:v>1.0341700074597629E-2</c:v>
                </c:pt>
                <c:pt idx="74">
                  <c:v>4.0688409646233931E-3</c:v>
                </c:pt>
                <c:pt idx="75">
                  <c:v>6.8826510638748109E-3</c:v>
                </c:pt>
                <c:pt idx="76">
                  <c:v>6.2891759970997285E-3</c:v>
                </c:pt>
                <c:pt idx="77">
                  <c:v>2.46966437626616E-3</c:v>
                </c:pt>
                <c:pt idx="78">
                  <c:v>4.9479939790725899E-3</c:v>
                </c:pt>
                <c:pt idx="79">
                  <c:v>8.1369495249990938E-3</c:v>
                </c:pt>
                <c:pt idx="80">
                  <c:v>8.4825490831135584E-3</c:v>
                </c:pt>
                <c:pt idx="81">
                  <c:v>5.7705934229508532E-3</c:v>
                </c:pt>
                <c:pt idx="82">
                  <c:v>7.0806238247532929E-3</c:v>
                </c:pt>
                <c:pt idx="83">
                  <c:v>2.6462535732979024E-2</c:v>
                </c:pt>
                <c:pt idx="84">
                  <c:v>-1.75971052296106E-2</c:v>
                </c:pt>
                <c:pt idx="85">
                  <c:v>1.2826591470566216E-2</c:v>
                </c:pt>
                <c:pt idx="86">
                  <c:v>1.8843472047700004E-2</c:v>
                </c:pt>
                <c:pt idx="87">
                  <c:v>-7.3757369691283088E-3</c:v>
                </c:pt>
                <c:pt idx="88">
                  <c:v>1.8466725786175781E-3</c:v>
                </c:pt>
                <c:pt idx="89">
                  <c:v>5.6951651889715141E-3</c:v>
                </c:pt>
                <c:pt idx="90">
                  <c:v>3.0998529866914266E-3</c:v>
                </c:pt>
                <c:pt idx="91">
                  <c:v>8.7742557550922018E-4</c:v>
                </c:pt>
                <c:pt idx="92">
                  <c:v>1.4888707991541711E-2</c:v>
                </c:pt>
                <c:pt idx="93">
                  <c:v>9.9668720158710574E-5</c:v>
                </c:pt>
                <c:pt idx="94">
                  <c:v>3.1558615976727301E-3</c:v>
                </c:pt>
                <c:pt idx="95">
                  <c:v>4.1772319570071532E-3</c:v>
                </c:pt>
                <c:pt idx="96">
                  <c:v>3.0197816900413158E-3</c:v>
                </c:pt>
                <c:pt idx="97">
                  <c:v>-1.5170871925902268E-3</c:v>
                </c:pt>
                <c:pt idx="98">
                  <c:v>-8.4954253592680572E-3</c:v>
                </c:pt>
                <c:pt idx="99">
                  <c:v>1.4688370283567148E-2</c:v>
                </c:pt>
                <c:pt idx="100">
                  <c:v>2.7212156633547634E-3</c:v>
                </c:pt>
                <c:pt idx="101">
                  <c:v>-3.5718115985955228E-3</c:v>
                </c:pt>
                <c:pt idx="102">
                  <c:v>-1.1886321838542569E-3</c:v>
                </c:pt>
                <c:pt idx="103">
                  <c:v>7.6181730440364132E-3</c:v>
                </c:pt>
                <c:pt idx="104">
                  <c:v>-1.3521619246453365E-2</c:v>
                </c:pt>
                <c:pt idx="105">
                  <c:v>9.0971223869340812E-3</c:v>
                </c:pt>
                <c:pt idx="106">
                  <c:v>2.8633486699208258E-3</c:v>
                </c:pt>
                <c:pt idx="107">
                  <c:v>3.6656140252820241E-3</c:v>
                </c:pt>
                <c:pt idx="108">
                  <c:v>1.6613685407336938E-3</c:v>
                </c:pt>
                <c:pt idx="109">
                  <c:v>4.8322160088582903E-3</c:v>
                </c:pt>
                <c:pt idx="110">
                  <c:v>3.7162380236622004E-3</c:v>
                </c:pt>
                <c:pt idx="111">
                  <c:v>1.3275637138709736E-2</c:v>
                </c:pt>
                <c:pt idx="112">
                  <c:v>-3.1416888050702233E-3</c:v>
                </c:pt>
                <c:pt idx="113">
                  <c:v>5.8665963281473834E-4</c:v>
                </c:pt>
                <c:pt idx="114">
                  <c:v>1.9225699715477824E-3</c:v>
                </c:pt>
                <c:pt idx="115">
                  <c:v>2.2681806016122229E-5</c:v>
                </c:pt>
                <c:pt idx="116">
                  <c:v>-4.6269834789472252E-4</c:v>
                </c:pt>
                <c:pt idx="117">
                  <c:v>7.6199034237374287E-3</c:v>
                </c:pt>
                <c:pt idx="118">
                  <c:v>6.8911779410241285E-3</c:v>
                </c:pt>
                <c:pt idx="119">
                  <c:v>2.6839273013558305E-3</c:v>
                </c:pt>
                <c:pt idx="120">
                  <c:v>6.3438811882954946E-3</c:v>
                </c:pt>
                <c:pt idx="121">
                  <c:v>-4.1804277956333817E-3</c:v>
                </c:pt>
                <c:pt idx="122">
                  <c:v>1.3644538623170341E-2</c:v>
                </c:pt>
                <c:pt idx="123">
                  <c:v>-7.3650509229370607E-3</c:v>
                </c:pt>
                <c:pt idx="124">
                  <c:v>3.2298026723298822E-3</c:v>
                </c:pt>
                <c:pt idx="125">
                  <c:v>1.1250275633958104E-2</c:v>
                </c:pt>
                <c:pt idx="126">
                  <c:v>1.0453508706896176E-2</c:v>
                </c:pt>
                <c:pt idx="127">
                  <c:v>1.3776553962485649E-2</c:v>
                </c:pt>
                <c:pt idx="128">
                  <c:v>-6.0028098258759421E-4</c:v>
                </c:pt>
                <c:pt idx="129">
                  <c:v>1.0351481795449608E-3</c:v>
                </c:pt>
                <c:pt idx="130">
                  <c:v>7.6470688363859196E-3</c:v>
                </c:pt>
                <c:pt idx="131">
                  <c:v>2.1749321125559043E-3</c:v>
                </c:pt>
                <c:pt idx="132">
                  <c:v>1.1293530661092944E-2</c:v>
                </c:pt>
                <c:pt idx="133">
                  <c:v>1.3167544502966865E-3</c:v>
                </c:pt>
                <c:pt idx="134">
                  <c:v>1.8622555139409074E-2</c:v>
                </c:pt>
                <c:pt idx="135">
                  <c:v>-4.9964252885302827E-3</c:v>
                </c:pt>
                <c:pt idx="136">
                  <c:v>1.0638385231901196E-2</c:v>
                </c:pt>
                <c:pt idx="137">
                  <c:v>-7.1503150607573642E-4</c:v>
                </c:pt>
                <c:pt idx="138">
                  <c:v>5.4641476295600629E-3</c:v>
                </c:pt>
                <c:pt idx="139">
                  <c:v>1.2170910311308434E-3</c:v>
                </c:pt>
                <c:pt idx="140">
                  <c:v>8.9979484031468583E-3</c:v>
                </c:pt>
                <c:pt idx="141">
                  <c:v>1.2175792507204611E-2</c:v>
                </c:pt>
                <c:pt idx="142">
                  <c:v>6.1174777168798095E-3</c:v>
                </c:pt>
                <c:pt idx="143">
                  <c:v>8.088700580515586E-3</c:v>
                </c:pt>
                <c:pt idx="144">
                  <c:v>4.9125296798668155E-4</c:v>
                </c:pt>
                <c:pt idx="145">
                  <c:v>1.0287865384840207E-2</c:v>
                </c:pt>
                <c:pt idx="146">
                  <c:v>6.9815971271306408E-4</c:v>
                </c:pt>
                <c:pt idx="147">
                  <c:v>1.3490907128595327E-2</c:v>
                </c:pt>
                <c:pt idx="148">
                  <c:v>-6.2258969931617818E-3</c:v>
                </c:pt>
                <c:pt idx="149">
                  <c:v>1.1718465960190895E-2</c:v>
                </c:pt>
                <c:pt idx="150">
                  <c:v>2.315033723081113E-3</c:v>
                </c:pt>
                <c:pt idx="151">
                  <c:v>1.7167916488974266E-2</c:v>
                </c:pt>
                <c:pt idx="152">
                  <c:v>1.4132531908578213E-2</c:v>
                </c:pt>
                <c:pt idx="153">
                  <c:v>1.0664803222490112E-2</c:v>
                </c:pt>
                <c:pt idx="154">
                  <c:v>-7.7105747093149535E-3</c:v>
                </c:pt>
                <c:pt idx="155">
                  <c:v>-1.4957280547509431E-4</c:v>
                </c:pt>
                <c:pt idx="156">
                  <c:v>2.3719957821456326E-2</c:v>
                </c:pt>
                <c:pt idx="157">
                  <c:v>8.5538930905928562E-5</c:v>
                </c:pt>
                <c:pt idx="158">
                  <c:v>1.6322283123899671E-3</c:v>
                </c:pt>
                <c:pt idx="159">
                  <c:v>5.2267163839234887E-3</c:v>
                </c:pt>
                <c:pt idx="160">
                  <c:v>3.4687195823378464E-4</c:v>
                </c:pt>
                <c:pt idx="161">
                  <c:v>-3.9982591650361083E-4</c:v>
                </c:pt>
                <c:pt idx="162">
                  <c:v>1.8831191816218896E-3</c:v>
                </c:pt>
                <c:pt idx="163">
                  <c:v>8.6983557210590663E-3</c:v>
                </c:pt>
                <c:pt idx="164">
                  <c:v>-3.9298924008069943E-3</c:v>
                </c:pt>
                <c:pt idx="165">
                  <c:v>-4.8069146429802166E-3</c:v>
                </c:pt>
                <c:pt idx="166">
                  <c:v>6.607423634789676E-4</c:v>
                </c:pt>
                <c:pt idx="167">
                  <c:v>1.7973036913581118E-2</c:v>
                </c:pt>
                <c:pt idx="168">
                  <c:v>-2.6015290053140567E-4</c:v>
                </c:pt>
                <c:pt idx="169">
                  <c:v>-1.8041961438777034E-4</c:v>
                </c:pt>
                <c:pt idx="170">
                  <c:v>1.221869415092048E-2</c:v>
                </c:pt>
                <c:pt idx="171">
                  <c:v>-5.8418984798721913E-3</c:v>
                </c:pt>
                <c:pt idx="172">
                  <c:v>1.2987012987012988E-2</c:v>
                </c:pt>
                <c:pt idx="173">
                  <c:v>-1.3208600569195364E-3</c:v>
                </c:pt>
                <c:pt idx="174">
                  <c:v>4.5064085083174254E-3</c:v>
                </c:pt>
                <c:pt idx="175">
                  <c:v>4.3097304891374433E-4</c:v>
                </c:pt>
                <c:pt idx="176">
                  <c:v>2.9985516045982312E-3</c:v>
                </c:pt>
                <c:pt idx="177">
                  <c:v>6.6927522802365967E-3</c:v>
                </c:pt>
                <c:pt idx="178">
                  <c:v>1.7693971888521596E-2</c:v>
                </c:pt>
                <c:pt idx="179">
                  <c:v>-6.5557752550843571E-3</c:v>
                </c:pt>
                <c:pt idx="180">
                  <c:v>1.4919273109090124E-3</c:v>
                </c:pt>
                <c:pt idx="181">
                  <c:v>-5.8891447302937602E-3</c:v>
                </c:pt>
                <c:pt idx="182">
                  <c:v>4.4855770674872425E-3</c:v>
                </c:pt>
                <c:pt idx="183">
                  <c:v>5.146675261071665E-3</c:v>
                </c:pt>
                <c:pt idx="184">
                  <c:v>1.4455242628586541E-2</c:v>
                </c:pt>
                <c:pt idx="185">
                  <c:v>7.8235736885494296E-3</c:v>
                </c:pt>
                <c:pt idx="186">
                  <c:v>4.3550796329705713E-3</c:v>
                </c:pt>
                <c:pt idx="187">
                  <c:v>-1.0758399567346229E-2</c:v>
                </c:pt>
                <c:pt idx="188">
                  <c:v>-1.0149723884555433E-2</c:v>
                </c:pt>
                <c:pt idx="189">
                  <c:v>-2.5738049838911172E-2</c:v>
                </c:pt>
                <c:pt idx="190">
                  <c:v>-4.0441908412659315E-2</c:v>
                </c:pt>
                <c:pt idx="191">
                  <c:v>-2.2499173600219434E-2</c:v>
                </c:pt>
                <c:pt idx="192">
                  <c:v>1.1407787946814022E-2</c:v>
                </c:pt>
                <c:pt idx="193">
                  <c:v>8.8568288284442923E-4</c:v>
                </c:pt>
                <c:pt idx="194">
                  <c:v>-1.6848621831776763E-2</c:v>
                </c:pt>
                <c:pt idx="195">
                  <c:v>4.1496925685078822E-3</c:v>
                </c:pt>
                <c:pt idx="196">
                  <c:v>8.5386706024226499E-3</c:v>
                </c:pt>
                <c:pt idx="197">
                  <c:v>1.1082675689856407E-2</c:v>
                </c:pt>
                <c:pt idx="198">
                  <c:v>-1.7756784998164308E-3</c:v>
                </c:pt>
                <c:pt idx="199">
                  <c:v>5.7856412831675322E-3</c:v>
                </c:pt>
                <c:pt idx="200">
                  <c:v>1.997151948805401E-3</c:v>
                </c:pt>
                <c:pt idx="201">
                  <c:v>7.439301267137588E-4</c:v>
                </c:pt>
                <c:pt idx="202">
                  <c:v>6.4344197626102356E-3</c:v>
                </c:pt>
                <c:pt idx="203">
                  <c:v>6.8740854295867883E-3</c:v>
                </c:pt>
                <c:pt idx="204">
                  <c:v>7.8202586221811602E-4</c:v>
                </c:pt>
                <c:pt idx="205">
                  <c:v>6.2928092552702276E-3</c:v>
                </c:pt>
                <c:pt idx="206">
                  <c:v>8.3940640257834861E-3</c:v>
                </c:pt>
                <c:pt idx="207">
                  <c:v>6.9987256458658451E-3</c:v>
                </c:pt>
                <c:pt idx="208">
                  <c:v>-9.6773320339992412E-3</c:v>
                </c:pt>
                <c:pt idx="209">
                  <c:v>-9.5668930831363009E-4</c:v>
                </c:pt>
                <c:pt idx="210">
                  <c:v>-1.2004268184243286E-3</c:v>
                </c:pt>
                <c:pt idx="211">
                  <c:v>7.2386104881097093E-3</c:v>
                </c:pt>
                <c:pt idx="212">
                  <c:v>6.9554220676572871E-3</c:v>
                </c:pt>
                <c:pt idx="213">
                  <c:v>8.1193767829712531E-3</c:v>
                </c:pt>
                <c:pt idx="214">
                  <c:v>1.1161715950570979E-2</c:v>
                </c:pt>
                <c:pt idx="215">
                  <c:v>6.4747319858383867E-3</c:v>
                </c:pt>
                <c:pt idx="216">
                  <c:v>6.1632521438114108E-3</c:v>
                </c:pt>
                <c:pt idx="217">
                  <c:v>6.5441130780878503E-3</c:v>
                </c:pt>
                <c:pt idx="218">
                  <c:v>1.0514276802308202E-2</c:v>
                </c:pt>
                <c:pt idx="219">
                  <c:v>8.9483228727235305E-3</c:v>
                </c:pt>
                <c:pt idx="220">
                  <c:v>2.0746292914710748E-3</c:v>
                </c:pt>
                <c:pt idx="221">
                  <c:v>6.13785690206779E-3</c:v>
                </c:pt>
                <c:pt idx="222">
                  <c:v>3.0027941790044632E-4</c:v>
                </c:pt>
                <c:pt idx="223">
                  <c:v>5.3086103764373536E-3</c:v>
                </c:pt>
                <c:pt idx="224">
                  <c:v>1.7161877999792548E-3</c:v>
                </c:pt>
                <c:pt idx="225">
                  <c:v>4.7475156341683063E-3</c:v>
                </c:pt>
                <c:pt idx="226">
                  <c:v>3.4727644079124063E-3</c:v>
                </c:pt>
                <c:pt idx="227">
                  <c:v>-3.7190571334316785E-3</c:v>
                </c:pt>
                <c:pt idx="228">
                  <c:v>1.2110969845965457E-2</c:v>
                </c:pt>
                <c:pt idx="229">
                  <c:v>1.154320987654321E-2</c:v>
                </c:pt>
                <c:pt idx="230">
                  <c:v>3.8750228839934094E-3</c:v>
                </c:pt>
                <c:pt idx="231">
                  <c:v>-5.2885930518829219E-3</c:v>
                </c:pt>
                <c:pt idx="232">
                  <c:v>-4.821706847557063E-3</c:v>
                </c:pt>
                <c:pt idx="233">
                  <c:v>-7.6544710953907373E-3</c:v>
                </c:pt>
                <c:pt idx="234">
                  <c:v>3.8459277411130605E-3</c:v>
                </c:pt>
                <c:pt idx="235">
                  <c:v>1.1712417011361045E-2</c:v>
                </c:pt>
                <c:pt idx="236">
                  <c:v>6.4525563456230466E-3</c:v>
                </c:pt>
                <c:pt idx="237">
                  <c:v>1.5922024458166848E-3</c:v>
                </c:pt>
                <c:pt idx="238">
                  <c:v>2.0309109481815488E-3</c:v>
                </c:pt>
                <c:pt idx="239">
                  <c:v>1.8126541962492234E-3</c:v>
                </c:pt>
                <c:pt idx="240">
                  <c:v>6.9153628232262263E-3</c:v>
                </c:pt>
                <c:pt idx="241">
                  <c:v>1.1606907934078025E-2</c:v>
                </c:pt>
                <c:pt idx="242">
                  <c:v>-6.3723258989531175E-3</c:v>
                </c:pt>
                <c:pt idx="243">
                  <c:v>-6.9426679596171119E-3</c:v>
                </c:pt>
                <c:pt idx="244">
                  <c:v>2.2255637296014954E-3</c:v>
                </c:pt>
                <c:pt idx="245">
                  <c:v>-4.9612810864607833E-4</c:v>
                </c:pt>
                <c:pt idx="246">
                  <c:v>7.3678702250130823E-3</c:v>
                </c:pt>
                <c:pt idx="247">
                  <c:v>-1.8314637759024486E-3</c:v>
                </c:pt>
                <c:pt idx="248">
                  <c:v>4.1067944996907267E-3</c:v>
                </c:pt>
                <c:pt idx="249">
                  <c:v>1.3475372645882014E-3</c:v>
                </c:pt>
                <c:pt idx="250">
                  <c:v>2.1531581624806275E-3</c:v>
                </c:pt>
                <c:pt idx="251">
                  <c:v>9.0368201725908696E-3</c:v>
                </c:pt>
                <c:pt idx="252">
                  <c:v>-5.8087499780636329E-3</c:v>
                </c:pt>
                <c:pt idx="253">
                  <c:v>1.0367389206618184E-2</c:v>
                </c:pt>
                <c:pt idx="254">
                  <c:v>4.9965641342200589E-3</c:v>
                </c:pt>
                <c:pt idx="255">
                  <c:v>8.2804097904691266E-3</c:v>
                </c:pt>
                <c:pt idx="256">
                  <c:v>1.8562684980316657E-3</c:v>
                </c:pt>
                <c:pt idx="257">
                  <c:v>2.673121931072461E-3</c:v>
                </c:pt>
                <c:pt idx="258">
                  <c:v>7.5803517283201942E-4</c:v>
                </c:pt>
                <c:pt idx="259">
                  <c:v>7.4602761731355745E-3</c:v>
                </c:pt>
                <c:pt idx="260">
                  <c:v>-3.7167021786683991E-4</c:v>
                </c:pt>
                <c:pt idx="261">
                  <c:v>3.0567759953680053E-3</c:v>
                </c:pt>
                <c:pt idx="262">
                  <c:v>8.8282980908805384E-4</c:v>
                </c:pt>
                <c:pt idx="263">
                  <c:v>-5.9651533270572007E-3</c:v>
                </c:pt>
                <c:pt idx="264">
                  <c:v>-1.0375102030368788E-2</c:v>
                </c:pt>
                <c:pt idx="265">
                  <c:v>1.7214473952690372E-3</c:v>
                </c:pt>
                <c:pt idx="266">
                  <c:v>7.9899702205059649E-3</c:v>
                </c:pt>
                <c:pt idx="267">
                  <c:v>1.5938658932622166E-4</c:v>
                </c:pt>
                <c:pt idx="268">
                  <c:v>8.0050540262889044E-3</c:v>
                </c:pt>
                <c:pt idx="269">
                  <c:v>2.0383043114935518E-3</c:v>
                </c:pt>
                <c:pt idx="270">
                  <c:v>8.2183367235967968E-3</c:v>
                </c:pt>
                <c:pt idx="271">
                  <c:v>-1.4950189322490953E-3</c:v>
                </c:pt>
                <c:pt idx="272">
                  <c:v>-6.3948281652300458E-3</c:v>
                </c:pt>
                <c:pt idx="273">
                  <c:v>-1.8702381455349474E-3</c:v>
                </c:pt>
                <c:pt idx="274">
                  <c:v>2.3308905074060802E-3</c:v>
                </c:pt>
                <c:pt idx="275">
                  <c:v>5.976964895536843E-3</c:v>
                </c:pt>
                <c:pt idx="276">
                  <c:v>-7.3295645359901492E-3</c:v>
                </c:pt>
                <c:pt idx="277">
                  <c:v>5.833081947894142E-3</c:v>
                </c:pt>
                <c:pt idx="278">
                  <c:v>1.409871906270146E-3</c:v>
                </c:pt>
                <c:pt idx="279">
                  <c:v>3.9689537132668855E-3</c:v>
                </c:pt>
                <c:pt idx="280">
                  <c:v>4.5470892774003248E-3</c:v>
                </c:pt>
                <c:pt idx="281">
                  <c:v>1.104012522132981E-2</c:v>
                </c:pt>
                <c:pt idx="282">
                  <c:v>-5.989569036508372E-3</c:v>
                </c:pt>
                <c:pt idx="283">
                  <c:v>8.7540525464075249E-4</c:v>
                </c:pt>
                <c:pt idx="284">
                  <c:v>4.7236056120407797E-3</c:v>
                </c:pt>
                <c:pt idx="285">
                  <c:v>4.3691146707236367E-3</c:v>
                </c:pt>
                <c:pt idx="286">
                  <c:v>1.5584926914895362E-4</c:v>
                </c:pt>
                <c:pt idx="287">
                  <c:v>7.7147035908090595E-3</c:v>
                </c:pt>
                <c:pt idx="288">
                  <c:v>1.4776855109775187E-2</c:v>
                </c:pt>
                <c:pt idx="289">
                  <c:v>3.0476068266392919E-4</c:v>
                </c:pt>
                <c:pt idx="290">
                  <c:v>2.9825377226881324E-3</c:v>
                </c:pt>
                <c:pt idx="291">
                  <c:v>4.3059574626825902E-3</c:v>
                </c:pt>
                <c:pt idx="292">
                  <c:v>-7.3306624923721846E-3</c:v>
                </c:pt>
                <c:pt idx="293">
                  <c:v>2.4722903030092451E-3</c:v>
                </c:pt>
                <c:pt idx="294">
                  <c:v>-9.0649262008361058E-5</c:v>
                </c:pt>
                <c:pt idx="295">
                  <c:v>8.0151877943035101E-3</c:v>
                </c:pt>
                <c:pt idx="296">
                  <c:v>1.42628900339643E-2</c:v>
                </c:pt>
                <c:pt idx="297">
                  <c:v>3.2078365098738774E-4</c:v>
                </c:pt>
                <c:pt idx="298">
                  <c:v>1.5212783430971506E-2</c:v>
                </c:pt>
                <c:pt idx="299">
                  <c:v>6.7463802729369228E-3</c:v>
                </c:pt>
                <c:pt idx="300">
                  <c:v>-2.0611140729705807E-3</c:v>
                </c:pt>
                <c:pt idx="301">
                  <c:v>6.9757395587569946E-3</c:v>
                </c:pt>
                <c:pt idx="302">
                  <c:v>-1.7718344324799081E-3</c:v>
                </c:pt>
                <c:pt idx="303">
                  <c:v>3.3516086704437958E-3</c:v>
                </c:pt>
                <c:pt idx="304">
                  <c:v>1.3379392845737805E-2</c:v>
                </c:pt>
                <c:pt idx="305">
                  <c:v>-2.0082982985736831E-3</c:v>
                </c:pt>
                <c:pt idx="306">
                  <c:v>6.8690199930833652E-3</c:v>
                </c:pt>
                <c:pt idx="307">
                  <c:v>1.0577954547151542E-3</c:v>
                </c:pt>
                <c:pt idx="308">
                  <c:v>-3.1227934083201559E-3</c:v>
                </c:pt>
                <c:pt idx="309">
                  <c:v>1.2926863333898661E-2</c:v>
                </c:pt>
                <c:pt idx="310">
                  <c:v>3.5948991827760006E-4</c:v>
                </c:pt>
                <c:pt idx="311">
                  <c:v>-2.8195049190576874E-2</c:v>
                </c:pt>
                <c:pt idx="312">
                  <c:v>2.101453313138579E-2</c:v>
                </c:pt>
                <c:pt idx="313">
                  <c:v>-2.0961552295972155E-3</c:v>
                </c:pt>
                <c:pt idx="314">
                  <c:v>1.1947080845393936E-2</c:v>
                </c:pt>
                <c:pt idx="315">
                  <c:v>7.5095804264518028E-3</c:v>
                </c:pt>
                <c:pt idx="316">
                  <c:v>2.7161655739423654E-3</c:v>
                </c:pt>
              </c:numCache>
            </c:numRef>
          </c:val>
          <c:extLst>
            <c:ext xmlns:c14="http://schemas.microsoft.com/office/drawing/2007/8/2/chart" uri="{6F2FDCE9-48DA-4B69-8628-5D25D57E5C99}">
              <c14:invertSolidFillFmt>
                <c14:spPr xmlns:c14="http://schemas.microsoft.com/office/drawing/2007/8/2/chart">
                  <a:solidFill>
                    <a:srgbClr val="FF0000"/>
                  </a:solidFill>
                  <a:ln>
                    <a:noFill/>
                  </a:ln>
                  <a:effectLst/>
                </c14:spPr>
              </c14:invertSolidFillFmt>
            </c:ext>
            <c:ext xmlns:c16="http://schemas.microsoft.com/office/drawing/2014/chart" uri="{C3380CC4-5D6E-409C-BE32-E72D297353CC}">
              <c16:uniqueId val="{00000001-75AE-44D3-978E-8999CC5C75A0}"/>
            </c:ext>
          </c:extLst>
        </c:ser>
        <c:dLbls>
          <c:showLegendKey val="0"/>
          <c:showVal val="0"/>
          <c:showCatName val="0"/>
          <c:showSerName val="0"/>
          <c:showPercent val="0"/>
          <c:showBubbleSize val="0"/>
        </c:dLbls>
        <c:gapWidth val="219"/>
        <c:overlap val="-27"/>
        <c:axId val="986129336"/>
        <c:axId val="986131632"/>
      </c:barChart>
      <c:dateAx>
        <c:axId val="986129336"/>
        <c:scaling>
          <c:orientation val="minMax"/>
        </c:scaling>
        <c:delete val="0"/>
        <c:axPos val="b"/>
        <c:numFmt formatCode="[$-409]mmm\-yy;@" sourceLinked="1"/>
        <c:majorTickMark val="out"/>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86131632"/>
        <c:crosses val="autoZero"/>
        <c:auto val="1"/>
        <c:lblOffset val="100"/>
        <c:baseTimeUnit val="months"/>
      </c:dateAx>
      <c:valAx>
        <c:axId val="98613163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8612933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'Retail Sales ex Auto'!$B$6</c:f>
              <c:strCache>
                <c:ptCount val="1"/>
                <c:pt idx="0">
                  <c:v>Retail and Food Services Excluding Motor Vehicles and Parts Dealers, Retail Sales mil$</c:v>
                </c:pt>
              </c:strCache>
            </c:strRef>
          </c:tx>
          <c:spPr>
            <a:ln w="28575" cap="rnd">
              <a:solidFill>
                <a:schemeClr val="accent1"/>
              </a:solidFill>
              <a:round/>
            </a:ln>
            <a:effectLst/>
          </c:spPr>
          <c:marker>
            <c:symbol val="none"/>
          </c:marker>
          <c:cat>
            <c:numRef>
              <c:f>'Retail Sales ex Auto'!$A$7:$A$362</c:f>
              <c:numCache>
                <c:formatCode>[$-409]mmm\-yy;@</c:formatCode>
                <c:ptCount val="356"/>
                <c:pt idx="0">
                  <c:v>33604</c:v>
                </c:pt>
                <c:pt idx="1">
                  <c:v>33635</c:v>
                </c:pt>
                <c:pt idx="2">
                  <c:v>33664</c:v>
                </c:pt>
                <c:pt idx="3">
                  <c:v>33695</c:v>
                </c:pt>
                <c:pt idx="4">
                  <c:v>33725</c:v>
                </c:pt>
                <c:pt idx="5">
                  <c:v>33756</c:v>
                </c:pt>
                <c:pt idx="6">
                  <c:v>33786</c:v>
                </c:pt>
                <c:pt idx="7">
                  <c:v>33817</c:v>
                </c:pt>
                <c:pt idx="8">
                  <c:v>33848</c:v>
                </c:pt>
                <c:pt idx="9">
                  <c:v>33878</c:v>
                </c:pt>
                <c:pt idx="10">
                  <c:v>33909</c:v>
                </c:pt>
                <c:pt idx="11">
                  <c:v>33939</c:v>
                </c:pt>
                <c:pt idx="12">
                  <c:v>33970</c:v>
                </c:pt>
                <c:pt idx="13">
                  <c:v>34001</c:v>
                </c:pt>
                <c:pt idx="14">
                  <c:v>34029</c:v>
                </c:pt>
                <c:pt idx="15">
                  <c:v>34060</c:v>
                </c:pt>
                <c:pt idx="16">
                  <c:v>34090</c:v>
                </c:pt>
                <c:pt idx="17">
                  <c:v>34121</c:v>
                </c:pt>
                <c:pt idx="18">
                  <c:v>34151</c:v>
                </c:pt>
                <c:pt idx="19">
                  <c:v>34182</c:v>
                </c:pt>
                <c:pt idx="20">
                  <c:v>34213</c:v>
                </c:pt>
                <c:pt idx="21">
                  <c:v>34243</c:v>
                </c:pt>
                <c:pt idx="22">
                  <c:v>34274</c:v>
                </c:pt>
                <c:pt idx="23">
                  <c:v>34304</c:v>
                </c:pt>
                <c:pt idx="24">
                  <c:v>34335</c:v>
                </c:pt>
                <c:pt idx="25">
                  <c:v>34366</c:v>
                </c:pt>
                <c:pt idx="26">
                  <c:v>34394</c:v>
                </c:pt>
                <c:pt idx="27">
                  <c:v>34425</c:v>
                </c:pt>
                <c:pt idx="28">
                  <c:v>34455</c:v>
                </c:pt>
                <c:pt idx="29">
                  <c:v>34486</c:v>
                </c:pt>
                <c:pt idx="30">
                  <c:v>34516</c:v>
                </c:pt>
                <c:pt idx="31">
                  <c:v>34547</c:v>
                </c:pt>
                <c:pt idx="32">
                  <c:v>34578</c:v>
                </c:pt>
                <c:pt idx="33">
                  <c:v>34608</c:v>
                </c:pt>
                <c:pt idx="34">
                  <c:v>34639</c:v>
                </c:pt>
                <c:pt idx="35">
                  <c:v>34669</c:v>
                </c:pt>
                <c:pt idx="36">
                  <c:v>34700</c:v>
                </c:pt>
                <c:pt idx="37">
                  <c:v>34731</c:v>
                </c:pt>
                <c:pt idx="38">
                  <c:v>34759</c:v>
                </c:pt>
                <c:pt idx="39">
                  <c:v>34790</c:v>
                </c:pt>
                <c:pt idx="40">
                  <c:v>34820</c:v>
                </c:pt>
                <c:pt idx="41">
                  <c:v>34851</c:v>
                </c:pt>
                <c:pt idx="42">
                  <c:v>34881</c:v>
                </c:pt>
                <c:pt idx="43">
                  <c:v>34912</c:v>
                </c:pt>
                <c:pt idx="44">
                  <c:v>34943</c:v>
                </c:pt>
                <c:pt idx="45">
                  <c:v>34973</c:v>
                </c:pt>
                <c:pt idx="46">
                  <c:v>35004</c:v>
                </c:pt>
                <c:pt idx="47">
                  <c:v>35034</c:v>
                </c:pt>
                <c:pt idx="48">
                  <c:v>35065</c:v>
                </c:pt>
                <c:pt idx="49">
                  <c:v>35096</c:v>
                </c:pt>
                <c:pt idx="50">
                  <c:v>35125</c:v>
                </c:pt>
                <c:pt idx="51">
                  <c:v>35156</c:v>
                </c:pt>
                <c:pt idx="52">
                  <c:v>35186</c:v>
                </c:pt>
                <c:pt idx="53">
                  <c:v>35217</c:v>
                </c:pt>
                <c:pt idx="54">
                  <c:v>35247</c:v>
                </c:pt>
                <c:pt idx="55">
                  <c:v>35278</c:v>
                </c:pt>
                <c:pt idx="56">
                  <c:v>35309</c:v>
                </c:pt>
                <c:pt idx="57">
                  <c:v>35339</c:v>
                </c:pt>
                <c:pt idx="58">
                  <c:v>35370</c:v>
                </c:pt>
                <c:pt idx="59">
                  <c:v>35400</c:v>
                </c:pt>
                <c:pt idx="60">
                  <c:v>35431</c:v>
                </c:pt>
                <c:pt idx="61">
                  <c:v>35462</c:v>
                </c:pt>
                <c:pt idx="62">
                  <c:v>35490</c:v>
                </c:pt>
                <c:pt idx="63">
                  <c:v>35521</c:v>
                </c:pt>
                <c:pt idx="64">
                  <c:v>35551</c:v>
                </c:pt>
                <c:pt idx="65">
                  <c:v>35582</c:v>
                </c:pt>
                <c:pt idx="66">
                  <c:v>35612</c:v>
                </c:pt>
                <c:pt idx="67">
                  <c:v>35643</c:v>
                </c:pt>
                <c:pt idx="68">
                  <c:v>35674</c:v>
                </c:pt>
                <c:pt idx="69">
                  <c:v>35704</c:v>
                </c:pt>
                <c:pt idx="70">
                  <c:v>35735</c:v>
                </c:pt>
                <c:pt idx="71">
                  <c:v>35765</c:v>
                </c:pt>
                <c:pt idx="72">
                  <c:v>35796</c:v>
                </c:pt>
                <c:pt idx="73">
                  <c:v>35827</c:v>
                </c:pt>
                <c:pt idx="74">
                  <c:v>35855</c:v>
                </c:pt>
                <c:pt idx="75">
                  <c:v>35886</c:v>
                </c:pt>
                <c:pt idx="76">
                  <c:v>35916</c:v>
                </c:pt>
                <c:pt idx="77">
                  <c:v>35947</c:v>
                </c:pt>
                <c:pt idx="78">
                  <c:v>35977</c:v>
                </c:pt>
                <c:pt idx="79">
                  <c:v>36008</c:v>
                </c:pt>
                <c:pt idx="80">
                  <c:v>36039</c:v>
                </c:pt>
                <c:pt idx="81">
                  <c:v>36069</c:v>
                </c:pt>
                <c:pt idx="82">
                  <c:v>36100</c:v>
                </c:pt>
                <c:pt idx="83">
                  <c:v>36130</c:v>
                </c:pt>
                <c:pt idx="84">
                  <c:v>36161</c:v>
                </c:pt>
                <c:pt idx="85">
                  <c:v>36192</c:v>
                </c:pt>
                <c:pt idx="86">
                  <c:v>36220</c:v>
                </c:pt>
                <c:pt idx="87">
                  <c:v>36251</c:v>
                </c:pt>
                <c:pt idx="88">
                  <c:v>36281</c:v>
                </c:pt>
                <c:pt idx="89">
                  <c:v>36312</c:v>
                </c:pt>
                <c:pt idx="90">
                  <c:v>36342</c:v>
                </c:pt>
                <c:pt idx="91">
                  <c:v>36373</c:v>
                </c:pt>
                <c:pt idx="92">
                  <c:v>36404</c:v>
                </c:pt>
                <c:pt idx="93">
                  <c:v>36434</c:v>
                </c:pt>
                <c:pt idx="94">
                  <c:v>36465</c:v>
                </c:pt>
                <c:pt idx="95">
                  <c:v>36495</c:v>
                </c:pt>
                <c:pt idx="96">
                  <c:v>36526</c:v>
                </c:pt>
                <c:pt idx="97">
                  <c:v>36557</c:v>
                </c:pt>
                <c:pt idx="98">
                  <c:v>36586</c:v>
                </c:pt>
                <c:pt idx="99">
                  <c:v>36617</c:v>
                </c:pt>
                <c:pt idx="100">
                  <c:v>36647</c:v>
                </c:pt>
                <c:pt idx="101">
                  <c:v>36678</c:v>
                </c:pt>
                <c:pt idx="102">
                  <c:v>36708</c:v>
                </c:pt>
                <c:pt idx="103">
                  <c:v>36739</c:v>
                </c:pt>
                <c:pt idx="104">
                  <c:v>36770</c:v>
                </c:pt>
                <c:pt idx="105">
                  <c:v>36800</c:v>
                </c:pt>
                <c:pt idx="106">
                  <c:v>36831</c:v>
                </c:pt>
                <c:pt idx="107">
                  <c:v>36861</c:v>
                </c:pt>
                <c:pt idx="108">
                  <c:v>36892</c:v>
                </c:pt>
                <c:pt idx="109">
                  <c:v>36923</c:v>
                </c:pt>
                <c:pt idx="110">
                  <c:v>36951</c:v>
                </c:pt>
                <c:pt idx="111">
                  <c:v>36982</c:v>
                </c:pt>
                <c:pt idx="112">
                  <c:v>37012</c:v>
                </c:pt>
                <c:pt idx="113">
                  <c:v>37043</c:v>
                </c:pt>
                <c:pt idx="114">
                  <c:v>37073</c:v>
                </c:pt>
                <c:pt idx="115">
                  <c:v>37104</c:v>
                </c:pt>
                <c:pt idx="116">
                  <c:v>37135</c:v>
                </c:pt>
                <c:pt idx="117">
                  <c:v>37165</c:v>
                </c:pt>
                <c:pt idx="118">
                  <c:v>37196</c:v>
                </c:pt>
                <c:pt idx="119">
                  <c:v>37226</c:v>
                </c:pt>
                <c:pt idx="120">
                  <c:v>37257</c:v>
                </c:pt>
                <c:pt idx="121">
                  <c:v>37288</c:v>
                </c:pt>
                <c:pt idx="122">
                  <c:v>37316</c:v>
                </c:pt>
                <c:pt idx="123">
                  <c:v>37347</c:v>
                </c:pt>
                <c:pt idx="124">
                  <c:v>37377</c:v>
                </c:pt>
                <c:pt idx="125">
                  <c:v>37408</c:v>
                </c:pt>
                <c:pt idx="126">
                  <c:v>37438</c:v>
                </c:pt>
                <c:pt idx="127">
                  <c:v>37469</c:v>
                </c:pt>
                <c:pt idx="128">
                  <c:v>37500</c:v>
                </c:pt>
                <c:pt idx="129">
                  <c:v>37530</c:v>
                </c:pt>
                <c:pt idx="130">
                  <c:v>37561</c:v>
                </c:pt>
                <c:pt idx="131">
                  <c:v>37591</c:v>
                </c:pt>
                <c:pt idx="132">
                  <c:v>37622</c:v>
                </c:pt>
                <c:pt idx="133">
                  <c:v>37653</c:v>
                </c:pt>
                <c:pt idx="134">
                  <c:v>37681</c:v>
                </c:pt>
                <c:pt idx="135">
                  <c:v>37712</c:v>
                </c:pt>
                <c:pt idx="136">
                  <c:v>37742</c:v>
                </c:pt>
                <c:pt idx="137">
                  <c:v>37773</c:v>
                </c:pt>
                <c:pt idx="138">
                  <c:v>37803</c:v>
                </c:pt>
                <c:pt idx="139">
                  <c:v>37834</c:v>
                </c:pt>
                <c:pt idx="140">
                  <c:v>37865</c:v>
                </c:pt>
                <c:pt idx="141">
                  <c:v>37895</c:v>
                </c:pt>
                <c:pt idx="142">
                  <c:v>37926</c:v>
                </c:pt>
                <c:pt idx="143">
                  <c:v>37956</c:v>
                </c:pt>
                <c:pt idx="144">
                  <c:v>37987</c:v>
                </c:pt>
                <c:pt idx="145">
                  <c:v>38018</c:v>
                </c:pt>
                <c:pt idx="146">
                  <c:v>38047</c:v>
                </c:pt>
                <c:pt idx="147">
                  <c:v>38078</c:v>
                </c:pt>
                <c:pt idx="148">
                  <c:v>38108</c:v>
                </c:pt>
                <c:pt idx="149">
                  <c:v>38139</c:v>
                </c:pt>
                <c:pt idx="150">
                  <c:v>38169</c:v>
                </c:pt>
                <c:pt idx="151">
                  <c:v>38200</c:v>
                </c:pt>
                <c:pt idx="152">
                  <c:v>38231</c:v>
                </c:pt>
                <c:pt idx="153">
                  <c:v>38261</c:v>
                </c:pt>
                <c:pt idx="154">
                  <c:v>38292</c:v>
                </c:pt>
                <c:pt idx="155">
                  <c:v>38322</c:v>
                </c:pt>
                <c:pt idx="156">
                  <c:v>38353</c:v>
                </c:pt>
                <c:pt idx="157">
                  <c:v>38384</c:v>
                </c:pt>
                <c:pt idx="158">
                  <c:v>38412</c:v>
                </c:pt>
                <c:pt idx="159">
                  <c:v>38443</c:v>
                </c:pt>
                <c:pt idx="160">
                  <c:v>38473</c:v>
                </c:pt>
                <c:pt idx="161">
                  <c:v>38504</c:v>
                </c:pt>
                <c:pt idx="162">
                  <c:v>38534</c:v>
                </c:pt>
                <c:pt idx="163">
                  <c:v>38565</c:v>
                </c:pt>
                <c:pt idx="164">
                  <c:v>38596</c:v>
                </c:pt>
                <c:pt idx="165">
                  <c:v>38626</c:v>
                </c:pt>
                <c:pt idx="166">
                  <c:v>38657</c:v>
                </c:pt>
                <c:pt idx="167">
                  <c:v>38687</c:v>
                </c:pt>
                <c:pt idx="168">
                  <c:v>38718</c:v>
                </c:pt>
                <c:pt idx="169">
                  <c:v>38749</c:v>
                </c:pt>
                <c:pt idx="170">
                  <c:v>38777</c:v>
                </c:pt>
                <c:pt idx="171">
                  <c:v>38808</c:v>
                </c:pt>
                <c:pt idx="172">
                  <c:v>38838</c:v>
                </c:pt>
                <c:pt idx="173">
                  <c:v>38869</c:v>
                </c:pt>
                <c:pt idx="174">
                  <c:v>38899</c:v>
                </c:pt>
                <c:pt idx="175">
                  <c:v>38930</c:v>
                </c:pt>
                <c:pt idx="176">
                  <c:v>38961</c:v>
                </c:pt>
                <c:pt idx="177">
                  <c:v>38991</c:v>
                </c:pt>
                <c:pt idx="178">
                  <c:v>39022</c:v>
                </c:pt>
                <c:pt idx="179">
                  <c:v>39052</c:v>
                </c:pt>
                <c:pt idx="180">
                  <c:v>39083</c:v>
                </c:pt>
                <c:pt idx="181">
                  <c:v>39114</c:v>
                </c:pt>
                <c:pt idx="182">
                  <c:v>39142</c:v>
                </c:pt>
                <c:pt idx="183">
                  <c:v>39173</c:v>
                </c:pt>
                <c:pt idx="184">
                  <c:v>39203</c:v>
                </c:pt>
                <c:pt idx="185">
                  <c:v>39234</c:v>
                </c:pt>
                <c:pt idx="186">
                  <c:v>39264</c:v>
                </c:pt>
                <c:pt idx="187">
                  <c:v>39295</c:v>
                </c:pt>
                <c:pt idx="188">
                  <c:v>39326</c:v>
                </c:pt>
                <c:pt idx="189">
                  <c:v>39356</c:v>
                </c:pt>
                <c:pt idx="190">
                  <c:v>39387</c:v>
                </c:pt>
                <c:pt idx="191">
                  <c:v>39417</c:v>
                </c:pt>
                <c:pt idx="192">
                  <c:v>39448</c:v>
                </c:pt>
                <c:pt idx="193">
                  <c:v>39479</c:v>
                </c:pt>
                <c:pt idx="194">
                  <c:v>39508</c:v>
                </c:pt>
                <c:pt idx="195">
                  <c:v>39539</c:v>
                </c:pt>
                <c:pt idx="196">
                  <c:v>39569</c:v>
                </c:pt>
                <c:pt idx="197">
                  <c:v>39600</c:v>
                </c:pt>
                <c:pt idx="198">
                  <c:v>39630</c:v>
                </c:pt>
                <c:pt idx="199">
                  <c:v>39661</c:v>
                </c:pt>
                <c:pt idx="200">
                  <c:v>39692</c:v>
                </c:pt>
                <c:pt idx="201">
                  <c:v>39722</c:v>
                </c:pt>
                <c:pt idx="202">
                  <c:v>39753</c:v>
                </c:pt>
                <c:pt idx="203">
                  <c:v>39783</c:v>
                </c:pt>
                <c:pt idx="204">
                  <c:v>39814</c:v>
                </c:pt>
                <c:pt idx="205">
                  <c:v>39845</c:v>
                </c:pt>
                <c:pt idx="206">
                  <c:v>39873</c:v>
                </c:pt>
                <c:pt idx="207">
                  <c:v>39904</c:v>
                </c:pt>
                <c:pt idx="208">
                  <c:v>39934</c:v>
                </c:pt>
                <c:pt idx="209">
                  <c:v>39965</c:v>
                </c:pt>
                <c:pt idx="210">
                  <c:v>39995</c:v>
                </c:pt>
                <c:pt idx="211">
                  <c:v>40026</c:v>
                </c:pt>
                <c:pt idx="212">
                  <c:v>40057</c:v>
                </c:pt>
                <c:pt idx="213">
                  <c:v>40087</c:v>
                </c:pt>
                <c:pt idx="214">
                  <c:v>40118</c:v>
                </c:pt>
                <c:pt idx="215">
                  <c:v>40148</c:v>
                </c:pt>
                <c:pt idx="216">
                  <c:v>40179</c:v>
                </c:pt>
                <c:pt idx="217">
                  <c:v>40210</c:v>
                </c:pt>
                <c:pt idx="218">
                  <c:v>40238</c:v>
                </c:pt>
                <c:pt idx="219">
                  <c:v>40269</c:v>
                </c:pt>
                <c:pt idx="220">
                  <c:v>40299</c:v>
                </c:pt>
                <c:pt idx="221">
                  <c:v>40330</c:v>
                </c:pt>
                <c:pt idx="222">
                  <c:v>40360</c:v>
                </c:pt>
                <c:pt idx="223">
                  <c:v>40391</c:v>
                </c:pt>
                <c:pt idx="224">
                  <c:v>40422</c:v>
                </c:pt>
                <c:pt idx="225">
                  <c:v>40452</c:v>
                </c:pt>
                <c:pt idx="226">
                  <c:v>40483</c:v>
                </c:pt>
                <c:pt idx="227">
                  <c:v>40513</c:v>
                </c:pt>
                <c:pt idx="228">
                  <c:v>40544</c:v>
                </c:pt>
                <c:pt idx="229">
                  <c:v>40575</c:v>
                </c:pt>
                <c:pt idx="230">
                  <c:v>40603</c:v>
                </c:pt>
                <c:pt idx="231">
                  <c:v>40634</c:v>
                </c:pt>
                <c:pt idx="232">
                  <c:v>40664</c:v>
                </c:pt>
                <c:pt idx="233">
                  <c:v>40695</c:v>
                </c:pt>
                <c:pt idx="234">
                  <c:v>40725</c:v>
                </c:pt>
                <c:pt idx="235">
                  <c:v>40756</c:v>
                </c:pt>
                <c:pt idx="236">
                  <c:v>40787</c:v>
                </c:pt>
                <c:pt idx="237">
                  <c:v>40817</c:v>
                </c:pt>
                <c:pt idx="238">
                  <c:v>40848</c:v>
                </c:pt>
                <c:pt idx="239">
                  <c:v>40878</c:v>
                </c:pt>
                <c:pt idx="240">
                  <c:v>40909</c:v>
                </c:pt>
                <c:pt idx="241">
                  <c:v>40940</c:v>
                </c:pt>
                <c:pt idx="242">
                  <c:v>40969</c:v>
                </c:pt>
                <c:pt idx="243">
                  <c:v>41000</c:v>
                </c:pt>
                <c:pt idx="244">
                  <c:v>41030</c:v>
                </c:pt>
                <c:pt idx="245">
                  <c:v>41061</c:v>
                </c:pt>
                <c:pt idx="246">
                  <c:v>41091</c:v>
                </c:pt>
                <c:pt idx="247">
                  <c:v>41122</c:v>
                </c:pt>
                <c:pt idx="248">
                  <c:v>41153</c:v>
                </c:pt>
                <c:pt idx="249">
                  <c:v>41183</c:v>
                </c:pt>
                <c:pt idx="250">
                  <c:v>41214</c:v>
                </c:pt>
                <c:pt idx="251">
                  <c:v>41244</c:v>
                </c:pt>
                <c:pt idx="252">
                  <c:v>41275</c:v>
                </c:pt>
                <c:pt idx="253">
                  <c:v>41306</c:v>
                </c:pt>
                <c:pt idx="254">
                  <c:v>41334</c:v>
                </c:pt>
                <c:pt idx="255">
                  <c:v>41365</c:v>
                </c:pt>
                <c:pt idx="256">
                  <c:v>41395</c:v>
                </c:pt>
                <c:pt idx="257">
                  <c:v>41426</c:v>
                </c:pt>
                <c:pt idx="258">
                  <c:v>41456</c:v>
                </c:pt>
                <c:pt idx="259">
                  <c:v>41487</c:v>
                </c:pt>
                <c:pt idx="260">
                  <c:v>41518</c:v>
                </c:pt>
                <c:pt idx="261">
                  <c:v>41548</c:v>
                </c:pt>
                <c:pt idx="262">
                  <c:v>41579</c:v>
                </c:pt>
                <c:pt idx="263">
                  <c:v>41609</c:v>
                </c:pt>
                <c:pt idx="264">
                  <c:v>41640</c:v>
                </c:pt>
                <c:pt idx="265">
                  <c:v>41671</c:v>
                </c:pt>
                <c:pt idx="266">
                  <c:v>41699</c:v>
                </c:pt>
                <c:pt idx="267">
                  <c:v>41730</c:v>
                </c:pt>
                <c:pt idx="268">
                  <c:v>41760</c:v>
                </c:pt>
                <c:pt idx="269">
                  <c:v>41791</c:v>
                </c:pt>
                <c:pt idx="270">
                  <c:v>41821</c:v>
                </c:pt>
                <c:pt idx="271">
                  <c:v>41852</c:v>
                </c:pt>
                <c:pt idx="272">
                  <c:v>41883</c:v>
                </c:pt>
                <c:pt idx="273">
                  <c:v>41913</c:v>
                </c:pt>
                <c:pt idx="274">
                  <c:v>41944</c:v>
                </c:pt>
                <c:pt idx="275">
                  <c:v>41974</c:v>
                </c:pt>
                <c:pt idx="276">
                  <c:v>42005</c:v>
                </c:pt>
                <c:pt idx="277">
                  <c:v>42036</c:v>
                </c:pt>
                <c:pt idx="278">
                  <c:v>42064</c:v>
                </c:pt>
                <c:pt idx="279">
                  <c:v>42095</c:v>
                </c:pt>
                <c:pt idx="280">
                  <c:v>42125</c:v>
                </c:pt>
                <c:pt idx="281">
                  <c:v>42156</c:v>
                </c:pt>
                <c:pt idx="282">
                  <c:v>42186</c:v>
                </c:pt>
                <c:pt idx="283">
                  <c:v>42217</c:v>
                </c:pt>
                <c:pt idx="284">
                  <c:v>42248</c:v>
                </c:pt>
                <c:pt idx="285">
                  <c:v>42278</c:v>
                </c:pt>
                <c:pt idx="286">
                  <c:v>42309</c:v>
                </c:pt>
                <c:pt idx="287">
                  <c:v>42339</c:v>
                </c:pt>
                <c:pt idx="288">
                  <c:v>42370</c:v>
                </c:pt>
                <c:pt idx="289">
                  <c:v>42401</c:v>
                </c:pt>
                <c:pt idx="290">
                  <c:v>42430</c:v>
                </c:pt>
                <c:pt idx="291">
                  <c:v>42461</c:v>
                </c:pt>
                <c:pt idx="292">
                  <c:v>42491</c:v>
                </c:pt>
                <c:pt idx="293">
                  <c:v>42522</c:v>
                </c:pt>
                <c:pt idx="294">
                  <c:v>42552</c:v>
                </c:pt>
                <c:pt idx="295">
                  <c:v>42583</c:v>
                </c:pt>
                <c:pt idx="296">
                  <c:v>42614</c:v>
                </c:pt>
                <c:pt idx="297">
                  <c:v>42644</c:v>
                </c:pt>
                <c:pt idx="298">
                  <c:v>42675</c:v>
                </c:pt>
                <c:pt idx="299">
                  <c:v>42705</c:v>
                </c:pt>
                <c:pt idx="300">
                  <c:v>42736</c:v>
                </c:pt>
                <c:pt idx="301">
                  <c:v>42767</c:v>
                </c:pt>
                <c:pt idx="302">
                  <c:v>42795</c:v>
                </c:pt>
                <c:pt idx="303">
                  <c:v>42826</c:v>
                </c:pt>
                <c:pt idx="304">
                  <c:v>42856</c:v>
                </c:pt>
                <c:pt idx="305">
                  <c:v>42887</c:v>
                </c:pt>
                <c:pt idx="306">
                  <c:v>42917</c:v>
                </c:pt>
                <c:pt idx="307">
                  <c:v>42948</c:v>
                </c:pt>
                <c:pt idx="308">
                  <c:v>42979</c:v>
                </c:pt>
                <c:pt idx="309">
                  <c:v>43009</c:v>
                </c:pt>
                <c:pt idx="310">
                  <c:v>43040</c:v>
                </c:pt>
                <c:pt idx="311">
                  <c:v>43070</c:v>
                </c:pt>
                <c:pt idx="312">
                  <c:v>43101</c:v>
                </c:pt>
                <c:pt idx="313">
                  <c:v>43132</c:v>
                </c:pt>
                <c:pt idx="314">
                  <c:v>43160</c:v>
                </c:pt>
                <c:pt idx="315">
                  <c:v>43191</c:v>
                </c:pt>
                <c:pt idx="316">
                  <c:v>43221</c:v>
                </c:pt>
                <c:pt idx="317">
                  <c:v>43252</c:v>
                </c:pt>
                <c:pt idx="318">
                  <c:v>43282</c:v>
                </c:pt>
                <c:pt idx="319">
                  <c:v>43313</c:v>
                </c:pt>
                <c:pt idx="320">
                  <c:v>43344</c:v>
                </c:pt>
                <c:pt idx="321">
                  <c:v>43374</c:v>
                </c:pt>
                <c:pt idx="322">
                  <c:v>43405</c:v>
                </c:pt>
                <c:pt idx="323">
                  <c:v>43435</c:v>
                </c:pt>
                <c:pt idx="324">
                  <c:v>43466</c:v>
                </c:pt>
                <c:pt idx="325">
                  <c:v>43497</c:v>
                </c:pt>
                <c:pt idx="326">
                  <c:v>43525</c:v>
                </c:pt>
                <c:pt idx="327">
                  <c:v>43556</c:v>
                </c:pt>
                <c:pt idx="328">
                  <c:v>43586</c:v>
                </c:pt>
                <c:pt idx="329">
                  <c:v>43617</c:v>
                </c:pt>
                <c:pt idx="330">
                  <c:v>43647</c:v>
                </c:pt>
                <c:pt idx="331">
                  <c:v>43678</c:v>
                </c:pt>
                <c:pt idx="332">
                  <c:v>43709</c:v>
                </c:pt>
                <c:pt idx="333">
                  <c:v>43739</c:v>
                </c:pt>
                <c:pt idx="334">
                  <c:v>43770</c:v>
                </c:pt>
                <c:pt idx="335">
                  <c:v>43800</c:v>
                </c:pt>
                <c:pt idx="336">
                  <c:v>43831</c:v>
                </c:pt>
                <c:pt idx="337">
                  <c:v>43862</c:v>
                </c:pt>
                <c:pt idx="338">
                  <c:v>43891</c:v>
                </c:pt>
                <c:pt idx="339">
                  <c:v>43922</c:v>
                </c:pt>
                <c:pt idx="340">
                  <c:v>43952</c:v>
                </c:pt>
                <c:pt idx="341">
                  <c:v>43983</c:v>
                </c:pt>
                <c:pt idx="342">
                  <c:v>44013</c:v>
                </c:pt>
                <c:pt idx="343">
                  <c:v>44044</c:v>
                </c:pt>
                <c:pt idx="344">
                  <c:v>44075</c:v>
                </c:pt>
                <c:pt idx="345">
                  <c:v>44105</c:v>
                </c:pt>
                <c:pt idx="346">
                  <c:v>44136</c:v>
                </c:pt>
                <c:pt idx="347">
                  <c:v>44166</c:v>
                </c:pt>
                <c:pt idx="348">
                  <c:v>44197</c:v>
                </c:pt>
                <c:pt idx="349">
                  <c:v>44228</c:v>
                </c:pt>
                <c:pt idx="350">
                  <c:v>44256</c:v>
                </c:pt>
                <c:pt idx="351">
                  <c:v>44287</c:v>
                </c:pt>
                <c:pt idx="352">
                  <c:v>44317</c:v>
                </c:pt>
                <c:pt idx="353">
                  <c:v>44348</c:v>
                </c:pt>
                <c:pt idx="354">
                  <c:v>44378</c:v>
                </c:pt>
                <c:pt idx="355">
                  <c:v>44409</c:v>
                </c:pt>
              </c:numCache>
            </c:numRef>
          </c:cat>
          <c:val>
            <c:numRef>
              <c:f>'Retail Sales ex Auto'!$B$7:$B$362</c:f>
              <c:numCache>
                <c:formatCode>#,##0</c:formatCode>
                <c:ptCount val="356"/>
                <c:pt idx="0">
                  <c:v>130617</c:v>
                </c:pt>
                <c:pt idx="1">
                  <c:v>130396</c:v>
                </c:pt>
                <c:pt idx="2">
                  <c:v>130385</c:v>
                </c:pt>
                <c:pt idx="3">
                  <c:v>130933</c:v>
                </c:pt>
                <c:pt idx="4">
                  <c:v>131255</c:v>
                </c:pt>
                <c:pt idx="5">
                  <c:v>131296</c:v>
                </c:pt>
                <c:pt idx="6">
                  <c:v>132058</c:v>
                </c:pt>
                <c:pt idx="7">
                  <c:v>133215</c:v>
                </c:pt>
                <c:pt idx="8">
                  <c:v>133510</c:v>
                </c:pt>
                <c:pt idx="9">
                  <c:v>134653</c:v>
                </c:pt>
                <c:pt idx="10">
                  <c:v>135075</c:v>
                </c:pt>
                <c:pt idx="11">
                  <c:v>136833</c:v>
                </c:pt>
                <c:pt idx="12">
                  <c:v>137487</c:v>
                </c:pt>
                <c:pt idx="13">
                  <c:v>137021</c:v>
                </c:pt>
                <c:pt idx="14">
                  <c:v>136351</c:v>
                </c:pt>
                <c:pt idx="15">
                  <c:v>138228</c:v>
                </c:pt>
                <c:pt idx="16">
                  <c:v>139420</c:v>
                </c:pt>
                <c:pt idx="17">
                  <c:v>139265</c:v>
                </c:pt>
                <c:pt idx="18">
                  <c:v>140453</c:v>
                </c:pt>
                <c:pt idx="19">
                  <c:v>140203</c:v>
                </c:pt>
                <c:pt idx="20">
                  <c:v>141570</c:v>
                </c:pt>
                <c:pt idx="21">
                  <c:v>142027</c:v>
                </c:pt>
                <c:pt idx="22">
                  <c:v>142670</c:v>
                </c:pt>
                <c:pt idx="23">
                  <c:v>143603</c:v>
                </c:pt>
                <c:pt idx="24">
                  <c:v>142482</c:v>
                </c:pt>
                <c:pt idx="25">
                  <c:v>144389</c:v>
                </c:pt>
                <c:pt idx="26">
                  <c:v>147104</c:v>
                </c:pt>
                <c:pt idx="27">
                  <c:v>146567</c:v>
                </c:pt>
                <c:pt idx="28">
                  <c:v>146831</c:v>
                </c:pt>
                <c:pt idx="29">
                  <c:v>148589</c:v>
                </c:pt>
                <c:pt idx="30">
                  <c:v>149266</c:v>
                </c:pt>
                <c:pt idx="31">
                  <c:v>150931</c:v>
                </c:pt>
                <c:pt idx="32">
                  <c:v>151451</c:v>
                </c:pt>
                <c:pt idx="33">
                  <c:v>152530</c:v>
                </c:pt>
                <c:pt idx="34">
                  <c:v>152528</c:v>
                </c:pt>
                <c:pt idx="35">
                  <c:v>153761</c:v>
                </c:pt>
                <c:pt idx="36">
                  <c:v>154349</c:v>
                </c:pt>
                <c:pt idx="37">
                  <c:v>152497</c:v>
                </c:pt>
                <c:pt idx="38">
                  <c:v>153566</c:v>
                </c:pt>
                <c:pt idx="39">
                  <c:v>153976</c:v>
                </c:pt>
                <c:pt idx="40">
                  <c:v>155268</c:v>
                </c:pt>
                <c:pt idx="41">
                  <c:v>155848</c:v>
                </c:pt>
                <c:pt idx="42">
                  <c:v>156088</c:v>
                </c:pt>
                <c:pt idx="43">
                  <c:v>156773</c:v>
                </c:pt>
                <c:pt idx="44">
                  <c:v>157818</c:v>
                </c:pt>
                <c:pt idx="45">
                  <c:v>156905</c:v>
                </c:pt>
                <c:pt idx="46">
                  <c:v>158801</c:v>
                </c:pt>
                <c:pt idx="47">
                  <c:v>160236</c:v>
                </c:pt>
                <c:pt idx="48">
                  <c:v>158350</c:v>
                </c:pt>
                <c:pt idx="49">
                  <c:v>159720</c:v>
                </c:pt>
                <c:pt idx="50">
                  <c:v>161543</c:v>
                </c:pt>
                <c:pt idx="51">
                  <c:v>163145</c:v>
                </c:pt>
                <c:pt idx="52">
                  <c:v>164099</c:v>
                </c:pt>
                <c:pt idx="53">
                  <c:v>164270</c:v>
                </c:pt>
                <c:pt idx="54">
                  <c:v>164328</c:v>
                </c:pt>
                <c:pt idx="55">
                  <c:v>164886</c:v>
                </c:pt>
                <c:pt idx="56">
                  <c:v>166072</c:v>
                </c:pt>
                <c:pt idx="57">
                  <c:v>167610</c:v>
                </c:pt>
                <c:pt idx="58">
                  <c:v>168253</c:v>
                </c:pt>
                <c:pt idx="59">
                  <c:v>169156</c:v>
                </c:pt>
                <c:pt idx="60">
                  <c:v>169471</c:v>
                </c:pt>
                <c:pt idx="61">
                  <c:v>170821</c:v>
                </c:pt>
                <c:pt idx="62">
                  <c:v>171928</c:v>
                </c:pt>
                <c:pt idx="63">
                  <c:v>170754</c:v>
                </c:pt>
                <c:pt idx="64">
                  <c:v>170738</c:v>
                </c:pt>
                <c:pt idx="65">
                  <c:v>171991</c:v>
                </c:pt>
                <c:pt idx="66">
                  <c:v>173448</c:v>
                </c:pt>
                <c:pt idx="67">
                  <c:v>173821</c:v>
                </c:pt>
                <c:pt idx="68">
                  <c:v>174978</c:v>
                </c:pt>
                <c:pt idx="69">
                  <c:v>174980</c:v>
                </c:pt>
                <c:pt idx="70">
                  <c:v>175126</c:v>
                </c:pt>
                <c:pt idx="71">
                  <c:v>175418</c:v>
                </c:pt>
                <c:pt idx="72">
                  <c:v>176093</c:v>
                </c:pt>
                <c:pt idx="73">
                  <c:v>176843</c:v>
                </c:pt>
                <c:pt idx="74">
                  <c:v>176948</c:v>
                </c:pt>
                <c:pt idx="75">
                  <c:v>178522</c:v>
                </c:pt>
                <c:pt idx="76">
                  <c:v>179193</c:v>
                </c:pt>
                <c:pt idx="77">
                  <c:v>179707</c:v>
                </c:pt>
                <c:pt idx="78">
                  <c:v>181091</c:v>
                </c:pt>
                <c:pt idx="79">
                  <c:v>181382</c:v>
                </c:pt>
                <c:pt idx="80">
                  <c:v>181354</c:v>
                </c:pt>
                <c:pt idx="81">
                  <c:v>183255</c:v>
                </c:pt>
                <c:pt idx="82">
                  <c:v>184474</c:v>
                </c:pt>
                <c:pt idx="83">
                  <c:v>186057</c:v>
                </c:pt>
                <c:pt idx="84">
                  <c:v>186333</c:v>
                </c:pt>
                <c:pt idx="85">
                  <c:v>188260</c:v>
                </c:pt>
                <c:pt idx="86">
                  <c:v>189026</c:v>
                </c:pt>
                <c:pt idx="87">
                  <c:v>190327</c:v>
                </c:pt>
                <c:pt idx="88">
                  <c:v>191524</c:v>
                </c:pt>
                <c:pt idx="89">
                  <c:v>191997</c:v>
                </c:pt>
                <c:pt idx="90">
                  <c:v>192947</c:v>
                </c:pt>
                <c:pt idx="91">
                  <c:v>194517</c:v>
                </c:pt>
                <c:pt idx="92">
                  <c:v>196167</c:v>
                </c:pt>
                <c:pt idx="93">
                  <c:v>197299</c:v>
                </c:pt>
                <c:pt idx="94">
                  <c:v>198696</c:v>
                </c:pt>
                <c:pt idx="95">
                  <c:v>203954</c:v>
                </c:pt>
                <c:pt idx="96">
                  <c:v>200365</c:v>
                </c:pt>
                <c:pt idx="97">
                  <c:v>202935</c:v>
                </c:pt>
                <c:pt idx="98">
                  <c:v>206759</c:v>
                </c:pt>
                <c:pt idx="99">
                  <c:v>205234</c:v>
                </c:pt>
                <c:pt idx="100">
                  <c:v>205613</c:v>
                </c:pt>
                <c:pt idx="101">
                  <c:v>206784</c:v>
                </c:pt>
                <c:pt idx="102">
                  <c:v>207425</c:v>
                </c:pt>
                <c:pt idx="103">
                  <c:v>207607</c:v>
                </c:pt>
                <c:pt idx="104">
                  <c:v>210698</c:v>
                </c:pt>
                <c:pt idx="105">
                  <c:v>210719</c:v>
                </c:pt>
                <c:pt idx="106">
                  <c:v>211384</c:v>
                </c:pt>
                <c:pt idx="107">
                  <c:v>212267</c:v>
                </c:pt>
                <c:pt idx="108">
                  <c:v>212908</c:v>
                </c:pt>
                <c:pt idx="109">
                  <c:v>212585</c:v>
                </c:pt>
                <c:pt idx="110">
                  <c:v>210779</c:v>
                </c:pt>
                <c:pt idx="111">
                  <c:v>213875</c:v>
                </c:pt>
                <c:pt idx="112">
                  <c:v>214457</c:v>
                </c:pt>
                <c:pt idx="113">
                  <c:v>213691</c:v>
                </c:pt>
                <c:pt idx="114">
                  <c:v>213437</c:v>
                </c:pt>
                <c:pt idx="115">
                  <c:v>215063</c:v>
                </c:pt>
                <c:pt idx="116">
                  <c:v>212155</c:v>
                </c:pt>
                <c:pt idx="117">
                  <c:v>214085</c:v>
                </c:pt>
                <c:pt idx="118">
                  <c:v>214698</c:v>
                </c:pt>
                <c:pt idx="119">
                  <c:v>215485</c:v>
                </c:pt>
                <c:pt idx="120">
                  <c:v>215843</c:v>
                </c:pt>
                <c:pt idx="121">
                  <c:v>216886</c:v>
                </c:pt>
                <c:pt idx="122">
                  <c:v>217692</c:v>
                </c:pt>
                <c:pt idx="123">
                  <c:v>220582</c:v>
                </c:pt>
                <c:pt idx="124">
                  <c:v>219889</c:v>
                </c:pt>
                <c:pt idx="125">
                  <c:v>220018</c:v>
                </c:pt>
                <c:pt idx="126">
                  <c:v>220441</c:v>
                </c:pt>
                <c:pt idx="127">
                  <c:v>220446</c:v>
                </c:pt>
                <c:pt idx="128">
                  <c:v>220344</c:v>
                </c:pt>
                <c:pt idx="129">
                  <c:v>222023</c:v>
                </c:pt>
                <c:pt idx="130">
                  <c:v>223553</c:v>
                </c:pt>
                <c:pt idx="131">
                  <c:v>224153</c:v>
                </c:pt>
                <c:pt idx="132">
                  <c:v>225575</c:v>
                </c:pt>
                <c:pt idx="133">
                  <c:v>224632</c:v>
                </c:pt>
                <c:pt idx="134">
                  <c:v>227697</c:v>
                </c:pt>
                <c:pt idx="135">
                  <c:v>226020</c:v>
                </c:pt>
                <c:pt idx="136">
                  <c:v>226750</c:v>
                </c:pt>
                <c:pt idx="137">
                  <c:v>229301</c:v>
                </c:pt>
                <c:pt idx="138">
                  <c:v>231698</c:v>
                </c:pt>
                <c:pt idx="139">
                  <c:v>234890</c:v>
                </c:pt>
                <c:pt idx="140">
                  <c:v>234749</c:v>
                </c:pt>
                <c:pt idx="141">
                  <c:v>234992</c:v>
                </c:pt>
                <c:pt idx="142">
                  <c:v>236789</c:v>
                </c:pt>
                <c:pt idx="143">
                  <c:v>237304</c:v>
                </c:pt>
                <c:pt idx="144">
                  <c:v>239984</c:v>
                </c:pt>
                <c:pt idx="145">
                  <c:v>240300</c:v>
                </c:pt>
                <c:pt idx="146">
                  <c:v>244775</c:v>
                </c:pt>
                <c:pt idx="147">
                  <c:v>243552</c:v>
                </c:pt>
                <c:pt idx="148">
                  <c:v>246143</c:v>
                </c:pt>
                <c:pt idx="149">
                  <c:v>245967</c:v>
                </c:pt>
                <c:pt idx="150">
                  <c:v>247311</c:v>
                </c:pt>
                <c:pt idx="151">
                  <c:v>247612</c:v>
                </c:pt>
                <c:pt idx="152">
                  <c:v>249840</c:v>
                </c:pt>
                <c:pt idx="153">
                  <c:v>252882</c:v>
                </c:pt>
                <c:pt idx="154">
                  <c:v>254429</c:v>
                </c:pt>
                <c:pt idx="155">
                  <c:v>256487</c:v>
                </c:pt>
                <c:pt idx="156">
                  <c:v>256613</c:v>
                </c:pt>
                <c:pt idx="157">
                  <c:v>259253</c:v>
                </c:pt>
                <c:pt idx="158">
                  <c:v>259434</c:v>
                </c:pt>
                <c:pt idx="159">
                  <c:v>262934</c:v>
                </c:pt>
                <c:pt idx="160">
                  <c:v>261297</c:v>
                </c:pt>
                <c:pt idx="161">
                  <c:v>264359</c:v>
                </c:pt>
                <c:pt idx="162">
                  <c:v>264971</c:v>
                </c:pt>
                <c:pt idx="163">
                  <c:v>269520</c:v>
                </c:pt>
                <c:pt idx="164">
                  <c:v>273329</c:v>
                </c:pt>
                <c:pt idx="165">
                  <c:v>276244</c:v>
                </c:pt>
                <c:pt idx="166">
                  <c:v>274114</c:v>
                </c:pt>
                <c:pt idx="167">
                  <c:v>274073</c:v>
                </c:pt>
                <c:pt idx="168">
                  <c:v>280574</c:v>
                </c:pt>
                <c:pt idx="169">
                  <c:v>280598</c:v>
                </c:pt>
                <c:pt idx="170">
                  <c:v>281056</c:v>
                </c:pt>
                <c:pt idx="171">
                  <c:v>282525</c:v>
                </c:pt>
                <c:pt idx="172">
                  <c:v>282623</c:v>
                </c:pt>
                <c:pt idx="173">
                  <c:v>282510</c:v>
                </c:pt>
                <c:pt idx="174">
                  <c:v>283042</c:v>
                </c:pt>
                <c:pt idx="175">
                  <c:v>285504</c:v>
                </c:pt>
                <c:pt idx="176">
                  <c:v>284382</c:v>
                </c:pt>
                <c:pt idx="177">
                  <c:v>283015</c:v>
                </c:pt>
                <c:pt idx="178">
                  <c:v>283202</c:v>
                </c:pt>
                <c:pt idx="179">
                  <c:v>288292</c:v>
                </c:pt>
                <c:pt idx="180">
                  <c:v>288217</c:v>
                </c:pt>
                <c:pt idx="181">
                  <c:v>288165</c:v>
                </c:pt>
                <c:pt idx="182">
                  <c:v>291686</c:v>
                </c:pt>
                <c:pt idx="183">
                  <c:v>289982</c:v>
                </c:pt>
                <c:pt idx="184">
                  <c:v>293748</c:v>
                </c:pt>
                <c:pt idx="185">
                  <c:v>293360</c:v>
                </c:pt>
                <c:pt idx="186">
                  <c:v>294682</c:v>
                </c:pt>
                <c:pt idx="187">
                  <c:v>294809</c:v>
                </c:pt>
                <c:pt idx="188">
                  <c:v>295693</c:v>
                </c:pt>
                <c:pt idx="189">
                  <c:v>297672</c:v>
                </c:pt>
                <c:pt idx="190">
                  <c:v>302939</c:v>
                </c:pt>
                <c:pt idx="191">
                  <c:v>300953</c:v>
                </c:pt>
                <c:pt idx="192">
                  <c:v>301402</c:v>
                </c:pt>
                <c:pt idx="193">
                  <c:v>299627</c:v>
                </c:pt>
                <c:pt idx="194">
                  <c:v>300971</c:v>
                </c:pt>
                <c:pt idx="195">
                  <c:v>302520</c:v>
                </c:pt>
                <c:pt idx="196">
                  <c:v>306893</c:v>
                </c:pt>
                <c:pt idx="197">
                  <c:v>309294</c:v>
                </c:pt>
                <c:pt idx="198">
                  <c:v>310641</c:v>
                </c:pt>
                <c:pt idx="199">
                  <c:v>307299</c:v>
                </c:pt>
                <c:pt idx="200">
                  <c:v>304180</c:v>
                </c:pt>
                <c:pt idx="201">
                  <c:v>296351</c:v>
                </c:pt>
                <c:pt idx="202">
                  <c:v>284366</c:v>
                </c:pt>
                <c:pt idx="203">
                  <c:v>277968</c:v>
                </c:pt>
                <c:pt idx="204">
                  <c:v>281139</c:v>
                </c:pt>
                <c:pt idx="205">
                  <c:v>281388</c:v>
                </c:pt>
                <c:pt idx="206">
                  <c:v>276647</c:v>
                </c:pt>
                <c:pt idx="207">
                  <c:v>277795</c:v>
                </c:pt>
                <c:pt idx="208">
                  <c:v>280167</c:v>
                </c:pt>
                <c:pt idx="209">
                  <c:v>283272</c:v>
                </c:pt>
                <c:pt idx="210">
                  <c:v>282769</c:v>
                </c:pt>
                <c:pt idx="211">
                  <c:v>284405</c:v>
                </c:pt>
                <c:pt idx="212">
                  <c:v>284973</c:v>
                </c:pt>
                <c:pt idx="213">
                  <c:v>285185</c:v>
                </c:pt>
                <c:pt idx="214">
                  <c:v>287020</c:v>
                </c:pt>
                <c:pt idx="215">
                  <c:v>288993</c:v>
                </c:pt>
                <c:pt idx="216">
                  <c:v>289219</c:v>
                </c:pt>
                <c:pt idx="217">
                  <c:v>291039</c:v>
                </c:pt>
                <c:pt idx="218">
                  <c:v>293482</c:v>
                </c:pt>
                <c:pt idx="219">
                  <c:v>295536</c:v>
                </c:pt>
                <c:pt idx="220">
                  <c:v>292676</c:v>
                </c:pt>
                <c:pt idx="221">
                  <c:v>292396</c:v>
                </c:pt>
                <c:pt idx="222">
                  <c:v>292045</c:v>
                </c:pt>
                <c:pt idx="223">
                  <c:v>294159</c:v>
                </c:pt>
                <c:pt idx="224">
                  <c:v>296205</c:v>
                </c:pt>
                <c:pt idx="225">
                  <c:v>298610</c:v>
                </c:pt>
                <c:pt idx="226">
                  <c:v>301943</c:v>
                </c:pt>
                <c:pt idx="227">
                  <c:v>303898</c:v>
                </c:pt>
                <c:pt idx="228">
                  <c:v>305771</c:v>
                </c:pt>
                <c:pt idx="229">
                  <c:v>307772</c:v>
                </c:pt>
                <c:pt idx="230">
                  <c:v>311008</c:v>
                </c:pt>
                <c:pt idx="231">
                  <c:v>313791</c:v>
                </c:pt>
                <c:pt idx="232">
                  <c:v>314442</c:v>
                </c:pt>
                <c:pt idx="233">
                  <c:v>316372</c:v>
                </c:pt>
                <c:pt idx="234">
                  <c:v>316467</c:v>
                </c:pt>
                <c:pt idx="235">
                  <c:v>318147</c:v>
                </c:pt>
                <c:pt idx="236">
                  <c:v>318693</c:v>
                </c:pt>
                <c:pt idx="237">
                  <c:v>320206</c:v>
                </c:pt>
                <c:pt idx="238">
                  <c:v>321318</c:v>
                </c:pt>
                <c:pt idx="239">
                  <c:v>320123</c:v>
                </c:pt>
                <c:pt idx="240">
                  <c:v>324000</c:v>
                </c:pt>
                <c:pt idx="241">
                  <c:v>327740</c:v>
                </c:pt>
                <c:pt idx="242">
                  <c:v>329010</c:v>
                </c:pt>
                <c:pt idx="243">
                  <c:v>327270</c:v>
                </c:pt>
                <c:pt idx="244">
                  <c:v>325692</c:v>
                </c:pt>
                <c:pt idx="245">
                  <c:v>323199</c:v>
                </c:pt>
                <c:pt idx="246">
                  <c:v>324442</c:v>
                </c:pt>
                <c:pt idx="247">
                  <c:v>328242</c:v>
                </c:pt>
                <c:pt idx="248">
                  <c:v>330360</c:v>
                </c:pt>
                <c:pt idx="249">
                  <c:v>330886</c:v>
                </c:pt>
                <c:pt idx="250">
                  <c:v>331558</c:v>
                </c:pt>
                <c:pt idx="251">
                  <c:v>332159</c:v>
                </c:pt>
                <c:pt idx="252">
                  <c:v>334456</c:v>
                </c:pt>
                <c:pt idx="253">
                  <c:v>338338</c:v>
                </c:pt>
                <c:pt idx="254">
                  <c:v>336182</c:v>
                </c:pt>
                <c:pt idx="255">
                  <c:v>333848</c:v>
                </c:pt>
                <c:pt idx="256">
                  <c:v>334591</c:v>
                </c:pt>
                <c:pt idx="257">
                  <c:v>334425</c:v>
                </c:pt>
                <c:pt idx="258">
                  <c:v>336889</c:v>
                </c:pt>
                <c:pt idx="259">
                  <c:v>336272</c:v>
                </c:pt>
                <c:pt idx="260">
                  <c:v>337653</c:v>
                </c:pt>
                <c:pt idx="261">
                  <c:v>338108</c:v>
                </c:pt>
                <c:pt idx="262">
                  <c:v>338836</c:v>
                </c:pt>
                <c:pt idx="263">
                  <c:v>341898</c:v>
                </c:pt>
                <c:pt idx="264">
                  <c:v>339912</c:v>
                </c:pt>
                <c:pt idx="265">
                  <c:v>343436</c:v>
                </c:pt>
                <c:pt idx="266">
                  <c:v>345152</c:v>
                </c:pt>
                <c:pt idx="267">
                  <c:v>348010</c:v>
                </c:pt>
                <c:pt idx="268">
                  <c:v>348656</c:v>
                </c:pt>
                <c:pt idx="269">
                  <c:v>349588</c:v>
                </c:pt>
                <c:pt idx="270">
                  <c:v>349853</c:v>
                </c:pt>
                <c:pt idx="271">
                  <c:v>352463</c:v>
                </c:pt>
                <c:pt idx="272">
                  <c:v>352332</c:v>
                </c:pt>
                <c:pt idx="273">
                  <c:v>353409</c:v>
                </c:pt>
                <c:pt idx="274">
                  <c:v>353721</c:v>
                </c:pt>
                <c:pt idx="275">
                  <c:v>351611</c:v>
                </c:pt>
                <c:pt idx="276">
                  <c:v>347963</c:v>
                </c:pt>
                <c:pt idx="277">
                  <c:v>348562</c:v>
                </c:pt>
                <c:pt idx="278">
                  <c:v>351347</c:v>
                </c:pt>
                <c:pt idx="279">
                  <c:v>351403</c:v>
                </c:pt>
                <c:pt idx="280">
                  <c:v>354216</c:v>
                </c:pt>
                <c:pt idx="281">
                  <c:v>354938</c:v>
                </c:pt>
                <c:pt idx="282">
                  <c:v>357855</c:v>
                </c:pt>
                <c:pt idx="283">
                  <c:v>357320</c:v>
                </c:pt>
                <c:pt idx="284">
                  <c:v>355035</c:v>
                </c:pt>
                <c:pt idx="285">
                  <c:v>354371</c:v>
                </c:pt>
                <c:pt idx="286">
                  <c:v>355197</c:v>
                </c:pt>
                <c:pt idx="287">
                  <c:v>357320</c:v>
                </c:pt>
                <c:pt idx="288">
                  <c:v>354701</c:v>
                </c:pt>
                <c:pt idx="289">
                  <c:v>356770</c:v>
                </c:pt>
                <c:pt idx="290">
                  <c:v>357273</c:v>
                </c:pt>
                <c:pt idx="291">
                  <c:v>358691</c:v>
                </c:pt>
                <c:pt idx="292">
                  <c:v>360322</c:v>
                </c:pt>
                <c:pt idx="293">
                  <c:v>364300</c:v>
                </c:pt>
                <c:pt idx="294">
                  <c:v>362118</c:v>
                </c:pt>
                <c:pt idx="295">
                  <c:v>362435</c:v>
                </c:pt>
                <c:pt idx="296">
                  <c:v>364147</c:v>
                </c:pt>
                <c:pt idx="297">
                  <c:v>365738</c:v>
                </c:pt>
                <c:pt idx="298">
                  <c:v>365795</c:v>
                </c:pt>
                <c:pt idx="299">
                  <c:v>368617</c:v>
                </c:pt>
                <c:pt idx="300">
                  <c:v>374064</c:v>
                </c:pt>
                <c:pt idx="301">
                  <c:v>374178</c:v>
                </c:pt>
                <c:pt idx="302">
                  <c:v>375294</c:v>
                </c:pt>
                <c:pt idx="303">
                  <c:v>376910</c:v>
                </c:pt>
                <c:pt idx="304">
                  <c:v>374147</c:v>
                </c:pt>
                <c:pt idx="305">
                  <c:v>375072</c:v>
                </c:pt>
                <c:pt idx="306">
                  <c:v>375038</c:v>
                </c:pt>
                <c:pt idx="307">
                  <c:v>378044</c:v>
                </c:pt>
                <c:pt idx="308">
                  <c:v>383436</c:v>
                </c:pt>
                <c:pt idx="309">
                  <c:v>383559</c:v>
                </c:pt>
                <c:pt idx="310">
                  <c:v>389394</c:v>
                </c:pt>
                <c:pt idx="311">
                  <c:v>392021</c:v>
                </c:pt>
                <c:pt idx="312">
                  <c:v>391213</c:v>
                </c:pt>
                <c:pt idx="313">
                  <c:v>393942</c:v>
                </c:pt>
                <c:pt idx="314">
                  <c:v>393244</c:v>
                </c:pt>
                <c:pt idx="315">
                  <c:v>394562</c:v>
                </c:pt>
                <c:pt idx="316">
                  <c:v>399841</c:v>
                </c:pt>
                <c:pt idx="317">
                  <c:v>399038</c:v>
                </c:pt>
                <c:pt idx="318">
                  <c:v>401779</c:v>
                </c:pt>
                <c:pt idx="319">
                  <c:v>402204</c:v>
                </c:pt>
                <c:pt idx="320">
                  <c:v>400948</c:v>
                </c:pt>
                <c:pt idx="321">
                  <c:v>406131</c:v>
                </c:pt>
                <c:pt idx="322">
                  <c:v>406277</c:v>
                </c:pt>
                <c:pt idx="323">
                  <c:v>394822</c:v>
                </c:pt>
                <c:pt idx="324">
                  <c:v>403119</c:v>
                </c:pt>
                <c:pt idx="325">
                  <c:v>402274</c:v>
                </c:pt>
                <c:pt idx="326">
                  <c:v>407080</c:v>
                </c:pt>
                <c:pt idx="327">
                  <c:v>410137</c:v>
                </c:pt>
                <c:pt idx="328">
                  <c:v>411251</c:v>
                </c:pt>
                <c:pt idx="329">
                  <c:v>412955</c:v>
                </c:pt>
                <c:pt idx="330">
                  <c:v>415767</c:v>
                </c:pt>
                <c:pt idx="331">
                  <c:v>416233</c:v>
                </c:pt>
                <c:pt idx="332">
                  <c:v>414893</c:v>
                </c:pt>
                <c:pt idx="333">
                  <c:v>417017</c:v>
                </c:pt>
                <c:pt idx="334">
                  <c:v>416225</c:v>
                </c:pt>
                <c:pt idx="335">
                  <c:v>419039</c:v>
                </c:pt>
                <c:pt idx="336">
                  <c:v>421768</c:v>
                </c:pt>
                <c:pt idx="337">
                  <c:v>420290</c:v>
                </c:pt>
                <c:pt idx="338">
                  <c:v>402361</c:v>
                </c:pt>
                <c:pt idx="339">
                  <c:v>341621</c:v>
                </c:pt>
                <c:pt idx="340">
                  <c:v>383353</c:v>
                </c:pt>
                <c:pt idx="341">
                  <c:v>415613</c:v>
                </c:pt>
                <c:pt idx="342">
                  <c:v>424069</c:v>
                </c:pt>
                <c:pt idx="343">
                  <c:v>428004</c:v>
                </c:pt>
                <c:pt idx="344">
                  <c:v>435154</c:v>
                </c:pt>
                <c:pt idx="345">
                  <c:v>435791</c:v>
                </c:pt>
                <c:pt idx="346">
                  <c:v>430381</c:v>
                </c:pt>
                <c:pt idx="347">
                  <c:v>421525</c:v>
                </c:pt>
                <c:pt idx="348">
                  <c:v>456387</c:v>
                </c:pt>
                <c:pt idx="349">
                  <c:v>444228</c:v>
                </c:pt>
                <c:pt idx="350">
                  <c:v>487687</c:v>
                </c:pt>
                <c:pt idx="351">
                  <c:v>487364</c:v>
                </c:pt>
                <c:pt idx="352">
                  <c:v>485272</c:v>
                </c:pt>
                <c:pt idx="353">
                  <c:v>493387</c:v>
                </c:pt>
                <c:pt idx="354">
                  <c:v>488324</c:v>
                </c:pt>
                <c:pt idx="355">
                  <c:v>497178</c:v>
                </c:pt>
              </c:numCache>
            </c:numRef>
          </c:val>
          <c:smooth val="0"/>
          <c:extLst>
            <c:ext xmlns:c16="http://schemas.microsoft.com/office/drawing/2014/chart" uri="{C3380CC4-5D6E-409C-BE32-E72D297353CC}">
              <c16:uniqueId val="{00000000-BC8D-4292-B540-76152E5DB050}"/>
            </c:ext>
          </c:extLst>
        </c:ser>
        <c:dLbls>
          <c:showLegendKey val="0"/>
          <c:showVal val="0"/>
          <c:showCatName val="0"/>
          <c:showSerName val="0"/>
          <c:showPercent val="0"/>
          <c:showBubbleSize val="0"/>
        </c:dLbls>
        <c:smooth val="0"/>
        <c:axId val="1031856072"/>
        <c:axId val="1031868208"/>
      </c:lineChart>
      <c:dateAx>
        <c:axId val="1031856072"/>
        <c:scaling>
          <c:orientation val="minMax"/>
        </c:scaling>
        <c:delete val="0"/>
        <c:axPos val="b"/>
        <c:numFmt formatCode="[$-409]mmm\-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31868208"/>
        <c:crosses val="autoZero"/>
        <c:auto val="1"/>
        <c:lblOffset val="100"/>
        <c:baseTimeUnit val="months"/>
      </c:dateAx>
      <c:valAx>
        <c:axId val="1031868208"/>
        <c:scaling>
          <c:orientation val="minMax"/>
          <c:min val="100000"/>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3185607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'Retail Sales ex Auto'!$D$6</c:f>
              <c:strCache>
                <c:ptCount val="1"/>
                <c:pt idx="0">
                  <c:v>yoy %</c:v>
                </c:pt>
              </c:strCache>
            </c:strRef>
          </c:tx>
          <c:spPr>
            <a:ln w="28575" cap="rnd">
              <a:solidFill>
                <a:sysClr val="windowText" lastClr="000000"/>
              </a:solidFill>
              <a:round/>
            </a:ln>
            <a:effectLst/>
          </c:spPr>
          <c:marker>
            <c:symbol val="none"/>
          </c:marker>
          <c:cat>
            <c:numRef>
              <c:f>'Retail Sales ex Auto'!$A$7:$A$362</c:f>
              <c:numCache>
                <c:formatCode>[$-409]mmm\-yy;@</c:formatCode>
                <c:ptCount val="356"/>
                <c:pt idx="0">
                  <c:v>33604</c:v>
                </c:pt>
                <c:pt idx="1">
                  <c:v>33635</c:v>
                </c:pt>
                <c:pt idx="2">
                  <c:v>33664</c:v>
                </c:pt>
                <c:pt idx="3">
                  <c:v>33695</c:v>
                </c:pt>
                <c:pt idx="4">
                  <c:v>33725</c:v>
                </c:pt>
                <c:pt idx="5">
                  <c:v>33756</c:v>
                </c:pt>
                <c:pt idx="6">
                  <c:v>33786</c:v>
                </c:pt>
                <c:pt idx="7">
                  <c:v>33817</c:v>
                </c:pt>
                <c:pt idx="8">
                  <c:v>33848</c:v>
                </c:pt>
                <c:pt idx="9">
                  <c:v>33878</c:v>
                </c:pt>
                <c:pt idx="10">
                  <c:v>33909</c:v>
                </c:pt>
                <c:pt idx="11">
                  <c:v>33939</c:v>
                </c:pt>
                <c:pt idx="12">
                  <c:v>33970</c:v>
                </c:pt>
                <c:pt idx="13">
                  <c:v>34001</c:v>
                </c:pt>
                <c:pt idx="14">
                  <c:v>34029</c:v>
                </c:pt>
                <c:pt idx="15">
                  <c:v>34060</c:v>
                </c:pt>
                <c:pt idx="16">
                  <c:v>34090</c:v>
                </c:pt>
                <c:pt idx="17">
                  <c:v>34121</c:v>
                </c:pt>
                <c:pt idx="18">
                  <c:v>34151</c:v>
                </c:pt>
                <c:pt idx="19">
                  <c:v>34182</c:v>
                </c:pt>
                <c:pt idx="20">
                  <c:v>34213</c:v>
                </c:pt>
                <c:pt idx="21">
                  <c:v>34243</c:v>
                </c:pt>
                <c:pt idx="22">
                  <c:v>34274</c:v>
                </c:pt>
                <c:pt idx="23">
                  <c:v>34304</c:v>
                </c:pt>
                <c:pt idx="24">
                  <c:v>34335</c:v>
                </c:pt>
                <c:pt idx="25">
                  <c:v>34366</c:v>
                </c:pt>
                <c:pt idx="26">
                  <c:v>34394</c:v>
                </c:pt>
                <c:pt idx="27">
                  <c:v>34425</c:v>
                </c:pt>
                <c:pt idx="28">
                  <c:v>34455</c:v>
                </c:pt>
                <c:pt idx="29">
                  <c:v>34486</c:v>
                </c:pt>
                <c:pt idx="30">
                  <c:v>34516</c:v>
                </c:pt>
                <c:pt idx="31">
                  <c:v>34547</c:v>
                </c:pt>
                <c:pt idx="32">
                  <c:v>34578</c:v>
                </c:pt>
                <c:pt idx="33">
                  <c:v>34608</c:v>
                </c:pt>
                <c:pt idx="34">
                  <c:v>34639</c:v>
                </c:pt>
                <c:pt idx="35">
                  <c:v>34669</c:v>
                </c:pt>
                <c:pt idx="36">
                  <c:v>34700</c:v>
                </c:pt>
                <c:pt idx="37">
                  <c:v>34731</c:v>
                </c:pt>
                <c:pt idx="38">
                  <c:v>34759</c:v>
                </c:pt>
                <c:pt idx="39">
                  <c:v>34790</c:v>
                </c:pt>
                <c:pt idx="40">
                  <c:v>34820</c:v>
                </c:pt>
                <c:pt idx="41">
                  <c:v>34851</c:v>
                </c:pt>
                <c:pt idx="42">
                  <c:v>34881</c:v>
                </c:pt>
                <c:pt idx="43">
                  <c:v>34912</c:v>
                </c:pt>
                <c:pt idx="44">
                  <c:v>34943</c:v>
                </c:pt>
                <c:pt idx="45">
                  <c:v>34973</c:v>
                </c:pt>
                <c:pt idx="46">
                  <c:v>35004</c:v>
                </c:pt>
                <c:pt idx="47">
                  <c:v>35034</c:v>
                </c:pt>
                <c:pt idx="48">
                  <c:v>35065</c:v>
                </c:pt>
                <c:pt idx="49">
                  <c:v>35096</c:v>
                </c:pt>
                <c:pt idx="50">
                  <c:v>35125</c:v>
                </c:pt>
                <c:pt idx="51">
                  <c:v>35156</c:v>
                </c:pt>
                <c:pt idx="52">
                  <c:v>35186</c:v>
                </c:pt>
                <c:pt idx="53">
                  <c:v>35217</c:v>
                </c:pt>
                <c:pt idx="54">
                  <c:v>35247</c:v>
                </c:pt>
                <c:pt idx="55">
                  <c:v>35278</c:v>
                </c:pt>
                <c:pt idx="56">
                  <c:v>35309</c:v>
                </c:pt>
                <c:pt idx="57">
                  <c:v>35339</c:v>
                </c:pt>
                <c:pt idx="58">
                  <c:v>35370</c:v>
                </c:pt>
                <c:pt idx="59">
                  <c:v>35400</c:v>
                </c:pt>
                <c:pt idx="60">
                  <c:v>35431</c:v>
                </c:pt>
                <c:pt idx="61">
                  <c:v>35462</c:v>
                </c:pt>
                <c:pt idx="62">
                  <c:v>35490</c:v>
                </c:pt>
                <c:pt idx="63">
                  <c:v>35521</c:v>
                </c:pt>
                <c:pt idx="64">
                  <c:v>35551</c:v>
                </c:pt>
                <c:pt idx="65">
                  <c:v>35582</c:v>
                </c:pt>
                <c:pt idx="66">
                  <c:v>35612</c:v>
                </c:pt>
                <c:pt idx="67">
                  <c:v>35643</c:v>
                </c:pt>
                <c:pt idx="68">
                  <c:v>35674</c:v>
                </c:pt>
                <c:pt idx="69">
                  <c:v>35704</c:v>
                </c:pt>
                <c:pt idx="70">
                  <c:v>35735</c:v>
                </c:pt>
                <c:pt idx="71">
                  <c:v>35765</c:v>
                </c:pt>
                <c:pt idx="72">
                  <c:v>35796</c:v>
                </c:pt>
                <c:pt idx="73">
                  <c:v>35827</c:v>
                </c:pt>
                <c:pt idx="74">
                  <c:v>35855</c:v>
                </c:pt>
                <c:pt idx="75">
                  <c:v>35886</c:v>
                </c:pt>
                <c:pt idx="76">
                  <c:v>35916</c:v>
                </c:pt>
                <c:pt idx="77">
                  <c:v>35947</c:v>
                </c:pt>
                <c:pt idx="78">
                  <c:v>35977</c:v>
                </c:pt>
                <c:pt idx="79">
                  <c:v>36008</c:v>
                </c:pt>
                <c:pt idx="80">
                  <c:v>36039</c:v>
                </c:pt>
                <c:pt idx="81">
                  <c:v>36069</c:v>
                </c:pt>
                <c:pt idx="82">
                  <c:v>36100</c:v>
                </c:pt>
                <c:pt idx="83">
                  <c:v>36130</c:v>
                </c:pt>
                <c:pt idx="84">
                  <c:v>36161</c:v>
                </c:pt>
                <c:pt idx="85">
                  <c:v>36192</c:v>
                </c:pt>
                <c:pt idx="86">
                  <c:v>36220</c:v>
                </c:pt>
                <c:pt idx="87">
                  <c:v>36251</c:v>
                </c:pt>
                <c:pt idx="88">
                  <c:v>36281</c:v>
                </c:pt>
                <c:pt idx="89">
                  <c:v>36312</c:v>
                </c:pt>
                <c:pt idx="90">
                  <c:v>36342</c:v>
                </c:pt>
                <c:pt idx="91">
                  <c:v>36373</c:v>
                </c:pt>
                <c:pt idx="92">
                  <c:v>36404</c:v>
                </c:pt>
                <c:pt idx="93">
                  <c:v>36434</c:v>
                </c:pt>
                <c:pt idx="94">
                  <c:v>36465</c:v>
                </c:pt>
                <c:pt idx="95">
                  <c:v>36495</c:v>
                </c:pt>
                <c:pt idx="96">
                  <c:v>36526</c:v>
                </c:pt>
                <c:pt idx="97">
                  <c:v>36557</c:v>
                </c:pt>
                <c:pt idx="98">
                  <c:v>36586</c:v>
                </c:pt>
                <c:pt idx="99">
                  <c:v>36617</c:v>
                </c:pt>
                <c:pt idx="100">
                  <c:v>36647</c:v>
                </c:pt>
                <c:pt idx="101">
                  <c:v>36678</c:v>
                </c:pt>
                <c:pt idx="102">
                  <c:v>36708</c:v>
                </c:pt>
                <c:pt idx="103">
                  <c:v>36739</c:v>
                </c:pt>
                <c:pt idx="104">
                  <c:v>36770</c:v>
                </c:pt>
                <c:pt idx="105">
                  <c:v>36800</c:v>
                </c:pt>
                <c:pt idx="106">
                  <c:v>36831</c:v>
                </c:pt>
                <c:pt idx="107">
                  <c:v>36861</c:v>
                </c:pt>
                <c:pt idx="108">
                  <c:v>36892</c:v>
                </c:pt>
                <c:pt idx="109">
                  <c:v>36923</c:v>
                </c:pt>
                <c:pt idx="110">
                  <c:v>36951</c:v>
                </c:pt>
                <c:pt idx="111">
                  <c:v>36982</c:v>
                </c:pt>
                <c:pt idx="112">
                  <c:v>37012</c:v>
                </c:pt>
                <c:pt idx="113">
                  <c:v>37043</c:v>
                </c:pt>
                <c:pt idx="114">
                  <c:v>37073</c:v>
                </c:pt>
                <c:pt idx="115">
                  <c:v>37104</c:v>
                </c:pt>
                <c:pt idx="116">
                  <c:v>37135</c:v>
                </c:pt>
                <c:pt idx="117">
                  <c:v>37165</c:v>
                </c:pt>
                <c:pt idx="118">
                  <c:v>37196</c:v>
                </c:pt>
                <c:pt idx="119">
                  <c:v>37226</c:v>
                </c:pt>
                <c:pt idx="120">
                  <c:v>37257</c:v>
                </c:pt>
                <c:pt idx="121">
                  <c:v>37288</c:v>
                </c:pt>
                <c:pt idx="122">
                  <c:v>37316</c:v>
                </c:pt>
                <c:pt idx="123">
                  <c:v>37347</c:v>
                </c:pt>
                <c:pt idx="124">
                  <c:v>37377</c:v>
                </c:pt>
                <c:pt idx="125">
                  <c:v>37408</c:v>
                </c:pt>
                <c:pt idx="126">
                  <c:v>37438</c:v>
                </c:pt>
                <c:pt idx="127">
                  <c:v>37469</c:v>
                </c:pt>
                <c:pt idx="128">
                  <c:v>37500</c:v>
                </c:pt>
                <c:pt idx="129">
                  <c:v>37530</c:v>
                </c:pt>
                <c:pt idx="130">
                  <c:v>37561</c:v>
                </c:pt>
                <c:pt idx="131">
                  <c:v>37591</c:v>
                </c:pt>
                <c:pt idx="132">
                  <c:v>37622</c:v>
                </c:pt>
                <c:pt idx="133">
                  <c:v>37653</c:v>
                </c:pt>
                <c:pt idx="134">
                  <c:v>37681</c:v>
                </c:pt>
                <c:pt idx="135">
                  <c:v>37712</c:v>
                </c:pt>
                <c:pt idx="136">
                  <c:v>37742</c:v>
                </c:pt>
                <c:pt idx="137">
                  <c:v>37773</c:v>
                </c:pt>
                <c:pt idx="138">
                  <c:v>37803</c:v>
                </c:pt>
                <c:pt idx="139">
                  <c:v>37834</c:v>
                </c:pt>
                <c:pt idx="140">
                  <c:v>37865</c:v>
                </c:pt>
                <c:pt idx="141">
                  <c:v>37895</c:v>
                </c:pt>
                <c:pt idx="142">
                  <c:v>37926</c:v>
                </c:pt>
                <c:pt idx="143">
                  <c:v>37956</c:v>
                </c:pt>
                <c:pt idx="144">
                  <c:v>37987</c:v>
                </c:pt>
                <c:pt idx="145">
                  <c:v>38018</c:v>
                </c:pt>
                <c:pt idx="146">
                  <c:v>38047</c:v>
                </c:pt>
                <c:pt idx="147">
                  <c:v>38078</c:v>
                </c:pt>
                <c:pt idx="148">
                  <c:v>38108</c:v>
                </c:pt>
                <c:pt idx="149">
                  <c:v>38139</c:v>
                </c:pt>
                <c:pt idx="150">
                  <c:v>38169</c:v>
                </c:pt>
                <c:pt idx="151">
                  <c:v>38200</c:v>
                </c:pt>
                <c:pt idx="152">
                  <c:v>38231</c:v>
                </c:pt>
                <c:pt idx="153">
                  <c:v>38261</c:v>
                </c:pt>
                <c:pt idx="154">
                  <c:v>38292</c:v>
                </c:pt>
                <c:pt idx="155">
                  <c:v>38322</c:v>
                </c:pt>
                <c:pt idx="156">
                  <c:v>38353</c:v>
                </c:pt>
                <c:pt idx="157">
                  <c:v>38384</c:v>
                </c:pt>
                <c:pt idx="158">
                  <c:v>38412</c:v>
                </c:pt>
                <c:pt idx="159">
                  <c:v>38443</c:v>
                </c:pt>
                <c:pt idx="160">
                  <c:v>38473</c:v>
                </c:pt>
                <c:pt idx="161">
                  <c:v>38504</c:v>
                </c:pt>
                <c:pt idx="162">
                  <c:v>38534</c:v>
                </c:pt>
                <c:pt idx="163">
                  <c:v>38565</c:v>
                </c:pt>
                <c:pt idx="164">
                  <c:v>38596</c:v>
                </c:pt>
                <c:pt idx="165">
                  <c:v>38626</c:v>
                </c:pt>
                <c:pt idx="166">
                  <c:v>38657</c:v>
                </c:pt>
                <c:pt idx="167">
                  <c:v>38687</c:v>
                </c:pt>
                <c:pt idx="168">
                  <c:v>38718</c:v>
                </c:pt>
                <c:pt idx="169">
                  <c:v>38749</c:v>
                </c:pt>
                <c:pt idx="170">
                  <c:v>38777</c:v>
                </c:pt>
                <c:pt idx="171">
                  <c:v>38808</c:v>
                </c:pt>
                <c:pt idx="172">
                  <c:v>38838</c:v>
                </c:pt>
                <c:pt idx="173">
                  <c:v>38869</c:v>
                </c:pt>
                <c:pt idx="174">
                  <c:v>38899</c:v>
                </c:pt>
                <c:pt idx="175">
                  <c:v>38930</c:v>
                </c:pt>
                <c:pt idx="176">
                  <c:v>38961</c:v>
                </c:pt>
                <c:pt idx="177">
                  <c:v>38991</c:v>
                </c:pt>
                <c:pt idx="178">
                  <c:v>39022</c:v>
                </c:pt>
                <c:pt idx="179">
                  <c:v>39052</c:v>
                </c:pt>
                <c:pt idx="180">
                  <c:v>39083</c:v>
                </c:pt>
                <c:pt idx="181">
                  <c:v>39114</c:v>
                </c:pt>
                <c:pt idx="182">
                  <c:v>39142</c:v>
                </c:pt>
                <c:pt idx="183">
                  <c:v>39173</c:v>
                </c:pt>
                <c:pt idx="184">
                  <c:v>39203</c:v>
                </c:pt>
                <c:pt idx="185">
                  <c:v>39234</c:v>
                </c:pt>
                <c:pt idx="186">
                  <c:v>39264</c:v>
                </c:pt>
                <c:pt idx="187">
                  <c:v>39295</c:v>
                </c:pt>
                <c:pt idx="188">
                  <c:v>39326</c:v>
                </c:pt>
                <c:pt idx="189">
                  <c:v>39356</c:v>
                </c:pt>
                <c:pt idx="190">
                  <c:v>39387</c:v>
                </c:pt>
                <c:pt idx="191">
                  <c:v>39417</c:v>
                </c:pt>
                <c:pt idx="192">
                  <c:v>39448</c:v>
                </c:pt>
                <c:pt idx="193">
                  <c:v>39479</c:v>
                </c:pt>
                <c:pt idx="194">
                  <c:v>39508</c:v>
                </c:pt>
                <c:pt idx="195">
                  <c:v>39539</c:v>
                </c:pt>
                <c:pt idx="196">
                  <c:v>39569</c:v>
                </c:pt>
                <c:pt idx="197">
                  <c:v>39600</c:v>
                </c:pt>
                <c:pt idx="198">
                  <c:v>39630</c:v>
                </c:pt>
                <c:pt idx="199">
                  <c:v>39661</c:v>
                </c:pt>
                <c:pt idx="200">
                  <c:v>39692</c:v>
                </c:pt>
                <c:pt idx="201">
                  <c:v>39722</c:v>
                </c:pt>
                <c:pt idx="202">
                  <c:v>39753</c:v>
                </c:pt>
                <c:pt idx="203">
                  <c:v>39783</c:v>
                </c:pt>
                <c:pt idx="204">
                  <c:v>39814</c:v>
                </c:pt>
                <c:pt idx="205">
                  <c:v>39845</c:v>
                </c:pt>
                <c:pt idx="206">
                  <c:v>39873</c:v>
                </c:pt>
                <c:pt idx="207">
                  <c:v>39904</c:v>
                </c:pt>
                <c:pt idx="208">
                  <c:v>39934</c:v>
                </c:pt>
                <c:pt idx="209">
                  <c:v>39965</c:v>
                </c:pt>
                <c:pt idx="210">
                  <c:v>39995</c:v>
                </c:pt>
                <c:pt idx="211">
                  <c:v>40026</c:v>
                </c:pt>
                <c:pt idx="212">
                  <c:v>40057</c:v>
                </c:pt>
                <c:pt idx="213">
                  <c:v>40087</c:v>
                </c:pt>
                <c:pt idx="214">
                  <c:v>40118</c:v>
                </c:pt>
                <c:pt idx="215">
                  <c:v>40148</c:v>
                </c:pt>
                <c:pt idx="216">
                  <c:v>40179</c:v>
                </c:pt>
                <c:pt idx="217">
                  <c:v>40210</c:v>
                </c:pt>
                <c:pt idx="218">
                  <c:v>40238</c:v>
                </c:pt>
                <c:pt idx="219">
                  <c:v>40269</c:v>
                </c:pt>
                <c:pt idx="220">
                  <c:v>40299</c:v>
                </c:pt>
                <c:pt idx="221">
                  <c:v>40330</c:v>
                </c:pt>
                <c:pt idx="222">
                  <c:v>40360</c:v>
                </c:pt>
                <c:pt idx="223">
                  <c:v>40391</c:v>
                </c:pt>
                <c:pt idx="224">
                  <c:v>40422</c:v>
                </c:pt>
                <c:pt idx="225">
                  <c:v>40452</c:v>
                </c:pt>
                <c:pt idx="226">
                  <c:v>40483</c:v>
                </c:pt>
                <c:pt idx="227">
                  <c:v>40513</c:v>
                </c:pt>
                <c:pt idx="228">
                  <c:v>40544</c:v>
                </c:pt>
                <c:pt idx="229">
                  <c:v>40575</c:v>
                </c:pt>
                <c:pt idx="230">
                  <c:v>40603</c:v>
                </c:pt>
                <c:pt idx="231">
                  <c:v>40634</c:v>
                </c:pt>
                <c:pt idx="232">
                  <c:v>40664</c:v>
                </c:pt>
                <c:pt idx="233">
                  <c:v>40695</c:v>
                </c:pt>
                <c:pt idx="234">
                  <c:v>40725</c:v>
                </c:pt>
                <c:pt idx="235">
                  <c:v>40756</c:v>
                </c:pt>
                <c:pt idx="236">
                  <c:v>40787</c:v>
                </c:pt>
                <c:pt idx="237">
                  <c:v>40817</c:v>
                </c:pt>
                <c:pt idx="238">
                  <c:v>40848</c:v>
                </c:pt>
                <c:pt idx="239">
                  <c:v>40878</c:v>
                </c:pt>
                <c:pt idx="240">
                  <c:v>40909</c:v>
                </c:pt>
                <c:pt idx="241">
                  <c:v>40940</c:v>
                </c:pt>
                <c:pt idx="242">
                  <c:v>40969</c:v>
                </c:pt>
                <c:pt idx="243">
                  <c:v>41000</c:v>
                </c:pt>
                <c:pt idx="244">
                  <c:v>41030</c:v>
                </c:pt>
                <c:pt idx="245">
                  <c:v>41061</c:v>
                </c:pt>
                <c:pt idx="246">
                  <c:v>41091</c:v>
                </c:pt>
                <c:pt idx="247">
                  <c:v>41122</c:v>
                </c:pt>
                <c:pt idx="248">
                  <c:v>41153</c:v>
                </c:pt>
                <c:pt idx="249">
                  <c:v>41183</c:v>
                </c:pt>
                <c:pt idx="250">
                  <c:v>41214</c:v>
                </c:pt>
                <c:pt idx="251">
                  <c:v>41244</c:v>
                </c:pt>
                <c:pt idx="252">
                  <c:v>41275</c:v>
                </c:pt>
                <c:pt idx="253">
                  <c:v>41306</c:v>
                </c:pt>
                <c:pt idx="254">
                  <c:v>41334</c:v>
                </c:pt>
                <c:pt idx="255">
                  <c:v>41365</c:v>
                </c:pt>
                <c:pt idx="256">
                  <c:v>41395</c:v>
                </c:pt>
                <c:pt idx="257">
                  <c:v>41426</c:v>
                </c:pt>
                <c:pt idx="258">
                  <c:v>41456</c:v>
                </c:pt>
                <c:pt idx="259">
                  <c:v>41487</c:v>
                </c:pt>
                <c:pt idx="260">
                  <c:v>41518</c:v>
                </c:pt>
                <c:pt idx="261">
                  <c:v>41548</c:v>
                </c:pt>
                <c:pt idx="262">
                  <c:v>41579</c:v>
                </c:pt>
                <c:pt idx="263">
                  <c:v>41609</c:v>
                </c:pt>
                <c:pt idx="264">
                  <c:v>41640</c:v>
                </c:pt>
                <c:pt idx="265">
                  <c:v>41671</c:v>
                </c:pt>
                <c:pt idx="266">
                  <c:v>41699</c:v>
                </c:pt>
                <c:pt idx="267">
                  <c:v>41730</c:v>
                </c:pt>
                <c:pt idx="268">
                  <c:v>41760</c:v>
                </c:pt>
                <c:pt idx="269">
                  <c:v>41791</c:v>
                </c:pt>
                <c:pt idx="270">
                  <c:v>41821</c:v>
                </c:pt>
                <c:pt idx="271">
                  <c:v>41852</c:v>
                </c:pt>
                <c:pt idx="272">
                  <c:v>41883</c:v>
                </c:pt>
                <c:pt idx="273">
                  <c:v>41913</c:v>
                </c:pt>
                <c:pt idx="274">
                  <c:v>41944</c:v>
                </c:pt>
                <c:pt idx="275">
                  <c:v>41974</c:v>
                </c:pt>
                <c:pt idx="276">
                  <c:v>42005</c:v>
                </c:pt>
                <c:pt idx="277">
                  <c:v>42036</c:v>
                </c:pt>
                <c:pt idx="278">
                  <c:v>42064</c:v>
                </c:pt>
                <c:pt idx="279">
                  <c:v>42095</c:v>
                </c:pt>
                <c:pt idx="280">
                  <c:v>42125</c:v>
                </c:pt>
                <c:pt idx="281">
                  <c:v>42156</c:v>
                </c:pt>
                <c:pt idx="282">
                  <c:v>42186</c:v>
                </c:pt>
                <c:pt idx="283">
                  <c:v>42217</c:v>
                </c:pt>
                <c:pt idx="284">
                  <c:v>42248</c:v>
                </c:pt>
                <c:pt idx="285">
                  <c:v>42278</c:v>
                </c:pt>
                <c:pt idx="286">
                  <c:v>42309</c:v>
                </c:pt>
                <c:pt idx="287">
                  <c:v>42339</c:v>
                </c:pt>
                <c:pt idx="288">
                  <c:v>42370</c:v>
                </c:pt>
                <c:pt idx="289">
                  <c:v>42401</c:v>
                </c:pt>
                <c:pt idx="290">
                  <c:v>42430</c:v>
                </c:pt>
                <c:pt idx="291">
                  <c:v>42461</c:v>
                </c:pt>
                <c:pt idx="292">
                  <c:v>42491</c:v>
                </c:pt>
                <c:pt idx="293">
                  <c:v>42522</c:v>
                </c:pt>
                <c:pt idx="294">
                  <c:v>42552</c:v>
                </c:pt>
                <c:pt idx="295">
                  <c:v>42583</c:v>
                </c:pt>
                <c:pt idx="296">
                  <c:v>42614</c:v>
                </c:pt>
                <c:pt idx="297">
                  <c:v>42644</c:v>
                </c:pt>
                <c:pt idx="298">
                  <c:v>42675</c:v>
                </c:pt>
                <c:pt idx="299">
                  <c:v>42705</c:v>
                </c:pt>
                <c:pt idx="300">
                  <c:v>42736</c:v>
                </c:pt>
                <c:pt idx="301">
                  <c:v>42767</c:v>
                </c:pt>
                <c:pt idx="302">
                  <c:v>42795</c:v>
                </c:pt>
                <c:pt idx="303">
                  <c:v>42826</c:v>
                </c:pt>
                <c:pt idx="304">
                  <c:v>42856</c:v>
                </c:pt>
                <c:pt idx="305">
                  <c:v>42887</c:v>
                </c:pt>
                <c:pt idx="306">
                  <c:v>42917</c:v>
                </c:pt>
                <c:pt idx="307">
                  <c:v>42948</c:v>
                </c:pt>
                <c:pt idx="308">
                  <c:v>42979</c:v>
                </c:pt>
                <c:pt idx="309">
                  <c:v>43009</c:v>
                </c:pt>
                <c:pt idx="310">
                  <c:v>43040</c:v>
                </c:pt>
                <c:pt idx="311">
                  <c:v>43070</c:v>
                </c:pt>
                <c:pt idx="312">
                  <c:v>43101</c:v>
                </c:pt>
                <c:pt idx="313">
                  <c:v>43132</c:v>
                </c:pt>
                <c:pt idx="314">
                  <c:v>43160</c:v>
                </c:pt>
                <c:pt idx="315">
                  <c:v>43191</c:v>
                </c:pt>
                <c:pt idx="316">
                  <c:v>43221</c:v>
                </c:pt>
                <c:pt idx="317">
                  <c:v>43252</c:v>
                </c:pt>
                <c:pt idx="318">
                  <c:v>43282</c:v>
                </c:pt>
                <c:pt idx="319">
                  <c:v>43313</c:v>
                </c:pt>
                <c:pt idx="320">
                  <c:v>43344</c:v>
                </c:pt>
                <c:pt idx="321">
                  <c:v>43374</c:v>
                </c:pt>
                <c:pt idx="322">
                  <c:v>43405</c:v>
                </c:pt>
                <c:pt idx="323">
                  <c:v>43435</c:v>
                </c:pt>
                <c:pt idx="324">
                  <c:v>43466</c:v>
                </c:pt>
                <c:pt idx="325">
                  <c:v>43497</c:v>
                </c:pt>
                <c:pt idx="326">
                  <c:v>43525</c:v>
                </c:pt>
                <c:pt idx="327">
                  <c:v>43556</c:v>
                </c:pt>
                <c:pt idx="328">
                  <c:v>43586</c:v>
                </c:pt>
                <c:pt idx="329">
                  <c:v>43617</c:v>
                </c:pt>
                <c:pt idx="330">
                  <c:v>43647</c:v>
                </c:pt>
                <c:pt idx="331">
                  <c:v>43678</c:v>
                </c:pt>
                <c:pt idx="332">
                  <c:v>43709</c:v>
                </c:pt>
                <c:pt idx="333">
                  <c:v>43739</c:v>
                </c:pt>
                <c:pt idx="334">
                  <c:v>43770</c:v>
                </c:pt>
                <c:pt idx="335">
                  <c:v>43800</c:v>
                </c:pt>
                <c:pt idx="336">
                  <c:v>43831</c:v>
                </c:pt>
                <c:pt idx="337">
                  <c:v>43862</c:v>
                </c:pt>
                <c:pt idx="338">
                  <c:v>43891</c:v>
                </c:pt>
                <c:pt idx="339">
                  <c:v>43922</c:v>
                </c:pt>
                <c:pt idx="340">
                  <c:v>43952</c:v>
                </c:pt>
                <c:pt idx="341">
                  <c:v>43983</c:v>
                </c:pt>
                <c:pt idx="342">
                  <c:v>44013</c:v>
                </c:pt>
                <c:pt idx="343">
                  <c:v>44044</c:v>
                </c:pt>
                <c:pt idx="344">
                  <c:v>44075</c:v>
                </c:pt>
                <c:pt idx="345">
                  <c:v>44105</c:v>
                </c:pt>
                <c:pt idx="346">
                  <c:v>44136</c:v>
                </c:pt>
                <c:pt idx="347">
                  <c:v>44166</c:v>
                </c:pt>
                <c:pt idx="348">
                  <c:v>44197</c:v>
                </c:pt>
                <c:pt idx="349">
                  <c:v>44228</c:v>
                </c:pt>
                <c:pt idx="350">
                  <c:v>44256</c:v>
                </c:pt>
                <c:pt idx="351">
                  <c:v>44287</c:v>
                </c:pt>
                <c:pt idx="352">
                  <c:v>44317</c:v>
                </c:pt>
                <c:pt idx="353">
                  <c:v>44348</c:v>
                </c:pt>
                <c:pt idx="354">
                  <c:v>44378</c:v>
                </c:pt>
                <c:pt idx="355">
                  <c:v>44409</c:v>
                </c:pt>
              </c:numCache>
            </c:numRef>
          </c:cat>
          <c:val>
            <c:numRef>
              <c:f>'Retail Sales ex Auto'!$D$7:$D$362</c:f>
              <c:numCache>
                <c:formatCode>General</c:formatCode>
                <c:ptCount val="356"/>
                <c:pt idx="12" formatCode="0.00%">
                  <c:v>5.2596522657846985E-2</c:v>
                </c:pt>
                <c:pt idx="13" formatCode="0.00%">
                  <c:v>5.0806773213902263E-2</c:v>
                </c:pt>
                <c:pt idx="14" formatCode="0.00%">
                  <c:v>4.5756797177589445E-2</c:v>
                </c:pt>
                <c:pt idx="15" formatCode="0.00%">
                  <c:v>5.5715518624029084E-2</c:v>
                </c:pt>
                <c:pt idx="16" formatCode="0.00%">
                  <c:v>6.220715401318045E-2</c:v>
                </c:pt>
                <c:pt idx="17" formatCode="0.00%">
                  <c:v>6.0694918352425055E-2</c:v>
                </c:pt>
                <c:pt idx="18" formatCode="0.00%">
                  <c:v>6.3570552333065772E-2</c:v>
                </c:pt>
                <c:pt idx="19" formatCode="0.00%">
                  <c:v>5.2456555192733553E-2</c:v>
                </c:pt>
                <c:pt idx="20" formatCode="0.00%">
                  <c:v>6.0370009737098343E-2</c:v>
                </c:pt>
                <c:pt idx="21" formatCode="0.00%">
                  <c:v>5.4762983372074886E-2</c:v>
                </c:pt>
                <c:pt idx="22" formatCode="0.00%">
                  <c:v>5.6228021469553954E-2</c:v>
                </c:pt>
                <c:pt idx="23" formatCode="0.00%">
                  <c:v>4.9476369004552996E-2</c:v>
                </c:pt>
                <c:pt idx="24" formatCode="0.00%">
                  <c:v>3.6330707630539617E-2</c:v>
                </c:pt>
                <c:pt idx="25" formatCode="0.00%">
                  <c:v>5.3772779354989378E-2</c:v>
                </c:pt>
                <c:pt idx="26" formatCode="0.00%">
                  <c:v>7.8862641271424491E-2</c:v>
                </c:pt>
                <c:pt idx="27" formatCode="0.00%">
                  <c:v>6.0327864108574242E-2</c:v>
                </c:pt>
                <c:pt idx="28" formatCode="0.00%">
                  <c:v>5.3155931717113754E-2</c:v>
                </c:pt>
                <c:pt idx="29" formatCode="0.00%">
                  <c:v>6.6951495350590598E-2</c:v>
                </c:pt>
                <c:pt idx="30" formatCode="0.00%">
                  <c:v>6.2746968736872827E-2</c:v>
                </c:pt>
                <c:pt idx="31" formatCode="0.00%">
                  <c:v>7.6517620878297901E-2</c:v>
                </c:pt>
                <c:pt idx="32" formatCode="0.00%">
                  <c:v>6.9795860704951612E-2</c:v>
                </c:pt>
                <c:pt idx="33" formatCode="0.00%">
                  <c:v>7.3950727678539996E-2</c:v>
                </c:pt>
                <c:pt idx="34" formatCode="0.00%">
                  <c:v>6.9096516436531863E-2</c:v>
                </c:pt>
                <c:pt idx="35" formatCode="0.00%">
                  <c:v>7.073668377401586E-2</c:v>
                </c:pt>
                <c:pt idx="36" formatCode="0.00%">
                  <c:v>8.3287713535744864E-2</c:v>
                </c:pt>
                <c:pt idx="37" formatCode="0.00%">
                  <c:v>5.6153862136312321E-2</c:v>
                </c:pt>
                <c:pt idx="38" formatCode="0.00%">
                  <c:v>4.3928105286056125E-2</c:v>
                </c:pt>
                <c:pt idx="39" formatCode="0.00%">
                  <c:v>5.0550260290515597E-2</c:v>
                </c:pt>
                <c:pt idx="40" formatCode="0.00%">
                  <c:v>5.7460617989389159E-2</c:v>
                </c:pt>
                <c:pt idx="41" formatCode="0.00%">
                  <c:v>4.8852876054082069E-2</c:v>
                </c:pt>
                <c:pt idx="42" formatCode="0.00%">
                  <c:v>4.5703643160532208E-2</c:v>
                </c:pt>
                <c:pt idx="43" formatCode="0.00%">
                  <c:v>3.8706428765462361E-2</c:v>
                </c:pt>
                <c:pt idx="44" formatCode="0.00%">
                  <c:v>4.2039999735888178E-2</c:v>
                </c:pt>
                <c:pt idx="45" formatCode="0.00%">
                  <c:v>2.8682882055988984E-2</c:v>
                </c:pt>
                <c:pt idx="46" formatCode="0.00%">
                  <c:v>4.112687506556173E-2</c:v>
                </c:pt>
                <c:pt idx="47" formatCode="0.00%">
                  <c:v>4.2110808332411993E-2</c:v>
                </c:pt>
                <c:pt idx="48" formatCode="0.00%">
                  <c:v>2.5921774679460184E-2</c:v>
                </c:pt>
                <c:pt idx="49" formatCode="0.00%">
                  <c:v>4.7364866194089063E-2</c:v>
                </c:pt>
                <c:pt idx="50" formatCode="0.00%">
                  <c:v>5.1945092012554865E-2</c:v>
                </c:pt>
                <c:pt idx="51" formatCode="0.00%">
                  <c:v>5.9548241284356006E-2</c:v>
                </c:pt>
                <c:pt idx="52" formatCode="0.00%">
                  <c:v>5.6875853363217148E-2</c:v>
                </c:pt>
                <c:pt idx="53" formatCode="0.00%">
                  <c:v>5.4039833684102458E-2</c:v>
                </c:pt>
                <c:pt idx="54" formatCode="0.00%">
                  <c:v>5.2790733432422736E-2</c:v>
                </c:pt>
                <c:pt idx="55" formatCode="0.00%">
                  <c:v>5.1749982458714192E-2</c:v>
                </c:pt>
                <c:pt idx="56" formatCode="0.00%">
                  <c:v>5.2300751498561636E-2</c:v>
                </c:pt>
                <c:pt idx="57" formatCode="0.00%">
                  <c:v>6.8225996622159904E-2</c:v>
                </c:pt>
                <c:pt idx="58" formatCode="0.00%">
                  <c:v>5.9521035761739532E-2</c:v>
                </c:pt>
                <c:pt idx="59" formatCode="0.00%">
                  <c:v>5.5667889862452885E-2</c:v>
                </c:pt>
                <c:pt idx="60" formatCode="0.00%">
                  <c:v>7.023050205241553E-2</c:v>
                </c:pt>
                <c:pt idx="61" formatCode="0.00%">
                  <c:v>6.9502880040070117E-2</c:v>
                </c:pt>
                <c:pt idx="62" formatCode="0.00%">
                  <c:v>6.4286289099496727E-2</c:v>
                </c:pt>
                <c:pt idx="63" formatCode="0.00%">
                  <c:v>4.6639492476018264E-2</c:v>
                </c:pt>
                <c:pt idx="64" formatCode="0.00%">
                  <c:v>4.0457284931657109E-2</c:v>
                </c:pt>
                <c:pt idx="65" formatCode="0.00%">
                  <c:v>4.7001887137030497E-2</c:v>
                </c:pt>
                <c:pt idx="66" formatCode="0.00%">
                  <c:v>5.5498758580400175E-2</c:v>
                </c:pt>
                <c:pt idx="67" formatCode="0.00%">
                  <c:v>5.4188954793008504E-2</c:v>
                </c:pt>
                <c:pt idx="68" formatCode="0.00%">
                  <c:v>5.3627342357531672E-2</c:v>
                </c:pt>
                <c:pt idx="69" formatCode="0.00%">
                  <c:v>4.3971123441322119E-2</c:v>
                </c:pt>
                <c:pt idx="70" formatCode="0.00%">
                  <c:v>4.084919733972054E-2</c:v>
                </c:pt>
                <c:pt idx="71" formatCode="0.00%">
                  <c:v>3.7019082976660594E-2</c:v>
                </c:pt>
                <c:pt idx="72" formatCode="0.00%">
                  <c:v>3.9074531925816218E-2</c:v>
                </c:pt>
                <c:pt idx="73" formatCode="0.00%">
                  <c:v>3.5253276821936415E-2</c:v>
                </c:pt>
                <c:pt idx="74" formatCode="0.00%">
                  <c:v>2.9198269042855149E-2</c:v>
                </c:pt>
                <c:pt idx="75" formatCode="0.00%">
                  <c:v>4.5492345713716811E-2</c:v>
                </c:pt>
                <c:pt idx="76" formatCode="0.00%">
                  <c:v>4.9520317679719802E-2</c:v>
                </c:pt>
                <c:pt idx="77" formatCode="0.00%">
                  <c:v>4.4862812589030819E-2</c:v>
                </c:pt>
                <c:pt idx="78" formatCode="0.00%">
                  <c:v>4.4065080023984134E-2</c:v>
                </c:pt>
                <c:pt idx="79" formatCode="0.00%">
                  <c:v>4.3498771724935423E-2</c:v>
                </c:pt>
                <c:pt idx="80" formatCode="0.00%">
                  <c:v>3.643886660037262E-2</c:v>
                </c:pt>
                <c:pt idx="81" formatCode="0.00%">
                  <c:v>4.7291118985026859E-2</c:v>
                </c:pt>
                <c:pt idx="82" formatCode="0.00%">
                  <c:v>5.3378710185809072E-2</c:v>
                </c:pt>
                <c:pt idx="83" formatCode="0.00%">
                  <c:v>6.0649420241936404E-2</c:v>
                </c:pt>
                <c:pt idx="84" formatCode="0.00%">
                  <c:v>5.8151090616889937E-2</c:v>
                </c:pt>
                <c:pt idx="85" formatCode="0.00%">
                  <c:v>6.4560090023354055E-2</c:v>
                </c:pt>
                <c:pt idx="86" formatCode="0.00%">
                  <c:v>6.8257341139769875E-2</c:v>
                </c:pt>
                <c:pt idx="87" formatCode="0.00%">
                  <c:v>6.6126303760881008E-2</c:v>
                </c:pt>
                <c:pt idx="88" formatCode="0.00%">
                  <c:v>6.8814071978258076E-2</c:v>
                </c:pt>
                <c:pt idx="89" formatCode="0.00%">
                  <c:v>6.8389100035057063E-2</c:v>
                </c:pt>
                <c:pt idx="90" formatCode="0.00%">
                  <c:v>6.5469846651683414E-2</c:v>
                </c:pt>
                <c:pt idx="91" formatCode="0.00%">
                  <c:v>7.2416226527439329E-2</c:v>
                </c:pt>
                <c:pt idx="92" formatCode="0.00%">
                  <c:v>8.1680029114328881E-2</c:v>
                </c:pt>
                <c:pt idx="93" formatCode="0.00%">
                  <c:v>7.663638099915418E-2</c:v>
                </c:pt>
                <c:pt idx="94" formatCode="0.00%">
                  <c:v>7.7094875158558923E-2</c:v>
                </c:pt>
                <c:pt idx="95" formatCode="0.00%">
                  <c:v>9.6190952235067753E-2</c:v>
                </c:pt>
                <c:pt idx="96" formatCode="0.00%">
                  <c:v>7.5306038114558341E-2</c:v>
                </c:pt>
                <c:pt idx="97" formatCode="0.00%">
                  <c:v>7.7950706469775838E-2</c:v>
                </c:pt>
                <c:pt idx="98" formatCode="0.00%">
                  <c:v>9.3812491403299017E-2</c:v>
                </c:pt>
                <c:pt idx="99" formatCode="0.00%">
                  <c:v>7.8323096565384831E-2</c:v>
                </c:pt>
                <c:pt idx="100" formatCode="0.00%">
                  <c:v>7.3562582235124574E-2</c:v>
                </c:pt>
                <c:pt idx="101" formatCode="0.00%">
                  <c:v>7.7016828387943562E-2</c:v>
                </c:pt>
                <c:pt idx="102" formatCode="0.00%">
                  <c:v>7.5036149823526674E-2</c:v>
                </c:pt>
                <c:pt idx="103" formatCode="0.00%">
                  <c:v>6.7294889392700896E-2</c:v>
                </c:pt>
                <c:pt idx="104" formatCode="0.00%">
                  <c:v>7.407464048489297E-2</c:v>
                </c:pt>
                <c:pt idx="105" formatCode="0.00%">
                  <c:v>6.8018591072433215E-2</c:v>
                </c:pt>
                <c:pt idx="106" formatCode="0.00%">
                  <c:v>6.3856343358698719E-2</c:v>
                </c:pt>
                <c:pt idx="107" formatCode="0.00%">
                  <c:v>4.0759190797925025E-2</c:v>
                </c:pt>
                <c:pt idx="108" formatCode="0.00%">
                  <c:v>6.2600753624635047E-2</c:v>
                </c:pt>
                <c:pt idx="109" formatCode="0.00%">
                  <c:v>4.7552171877694831E-2</c:v>
                </c:pt>
                <c:pt idx="110" formatCode="0.00%">
                  <c:v>1.9442926305505443E-2</c:v>
                </c:pt>
                <c:pt idx="111" formatCode="0.00%">
                  <c:v>4.2103160295077817E-2</c:v>
                </c:pt>
                <c:pt idx="112" formatCode="0.00%">
                  <c:v>4.3012844518585884E-2</c:v>
                </c:pt>
                <c:pt idx="113" formatCode="0.00%">
                  <c:v>3.3402004023522128E-2</c:v>
                </c:pt>
                <c:pt idx="114" formatCode="0.00%">
                  <c:v>2.8983970109678198E-2</c:v>
                </c:pt>
                <c:pt idx="115" formatCode="0.00%">
                  <c:v>3.5914010606578776E-2</c:v>
                </c:pt>
                <c:pt idx="116" formatCode="0.00%">
                  <c:v>6.9151107272019665E-3</c:v>
                </c:pt>
                <c:pt idx="117" formatCode="0.00%">
                  <c:v>1.5973879906415654E-2</c:v>
                </c:pt>
                <c:pt idx="118" formatCode="0.00%">
                  <c:v>1.5677629338076676E-2</c:v>
                </c:pt>
                <c:pt idx="119" formatCode="0.00%">
                  <c:v>1.5160152072625515E-2</c:v>
                </c:pt>
                <c:pt idx="120" formatCode="0.00%">
                  <c:v>1.3785296935765683E-2</c:v>
                </c:pt>
                <c:pt idx="121" formatCode="0.00%">
                  <c:v>2.0231907237105159E-2</c:v>
                </c:pt>
                <c:pt idx="122" formatCode="0.00%">
                  <c:v>3.2797384938727289E-2</c:v>
                </c:pt>
                <c:pt idx="123" formatCode="0.00%">
                  <c:v>3.1359438924605493E-2</c:v>
                </c:pt>
                <c:pt idx="124" formatCode="0.00%">
                  <c:v>2.5329086949831436E-2</c:v>
                </c:pt>
                <c:pt idx="125" formatCode="0.00%">
                  <c:v>2.9608172548212137E-2</c:v>
                </c:pt>
                <c:pt idx="126" formatCode="0.00%">
                  <c:v>3.281530381330322E-2</c:v>
                </c:pt>
                <c:pt idx="127" formatCode="0.00%">
                  <c:v>2.5029874966870171E-2</c:v>
                </c:pt>
                <c:pt idx="128" formatCode="0.00%">
                  <c:v>3.8599137423110462E-2</c:v>
                </c:pt>
                <c:pt idx="129" formatCode="0.00%">
                  <c:v>3.7078730410818134E-2</c:v>
                </c:pt>
                <c:pt idx="130" formatCode="0.00%">
                  <c:v>4.1243979915974997E-2</c:v>
                </c:pt>
                <c:pt idx="131" formatCode="0.00%">
                  <c:v>4.0225537740445974E-2</c:v>
                </c:pt>
                <c:pt idx="132" formatCode="0.00%">
                  <c:v>4.5088328090324911E-2</c:v>
                </c:pt>
                <c:pt idx="133" formatCode="0.00%">
                  <c:v>3.5714615051225071E-2</c:v>
                </c:pt>
                <c:pt idx="134" formatCode="0.00%">
                  <c:v>4.5959428917920729E-2</c:v>
                </c:pt>
                <c:pt idx="135" formatCode="0.00%">
                  <c:v>2.4652963523768938E-2</c:v>
                </c:pt>
                <c:pt idx="136" formatCode="0.00%">
                  <c:v>3.1202106517379223E-2</c:v>
                </c:pt>
                <c:pt idx="137" formatCode="0.00%">
                  <c:v>4.2192002472524977E-2</c:v>
                </c:pt>
                <c:pt idx="138" formatCode="0.00%">
                  <c:v>5.1065818064697586E-2</c:v>
                </c:pt>
                <c:pt idx="139" formatCode="0.00%">
                  <c:v>6.552171506854286E-2</c:v>
                </c:pt>
                <c:pt idx="140" formatCode="0.00%">
                  <c:v>6.5375049921940237E-2</c:v>
                </c:pt>
                <c:pt idx="141" formatCode="0.00%">
                  <c:v>5.8412867135386876E-2</c:v>
                </c:pt>
                <c:pt idx="142" formatCode="0.00%">
                  <c:v>5.920743626790962E-2</c:v>
                </c:pt>
                <c:pt idx="143" formatCode="0.00%">
                  <c:v>5.8669747895410726E-2</c:v>
                </c:pt>
                <c:pt idx="144" formatCode="0.00%">
                  <c:v>6.3876759392663199E-2</c:v>
                </c:pt>
                <c:pt idx="145" formatCode="0.00%">
                  <c:v>6.9749634958509915E-2</c:v>
                </c:pt>
                <c:pt idx="146" formatCode="0.00%">
                  <c:v>7.5003184056004257E-2</c:v>
                </c:pt>
                <c:pt idx="147" formatCode="0.00%">
                  <c:v>7.7568356782585612E-2</c:v>
                </c:pt>
                <c:pt idx="148" formatCode="0.00%">
                  <c:v>8.5525909592061744E-2</c:v>
                </c:pt>
                <c:pt idx="149" formatCode="0.00%">
                  <c:v>7.2681758910776662E-2</c:v>
                </c:pt>
                <c:pt idx="150" formatCode="0.00%">
                  <c:v>6.7385130644200639E-2</c:v>
                </c:pt>
                <c:pt idx="151" formatCode="0.00%">
                  <c:v>5.416152241474733E-2</c:v>
                </c:pt>
                <c:pt idx="152" formatCode="0.00%">
                  <c:v>6.4285683858078202E-2</c:v>
                </c:pt>
                <c:pt idx="153" formatCode="0.00%">
                  <c:v>7.6130251242595495E-2</c:v>
                </c:pt>
                <c:pt idx="154" formatCode="0.00%">
                  <c:v>7.4496703816477966E-2</c:v>
                </c:pt>
                <c:pt idx="155" formatCode="0.00%">
                  <c:v>8.0837238310352971E-2</c:v>
                </c:pt>
                <c:pt idx="156" formatCode="0.00%">
                  <c:v>6.9292119474631639E-2</c:v>
                </c:pt>
                <c:pt idx="157" formatCode="0.00%">
                  <c:v>7.8872243029546402E-2</c:v>
                </c:pt>
                <c:pt idx="158" formatCode="0.00%">
                  <c:v>5.9887651925237463E-2</c:v>
                </c:pt>
                <c:pt idx="159" formatCode="0.00%">
                  <c:v>7.9580541321771114E-2</c:v>
                </c:pt>
                <c:pt idx="160" formatCode="0.00%">
                  <c:v>6.1565837744725627E-2</c:v>
                </c:pt>
                <c:pt idx="161" formatCode="0.00%">
                  <c:v>7.4774258335467761E-2</c:v>
                </c:pt>
                <c:pt idx="162" formatCode="0.00%">
                  <c:v>7.1408065148739847E-2</c:v>
                </c:pt>
                <c:pt idx="163" formatCode="0.00%">
                  <c:v>8.8477133579955736E-2</c:v>
                </c:pt>
                <c:pt idx="164" formatCode="0.00%">
                  <c:v>9.4016170349023376E-2</c:v>
                </c:pt>
                <c:pt idx="165" formatCode="0.00%">
                  <c:v>9.2383008675983258E-2</c:v>
                </c:pt>
                <c:pt idx="166" formatCode="0.00%">
                  <c:v>7.7369325037633288E-2</c:v>
                </c:pt>
                <c:pt idx="167" formatCode="0.00%">
                  <c:v>6.8564878531855417E-2</c:v>
                </c:pt>
                <c:pt idx="168" formatCode="0.00%">
                  <c:v>9.3374069123544012E-2</c:v>
                </c:pt>
                <c:pt idx="169" formatCode="0.00%">
                  <c:v>8.2332702032377636E-2</c:v>
                </c:pt>
                <c:pt idx="170" formatCode="0.00%">
                  <c:v>8.334296969556805E-2</c:v>
                </c:pt>
                <c:pt idx="171" formatCode="0.00%">
                  <c:v>7.450919242091171E-2</c:v>
                </c:pt>
                <c:pt idx="172" formatCode="0.00%">
                  <c:v>8.1615938950695952E-2</c:v>
                </c:pt>
                <c:pt idx="173" formatCode="0.00%">
                  <c:v>6.8660420110531514E-2</c:v>
                </c:pt>
                <c:pt idx="174" formatCode="0.00%">
                  <c:v>6.8199916217246415E-2</c:v>
                </c:pt>
                <c:pt idx="175" formatCode="0.00%">
                  <c:v>5.9305431878895816E-2</c:v>
                </c:pt>
                <c:pt idx="176" formatCode="0.00%">
                  <c:v>4.0438445975363023E-2</c:v>
                </c:pt>
                <c:pt idx="177" formatCode="0.00%">
                  <c:v>2.4510939604118098E-2</c:v>
                </c:pt>
                <c:pt idx="178" formatCode="0.00%">
                  <c:v>3.3154089174577003E-2</c:v>
                </c:pt>
                <c:pt idx="179" formatCode="0.00%">
                  <c:v>5.1880338449975007E-2</c:v>
                </c:pt>
                <c:pt idx="180" formatCode="0.00%">
                  <c:v>2.7240585371417166E-2</c:v>
                </c:pt>
                <c:pt idx="181" formatCode="0.00%">
                  <c:v>2.6967405327194063E-2</c:v>
                </c:pt>
                <c:pt idx="182" formatCode="0.00%">
                  <c:v>3.7821644085164523E-2</c:v>
                </c:pt>
                <c:pt idx="183" formatCode="0.00%">
                  <c:v>2.6394124413768694E-2</c:v>
                </c:pt>
                <c:pt idx="184" formatCode="0.00%">
                  <c:v>3.9363392222147527E-2</c:v>
                </c:pt>
                <c:pt idx="185" formatCode="0.00%">
                  <c:v>3.8405720151499061E-2</c:v>
                </c:pt>
                <c:pt idx="186" formatCode="0.00%">
                  <c:v>4.1124638746193147E-2</c:v>
                </c:pt>
                <c:pt idx="187" formatCode="0.00%">
                  <c:v>3.2591487334678322E-2</c:v>
                </c:pt>
                <c:pt idx="188" formatCode="0.00%">
                  <c:v>3.9773966003474201E-2</c:v>
                </c:pt>
                <c:pt idx="189" formatCode="0.00%">
                  <c:v>5.1788774446584106E-2</c:v>
                </c:pt>
                <c:pt idx="190" formatCode="0.00%">
                  <c:v>6.9692304432878299E-2</c:v>
                </c:pt>
                <c:pt idx="191" formatCode="0.00%">
                  <c:v>4.3917278315041691E-2</c:v>
                </c:pt>
                <c:pt idx="192" formatCode="0.00%">
                  <c:v>4.5746781071206763E-2</c:v>
                </c:pt>
                <c:pt idx="193" formatCode="0.00%">
                  <c:v>3.9775822879253207E-2</c:v>
                </c:pt>
                <c:pt idx="194" formatCode="0.00%">
                  <c:v>3.183217569578245E-2</c:v>
                </c:pt>
                <c:pt idx="195" formatCode="0.00%">
                  <c:v>4.3237166444813818E-2</c:v>
                </c:pt>
                <c:pt idx="196" formatCode="0.00%">
                  <c:v>4.474924084589512E-2</c:v>
                </c:pt>
                <c:pt idx="197" formatCode="0.00%">
                  <c:v>5.4315516771202617E-2</c:v>
                </c:pt>
                <c:pt idx="198" formatCode="0.00%">
                  <c:v>5.4156684154444454E-2</c:v>
                </c:pt>
                <c:pt idx="199" formatCode="0.00%">
                  <c:v>4.2366413508407141E-2</c:v>
                </c:pt>
                <c:pt idx="200" formatCode="0.00%">
                  <c:v>2.8702065994122283E-2</c:v>
                </c:pt>
                <c:pt idx="201" formatCode="0.00%">
                  <c:v>-4.4377704318847595E-3</c:v>
                </c:pt>
                <c:pt idx="202" formatCode="0.00%">
                  <c:v>-6.1309372513938448E-2</c:v>
                </c:pt>
                <c:pt idx="203" formatCode="0.00%">
                  <c:v>-7.6374051762235301E-2</c:v>
                </c:pt>
                <c:pt idx="204" formatCode="0.00%">
                  <c:v>-6.7229149109826747E-2</c:v>
                </c:pt>
                <c:pt idx="205" formatCode="0.00%">
                  <c:v>-6.0872351290104029E-2</c:v>
                </c:pt>
                <c:pt idx="206" formatCode="0.00%">
                  <c:v>-8.0818417721308697E-2</c:v>
                </c:pt>
                <c:pt idx="207" formatCode="0.00%">
                  <c:v>-8.1730133544889588E-2</c:v>
                </c:pt>
                <c:pt idx="208" formatCode="0.00%">
                  <c:v>-8.7085726947177033E-2</c:v>
                </c:pt>
                <c:pt idx="209" formatCode="0.00%">
                  <c:v>-8.4133542842732154E-2</c:v>
                </c:pt>
                <c:pt idx="210" formatCode="0.00%">
                  <c:v>-8.9724151029645149E-2</c:v>
                </c:pt>
                <c:pt idx="211" formatCode="0.00%">
                  <c:v>-7.4500730558836839E-2</c:v>
                </c:pt>
                <c:pt idx="212" formatCode="0.00%">
                  <c:v>-6.3143533434150828E-2</c:v>
                </c:pt>
                <c:pt idx="213" formatCode="0.00%">
                  <c:v>-3.7678293645035783E-2</c:v>
                </c:pt>
                <c:pt idx="214" formatCode="0.00%">
                  <c:v>9.3330426281622979E-3</c:v>
                </c:pt>
                <c:pt idx="215" formatCode="0.00%">
                  <c:v>3.9662838887929548E-2</c:v>
                </c:pt>
                <c:pt idx="216" formatCode="0.00%">
                  <c:v>2.8740231700333286E-2</c:v>
                </c:pt>
                <c:pt idx="217" formatCode="0.00%">
                  <c:v>3.4297837860889593E-2</c:v>
                </c:pt>
                <c:pt idx="218" formatCode="0.00%">
                  <c:v>6.0853723336960097E-2</c:v>
                </c:pt>
                <c:pt idx="219" formatCode="0.00%">
                  <c:v>6.386364045429184E-2</c:v>
                </c:pt>
                <c:pt idx="220" formatCode="0.00%">
                  <c:v>4.4648370436204121E-2</c:v>
                </c:pt>
                <c:pt idx="221" formatCode="0.00%">
                  <c:v>3.2209325312773589E-2</c:v>
                </c:pt>
                <c:pt idx="222" formatCode="0.00%">
                  <c:v>3.2804161700893661E-2</c:v>
                </c:pt>
                <c:pt idx="223" formatCode="0.00%">
                  <c:v>3.4296162163112466E-2</c:v>
                </c:pt>
                <c:pt idx="224" formatCode="0.00%">
                  <c:v>3.941426029834405E-2</c:v>
                </c:pt>
                <c:pt idx="225" formatCode="0.00%">
                  <c:v>4.7074705892666165E-2</c:v>
                </c:pt>
                <c:pt idx="226" formatCode="0.00%">
                  <c:v>5.1992892481360187E-2</c:v>
                </c:pt>
                <c:pt idx="227" formatCode="0.00%">
                  <c:v>5.1575643700712472E-2</c:v>
                </c:pt>
                <c:pt idx="228" formatCode="0.00%">
                  <c:v>5.7229988347930118E-2</c:v>
                </c:pt>
                <c:pt idx="229" formatCode="0.00%">
                  <c:v>5.7494012829895649E-2</c:v>
                </c:pt>
                <c:pt idx="230" formatCode="0.00%">
                  <c:v>5.9717461377529119E-2</c:v>
                </c:pt>
                <c:pt idx="231" formatCode="0.00%">
                  <c:v>6.1769124573655999E-2</c:v>
                </c:pt>
                <c:pt idx="232" formatCode="0.00%">
                  <c:v>7.436892673126598E-2</c:v>
                </c:pt>
                <c:pt idx="233" formatCode="0.00%">
                  <c:v>8.1998385750831071E-2</c:v>
                </c:pt>
                <c:pt idx="234" formatCode="0.00%">
                  <c:v>8.3624099025835064E-2</c:v>
                </c:pt>
                <c:pt idx="235" formatCode="0.00%">
                  <c:v>8.1547734388544971E-2</c:v>
                </c:pt>
                <c:pt idx="236" formatCode="0.00%">
                  <c:v>7.5920392971084216E-2</c:v>
                </c:pt>
                <c:pt idx="237" formatCode="0.00%">
                  <c:v>7.2321757476306883E-2</c:v>
                </c:pt>
                <c:pt idx="238" formatCode="0.00%">
                  <c:v>6.4167740268858686E-2</c:v>
                </c:pt>
                <c:pt idx="239" formatCode="0.00%">
                  <c:v>5.3389624150208294E-2</c:v>
                </c:pt>
                <c:pt idx="240" formatCode="0.00%">
                  <c:v>5.961651039503419E-2</c:v>
                </c:pt>
                <c:pt idx="241" formatCode="0.00%">
                  <c:v>6.487919628816137E-2</c:v>
                </c:pt>
                <c:pt idx="242" formatCode="0.00%">
                  <c:v>5.7882755427513116E-2</c:v>
                </c:pt>
                <c:pt idx="243" formatCode="0.00%">
                  <c:v>4.2955342887463312E-2</c:v>
                </c:pt>
                <c:pt idx="244" formatCode="0.00%">
                  <c:v>3.5777663289255253E-2</c:v>
                </c:pt>
                <c:pt idx="245" formatCode="0.00%">
                  <c:v>2.1579027221119443E-2</c:v>
                </c:pt>
                <c:pt idx="246" formatCode="0.00%">
                  <c:v>2.520009985243327E-2</c:v>
                </c:pt>
                <c:pt idx="247" formatCode="0.00%">
                  <c:v>3.1730615093023037E-2</c:v>
                </c:pt>
                <c:pt idx="248" formatCode="0.00%">
                  <c:v>3.6608899473788252E-2</c:v>
                </c:pt>
                <c:pt idx="249" formatCode="0.00%">
                  <c:v>3.3353528665921311E-2</c:v>
                </c:pt>
                <c:pt idx="250" formatCode="0.00%">
                  <c:v>3.1868740624552624E-2</c:v>
                </c:pt>
                <c:pt idx="251" formatCode="0.00%">
                  <c:v>3.7598048250203825E-2</c:v>
                </c:pt>
                <c:pt idx="252" formatCode="0.00%">
                  <c:v>3.2271604938271602E-2</c:v>
                </c:pt>
                <c:pt idx="253" formatCode="0.00%">
                  <c:v>3.2336608287056812E-2</c:v>
                </c:pt>
                <c:pt idx="254" formatCode="0.00%">
                  <c:v>2.179872952189903E-2</c:v>
                </c:pt>
                <c:pt idx="255" formatCode="0.00%">
                  <c:v>2.009961194121062E-2</c:v>
                </c:pt>
                <c:pt idx="256" formatCode="0.00%">
                  <c:v>2.7323360721172151E-2</c:v>
                </c:pt>
                <c:pt idx="257" formatCode="0.00%">
                  <c:v>3.4734018360205322E-2</c:v>
                </c:pt>
                <c:pt idx="258" formatCode="0.00%">
                  <c:v>3.8364330142213403E-2</c:v>
                </c:pt>
                <c:pt idx="259" formatCode="0.00%">
                  <c:v>2.446365791093157E-2</c:v>
                </c:pt>
                <c:pt idx="260" formatCode="0.00%">
                  <c:v>2.2075917181256812E-2</c:v>
                </c:pt>
                <c:pt idx="261" formatCode="0.00%">
                  <c:v>2.1826248315129682E-2</c:v>
                </c:pt>
                <c:pt idx="262" formatCode="0.00%">
                  <c:v>2.1950910549587102E-2</c:v>
                </c:pt>
                <c:pt idx="263" formatCode="0.00%">
                  <c:v>2.9320295400696653E-2</c:v>
                </c:pt>
                <c:pt idx="264" formatCode="0.00%">
                  <c:v>1.6313057621929344E-2</c:v>
                </c:pt>
                <c:pt idx="265" formatCode="0.00%">
                  <c:v>1.5067772464222168E-2</c:v>
                </c:pt>
                <c:pt idx="266" formatCode="0.00%">
                  <c:v>2.6681975834518208E-2</c:v>
                </c:pt>
                <c:pt idx="267" formatCode="0.00%">
                  <c:v>4.2420502743763626E-2</c:v>
                </c:pt>
                <c:pt idx="268" formatCode="0.00%">
                  <c:v>4.203639667534393E-2</c:v>
                </c:pt>
                <c:pt idx="269" formatCode="0.00%">
                  <c:v>4.5340509830305749E-2</c:v>
                </c:pt>
                <c:pt idx="270" formatCode="0.00%">
                  <c:v>3.8481517651214492E-2</c:v>
                </c:pt>
                <c:pt idx="271" formatCode="0.00%">
                  <c:v>4.8148522624542035E-2</c:v>
                </c:pt>
                <c:pt idx="272" formatCode="0.00%">
                  <c:v>4.3473625289868596E-2</c:v>
                </c:pt>
                <c:pt idx="273" formatCode="0.00%">
                  <c:v>4.5254770664994615E-2</c:v>
                </c:pt>
                <c:pt idx="274" formatCode="0.00%">
                  <c:v>4.3929806750168221E-2</c:v>
                </c:pt>
                <c:pt idx="275" formatCode="0.00%">
                  <c:v>2.8409057672171233E-2</c:v>
                </c:pt>
                <c:pt idx="276" formatCode="0.00%">
                  <c:v>2.368554214031867E-2</c:v>
                </c:pt>
                <c:pt idx="277" formatCode="0.00%">
                  <c:v>1.4925633888118893E-2</c:v>
                </c:pt>
                <c:pt idx="278" formatCode="0.00%">
                  <c:v>1.7948613944001483E-2</c:v>
                </c:pt>
                <c:pt idx="279" formatCode="0.00%">
                  <c:v>9.7497198356369073E-3</c:v>
                </c:pt>
                <c:pt idx="280" formatCode="0.00%">
                  <c:v>1.594695057592584E-2</c:v>
                </c:pt>
                <c:pt idx="281" formatCode="0.00%">
                  <c:v>1.5303728960948317E-2</c:v>
                </c:pt>
                <c:pt idx="282" formatCode="0.00%">
                  <c:v>2.2872463577559718E-2</c:v>
                </c:pt>
                <c:pt idx="283" formatCode="0.00%">
                  <c:v>1.3780169833429324E-2</c:v>
                </c:pt>
                <c:pt idx="284" formatCode="0.00%">
                  <c:v>7.6717414257007595E-3</c:v>
                </c:pt>
                <c:pt idx="285" formatCode="0.00%">
                  <c:v>2.722058578021499E-3</c:v>
                </c:pt>
                <c:pt idx="286" formatCode="0.00%">
                  <c:v>4.1727802420551789E-3</c:v>
                </c:pt>
                <c:pt idx="287" formatCode="0.00%">
                  <c:v>1.6236693391276154E-2</c:v>
                </c:pt>
                <c:pt idx="288" formatCode="0.00%">
                  <c:v>1.9364127795196615E-2</c:v>
                </c:pt>
                <c:pt idx="289" formatCode="0.00%">
                  <c:v>2.3548177942518116E-2</c:v>
                </c:pt>
                <c:pt idx="290" formatCode="0.00%">
                  <c:v>1.6866516577628384E-2</c:v>
                </c:pt>
                <c:pt idx="291" formatCode="0.00%">
                  <c:v>2.0739720491856926E-2</c:v>
                </c:pt>
                <c:pt idx="292" formatCode="0.00%">
                  <c:v>1.723806942656458E-2</c:v>
                </c:pt>
                <c:pt idx="293" formatCode="0.00%">
                  <c:v>2.6376437575013102E-2</c:v>
                </c:pt>
                <c:pt idx="294" formatCode="0.00%">
                  <c:v>1.1912646183510081E-2</c:v>
                </c:pt>
                <c:pt idx="295" formatCode="0.00%">
                  <c:v>1.4314899809694392E-2</c:v>
                </c:pt>
                <c:pt idx="296" formatCode="0.00%">
                  <c:v>2.5665075274268735E-2</c:v>
                </c:pt>
                <c:pt idx="297" formatCode="0.00%">
                  <c:v>3.2076552539570112E-2</c:v>
                </c:pt>
                <c:pt idx="298" formatCode="0.00%">
                  <c:v>2.9836963713094425E-2</c:v>
                </c:pt>
                <c:pt idx="299" formatCode="0.00%">
                  <c:v>3.161591850442181E-2</c:v>
                </c:pt>
                <c:pt idx="300" formatCode="0.00%">
                  <c:v>5.4589640288581084E-2</c:v>
                </c:pt>
                <c:pt idx="301" formatCode="0.00%">
                  <c:v>4.8793340247218098E-2</c:v>
                </c:pt>
                <c:pt idx="302" formatCode="0.00%">
                  <c:v>5.0440419511130145E-2</c:v>
                </c:pt>
                <c:pt idx="303" formatCode="0.00%">
                  <c:v>5.0793022406472425E-2</c:v>
                </c:pt>
                <c:pt idx="304" formatCode="0.00%">
                  <c:v>3.8368459322494879E-2</c:v>
                </c:pt>
                <c:pt idx="305" formatCode="0.00%">
                  <c:v>2.9569036508372219E-2</c:v>
                </c:pt>
                <c:pt idx="306" formatCode="0.00%">
                  <c:v>3.5678977570847072E-2</c:v>
                </c:pt>
                <c:pt idx="307" formatCode="0.00%">
                  <c:v>4.3067032709313391E-2</c:v>
                </c:pt>
                <c:pt idx="308" formatCode="0.00%">
                  <c:v>5.2970366363034711E-2</c:v>
                </c:pt>
                <c:pt idx="309" formatCode="0.00%">
                  <c:v>4.8726137289535135E-2</c:v>
                </c:pt>
                <c:pt idx="310" formatCode="0.00%">
                  <c:v>6.4514277122431962E-2</c:v>
                </c:pt>
                <c:pt idx="311" formatCode="0.00%">
                  <c:v>6.3491374516096655E-2</c:v>
                </c:pt>
                <c:pt idx="312" formatCode="0.00%">
                  <c:v>4.5845096026348432E-2</c:v>
                </c:pt>
                <c:pt idx="313" formatCode="0.00%">
                  <c:v>5.2819780959864025E-2</c:v>
                </c:pt>
                <c:pt idx="314" formatCode="0.00%">
                  <c:v>4.7829168598485454E-2</c:v>
                </c:pt>
                <c:pt idx="315" formatCode="0.00%">
                  <c:v>4.6833461569074843E-2</c:v>
                </c:pt>
                <c:pt idx="316" formatCode="0.00%">
                  <c:v>6.8673542751913022E-2</c:v>
                </c:pt>
                <c:pt idx="317" formatCode="0.00%">
                  <c:v>6.3897065096834738E-2</c:v>
                </c:pt>
                <c:pt idx="318" formatCode="0.00%">
                  <c:v>7.1302108053050622E-2</c:v>
                </c:pt>
                <c:pt idx="319" formatCode="0.00%">
                  <c:v>6.3907904899958734E-2</c:v>
                </c:pt>
                <c:pt idx="320" formatCode="0.00%">
                  <c:v>4.5671246309684013E-2</c:v>
                </c:pt>
                <c:pt idx="321" formatCode="0.00%">
                  <c:v>5.8848834208035793E-2</c:v>
                </c:pt>
                <c:pt idx="322" formatCode="0.00%">
                  <c:v>4.3357113874379162E-2</c:v>
                </c:pt>
                <c:pt idx="323" formatCode="0.00%">
                  <c:v>7.1450253940477677E-3</c:v>
                </c:pt>
                <c:pt idx="324" formatCode="0.00%">
                  <c:v>3.0433548987380276E-2</c:v>
                </c:pt>
                <c:pt idx="325" formatCode="0.00%">
                  <c:v>2.1150321620949278E-2</c:v>
                </c:pt>
                <c:pt idx="326" formatCode="0.00%">
                  <c:v>3.5184262188361425E-2</c:v>
                </c:pt>
                <c:pt idx="327" formatCode="0.00%">
                  <c:v>3.9474151083986803E-2</c:v>
                </c:pt>
                <c:pt idx="328" formatCode="0.00%">
                  <c:v>2.8536343196420576E-2</c:v>
                </c:pt>
                <c:pt idx="329" formatCode="0.00%">
                  <c:v>3.4876377688340461E-2</c:v>
                </c:pt>
                <c:pt idx="330" formatCode="0.00%">
                  <c:v>3.4815159577777831E-2</c:v>
                </c:pt>
                <c:pt idx="331" formatCode="0.00%">
                  <c:v>3.4880309494684292E-2</c:v>
                </c:pt>
                <c:pt idx="332" formatCode="0.00%">
                  <c:v>3.4780071231182097E-2</c:v>
                </c:pt>
                <c:pt idx="333" formatCode="0.00%">
                  <c:v>2.6804159249109276E-2</c:v>
                </c:pt>
                <c:pt idx="334" formatCode="0.00%">
                  <c:v>2.4485757254287099E-2</c:v>
                </c:pt>
                <c:pt idx="335" formatCode="0.00%">
                  <c:v>6.1336501005516408E-2</c:v>
                </c:pt>
                <c:pt idx="336" formatCode="0.00%">
                  <c:v>4.6261773818649085E-2</c:v>
                </c:pt>
                <c:pt idx="337" formatCode="0.00%">
                  <c:v>4.4785395029258664E-2</c:v>
                </c:pt>
                <c:pt idx="338" formatCode="0.00%">
                  <c:v>-1.1592316006681733E-2</c:v>
                </c:pt>
                <c:pt idx="339" formatCode="0.00%">
                  <c:v>-0.16705637384581248</c:v>
                </c:pt>
                <c:pt idx="340" formatCode="0.00%">
                  <c:v>-6.7836917113879361E-2</c:v>
                </c:pt>
                <c:pt idx="341" formatCode="0.00%">
                  <c:v>6.4365366686442837E-3</c:v>
                </c:pt>
                <c:pt idx="342" formatCode="0.00%">
                  <c:v>1.9967914721466591E-2</c:v>
                </c:pt>
                <c:pt idx="343" formatCode="0.00%">
                  <c:v>2.8279833650863818E-2</c:v>
                </c:pt>
                <c:pt idx="344" formatCode="0.00%">
                  <c:v>4.8834277753541273E-2</c:v>
                </c:pt>
                <c:pt idx="345" formatCode="0.00%">
                  <c:v>4.5019747396389115E-2</c:v>
                </c:pt>
                <c:pt idx="346" formatCode="0.00%">
                  <c:v>3.401045107814283E-2</c:v>
                </c:pt>
                <c:pt idx="347" formatCode="0.00%">
                  <c:v>5.9326220232484329E-3</c:v>
                </c:pt>
                <c:pt idx="348" formatCode="0.00%">
                  <c:v>8.2080669941768936E-2</c:v>
                </c:pt>
                <c:pt idx="349" formatCode="0.00%">
                  <c:v>5.6955911394513309E-2</c:v>
                </c:pt>
                <c:pt idx="350" formatCode="0.00%">
                  <c:v>0.21206329639304008</c:v>
                </c:pt>
                <c:pt idx="351" formatCode="0.00%">
                  <c:v>0.4266218997075707</c:v>
                </c:pt>
                <c:pt idx="352" formatCode="0.00%">
                  <c:v>0.26586201229676043</c:v>
                </c:pt>
                <c:pt idx="353" formatCode="0.00%">
                  <c:v>0.18713081640853391</c:v>
                </c:pt>
                <c:pt idx="354" formatCode="0.00%">
                  <c:v>0.15152015355991597</c:v>
                </c:pt>
                <c:pt idx="355" formatCode="0.00%">
                  <c:v>0.16161998485995457</c:v>
                </c:pt>
              </c:numCache>
            </c:numRef>
          </c:val>
          <c:smooth val="0"/>
          <c:extLst>
            <c:ext xmlns:c16="http://schemas.microsoft.com/office/drawing/2014/chart" uri="{C3380CC4-5D6E-409C-BE32-E72D297353CC}">
              <c16:uniqueId val="{00000002-A71A-453F-A479-753ED833F731}"/>
            </c:ext>
          </c:extLst>
        </c:ser>
        <c:dLbls>
          <c:showLegendKey val="0"/>
          <c:showVal val="0"/>
          <c:showCatName val="0"/>
          <c:showSerName val="0"/>
          <c:showPercent val="0"/>
          <c:showBubbleSize val="0"/>
        </c:dLbls>
        <c:smooth val="0"/>
        <c:axId val="1031856072"/>
        <c:axId val="1031868208"/>
      </c:lineChart>
      <c:dateAx>
        <c:axId val="1031856072"/>
        <c:scaling>
          <c:orientation val="minMax"/>
        </c:scaling>
        <c:delete val="0"/>
        <c:axPos val="b"/>
        <c:numFmt formatCode="[$-409]mmm\-yy;@" sourceLinked="1"/>
        <c:majorTickMark val="out"/>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31868208"/>
        <c:crosses val="autoZero"/>
        <c:auto val="1"/>
        <c:lblOffset val="100"/>
        <c:baseTimeUnit val="months"/>
      </c:dateAx>
      <c:valAx>
        <c:axId val="1031868208"/>
        <c:scaling>
          <c:orientation val="minMax"/>
          <c:max val="0.1"/>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3185607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Food and Beverage Stores yoy %</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'Food and Beverage'!$D$6</c:f>
              <c:strCache>
                <c:ptCount val="1"/>
                <c:pt idx="0">
                  <c:v>yoy</c:v>
                </c:pt>
              </c:strCache>
            </c:strRef>
          </c:tx>
          <c:spPr>
            <a:ln w="28575" cap="rnd">
              <a:solidFill>
                <a:schemeClr val="tx1"/>
              </a:solidFill>
              <a:round/>
            </a:ln>
            <a:effectLst/>
          </c:spPr>
          <c:marker>
            <c:symbol val="none"/>
          </c:marker>
          <c:cat>
            <c:numRef>
              <c:f>'Food and Beverage'!$A$19:$A$350</c:f>
              <c:numCache>
                <c:formatCode>[$-409]mmm\-yy;@</c:formatCode>
                <c:ptCount val="332"/>
                <c:pt idx="0">
                  <c:v>33970</c:v>
                </c:pt>
                <c:pt idx="1">
                  <c:v>34001</c:v>
                </c:pt>
                <c:pt idx="2">
                  <c:v>34029</c:v>
                </c:pt>
                <c:pt idx="3">
                  <c:v>34060</c:v>
                </c:pt>
                <c:pt idx="4">
                  <c:v>34090</c:v>
                </c:pt>
                <c:pt idx="5">
                  <c:v>34121</c:v>
                </c:pt>
                <c:pt idx="6">
                  <c:v>34151</c:v>
                </c:pt>
                <c:pt idx="7">
                  <c:v>34182</c:v>
                </c:pt>
                <c:pt idx="8">
                  <c:v>34213</c:v>
                </c:pt>
                <c:pt idx="9">
                  <c:v>34243</c:v>
                </c:pt>
                <c:pt idx="10">
                  <c:v>34274</c:v>
                </c:pt>
                <c:pt idx="11">
                  <c:v>34304</c:v>
                </c:pt>
                <c:pt idx="12">
                  <c:v>34335</c:v>
                </c:pt>
                <c:pt idx="13">
                  <c:v>34366</c:v>
                </c:pt>
                <c:pt idx="14">
                  <c:v>34394</c:v>
                </c:pt>
                <c:pt idx="15">
                  <c:v>34425</c:v>
                </c:pt>
                <c:pt idx="16">
                  <c:v>34455</c:v>
                </c:pt>
                <c:pt idx="17">
                  <c:v>34486</c:v>
                </c:pt>
                <c:pt idx="18">
                  <c:v>34516</c:v>
                </c:pt>
                <c:pt idx="19">
                  <c:v>34547</c:v>
                </c:pt>
                <c:pt idx="20">
                  <c:v>34578</c:v>
                </c:pt>
                <c:pt idx="21">
                  <c:v>34608</c:v>
                </c:pt>
                <c:pt idx="22">
                  <c:v>34639</c:v>
                </c:pt>
                <c:pt idx="23">
                  <c:v>34669</c:v>
                </c:pt>
                <c:pt idx="24">
                  <c:v>34700</c:v>
                </c:pt>
                <c:pt idx="25">
                  <c:v>34731</c:v>
                </c:pt>
                <c:pt idx="26">
                  <c:v>34759</c:v>
                </c:pt>
                <c:pt idx="27">
                  <c:v>34790</c:v>
                </c:pt>
                <c:pt idx="28">
                  <c:v>34820</c:v>
                </c:pt>
                <c:pt idx="29">
                  <c:v>34851</c:v>
                </c:pt>
                <c:pt idx="30">
                  <c:v>34881</c:v>
                </c:pt>
                <c:pt idx="31">
                  <c:v>34912</c:v>
                </c:pt>
                <c:pt idx="32">
                  <c:v>34943</c:v>
                </c:pt>
                <c:pt idx="33">
                  <c:v>34973</c:v>
                </c:pt>
                <c:pt idx="34">
                  <c:v>35004</c:v>
                </c:pt>
                <c:pt idx="35">
                  <c:v>35034</c:v>
                </c:pt>
                <c:pt idx="36">
                  <c:v>35065</c:v>
                </c:pt>
                <c:pt idx="37">
                  <c:v>35096</c:v>
                </c:pt>
                <c:pt idx="38">
                  <c:v>35125</c:v>
                </c:pt>
                <c:pt idx="39">
                  <c:v>35156</c:v>
                </c:pt>
                <c:pt idx="40">
                  <c:v>35186</c:v>
                </c:pt>
                <c:pt idx="41">
                  <c:v>35217</c:v>
                </c:pt>
                <c:pt idx="42">
                  <c:v>35247</c:v>
                </c:pt>
                <c:pt idx="43">
                  <c:v>35278</c:v>
                </c:pt>
                <c:pt idx="44">
                  <c:v>35309</c:v>
                </c:pt>
                <c:pt idx="45">
                  <c:v>35339</c:v>
                </c:pt>
                <c:pt idx="46">
                  <c:v>35370</c:v>
                </c:pt>
                <c:pt idx="47">
                  <c:v>35400</c:v>
                </c:pt>
                <c:pt idx="48">
                  <c:v>35431</c:v>
                </c:pt>
                <c:pt idx="49">
                  <c:v>35462</c:v>
                </c:pt>
                <c:pt idx="50">
                  <c:v>35490</c:v>
                </c:pt>
                <c:pt idx="51">
                  <c:v>35521</c:v>
                </c:pt>
                <c:pt idx="52">
                  <c:v>35551</c:v>
                </c:pt>
                <c:pt idx="53">
                  <c:v>35582</c:v>
                </c:pt>
                <c:pt idx="54">
                  <c:v>35612</c:v>
                </c:pt>
                <c:pt idx="55">
                  <c:v>35643</c:v>
                </c:pt>
                <c:pt idx="56">
                  <c:v>35674</c:v>
                </c:pt>
                <c:pt idx="57">
                  <c:v>35704</c:v>
                </c:pt>
                <c:pt idx="58">
                  <c:v>35735</c:v>
                </c:pt>
                <c:pt idx="59">
                  <c:v>35765</c:v>
                </c:pt>
                <c:pt idx="60">
                  <c:v>35796</c:v>
                </c:pt>
                <c:pt idx="61">
                  <c:v>35827</c:v>
                </c:pt>
                <c:pt idx="62">
                  <c:v>35855</c:v>
                </c:pt>
                <c:pt idx="63">
                  <c:v>35886</c:v>
                </c:pt>
                <c:pt idx="64">
                  <c:v>35916</c:v>
                </c:pt>
                <c:pt idx="65">
                  <c:v>35947</c:v>
                </c:pt>
                <c:pt idx="66">
                  <c:v>35977</c:v>
                </c:pt>
                <c:pt idx="67">
                  <c:v>36008</c:v>
                </c:pt>
                <c:pt idx="68">
                  <c:v>36039</c:v>
                </c:pt>
                <c:pt idx="69">
                  <c:v>36069</c:v>
                </c:pt>
                <c:pt idx="70">
                  <c:v>36100</c:v>
                </c:pt>
                <c:pt idx="71">
                  <c:v>36130</c:v>
                </c:pt>
                <c:pt idx="72">
                  <c:v>36161</c:v>
                </c:pt>
                <c:pt idx="73">
                  <c:v>36192</c:v>
                </c:pt>
                <c:pt idx="74">
                  <c:v>36220</c:v>
                </c:pt>
                <c:pt idx="75">
                  <c:v>36251</c:v>
                </c:pt>
                <c:pt idx="76">
                  <c:v>36281</c:v>
                </c:pt>
                <c:pt idx="77">
                  <c:v>36312</c:v>
                </c:pt>
                <c:pt idx="78">
                  <c:v>36342</c:v>
                </c:pt>
                <c:pt idx="79">
                  <c:v>36373</c:v>
                </c:pt>
                <c:pt idx="80">
                  <c:v>36404</c:v>
                </c:pt>
                <c:pt idx="81">
                  <c:v>36434</c:v>
                </c:pt>
                <c:pt idx="82">
                  <c:v>36465</c:v>
                </c:pt>
                <c:pt idx="83">
                  <c:v>36495</c:v>
                </c:pt>
                <c:pt idx="84">
                  <c:v>36526</c:v>
                </c:pt>
                <c:pt idx="85">
                  <c:v>36557</c:v>
                </c:pt>
                <c:pt idx="86">
                  <c:v>36586</c:v>
                </c:pt>
                <c:pt idx="87">
                  <c:v>36617</c:v>
                </c:pt>
                <c:pt idx="88">
                  <c:v>36647</c:v>
                </c:pt>
                <c:pt idx="89">
                  <c:v>36678</c:v>
                </c:pt>
                <c:pt idx="90">
                  <c:v>36708</c:v>
                </c:pt>
                <c:pt idx="91">
                  <c:v>36739</c:v>
                </c:pt>
                <c:pt idx="92">
                  <c:v>36770</c:v>
                </c:pt>
                <c:pt idx="93">
                  <c:v>36800</c:v>
                </c:pt>
                <c:pt idx="94">
                  <c:v>36831</c:v>
                </c:pt>
                <c:pt idx="95">
                  <c:v>36861</c:v>
                </c:pt>
                <c:pt idx="96">
                  <c:v>36892</c:v>
                </c:pt>
                <c:pt idx="97">
                  <c:v>36923</c:v>
                </c:pt>
                <c:pt idx="98">
                  <c:v>36951</c:v>
                </c:pt>
                <c:pt idx="99">
                  <c:v>36982</c:v>
                </c:pt>
                <c:pt idx="100">
                  <c:v>37012</c:v>
                </c:pt>
                <c:pt idx="101">
                  <c:v>37043</c:v>
                </c:pt>
                <c:pt idx="102">
                  <c:v>37073</c:v>
                </c:pt>
                <c:pt idx="103">
                  <c:v>37104</c:v>
                </c:pt>
                <c:pt idx="104">
                  <c:v>37135</c:v>
                </c:pt>
                <c:pt idx="105">
                  <c:v>37165</c:v>
                </c:pt>
                <c:pt idx="106">
                  <c:v>37196</c:v>
                </c:pt>
                <c:pt idx="107">
                  <c:v>37226</c:v>
                </c:pt>
                <c:pt idx="108">
                  <c:v>37257</c:v>
                </c:pt>
                <c:pt idx="109">
                  <c:v>37288</c:v>
                </c:pt>
                <c:pt idx="110">
                  <c:v>37316</c:v>
                </c:pt>
                <c:pt idx="111">
                  <c:v>37347</c:v>
                </c:pt>
                <c:pt idx="112">
                  <c:v>37377</c:v>
                </c:pt>
                <c:pt idx="113">
                  <c:v>37408</c:v>
                </c:pt>
                <c:pt idx="114">
                  <c:v>37438</c:v>
                </c:pt>
                <c:pt idx="115">
                  <c:v>37469</c:v>
                </c:pt>
                <c:pt idx="116">
                  <c:v>37500</c:v>
                </c:pt>
                <c:pt idx="117">
                  <c:v>37530</c:v>
                </c:pt>
                <c:pt idx="118">
                  <c:v>37561</c:v>
                </c:pt>
                <c:pt idx="119">
                  <c:v>37591</c:v>
                </c:pt>
                <c:pt idx="120">
                  <c:v>37622</c:v>
                </c:pt>
                <c:pt idx="121">
                  <c:v>37653</c:v>
                </c:pt>
                <c:pt idx="122">
                  <c:v>37681</c:v>
                </c:pt>
                <c:pt idx="123">
                  <c:v>37712</c:v>
                </c:pt>
                <c:pt idx="124">
                  <c:v>37742</c:v>
                </c:pt>
                <c:pt idx="125">
                  <c:v>37773</c:v>
                </c:pt>
                <c:pt idx="126">
                  <c:v>37803</c:v>
                </c:pt>
                <c:pt idx="127">
                  <c:v>37834</c:v>
                </c:pt>
                <c:pt idx="128">
                  <c:v>37865</c:v>
                </c:pt>
                <c:pt idx="129">
                  <c:v>37895</c:v>
                </c:pt>
                <c:pt idx="130">
                  <c:v>37926</c:v>
                </c:pt>
                <c:pt idx="131">
                  <c:v>37956</c:v>
                </c:pt>
                <c:pt idx="132">
                  <c:v>37987</c:v>
                </c:pt>
                <c:pt idx="133">
                  <c:v>38018</c:v>
                </c:pt>
                <c:pt idx="134">
                  <c:v>38047</c:v>
                </c:pt>
                <c:pt idx="135">
                  <c:v>38078</c:v>
                </c:pt>
                <c:pt idx="136">
                  <c:v>38108</c:v>
                </c:pt>
                <c:pt idx="137">
                  <c:v>38139</c:v>
                </c:pt>
                <c:pt idx="138">
                  <c:v>38169</c:v>
                </c:pt>
                <c:pt idx="139">
                  <c:v>38200</c:v>
                </c:pt>
                <c:pt idx="140">
                  <c:v>38231</c:v>
                </c:pt>
                <c:pt idx="141">
                  <c:v>38261</c:v>
                </c:pt>
                <c:pt idx="142">
                  <c:v>38292</c:v>
                </c:pt>
                <c:pt idx="143">
                  <c:v>38322</c:v>
                </c:pt>
                <c:pt idx="144">
                  <c:v>38353</c:v>
                </c:pt>
                <c:pt idx="145">
                  <c:v>38384</c:v>
                </c:pt>
                <c:pt idx="146">
                  <c:v>38412</c:v>
                </c:pt>
                <c:pt idx="147">
                  <c:v>38443</c:v>
                </c:pt>
                <c:pt idx="148">
                  <c:v>38473</c:v>
                </c:pt>
                <c:pt idx="149">
                  <c:v>38504</c:v>
                </c:pt>
                <c:pt idx="150">
                  <c:v>38534</c:v>
                </c:pt>
                <c:pt idx="151">
                  <c:v>38565</c:v>
                </c:pt>
                <c:pt idx="152">
                  <c:v>38596</c:v>
                </c:pt>
                <c:pt idx="153">
                  <c:v>38626</c:v>
                </c:pt>
                <c:pt idx="154">
                  <c:v>38657</c:v>
                </c:pt>
                <c:pt idx="155">
                  <c:v>38687</c:v>
                </c:pt>
                <c:pt idx="156">
                  <c:v>38718</c:v>
                </c:pt>
                <c:pt idx="157">
                  <c:v>38749</c:v>
                </c:pt>
                <c:pt idx="158">
                  <c:v>38777</c:v>
                </c:pt>
                <c:pt idx="159">
                  <c:v>38808</c:v>
                </c:pt>
                <c:pt idx="160">
                  <c:v>38838</c:v>
                </c:pt>
                <c:pt idx="161">
                  <c:v>38869</c:v>
                </c:pt>
                <c:pt idx="162">
                  <c:v>38899</c:v>
                </c:pt>
                <c:pt idx="163">
                  <c:v>38930</c:v>
                </c:pt>
                <c:pt idx="164">
                  <c:v>38961</c:v>
                </c:pt>
                <c:pt idx="165">
                  <c:v>38991</c:v>
                </c:pt>
                <c:pt idx="166">
                  <c:v>39022</c:v>
                </c:pt>
                <c:pt idx="167">
                  <c:v>39052</c:v>
                </c:pt>
                <c:pt idx="168">
                  <c:v>39083</c:v>
                </c:pt>
                <c:pt idx="169">
                  <c:v>39114</c:v>
                </c:pt>
                <c:pt idx="170">
                  <c:v>39142</c:v>
                </c:pt>
                <c:pt idx="171">
                  <c:v>39173</c:v>
                </c:pt>
                <c:pt idx="172">
                  <c:v>39203</c:v>
                </c:pt>
                <c:pt idx="173">
                  <c:v>39234</c:v>
                </c:pt>
                <c:pt idx="174">
                  <c:v>39264</c:v>
                </c:pt>
                <c:pt idx="175">
                  <c:v>39295</c:v>
                </c:pt>
                <c:pt idx="176">
                  <c:v>39326</c:v>
                </c:pt>
                <c:pt idx="177">
                  <c:v>39356</c:v>
                </c:pt>
                <c:pt idx="178">
                  <c:v>39387</c:v>
                </c:pt>
                <c:pt idx="179">
                  <c:v>39417</c:v>
                </c:pt>
                <c:pt idx="180">
                  <c:v>39448</c:v>
                </c:pt>
                <c:pt idx="181">
                  <c:v>39479</c:v>
                </c:pt>
                <c:pt idx="182">
                  <c:v>39508</c:v>
                </c:pt>
                <c:pt idx="183">
                  <c:v>39539</c:v>
                </c:pt>
                <c:pt idx="184">
                  <c:v>39569</c:v>
                </c:pt>
                <c:pt idx="185">
                  <c:v>39600</c:v>
                </c:pt>
                <c:pt idx="186">
                  <c:v>39630</c:v>
                </c:pt>
                <c:pt idx="187">
                  <c:v>39661</c:v>
                </c:pt>
                <c:pt idx="188">
                  <c:v>39692</c:v>
                </c:pt>
                <c:pt idx="189">
                  <c:v>39722</c:v>
                </c:pt>
                <c:pt idx="190">
                  <c:v>39753</c:v>
                </c:pt>
                <c:pt idx="191">
                  <c:v>39783</c:v>
                </c:pt>
                <c:pt idx="192">
                  <c:v>39814</c:v>
                </c:pt>
                <c:pt idx="193">
                  <c:v>39845</c:v>
                </c:pt>
                <c:pt idx="194">
                  <c:v>39873</c:v>
                </c:pt>
                <c:pt idx="195">
                  <c:v>39904</c:v>
                </c:pt>
                <c:pt idx="196">
                  <c:v>39934</c:v>
                </c:pt>
                <c:pt idx="197">
                  <c:v>39965</c:v>
                </c:pt>
                <c:pt idx="198">
                  <c:v>39995</c:v>
                </c:pt>
                <c:pt idx="199">
                  <c:v>40026</c:v>
                </c:pt>
                <c:pt idx="200">
                  <c:v>40057</c:v>
                </c:pt>
                <c:pt idx="201">
                  <c:v>40087</c:v>
                </c:pt>
                <c:pt idx="202">
                  <c:v>40118</c:v>
                </c:pt>
                <c:pt idx="203">
                  <c:v>40148</c:v>
                </c:pt>
                <c:pt idx="204">
                  <c:v>40179</c:v>
                </c:pt>
                <c:pt idx="205">
                  <c:v>40210</c:v>
                </c:pt>
                <c:pt idx="206">
                  <c:v>40238</c:v>
                </c:pt>
                <c:pt idx="207">
                  <c:v>40269</c:v>
                </c:pt>
                <c:pt idx="208">
                  <c:v>40299</c:v>
                </c:pt>
                <c:pt idx="209">
                  <c:v>40330</c:v>
                </c:pt>
                <c:pt idx="210">
                  <c:v>40360</c:v>
                </c:pt>
                <c:pt idx="211">
                  <c:v>40391</c:v>
                </c:pt>
                <c:pt idx="212">
                  <c:v>40422</c:v>
                </c:pt>
                <c:pt idx="213">
                  <c:v>40452</c:v>
                </c:pt>
                <c:pt idx="214">
                  <c:v>40483</c:v>
                </c:pt>
                <c:pt idx="215">
                  <c:v>40513</c:v>
                </c:pt>
                <c:pt idx="216">
                  <c:v>40544</c:v>
                </c:pt>
                <c:pt idx="217">
                  <c:v>40575</c:v>
                </c:pt>
                <c:pt idx="218">
                  <c:v>40603</c:v>
                </c:pt>
                <c:pt idx="219">
                  <c:v>40634</c:v>
                </c:pt>
                <c:pt idx="220">
                  <c:v>40664</c:v>
                </c:pt>
                <c:pt idx="221">
                  <c:v>40695</c:v>
                </c:pt>
                <c:pt idx="222">
                  <c:v>40725</c:v>
                </c:pt>
                <c:pt idx="223">
                  <c:v>40756</c:v>
                </c:pt>
                <c:pt idx="224">
                  <c:v>40787</c:v>
                </c:pt>
                <c:pt idx="225">
                  <c:v>40817</c:v>
                </c:pt>
                <c:pt idx="226">
                  <c:v>40848</c:v>
                </c:pt>
                <c:pt idx="227">
                  <c:v>40878</c:v>
                </c:pt>
                <c:pt idx="228">
                  <c:v>40909</c:v>
                </c:pt>
                <c:pt idx="229">
                  <c:v>40940</c:v>
                </c:pt>
                <c:pt idx="230">
                  <c:v>40969</c:v>
                </c:pt>
                <c:pt idx="231">
                  <c:v>41000</c:v>
                </c:pt>
                <c:pt idx="232">
                  <c:v>41030</c:v>
                </c:pt>
                <c:pt idx="233">
                  <c:v>41061</c:v>
                </c:pt>
                <c:pt idx="234">
                  <c:v>41091</c:v>
                </c:pt>
                <c:pt idx="235">
                  <c:v>41122</c:v>
                </c:pt>
                <c:pt idx="236">
                  <c:v>41153</c:v>
                </c:pt>
                <c:pt idx="237">
                  <c:v>41183</c:v>
                </c:pt>
                <c:pt idx="238">
                  <c:v>41214</c:v>
                </c:pt>
                <c:pt idx="239">
                  <c:v>41244</c:v>
                </c:pt>
                <c:pt idx="240">
                  <c:v>41275</c:v>
                </c:pt>
                <c:pt idx="241">
                  <c:v>41306</c:v>
                </c:pt>
                <c:pt idx="242">
                  <c:v>41334</c:v>
                </c:pt>
                <c:pt idx="243">
                  <c:v>41365</c:v>
                </c:pt>
                <c:pt idx="244">
                  <c:v>41395</c:v>
                </c:pt>
                <c:pt idx="245">
                  <c:v>41426</c:v>
                </c:pt>
                <c:pt idx="246">
                  <c:v>41456</c:v>
                </c:pt>
                <c:pt idx="247">
                  <c:v>41487</c:v>
                </c:pt>
                <c:pt idx="248">
                  <c:v>41518</c:v>
                </c:pt>
                <c:pt idx="249">
                  <c:v>41548</c:v>
                </c:pt>
                <c:pt idx="250">
                  <c:v>41579</c:v>
                </c:pt>
                <c:pt idx="251">
                  <c:v>41609</c:v>
                </c:pt>
                <c:pt idx="252">
                  <c:v>41640</c:v>
                </c:pt>
                <c:pt idx="253">
                  <c:v>41671</c:v>
                </c:pt>
                <c:pt idx="254">
                  <c:v>41699</c:v>
                </c:pt>
                <c:pt idx="255">
                  <c:v>41730</c:v>
                </c:pt>
                <c:pt idx="256">
                  <c:v>41760</c:v>
                </c:pt>
                <c:pt idx="257">
                  <c:v>41791</c:v>
                </c:pt>
                <c:pt idx="258">
                  <c:v>41821</c:v>
                </c:pt>
                <c:pt idx="259">
                  <c:v>41852</c:v>
                </c:pt>
                <c:pt idx="260">
                  <c:v>41883</c:v>
                </c:pt>
                <c:pt idx="261">
                  <c:v>41913</c:v>
                </c:pt>
                <c:pt idx="262">
                  <c:v>41944</c:v>
                </c:pt>
                <c:pt idx="263">
                  <c:v>41974</c:v>
                </c:pt>
                <c:pt idx="264">
                  <c:v>42005</c:v>
                </c:pt>
                <c:pt idx="265">
                  <c:v>42036</c:v>
                </c:pt>
                <c:pt idx="266">
                  <c:v>42064</c:v>
                </c:pt>
                <c:pt idx="267">
                  <c:v>42095</c:v>
                </c:pt>
                <c:pt idx="268">
                  <c:v>42125</c:v>
                </c:pt>
                <c:pt idx="269">
                  <c:v>42156</c:v>
                </c:pt>
                <c:pt idx="270">
                  <c:v>42186</c:v>
                </c:pt>
                <c:pt idx="271">
                  <c:v>42217</c:v>
                </c:pt>
                <c:pt idx="272">
                  <c:v>42248</c:v>
                </c:pt>
                <c:pt idx="273">
                  <c:v>42278</c:v>
                </c:pt>
                <c:pt idx="274">
                  <c:v>42309</c:v>
                </c:pt>
                <c:pt idx="275">
                  <c:v>42339</c:v>
                </c:pt>
                <c:pt idx="276">
                  <c:v>42370</c:v>
                </c:pt>
                <c:pt idx="277">
                  <c:v>42401</c:v>
                </c:pt>
                <c:pt idx="278">
                  <c:v>42430</c:v>
                </c:pt>
                <c:pt idx="279">
                  <c:v>42461</c:v>
                </c:pt>
                <c:pt idx="280">
                  <c:v>42491</c:v>
                </c:pt>
                <c:pt idx="281">
                  <c:v>42522</c:v>
                </c:pt>
                <c:pt idx="282">
                  <c:v>42552</c:v>
                </c:pt>
                <c:pt idx="283">
                  <c:v>42583</c:v>
                </c:pt>
                <c:pt idx="284">
                  <c:v>42614</c:v>
                </c:pt>
                <c:pt idx="285">
                  <c:v>42644</c:v>
                </c:pt>
                <c:pt idx="286">
                  <c:v>42675</c:v>
                </c:pt>
                <c:pt idx="287">
                  <c:v>42705</c:v>
                </c:pt>
                <c:pt idx="288">
                  <c:v>42736</c:v>
                </c:pt>
                <c:pt idx="289">
                  <c:v>42767</c:v>
                </c:pt>
                <c:pt idx="290">
                  <c:v>42795</c:v>
                </c:pt>
                <c:pt idx="291">
                  <c:v>42826</c:v>
                </c:pt>
                <c:pt idx="292">
                  <c:v>42856</c:v>
                </c:pt>
                <c:pt idx="293">
                  <c:v>42887</c:v>
                </c:pt>
                <c:pt idx="294">
                  <c:v>42917</c:v>
                </c:pt>
                <c:pt idx="295">
                  <c:v>42948</c:v>
                </c:pt>
                <c:pt idx="296">
                  <c:v>42979</c:v>
                </c:pt>
                <c:pt idx="297">
                  <c:v>43009</c:v>
                </c:pt>
                <c:pt idx="298">
                  <c:v>43040</c:v>
                </c:pt>
                <c:pt idx="299">
                  <c:v>43070</c:v>
                </c:pt>
                <c:pt idx="300">
                  <c:v>43101</c:v>
                </c:pt>
                <c:pt idx="301">
                  <c:v>43132</c:v>
                </c:pt>
                <c:pt idx="302">
                  <c:v>43160</c:v>
                </c:pt>
                <c:pt idx="303">
                  <c:v>43191</c:v>
                </c:pt>
                <c:pt idx="304">
                  <c:v>43221</c:v>
                </c:pt>
                <c:pt idx="305">
                  <c:v>43252</c:v>
                </c:pt>
                <c:pt idx="306">
                  <c:v>43282</c:v>
                </c:pt>
                <c:pt idx="307">
                  <c:v>43313</c:v>
                </c:pt>
                <c:pt idx="308">
                  <c:v>43344</c:v>
                </c:pt>
                <c:pt idx="309">
                  <c:v>43374</c:v>
                </c:pt>
                <c:pt idx="310">
                  <c:v>43405</c:v>
                </c:pt>
                <c:pt idx="311">
                  <c:v>43435</c:v>
                </c:pt>
                <c:pt idx="312">
                  <c:v>43466</c:v>
                </c:pt>
                <c:pt idx="313">
                  <c:v>43497</c:v>
                </c:pt>
                <c:pt idx="314">
                  <c:v>43525</c:v>
                </c:pt>
                <c:pt idx="315">
                  <c:v>43556</c:v>
                </c:pt>
                <c:pt idx="316">
                  <c:v>43586</c:v>
                </c:pt>
                <c:pt idx="317">
                  <c:v>43617</c:v>
                </c:pt>
                <c:pt idx="318">
                  <c:v>43647</c:v>
                </c:pt>
                <c:pt idx="319">
                  <c:v>43678</c:v>
                </c:pt>
                <c:pt idx="320">
                  <c:v>43709</c:v>
                </c:pt>
                <c:pt idx="321">
                  <c:v>43739</c:v>
                </c:pt>
                <c:pt idx="322">
                  <c:v>43770</c:v>
                </c:pt>
                <c:pt idx="323">
                  <c:v>43800</c:v>
                </c:pt>
                <c:pt idx="324">
                  <c:v>43831</c:v>
                </c:pt>
                <c:pt idx="325">
                  <c:v>43862</c:v>
                </c:pt>
                <c:pt idx="326">
                  <c:v>43891</c:v>
                </c:pt>
                <c:pt idx="327">
                  <c:v>43922</c:v>
                </c:pt>
                <c:pt idx="328">
                  <c:v>43952</c:v>
                </c:pt>
                <c:pt idx="329">
                  <c:v>43983</c:v>
                </c:pt>
                <c:pt idx="330">
                  <c:v>44013</c:v>
                </c:pt>
                <c:pt idx="331">
                  <c:v>44044</c:v>
                </c:pt>
              </c:numCache>
            </c:numRef>
          </c:cat>
          <c:val>
            <c:numRef>
              <c:f>'Food and Beverage'!$D$19:$D$350</c:f>
              <c:numCache>
                <c:formatCode>0.00%</c:formatCode>
                <c:ptCount val="332"/>
                <c:pt idx="0">
                  <c:v>1.9975687485626049E-2</c:v>
                </c:pt>
                <c:pt idx="1">
                  <c:v>2.8010005924560596E-2</c:v>
                </c:pt>
                <c:pt idx="2">
                  <c:v>1.7427766494136146E-2</c:v>
                </c:pt>
                <c:pt idx="3">
                  <c:v>1.7221096660348996E-2</c:v>
                </c:pt>
                <c:pt idx="4">
                  <c:v>1.4519174425418321E-2</c:v>
                </c:pt>
                <c:pt idx="5">
                  <c:v>1.3231039303013557E-2</c:v>
                </c:pt>
                <c:pt idx="6">
                  <c:v>1.2466492264961406E-2</c:v>
                </c:pt>
                <c:pt idx="7">
                  <c:v>2.7383138429818627E-3</c:v>
                </c:pt>
                <c:pt idx="8">
                  <c:v>8.3704996444961544E-3</c:v>
                </c:pt>
                <c:pt idx="9">
                  <c:v>6.3567484268652885E-3</c:v>
                </c:pt>
                <c:pt idx="10">
                  <c:v>1.1970831182240578E-2</c:v>
                </c:pt>
                <c:pt idx="11">
                  <c:v>1.4231896190874843E-2</c:v>
                </c:pt>
                <c:pt idx="12">
                  <c:v>1.362538250926075E-2</c:v>
                </c:pt>
                <c:pt idx="13">
                  <c:v>1.4567924951173438E-2</c:v>
                </c:pt>
                <c:pt idx="14">
                  <c:v>2.0671002640221522E-2</c:v>
                </c:pt>
                <c:pt idx="15">
                  <c:v>2.4735776928266246E-2</c:v>
                </c:pt>
                <c:pt idx="16">
                  <c:v>2.2269285072519573E-2</c:v>
                </c:pt>
                <c:pt idx="17">
                  <c:v>3.0640400410677619E-2</c:v>
                </c:pt>
                <c:pt idx="18">
                  <c:v>1.9617850649143512E-2</c:v>
                </c:pt>
                <c:pt idx="19">
                  <c:v>3.5211720105378139E-2</c:v>
                </c:pt>
                <c:pt idx="20">
                  <c:v>3.8460305759430789E-2</c:v>
                </c:pt>
                <c:pt idx="21">
                  <c:v>2.7116697505263829E-2</c:v>
                </c:pt>
                <c:pt idx="22">
                  <c:v>3.2107897841405476E-2</c:v>
                </c:pt>
                <c:pt idx="23">
                  <c:v>2.52388964729039E-2</c:v>
                </c:pt>
                <c:pt idx="24">
                  <c:v>3.676750985127749E-2</c:v>
                </c:pt>
                <c:pt idx="25">
                  <c:v>2.2437515778843727E-2</c:v>
                </c:pt>
                <c:pt idx="26">
                  <c:v>2.2555205047318613E-2</c:v>
                </c:pt>
                <c:pt idx="27">
                  <c:v>1.2947114329602809E-2</c:v>
                </c:pt>
                <c:pt idx="28">
                  <c:v>2.1407495762445855E-2</c:v>
                </c:pt>
                <c:pt idx="29">
                  <c:v>1.4755782461164898E-2</c:v>
                </c:pt>
                <c:pt idx="30">
                  <c:v>1.5705168314353649E-2</c:v>
                </c:pt>
                <c:pt idx="31">
                  <c:v>1.0086276457079015E-2</c:v>
                </c:pt>
                <c:pt idx="32">
                  <c:v>6.9133668713928578E-3</c:v>
                </c:pt>
                <c:pt idx="33">
                  <c:v>1.1864827928935272E-2</c:v>
                </c:pt>
                <c:pt idx="34">
                  <c:v>1.1553907939450108E-2</c:v>
                </c:pt>
                <c:pt idx="35">
                  <c:v>1.8857992196692885E-2</c:v>
                </c:pt>
                <c:pt idx="36">
                  <c:v>1.4099616858237548E-2</c:v>
                </c:pt>
                <c:pt idx="37">
                  <c:v>1.6327664434087473E-2</c:v>
                </c:pt>
                <c:pt idx="38">
                  <c:v>2.0391793922566712E-2</c:v>
                </c:pt>
                <c:pt idx="39">
                  <c:v>2.6677395394899727E-2</c:v>
                </c:pt>
                <c:pt idx="40">
                  <c:v>1.9606637984019668E-2</c:v>
                </c:pt>
                <c:pt idx="41">
                  <c:v>2.0983526091358101E-2</c:v>
                </c:pt>
                <c:pt idx="42">
                  <c:v>3.0924659643935194E-2</c:v>
                </c:pt>
                <c:pt idx="43">
                  <c:v>3.0571173994530985E-2</c:v>
                </c:pt>
                <c:pt idx="44">
                  <c:v>2.6636015325670497E-2</c:v>
                </c:pt>
                <c:pt idx="45">
                  <c:v>3.4563202160967525E-2</c:v>
                </c:pt>
                <c:pt idx="46">
                  <c:v>3.0234546787197655E-2</c:v>
                </c:pt>
                <c:pt idx="47">
                  <c:v>2.7839406741026654E-2</c:v>
                </c:pt>
                <c:pt idx="48">
                  <c:v>2.9137071180293184E-2</c:v>
                </c:pt>
                <c:pt idx="49">
                  <c:v>3.2221817298347909E-2</c:v>
                </c:pt>
                <c:pt idx="50">
                  <c:v>3.2652074011367757E-2</c:v>
                </c:pt>
                <c:pt idx="51">
                  <c:v>2.6587086272381984E-2</c:v>
                </c:pt>
                <c:pt idx="52">
                  <c:v>2.4112363614443307E-2</c:v>
                </c:pt>
                <c:pt idx="53">
                  <c:v>1.8358823352663683E-2</c:v>
                </c:pt>
                <c:pt idx="54">
                  <c:v>1.9002091425156856E-2</c:v>
                </c:pt>
                <c:pt idx="55">
                  <c:v>2.128674497644744E-2</c:v>
                </c:pt>
                <c:pt idx="56">
                  <c:v>2.3496745685794469E-2</c:v>
                </c:pt>
                <c:pt idx="57">
                  <c:v>1.9107524329456445E-2</c:v>
                </c:pt>
                <c:pt idx="58">
                  <c:v>1.4703266733859015E-2</c:v>
                </c:pt>
                <c:pt idx="59">
                  <c:v>1.0970164700316391E-2</c:v>
                </c:pt>
                <c:pt idx="60">
                  <c:v>2.2614467385238921E-3</c:v>
                </c:pt>
                <c:pt idx="61">
                  <c:v>3.3246050192709408E-3</c:v>
                </c:pt>
                <c:pt idx="62">
                  <c:v>3.4840145216067453E-3</c:v>
                </c:pt>
                <c:pt idx="63">
                  <c:v>9.337561663143059E-3</c:v>
                </c:pt>
                <c:pt idx="64">
                  <c:v>1.6363529342515747E-2</c:v>
                </c:pt>
                <c:pt idx="65">
                  <c:v>2.0653841614540303E-2</c:v>
                </c:pt>
                <c:pt idx="66">
                  <c:v>2.1990265642408961E-2</c:v>
                </c:pt>
                <c:pt idx="67">
                  <c:v>2.0259224661373192E-2</c:v>
                </c:pt>
                <c:pt idx="68">
                  <c:v>1.8523380298124326E-2</c:v>
                </c:pt>
                <c:pt idx="69">
                  <c:v>2.1689763596133692E-2</c:v>
                </c:pt>
                <c:pt idx="70">
                  <c:v>2.6584867075664622E-2</c:v>
                </c:pt>
                <c:pt idx="71">
                  <c:v>3.9280491371746128E-2</c:v>
                </c:pt>
                <c:pt idx="72">
                  <c:v>3.8709488366641273E-2</c:v>
                </c:pt>
                <c:pt idx="73">
                  <c:v>4.7064688288076945E-2</c:v>
                </c:pt>
                <c:pt idx="74">
                  <c:v>4.0175054704595189E-2</c:v>
                </c:pt>
                <c:pt idx="75">
                  <c:v>4.7681387094897304E-2</c:v>
                </c:pt>
                <c:pt idx="76">
                  <c:v>4.4188336132507097E-2</c:v>
                </c:pt>
                <c:pt idx="77">
                  <c:v>3.7002775208140611E-2</c:v>
                </c:pt>
                <c:pt idx="78">
                  <c:v>3.6435620840027542E-2</c:v>
                </c:pt>
                <c:pt idx="79">
                  <c:v>3.3390557939914162E-2</c:v>
                </c:pt>
                <c:pt idx="80">
                  <c:v>4.2817046626188564E-2</c:v>
                </c:pt>
                <c:pt idx="81">
                  <c:v>3.3567948023822416E-2</c:v>
                </c:pt>
                <c:pt idx="82">
                  <c:v>3.3010813887307915E-2</c:v>
                </c:pt>
                <c:pt idx="83">
                  <c:v>6.0000562857062449E-2</c:v>
                </c:pt>
                <c:pt idx="84">
                  <c:v>4.6830479307134595E-3</c:v>
                </c:pt>
                <c:pt idx="85">
                  <c:v>7.6455596941776127E-3</c:v>
                </c:pt>
                <c:pt idx="86">
                  <c:v>2.5440368001795131E-2</c:v>
                </c:pt>
                <c:pt idx="87">
                  <c:v>2.7628911781856551E-2</c:v>
                </c:pt>
                <c:pt idx="88">
                  <c:v>1.821963394342762E-2</c:v>
                </c:pt>
                <c:pt idx="89">
                  <c:v>3.63235950044603E-2</c:v>
                </c:pt>
                <c:pt idx="90">
                  <c:v>2.5244975917621659E-2</c:v>
                </c:pt>
                <c:pt idx="91">
                  <c:v>2.7493977905141624E-2</c:v>
                </c:pt>
                <c:pt idx="92">
                  <c:v>2.4635412375381065E-2</c:v>
                </c:pt>
                <c:pt idx="93">
                  <c:v>3.3222133384797771E-2</c:v>
                </c:pt>
                <c:pt idx="94">
                  <c:v>3.8567493112947659E-2</c:v>
                </c:pt>
                <c:pt idx="95">
                  <c:v>9.7703438205230322E-3</c:v>
                </c:pt>
                <c:pt idx="96">
                  <c:v>6.430236149720607E-2</c:v>
                </c:pt>
                <c:pt idx="97">
                  <c:v>6.3146192329071704E-2</c:v>
                </c:pt>
                <c:pt idx="98">
                  <c:v>4.3053694028830108E-2</c:v>
                </c:pt>
                <c:pt idx="99">
                  <c:v>3.677583225248595E-2</c:v>
                </c:pt>
                <c:pt idx="100">
                  <c:v>4.6899256475202225E-2</c:v>
                </c:pt>
                <c:pt idx="101">
                  <c:v>3.7498318762609277E-2</c:v>
                </c:pt>
                <c:pt idx="102">
                  <c:v>3.9634969490793238E-2</c:v>
                </c:pt>
                <c:pt idx="103">
                  <c:v>4.3869576933441123E-2</c:v>
                </c:pt>
                <c:pt idx="104">
                  <c:v>4.084914763589579E-2</c:v>
                </c:pt>
                <c:pt idx="105">
                  <c:v>3.9171736578076634E-2</c:v>
                </c:pt>
                <c:pt idx="106">
                  <c:v>3.8753315649867372E-2</c:v>
                </c:pt>
                <c:pt idx="107">
                  <c:v>2.5320116740725158E-2</c:v>
                </c:pt>
                <c:pt idx="108">
                  <c:v>2.4536316386565706E-2</c:v>
                </c:pt>
                <c:pt idx="109">
                  <c:v>1.6548154344870857E-2</c:v>
                </c:pt>
                <c:pt idx="110">
                  <c:v>2.0454724254582644E-2</c:v>
                </c:pt>
                <c:pt idx="111">
                  <c:v>5.1864786676744249E-3</c:v>
                </c:pt>
                <c:pt idx="112">
                  <c:v>7.1281771117875075E-3</c:v>
                </c:pt>
                <c:pt idx="113">
                  <c:v>3.9928439938810966E-3</c:v>
                </c:pt>
                <c:pt idx="114">
                  <c:v>8.5181530151145282E-3</c:v>
                </c:pt>
                <c:pt idx="115">
                  <c:v>-2.3491145645102999E-3</c:v>
                </c:pt>
                <c:pt idx="116">
                  <c:v>-6.0002060156571901E-3</c:v>
                </c:pt>
                <c:pt idx="117">
                  <c:v>-6.4451520131470832E-3</c:v>
                </c:pt>
                <c:pt idx="118">
                  <c:v>-7.022292587012589E-3</c:v>
                </c:pt>
                <c:pt idx="119">
                  <c:v>1.9489178377269463E-3</c:v>
                </c:pt>
                <c:pt idx="120">
                  <c:v>1.490999922746118E-2</c:v>
                </c:pt>
                <c:pt idx="121">
                  <c:v>1.0286742960010286E-2</c:v>
                </c:pt>
                <c:pt idx="122">
                  <c:v>1.0407832857913808E-2</c:v>
                </c:pt>
                <c:pt idx="123">
                  <c:v>2.2635345364032358E-2</c:v>
                </c:pt>
                <c:pt idx="124">
                  <c:v>7.9043215457339916E-3</c:v>
                </c:pt>
                <c:pt idx="125">
                  <c:v>1.9549105182966195E-2</c:v>
                </c:pt>
                <c:pt idx="126">
                  <c:v>2.5081114487304938E-2</c:v>
                </c:pt>
                <c:pt idx="127">
                  <c:v>3.068802235619841E-2</c:v>
                </c:pt>
                <c:pt idx="128">
                  <c:v>3.3135573460452344E-2</c:v>
                </c:pt>
                <c:pt idx="129">
                  <c:v>2.7989558834931382E-2</c:v>
                </c:pt>
                <c:pt idx="130">
                  <c:v>1.9158566064907678E-2</c:v>
                </c:pt>
                <c:pt idx="131">
                  <c:v>1.8862612612612614E-2</c:v>
                </c:pt>
                <c:pt idx="132">
                  <c:v>2.6159545316147365E-2</c:v>
                </c:pt>
                <c:pt idx="133">
                  <c:v>1.6214840269823089E-2</c:v>
                </c:pt>
                <c:pt idx="134">
                  <c:v>2.8002441629787884E-2</c:v>
                </c:pt>
                <c:pt idx="135">
                  <c:v>2.4289444993788191E-2</c:v>
                </c:pt>
                <c:pt idx="136">
                  <c:v>4.141572054640047E-2</c:v>
                </c:pt>
                <c:pt idx="137">
                  <c:v>2.8571428571428571E-2</c:v>
                </c:pt>
                <c:pt idx="138">
                  <c:v>2.0674236334405145E-2</c:v>
                </c:pt>
                <c:pt idx="139">
                  <c:v>2.3548314211834408E-2</c:v>
                </c:pt>
                <c:pt idx="140">
                  <c:v>2.9264255980741262E-2</c:v>
                </c:pt>
                <c:pt idx="141">
                  <c:v>3.5222244569589702E-2</c:v>
                </c:pt>
                <c:pt idx="142">
                  <c:v>4.4737705331684793E-2</c:v>
                </c:pt>
                <c:pt idx="143">
                  <c:v>4.3331909869627469E-2</c:v>
                </c:pt>
                <c:pt idx="144">
                  <c:v>3.0858244937319191E-2</c:v>
                </c:pt>
                <c:pt idx="145">
                  <c:v>4.5964631030509497E-2</c:v>
                </c:pt>
                <c:pt idx="146">
                  <c:v>3.416709963136149E-2</c:v>
                </c:pt>
                <c:pt idx="147">
                  <c:v>4.6634817693507268E-2</c:v>
                </c:pt>
                <c:pt idx="148">
                  <c:v>3.5585086747877442E-2</c:v>
                </c:pt>
                <c:pt idx="149">
                  <c:v>4.3218085106382982E-2</c:v>
                </c:pt>
                <c:pt idx="150">
                  <c:v>3.8222047205335827E-2</c:v>
                </c:pt>
                <c:pt idx="151">
                  <c:v>4.3437737607613255E-2</c:v>
                </c:pt>
                <c:pt idx="152">
                  <c:v>4.3854306249238639E-2</c:v>
                </c:pt>
                <c:pt idx="153">
                  <c:v>4.0435194404643368E-2</c:v>
                </c:pt>
                <c:pt idx="154">
                  <c:v>3.4272051009564292E-2</c:v>
                </c:pt>
                <c:pt idx="155">
                  <c:v>3.989502576202629E-2</c:v>
                </c:pt>
                <c:pt idx="156">
                  <c:v>2.3746132258760884E-2</c:v>
                </c:pt>
                <c:pt idx="157">
                  <c:v>3.8843786670498356E-2</c:v>
                </c:pt>
                <c:pt idx="158">
                  <c:v>3.4282296650717706E-2</c:v>
                </c:pt>
                <c:pt idx="159">
                  <c:v>2.3319064399404017E-2</c:v>
                </c:pt>
                <c:pt idx="160">
                  <c:v>3.7380290392338582E-2</c:v>
                </c:pt>
                <c:pt idx="161">
                  <c:v>3.3496211316479001E-2</c:v>
                </c:pt>
                <c:pt idx="162">
                  <c:v>3.8948416461217522E-2</c:v>
                </c:pt>
                <c:pt idx="163">
                  <c:v>3.8033002679704761E-2</c:v>
                </c:pt>
                <c:pt idx="164">
                  <c:v>2.3363286264441591E-2</c:v>
                </c:pt>
                <c:pt idx="165">
                  <c:v>3.9680687176135571E-2</c:v>
                </c:pt>
                <c:pt idx="166">
                  <c:v>4.0842537888517855E-2</c:v>
                </c:pt>
                <c:pt idx="167">
                  <c:v>3.5632423421546155E-2</c:v>
                </c:pt>
                <c:pt idx="168">
                  <c:v>5.0959443312012367E-2</c:v>
                </c:pt>
                <c:pt idx="169">
                  <c:v>4.3684732243712394E-2</c:v>
                </c:pt>
                <c:pt idx="170">
                  <c:v>4.71399162676659E-2</c:v>
                </c:pt>
                <c:pt idx="171">
                  <c:v>3.9728211883796716E-2</c:v>
                </c:pt>
                <c:pt idx="172">
                  <c:v>4.1233334860493881E-2</c:v>
                </c:pt>
                <c:pt idx="173">
                  <c:v>4.2140605728381526E-2</c:v>
                </c:pt>
                <c:pt idx="174">
                  <c:v>4.3968330024870515E-2</c:v>
                </c:pt>
                <c:pt idx="175">
                  <c:v>3.3582427536231883E-2</c:v>
                </c:pt>
                <c:pt idx="176">
                  <c:v>4.5773844820508142E-2</c:v>
                </c:pt>
                <c:pt idx="177">
                  <c:v>3.5270082169637645E-2</c:v>
                </c:pt>
                <c:pt idx="178">
                  <c:v>4.6037871309342185E-2</c:v>
                </c:pt>
                <c:pt idx="179">
                  <c:v>4.6970713167896264E-2</c:v>
                </c:pt>
                <c:pt idx="180">
                  <c:v>4.4720884608525059E-2</c:v>
                </c:pt>
                <c:pt idx="181">
                  <c:v>3.1651720634359677E-2</c:v>
                </c:pt>
                <c:pt idx="182">
                  <c:v>3.5607784232731768E-2</c:v>
                </c:pt>
                <c:pt idx="183">
                  <c:v>5.2636258557837642E-2</c:v>
                </c:pt>
                <c:pt idx="184">
                  <c:v>4.1822501870022441E-2</c:v>
                </c:pt>
                <c:pt idx="185">
                  <c:v>4.2540600959957917E-2</c:v>
                </c:pt>
                <c:pt idx="186">
                  <c:v>4.5700922323731255E-2</c:v>
                </c:pt>
                <c:pt idx="187">
                  <c:v>5.1376990995333348E-2</c:v>
                </c:pt>
                <c:pt idx="188">
                  <c:v>4.1153250605194862E-2</c:v>
                </c:pt>
                <c:pt idx="189">
                  <c:v>3.4480515256001563E-2</c:v>
                </c:pt>
                <c:pt idx="190">
                  <c:v>1.5850205902539466E-2</c:v>
                </c:pt>
                <c:pt idx="191">
                  <c:v>2.3702248510601952E-3</c:v>
                </c:pt>
                <c:pt idx="192">
                  <c:v>1.6580598352609791E-2</c:v>
                </c:pt>
                <c:pt idx="193">
                  <c:v>4.7316248099856552E-3</c:v>
                </c:pt>
                <c:pt idx="194">
                  <c:v>6.1856109890578677E-4</c:v>
                </c:pt>
                <c:pt idx="195">
                  <c:v>-4.709012585522426E-3</c:v>
                </c:pt>
                <c:pt idx="196">
                  <c:v>-2.8719248231443353E-3</c:v>
                </c:pt>
                <c:pt idx="197">
                  <c:v>-4.5829128826101583E-3</c:v>
                </c:pt>
                <c:pt idx="198">
                  <c:v>-1.0763925175044414E-2</c:v>
                </c:pt>
                <c:pt idx="199">
                  <c:v>-1.4149370676002334E-2</c:v>
                </c:pt>
                <c:pt idx="200">
                  <c:v>-3.7913699204021787E-3</c:v>
                </c:pt>
                <c:pt idx="201">
                  <c:v>-2.0963042156677777E-3</c:v>
                </c:pt>
                <c:pt idx="202">
                  <c:v>6.8830099444714228E-3</c:v>
                </c:pt>
                <c:pt idx="203">
                  <c:v>2.5393038217374632E-2</c:v>
                </c:pt>
                <c:pt idx="204">
                  <c:v>4.9959067150863786E-3</c:v>
                </c:pt>
                <c:pt idx="205">
                  <c:v>3.7738663484486873E-2</c:v>
                </c:pt>
                <c:pt idx="206">
                  <c:v>2.9011766712141882E-2</c:v>
                </c:pt>
                <c:pt idx="207">
                  <c:v>2.2065219697451892E-2</c:v>
                </c:pt>
                <c:pt idx="208">
                  <c:v>2.0669645693470847E-2</c:v>
                </c:pt>
                <c:pt idx="209">
                  <c:v>1.1890179514255543E-2</c:v>
                </c:pt>
                <c:pt idx="210">
                  <c:v>1.2190999366152547E-2</c:v>
                </c:pt>
                <c:pt idx="211">
                  <c:v>2.0165296243843667E-2</c:v>
                </c:pt>
                <c:pt idx="212">
                  <c:v>2.3465590109127611E-2</c:v>
                </c:pt>
                <c:pt idx="213">
                  <c:v>2.0271831607251645E-2</c:v>
                </c:pt>
                <c:pt idx="214">
                  <c:v>3.0279519386021934E-2</c:v>
                </c:pt>
                <c:pt idx="215">
                  <c:v>2.181410229775211E-2</c:v>
                </c:pt>
                <c:pt idx="216">
                  <c:v>3.7533680055141301E-2</c:v>
                </c:pt>
                <c:pt idx="217">
                  <c:v>2.7064210764081397E-2</c:v>
                </c:pt>
                <c:pt idx="218">
                  <c:v>3.7432933523916058E-2</c:v>
                </c:pt>
                <c:pt idx="219">
                  <c:v>5.5279928590704339E-2</c:v>
                </c:pt>
                <c:pt idx="220">
                  <c:v>4.5440398381574855E-2</c:v>
                </c:pt>
                <c:pt idx="221">
                  <c:v>6.3239621814538849E-2</c:v>
                </c:pt>
                <c:pt idx="222">
                  <c:v>6.4228609597762332E-2</c:v>
                </c:pt>
                <c:pt idx="223">
                  <c:v>6.0481113896773929E-2</c:v>
                </c:pt>
                <c:pt idx="224">
                  <c:v>4.8772470467385719E-2</c:v>
                </c:pt>
                <c:pt idx="225">
                  <c:v>5.6745182012847964E-2</c:v>
                </c:pt>
                <c:pt idx="226">
                  <c:v>4.6465715506889466E-2</c:v>
                </c:pt>
                <c:pt idx="227">
                  <c:v>4.1293916720884838E-2</c:v>
                </c:pt>
                <c:pt idx="228">
                  <c:v>3.7564923299915447E-2</c:v>
                </c:pt>
                <c:pt idx="229">
                  <c:v>3.2808844992702479E-2</c:v>
                </c:pt>
                <c:pt idx="230">
                  <c:v>4.0435303514376998E-2</c:v>
                </c:pt>
                <c:pt idx="231">
                  <c:v>2.8719804862695729E-2</c:v>
                </c:pt>
                <c:pt idx="232">
                  <c:v>3.6796665674307831E-2</c:v>
                </c:pt>
                <c:pt idx="233">
                  <c:v>2.4772785269811359E-2</c:v>
                </c:pt>
                <c:pt idx="234">
                  <c:v>2.4458653695276951E-2</c:v>
                </c:pt>
                <c:pt idx="235">
                  <c:v>2.2996365909890196E-2</c:v>
                </c:pt>
                <c:pt idx="236">
                  <c:v>2.9285588356285138E-2</c:v>
                </c:pt>
                <c:pt idx="237">
                  <c:v>2.9849583041072401E-2</c:v>
                </c:pt>
                <c:pt idx="238">
                  <c:v>2.4389295161039364E-2</c:v>
                </c:pt>
                <c:pt idx="239">
                  <c:v>2.8780630674607049E-2</c:v>
                </c:pt>
                <c:pt idx="240">
                  <c:v>2.1614280170741171E-2</c:v>
                </c:pt>
                <c:pt idx="241">
                  <c:v>3.0430910991521159E-2</c:v>
                </c:pt>
                <c:pt idx="242">
                  <c:v>1.9153632089050954E-2</c:v>
                </c:pt>
                <c:pt idx="243">
                  <c:v>8.3562796389781251E-3</c:v>
                </c:pt>
                <c:pt idx="244">
                  <c:v>1.9410785045655545E-2</c:v>
                </c:pt>
                <c:pt idx="245">
                  <c:v>1.9385116368163969E-2</c:v>
                </c:pt>
                <c:pt idx="246">
                  <c:v>2.6555110949436158E-2</c:v>
                </c:pt>
                <c:pt idx="247">
                  <c:v>2.5477950304627666E-2</c:v>
                </c:pt>
                <c:pt idx="248">
                  <c:v>2.4284409257003654E-2</c:v>
                </c:pt>
                <c:pt idx="249">
                  <c:v>2.0565309520205841E-2</c:v>
                </c:pt>
                <c:pt idx="250">
                  <c:v>2.6504651604328841E-2</c:v>
                </c:pt>
                <c:pt idx="251">
                  <c:v>3.6383305813357629E-2</c:v>
                </c:pt>
                <c:pt idx="252">
                  <c:v>4.0699661944011853E-2</c:v>
                </c:pt>
                <c:pt idx="253">
                  <c:v>2.8724403531842947E-2</c:v>
                </c:pt>
                <c:pt idx="254">
                  <c:v>3.3613920117507488E-2</c:v>
                </c:pt>
                <c:pt idx="255">
                  <c:v>4.8280962585098515E-2</c:v>
                </c:pt>
                <c:pt idx="256">
                  <c:v>4.1274669971644792E-2</c:v>
                </c:pt>
                <c:pt idx="257">
                  <c:v>5.1656425578292649E-2</c:v>
                </c:pt>
                <c:pt idx="258">
                  <c:v>4.7111044798388603E-2</c:v>
                </c:pt>
                <c:pt idx="259">
                  <c:v>4.8535190806995324E-2</c:v>
                </c:pt>
                <c:pt idx="260">
                  <c:v>4.9349684132292827E-2</c:v>
                </c:pt>
                <c:pt idx="261">
                  <c:v>5.251839905084997E-2</c:v>
                </c:pt>
                <c:pt idx="262">
                  <c:v>4.9901971664262197E-2</c:v>
                </c:pt>
                <c:pt idx="263">
                  <c:v>4.5910705783247262E-2</c:v>
                </c:pt>
                <c:pt idx="264">
                  <c:v>4.2246838330565542E-2</c:v>
                </c:pt>
                <c:pt idx="265">
                  <c:v>4.4504099782684124E-2</c:v>
                </c:pt>
                <c:pt idx="266">
                  <c:v>4.1903512607491616E-2</c:v>
                </c:pt>
                <c:pt idx="267">
                  <c:v>3.2797264784095226E-2</c:v>
                </c:pt>
                <c:pt idx="268">
                  <c:v>3.0874105065733713E-2</c:v>
                </c:pt>
                <c:pt idx="269">
                  <c:v>2.5962191330450631E-2</c:v>
                </c:pt>
                <c:pt idx="270">
                  <c:v>2.5452408093473926E-2</c:v>
                </c:pt>
                <c:pt idx="271">
                  <c:v>2.2984422458658234E-2</c:v>
                </c:pt>
                <c:pt idx="272">
                  <c:v>1.6484878532473973E-2</c:v>
                </c:pt>
                <c:pt idx="273">
                  <c:v>6.3054811892348881E-3</c:v>
                </c:pt>
                <c:pt idx="274">
                  <c:v>1.3670636318793601E-2</c:v>
                </c:pt>
                <c:pt idx="275">
                  <c:v>4.4123054295869589E-3</c:v>
                </c:pt>
                <c:pt idx="276">
                  <c:v>8.8948031937246107E-3</c:v>
                </c:pt>
                <c:pt idx="277">
                  <c:v>8.5320651793831734E-3</c:v>
                </c:pt>
                <c:pt idx="278">
                  <c:v>1.2240330139190041E-4</c:v>
                </c:pt>
                <c:pt idx="279">
                  <c:v>1.3469487844181321E-2</c:v>
                </c:pt>
                <c:pt idx="280">
                  <c:v>1.6846561587040568E-2</c:v>
                </c:pt>
                <c:pt idx="281">
                  <c:v>1.92967484630523E-2</c:v>
                </c:pt>
                <c:pt idx="282">
                  <c:v>1.0404182516109983E-2</c:v>
                </c:pt>
                <c:pt idx="283">
                  <c:v>1.4810827704755787E-2</c:v>
                </c:pt>
                <c:pt idx="284">
                  <c:v>2.2819516783667497E-2</c:v>
                </c:pt>
                <c:pt idx="285">
                  <c:v>3.3605208807365144E-2</c:v>
                </c:pt>
                <c:pt idx="286">
                  <c:v>2.7198470629127565E-2</c:v>
                </c:pt>
                <c:pt idx="287">
                  <c:v>3.4219471803364418E-2</c:v>
                </c:pt>
                <c:pt idx="288">
                  <c:v>3.3686220062478303E-2</c:v>
                </c:pt>
                <c:pt idx="289">
                  <c:v>3.7237362180153943E-2</c:v>
                </c:pt>
                <c:pt idx="290">
                  <c:v>5.4672611242241452E-2</c:v>
                </c:pt>
                <c:pt idx="291">
                  <c:v>4.4935275919876949E-2</c:v>
                </c:pt>
                <c:pt idx="292">
                  <c:v>4.2803564669855139E-2</c:v>
                </c:pt>
                <c:pt idx="293">
                  <c:v>3.222444341927657E-2</c:v>
                </c:pt>
                <c:pt idx="294">
                  <c:v>3.9039400398817301E-2</c:v>
                </c:pt>
                <c:pt idx="295">
                  <c:v>3.9626321732881636E-2</c:v>
                </c:pt>
                <c:pt idx="296">
                  <c:v>4.4518623226663487E-2</c:v>
                </c:pt>
                <c:pt idx="297">
                  <c:v>4.2486537745114641E-2</c:v>
                </c:pt>
                <c:pt idx="298">
                  <c:v>4.5021571779037303E-2</c:v>
                </c:pt>
                <c:pt idx="299">
                  <c:v>4.9790992448759439E-2</c:v>
                </c:pt>
                <c:pt idx="300">
                  <c:v>3.9858296536324105E-2</c:v>
                </c:pt>
                <c:pt idx="301">
                  <c:v>3.6669340820965367E-2</c:v>
                </c:pt>
                <c:pt idx="302">
                  <c:v>3.0569278206956003E-2</c:v>
                </c:pt>
                <c:pt idx="303">
                  <c:v>3.3988852318023191E-2</c:v>
                </c:pt>
                <c:pt idx="304">
                  <c:v>3.1378889365493122E-2</c:v>
                </c:pt>
                <c:pt idx="305">
                  <c:v>3.2062635525466371E-2</c:v>
                </c:pt>
                <c:pt idx="306">
                  <c:v>3.7556044537829028E-2</c:v>
                </c:pt>
                <c:pt idx="307">
                  <c:v>2.8767979987492184E-2</c:v>
                </c:pt>
                <c:pt idx="308">
                  <c:v>2.4163962759452807E-2</c:v>
                </c:pt>
                <c:pt idx="309">
                  <c:v>2.4251579682601564E-2</c:v>
                </c:pt>
                <c:pt idx="310">
                  <c:v>2.2212867920862609E-2</c:v>
                </c:pt>
                <c:pt idx="311">
                  <c:v>1.119103432773514E-2</c:v>
                </c:pt>
                <c:pt idx="312">
                  <c:v>3.237264874465165E-2</c:v>
                </c:pt>
                <c:pt idx="313">
                  <c:v>7.5291006997065743E-3</c:v>
                </c:pt>
                <c:pt idx="314">
                  <c:v>2.5061930959045138E-2</c:v>
                </c:pt>
                <c:pt idx="315">
                  <c:v>2.2938127839273147E-2</c:v>
                </c:pt>
                <c:pt idx="316">
                  <c:v>2.4873632350118368E-2</c:v>
                </c:pt>
                <c:pt idx="317">
                  <c:v>3.5396952686447471E-2</c:v>
                </c:pt>
                <c:pt idx="318">
                  <c:v>4.1953024093888028E-2</c:v>
                </c:pt>
                <c:pt idx="319">
                  <c:v>4.5080787074068152E-2</c:v>
                </c:pt>
                <c:pt idx="320">
                  <c:v>3.2763918297167786E-2</c:v>
                </c:pt>
                <c:pt idx="321">
                  <c:v>2.9481730525247399E-2</c:v>
                </c:pt>
                <c:pt idx="322">
                  <c:v>3.2848680667743671E-2</c:v>
                </c:pt>
                <c:pt idx="323">
                  <c:v>4.2823798408993474E-2</c:v>
                </c:pt>
                <c:pt idx="324">
                  <c:v>2.1598373475132937E-2</c:v>
                </c:pt>
                <c:pt idx="325">
                  <c:v>4.5333077304658125E-2</c:v>
                </c:pt>
                <c:pt idx="326">
                  <c:v>0.29845897934844012</c:v>
                </c:pt>
                <c:pt idx="327">
                  <c:v>0.12663017982799063</c:v>
                </c:pt>
                <c:pt idx="328">
                  <c:v>0.15031761639431257</c:v>
                </c:pt>
                <c:pt idx="329">
                  <c:v>0.12320894713199189</c:v>
                </c:pt>
                <c:pt idx="330">
                  <c:v>0.11280301175318315</c:v>
                </c:pt>
                <c:pt idx="331">
                  <c:v>9.864070536370316E-2</c:v>
                </c:pt>
              </c:numCache>
            </c:numRef>
          </c:val>
          <c:smooth val="0"/>
          <c:extLst>
            <c:ext xmlns:c16="http://schemas.microsoft.com/office/drawing/2014/chart" uri="{C3380CC4-5D6E-409C-BE32-E72D297353CC}">
              <c16:uniqueId val="{00000002-BCE2-42B6-A05A-7F40D2895D2E}"/>
            </c:ext>
          </c:extLst>
        </c:ser>
        <c:dLbls>
          <c:showLegendKey val="0"/>
          <c:showVal val="0"/>
          <c:showCatName val="0"/>
          <c:showSerName val="0"/>
          <c:showPercent val="0"/>
          <c:showBubbleSize val="0"/>
        </c:dLbls>
        <c:smooth val="0"/>
        <c:axId val="1033339464"/>
        <c:axId val="1033342744"/>
      </c:lineChart>
      <c:dateAx>
        <c:axId val="1033339464"/>
        <c:scaling>
          <c:orientation val="minMax"/>
        </c:scaling>
        <c:delete val="0"/>
        <c:axPos val="b"/>
        <c:numFmt formatCode="[$-409]mmm\-yy;@" sourceLinked="1"/>
        <c:majorTickMark val="out"/>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33342744"/>
        <c:crosses val="autoZero"/>
        <c:auto val="1"/>
        <c:lblOffset val="100"/>
        <c:baseTimeUnit val="months"/>
      </c:dateAx>
      <c:valAx>
        <c:axId val="103334274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3333946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'Non Store Retail'!$B$6</c:f>
              <c:strCache>
                <c:ptCount val="1"/>
                <c:pt idx="0">
                  <c:v>Nonstore Retailers, Millions of Dollars</c:v>
                </c:pt>
              </c:strCache>
            </c:strRef>
          </c:tx>
          <c:spPr>
            <a:ln w="28575" cap="rnd">
              <a:solidFill>
                <a:schemeClr val="accent1"/>
              </a:solidFill>
              <a:round/>
            </a:ln>
            <a:effectLst/>
          </c:spPr>
          <c:marker>
            <c:symbol val="none"/>
          </c:marker>
          <c:cat>
            <c:numRef>
              <c:f>'Non Store Retail'!$A$7:$A$350</c:f>
              <c:numCache>
                <c:formatCode>[$-409]mmm\-yy;@</c:formatCode>
                <c:ptCount val="344"/>
                <c:pt idx="0">
                  <c:v>33604</c:v>
                </c:pt>
                <c:pt idx="1">
                  <c:v>33635</c:v>
                </c:pt>
                <c:pt idx="2">
                  <c:v>33664</c:v>
                </c:pt>
                <c:pt idx="3">
                  <c:v>33695</c:v>
                </c:pt>
                <c:pt idx="4">
                  <c:v>33725</c:v>
                </c:pt>
                <c:pt idx="5">
                  <c:v>33756</c:v>
                </c:pt>
                <c:pt idx="6">
                  <c:v>33786</c:v>
                </c:pt>
                <c:pt idx="7">
                  <c:v>33817</c:v>
                </c:pt>
                <c:pt idx="8">
                  <c:v>33848</c:v>
                </c:pt>
                <c:pt idx="9">
                  <c:v>33878</c:v>
                </c:pt>
                <c:pt idx="10">
                  <c:v>33909</c:v>
                </c:pt>
                <c:pt idx="11">
                  <c:v>33939</c:v>
                </c:pt>
                <c:pt idx="12">
                  <c:v>33970</c:v>
                </c:pt>
                <c:pt idx="13">
                  <c:v>34001</c:v>
                </c:pt>
                <c:pt idx="14">
                  <c:v>34029</c:v>
                </c:pt>
                <c:pt idx="15">
                  <c:v>34060</c:v>
                </c:pt>
                <c:pt idx="16">
                  <c:v>34090</c:v>
                </c:pt>
                <c:pt idx="17">
                  <c:v>34121</c:v>
                </c:pt>
                <c:pt idx="18">
                  <c:v>34151</c:v>
                </c:pt>
                <c:pt idx="19">
                  <c:v>34182</c:v>
                </c:pt>
                <c:pt idx="20">
                  <c:v>34213</c:v>
                </c:pt>
                <c:pt idx="21">
                  <c:v>34243</c:v>
                </c:pt>
                <c:pt idx="22">
                  <c:v>34274</c:v>
                </c:pt>
                <c:pt idx="23">
                  <c:v>34304</c:v>
                </c:pt>
                <c:pt idx="24">
                  <c:v>34335</c:v>
                </c:pt>
                <c:pt idx="25">
                  <c:v>34366</c:v>
                </c:pt>
                <c:pt idx="26">
                  <c:v>34394</c:v>
                </c:pt>
                <c:pt idx="27">
                  <c:v>34425</c:v>
                </c:pt>
                <c:pt idx="28">
                  <c:v>34455</c:v>
                </c:pt>
                <c:pt idx="29">
                  <c:v>34486</c:v>
                </c:pt>
                <c:pt idx="30">
                  <c:v>34516</c:v>
                </c:pt>
                <c:pt idx="31">
                  <c:v>34547</c:v>
                </c:pt>
                <c:pt idx="32">
                  <c:v>34578</c:v>
                </c:pt>
                <c:pt idx="33">
                  <c:v>34608</c:v>
                </c:pt>
                <c:pt idx="34">
                  <c:v>34639</c:v>
                </c:pt>
                <c:pt idx="35">
                  <c:v>34669</c:v>
                </c:pt>
                <c:pt idx="36">
                  <c:v>34700</c:v>
                </c:pt>
                <c:pt idx="37">
                  <c:v>34731</c:v>
                </c:pt>
                <c:pt idx="38">
                  <c:v>34759</c:v>
                </c:pt>
                <c:pt idx="39">
                  <c:v>34790</c:v>
                </c:pt>
                <c:pt idx="40">
                  <c:v>34820</c:v>
                </c:pt>
                <c:pt idx="41">
                  <c:v>34851</c:v>
                </c:pt>
                <c:pt idx="42">
                  <c:v>34881</c:v>
                </c:pt>
                <c:pt idx="43">
                  <c:v>34912</c:v>
                </c:pt>
                <c:pt idx="44">
                  <c:v>34943</c:v>
                </c:pt>
                <c:pt idx="45">
                  <c:v>34973</c:v>
                </c:pt>
                <c:pt idx="46">
                  <c:v>35004</c:v>
                </c:pt>
                <c:pt idx="47">
                  <c:v>35034</c:v>
                </c:pt>
                <c:pt idx="48">
                  <c:v>35065</c:v>
                </c:pt>
                <c:pt idx="49">
                  <c:v>35096</c:v>
                </c:pt>
                <c:pt idx="50">
                  <c:v>35125</c:v>
                </c:pt>
                <c:pt idx="51">
                  <c:v>35156</c:v>
                </c:pt>
                <c:pt idx="52">
                  <c:v>35186</c:v>
                </c:pt>
                <c:pt idx="53">
                  <c:v>35217</c:v>
                </c:pt>
                <c:pt idx="54">
                  <c:v>35247</c:v>
                </c:pt>
                <c:pt idx="55">
                  <c:v>35278</c:v>
                </c:pt>
                <c:pt idx="56">
                  <c:v>35309</c:v>
                </c:pt>
                <c:pt idx="57">
                  <c:v>35339</c:v>
                </c:pt>
                <c:pt idx="58">
                  <c:v>35370</c:v>
                </c:pt>
                <c:pt idx="59">
                  <c:v>35400</c:v>
                </c:pt>
                <c:pt idx="60">
                  <c:v>35431</c:v>
                </c:pt>
                <c:pt idx="61">
                  <c:v>35462</c:v>
                </c:pt>
                <c:pt idx="62">
                  <c:v>35490</c:v>
                </c:pt>
                <c:pt idx="63">
                  <c:v>35521</c:v>
                </c:pt>
                <c:pt idx="64">
                  <c:v>35551</c:v>
                </c:pt>
                <c:pt idx="65">
                  <c:v>35582</c:v>
                </c:pt>
                <c:pt idx="66">
                  <c:v>35612</c:v>
                </c:pt>
                <c:pt idx="67">
                  <c:v>35643</c:v>
                </c:pt>
                <c:pt idx="68">
                  <c:v>35674</c:v>
                </c:pt>
                <c:pt idx="69">
                  <c:v>35704</c:v>
                </c:pt>
                <c:pt idx="70">
                  <c:v>35735</c:v>
                </c:pt>
                <c:pt idx="71">
                  <c:v>35765</c:v>
                </c:pt>
                <c:pt idx="72">
                  <c:v>35796</c:v>
                </c:pt>
                <c:pt idx="73">
                  <c:v>35827</c:v>
                </c:pt>
                <c:pt idx="74">
                  <c:v>35855</c:v>
                </c:pt>
                <c:pt idx="75">
                  <c:v>35886</c:v>
                </c:pt>
                <c:pt idx="76">
                  <c:v>35916</c:v>
                </c:pt>
                <c:pt idx="77">
                  <c:v>35947</c:v>
                </c:pt>
                <c:pt idx="78">
                  <c:v>35977</c:v>
                </c:pt>
                <c:pt idx="79">
                  <c:v>36008</c:v>
                </c:pt>
                <c:pt idx="80">
                  <c:v>36039</c:v>
                </c:pt>
                <c:pt idx="81">
                  <c:v>36069</c:v>
                </c:pt>
                <c:pt idx="82">
                  <c:v>36100</c:v>
                </c:pt>
                <c:pt idx="83">
                  <c:v>36130</c:v>
                </c:pt>
                <c:pt idx="84">
                  <c:v>36161</c:v>
                </c:pt>
                <c:pt idx="85">
                  <c:v>36192</c:v>
                </c:pt>
                <c:pt idx="86">
                  <c:v>36220</c:v>
                </c:pt>
                <c:pt idx="87">
                  <c:v>36251</c:v>
                </c:pt>
                <c:pt idx="88">
                  <c:v>36281</c:v>
                </c:pt>
                <c:pt idx="89">
                  <c:v>36312</c:v>
                </c:pt>
                <c:pt idx="90">
                  <c:v>36342</c:v>
                </c:pt>
                <c:pt idx="91">
                  <c:v>36373</c:v>
                </c:pt>
                <c:pt idx="92">
                  <c:v>36404</c:v>
                </c:pt>
                <c:pt idx="93">
                  <c:v>36434</c:v>
                </c:pt>
                <c:pt idx="94">
                  <c:v>36465</c:v>
                </c:pt>
                <c:pt idx="95">
                  <c:v>36495</c:v>
                </c:pt>
                <c:pt idx="96">
                  <c:v>36526</c:v>
                </c:pt>
                <c:pt idx="97">
                  <c:v>36557</c:v>
                </c:pt>
                <c:pt idx="98">
                  <c:v>36586</c:v>
                </c:pt>
                <c:pt idx="99">
                  <c:v>36617</c:v>
                </c:pt>
                <c:pt idx="100">
                  <c:v>36647</c:v>
                </c:pt>
                <c:pt idx="101">
                  <c:v>36678</c:v>
                </c:pt>
                <c:pt idx="102">
                  <c:v>36708</c:v>
                </c:pt>
                <c:pt idx="103">
                  <c:v>36739</c:v>
                </c:pt>
                <c:pt idx="104">
                  <c:v>36770</c:v>
                </c:pt>
                <c:pt idx="105">
                  <c:v>36800</c:v>
                </c:pt>
                <c:pt idx="106">
                  <c:v>36831</c:v>
                </c:pt>
                <c:pt idx="107">
                  <c:v>36861</c:v>
                </c:pt>
                <c:pt idx="108">
                  <c:v>36892</c:v>
                </c:pt>
                <c:pt idx="109">
                  <c:v>36923</c:v>
                </c:pt>
                <c:pt idx="110">
                  <c:v>36951</c:v>
                </c:pt>
                <c:pt idx="111">
                  <c:v>36982</c:v>
                </c:pt>
                <c:pt idx="112">
                  <c:v>37012</c:v>
                </c:pt>
                <c:pt idx="113">
                  <c:v>37043</c:v>
                </c:pt>
                <c:pt idx="114">
                  <c:v>37073</c:v>
                </c:pt>
                <c:pt idx="115">
                  <c:v>37104</c:v>
                </c:pt>
                <c:pt idx="116">
                  <c:v>37135</c:v>
                </c:pt>
                <c:pt idx="117">
                  <c:v>37165</c:v>
                </c:pt>
                <c:pt idx="118">
                  <c:v>37196</c:v>
                </c:pt>
                <c:pt idx="119">
                  <c:v>37226</c:v>
                </c:pt>
                <c:pt idx="120">
                  <c:v>37257</c:v>
                </c:pt>
                <c:pt idx="121">
                  <c:v>37288</c:v>
                </c:pt>
                <c:pt idx="122">
                  <c:v>37316</c:v>
                </c:pt>
                <c:pt idx="123">
                  <c:v>37347</c:v>
                </c:pt>
                <c:pt idx="124">
                  <c:v>37377</c:v>
                </c:pt>
                <c:pt idx="125">
                  <c:v>37408</c:v>
                </c:pt>
                <c:pt idx="126">
                  <c:v>37438</c:v>
                </c:pt>
                <c:pt idx="127">
                  <c:v>37469</c:v>
                </c:pt>
                <c:pt idx="128">
                  <c:v>37500</c:v>
                </c:pt>
                <c:pt idx="129">
                  <c:v>37530</c:v>
                </c:pt>
                <c:pt idx="130">
                  <c:v>37561</c:v>
                </c:pt>
                <c:pt idx="131">
                  <c:v>37591</c:v>
                </c:pt>
                <c:pt idx="132">
                  <c:v>37622</c:v>
                </c:pt>
                <c:pt idx="133">
                  <c:v>37653</c:v>
                </c:pt>
                <c:pt idx="134">
                  <c:v>37681</c:v>
                </c:pt>
                <c:pt idx="135">
                  <c:v>37712</c:v>
                </c:pt>
                <c:pt idx="136">
                  <c:v>37742</c:v>
                </c:pt>
                <c:pt idx="137">
                  <c:v>37773</c:v>
                </c:pt>
                <c:pt idx="138">
                  <c:v>37803</c:v>
                </c:pt>
                <c:pt idx="139">
                  <c:v>37834</c:v>
                </c:pt>
                <c:pt idx="140">
                  <c:v>37865</c:v>
                </c:pt>
                <c:pt idx="141">
                  <c:v>37895</c:v>
                </c:pt>
                <c:pt idx="142">
                  <c:v>37926</c:v>
                </c:pt>
                <c:pt idx="143">
                  <c:v>37956</c:v>
                </c:pt>
                <c:pt idx="144">
                  <c:v>37987</c:v>
                </c:pt>
                <c:pt idx="145">
                  <c:v>38018</c:v>
                </c:pt>
                <c:pt idx="146">
                  <c:v>38047</c:v>
                </c:pt>
                <c:pt idx="147">
                  <c:v>38078</c:v>
                </c:pt>
                <c:pt idx="148">
                  <c:v>38108</c:v>
                </c:pt>
                <c:pt idx="149">
                  <c:v>38139</c:v>
                </c:pt>
                <c:pt idx="150">
                  <c:v>38169</c:v>
                </c:pt>
                <c:pt idx="151">
                  <c:v>38200</c:v>
                </c:pt>
                <c:pt idx="152">
                  <c:v>38231</c:v>
                </c:pt>
                <c:pt idx="153">
                  <c:v>38261</c:v>
                </c:pt>
                <c:pt idx="154">
                  <c:v>38292</c:v>
                </c:pt>
                <c:pt idx="155">
                  <c:v>38322</c:v>
                </c:pt>
                <c:pt idx="156">
                  <c:v>38353</c:v>
                </c:pt>
                <c:pt idx="157">
                  <c:v>38384</c:v>
                </c:pt>
                <c:pt idx="158">
                  <c:v>38412</c:v>
                </c:pt>
                <c:pt idx="159">
                  <c:v>38443</c:v>
                </c:pt>
                <c:pt idx="160">
                  <c:v>38473</c:v>
                </c:pt>
                <c:pt idx="161">
                  <c:v>38504</c:v>
                </c:pt>
                <c:pt idx="162">
                  <c:v>38534</c:v>
                </c:pt>
                <c:pt idx="163">
                  <c:v>38565</c:v>
                </c:pt>
                <c:pt idx="164">
                  <c:v>38596</c:v>
                </c:pt>
                <c:pt idx="165">
                  <c:v>38626</c:v>
                </c:pt>
                <c:pt idx="166">
                  <c:v>38657</c:v>
                </c:pt>
                <c:pt idx="167">
                  <c:v>38687</c:v>
                </c:pt>
                <c:pt idx="168">
                  <c:v>38718</c:v>
                </c:pt>
                <c:pt idx="169">
                  <c:v>38749</c:v>
                </c:pt>
                <c:pt idx="170">
                  <c:v>38777</c:v>
                </c:pt>
                <c:pt idx="171">
                  <c:v>38808</c:v>
                </c:pt>
                <c:pt idx="172">
                  <c:v>38838</c:v>
                </c:pt>
                <c:pt idx="173">
                  <c:v>38869</c:v>
                </c:pt>
                <c:pt idx="174">
                  <c:v>38899</c:v>
                </c:pt>
                <c:pt idx="175">
                  <c:v>38930</c:v>
                </c:pt>
                <c:pt idx="176">
                  <c:v>38961</c:v>
                </c:pt>
                <c:pt idx="177">
                  <c:v>38991</c:v>
                </c:pt>
                <c:pt idx="178">
                  <c:v>39022</c:v>
                </c:pt>
                <c:pt idx="179">
                  <c:v>39052</c:v>
                </c:pt>
                <c:pt idx="180">
                  <c:v>39083</c:v>
                </c:pt>
                <c:pt idx="181">
                  <c:v>39114</c:v>
                </c:pt>
                <c:pt idx="182">
                  <c:v>39142</c:v>
                </c:pt>
                <c:pt idx="183">
                  <c:v>39173</c:v>
                </c:pt>
                <c:pt idx="184">
                  <c:v>39203</c:v>
                </c:pt>
                <c:pt idx="185">
                  <c:v>39234</c:v>
                </c:pt>
                <c:pt idx="186">
                  <c:v>39264</c:v>
                </c:pt>
                <c:pt idx="187">
                  <c:v>39295</c:v>
                </c:pt>
                <c:pt idx="188">
                  <c:v>39326</c:v>
                </c:pt>
                <c:pt idx="189">
                  <c:v>39356</c:v>
                </c:pt>
                <c:pt idx="190">
                  <c:v>39387</c:v>
                </c:pt>
                <c:pt idx="191">
                  <c:v>39417</c:v>
                </c:pt>
                <c:pt idx="192">
                  <c:v>39448</c:v>
                </c:pt>
                <c:pt idx="193">
                  <c:v>39479</c:v>
                </c:pt>
                <c:pt idx="194">
                  <c:v>39508</c:v>
                </c:pt>
                <c:pt idx="195">
                  <c:v>39539</c:v>
                </c:pt>
                <c:pt idx="196">
                  <c:v>39569</c:v>
                </c:pt>
                <c:pt idx="197">
                  <c:v>39600</c:v>
                </c:pt>
                <c:pt idx="198">
                  <c:v>39630</c:v>
                </c:pt>
                <c:pt idx="199">
                  <c:v>39661</c:v>
                </c:pt>
                <c:pt idx="200">
                  <c:v>39692</c:v>
                </c:pt>
                <c:pt idx="201">
                  <c:v>39722</c:v>
                </c:pt>
                <c:pt idx="202">
                  <c:v>39753</c:v>
                </c:pt>
                <c:pt idx="203">
                  <c:v>39783</c:v>
                </c:pt>
                <c:pt idx="204">
                  <c:v>39814</c:v>
                </c:pt>
                <c:pt idx="205">
                  <c:v>39845</c:v>
                </c:pt>
                <c:pt idx="206">
                  <c:v>39873</c:v>
                </c:pt>
                <c:pt idx="207">
                  <c:v>39904</c:v>
                </c:pt>
                <c:pt idx="208">
                  <c:v>39934</c:v>
                </c:pt>
                <c:pt idx="209">
                  <c:v>39965</c:v>
                </c:pt>
                <c:pt idx="210">
                  <c:v>39995</c:v>
                </c:pt>
                <c:pt idx="211">
                  <c:v>40026</c:v>
                </c:pt>
                <c:pt idx="212">
                  <c:v>40057</c:v>
                </c:pt>
                <c:pt idx="213">
                  <c:v>40087</c:v>
                </c:pt>
                <c:pt idx="214">
                  <c:v>40118</c:v>
                </c:pt>
                <c:pt idx="215">
                  <c:v>40148</c:v>
                </c:pt>
                <c:pt idx="216">
                  <c:v>40179</c:v>
                </c:pt>
                <c:pt idx="217">
                  <c:v>40210</c:v>
                </c:pt>
                <c:pt idx="218">
                  <c:v>40238</c:v>
                </c:pt>
                <c:pt idx="219">
                  <c:v>40269</c:v>
                </c:pt>
                <c:pt idx="220">
                  <c:v>40299</c:v>
                </c:pt>
                <c:pt idx="221">
                  <c:v>40330</c:v>
                </c:pt>
                <c:pt idx="222">
                  <c:v>40360</c:v>
                </c:pt>
                <c:pt idx="223">
                  <c:v>40391</c:v>
                </c:pt>
                <c:pt idx="224">
                  <c:v>40422</c:v>
                </c:pt>
                <c:pt idx="225">
                  <c:v>40452</c:v>
                </c:pt>
                <c:pt idx="226">
                  <c:v>40483</c:v>
                </c:pt>
                <c:pt idx="227">
                  <c:v>40513</c:v>
                </c:pt>
                <c:pt idx="228">
                  <c:v>40544</c:v>
                </c:pt>
                <c:pt idx="229">
                  <c:v>40575</c:v>
                </c:pt>
                <c:pt idx="230">
                  <c:v>40603</c:v>
                </c:pt>
                <c:pt idx="231">
                  <c:v>40634</c:v>
                </c:pt>
                <c:pt idx="232">
                  <c:v>40664</c:v>
                </c:pt>
                <c:pt idx="233">
                  <c:v>40695</c:v>
                </c:pt>
                <c:pt idx="234">
                  <c:v>40725</c:v>
                </c:pt>
                <c:pt idx="235">
                  <c:v>40756</c:v>
                </c:pt>
                <c:pt idx="236">
                  <c:v>40787</c:v>
                </c:pt>
                <c:pt idx="237">
                  <c:v>40817</c:v>
                </c:pt>
                <c:pt idx="238">
                  <c:v>40848</c:v>
                </c:pt>
                <c:pt idx="239">
                  <c:v>40878</c:v>
                </c:pt>
                <c:pt idx="240">
                  <c:v>40909</c:v>
                </c:pt>
                <c:pt idx="241">
                  <c:v>40940</c:v>
                </c:pt>
                <c:pt idx="242">
                  <c:v>40969</c:v>
                </c:pt>
                <c:pt idx="243">
                  <c:v>41000</c:v>
                </c:pt>
                <c:pt idx="244">
                  <c:v>41030</c:v>
                </c:pt>
                <c:pt idx="245">
                  <c:v>41061</c:v>
                </c:pt>
                <c:pt idx="246">
                  <c:v>41091</c:v>
                </c:pt>
                <c:pt idx="247">
                  <c:v>41122</c:v>
                </c:pt>
                <c:pt idx="248">
                  <c:v>41153</c:v>
                </c:pt>
                <c:pt idx="249">
                  <c:v>41183</c:v>
                </c:pt>
                <c:pt idx="250">
                  <c:v>41214</c:v>
                </c:pt>
                <c:pt idx="251">
                  <c:v>41244</c:v>
                </c:pt>
                <c:pt idx="252">
                  <c:v>41275</c:v>
                </c:pt>
                <c:pt idx="253">
                  <c:v>41306</c:v>
                </c:pt>
                <c:pt idx="254">
                  <c:v>41334</c:v>
                </c:pt>
                <c:pt idx="255">
                  <c:v>41365</c:v>
                </c:pt>
                <c:pt idx="256">
                  <c:v>41395</c:v>
                </c:pt>
                <c:pt idx="257">
                  <c:v>41426</c:v>
                </c:pt>
                <c:pt idx="258">
                  <c:v>41456</c:v>
                </c:pt>
                <c:pt idx="259">
                  <c:v>41487</c:v>
                </c:pt>
                <c:pt idx="260">
                  <c:v>41518</c:v>
                </c:pt>
                <c:pt idx="261">
                  <c:v>41548</c:v>
                </c:pt>
                <c:pt idx="262">
                  <c:v>41579</c:v>
                </c:pt>
                <c:pt idx="263">
                  <c:v>41609</c:v>
                </c:pt>
                <c:pt idx="264">
                  <c:v>41640</c:v>
                </c:pt>
                <c:pt idx="265">
                  <c:v>41671</c:v>
                </c:pt>
                <c:pt idx="266">
                  <c:v>41699</c:v>
                </c:pt>
                <c:pt idx="267">
                  <c:v>41730</c:v>
                </c:pt>
                <c:pt idx="268">
                  <c:v>41760</c:v>
                </c:pt>
                <c:pt idx="269">
                  <c:v>41791</c:v>
                </c:pt>
                <c:pt idx="270">
                  <c:v>41821</c:v>
                </c:pt>
                <c:pt idx="271">
                  <c:v>41852</c:v>
                </c:pt>
                <c:pt idx="272">
                  <c:v>41883</c:v>
                </c:pt>
                <c:pt idx="273">
                  <c:v>41913</c:v>
                </c:pt>
                <c:pt idx="274">
                  <c:v>41944</c:v>
                </c:pt>
                <c:pt idx="275">
                  <c:v>41974</c:v>
                </c:pt>
                <c:pt idx="276">
                  <c:v>42005</c:v>
                </c:pt>
                <c:pt idx="277">
                  <c:v>42036</c:v>
                </c:pt>
                <c:pt idx="278">
                  <c:v>42064</c:v>
                </c:pt>
                <c:pt idx="279">
                  <c:v>42095</c:v>
                </c:pt>
                <c:pt idx="280">
                  <c:v>42125</c:v>
                </c:pt>
                <c:pt idx="281">
                  <c:v>42156</c:v>
                </c:pt>
                <c:pt idx="282">
                  <c:v>42186</c:v>
                </c:pt>
                <c:pt idx="283">
                  <c:v>42217</c:v>
                </c:pt>
                <c:pt idx="284">
                  <c:v>42248</c:v>
                </c:pt>
                <c:pt idx="285">
                  <c:v>42278</c:v>
                </c:pt>
                <c:pt idx="286">
                  <c:v>42309</c:v>
                </c:pt>
                <c:pt idx="287">
                  <c:v>42339</c:v>
                </c:pt>
                <c:pt idx="288">
                  <c:v>42370</c:v>
                </c:pt>
                <c:pt idx="289">
                  <c:v>42401</c:v>
                </c:pt>
                <c:pt idx="290">
                  <c:v>42430</c:v>
                </c:pt>
                <c:pt idx="291">
                  <c:v>42461</c:v>
                </c:pt>
                <c:pt idx="292">
                  <c:v>42491</c:v>
                </c:pt>
                <c:pt idx="293">
                  <c:v>42522</c:v>
                </c:pt>
                <c:pt idx="294">
                  <c:v>42552</c:v>
                </c:pt>
                <c:pt idx="295">
                  <c:v>42583</c:v>
                </c:pt>
                <c:pt idx="296">
                  <c:v>42614</c:v>
                </c:pt>
                <c:pt idx="297">
                  <c:v>42644</c:v>
                </c:pt>
                <c:pt idx="298">
                  <c:v>42675</c:v>
                </c:pt>
                <c:pt idx="299">
                  <c:v>42705</c:v>
                </c:pt>
                <c:pt idx="300">
                  <c:v>42736</c:v>
                </c:pt>
                <c:pt idx="301">
                  <c:v>42767</c:v>
                </c:pt>
                <c:pt idx="302">
                  <c:v>42795</c:v>
                </c:pt>
                <c:pt idx="303">
                  <c:v>42826</c:v>
                </c:pt>
                <c:pt idx="304">
                  <c:v>42856</c:v>
                </c:pt>
                <c:pt idx="305">
                  <c:v>42887</c:v>
                </c:pt>
                <c:pt idx="306">
                  <c:v>42917</c:v>
                </c:pt>
                <c:pt idx="307">
                  <c:v>42948</c:v>
                </c:pt>
                <c:pt idx="308">
                  <c:v>42979</c:v>
                </c:pt>
                <c:pt idx="309">
                  <c:v>43009</c:v>
                </c:pt>
                <c:pt idx="310">
                  <c:v>43040</c:v>
                </c:pt>
                <c:pt idx="311">
                  <c:v>43070</c:v>
                </c:pt>
                <c:pt idx="312">
                  <c:v>43101</c:v>
                </c:pt>
                <c:pt idx="313">
                  <c:v>43132</c:v>
                </c:pt>
                <c:pt idx="314">
                  <c:v>43160</c:v>
                </c:pt>
                <c:pt idx="315">
                  <c:v>43191</c:v>
                </c:pt>
                <c:pt idx="316">
                  <c:v>43221</c:v>
                </c:pt>
                <c:pt idx="317">
                  <c:v>43252</c:v>
                </c:pt>
                <c:pt idx="318">
                  <c:v>43282</c:v>
                </c:pt>
                <c:pt idx="319">
                  <c:v>43313</c:v>
                </c:pt>
                <c:pt idx="320">
                  <c:v>43344</c:v>
                </c:pt>
                <c:pt idx="321">
                  <c:v>43374</c:v>
                </c:pt>
                <c:pt idx="322">
                  <c:v>43405</c:v>
                </c:pt>
                <c:pt idx="323">
                  <c:v>43435</c:v>
                </c:pt>
                <c:pt idx="324">
                  <c:v>43466</c:v>
                </c:pt>
                <c:pt idx="325">
                  <c:v>43497</c:v>
                </c:pt>
                <c:pt idx="326">
                  <c:v>43525</c:v>
                </c:pt>
                <c:pt idx="327">
                  <c:v>43556</c:v>
                </c:pt>
                <c:pt idx="328">
                  <c:v>43586</c:v>
                </c:pt>
                <c:pt idx="329">
                  <c:v>43617</c:v>
                </c:pt>
                <c:pt idx="330">
                  <c:v>43647</c:v>
                </c:pt>
                <c:pt idx="331">
                  <c:v>43678</c:v>
                </c:pt>
                <c:pt idx="332">
                  <c:v>43709</c:v>
                </c:pt>
                <c:pt idx="333">
                  <c:v>43739</c:v>
                </c:pt>
                <c:pt idx="334">
                  <c:v>43770</c:v>
                </c:pt>
                <c:pt idx="335">
                  <c:v>43800</c:v>
                </c:pt>
                <c:pt idx="336">
                  <c:v>43831</c:v>
                </c:pt>
                <c:pt idx="337">
                  <c:v>43862</c:v>
                </c:pt>
                <c:pt idx="338">
                  <c:v>43891</c:v>
                </c:pt>
                <c:pt idx="339">
                  <c:v>43922</c:v>
                </c:pt>
                <c:pt idx="340">
                  <c:v>43952</c:v>
                </c:pt>
                <c:pt idx="341">
                  <c:v>43983</c:v>
                </c:pt>
                <c:pt idx="342">
                  <c:v>44013</c:v>
                </c:pt>
                <c:pt idx="343">
                  <c:v>44044</c:v>
                </c:pt>
              </c:numCache>
            </c:numRef>
          </c:cat>
          <c:val>
            <c:numRef>
              <c:f>'Non Store Retail'!$B$7:$B$350</c:f>
              <c:numCache>
                <c:formatCode>#,##0</c:formatCode>
                <c:ptCount val="344"/>
                <c:pt idx="0">
                  <c:v>6515</c:v>
                </c:pt>
                <c:pt idx="1">
                  <c:v>6110</c:v>
                </c:pt>
                <c:pt idx="2">
                  <c:v>6018</c:v>
                </c:pt>
                <c:pt idx="3">
                  <c:v>6327</c:v>
                </c:pt>
                <c:pt idx="4">
                  <c:v>6550</c:v>
                </c:pt>
                <c:pt idx="5">
                  <c:v>6653</c:v>
                </c:pt>
                <c:pt idx="6">
                  <c:v>6891</c:v>
                </c:pt>
                <c:pt idx="7">
                  <c:v>6766</c:v>
                </c:pt>
                <c:pt idx="8">
                  <c:v>6714</c:v>
                </c:pt>
                <c:pt idx="9">
                  <c:v>6665</c:v>
                </c:pt>
                <c:pt idx="10">
                  <c:v>6610</c:v>
                </c:pt>
                <c:pt idx="11">
                  <c:v>6597</c:v>
                </c:pt>
                <c:pt idx="12">
                  <c:v>6644</c:v>
                </c:pt>
                <c:pt idx="13">
                  <c:v>6780</c:v>
                </c:pt>
                <c:pt idx="14">
                  <c:v>7009</c:v>
                </c:pt>
                <c:pt idx="15">
                  <c:v>6868</c:v>
                </c:pt>
                <c:pt idx="16">
                  <c:v>7309</c:v>
                </c:pt>
                <c:pt idx="17">
                  <c:v>6858</c:v>
                </c:pt>
                <c:pt idx="18">
                  <c:v>7046</c:v>
                </c:pt>
                <c:pt idx="19">
                  <c:v>6999</c:v>
                </c:pt>
                <c:pt idx="20">
                  <c:v>7486</c:v>
                </c:pt>
                <c:pt idx="21">
                  <c:v>7343</c:v>
                </c:pt>
                <c:pt idx="22">
                  <c:v>7561</c:v>
                </c:pt>
                <c:pt idx="23">
                  <c:v>7438</c:v>
                </c:pt>
                <c:pt idx="24">
                  <c:v>7720</c:v>
                </c:pt>
                <c:pt idx="25">
                  <c:v>7681</c:v>
                </c:pt>
                <c:pt idx="26">
                  <c:v>7853</c:v>
                </c:pt>
                <c:pt idx="27">
                  <c:v>7941</c:v>
                </c:pt>
                <c:pt idx="28">
                  <c:v>7859</c:v>
                </c:pt>
                <c:pt idx="29">
                  <c:v>8074</c:v>
                </c:pt>
                <c:pt idx="30">
                  <c:v>8077</c:v>
                </c:pt>
                <c:pt idx="31">
                  <c:v>8241</c:v>
                </c:pt>
                <c:pt idx="32">
                  <c:v>8106</c:v>
                </c:pt>
                <c:pt idx="33">
                  <c:v>8306</c:v>
                </c:pt>
                <c:pt idx="34">
                  <c:v>8092</c:v>
                </c:pt>
                <c:pt idx="35">
                  <c:v>8237</c:v>
                </c:pt>
                <c:pt idx="36">
                  <c:v>8182</c:v>
                </c:pt>
                <c:pt idx="37">
                  <c:v>8307</c:v>
                </c:pt>
                <c:pt idx="38">
                  <c:v>8216</c:v>
                </c:pt>
                <c:pt idx="39">
                  <c:v>8365</c:v>
                </c:pt>
                <c:pt idx="40">
                  <c:v>8518</c:v>
                </c:pt>
                <c:pt idx="41">
                  <c:v>8429</c:v>
                </c:pt>
                <c:pt idx="42">
                  <c:v>8499</c:v>
                </c:pt>
                <c:pt idx="43">
                  <c:v>8699</c:v>
                </c:pt>
                <c:pt idx="44">
                  <c:v>8842</c:v>
                </c:pt>
                <c:pt idx="45">
                  <c:v>8702</c:v>
                </c:pt>
                <c:pt idx="46">
                  <c:v>9170</c:v>
                </c:pt>
                <c:pt idx="47">
                  <c:v>9543</c:v>
                </c:pt>
                <c:pt idx="48">
                  <c:v>9038</c:v>
                </c:pt>
                <c:pt idx="49">
                  <c:v>9400</c:v>
                </c:pt>
                <c:pt idx="50">
                  <c:v>9606</c:v>
                </c:pt>
                <c:pt idx="51">
                  <c:v>9632</c:v>
                </c:pt>
                <c:pt idx="52">
                  <c:v>9519</c:v>
                </c:pt>
                <c:pt idx="53">
                  <c:v>9610</c:v>
                </c:pt>
                <c:pt idx="54">
                  <c:v>9550</c:v>
                </c:pt>
                <c:pt idx="55">
                  <c:v>9468</c:v>
                </c:pt>
                <c:pt idx="56">
                  <c:v>9889</c:v>
                </c:pt>
                <c:pt idx="57">
                  <c:v>10025</c:v>
                </c:pt>
                <c:pt idx="58">
                  <c:v>10390</c:v>
                </c:pt>
                <c:pt idx="59">
                  <c:v>10765</c:v>
                </c:pt>
                <c:pt idx="60">
                  <c:v>10006</c:v>
                </c:pt>
                <c:pt idx="61">
                  <c:v>10350</c:v>
                </c:pt>
                <c:pt idx="62">
                  <c:v>10488</c:v>
                </c:pt>
                <c:pt idx="63">
                  <c:v>10642</c:v>
                </c:pt>
                <c:pt idx="64">
                  <c:v>10547</c:v>
                </c:pt>
                <c:pt idx="65">
                  <c:v>10643</c:v>
                </c:pt>
                <c:pt idx="66">
                  <c:v>10836</c:v>
                </c:pt>
                <c:pt idx="67">
                  <c:v>10432</c:v>
                </c:pt>
                <c:pt idx="68">
                  <c:v>10669</c:v>
                </c:pt>
                <c:pt idx="69">
                  <c:v>10529</c:v>
                </c:pt>
                <c:pt idx="70">
                  <c:v>10675</c:v>
                </c:pt>
                <c:pt idx="71">
                  <c:v>10490</c:v>
                </c:pt>
                <c:pt idx="72">
                  <c:v>10390</c:v>
                </c:pt>
                <c:pt idx="73">
                  <c:v>10626</c:v>
                </c:pt>
                <c:pt idx="74">
                  <c:v>10844</c:v>
                </c:pt>
                <c:pt idx="75">
                  <c:v>10992</c:v>
                </c:pt>
                <c:pt idx="76">
                  <c:v>11189</c:v>
                </c:pt>
                <c:pt idx="77">
                  <c:v>11103</c:v>
                </c:pt>
                <c:pt idx="78">
                  <c:v>11580</c:v>
                </c:pt>
                <c:pt idx="79">
                  <c:v>11375</c:v>
                </c:pt>
                <c:pt idx="80">
                  <c:v>11302</c:v>
                </c:pt>
                <c:pt idx="81">
                  <c:v>11577</c:v>
                </c:pt>
                <c:pt idx="82">
                  <c:v>11553</c:v>
                </c:pt>
                <c:pt idx="83">
                  <c:v>11459</c:v>
                </c:pt>
                <c:pt idx="84">
                  <c:v>11720</c:v>
                </c:pt>
                <c:pt idx="85">
                  <c:v>11821</c:v>
                </c:pt>
                <c:pt idx="86">
                  <c:v>12052</c:v>
                </c:pt>
                <c:pt idx="87">
                  <c:v>12345</c:v>
                </c:pt>
                <c:pt idx="88">
                  <c:v>12558</c:v>
                </c:pt>
                <c:pt idx="89">
                  <c:v>12558</c:v>
                </c:pt>
                <c:pt idx="90">
                  <c:v>12742</c:v>
                </c:pt>
                <c:pt idx="91">
                  <c:v>12965</c:v>
                </c:pt>
                <c:pt idx="92">
                  <c:v>13196</c:v>
                </c:pt>
                <c:pt idx="93">
                  <c:v>13127</c:v>
                </c:pt>
                <c:pt idx="94">
                  <c:v>13110</c:v>
                </c:pt>
                <c:pt idx="95">
                  <c:v>13528</c:v>
                </c:pt>
                <c:pt idx="96">
                  <c:v>13855</c:v>
                </c:pt>
                <c:pt idx="97">
                  <c:v>14241</c:v>
                </c:pt>
                <c:pt idx="98">
                  <c:v>14261</c:v>
                </c:pt>
                <c:pt idx="99">
                  <c:v>14458</c:v>
                </c:pt>
                <c:pt idx="100">
                  <c:v>14539</c:v>
                </c:pt>
                <c:pt idx="101">
                  <c:v>14949</c:v>
                </c:pt>
                <c:pt idx="102">
                  <c:v>15037</c:v>
                </c:pt>
                <c:pt idx="103">
                  <c:v>15280</c:v>
                </c:pt>
                <c:pt idx="104">
                  <c:v>15775</c:v>
                </c:pt>
                <c:pt idx="105">
                  <c:v>15698</c:v>
                </c:pt>
                <c:pt idx="106">
                  <c:v>15883</c:v>
                </c:pt>
                <c:pt idx="107">
                  <c:v>16538</c:v>
                </c:pt>
                <c:pt idx="108">
                  <c:v>15505</c:v>
                </c:pt>
                <c:pt idx="109">
                  <c:v>15223</c:v>
                </c:pt>
                <c:pt idx="110">
                  <c:v>15354</c:v>
                </c:pt>
                <c:pt idx="111">
                  <c:v>15289</c:v>
                </c:pt>
                <c:pt idx="112">
                  <c:v>14876</c:v>
                </c:pt>
                <c:pt idx="113">
                  <c:v>14981</c:v>
                </c:pt>
                <c:pt idx="114">
                  <c:v>14964</c:v>
                </c:pt>
                <c:pt idx="115">
                  <c:v>15214</c:v>
                </c:pt>
                <c:pt idx="116">
                  <c:v>14473</c:v>
                </c:pt>
                <c:pt idx="117">
                  <c:v>14979</c:v>
                </c:pt>
                <c:pt idx="118">
                  <c:v>14837</c:v>
                </c:pt>
                <c:pt idx="119">
                  <c:v>14810</c:v>
                </c:pt>
                <c:pt idx="120">
                  <c:v>15091</c:v>
                </c:pt>
                <c:pt idx="121">
                  <c:v>15054</c:v>
                </c:pt>
                <c:pt idx="122">
                  <c:v>15345</c:v>
                </c:pt>
                <c:pt idx="123">
                  <c:v>15675</c:v>
                </c:pt>
                <c:pt idx="124">
                  <c:v>15850</c:v>
                </c:pt>
                <c:pt idx="125">
                  <c:v>15725</c:v>
                </c:pt>
                <c:pt idx="126">
                  <c:v>16018</c:v>
                </c:pt>
                <c:pt idx="127">
                  <c:v>15881</c:v>
                </c:pt>
                <c:pt idx="128">
                  <c:v>15725</c:v>
                </c:pt>
                <c:pt idx="129">
                  <c:v>15977</c:v>
                </c:pt>
                <c:pt idx="130">
                  <c:v>16416</c:v>
                </c:pt>
                <c:pt idx="131">
                  <c:v>16497</c:v>
                </c:pt>
                <c:pt idx="132">
                  <c:v>16434</c:v>
                </c:pt>
                <c:pt idx="133">
                  <c:v>16933</c:v>
                </c:pt>
                <c:pt idx="134">
                  <c:v>16764</c:v>
                </c:pt>
                <c:pt idx="135">
                  <c:v>16593</c:v>
                </c:pt>
                <c:pt idx="136">
                  <c:v>16722</c:v>
                </c:pt>
                <c:pt idx="137">
                  <c:v>16938</c:v>
                </c:pt>
                <c:pt idx="138">
                  <c:v>17049</c:v>
                </c:pt>
                <c:pt idx="139">
                  <c:v>17312</c:v>
                </c:pt>
                <c:pt idx="140">
                  <c:v>17595</c:v>
                </c:pt>
                <c:pt idx="141">
                  <c:v>17778</c:v>
                </c:pt>
                <c:pt idx="142">
                  <c:v>17881</c:v>
                </c:pt>
                <c:pt idx="143">
                  <c:v>17742</c:v>
                </c:pt>
                <c:pt idx="144">
                  <c:v>18275</c:v>
                </c:pt>
                <c:pt idx="145">
                  <c:v>18566</c:v>
                </c:pt>
                <c:pt idx="146">
                  <c:v>18072</c:v>
                </c:pt>
                <c:pt idx="147">
                  <c:v>18442</c:v>
                </c:pt>
                <c:pt idx="148">
                  <c:v>18351</c:v>
                </c:pt>
                <c:pt idx="149">
                  <c:v>18649</c:v>
                </c:pt>
                <c:pt idx="150">
                  <c:v>18927</c:v>
                </c:pt>
                <c:pt idx="151">
                  <c:v>19178</c:v>
                </c:pt>
                <c:pt idx="152">
                  <c:v>19472</c:v>
                </c:pt>
                <c:pt idx="153">
                  <c:v>19675</c:v>
                </c:pt>
                <c:pt idx="154">
                  <c:v>19789</c:v>
                </c:pt>
                <c:pt idx="155">
                  <c:v>19942</c:v>
                </c:pt>
                <c:pt idx="156">
                  <c:v>20237</c:v>
                </c:pt>
                <c:pt idx="157">
                  <c:v>20175</c:v>
                </c:pt>
                <c:pt idx="158">
                  <c:v>20506</c:v>
                </c:pt>
                <c:pt idx="159">
                  <c:v>20741</c:v>
                </c:pt>
                <c:pt idx="160">
                  <c:v>20568</c:v>
                </c:pt>
                <c:pt idx="161">
                  <c:v>21024</c:v>
                </c:pt>
                <c:pt idx="162">
                  <c:v>20988</c:v>
                </c:pt>
                <c:pt idx="163">
                  <c:v>21767</c:v>
                </c:pt>
                <c:pt idx="164">
                  <c:v>21951</c:v>
                </c:pt>
                <c:pt idx="165">
                  <c:v>22255</c:v>
                </c:pt>
                <c:pt idx="166">
                  <c:v>22461</c:v>
                </c:pt>
                <c:pt idx="167">
                  <c:v>22827</c:v>
                </c:pt>
                <c:pt idx="168">
                  <c:v>22574</c:v>
                </c:pt>
                <c:pt idx="169">
                  <c:v>23068</c:v>
                </c:pt>
                <c:pt idx="170">
                  <c:v>23677</c:v>
                </c:pt>
                <c:pt idx="171">
                  <c:v>23305</c:v>
                </c:pt>
                <c:pt idx="172">
                  <c:v>23794</c:v>
                </c:pt>
                <c:pt idx="173">
                  <c:v>23762</c:v>
                </c:pt>
                <c:pt idx="174">
                  <c:v>23638</c:v>
                </c:pt>
                <c:pt idx="175">
                  <c:v>24225</c:v>
                </c:pt>
                <c:pt idx="176">
                  <c:v>24206</c:v>
                </c:pt>
                <c:pt idx="177">
                  <c:v>24349</c:v>
                </c:pt>
                <c:pt idx="178">
                  <c:v>24259</c:v>
                </c:pt>
                <c:pt idx="179">
                  <c:v>24206</c:v>
                </c:pt>
                <c:pt idx="180">
                  <c:v>24243</c:v>
                </c:pt>
                <c:pt idx="181">
                  <c:v>25505</c:v>
                </c:pt>
                <c:pt idx="182">
                  <c:v>25034</c:v>
                </c:pt>
                <c:pt idx="183">
                  <c:v>25303</c:v>
                </c:pt>
                <c:pt idx="184">
                  <c:v>25271</c:v>
                </c:pt>
                <c:pt idx="185">
                  <c:v>25462</c:v>
                </c:pt>
                <c:pt idx="186">
                  <c:v>25970</c:v>
                </c:pt>
                <c:pt idx="187">
                  <c:v>25826</c:v>
                </c:pt>
                <c:pt idx="188">
                  <c:v>26112</c:v>
                </c:pt>
                <c:pt idx="189">
                  <c:v>26397</c:v>
                </c:pt>
                <c:pt idx="190">
                  <c:v>27065</c:v>
                </c:pt>
                <c:pt idx="191">
                  <c:v>26268</c:v>
                </c:pt>
                <c:pt idx="192">
                  <c:v>26019</c:v>
                </c:pt>
                <c:pt idx="193">
                  <c:v>26101</c:v>
                </c:pt>
                <c:pt idx="194">
                  <c:v>26530</c:v>
                </c:pt>
                <c:pt idx="195">
                  <c:v>27243</c:v>
                </c:pt>
                <c:pt idx="196">
                  <c:v>27526</c:v>
                </c:pt>
                <c:pt idx="197">
                  <c:v>27403</c:v>
                </c:pt>
                <c:pt idx="198">
                  <c:v>27823</c:v>
                </c:pt>
                <c:pt idx="199">
                  <c:v>27374</c:v>
                </c:pt>
                <c:pt idx="200">
                  <c:v>27258</c:v>
                </c:pt>
                <c:pt idx="201">
                  <c:v>26333</c:v>
                </c:pt>
                <c:pt idx="202">
                  <c:v>25149</c:v>
                </c:pt>
                <c:pt idx="203">
                  <c:v>24751</c:v>
                </c:pt>
                <c:pt idx="204">
                  <c:v>25049</c:v>
                </c:pt>
                <c:pt idx="205">
                  <c:v>25241</c:v>
                </c:pt>
                <c:pt idx="206">
                  <c:v>24941</c:v>
                </c:pt>
                <c:pt idx="207">
                  <c:v>24932</c:v>
                </c:pt>
                <c:pt idx="208">
                  <c:v>25159</c:v>
                </c:pt>
                <c:pt idx="209">
                  <c:v>25768</c:v>
                </c:pt>
                <c:pt idx="210">
                  <c:v>26110</c:v>
                </c:pt>
                <c:pt idx="211">
                  <c:v>26150</c:v>
                </c:pt>
                <c:pt idx="212">
                  <c:v>26339</c:v>
                </c:pt>
                <c:pt idx="213">
                  <c:v>26634</c:v>
                </c:pt>
                <c:pt idx="214">
                  <c:v>26666</c:v>
                </c:pt>
                <c:pt idx="215">
                  <c:v>26984</c:v>
                </c:pt>
                <c:pt idx="216">
                  <c:v>27302</c:v>
                </c:pt>
                <c:pt idx="217">
                  <c:v>27253</c:v>
                </c:pt>
                <c:pt idx="218">
                  <c:v>27854</c:v>
                </c:pt>
                <c:pt idx="219">
                  <c:v>27719</c:v>
                </c:pt>
                <c:pt idx="220">
                  <c:v>27799</c:v>
                </c:pt>
                <c:pt idx="221">
                  <c:v>28462</c:v>
                </c:pt>
                <c:pt idx="222">
                  <c:v>28114</c:v>
                </c:pt>
                <c:pt idx="223">
                  <c:v>28756</c:v>
                </c:pt>
                <c:pt idx="224">
                  <c:v>28872</c:v>
                </c:pt>
                <c:pt idx="225">
                  <c:v>28946</c:v>
                </c:pt>
                <c:pt idx="226">
                  <c:v>28951</c:v>
                </c:pt>
                <c:pt idx="227">
                  <c:v>29642</c:v>
                </c:pt>
                <c:pt idx="228">
                  <c:v>30626</c:v>
                </c:pt>
                <c:pt idx="229">
                  <c:v>30116</c:v>
                </c:pt>
                <c:pt idx="230">
                  <c:v>30457</c:v>
                </c:pt>
                <c:pt idx="231">
                  <c:v>30751</c:v>
                </c:pt>
                <c:pt idx="232">
                  <c:v>30950</c:v>
                </c:pt>
                <c:pt idx="233">
                  <c:v>31119</c:v>
                </c:pt>
                <c:pt idx="234">
                  <c:v>31208</c:v>
                </c:pt>
                <c:pt idx="235">
                  <c:v>31679</c:v>
                </c:pt>
                <c:pt idx="236">
                  <c:v>31417</c:v>
                </c:pt>
                <c:pt idx="237">
                  <c:v>32499</c:v>
                </c:pt>
                <c:pt idx="238">
                  <c:v>32762</c:v>
                </c:pt>
                <c:pt idx="239">
                  <c:v>32468</c:v>
                </c:pt>
                <c:pt idx="240">
                  <c:v>32433</c:v>
                </c:pt>
                <c:pt idx="241">
                  <c:v>32918</c:v>
                </c:pt>
                <c:pt idx="242">
                  <c:v>32879</c:v>
                </c:pt>
                <c:pt idx="243">
                  <c:v>33207</c:v>
                </c:pt>
                <c:pt idx="244">
                  <c:v>33790</c:v>
                </c:pt>
                <c:pt idx="245">
                  <c:v>33745</c:v>
                </c:pt>
                <c:pt idx="246">
                  <c:v>34188</c:v>
                </c:pt>
                <c:pt idx="247">
                  <c:v>34407</c:v>
                </c:pt>
                <c:pt idx="248">
                  <c:v>34740</c:v>
                </c:pt>
                <c:pt idx="249">
                  <c:v>34739</c:v>
                </c:pt>
                <c:pt idx="250">
                  <c:v>35242</c:v>
                </c:pt>
                <c:pt idx="251">
                  <c:v>35266</c:v>
                </c:pt>
                <c:pt idx="252">
                  <c:v>35599</c:v>
                </c:pt>
                <c:pt idx="253">
                  <c:v>35576</c:v>
                </c:pt>
                <c:pt idx="254">
                  <c:v>35421</c:v>
                </c:pt>
                <c:pt idx="255">
                  <c:v>35140</c:v>
                </c:pt>
                <c:pt idx="256">
                  <c:v>35127</c:v>
                </c:pt>
                <c:pt idx="257">
                  <c:v>35316</c:v>
                </c:pt>
                <c:pt idx="258">
                  <c:v>35628</c:v>
                </c:pt>
                <c:pt idx="259">
                  <c:v>35734</c:v>
                </c:pt>
                <c:pt idx="260">
                  <c:v>35619</c:v>
                </c:pt>
                <c:pt idx="261">
                  <c:v>35599</c:v>
                </c:pt>
                <c:pt idx="262">
                  <c:v>36449</c:v>
                </c:pt>
                <c:pt idx="263">
                  <c:v>37559</c:v>
                </c:pt>
                <c:pt idx="264">
                  <c:v>36326</c:v>
                </c:pt>
                <c:pt idx="265">
                  <c:v>37254</c:v>
                </c:pt>
                <c:pt idx="266">
                  <c:v>37750</c:v>
                </c:pt>
                <c:pt idx="267">
                  <c:v>37839</c:v>
                </c:pt>
                <c:pt idx="268">
                  <c:v>37922</c:v>
                </c:pt>
                <c:pt idx="269">
                  <c:v>38712</c:v>
                </c:pt>
                <c:pt idx="270">
                  <c:v>38579</c:v>
                </c:pt>
                <c:pt idx="271">
                  <c:v>39064</c:v>
                </c:pt>
                <c:pt idx="272">
                  <c:v>39151</c:v>
                </c:pt>
                <c:pt idx="273">
                  <c:v>39513</c:v>
                </c:pt>
                <c:pt idx="274">
                  <c:v>39837</c:v>
                </c:pt>
                <c:pt idx="275">
                  <c:v>39908</c:v>
                </c:pt>
                <c:pt idx="276">
                  <c:v>39830</c:v>
                </c:pt>
                <c:pt idx="277">
                  <c:v>40837</c:v>
                </c:pt>
                <c:pt idx="278">
                  <c:v>40661</c:v>
                </c:pt>
                <c:pt idx="279">
                  <c:v>40897</c:v>
                </c:pt>
                <c:pt idx="280">
                  <c:v>40766</c:v>
                </c:pt>
                <c:pt idx="281">
                  <c:v>41040</c:v>
                </c:pt>
                <c:pt idx="282">
                  <c:v>41617</c:v>
                </c:pt>
                <c:pt idx="283">
                  <c:v>41642</c:v>
                </c:pt>
                <c:pt idx="284">
                  <c:v>42054</c:v>
                </c:pt>
                <c:pt idx="285">
                  <c:v>42262</c:v>
                </c:pt>
                <c:pt idx="286">
                  <c:v>42146</c:v>
                </c:pt>
                <c:pt idx="287">
                  <c:v>42355</c:v>
                </c:pt>
                <c:pt idx="288">
                  <c:v>43174</c:v>
                </c:pt>
                <c:pt idx="289">
                  <c:v>43388</c:v>
                </c:pt>
                <c:pt idx="290">
                  <c:v>43437</c:v>
                </c:pt>
                <c:pt idx="291">
                  <c:v>43975</c:v>
                </c:pt>
                <c:pt idx="292">
                  <c:v>44827</c:v>
                </c:pt>
                <c:pt idx="293">
                  <c:v>45364</c:v>
                </c:pt>
                <c:pt idx="294">
                  <c:v>45324</c:v>
                </c:pt>
                <c:pt idx="295">
                  <c:v>45586</c:v>
                </c:pt>
                <c:pt idx="296">
                  <c:v>45918</c:v>
                </c:pt>
                <c:pt idx="297">
                  <c:v>46508</c:v>
                </c:pt>
                <c:pt idx="298">
                  <c:v>46534</c:v>
                </c:pt>
                <c:pt idx="299">
                  <c:v>47605</c:v>
                </c:pt>
                <c:pt idx="300">
                  <c:v>48132</c:v>
                </c:pt>
                <c:pt idx="301">
                  <c:v>48312</c:v>
                </c:pt>
                <c:pt idx="302">
                  <c:v>48903</c:v>
                </c:pt>
                <c:pt idx="303">
                  <c:v>49624</c:v>
                </c:pt>
                <c:pt idx="304">
                  <c:v>49991</c:v>
                </c:pt>
                <c:pt idx="305">
                  <c:v>50267</c:v>
                </c:pt>
                <c:pt idx="306">
                  <c:v>50713</c:v>
                </c:pt>
                <c:pt idx="307">
                  <c:v>51035</c:v>
                </c:pt>
                <c:pt idx="308">
                  <c:v>51561</c:v>
                </c:pt>
                <c:pt idx="309">
                  <c:v>51074</c:v>
                </c:pt>
                <c:pt idx="310">
                  <c:v>53421</c:v>
                </c:pt>
                <c:pt idx="311">
                  <c:v>54363</c:v>
                </c:pt>
                <c:pt idx="312">
                  <c:v>54331</c:v>
                </c:pt>
                <c:pt idx="313">
                  <c:v>54637</c:v>
                </c:pt>
                <c:pt idx="314">
                  <c:v>55316</c:v>
                </c:pt>
                <c:pt idx="315">
                  <c:v>56131</c:v>
                </c:pt>
                <c:pt idx="316">
                  <c:v>55818</c:v>
                </c:pt>
                <c:pt idx="317">
                  <c:v>55751</c:v>
                </c:pt>
                <c:pt idx="318">
                  <c:v>56714</c:v>
                </c:pt>
                <c:pt idx="319">
                  <c:v>56948</c:v>
                </c:pt>
                <c:pt idx="320">
                  <c:v>57753</c:v>
                </c:pt>
                <c:pt idx="321">
                  <c:v>58219</c:v>
                </c:pt>
                <c:pt idx="322">
                  <c:v>60268</c:v>
                </c:pt>
                <c:pt idx="323">
                  <c:v>54472</c:v>
                </c:pt>
                <c:pt idx="324">
                  <c:v>60570</c:v>
                </c:pt>
                <c:pt idx="325">
                  <c:v>61022</c:v>
                </c:pt>
                <c:pt idx="326">
                  <c:v>60845</c:v>
                </c:pt>
                <c:pt idx="327">
                  <c:v>61862</c:v>
                </c:pt>
                <c:pt idx="328">
                  <c:v>63306</c:v>
                </c:pt>
                <c:pt idx="329">
                  <c:v>64217</c:v>
                </c:pt>
                <c:pt idx="330">
                  <c:v>64423</c:v>
                </c:pt>
                <c:pt idx="331">
                  <c:v>64972</c:v>
                </c:pt>
                <c:pt idx="332">
                  <c:v>64658</c:v>
                </c:pt>
                <c:pt idx="333">
                  <c:v>65294</c:v>
                </c:pt>
                <c:pt idx="334">
                  <c:v>64774</c:v>
                </c:pt>
                <c:pt idx="335">
                  <c:v>64552</c:v>
                </c:pt>
                <c:pt idx="336">
                  <c:v>65240</c:v>
                </c:pt>
                <c:pt idx="337">
                  <c:v>65600</c:v>
                </c:pt>
                <c:pt idx="338">
                  <c:v>68433</c:v>
                </c:pt>
                <c:pt idx="339">
                  <c:v>76629</c:v>
                </c:pt>
                <c:pt idx="340">
                  <c:v>81508</c:v>
                </c:pt>
                <c:pt idx="341">
                  <c:v>78600</c:v>
                </c:pt>
                <c:pt idx="342">
                  <c:v>80675</c:v>
                </c:pt>
                <c:pt idx="343">
                  <c:v>82184</c:v>
                </c:pt>
              </c:numCache>
            </c:numRef>
          </c:val>
          <c:smooth val="0"/>
          <c:extLst>
            <c:ext xmlns:c16="http://schemas.microsoft.com/office/drawing/2014/chart" uri="{C3380CC4-5D6E-409C-BE32-E72D297353CC}">
              <c16:uniqueId val="{00000000-0988-4670-9CA4-80A57EEF3187}"/>
            </c:ext>
          </c:extLst>
        </c:ser>
        <c:dLbls>
          <c:showLegendKey val="0"/>
          <c:showVal val="0"/>
          <c:showCatName val="0"/>
          <c:showSerName val="0"/>
          <c:showPercent val="0"/>
          <c:showBubbleSize val="0"/>
        </c:dLbls>
        <c:smooth val="0"/>
        <c:axId val="721545464"/>
        <c:axId val="721548088"/>
      </c:lineChart>
      <c:dateAx>
        <c:axId val="721545464"/>
        <c:scaling>
          <c:orientation val="minMax"/>
        </c:scaling>
        <c:delete val="0"/>
        <c:axPos val="b"/>
        <c:numFmt formatCode="[$-409]mmm\-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21548088"/>
        <c:crosses val="autoZero"/>
        <c:auto val="1"/>
        <c:lblOffset val="100"/>
        <c:baseTimeUnit val="months"/>
      </c:dateAx>
      <c:valAx>
        <c:axId val="721548088"/>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2154546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'Non Store Retail'!$D$6</c:f>
              <c:strCache>
                <c:ptCount val="1"/>
                <c:pt idx="0">
                  <c:v>yoy</c:v>
                </c:pt>
              </c:strCache>
            </c:strRef>
          </c:tx>
          <c:spPr>
            <a:ln w="28575" cap="rnd">
              <a:solidFill>
                <a:schemeClr val="tx1"/>
              </a:solidFill>
              <a:round/>
            </a:ln>
            <a:effectLst/>
          </c:spPr>
          <c:marker>
            <c:symbol val="none"/>
          </c:marker>
          <c:cat>
            <c:numRef>
              <c:f>'Non Store Retail'!$A$7:$A$350</c:f>
              <c:numCache>
                <c:formatCode>[$-409]mmm\-yy;@</c:formatCode>
                <c:ptCount val="344"/>
                <c:pt idx="0">
                  <c:v>33604</c:v>
                </c:pt>
                <c:pt idx="1">
                  <c:v>33635</c:v>
                </c:pt>
                <c:pt idx="2">
                  <c:v>33664</c:v>
                </c:pt>
                <c:pt idx="3">
                  <c:v>33695</c:v>
                </c:pt>
                <c:pt idx="4">
                  <c:v>33725</c:v>
                </c:pt>
                <c:pt idx="5">
                  <c:v>33756</c:v>
                </c:pt>
                <c:pt idx="6">
                  <c:v>33786</c:v>
                </c:pt>
                <c:pt idx="7">
                  <c:v>33817</c:v>
                </c:pt>
                <c:pt idx="8">
                  <c:v>33848</c:v>
                </c:pt>
                <c:pt idx="9">
                  <c:v>33878</c:v>
                </c:pt>
                <c:pt idx="10">
                  <c:v>33909</c:v>
                </c:pt>
                <c:pt idx="11">
                  <c:v>33939</c:v>
                </c:pt>
                <c:pt idx="12">
                  <c:v>33970</c:v>
                </c:pt>
                <c:pt idx="13">
                  <c:v>34001</c:v>
                </c:pt>
                <c:pt idx="14">
                  <c:v>34029</c:v>
                </c:pt>
                <c:pt idx="15">
                  <c:v>34060</c:v>
                </c:pt>
                <c:pt idx="16">
                  <c:v>34090</c:v>
                </c:pt>
                <c:pt idx="17">
                  <c:v>34121</c:v>
                </c:pt>
                <c:pt idx="18">
                  <c:v>34151</c:v>
                </c:pt>
                <c:pt idx="19">
                  <c:v>34182</c:v>
                </c:pt>
                <c:pt idx="20">
                  <c:v>34213</c:v>
                </c:pt>
                <c:pt idx="21">
                  <c:v>34243</c:v>
                </c:pt>
                <c:pt idx="22">
                  <c:v>34274</c:v>
                </c:pt>
                <c:pt idx="23">
                  <c:v>34304</c:v>
                </c:pt>
                <c:pt idx="24">
                  <c:v>34335</c:v>
                </c:pt>
                <c:pt idx="25">
                  <c:v>34366</c:v>
                </c:pt>
                <c:pt idx="26">
                  <c:v>34394</c:v>
                </c:pt>
                <c:pt idx="27">
                  <c:v>34425</c:v>
                </c:pt>
                <c:pt idx="28">
                  <c:v>34455</c:v>
                </c:pt>
                <c:pt idx="29">
                  <c:v>34486</c:v>
                </c:pt>
                <c:pt idx="30">
                  <c:v>34516</c:v>
                </c:pt>
                <c:pt idx="31">
                  <c:v>34547</c:v>
                </c:pt>
                <c:pt idx="32">
                  <c:v>34578</c:v>
                </c:pt>
                <c:pt idx="33">
                  <c:v>34608</c:v>
                </c:pt>
                <c:pt idx="34">
                  <c:v>34639</c:v>
                </c:pt>
                <c:pt idx="35">
                  <c:v>34669</c:v>
                </c:pt>
                <c:pt idx="36">
                  <c:v>34700</c:v>
                </c:pt>
                <c:pt idx="37">
                  <c:v>34731</c:v>
                </c:pt>
                <c:pt idx="38">
                  <c:v>34759</c:v>
                </c:pt>
                <c:pt idx="39">
                  <c:v>34790</c:v>
                </c:pt>
                <c:pt idx="40">
                  <c:v>34820</c:v>
                </c:pt>
                <c:pt idx="41">
                  <c:v>34851</c:v>
                </c:pt>
                <c:pt idx="42">
                  <c:v>34881</c:v>
                </c:pt>
                <c:pt idx="43">
                  <c:v>34912</c:v>
                </c:pt>
                <c:pt idx="44">
                  <c:v>34943</c:v>
                </c:pt>
                <c:pt idx="45">
                  <c:v>34973</c:v>
                </c:pt>
                <c:pt idx="46">
                  <c:v>35004</c:v>
                </c:pt>
                <c:pt idx="47">
                  <c:v>35034</c:v>
                </c:pt>
                <c:pt idx="48">
                  <c:v>35065</c:v>
                </c:pt>
                <c:pt idx="49">
                  <c:v>35096</c:v>
                </c:pt>
                <c:pt idx="50">
                  <c:v>35125</c:v>
                </c:pt>
                <c:pt idx="51">
                  <c:v>35156</c:v>
                </c:pt>
                <c:pt idx="52">
                  <c:v>35186</c:v>
                </c:pt>
                <c:pt idx="53">
                  <c:v>35217</c:v>
                </c:pt>
                <c:pt idx="54">
                  <c:v>35247</c:v>
                </c:pt>
                <c:pt idx="55">
                  <c:v>35278</c:v>
                </c:pt>
                <c:pt idx="56">
                  <c:v>35309</c:v>
                </c:pt>
                <c:pt idx="57">
                  <c:v>35339</c:v>
                </c:pt>
                <c:pt idx="58">
                  <c:v>35370</c:v>
                </c:pt>
                <c:pt idx="59">
                  <c:v>35400</c:v>
                </c:pt>
                <c:pt idx="60">
                  <c:v>35431</c:v>
                </c:pt>
                <c:pt idx="61">
                  <c:v>35462</c:v>
                </c:pt>
                <c:pt idx="62">
                  <c:v>35490</c:v>
                </c:pt>
                <c:pt idx="63">
                  <c:v>35521</c:v>
                </c:pt>
                <c:pt idx="64">
                  <c:v>35551</c:v>
                </c:pt>
                <c:pt idx="65">
                  <c:v>35582</c:v>
                </c:pt>
                <c:pt idx="66">
                  <c:v>35612</c:v>
                </c:pt>
                <c:pt idx="67">
                  <c:v>35643</c:v>
                </c:pt>
                <c:pt idx="68">
                  <c:v>35674</c:v>
                </c:pt>
                <c:pt idx="69">
                  <c:v>35704</c:v>
                </c:pt>
                <c:pt idx="70">
                  <c:v>35735</c:v>
                </c:pt>
                <c:pt idx="71">
                  <c:v>35765</c:v>
                </c:pt>
                <c:pt idx="72">
                  <c:v>35796</c:v>
                </c:pt>
                <c:pt idx="73">
                  <c:v>35827</c:v>
                </c:pt>
                <c:pt idx="74">
                  <c:v>35855</c:v>
                </c:pt>
                <c:pt idx="75">
                  <c:v>35886</c:v>
                </c:pt>
                <c:pt idx="76">
                  <c:v>35916</c:v>
                </c:pt>
                <c:pt idx="77">
                  <c:v>35947</c:v>
                </c:pt>
                <c:pt idx="78">
                  <c:v>35977</c:v>
                </c:pt>
                <c:pt idx="79">
                  <c:v>36008</c:v>
                </c:pt>
                <c:pt idx="80">
                  <c:v>36039</c:v>
                </c:pt>
                <c:pt idx="81">
                  <c:v>36069</c:v>
                </c:pt>
                <c:pt idx="82">
                  <c:v>36100</c:v>
                </c:pt>
                <c:pt idx="83">
                  <c:v>36130</c:v>
                </c:pt>
                <c:pt idx="84">
                  <c:v>36161</c:v>
                </c:pt>
                <c:pt idx="85">
                  <c:v>36192</c:v>
                </c:pt>
                <c:pt idx="86">
                  <c:v>36220</c:v>
                </c:pt>
                <c:pt idx="87">
                  <c:v>36251</c:v>
                </c:pt>
                <c:pt idx="88">
                  <c:v>36281</c:v>
                </c:pt>
                <c:pt idx="89">
                  <c:v>36312</c:v>
                </c:pt>
                <c:pt idx="90">
                  <c:v>36342</c:v>
                </c:pt>
                <c:pt idx="91">
                  <c:v>36373</c:v>
                </c:pt>
                <c:pt idx="92">
                  <c:v>36404</c:v>
                </c:pt>
                <c:pt idx="93">
                  <c:v>36434</c:v>
                </c:pt>
                <c:pt idx="94">
                  <c:v>36465</c:v>
                </c:pt>
                <c:pt idx="95">
                  <c:v>36495</c:v>
                </c:pt>
                <c:pt idx="96">
                  <c:v>36526</c:v>
                </c:pt>
                <c:pt idx="97">
                  <c:v>36557</c:v>
                </c:pt>
                <c:pt idx="98">
                  <c:v>36586</c:v>
                </c:pt>
                <c:pt idx="99">
                  <c:v>36617</c:v>
                </c:pt>
                <c:pt idx="100">
                  <c:v>36647</c:v>
                </c:pt>
                <c:pt idx="101">
                  <c:v>36678</c:v>
                </c:pt>
                <c:pt idx="102">
                  <c:v>36708</c:v>
                </c:pt>
                <c:pt idx="103">
                  <c:v>36739</c:v>
                </c:pt>
                <c:pt idx="104">
                  <c:v>36770</c:v>
                </c:pt>
                <c:pt idx="105">
                  <c:v>36800</c:v>
                </c:pt>
                <c:pt idx="106">
                  <c:v>36831</c:v>
                </c:pt>
                <c:pt idx="107">
                  <c:v>36861</c:v>
                </c:pt>
                <c:pt idx="108">
                  <c:v>36892</c:v>
                </c:pt>
                <c:pt idx="109">
                  <c:v>36923</c:v>
                </c:pt>
                <c:pt idx="110">
                  <c:v>36951</c:v>
                </c:pt>
                <c:pt idx="111">
                  <c:v>36982</c:v>
                </c:pt>
                <c:pt idx="112">
                  <c:v>37012</c:v>
                </c:pt>
                <c:pt idx="113">
                  <c:v>37043</c:v>
                </c:pt>
                <c:pt idx="114">
                  <c:v>37073</c:v>
                </c:pt>
                <c:pt idx="115">
                  <c:v>37104</c:v>
                </c:pt>
                <c:pt idx="116">
                  <c:v>37135</c:v>
                </c:pt>
                <c:pt idx="117">
                  <c:v>37165</c:v>
                </c:pt>
                <c:pt idx="118">
                  <c:v>37196</c:v>
                </c:pt>
                <c:pt idx="119">
                  <c:v>37226</c:v>
                </c:pt>
                <c:pt idx="120">
                  <c:v>37257</c:v>
                </c:pt>
                <c:pt idx="121">
                  <c:v>37288</c:v>
                </c:pt>
                <c:pt idx="122">
                  <c:v>37316</c:v>
                </c:pt>
                <c:pt idx="123">
                  <c:v>37347</c:v>
                </c:pt>
                <c:pt idx="124">
                  <c:v>37377</c:v>
                </c:pt>
                <c:pt idx="125">
                  <c:v>37408</c:v>
                </c:pt>
                <c:pt idx="126">
                  <c:v>37438</c:v>
                </c:pt>
                <c:pt idx="127">
                  <c:v>37469</c:v>
                </c:pt>
                <c:pt idx="128">
                  <c:v>37500</c:v>
                </c:pt>
                <c:pt idx="129">
                  <c:v>37530</c:v>
                </c:pt>
                <c:pt idx="130">
                  <c:v>37561</c:v>
                </c:pt>
                <c:pt idx="131">
                  <c:v>37591</c:v>
                </c:pt>
                <c:pt idx="132">
                  <c:v>37622</c:v>
                </c:pt>
                <c:pt idx="133">
                  <c:v>37653</c:v>
                </c:pt>
                <c:pt idx="134">
                  <c:v>37681</c:v>
                </c:pt>
                <c:pt idx="135">
                  <c:v>37712</c:v>
                </c:pt>
                <c:pt idx="136">
                  <c:v>37742</c:v>
                </c:pt>
                <c:pt idx="137">
                  <c:v>37773</c:v>
                </c:pt>
                <c:pt idx="138">
                  <c:v>37803</c:v>
                </c:pt>
                <c:pt idx="139">
                  <c:v>37834</c:v>
                </c:pt>
                <c:pt idx="140">
                  <c:v>37865</c:v>
                </c:pt>
                <c:pt idx="141">
                  <c:v>37895</c:v>
                </c:pt>
                <c:pt idx="142">
                  <c:v>37926</c:v>
                </c:pt>
                <c:pt idx="143">
                  <c:v>37956</c:v>
                </c:pt>
                <c:pt idx="144">
                  <c:v>37987</c:v>
                </c:pt>
                <c:pt idx="145">
                  <c:v>38018</c:v>
                </c:pt>
                <c:pt idx="146">
                  <c:v>38047</c:v>
                </c:pt>
                <c:pt idx="147">
                  <c:v>38078</c:v>
                </c:pt>
                <c:pt idx="148">
                  <c:v>38108</c:v>
                </c:pt>
                <c:pt idx="149">
                  <c:v>38139</c:v>
                </c:pt>
                <c:pt idx="150">
                  <c:v>38169</c:v>
                </c:pt>
                <c:pt idx="151">
                  <c:v>38200</c:v>
                </c:pt>
                <c:pt idx="152">
                  <c:v>38231</c:v>
                </c:pt>
                <c:pt idx="153">
                  <c:v>38261</c:v>
                </c:pt>
                <c:pt idx="154">
                  <c:v>38292</c:v>
                </c:pt>
                <c:pt idx="155">
                  <c:v>38322</c:v>
                </c:pt>
                <c:pt idx="156">
                  <c:v>38353</c:v>
                </c:pt>
                <c:pt idx="157">
                  <c:v>38384</c:v>
                </c:pt>
                <c:pt idx="158">
                  <c:v>38412</c:v>
                </c:pt>
                <c:pt idx="159">
                  <c:v>38443</c:v>
                </c:pt>
                <c:pt idx="160">
                  <c:v>38473</c:v>
                </c:pt>
                <c:pt idx="161">
                  <c:v>38504</c:v>
                </c:pt>
                <c:pt idx="162">
                  <c:v>38534</c:v>
                </c:pt>
                <c:pt idx="163">
                  <c:v>38565</c:v>
                </c:pt>
                <c:pt idx="164">
                  <c:v>38596</c:v>
                </c:pt>
                <c:pt idx="165">
                  <c:v>38626</c:v>
                </c:pt>
                <c:pt idx="166">
                  <c:v>38657</c:v>
                </c:pt>
                <c:pt idx="167">
                  <c:v>38687</c:v>
                </c:pt>
                <c:pt idx="168">
                  <c:v>38718</c:v>
                </c:pt>
                <c:pt idx="169">
                  <c:v>38749</c:v>
                </c:pt>
                <c:pt idx="170">
                  <c:v>38777</c:v>
                </c:pt>
                <c:pt idx="171">
                  <c:v>38808</c:v>
                </c:pt>
                <c:pt idx="172">
                  <c:v>38838</c:v>
                </c:pt>
                <c:pt idx="173">
                  <c:v>38869</c:v>
                </c:pt>
                <c:pt idx="174">
                  <c:v>38899</c:v>
                </c:pt>
                <c:pt idx="175">
                  <c:v>38930</c:v>
                </c:pt>
                <c:pt idx="176">
                  <c:v>38961</c:v>
                </c:pt>
                <c:pt idx="177">
                  <c:v>38991</c:v>
                </c:pt>
                <c:pt idx="178">
                  <c:v>39022</c:v>
                </c:pt>
                <c:pt idx="179">
                  <c:v>39052</c:v>
                </c:pt>
                <c:pt idx="180">
                  <c:v>39083</c:v>
                </c:pt>
                <c:pt idx="181">
                  <c:v>39114</c:v>
                </c:pt>
                <c:pt idx="182">
                  <c:v>39142</c:v>
                </c:pt>
                <c:pt idx="183">
                  <c:v>39173</c:v>
                </c:pt>
                <c:pt idx="184">
                  <c:v>39203</c:v>
                </c:pt>
                <c:pt idx="185">
                  <c:v>39234</c:v>
                </c:pt>
                <c:pt idx="186">
                  <c:v>39264</c:v>
                </c:pt>
                <c:pt idx="187">
                  <c:v>39295</c:v>
                </c:pt>
                <c:pt idx="188">
                  <c:v>39326</c:v>
                </c:pt>
                <c:pt idx="189">
                  <c:v>39356</c:v>
                </c:pt>
                <c:pt idx="190">
                  <c:v>39387</c:v>
                </c:pt>
                <c:pt idx="191">
                  <c:v>39417</c:v>
                </c:pt>
                <c:pt idx="192">
                  <c:v>39448</c:v>
                </c:pt>
                <c:pt idx="193">
                  <c:v>39479</c:v>
                </c:pt>
                <c:pt idx="194">
                  <c:v>39508</c:v>
                </c:pt>
                <c:pt idx="195">
                  <c:v>39539</c:v>
                </c:pt>
                <c:pt idx="196">
                  <c:v>39569</c:v>
                </c:pt>
                <c:pt idx="197">
                  <c:v>39600</c:v>
                </c:pt>
                <c:pt idx="198">
                  <c:v>39630</c:v>
                </c:pt>
                <c:pt idx="199">
                  <c:v>39661</c:v>
                </c:pt>
                <c:pt idx="200">
                  <c:v>39692</c:v>
                </c:pt>
                <c:pt idx="201">
                  <c:v>39722</c:v>
                </c:pt>
                <c:pt idx="202">
                  <c:v>39753</c:v>
                </c:pt>
                <c:pt idx="203">
                  <c:v>39783</c:v>
                </c:pt>
                <c:pt idx="204">
                  <c:v>39814</c:v>
                </c:pt>
                <c:pt idx="205">
                  <c:v>39845</c:v>
                </c:pt>
                <c:pt idx="206">
                  <c:v>39873</c:v>
                </c:pt>
                <c:pt idx="207">
                  <c:v>39904</c:v>
                </c:pt>
                <c:pt idx="208">
                  <c:v>39934</c:v>
                </c:pt>
                <c:pt idx="209">
                  <c:v>39965</c:v>
                </c:pt>
                <c:pt idx="210">
                  <c:v>39995</c:v>
                </c:pt>
                <c:pt idx="211">
                  <c:v>40026</c:v>
                </c:pt>
                <c:pt idx="212">
                  <c:v>40057</c:v>
                </c:pt>
                <c:pt idx="213">
                  <c:v>40087</c:v>
                </c:pt>
                <c:pt idx="214">
                  <c:v>40118</c:v>
                </c:pt>
                <c:pt idx="215">
                  <c:v>40148</c:v>
                </c:pt>
                <c:pt idx="216">
                  <c:v>40179</c:v>
                </c:pt>
                <c:pt idx="217">
                  <c:v>40210</c:v>
                </c:pt>
                <c:pt idx="218">
                  <c:v>40238</c:v>
                </c:pt>
                <c:pt idx="219">
                  <c:v>40269</c:v>
                </c:pt>
                <c:pt idx="220">
                  <c:v>40299</c:v>
                </c:pt>
                <c:pt idx="221">
                  <c:v>40330</c:v>
                </c:pt>
                <c:pt idx="222">
                  <c:v>40360</c:v>
                </c:pt>
                <c:pt idx="223">
                  <c:v>40391</c:v>
                </c:pt>
                <c:pt idx="224">
                  <c:v>40422</c:v>
                </c:pt>
                <c:pt idx="225">
                  <c:v>40452</c:v>
                </c:pt>
                <c:pt idx="226">
                  <c:v>40483</c:v>
                </c:pt>
                <c:pt idx="227">
                  <c:v>40513</c:v>
                </c:pt>
                <c:pt idx="228">
                  <c:v>40544</c:v>
                </c:pt>
                <c:pt idx="229">
                  <c:v>40575</c:v>
                </c:pt>
                <c:pt idx="230">
                  <c:v>40603</c:v>
                </c:pt>
                <c:pt idx="231">
                  <c:v>40634</c:v>
                </c:pt>
                <c:pt idx="232">
                  <c:v>40664</c:v>
                </c:pt>
                <c:pt idx="233">
                  <c:v>40695</c:v>
                </c:pt>
                <c:pt idx="234">
                  <c:v>40725</c:v>
                </c:pt>
                <c:pt idx="235">
                  <c:v>40756</c:v>
                </c:pt>
                <c:pt idx="236">
                  <c:v>40787</c:v>
                </c:pt>
                <c:pt idx="237">
                  <c:v>40817</c:v>
                </c:pt>
                <c:pt idx="238">
                  <c:v>40848</c:v>
                </c:pt>
                <c:pt idx="239">
                  <c:v>40878</c:v>
                </c:pt>
                <c:pt idx="240">
                  <c:v>40909</c:v>
                </c:pt>
                <c:pt idx="241">
                  <c:v>40940</c:v>
                </c:pt>
                <c:pt idx="242">
                  <c:v>40969</c:v>
                </c:pt>
                <c:pt idx="243">
                  <c:v>41000</c:v>
                </c:pt>
                <c:pt idx="244">
                  <c:v>41030</c:v>
                </c:pt>
                <c:pt idx="245">
                  <c:v>41061</c:v>
                </c:pt>
                <c:pt idx="246">
                  <c:v>41091</c:v>
                </c:pt>
                <c:pt idx="247">
                  <c:v>41122</c:v>
                </c:pt>
                <c:pt idx="248">
                  <c:v>41153</c:v>
                </c:pt>
                <c:pt idx="249">
                  <c:v>41183</c:v>
                </c:pt>
                <c:pt idx="250">
                  <c:v>41214</c:v>
                </c:pt>
                <c:pt idx="251">
                  <c:v>41244</c:v>
                </c:pt>
                <c:pt idx="252">
                  <c:v>41275</c:v>
                </c:pt>
                <c:pt idx="253">
                  <c:v>41306</c:v>
                </c:pt>
                <c:pt idx="254">
                  <c:v>41334</c:v>
                </c:pt>
                <c:pt idx="255">
                  <c:v>41365</c:v>
                </c:pt>
                <c:pt idx="256">
                  <c:v>41395</c:v>
                </c:pt>
                <c:pt idx="257">
                  <c:v>41426</c:v>
                </c:pt>
                <c:pt idx="258">
                  <c:v>41456</c:v>
                </c:pt>
                <c:pt idx="259">
                  <c:v>41487</c:v>
                </c:pt>
                <c:pt idx="260">
                  <c:v>41518</c:v>
                </c:pt>
                <c:pt idx="261">
                  <c:v>41548</c:v>
                </c:pt>
                <c:pt idx="262">
                  <c:v>41579</c:v>
                </c:pt>
                <c:pt idx="263">
                  <c:v>41609</c:v>
                </c:pt>
                <c:pt idx="264">
                  <c:v>41640</c:v>
                </c:pt>
                <c:pt idx="265">
                  <c:v>41671</c:v>
                </c:pt>
                <c:pt idx="266">
                  <c:v>41699</c:v>
                </c:pt>
                <c:pt idx="267">
                  <c:v>41730</c:v>
                </c:pt>
                <c:pt idx="268">
                  <c:v>41760</c:v>
                </c:pt>
                <c:pt idx="269">
                  <c:v>41791</c:v>
                </c:pt>
                <c:pt idx="270">
                  <c:v>41821</c:v>
                </c:pt>
                <c:pt idx="271">
                  <c:v>41852</c:v>
                </c:pt>
                <c:pt idx="272">
                  <c:v>41883</c:v>
                </c:pt>
                <c:pt idx="273">
                  <c:v>41913</c:v>
                </c:pt>
                <c:pt idx="274">
                  <c:v>41944</c:v>
                </c:pt>
                <c:pt idx="275">
                  <c:v>41974</c:v>
                </c:pt>
                <c:pt idx="276">
                  <c:v>42005</c:v>
                </c:pt>
                <c:pt idx="277">
                  <c:v>42036</c:v>
                </c:pt>
                <c:pt idx="278">
                  <c:v>42064</c:v>
                </c:pt>
                <c:pt idx="279">
                  <c:v>42095</c:v>
                </c:pt>
                <c:pt idx="280">
                  <c:v>42125</c:v>
                </c:pt>
                <c:pt idx="281">
                  <c:v>42156</c:v>
                </c:pt>
                <c:pt idx="282">
                  <c:v>42186</c:v>
                </c:pt>
                <c:pt idx="283">
                  <c:v>42217</c:v>
                </c:pt>
                <c:pt idx="284">
                  <c:v>42248</c:v>
                </c:pt>
                <c:pt idx="285">
                  <c:v>42278</c:v>
                </c:pt>
                <c:pt idx="286">
                  <c:v>42309</c:v>
                </c:pt>
                <c:pt idx="287">
                  <c:v>42339</c:v>
                </c:pt>
                <c:pt idx="288">
                  <c:v>42370</c:v>
                </c:pt>
                <c:pt idx="289">
                  <c:v>42401</c:v>
                </c:pt>
                <c:pt idx="290">
                  <c:v>42430</c:v>
                </c:pt>
                <c:pt idx="291">
                  <c:v>42461</c:v>
                </c:pt>
                <c:pt idx="292">
                  <c:v>42491</c:v>
                </c:pt>
                <c:pt idx="293">
                  <c:v>42522</c:v>
                </c:pt>
                <c:pt idx="294">
                  <c:v>42552</c:v>
                </c:pt>
                <c:pt idx="295">
                  <c:v>42583</c:v>
                </c:pt>
                <c:pt idx="296">
                  <c:v>42614</c:v>
                </c:pt>
                <c:pt idx="297">
                  <c:v>42644</c:v>
                </c:pt>
                <c:pt idx="298">
                  <c:v>42675</c:v>
                </c:pt>
                <c:pt idx="299">
                  <c:v>42705</c:v>
                </c:pt>
                <c:pt idx="300">
                  <c:v>42736</c:v>
                </c:pt>
                <c:pt idx="301">
                  <c:v>42767</c:v>
                </c:pt>
                <c:pt idx="302">
                  <c:v>42795</c:v>
                </c:pt>
                <c:pt idx="303">
                  <c:v>42826</c:v>
                </c:pt>
                <c:pt idx="304">
                  <c:v>42856</c:v>
                </c:pt>
                <c:pt idx="305">
                  <c:v>42887</c:v>
                </c:pt>
                <c:pt idx="306">
                  <c:v>42917</c:v>
                </c:pt>
                <c:pt idx="307">
                  <c:v>42948</c:v>
                </c:pt>
                <c:pt idx="308">
                  <c:v>42979</c:v>
                </c:pt>
                <c:pt idx="309">
                  <c:v>43009</c:v>
                </c:pt>
                <c:pt idx="310">
                  <c:v>43040</c:v>
                </c:pt>
                <c:pt idx="311">
                  <c:v>43070</c:v>
                </c:pt>
                <c:pt idx="312">
                  <c:v>43101</c:v>
                </c:pt>
                <c:pt idx="313">
                  <c:v>43132</c:v>
                </c:pt>
                <c:pt idx="314">
                  <c:v>43160</c:v>
                </c:pt>
                <c:pt idx="315">
                  <c:v>43191</c:v>
                </c:pt>
                <c:pt idx="316">
                  <c:v>43221</c:v>
                </c:pt>
                <c:pt idx="317">
                  <c:v>43252</c:v>
                </c:pt>
                <c:pt idx="318">
                  <c:v>43282</c:v>
                </c:pt>
                <c:pt idx="319">
                  <c:v>43313</c:v>
                </c:pt>
                <c:pt idx="320">
                  <c:v>43344</c:v>
                </c:pt>
                <c:pt idx="321">
                  <c:v>43374</c:v>
                </c:pt>
                <c:pt idx="322">
                  <c:v>43405</c:v>
                </c:pt>
                <c:pt idx="323">
                  <c:v>43435</c:v>
                </c:pt>
                <c:pt idx="324">
                  <c:v>43466</c:v>
                </c:pt>
                <c:pt idx="325">
                  <c:v>43497</c:v>
                </c:pt>
                <c:pt idx="326">
                  <c:v>43525</c:v>
                </c:pt>
                <c:pt idx="327">
                  <c:v>43556</c:v>
                </c:pt>
                <c:pt idx="328">
                  <c:v>43586</c:v>
                </c:pt>
                <c:pt idx="329">
                  <c:v>43617</c:v>
                </c:pt>
                <c:pt idx="330">
                  <c:v>43647</c:v>
                </c:pt>
                <c:pt idx="331">
                  <c:v>43678</c:v>
                </c:pt>
                <c:pt idx="332">
                  <c:v>43709</c:v>
                </c:pt>
                <c:pt idx="333">
                  <c:v>43739</c:v>
                </c:pt>
                <c:pt idx="334">
                  <c:v>43770</c:v>
                </c:pt>
                <c:pt idx="335">
                  <c:v>43800</c:v>
                </c:pt>
                <c:pt idx="336">
                  <c:v>43831</c:v>
                </c:pt>
                <c:pt idx="337">
                  <c:v>43862</c:v>
                </c:pt>
                <c:pt idx="338">
                  <c:v>43891</c:v>
                </c:pt>
                <c:pt idx="339">
                  <c:v>43922</c:v>
                </c:pt>
                <c:pt idx="340">
                  <c:v>43952</c:v>
                </c:pt>
                <c:pt idx="341">
                  <c:v>43983</c:v>
                </c:pt>
                <c:pt idx="342">
                  <c:v>44013</c:v>
                </c:pt>
                <c:pt idx="343">
                  <c:v>44044</c:v>
                </c:pt>
              </c:numCache>
            </c:numRef>
          </c:cat>
          <c:val>
            <c:numRef>
              <c:f>'Non Store Retail'!$D$7:$D$350</c:f>
              <c:numCache>
                <c:formatCode>General</c:formatCode>
                <c:ptCount val="344"/>
                <c:pt idx="12" formatCode="0.00%">
                  <c:v>1.9800460475825021E-2</c:v>
                </c:pt>
                <c:pt idx="13" formatCode="0.00%">
                  <c:v>0.10965630114566285</c:v>
                </c:pt>
                <c:pt idx="14" formatCode="0.00%">
                  <c:v>0.16467264872050516</c:v>
                </c:pt>
                <c:pt idx="15" formatCode="0.00%">
                  <c:v>8.5506559190769715E-2</c:v>
                </c:pt>
                <c:pt idx="16" formatCode="0.00%">
                  <c:v>0.11587786259541985</c:v>
                </c:pt>
                <c:pt idx="17" formatCode="0.00%">
                  <c:v>3.0813166992334284E-2</c:v>
                </c:pt>
                <c:pt idx="18" formatCode="0.00%">
                  <c:v>2.2493106951095632E-2</c:v>
                </c:pt>
                <c:pt idx="19" formatCode="0.00%">
                  <c:v>3.4436890334023057E-2</c:v>
                </c:pt>
                <c:pt idx="20" formatCode="0.00%">
                  <c:v>0.1149836163240989</c:v>
                </c:pt>
                <c:pt idx="21" formatCode="0.00%">
                  <c:v>0.10172543135783946</c:v>
                </c:pt>
                <c:pt idx="22" formatCode="0.00%">
                  <c:v>0.14387291981845687</c:v>
                </c:pt>
                <c:pt idx="23" formatCode="0.00%">
                  <c:v>0.12748218887373047</c:v>
                </c:pt>
                <c:pt idx="24" formatCode="0.00%">
                  <c:v>0.16195063214930763</c:v>
                </c:pt>
                <c:pt idx="25" formatCode="0.00%">
                  <c:v>0.13289085545722715</c:v>
                </c:pt>
                <c:pt idx="26" formatCode="0.00%">
                  <c:v>0.12041660721928948</c:v>
                </c:pt>
                <c:pt idx="27" formatCode="0.00%">
                  <c:v>0.15623179965055328</c:v>
                </c:pt>
                <c:pt idx="28" formatCode="0.00%">
                  <c:v>7.5249692160350254E-2</c:v>
                </c:pt>
                <c:pt idx="29" formatCode="0.00%">
                  <c:v>0.17731116943715369</c:v>
                </c:pt>
                <c:pt idx="30" formatCode="0.00%">
                  <c:v>0.1463241555492478</c:v>
                </c:pt>
                <c:pt idx="31" formatCode="0.00%">
                  <c:v>0.17745392198885554</c:v>
                </c:pt>
                <c:pt idx="32" formatCode="0.00%">
                  <c:v>8.2821266363879237E-2</c:v>
                </c:pt>
                <c:pt idx="33" formatCode="0.00%">
                  <c:v>0.1311453084570339</c:v>
                </c:pt>
                <c:pt idx="34" formatCode="0.00%">
                  <c:v>7.0228805713529963E-2</c:v>
                </c:pt>
                <c:pt idx="35" formatCode="0.00%">
                  <c:v>0.10742134982522183</c:v>
                </c:pt>
                <c:pt idx="36" formatCode="0.00%">
                  <c:v>5.984455958549223E-2</c:v>
                </c:pt>
                <c:pt idx="37" formatCode="0.00%">
                  <c:v>8.1499804712928003E-2</c:v>
                </c:pt>
                <c:pt idx="38" formatCode="0.00%">
                  <c:v>4.6224372851139693E-2</c:v>
                </c:pt>
                <c:pt idx="39" formatCode="0.00%">
                  <c:v>5.3393779121017504E-2</c:v>
                </c:pt>
                <c:pt idx="40" formatCode="0.00%">
                  <c:v>8.3852907494592191E-2</c:v>
                </c:pt>
                <c:pt idx="41" formatCode="0.00%">
                  <c:v>4.3968293287094375E-2</c:v>
                </c:pt>
                <c:pt idx="42" formatCode="0.00%">
                  <c:v>5.2247121455986131E-2</c:v>
                </c:pt>
                <c:pt idx="43" formatCode="0.00%">
                  <c:v>5.5575779638393399E-2</c:v>
                </c:pt>
                <c:pt idx="44" formatCode="0.00%">
                  <c:v>9.0796940537873183E-2</c:v>
                </c:pt>
                <c:pt idx="45" formatCode="0.00%">
                  <c:v>4.7676378521550683E-2</c:v>
                </c:pt>
                <c:pt idx="46" formatCode="0.00%">
                  <c:v>0.13321799307958476</c:v>
                </c:pt>
                <c:pt idx="47" formatCode="0.00%">
                  <c:v>0.15855287119096759</c:v>
                </c:pt>
                <c:pt idx="48" formatCode="0.00%">
                  <c:v>0.10461989733561476</c:v>
                </c:pt>
                <c:pt idx="49" formatCode="0.00%">
                  <c:v>0.13157577946310342</c:v>
                </c:pt>
                <c:pt idx="50" formatCode="0.00%">
                  <c:v>0.16918208373904575</c:v>
                </c:pt>
                <c:pt idx="51" formatCode="0.00%">
                  <c:v>0.1514644351464435</c:v>
                </c:pt>
                <c:pt idx="52" formatCode="0.00%">
                  <c:v>0.11751584879079596</c:v>
                </c:pt>
                <c:pt idx="53" formatCode="0.00%">
                  <c:v>0.14011151975323288</c:v>
                </c:pt>
                <c:pt idx="54" formatCode="0.00%">
                  <c:v>0.12366160724791152</c:v>
                </c:pt>
                <c:pt idx="55" formatCode="0.00%">
                  <c:v>8.840096562823313E-2</c:v>
                </c:pt>
                <c:pt idx="56" formatCode="0.00%">
                  <c:v>0.1184121239538566</c:v>
                </c:pt>
                <c:pt idx="57" formatCode="0.00%">
                  <c:v>0.15203401516892667</c:v>
                </c:pt>
                <c:pt idx="58" formatCode="0.00%">
                  <c:v>0.13304252998909488</c:v>
                </c:pt>
                <c:pt idx="59" formatCode="0.00%">
                  <c:v>0.12805197526983128</c:v>
                </c:pt>
                <c:pt idx="60" formatCode="0.00%">
                  <c:v>0.10710334144722283</c:v>
                </c:pt>
                <c:pt idx="61" formatCode="0.00%">
                  <c:v>0.10106382978723404</c:v>
                </c:pt>
                <c:pt idx="62" formatCode="0.00%">
                  <c:v>9.1817613991255459E-2</c:v>
                </c:pt>
                <c:pt idx="63" formatCode="0.00%">
                  <c:v>0.10485880398671096</c:v>
                </c:pt>
                <c:pt idx="64" formatCode="0.00%">
                  <c:v>0.10799453724130686</c:v>
                </c:pt>
                <c:pt idx="65" formatCode="0.00%">
                  <c:v>0.10749219562955255</c:v>
                </c:pt>
                <c:pt idx="66" formatCode="0.00%">
                  <c:v>0.13465968586387433</c:v>
                </c:pt>
                <c:pt idx="67" formatCode="0.00%">
                  <c:v>0.10181664554288128</c:v>
                </c:pt>
                <c:pt idx="68" formatCode="0.00%">
                  <c:v>7.8875518252603902E-2</c:v>
                </c:pt>
                <c:pt idx="69" formatCode="0.00%">
                  <c:v>5.0274314214463843E-2</c:v>
                </c:pt>
                <c:pt idx="70" formatCode="0.00%">
                  <c:v>2.7430221366698749E-2</c:v>
                </c:pt>
                <c:pt idx="71" formatCode="0.00%">
                  <c:v>-2.5545750116117046E-2</c:v>
                </c:pt>
                <c:pt idx="72" formatCode="0.00%">
                  <c:v>3.837697381571057E-2</c:v>
                </c:pt>
                <c:pt idx="73" formatCode="0.00%">
                  <c:v>2.6666666666666668E-2</c:v>
                </c:pt>
                <c:pt idx="74" formatCode="0.00%">
                  <c:v>3.3943554538520215E-2</c:v>
                </c:pt>
                <c:pt idx="75" formatCode="0.00%">
                  <c:v>3.2888554782935536E-2</c:v>
                </c:pt>
                <c:pt idx="76" formatCode="0.00%">
                  <c:v>6.0870389684270408E-2</c:v>
                </c:pt>
                <c:pt idx="77" formatCode="0.00%">
                  <c:v>4.3220896363807194E-2</c:v>
                </c:pt>
                <c:pt idx="78" formatCode="0.00%">
                  <c:v>6.8660022148394242E-2</c:v>
                </c:pt>
                <c:pt idx="79" formatCode="0.00%">
                  <c:v>9.0394938650306747E-2</c:v>
                </c:pt>
                <c:pt idx="80" formatCode="0.00%">
                  <c:v>5.9330771393757614E-2</c:v>
                </c:pt>
                <c:pt idx="81" formatCode="0.00%">
                  <c:v>9.9534618672238576E-2</c:v>
                </c:pt>
                <c:pt idx="82" formatCode="0.00%">
                  <c:v>8.2248243559718964E-2</c:v>
                </c:pt>
                <c:pt idx="83" formatCode="0.00%">
                  <c:v>9.2373689227836037E-2</c:v>
                </c:pt>
                <c:pt idx="84" formatCode="0.00%">
                  <c:v>0.12800769971126083</c:v>
                </c:pt>
                <c:pt idx="85" formatCode="0.00%">
                  <c:v>0.11246000376435158</c:v>
                </c:pt>
                <c:pt idx="86" formatCode="0.00%">
                  <c:v>0.11139800811508668</c:v>
                </c:pt>
                <c:pt idx="87" formatCode="0.00%">
                  <c:v>0.12308951965065502</c:v>
                </c:pt>
                <c:pt idx="88" formatCode="0.00%">
                  <c:v>0.12235231030476361</c:v>
                </c:pt>
                <c:pt idx="89" formatCode="0.00%">
                  <c:v>0.13104566333423398</c:v>
                </c:pt>
                <c:pt idx="90" formatCode="0.00%">
                  <c:v>0.1003454231433506</c:v>
                </c:pt>
                <c:pt idx="91" formatCode="0.00%">
                  <c:v>0.13978021978021979</c:v>
                </c:pt>
                <c:pt idx="92" formatCode="0.00%">
                  <c:v>0.16758095912227924</c:v>
                </c:pt>
                <c:pt idx="93" formatCode="0.00%">
                  <c:v>0.13388615358037489</c:v>
                </c:pt>
                <c:pt idx="94" formatCode="0.00%">
                  <c:v>0.13477018956115294</c:v>
                </c:pt>
                <c:pt idx="95" formatCode="0.00%">
                  <c:v>0.18055676760624836</c:v>
                </c:pt>
                <c:pt idx="96" formatCode="0.00%">
                  <c:v>0.18216723549488054</c:v>
                </c:pt>
                <c:pt idx="97" formatCode="0.00%">
                  <c:v>0.20472041282463413</c:v>
                </c:pt>
                <c:pt idx="98" formatCode="0.00%">
                  <c:v>0.18328908065051444</c:v>
                </c:pt>
                <c:pt idx="99" formatCode="0.00%">
                  <c:v>0.17116241393276629</c:v>
                </c:pt>
                <c:pt idx="100" formatCode="0.00%">
                  <c:v>0.15774804905239687</c:v>
                </c:pt>
                <c:pt idx="101" formatCode="0.00%">
                  <c:v>0.19039655996177735</c:v>
                </c:pt>
                <c:pt idx="102" formatCode="0.00%">
                  <c:v>0.18011301208601477</c:v>
                </c:pt>
                <c:pt idx="103" formatCode="0.00%">
                  <c:v>0.1785576552256074</c:v>
                </c:pt>
                <c:pt idx="104" formatCode="0.00%">
                  <c:v>0.19543801151864201</c:v>
                </c:pt>
                <c:pt idx="105" formatCode="0.00%">
                  <c:v>0.195855869581778</c:v>
                </c:pt>
                <c:pt idx="106" formatCode="0.00%">
                  <c:v>0.21151792524790236</c:v>
                </c:pt>
                <c:pt idx="107" formatCode="0.00%">
                  <c:v>0.22250147841513898</c:v>
                </c:pt>
                <c:pt idx="108" formatCode="0.00%">
                  <c:v>0.11909058101768315</c:v>
                </c:pt>
                <c:pt idx="109" formatCode="0.00%">
                  <c:v>6.8955831753388111E-2</c:v>
                </c:pt>
                <c:pt idx="110" formatCode="0.00%">
                  <c:v>7.6642591683612649E-2</c:v>
                </c:pt>
                <c:pt idx="111" formatCode="0.00%">
                  <c:v>5.7476829436989903E-2</c:v>
                </c:pt>
                <c:pt idx="112" formatCode="0.00%">
                  <c:v>2.3179035697090584E-2</c:v>
                </c:pt>
                <c:pt idx="113" formatCode="0.00%">
                  <c:v>2.1406114121345909E-3</c:v>
                </c:pt>
                <c:pt idx="114" formatCode="0.00%">
                  <c:v>-4.8546917603245329E-3</c:v>
                </c:pt>
                <c:pt idx="115" formatCode="0.00%">
                  <c:v>-4.319371727748691E-3</c:v>
                </c:pt>
                <c:pt idx="116" formatCode="0.00%">
                  <c:v>-8.2535657686212363E-2</c:v>
                </c:pt>
                <c:pt idx="117" formatCode="0.00%">
                  <c:v>-4.5802012995286023E-2</c:v>
                </c:pt>
                <c:pt idx="118" formatCode="0.00%">
                  <c:v>-6.5856576213561668E-2</c:v>
                </c:pt>
                <c:pt idx="119" formatCode="0.00%">
                  <c:v>-0.10448663683637682</c:v>
                </c:pt>
                <c:pt idx="120" formatCode="0.00%">
                  <c:v>-2.6701064172847469E-2</c:v>
                </c:pt>
                <c:pt idx="121" formatCode="0.00%">
                  <c:v>-1.1101622544833475E-2</c:v>
                </c:pt>
                <c:pt idx="122" formatCode="0.00%">
                  <c:v>-5.8616647127784287E-4</c:v>
                </c:pt>
                <c:pt idx="123" formatCode="0.00%">
                  <c:v>2.5246909542808556E-2</c:v>
                </c:pt>
                <c:pt idx="124" formatCode="0.00%">
                  <c:v>6.547458994353321E-2</c:v>
                </c:pt>
                <c:pt idx="125" formatCode="0.00%">
                  <c:v>4.9662906348040853E-2</c:v>
                </c:pt>
                <c:pt idx="126" formatCode="0.00%">
                  <c:v>7.0435712376369961E-2</c:v>
                </c:pt>
                <c:pt idx="127" formatCode="0.00%">
                  <c:v>4.3841198895753913E-2</c:v>
                </c:pt>
                <c:pt idx="128" formatCode="0.00%">
                  <c:v>8.6505907551993361E-2</c:v>
                </c:pt>
                <c:pt idx="129" formatCode="0.00%">
                  <c:v>6.6626610588156748E-2</c:v>
                </c:pt>
                <c:pt idx="130" formatCode="0.00%">
                  <c:v>0.10642313136078722</c:v>
                </c:pt>
                <c:pt idx="131" formatCode="0.00%">
                  <c:v>0.11390952059419311</c:v>
                </c:pt>
                <c:pt idx="132" formatCode="0.00%">
                  <c:v>8.8993439798555424E-2</c:v>
                </c:pt>
                <c:pt idx="133" formatCode="0.00%">
                  <c:v>0.12481732429918958</c:v>
                </c:pt>
                <c:pt idx="134" formatCode="0.00%">
                  <c:v>9.2473118279569888E-2</c:v>
                </c:pt>
                <c:pt idx="135" formatCode="0.00%">
                  <c:v>5.8564593301435409E-2</c:v>
                </c:pt>
                <c:pt idx="136" formatCode="0.00%">
                  <c:v>5.5015772870662463E-2</c:v>
                </c:pt>
                <c:pt idx="137" formatCode="0.00%">
                  <c:v>7.7138314785373613E-2</c:v>
                </c:pt>
                <c:pt idx="138" formatCode="0.00%">
                  <c:v>6.4365089274566106E-2</c:v>
                </c:pt>
                <c:pt idx="139" formatCode="0.00%">
                  <c:v>9.010767583905295E-2</c:v>
                </c:pt>
                <c:pt idx="140" formatCode="0.00%">
                  <c:v>0.11891891891891893</c:v>
                </c:pt>
                <c:pt idx="141" formatCode="0.00%">
                  <c:v>0.11272454152844714</c:v>
                </c:pt>
                <c:pt idx="142" formatCode="0.00%">
                  <c:v>8.9242202729044831E-2</c:v>
                </c:pt>
                <c:pt idx="143" formatCode="0.00%">
                  <c:v>7.5468266957628663E-2</c:v>
                </c:pt>
                <c:pt idx="144" formatCode="0.00%">
                  <c:v>0.11202385298770841</c:v>
                </c:pt>
                <c:pt idx="145" formatCode="0.00%">
                  <c:v>9.6438906277682632E-2</c:v>
                </c:pt>
                <c:pt idx="146" formatCode="0.00%">
                  <c:v>7.8024337866857557E-2</c:v>
                </c:pt>
                <c:pt idx="147" formatCode="0.00%">
                  <c:v>0.11143253179051407</c:v>
                </c:pt>
                <c:pt idx="148" formatCode="0.00%">
                  <c:v>9.7416576964477933E-2</c:v>
                </c:pt>
                <c:pt idx="149" formatCode="0.00%">
                  <c:v>0.10101546817806116</c:v>
                </c:pt>
                <c:pt idx="150" formatCode="0.00%">
                  <c:v>0.11015308815766321</c:v>
                </c:pt>
                <c:pt idx="151" formatCode="0.00%">
                  <c:v>0.10778650646950093</c:v>
                </c:pt>
                <c:pt idx="152" formatCode="0.00%">
                  <c:v>0.10667803353225348</c:v>
                </c:pt>
                <c:pt idx="153" formatCode="0.00%">
                  <c:v>0.10670491618854765</c:v>
                </c:pt>
                <c:pt idx="154" formatCode="0.00%">
                  <c:v>0.10670544153011577</c:v>
                </c:pt>
                <c:pt idx="155" formatCode="0.00%">
                  <c:v>0.12399954909254876</c:v>
                </c:pt>
                <c:pt idx="156" formatCode="0.00%">
                  <c:v>0.10735978112175103</c:v>
                </c:pt>
                <c:pt idx="157" formatCode="0.00%">
                  <c:v>8.6663794032101685E-2</c:v>
                </c:pt>
                <c:pt idx="158" formatCode="0.00%">
                  <c:v>0.13468348826914564</c:v>
                </c:pt>
                <c:pt idx="159" formatCode="0.00%">
                  <c:v>0.12466109966381086</c:v>
                </c:pt>
                <c:pt idx="160" formatCode="0.00%">
                  <c:v>0.12081085499427824</c:v>
                </c:pt>
                <c:pt idx="161" formatCode="0.00%">
                  <c:v>0.12735267306557993</c:v>
                </c:pt>
                <c:pt idx="162" formatCode="0.00%">
                  <c:v>0.10889205896338564</c:v>
                </c:pt>
                <c:pt idx="163" formatCode="0.00%">
                  <c:v>0.1349984357075816</c:v>
                </c:pt>
                <c:pt idx="164" formatCode="0.00%">
                  <c:v>0.12731101068200493</c:v>
                </c:pt>
                <c:pt idx="165" formatCode="0.00%">
                  <c:v>0.13113087674714105</c:v>
                </c:pt>
                <c:pt idx="166" formatCode="0.00%">
                  <c:v>0.1350245085653646</c:v>
                </c:pt>
                <c:pt idx="167" formatCode="0.00%">
                  <c:v>0.14466954167084545</c:v>
                </c:pt>
                <c:pt idx="168" formatCode="0.00%">
                  <c:v>0.11548154370707121</c:v>
                </c:pt>
                <c:pt idx="169" formatCode="0.00%">
                  <c:v>0.14339529120198266</c:v>
                </c:pt>
                <c:pt idx="170" formatCode="0.00%">
                  <c:v>0.15463766702428558</c:v>
                </c:pt>
                <c:pt idx="171" formatCode="0.00%">
                  <c:v>0.12361988332288704</c:v>
                </c:pt>
                <c:pt idx="172" formatCode="0.00%">
                  <c:v>0.15684558537534032</c:v>
                </c:pt>
                <c:pt idx="173" formatCode="0.00%">
                  <c:v>0.13023211567732115</c:v>
                </c:pt>
                <c:pt idx="174" formatCode="0.00%">
                  <c:v>0.12626262626262627</c:v>
                </c:pt>
                <c:pt idx="175" formatCode="0.00%">
                  <c:v>0.11292323241604263</c:v>
                </c:pt>
                <c:pt idx="176" formatCode="0.00%">
                  <c:v>0.10272880506582843</c:v>
                </c:pt>
                <c:pt idx="177" formatCode="0.00%">
                  <c:v>9.409121545720063E-2</c:v>
                </c:pt>
                <c:pt idx="178" formatCode="0.00%">
                  <c:v>8.0049864209073507E-2</c:v>
                </c:pt>
                <c:pt idx="179" formatCode="0.00%">
                  <c:v>6.0410916896657466E-2</c:v>
                </c:pt>
                <c:pt idx="180" formatCode="0.00%">
                  <c:v>7.3934615043855761E-2</c:v>
                </c:pt>
                <c:pt idx="181" formatCode="0.00%">
                  <c:v>0.10564418241720132</c:v>
                </c:pt>
                <c:pt idx="182" formatCode="0.00%">
                  <c:v>5.7313004181272963E-2</c:v>
                </c:pt>
                <c:pt idx="183" formatCode="0.00%">
                  <c:v>8.5732675391546873E-2</c:v>
                </c:pt>
                <c:pt idx="184" formatCode="0.00%">
                  <c:v>6.2074472556106583E-2</c:v>
                </c:pt>
                <c:pt idx="185" formatCode="0.00%">
                  <c:v>7.1542799427657608E-2</c:v>
                </c:pt>
                <c:pt idx="186" formatCode="0.00%">
                  <c:v>9.8654708520179366E-2</c:v>
                </c:pt>
                <c:pt idx="187" formatCode="0.00%">
                  <c:v>6.6088751289989686E-2</c:v>
                </c:pt>
                <c:pt idx="188" formatCode="0.00%">
                  <c:v>7.8740808064116333E-2</c:v>
                </c:pt>
                <c:pt idx="189" formatCode="0.00%">
                  <c:v>8.4110230399605732E-2</c:v>
                </c:pt>
                <c:pt idx="190" formatCode="0.00%">
                  <c:v>0.11566841172348406</c:v>
                </c:pt>
                <c:pt idx="191" formatCode="0.00%">
                  <c:v>8.518549120052879E-2</c:v>
                </c:pt>
                <c:pt idx="192" formatCode="0.00%">
                  <c:v>7.3258260116322235E-2</c:v>
                </c:pt>
                <c:pt idx="193" formatCode="0.00%">
                  <c:v>2.3367967065281318E-2</c:v>
                </c:pt>
                <c:pt idx="194" formatCode="0.00%">
                  <c:v>5.9758728129743546E-2</c:v>
                </c:pt>
                <c:pt idx="195" formatCode="0.00%">
                  <c:v>7.6670750503892812E-2</c:v>
                </c:pt>
                <c:pt idx="196" formatCode="0.00%">
                  <c:v>8.923271734399113E-2</c:v>
                </c:pt>
                <c:pt idx="197" formatCode="0.00%">
                  <c:v>7.6231246563506397E-2</c:v>
                </c:pt>
                <c:pt idx="198" formatCode="0.00%">
                  <c:v>7.1351559491721214E-2</c:v>
                </c:pt>
                <c:pt idx="199" formatCode="0.00%">
                  <c:v>5.9939595756214666E-2</c:v>
                </c:pt>
                <c:pt idx="200" formatCode="0.00%">
                  <c:v>4.388786764705882E-2</c:v>
                </c:pt>
                <c:pt idx="201" formatCode="0.00%">
                  <c:v>-2.4245179376444293E-3</c:v>
                </c:pt>
                <c:pt idx="202" formatCode="0.00%">
                  <c:v>-7.0792536486236832E-2</c:v>
                </c:pt>
                <c:pt idx="203" formatCode="0.00%">
                  <c:v>-5.7750875590071568E-2</c:v>
                </c:pt>
                <c:pt idx="204" formatCode="0.00%">
                  <c:v>-3.728044890272493E-2</c:v>
                </c:pt>
                <c:pt idx="205" formatCode="0.00%">
                  <c:v>-3.2948929159802305E-2</c:v>
                </c:pt>
                <c:pt idx="206" formatCode="0.00%">
                  <c:v>-5.9894459102902371E-2</c:v>
                </c:pt>
                <c:pt idx="207" formatCode="0.00%">
                  <c:v>-8.4829130418823187E-2</c:v>
                </c:pt>
                <c:pt idx="208" formatCode="0.00%">
                  <c:v>-8.5991426287873277E-2</c:v>
                </c:pt>
                <c:pt idx="209" formatCode="0.00%">
                  <c:v>-5.9665000182461778E-2</c:v>
                </c:pt>
                <c:pt idx="210" formatCode="0.00%">
                  <c:v>-6.1567767674226358E-2</c:v>
                </c:pt>
                <c:pt idx="211" formatCode="0.00%">
                  <c:v>-4.4713962153868636E-2</c:v>
                </c:pt>
                <c:pt idx="212" formatCode="0.00%">
                  <c:v>-3.3714872697923545E-2</c:v>
                </c:pt>
                <c:pt idx="213" formatCode="0.00%">
                  <c:v>1.143052443701819E-2</c:v>
                </c:pt>
                <c:pt idx="214" formatCode="0.00%">
                  <c:v>6.0320489880313334E-2</c:v>
                </c:pt>
                <c:pt idx="215" formatCode="0.00%">
                  <c:v>9.0218577027190827E-2</c:v>
                </c:pt>
                <c:pt idx="216" formatCode="0.00%">
                  <c:v>8.9943710327757595E-2</c:v>
                </c:pt>
                <c:pt idx="217" formatCode="0.00%">
                  <c:v>7.9711580365278714E-2</c:v>
                </c:pt>
                <c:pt idx="218" formatCode="0.00%">
                  <c:v>0.11679563770498376</c:v>
                </c:pt>
                <c:pt idx="219" formatCode="0.00%">
                  <c:v>0.11178405262313493</c:v>
                </c:pt>
                <c:pt idx="220" formatCode="0.00%">
                  <c:v>0.10493262848284908</c:v>
                </c:pt>
                <c:pt idx="221" formatCode="0.00%">
                  <c:v>0.10454827693262962</c:v>
                </c:pt>
                <c:pt idx="222" formatCode="0.00%">
                  <c:v>7.6752202221371121E-2</c:v>
                </c:pt>
                <c:pt idx="223" formatCode="0.00%">
                  <c:v>9.9655831739961759E-2</c:v>
                </c:pt>
                <c:pt idx="224" formatCode="0.00%">
                  <c:v>9.6169178784312234E-2</c:v>
                </c:pt>
                <c:pt idx="225" formatCode="0.00%">
                  <c:v>8.6806337763760608E-2</c:v>
                </c:pt>
                <c:pt idx="226" formatCode="0.00%">
                  <c:v>8.5689642241056033E-2</c:v>
                </c:pt>
                <c:pt idx="227" formatCode="0.00%">
                  <c:v>9.8502816483842279E-2</c:v>
                </c:pt>
                <c:pt idx="228" formatCode="0.00%">
                  <c:v>0.12174932239396381</c:v>
                </c:pt>
                <c:pt idx="229" formatCode="0.00%">
                  <c:v>0.1050526547536051</c:v>
                </c:pt>
                <c:pt idx="230" formatCode="0.00%">
                  <c:v>9.345156889495225E-2</c:v>
                </c:pt>
                <c:pt idx="231" formatCode="0.00%">
                  <c:v>0.10938345539160864</c:v>
                </c:pt>
                <c:pt idx="232" formatCode="0.00%">
                  <c:v>0.113349401057592</c:v>
                </c:pt>
                <c:pt idx="233" formatCode="0.00%">
                  <c:v>9.3352540229077366E-2</c:v>
                </c:pt>
                <c:pt idx="234" formatCode="0.00%">
                  <c:v>0.1100519314220673</c:v>
                </c:pt>
                <c:pt idx="235" formatCode="0.00%">
                  <c:v>0.10164835164835165</c:v>
                </c:pt>
                <c:pt idx="236" formatCode="0.00%">
                  <c:v>8.8147686339706294E-2</c:v>
                </c:pt>
                <c:pt idx="237" formatCode="0.00%">
                  <c:v>0.12274580252884681</c:v>
                </c:pt>
                <c:pt idx="238" formatCode="0.00%">
                  <c:v>0.1316362129114711</c:v>
                </c:pt>
                <c:pt idx="239" formatCode="0.00%">
                  <c:v>9.5337696511706357E-2</c:v>
                </c:pt>
                <c:pt idx="240" formatCode="0.00%">
                  <c:v>5.9002155031672436E-2</c:v>
                </c:pt>
                <c:pt idx="241" formatCode="0.00%">
                  <c:v>9.3040244388364987E-2</c:v>
                </c:pt>
                <c:pt idx="242" formatCode="0.00%">
                  <c:v>7.9521948977246612E-2</c:v>
                </c:pt>
                <c:pt idx="243" formatCode="0.00%">
                  <c:v>7.9867321387922338E-2</c:v>
                </c:pt>
                <c:pt idx="244" formatCode="0.00%">
                  <c:v>9.1760904684975761E-2</c:v>
                </c:pt>
                <c:pt idx="245" formatCode="0.00%">
                  <c:v>8.4385745043221189E-2</c:v>
                </c:pt>
                <c:pt idx="246" formatCode="0.00%">
                  <c:v>9.5488336324019485E-2</c:v>
                </c:pt>
                <c:pt idx="247" formatCode="0.00%">
                  <c:v>8.6113829350673951E-2</c:v>
                </c:pt>
                <c:pt idx="248" formatCode="0.00%">
                  <c:v>0.10577076105293312</c:v>
                </c:pt>
                <c:pt idx="249" formatCode="0.00%">
                  <c:v>6.8925197698390714E-2</c:v>
                </c:pt>
                <c:pt idx="250" formatCode="0.00%">
                  <c:v>7.5697454367865208E-2</c:v>
                </c:pt>
                <c:pt idx="251" formatCode="0.00%">
                  <c:v>8.6177159048909699E-2</c:v>
                </c:pt>
                <c:pt idx="252" formatCode="0.00%">
                  <c:v>9.7616625042395086E-2</c:v>
                </c:pt>
                <c:pt idx="253" formatCode="0.00%">
                  <c:v>8.0746096360653746E-2</c:v>
                </c:pt>
                <c:pt idx="254" formatCode="0.00%">
                  <c:v>7.7313786915660446E-2</c:v>
                </c:pt>
                <c:pt idx="255" formatCode="0.00%">
                  <c:v>5.8210618243141506E-2</c:v>
                </c:pt>
                <c:pt idx="256" formatCode="0.00%">
                  <c:v>3.956791950281148E-2</c:v>
                </c:pt>
                <c:pt idx="257" formatCode="0.00%">
                  <c:v>4.6555045191880279E-2</c:v>
                </c:pt>
                <c:pt idx="258" formatCode="0.00%">
                  <c:v>4.2120042120042119E-2</c:v>
                </c:pt>
                <c:pt idx="259" formatCode="0.00%">
                  <c:v>3.8567733310082251E-2</c:v>
                </c:pt>
                <c:pt idx="260" formatCode="0.00%">
                  <c:v>2.530224525043178E-2</c:v>
                </c:pt>
                <c:pt idx="261" formatCode="0.00%">
                  <c:v>2.4756037882495179E-2</c:v>
                </c:pt>
                <c:pt idx="262" formatCode="0.00%">
                  <c:v>3.4248907553487314E-2</c:v>
                </c:pt>
                <c:pt idx="263" formatCode="0.00%">
                  <c:v>6.5020132705722225E-2</c:v>
                </c:pt>
                <c:pt idx="264" formatCode="0.00%">
                  <c:v>2.0421921964100115E-2</c:v>
                </c:pt>
                <c:pt idx="265" formatCode="0.00%">
                  <c:v>4.7166629188216777E-2</c:v>
                </c:pt>
                <c:pt idx="266" formatCode="0.00%">
                  <c:v>6.5751955054910924E-2</c:v>
                </c:pt>
                <c:pt idx="267" formatCode="0.00%">
                  <c:v>7.6807057484348323E-2</c:v>
                </c:pt>
                <c:pt idx="268" formatCode="0.00%">
                  <c:v>7.9568423150283257E-2</c:v>
                </c:pt>
                <c:pt idx="269" formatCode="0.00%">
                  <c:v>9.6160380564050282E-2</c:v>
                </c:pt>
                <c:pt idx="270" formatCode="0.00%">
                  <c:v>8.2828112720332317E-2</c:v>
                </c:pt>
                <c:pt idx="271" formatCode="0.00%">
                  <c:v>9.3188559914926958E-2</c:v>
                </c:pt>
                <c:pt idx="272" formatCode="0.00%">
                  <c:v>9.9160560375080711E-2</c:v>
                </c:pt>
                <c:pt idx="273" formatCode="0.00%">
                  <c:v>0.10994690862102868</c:v>
                </c:pt>
                <c:pt idx="274" formatCode="0.00%">
                  <c:v>9.2951795659688877E-2</c:v>
                </c:pt>
                <c:pt idx="275" formatCode="0.00%">
                  <c:v>6.2541601214089831E-2</c:v>
                </c:pt>
                <c:pt idx="276" formatCode="0.00%">
                  <c:v>9.645983593018774E-2</c:v>
                </c:pt>
                <c:pt idx="277" formatCode="0.00%">
                  <c:v>9.6177591668008808E-2</c:v>
                </c:pt>
                <c:pt idx="278" formatCode="0.00%">
                  <c:v>7.7112582781456954E-2</c:v>
                </c:pt>
                <c:pt idx="279" formatCode="0.00%">
                  <c:v>8.0816089220116807E-2</c:v>
                </c:pt>
                <c:pt idx="280" formatCode="0.00%">
                  <c:v>7.4996044512420229E-2</c:v>
                </c:pt>
                <c:pt idx="281" formatCode="0.00%">
                  <c:v>6.0136391816491011E-2</c:v>
                </c:pt>
                <c:pt idx="282" formatCode="0.00%">
                  <c:v>7.8747505119365457E-2</c:v>
                </c:pt>
                <c:pt idx="283" formatCode="0.00%">
                  <c:v>6.5994265820192508E-2</c:v>
                </c:pt>
                <c:pt idx="284" formatCode="0.00%">
                  <c:v>7.414880845955403E-2</c:v>
                </c:pt>
                <c:pt idx="285" formatCode="0.00%">
                  <c:v>6.9572039581909745E-2</c:v>
                </c:pt>
                <c:pt idx="286" formatCode="0.00%">
                  <c:v>5.796119185681653E-2</c:v>
                </c:pt>
                <c:pt idx="287" formatCode="0.00%">
                  <c:v>6.13160268617821E-2</c:v>
                </c:pt>
                <c:pt idx="288" formatCode="0.00%">
                  <c:v>8.3956816469997489E-2</c:v>
                </c:pt>
                <c:pt idx="289" formatCode="0.00%">
                  <c:v>6.2467860028895365E-2</c:v>
                </c:pt>
                <c:pt idx="290" formatCode="0.00%">
                  <c:v>6.8271808366739628E-2</c:v>
                </c:pt>
                <c:pt idx="291" formatCode="0.00%">
                  <c:v>7.5262244174389314E-2</c:v>
                </c:pt>
                <c:pt idx="292" formatCode="0.00%">
                  <c:v>9.9617328165628224E-2</c:v>
                </c:pt>
                <c:pt idx="293" formatCode="0.00%">
                  <c:v>0.10536062378167642</c:v>
                </c:pt>
                <c:pt idx="294" formatCode="0.00%">
                  <c:v>8.9074176418290602E-2</c:v>
                </c:pt>
                <c:pt idx="295" formatCode="0.00%">
                  <c:v>9.4712069545170738E-2</c:v>
                </c:pt>
                <c:pt idx="296" formatCode="0.00%">
                  <c:v>9.1881866172064494E-2</c:v>
                </c:pt>
                <c:pt idx="297" formatCode="0.00%">
                  <c:v>0.10046850598646538</c:v>
                </c:pt>
                <c:pt idx="298" formatCode="0.00%">
                  <c:v>0.10411426944431262</c:v>
                </c:pt>
                <c:pt idx="299" formatCode="0.00%">
                  <c:v>0.12395230787392279</c:v>
                </c:pt>
                <c:pt idx="300" formatCode="0.00%">
                  <c:v>0.1148376337610599</c:v>
                </c:pt>
                <c:pt idx="301" formatCode="0.00%">
                  <c:v>0.1134876002581359</c:v>
                </c:pt>
                <c:pt idx="302" formatCode="0.00%">
                  <c:v>0.12583741971130602</c:v>
                </c:pt>
                <c:pt idx="303" formatCode="0.00%">
                  <c:v>0.12845935190449118</c:v>
                </c:pt>
                <c:pt idx="304" formatCode="0.00%">
                  <c:v>0.11519842951792446</c:v>
                </c:pt>
                <c:pt idx="305" formatCode="0.00%">
                  <c:v>0.10808129794550746</c:v>
                </c:pt>
                <c:pt idx="306" formatCode="0.00%">
                  <c:v>0.11889947930456271</c:v>
                </c:pt>
                <c:pt idx="307" formatCode="0.00%">
                  <c:v>0.11953231255209933</c:v>
                </c:pt>
                <c:pt idx="308" formatCode="0.00%">
                  <c:v>0.12289298314386515</c:v>
                </c:pt>
                <c:pt idx="309" formatCode="0.00%">
                  <c:v>9.8176657779306786E-2</c:v>
                </c:pt>
                <c:pt idx="310" formatCode="0.00%">
                  <c:v>0.14799931233076891</c:v>
                </c:pt>
                <c:pt idx="311" formatCode="0.00%">
                  <c:v>0.14195987816405839</c:v>
                </c:pt>
                <c:pt idx="312" formatCode="0.00%">
                  <c:v>0.12879165627856728</c:v>
                </c:pt>
                <c:pt idx="313" formatCode="0.00%">
                  <c:v>0.13091985428051001</c:v>
                </c:pt>
                <c:pt idx="314" formatCode="0.00%">
                  <c:v>0.13113714905016052</c:v>
                </c:pt>
                <c:pt idx="315" formatCode="0.00%">
                  <c:v>0.13112606803159763</c:v>
                </c:pt>
                <c:pt idx="316" formatCode="0.00%">
                  <c:v>0.11656098097657579</c:v>
                </c:pt>
                <c:pt idx="317" formatCode="0.00%">
                  <c:v>0.10909741977838343</c:v>
                </c:pt>
                <c:pt idx="318" formatCode="0.00%">
                  <c:v>0.11833257744562538</c:v>
                </c:pt>
                <c:pt idx="319" formatCode="0.00%">
                  <c:v>0.11586166356422063</c:v>
                </c:pt>
                <c:pt idx="320" formatCode="0.00%">
                  <c:v>0.12009076627683714</c:v>
                </c:pt>
                <c:pt idx="321" formatCode="0.00%">
                  <c:v>0.13989505423503151</c:v>
                </c:pt>
                <c:pt idx="322" formatCode="0.00%">
                  <c:v>0.12817056962617698</c:v>
                </c:pt>
                <c:pt idx="323" formatCode="0.00%">
                  <c:v>2.0050401927781763E-3</c:v>
                </c:pt>
                <c:pt idx="324" formatCode="0.00%">
                  <c:v>0.1148331523439657</c:v>
                </c:pt>
                <c:pt idx="325" formatCode="0.00%">
                  <c:v>0.11686219960832403</c:v>
                </c:pt>
                <c:pt idx="326" formatCode="0.00%">
                  <c:v>9.9952997324463083E-2</c:v>
                </c:pt>
                <c:pt idx="327" formatCode="0.00%">
                  <c:v>0.10210044360513798</c:v>
                </c:pt>
                <c:pt idx="328" formatCode="0.00%">
                  <c:v>0.13415027410512737</c:v>
                </c:pt>
                <c:pt idx="329" formatCode="0.00%">
                  <c:v>0.1518537784075622</c:v>
                </c:pt>
                <c:pt idx="330" formatCode="0.00%">
                  <c:v>0.13592763691504742</c:v>
                </c:pt>
                <c:pt idx="331" formatCode="0.00%">
                  <c:v>0.14090047060476224</c:v>
                </c:pt>
                <c:pt idx="332" formatCode="0.00%">
                  <c:v>0.11956088861184701</c:v>
                </c:pt>
                <c:pt idx="333" formatCode="0.00%">
                  <c:v>0.12152390113193287</c:v>
                </c:pt>
                <c:pt idx="334" formatCode="0.00%">
                  <c:v>7.4766044999004452E-2</c:v>
                </c:pt>
                <c:pt idx="335" formatCode="0.00%">
                  <c:v>0.18504919958877955</c:v>
                </c:pt>
                <c:pt idx="336" formatCode="0.00%">
                  <c:v>7.7100875020637283E-2</c:v>
                </c:pt>
                <c:pt idx="337" formatCode="0.00%">
                  <c:v>7.5022123168693264E-2</c:v>
                </c:pt>
                <c:pt idx="338" formatCode="0.00%">
                  <c:v>0.12471032952584436</c:v>
                </c:pt>
                <c:pt idx="339" formatCode="0.00%">
                  <c:v>0.23870873880572888</c:v>
                </c:pt>
                <c:pt idx="340" formatCode="0.00%">
                  <c:v>0.28752408934382206</c:v>
                </c:pt>
                <c:pt idx="341" formatCode="0.00%">
                  <c:v>0.2239749599015837</c:v>
                </c:pt>
                <c:pt idx="342" formatCode="0.00%">
                  <c:v>0.25227015196436053</c:v>
                </c:pt>
                <c:pt idx="343" formatCode="0.00%">
                  <c:v>0.2649141168503355</c:v>
                </c:pt>
              </c:numCache>
            </c:numRef>
          </c:val>
          <c:smooth val="0"/>
          <c:extLst>
            <c:ext xmlns:c16="http://schemas.microsoft.com/office/drawing/2014/chart" uri="{C3380CC4-5D6E-409C-BE32-E72D297353CC}">
              <c16:uniqueId val="{00000002-3C54-4B54-B72D-FCCCD9BEE7AE}"/>
            </c:ext>
          </c:extLst>
        </c:ser>
        <c:dLbls>
          <c:showLegendKey val="0"/>
          <c:showVal val="0"/>
          <c:showCatName val="0"/>
          <c:showSerName val="0"/>
          <c:showPercent val="0"/>
          <c:showBubbleSize val="0"/>
        </c:dLbls>
        <c:smooth val="0"/>
        <c:axId val="721545464"/>
        <c:axId val="721548088"/>
      </c:lineChart>
      <c:dateAx>
        <c:axId val="721545464"/>
        <c:scaling>
          <c:orientation val="minMax"/>
        </c:scaling>
        <c:delete val="0"/>
        <c:axPos val="b"/>
        <c:numFmt formatCode="[$-409]mmm\-yy;@" sourceLinked="1"/>
        <c:majorTickMark val="out"/>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21548088"/>
        <c:crosses val="autoZero"/>
        <c:auto val="1"/>
        <c:lblOffset val="100"/>
        <c:baseTimeUnit val="months"/>
      </c:dateAx>
      <c:valAx>
        <c:axId val="72154808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2154546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t>Health and Personal Care Stores, Millions of Dollars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Health!$B$6</c:f>
              <c:strCache>
                <c:ptCount val="1"/>
                <c:pt idx="0">
                  <c:v>Health and Personal Care Stores, Millions of Dollars</c:v>
                </c:pt>
              </c:strCache>
            </c:strRef>
          </c:tx>
          <c:spPr>
            <a:ln w="28575" cap="rnd">
              <a:solidFill>
                <a:schemeClr val="accent1"/>
              </a:solidFill>
              <a:round/>
            </a:ln>
            <a:effectLst/>
          </c:spPr>
          <c:marker>
            <c:symbol val="none"/>
          </c:marker>
          <c:cat>
            <c:numRef>
              <c:f>Health!$A$7:$A$350</c:f>
              <c:numCache>
                <c:formatCode>[$-409]mmm\-yy;@</c:formatCode>
                <c:ptCount val="344"/>
                <c:pt idx="0">
                  <c:v>33604</c:v>
                </c:pt>
                <c:pt idx="1">
                  <c:v>33635</c:v>
                </c:pt>
                <c:pt idx="2">
                  <c:v>33664</c:v>
                </c:pt>
                <c:pt idx="3">
                  <c:v>33695</c:v>
                </c:pt>
                <c:pt idx="4">
                  <c:v>33725</c:v>
                </c:pt>
                <c:pt idx="5">
                  <c:v>33756</c:v>
                </c:pt>
                <c:pt idx="6">
                  <c:v>33786</c:v>
                </c:pt>
                <c:pt idx="7">
                  <c:v>33817</c:v>
                </c:pt>
                <c:pt idx="8">
                  <c:v>33848</c:v>
                </c:pt>
                <c:pt idx="9">
                  <c:v>33878</c:v>
                </c:pt>
                <c:pt idx="10">
                  <c:v>33909</c:v>
                </c:pt>
                <c:pt idx="11">
                  <c:v>33939</c:v>
                </c:pt>
                <c:pt idx="12">
                  <c:v>33970</c:v>
                </c:pt>
                <c:pt idx="13">
                  <c:v>34001</c:v>
                </c:pt>
                <c:pt idx="14">
                  <c:v>34029</c:v>
                </c:pt>
                <c:pt idx="15">
                  <c:v>34060</c:v>
                </c:pt>
                <c:pt idx="16">
                  <c:v>34090</c:v>
                </c:pt>
                <c:pt idx="17">
                  <c:v>34121</c:v>
                </c:pt>
                <c:pt idx="18">
                  <c:v>34151</c:v>
                </c:pt>
                <c:pt idx="19">
                  <c:v>34182</c:v>
                </c:pt>
                <c:pt idx="20">
                  <c:v>34213</c:v>
                </c:pt>
                <c:pt idx="21">
                  <c:v>34243</c:v>
                </c:pt>
                <c:pt idx="22">
                  <c:v>34274</c:v>
                </c:pt>
                <c:pt idx="23">
                  <c:v>34304</c:v>
                </c:pt>
                <c:pt idx="24">
                  <c:v>34335</c:v>
                </c:pt>
                <c:pt idx="25">
                  <c:v>34366</c:v>
                </c:pt>
                <c:pt idx="26">
                  <c:v>34394</c:v>
                </c:pt>
                <c:pt idx="27">
                  <c:v>34425</c:v>
                </c:pt>
                <c:pt idx="28">
                  <c:v>34455</c:v>
                </c:pt>
                <c:pt idx="29">
                  <c:v>34486</c:v>
                </c:pt>
                <c:pt idx="30">
                  <c:v>34516</c:v>
                </c:pt>
                <c:pt idx="31">
                  <c:v>34547</c:v>
                </c:pt>
                <c:pt idx="32">
                  <c:v>34578</c:v>
                </c:pt>
                <c:pt idx="33">
                  <c:v>34608</c:v>
                </c:pt>
                <c:pt idx="34">
                  <c:v>34639</c:v>
                </c:pt>
                <c:pt idx="35">
                  <c:v>34669</c:v>
                </c:pt>
                <c:pt idx="36">
                  <c:v>34700</c:v>
                </c:pt>
                <c:pt idx="37">
                  <c:v>34731</c:v>
                </c:pt>
                <c:pt idx="38">
                  <c:v>34759</c:v>
                </c:pt>
                <c:pt idx="39">
                  <c:v>34790</c:v>
                </c:pt>
                <c:pt idx="40">
                  <c:v>34820</c:v>
                </c:pt>
                <c:pt idx="41">
                  <c:v>34851</c:v>
                </c:pt>
                <c:pt idx="42">
                  <c:v>34881</c:v>
                </c:pt>
                <c:pt idx="43">
                  <c:v>34912</c:v>
                </c:pt>
                <c:pt idx="44">
                  <c:v>34943</c:v>
                </c:pt>
                <c:pt idx="45">
                  <c:v>34973</c:v>
                </c:pt>
                <c:pt idx="46">
                  <c:v>35004</c:v>
                </c:pt>
                <c:pt idx="47">
                  <c:v>35034</c:v>
                </c:pt>
                <c:pt idx="48">
                  <c:v>35065</c:v>
                </c:pt>
                <c:pt idx="49">
                  <c:v>35096</c:v>
                </c:pt>
                <c:pt idx="50">
                  <c:v>35125</c:v>
                </c:pt>
                <c:pt idx="51">
                  <c:v>35156</c:v>
                </c:pt>
                <c:pt idx="52">
                  <c:v>35186</c:v>
                </c:pt>
                <c:pt idx="53">
                  <c:v>35217</c:v>
                </c:pt>
                <c:pt idx="54">
                  <c:v>35247</c:v>
                </c:pt>
                <c:pt idx="55">
                  <c:v>35278</c:v>
                </c:pt>
                <c:pt idx="56">
                  <c:v>35309</c:v>
                </c:pt>
                <c:pt idx="57">
                  <c:v>35339</c:v>
                </c:pt>
                <c:pt idx="58">
                  <c:v>35370</c:v>
                </c:pt>
                <c:pt idx="59">
                  <c:v>35400</c:v>
                </c:pt>
                <c:pt idx="60">
                  <c:v>35431</c:v>
                </c:pt>
                <c:pt idx="61">
                  <c:v>35462</c:v>
                </c:pt>
                <c:pt idx="62">
                  <c:v>35490</c:v>
                </c:pt>
                <c:pt idx="63">
                  <c:v>35521</c:v>
                </c:pt>
                <c:pt idx="64">
                  <c:v>35551</c:v>
                </c:pt>
                <c:pt idx="65">
                  <c:v>35582</c:v>
                </c:pt>
                <c:pt idx="66">
                  <c:v>35612</c:v>
                </c:pt>
                <c:pt idx="67">
                  <c:v>35643</c:v>
                </c:pt>
                <c:pt idx="68">
                  <c:v>35674</c:v>
                </c:pt>
                <c:pt idx="69">
                  <c:v>35704</c:v>
                </c:pt>
                <c:pt idx="70">
                  <c:v>35735</c:v>
                </c:pt>
                <c:pt idx="71">
                  <c:v>35765</c:v>
                </c:pt>
                <c:pt idx="72">
                  <c:v>35796</c:v>
                </c:pt>
                <c:pt idx="73">
                  <c:v>35827</c:v>
                </c:pt>
                <c:pt idx="74">
                  <c:v>35855</c:v>
                </c:pt>
                <c:pt idx="75">
                  <c:v>35886</c:v>
                </c:pt>
                <c:pt idx="76">
                  <c:v>35916</c:v>
                </c:pt>
                <c:pt idx="77">
                  <c:v>35947</c:v>
                </c:pt>
                <c:pt idx="78">
                  <c:v>35977</c:v>
                </c:pt>
                <c:pt idx="79">
                  <c:v>36008</c:v>
                </c:pt>
                <c:pt idx="80">
                  <c:v>36039</c:v>
                </c:pt>
                <c:pt idx="81">
                  <c:v>36069</c:v>
                </c:pt>
                <c:pt idx="82">
                  <c:v>36100</c:v>
                </c:pt>
                <c:pt idx="83">
                  <c:v>36130</c:v>
                </c:pt>
                <c:pt idx="84">
                  <c:v>36161</c:v>
                </c:pt>
                <c:pt idx="85">
                  <c:v>36192</c:v>
                </c:pt>
                <c:pt idx="86">
                  <c:v>36220</c:v>
                </c:pt>
                <c:pt idx="87">
                  <c:v>36251</c:v>
                </c:pt>
                <c:pt idx="88">
                  <c:v>36281</c:v>
                </c:pt>
                <c:pt idx="89">
                  <c:v>36312</c:v>
                </c:pt>
                <c:pt idx="90">
                  <c:v>36342</c:v>
                </c:pt>
                <c:pt idx="91">
                  <c:v>36373</c:v>
                </c:pt>
                <c:pt idx="92">
                  <c:v>36404</c:v>
                </c:pt>
                <c:pt idx="93">
                  <c:v>36434</c:v>
                </c:pt>
                <c:pt idx="94">
                  <c:v>36465</c:v>
                </c:pt>
                <c:pt idx="95">
                  <c:v>36495</c:v>
                </c:pt>
                <c:pt idx="96">
                  <c:v>36526</c:v>
                </c:pt>
                <c:pt idx="97">
                  <c:v>36557</c:v>
                </c:pt>
                <c:pt idx="98">
                  <c:v>36586</c:v>
                </c:pt>
                <c:pt idx="99">
                  <c:v>36617</c:v>
                </c:pt>
                <c:pt idx="100">
                  <c:v>36647</c:v>
                </c:pt>
                <c:pt idx="101">
                  <c:v>36678</c:v>
                </c:pt>
                <c:pt idx="102">
                  <c:v>36708</c:v>
                </c:pt>
                <c:pt idx="103">
                  <c:v>36739</c:v>
                </c:pt>
                <c:pt idx="104">
                  <c:v>36770</c:v>
                </c:pt>
                <c:pt idx="105">
                  <c:v>36800</c:v>
                </c:pt>
                <c:pt idx="106">
                  <c:v>36831</c:v>
                </c:pt>
                <c:pt idx="107">
                  <c:v>36861</c:v>
                </c:pt>
                <c:pt idx="108">
                  <c:v>36892</c:v>
                </c:pt>
                <c:pt idx="109">
                  <c:v>36923</c:v>
                </c:pt>
                <c:pt idx="110">
                  <c:v>36951</c:v>
                </c:pt>
                <c:pt idx="111">
                  <c:v>36982</c:v>
                </c:pt>
                <c:pt idx="112">
                  <c:v>37012</c:v>
                </c:pt>
                <c:pt idx="113">
                  <c:v>37043</c:v>
                </c:pt>
                <c:pt idx="114">
                  <c:v>37073</c:v>
                </c:pt>
                <c:pt idx="115">
                  <c:v>37104</c:v>
                </c:pt>
                <c:pt idx="116">
                  <c:v>37135</c:v>
                </c:pt>
                <c:pt idx="117">
                  <c:v>37165</c:v>
                </c:pt>
                <c:pt idx="118">
                  <c:v>37196</c:v>
                </c:pt>
                <c:pt idx="119">
                  <c:v>37226</c:v>
                </c:pt>
                <c:pt idx="120">
                  <c:v>37257</c:v>
                </c:pt>
                <c:pt idx="121">
                  <c:v>37288</c:v>
                </c:pt>
                <c:pt idx="122">
                  <c:v>37316</c:v>
                </c:pt>
                <c:pt idx="123">
                  <c:v>37347</c:v>
                </c:pt>
                <c:pt idx="124">
                  <c:v>37377</c:v>
                </c:pt>
                <c:pt idx="125">
                  <c:v>37408</c:v>
                </c:pt>
                <c:pt idx="126">
                  <c:v>37438</c:v>
                </c:pt>
                <c:pt idx="127">
                  <c:v>37469</c:v>
                </c:pt>
                <c:pt idx="128">
                  <c:v>37500</c:v>
                </c:pt>
                <c:pt idx="129">
                  <c:v>37530</c:v>
                </c:pt>
                <c:pt idx="130">
                  <c:v>37561</c:v>
                </c:pt>
                <c:pt idx="131">
                  <c:v>37591</c:v>
                </c:pt>
                <c:pt idx="132">
                  <c:v>37622</c:v>
                </c:pt>
                <c:pt idx="133">
                  <c:v>37653</c:v>
                </c:pt>
                <c:pt idx="134">
                  <c:v>37681</c:v>
                </c:pt>
                <c:pt idx="135">
                  <c:v>37712</c:v>
                </c:pt>
                <c:pt idx="136">
                  <c:v>37742</c:v>
                </c:pt>
                <c:pt idx="137">
                  <c:v>37773</c:v>
                </c:pt>
                <c:pt idx="138">
                  <c:v>37803</c:v>
                </c:pt>
                <c:pt idx="139">
                  <c:v>37834</c:v>
                </c:pt>
                <c:pt idx="140">
                  <c:v>37865</c:v>
                </c:pt>
                <c:pt idx="141">
                  <c:v>37895</c:v>
                </c:pt>
                <c:pt idx="142">
                  <c:v>37926</c:v>
                </c:pt>
                <c:pt idx="143">
                  <c:v>37956</c:v>
                </c:pt>
                <c:pt idx="144">
                  <c:v>37987</c:v>
                </c:pt>
                <c:pt idx="145">
                  <c:v>38018</c:v>
                </c:pt>
                <c:pt idx="146">
                  <c:v>38047</c:v>
                </c:pt>
                <c:pt idx="147">
                  <c:v>38078</c:v>
                </c:pt>
                <c:pt idx="148">
                  <c:v>38108</c:v>
                </c:pt>
                <c:pt idx="149">
                  <c:v>38139</c:v>
                </c:pt>
                <c:pt idx="150">
                  <c:v>38169</c:v>
                </c:pt>
                <c:pt idx="151">
                  <c:v>38200</c:v>
                </c:pt>
                <c:pt idx="152">
                  <c:v>38231</c:v>
                </c:pt>
                <c:pt idx="153">
                  <c:v>38261</c:v>
                </c:pt>
                <c:pt idx="154">
                  <c:v>38292</c:v>
                </c:pt>
                <c:pt idx="155">
                  <c:v>38322</c:v>
                </c:pt>
                <c:pt idx="156">
                  <c:v>38353</c:v>
                </c:pt>
                <c:pt idx="157">
                  <c:v>38384</c:v>
                </c:pt>
                <c:pt idx="158">
                  <c:v>38412</c:v>
                </c:pt>
                <c:pt idx="159">
                  <c:v>38443</c:v>
                </c:pt>
                <c:pt idx="160">
                  <c:v>38473</c:v>
                </c:pt>
                <c:pt idx="161">
                  <c:v>38504</c:v>
                </c:pt>
                <c:pt idx="162">
                  <c:v>38534</c:v>
                </c:pt>
                <c:pt idx="163">
                  <c:v>38565</c:v>
                </c:pt>
                <c:pt idx="164">
                  <c:v>38596</c:v>
                </c:pt>
                <c:pt idx="165">
                  <c:v>38626</c:v>
                </c:pt>
                <c:pt idx="166">
                  <c:v>38657</c:v>
                </c:pt>
                <c:pt idx="167">
                  <c:v>38687</c:v>
                </c:pt>
                <c:pt idx="168">
                  <c:v>38718</c:v>
                </c:pt>
                <c:pt idx="169">
                  <c:v>38749</c:v>
                </c:pt>
                <c:pt idx="170">
                  <c:v>38777</c:v>
                </c:pt>
                <c:pt idx="171">
                  <c:v>38808</c:v>
                </c:pt>
                <c:pt idx="172">
                  <c:v>38838</c:v>
                </c:pt>
                <c:pt idx="173">
                  <c:v>38869</c:v>
                </c:pt>
                <c:pt idx="174">
                  <c:v>38899</c:v>
                </c:pt>
                <c:pt idx="175">
                  <c:v>38930</c:v>
                </c:pt>
                <c:pt idx="176">
                  <c:v>38961</c:v>
                </c:pt>
                <c:pt idx="177">
                  <c:v>38991</c:v>
                </c:pt>
                <c:pt idx="178">
                  <c:v>39022</c:v>
                </c:pt>
                <c:pt idx="179">
                  <c:v>39052</c:v>
                </c:pt>
                <c:pt idx="180">
                  <c:v>39083</c:v>
                </c:pt>
                <c:pt idx="181">
                  <c:v>39114</c:v>
                </c:pt>
                <c:pt idx="182">
                  <c:v>39142</c:v>
                </c:pt>
                <c:pt idx="183">
                  <c:v>39173</c:v>
                </c:pt>
                <c:pt idx="184">
                  <c:v>39203</c:v>
                </c:pt>
                <c:pt idx="185">
                  <c:v>39234</c:v>
                </c:pt>
                <c:pt idx="186">
                  <c:v>39264</c:v>
                </c:pt>
                <c:pt idx="187">
                  <c:v>39295</c:v>
                </c:pt>
                <c:pt idx="188">
                  <c:v>39326</c:v>
                </c:pt>
                <c:pt idx="189">
                  <c:v>39356</c:v>
                </c:pt>
                <c:pt idx="190">
                  <c:v>39387</c:v>
                </c:pt>
                <c:pt idx="191">
                  <c:v>39417</c:v>
                </c:pt>
                <c:pt idx="192">
                  <c:v>39448</c:v>
                </c:pt>
                <c:pt idx="193">
                  <c:v>39479</c:v>
                </c:pt>
                <c:pt idx="194">
                  <c:v>39508</c:v>
                </c:pt>
                <c:pt idx="195">
                  <c:v>39539</c:v>
                </c:pt>
                <c:pt idx="196">
                  <c:v>39569</c:v>
                </c:pt>
                <c:pt idx="197">
                  <c:v>39600</c:v>
                </c:pt>
                <c:pt idx="198">
                  <c:v>39630</c:v>
                </c:pt>
                <c:pt idx="199">
                  <c:v>39661</c:v>
                </c:pt>
                <c:pt idx="200">
                  <c:v>39692</c:v>
                </c:pt>
                <c:pt idx="201">
                  <c:v>39722</c:v>
                </c:pt>
                <c:pt idx="202">
                  <c:v>39753</c:v>
                </c:pt>
                <c:pt idx="203">
                  <c:v>39783</c:v>
                </c:pt>
                <c:pt idx="204">
                  <c:v>39814</c:v>
                </c:pt>
                <c:pt idx="205">
                  <c:v>39845</c:v>
                </c:pt>
                <c:pt idx="206">
                  <c:v>39873</c:v>
                </c:pt>
                <c:pt idx="207">
                  <c:v>39904</c:v>
                </c:pt>
                <c:pt idx="208">
                  <c:v>39934</c:v>
                </c:pt>
                <c:pt idx="209">
                  <c:v>39965</c:v>
                </c:pt>
                <c:pt idx="210">
                  <c:v>39995</c:v>
                </c:pt>
                <c:pt idx="211">
                  <c:v>40026</c:v>
                </c:pt>
                <c:pt idx="212">
                  <c:v>40057</c:v>
                </c:pt>
                <c:pt idx="213">
                  <c:v>40087</c:v>
                </c:pt>
                <c:pt idx="214">
                  <c:v>40118</c:v>
                </c:pt>
                <c:pt idx="215">
                  <c:v>40148</c:v>
                </c:pt>
                <c:pt idx="216">
                  <c:v>40179</c:v>
                </c:pt>
                <c:pt idx="217">
                  <c:v>40210</c:v>
                </c:pt>
                <c:pt idx="218">
                  <c:v>40238</c:v>
                </c:pt>
                <c:pt idx="219">
                  <c:v>40269</c:v>
                </c:pt>
                <c:pt idx="220">
                  <c:v>40299</c:v>
                </c:pt>
                <c:pt idx="221">
                  <c:v>40330</c:v>
                </c:pt>
                <c:pt idx="222">
                  <c:v>40360</c:v>
                </c:pt>
                <c:pt idx="223">
                  <c:v>40391</c:v>
                </c:pt>
                <c:pt idx="224">
                  <c:v>40422</c:v>
                </c:pt>
                <c:pt idx="225">
                  <c:v>40452</c:v>
                </c:pt>
                <c:pt idx="226">
                  <c:v>40483</c:v>
                </c:pt>
                <c:pt idx="227">
                  <c:v>40513</c:v>
                </c:pt>
                <c:pt idx="228">
                  <c:v>40544</c:v>
                </c:pt>
                <c:pt idx="229">
                  <c:v>40575</c:v>
                </c:pt>
                <c:pt idx="230">
                  <c:v>40603</c:v>
                </c:pt>
                <c:pt idx="231">
                  <c:v>40634</c:v>
                </c:pt>
                <c:pt idx="232">
                  <c:v>40664</c:v>
                </c:pt>
                <c:pt idx="233">
                  <c:v>40695</c:v>
                </c:pt>
                <c:pt idx="234">
                  <c:v>40725</c:v>
                </c:pt>
                <c:pt idx="235">
                  <c:v>40756</c:v>
                </c:pt>
                <c:pt idx="236">
                  <c:v>40787</c:v>
                </c:pt>
                <c:pt idx="237">
                  <c:v>40817</c:v>
                </c:pt>
                <c:pt idx="238">
                  <c:v>40848</c:v>
                </c:pt>
                <c:pt idx="239">
                  <c:v>40878</c:v>
                </c:pt>
                <c:pt idx="240">
                  <c:v>40909</c:v>
                </c:pt>
                <c:pt idx="241">
                  <c:v>40940</c:v>
                </c:pt>
                <c:pt idx="242">
                  <c:v>40969</c:v>
                </c:pt>
                <c:pt idx="243">
                  <c:v>41000</c:v>
                </c:pt>
                <c:pt idx="244">
                  <c:v>41030</c:v>
                </c:pt>
                <c:pt idx="245">
                  <c:v>41061</c:v>
                </c:pt>
                <c:pt idx="246">
                  <c:v>41091</c:v>
                </c:pt>
                <c:pt idx="247">
                  <c:v>41122</c:v>
                </c:pt>
                <c:pt idx="248">
                  <c:v>41153</c:v>
                </c:pt>
                <c:pt idx="249">
                  <c:v>41183</c:v>
                </c:pt>
                <c:pt idx="250">
                  <c:v>41214</c:v>
                </c:pt>
                <c:pt idx="251">
                  <c:v>41244</c:v>
                </c:pt>
                <c:pt idx="252">
                  <c:v>41275</c:v>
                </c:pt>
                <c:pt idx="253">
                  <c:v>41306</c:v>
                </c:pt>
                <c:pt idx="254">
                  <c:v>41334</c:v>
                </c:pt>
                <c:pt idx="255">
                  <c:v>41365</c:v>
                </c:pt>
                <c:pt idx="256">
                  <c:v>41395</c:v>
                </c:pt>
                <c:pt idx="257">
                  <c:v>41426</c:v>
                </c:pt>
                <c:pt idx="258">
                  <c:v>41456</c:v>
                </c:pt>
                <c:pt idx="259">
                  <c:v>41487</c:v>
                </c:pt>
                <c:pt idx="260">
                  <c:v>41518</c:v>
                </c:pt>
                <c:pt idx="261">
                  <c:v>41548</c:v>
                </c:pt>
                <c:pt idx="262">
                  <c:v>41579</c:v>
                </c:pt>
                <c:pt idx="263">
                  <c:v>41609</c:v>
                </c:pt>
                <c:pt idx="264">
                  <c:v>41640</c:v>
                </c:pt>
                <c:pt idx="265">
                  <c:v>41671</c:v>
                </c:pt>
                <c:pt idx="266">
                  <c:v>41699</c:v>
                </c:pt>
                <c:pt idx="267">
                  <c:v>41730</c:v>
                </c:pt>
                <c:pt idx="268">
                  <c:v>41760</c:v>
                </c:pt>
                <c:pt idx="269">
                  <c:v>41791</c:v>
                </c:pt>
                <c:pt idx="270">
                  <c:v>41821</c:v>
                </c:pt>
                <c:pt idx="271">
                  <c:v>41852</c:v>
                </c:pt>
                <c:pt idx="272">
                  <c:v>41883</c:v>
                </c:pt>
                <c:pt idx="273">
                  <c:v>41913</c:v>
                </c:pt>
                <c:pt idx="274">
                  <c:v>41944</c:v>
                </c:pt>
                <c:pt idx="275">
                  <c:v>41974</c:v>
                </c:pt>
                <c:pt idx="276">
                  <c:v>42005</c:v>
                </c:pt>
                <c:pt idx="277">
                  <c:v>42036</c:v>
                </c:pt>
                <c:pt idx="278">
                  <c:v>42064</c:v>
                </c:pt>
                <c:pt idx="279">
                  <c:v>42095</c:v>
                </c:pt>
                <c:pt idx="280">
                  <c:v>42125</c:v>
                </c:pt>
                <c:pt idx="281">
                  <c:v>42156</c:v>
                </c:pt>
                <c:pt idx="282">
                  <c:v>42186</c:v>
                </c:pt>
                <c:pt idx="283">
                  <c:v>42217</c:v>
                </c:pt>
                <c:pt idx="284">
                  <c:v>42248</c:v>
                </c:pt>
                <c:pt idx="285">
                  <c:v>42278</c:v>
                </c:pt>
                <c:pt idx="286">
                  <c:v>42309</c:v>
                </c:pt>
                <c:pt idx="287">
                  <c:v>42339</c:v>
                </c:pt>
                <c:pt idx="288">
                  <c:v>42370</c:v>
                </c:pt>
                <c:pt idx="289">
                  <c:v>42401</c:v>
                </c:pt>
                <c:pt idx="290">
                  <c:v>42430</c:v>
                </c:pt>
                <c:pt idx="291">
                  <c:v>42461</c:v>
                </c:pt>
                <c:pt idx="292">
                  <c:v>42491</c:v>
                </c:pt>
                <c:pt idx="293">
                  <c:v>42522</c:v>
                </c:pt>
                <c:pt idx="294">
                  <c:v>42552</c:v>
                </c:pt>
                <c:pt idx="295">
                  <c:v>42583</c:v>
                </c:pt>
                <c:pt idx="296">
                  <c:v>42614</c:v>
                </c:pt>
                <c:pt idx="297">
                  <c:v>42644</c:v>
                </c:pt>
                <c:pt idx="298">
                  <c:v>42675</c:v>
                </c:pt>
                <c:pt idx="299">
                  <c:v>42705</c:v>
                </c:pt>
                <c:pt idx="300">
                  <c:v>42736</c:v>
                </c:pt>
                <c:pt idx="301">
                  <c:v>42767</c:v>
                </c:pt>
                <c:pt idx="302">
                  <c:v>42795</c:v>
                </c:pt>
                <c:pt idx="303">
                  <c:v>42826</c:v>
                </c:pt>
                <c:pt idx="304">
                  <c:v>42856</c:v>
                </c:pt>
                <c:pt idx="305">
                  <c:v>42887</c:v>
                </c:pt>
                <c:pt idx="306">
                  <c:v>42917</c:v>
                </c:pt>
                <c:pt idx="307">
                  <c:v>42948</c:v>
                </c:pt>
                <c:pt idx="308">
                  <c:v>42979</c:v>
                </c:pt>
                <c:pt idx="309">
                  <c:v>43009</c:v>
                </c:pt>
                <c:pt idx="310">
                  <c:v>43040</c:v>
                </c:pt>
                <c:pt idx="311">
                  <c:v>43070</c:v>
                </c:pt>
                <c:pt idx="312">
                  <c:v>43101</c:v>
                </c:pt>
                <c:pt idx="313">
                  <c:v>43132</c:v>
                </c:pt>
                <c:pt idx="314">
                  <c:v>43160</c:v>
                </c:pt>
                <c:pt idx="315">
                  <c:v>43191</c:v>
                </c:pt>
                <c:pt idx="316">
                  <c:v>43221</c:v>
                </c:pt>
                <c:pt idx="317">
                  <c:v>43252</c:v>
                </c:pt>
                <c:pt idx="318">
                  <c:v>43282</c:v>
                </c:pt>
                <c:pt idx="319">
                  <c:v>43313</c:v>
                </c:pt>
                <c:pt idx="320">
                  <c:v>43344</c:v>
                </c:pt>
                <c:pt idx="321">
                  <c:v>43374</c:v>
                </c:pt>
                <c:pt idx="322">
                  <c:v>43405</c:v>
                </c:pt>
                <c:pt idx="323">
                  <c:v>43435</c:v>
                </c:pt>
                <c:pt idx="324">
                  <c:v>43466</c:v>
                </c:pt>
                <c:pt idx="325">
                  <c:v>43497</c:v>
                </c:pt>
                <c:pt idx="326">
                  <c:v>43525</c:v>
                </c:pt>
                <c:pt idx="327">
                  <c:v>43556</c:v>
                </c:pt>
                <c:pt idx="328">
                  <c:v>43586</c:v>
                </c:pt>
                <c:pt idx="329">
                  <c:v>43617</c:v>
                </c:pt>
                <c:pt idx="330">
                  <c:v>43647</c:v>
                </c:pt>
                <c:pt idx="331">
                  <c:v>43678</c:v>
                </c:pt>
                <c:pt idx="332">
                  <c:v>43709</c:v>
                </c:pt>
                <c:pt idx="333">
                  <c:v>43739</c:v>
                </c:pt>
                <c:pt idx="334">
                  <c:v>43770</c:v>
                </c:pt>
                <c:pt idx="335">
                  <c:v>43800</c:v>
                </c:pt>
                <c:pt idx="336">
                  <c:v>43831</c:v>
                </c:pt>
                <c:pt idx="337">
                  <c:v>43862</c:v>
                </c:pt>
                <c:pt idx="338">
                  <c:v>43891</c:v>
                </c:pt>
                <c:pt idx="339">
                  <c:v>43922</c:v>
                </c:pt>
                <c:pt idx="340">
                  <c:v>43952</c:v>
                </c:pt>
                <c:pt idx="341">
                  <c:v>43983</c:v>
                </c:pt>
                <c:pt idx="342">
                  <c:v>44013</c:v>
                </c:pt>
                <c:pt idx="343">
                  <c:v>44044</c:v>
                </c:pt>
              </c:numCache>
            </c:numRef>
          </c:cat>
          <c:val>
            <c:numRef>
              <c:f>Health!$B$7:$B$350</c:f>
              <c:numCache>
                <c:formatCode>#,##0</c:formatCode>
                <c:ptCount val="344"/>
                <c:pt idx="0">
                  <c:v>7421</c:v>
                </c:pt>
                <c:pt idx="1">
                  <c:v>7425</c:v>
                </c:pt>
                <c:pt idx="2">
                  <c:v>7443</c:v>
                </c:pt>
                <c:pt idx="3">
                  <c:v>7516</c:v>
                </c:pt>
                <c:pt idx="4">
                  <c:v>7458</c:v>
                </c:pt>
                <c:pt idx="5">
                  <c:v>7417</c:v>
                </c:pt>
                <c:pt idx="6">
                  <c:v>7292</c:v>
                </c:pt>
                <c:pt idx="7">
                  <c:v>7508</c:v>
                </c:pt>
                <c:pt idx="8">
                  <c:v>7420</c:v>
                </c:pt>
                <c:pt idx="9">
                  <c:v>7535</c:v>
                </c:pt>
                <c:pt idx="10">
                  <c:v>7497</c:v>
                </c:pt>
                <c:pt idx="11">
                  <c:v>7526</c:v>
                </c:pt>
                <c:pt idx="12">
                  <c:v>7518</c:v>
                </c:pt>
                <c:pt idx="13">
                  <c:v>7651</c:v>
                </c:pt>
                <c:pt idx="14">
                  <c:v>7605</c:v>
                </c:pt>
                <c:pt idx="15">
                  <c:v>7683</c:v>
                </c:pt>
                <c:pt idx="16">
                  <c:v>7666</c:v>
                </c:pt>
                <c:pt idx="17">
                  <c:v>7680</c:v>
                </c:pt>
                <c:pt idx="18">
                  <c:v>7756</c:v>
                </c:pt>
                <c:pt idx="19">
                  <c:v>7678</c:v>
                </c:pt>
                <c:pt idx="20">
                  <c:v>7772</c:v>
                </c:pt>
                <c:pt idx="21">
                  <c:v>7758</c:v>
                </c:pt>
                <c:pt idx="22">
                  <c:v>7784</c:v>
                </c:pt>
                <c:pt idx="23">
                  <c:v>7989</c:v>
                </c:pt>
                <c:pt idx="24">
                  <c:v>7865</c:v>
                </c:pt>
                <c:pt idx="25">
                  <c:v>7729</c:v>
                </c:pt>
                <c:pt idx="26">
                  <c:v>7911</c:v>
                </c:pt>
                <c:pt idx="27">
                  <c:v>7838</c:v>
                </c:pt>
                <c:pt idx="28">
                  <c:v>7955</c:v>
                </c:pt>
                <c:pt idx="29">
                  <c:v>8014</c:v>
                </c:pt>
                <c:pt idx="30">
                  <c:v>8084</c:v>
                </c:pt>
                <c:pt idx="31">
                  <c:v>8126</c:v>
                </c:pt>
                <c:pt idx="32">
                  <c:v>8190</c:v>
                </c:pt>
                <c:pt idx="33">
                  <c:v>8214</c:v>
                </c:pt>
                <c:pt idx="34">
                  <c:v>8190</c:v>
                </c:pt>
                <c:pt idx="35">
                  <c:v>8287</c:v>
                </c:pt>
                <c:pt idx="36">
                  <c:v>8306</c:v>
                </c:pt>
                <c:pt idx="37">
                  <c:v>8304</c:v>
                </c:pt>
                <c:pt idx="38">
                  <c:v>8304</c:v>
                </c:pt>
                <c:pt idx="39">
                  <c:v>8450</c:v>
                </c:pt>
                <c:pt idx="40">
                  <c:v>8424</c:v>
                </c:pt>
                <c:pt idx="41">
                  <c:v>8482</c:v>
                </c:pt>
                <c:pt idx="42">
                  <c:v>8431</c:v>
                </c:pt>
                <c:pt idx="43">
                  <c:v>8488</c:v>
                </c:pt>
                <c:pt idx="44">
                  <c:v>8611</c:v>
                </c:pt>
                <c:pt idx="45">
                  <c:v>8584</c:v>
                </c:pt>
                <c:pt idx="46">
                  <c:v>8691</c:v>
                </c:pt>
                <c:pt idx="47">
                  <c:v>8761</c:v>
                </c:pt>
                <c:pt idx="48">
                  <c:v>8546</c:v>
                </c:pt>
                <c:pt idx="49">
                  <c:v>8782</c:v>
                </c:pt>
                <c:pt idx="50">
                  <c:v>8991</c:v>
                </c:pt>
                <c:pt idx="51">
                  <c:v>8922</c:v>
                </c:pt>
                <c:pt idx="52">
                  <c:v>9076</c:v>
                </c:pt>
                <c:pt idx="53">
                  <c:v>9072</c:v>
                </c:pt>
                <c:pt idx="54">
                  <c:v>9134</c:v>
                </c:pt>
                <c:pt idx="55">
                  <c:v>9237</c:v>
                </c:pt>
                <c:pt idx="56">
                  <c:v>9190</c:v>
                </c:pt>
                <c:pt idx="57">
                  <c:v>9363</c:v>
                </c:pt>
                <c:pt idx="58">
                  <c:v>9414</c:v>
                </c:pt>
                <c:pt idx="59">
                  <c:v>9505</c:v>
                </c:pt>
                <c:pt idx="60">
                  <c:v>9448</c:v>
                </c:pt>
                <c:pt idx="61">
                  <c:v>9649</c:v>
                </c:pt>
                <c:pt idx="62">
                  <c:v>9922</c:v>
                </c:pt>
                <c:pt idx="63">
                  <c:v>9578</c:v>
                </c:pt>
                <c:pt idx="64">
                  <c:v>9722</c:v>
                </c:pt>
                <c:pt idx="65">
                  <c:v>9916</c:v>
                </c:pt>
                <c:pt idx="66">
                  <c:v>9950</c:v>
                </c:pt>
                <c:pt idx="67">
                  <c:v>9989</c:v>
                </c:pt>
                <c:pt idx="68">
                  <c:v>10077</c:v>
                </c:pt>
                <c:pt idx="69">
                  <c:v>10058</c:v>
                </c:pt>
                <c:pt idx="70">
                  <c:v>10217</c:v>
                </c:pt>
                <c:pt idx="71">
                  <c:v>10201</c:v>
                </c:pt>
                <c:pt idx="72">
                  <c:v>10382</c:v>
                </c:pt>
                <c:pt idx="73">
                  <c:v>10406</c:v>
                </c:pt>
                <c:pt idx="74">
                  <c:v>10393</c:v>
                </c:pt>
                <c:pt idx="75">
                  <c:v>10620</c:v>
                </c:pt>
                <c:pt idx="76">
                  <c:v>10645</c:v>
                </c:pt>
                <c:pt idx="77">
                  <c:v>10672</c:v>
                </c:pt>
                <c:pt idx="78">
                  <c:v>10828</c:v>
                </c:pt>
                <c:pt idx="79">
                  <c:v>11019</c:v>
                </c:pt>
                <c:pt idx="80">
                  <c:v>10985</c:v>
                </c:pt>
                <c:pt idx="81">
                  <c:v>11106</c:v>
                </c:pt>
                <c:pt idx="82">
                  <c:v>11232</c:v>
                </c:pt>
                <c:pt idx="83">
                  <c:v>11311</c:v>
                </c:pt>
                <c:pt idx="84">
                  <c:v>11415</c:v>
                </c:pt>
                <c:pt idx="85">
                  <c:v>11498</c:v>
                </c:pt>
                <c:pt idx="86">
                  <c:v>11595</c:v>
                </c:pt>
                <c:pt idx="87">
                  <c:v>11619</c:v>
                </c:pt>
                <c:pt idx="88">
                  <c:v>11741</c:v>
                </c:pt>
                <c:pt idx="89">
                  <c:v>11837</c:v>
                </c:pt>
                <c:pt idx="90">
                  <c:v>11857</c:v>
                </c:pt>
                <c:pt idx="91">
                  <c:v>11848</c:v>
                </c:pt>
                <c:pt idx="92">
                  <c:v>11993</c:v>
                </c:pt>
                <c:pt idx="93">
                  <c:v>12155</c:v>
                </c:pt>
                <c:pt idx="94">
                  <c:v>12258</c:v>
                </c:pt>
                <c:pt idx="95">
                  <c:v>12801</c:v>
                </c:pt>
                <c:pt idx="96">
                  <c:v>12381</c:v>
                </c:pt>
                <c:pt idx="97">
                  <c:v>12386</c:v>
                </c:pt>
                <c:pt idx="98">
                  <c:v>12580</c:v>
                </c:pt>
                <c:pt idx="99">
                  <c:v>12733</c:v>
                </c:pt>
                <c:pt idx="100">
                  <c:v>12814</c:v>
                </c:pt>
                <c:pt idx="101">
                  <c:v>12864</c:v>
                </c:pt>
                <c:pt idx="102">
                  <c:v>12967</c:v>
                </c:pt>
                <c:pt idx="103">
                  <c:v>13034</c:v>
                </c:pt>
                <c:pt idx="104">
                  <c:v>13233</c:v>
                </c:pt>
                <c:pt idx="105">
                  <c:v>13302</c:v>
                </c:pt>
                <c:pt idx="106">
                  <c:v>13340</c:v>
                </c:pt>
                <c:pt idx="107">
                  <c:v>13527</c:v>
                </c:pt>
                <c:pt idx="108">
                  <c:v>13413</c:v>
                </c:pt>
                <c:pt idx="109">
                  <c:v>13582</c:v>
                </c:pt>
                <c:pt idx="110">
                  <c:v>13650</c:v>
                </c:pt>
                <c:pt idx="111">
                  <c:v>13643</c:v>
                </c:pt>
                <c:pt idx="112">
                  <c:v>13812</c:v>
                </c:pt>
                <c:pt idx="113">
                  <c:v>13843</c:v>
                </c:pt>
                <c:pt idx="114">
                  <c:v>13879</c:v>
                </c:pt>
                <c:pt idx="115">
                  <c:v>14004</c:v>
                </c:pt>
                <c:pt idx="116">
                  <c:v>13894</c:v>
                </c:pt>
                <c:pt idx="117">
                  <c:v>14298</c:v>
                </c:pt>
                <c:pt idx="118">
                  <c:v>14280</c:v>
                </c:pt>
                <c:pt idx="119">
                  <c:v>14350</c:v>
                </c:pt>
                <c:pt idx="120">
                  <c:v>14525</c:v>
                </c:pt>
                <c:pt idx="121">
                  <c:v>14747</c:v>
                </c:pt>
                <c:pt idx="122">
                  <c:v>14745</c:v>
                </c:pt>
                <c:pt idx="123">
                  <c:v>14940</c:v>
                </c:pt>
                <c:pt idx="124">
                  <c:v>14903</c:v>
                </c:pt>
                <c:pt idx="125">
                  <c:v>14947</c:v>
                </c:pt>
                <c:pt idx="126">
                  <c:v>15004</c:v>
                </c:pt>
                <c:pt idx="127">
                  <c:v>15120</c:v>
                </c:pt>
                <c:pt idx="128">
                  <c:v>15288</c:v>
                </c:pt>
                <c:pt idx="129">
                  <c:v>15298</c:v>
                </c:pt>
                <c:pt idx="130">
                  <c:v>15348</c:v>
                </c:pt>
                <c:pt idx="131">
                  <c:v>15293</c:v>
                </c:pt>
                <c:pt idx="132">
                  <c:v>15441</c:v>
                </c:pt>
                <c:pt idx="133">
                  <c:v>15534</c:v>
                </c:pt>
                <c:pt idx="134">
                  <c:v>15677</c:v>
                </c:pt>
                <c:pt idx="135">
                  <c:v>15705</c:v>
                </c:pt>
                <c:pt idx="136">
                  <c:v>15791</c:v>
                </c:pt>
                <c:pt idx="137">
                  <c:v>15934</c:v>
                </c:pt>
                <c:pt idx="138">
                  <c:v>16182</c:v>
                </c:pt>
                <c:pt idx="139">
                  <c:v>16345</c:v>
                </c:pt>
                <c:pt idx="140">
                  <c:v>16339</c:v>
                </c:pt>
                <c:pt idx="141">
                  <c:v>16434</c:v>
                </c:pt>
                <c:pt idx="142">
                  <c:v>16500</c:v>
                </c:pt>
                <c:pt idx="143">
                  <c:v>16648</c:v>
                </c:pt>
                <c:pt idx="144">
                  <c:v>16287</c:v>
                </c:pt>
                <c:pt idx="145">
                  <c:v>16133</c:v>
                </c:pt>
                <c:pt idx="146">
                  <c:v>16526</c:v>
                </c:pt>
                <c:pt idx="147">
                  <c:v>16476</c:v>
                </c:pt>
                <c:pt idx="148">
                  <c:v>16462</c:v>
                </c:pt>
                <c:pt idx="149">
                  <c:v>16570</c:v>
                </c:pt>
                <c:pt idx="150">
                  <c:v>16554</c:v>
                </c:pt>
                <c:pt idx="151">
                  <c:v>16610</c:v>
                </c:pt>
                <c:pt idx="152">
                  <c:v>16635</c:v>
                </c:pt>
                <c:pt idx="153">
                  <c:v>16739</c:v>
                </c:pt>
                <c:pt idx="154">
                  <c:v>16813</c:v>
                </c:pt>
                <c:pt idx="155">
                  <c:v>16882</c:v>
                </c:pt>
                <c:pt idx="156">
                  <c:v>17116</c:v>
                </c:pt>
                <c:pt idx="157">
                  <c:v>17292</c:v>
                </c:pt>
                <c:pt idx="158">
                  <c:v>17245</c:v>
                </c:pt>
                <c:pt idx="159">
                  <c:v>17350</c:v>
                </c:pt>
                <c:pt idx="160">
                  <c:v>17413</c:v>
                </c:pt>
                <c:pt idx="161">
                  <c:v>17392</c:v>
                </c:pt>
                <c:pt idx="162">
                  <c:v>17635</c:v>
                </c:pt>
                <c:pt idx="163">
                  <c:v>17548</c:v>
                </c:pt>
                <c:pt idx="164">
                  <c:v>17707</c:v>
                </c:pt>
                <c:pt idx="165">
                  <c:v>17742</c:v>
                </c:pt>
                <c:pt idx="166">
                  <c:v>17859</c:v>
                </c:pt>
                <c:pt idx="167">
                  <c:v>18005</c:v>
                </c:pt>
                <c:pt idx="168">
                  <c:v>18000</c:v>
                </c:pt>
                <c:pt idx="169">
                  <c:v>18124</c:v>
                </c:pt>
                <c:pt idx="170">
                  <c:v>18222</c:v>
                </c:pt>
                <c:pt idx="171">
                  <c:v>18294</c:v>
                </c:pt>
                <c:pt idx="172">
                  <c:v>18466</c:v>
                </c:pt>
                <c:pt idx="173">
                  <c:v>18584</c:v>
                </c:pt>
                <c:pt idx="174">
                  <c:v>18640</c:v>
                </c:pt>
                <c:pt idx="175">
                  <c:v>18757</c:v>
                </c:pt>
                <c:pt idx="176">
                  <c:v>18933</c:v>
                </c:pt>
                <c:pt idx="177">
                  <c:v>19044</c:v>
                </c:pt>
                <c:pt idx="178">
                  <c:v>19276</c:v>
                </c:pt>
                <c:pt idx="179">
                  <c:v>19385</c:v>
                </c:pt>
                <c:pt idx="180">
                  <c:v>19423</c:v>
                </c:pt>
                <c:pt idx="181">
                  <c:v>19401</c:v>
                </c:pt>
                <c:pt idx="182">
                  <c:v>19540</c:v>
                </c:pt>
                <c:pt idx="183">
                  <c:v>19572</c:v>
                </c:pt>
                <c:pt idx="184">
                  <c:v>19650</c:v>
                </c:pt>
                <c:pt idx="185">
                  <c:v>19880</c:v>
                </c:pt>
                <c:pt idx="186">
                  <c:v>19831</c:v>
                </c:pt>
                <c:pt idx="187">
                  <c:v>20014</c:v>
                </c:pt>
                <c:pt idx="188">
                  <c:v>20132</c:v>
                </c:pt>
                <c:pt idx="189">
                  <c:v>19988</c:v>
                </c:pt>
                <c:pt idx="190">
                  <c:v>19938</c:v>
                </c:pt>
                <c:pt idx="191">
                  <c:v>19825</c:v>
                </c:pt>
                <c:pt idx="192">
                  <c:v>20120</c:v>
                </c:pt>
                <c:pt idx="193">
                  <c:v>20279</c:v>
                </c:pt>
                <c:pt idx="194">
                  <c:v>20288</c:v>
                </c:pt>
                <c:pt idx="195">
                  <c:v>20172</c:v>
                </c:pt>
                <c:pt idx="196">
                  <c:v>20536</c:v>
                </c:pt>
                <c:pt idx="197">
                  <c:v>20497</c:v>
                </c:pt>
                <c:pt idx="198">
                  <c:v>20640</c:v>
                </c:pt>
                <c:pt idx="199">
                  <c:v>20620</c:v>
                </c:pt>
                <c:pt idx="200">
                  <c:v>20654</c:v>
                </c:pt>
                <c:pt idx="201">
                  <c:v>20659</c:v>
                </c:pt>
                <c:pt idx="202">
                  <c:v>20789</c:v>
                </c:pt>
                <c:pt idx="203">
                  <c:v>20682</c:v>
                </c:pt>
                <c:pt idx="204">
                  <c:v>20753</c:v>
                </c:pt>
                <c:pt idx="205">
                  <c:v>20906</c:v>
                </c:pt>
                <c:pt idx="206">
                  <c:v>20908</c:v>
                </c:pt>
                <c:pt idx="207">
                  <c:v>21059</c:v>
                </c:pt>
                <c:pt idx="208">
                  <c:v>21121</c:v>
                </c:pt>
                <c:pt idx="209">
                  <c:v>21055</c:v>
                </c:pt>
                <c:pt idx="210">
                  <c:v>21027</c:v>
                </c:pt>
                <c:pt idx="211">
                  <c:v>21070</c:v>
                </c:pt>
                <c:pt idx="212">
                  <c:v>21231</c:v>
                </c:pt>
                <c:pt idx="213">
                  <c:v>21278</c:v>
                </c:pt>
                <c:pt idx="214">
                  <c:v>21288</c:v>
                </c:pt>
                <c:pt idx="215">
                  <c:v>21195</c:v>
                </c:pt>
                <c:pt idx="216">
                  <c:v>21165</c:v>
                </c:pt>
                <c:pt idx="217">
                  <c:v>21199</c:v>
                </c:pt>
                <c:pt idx="218">
                  <c:v>21363</c:v>
                </c:pt>
                <c:pt idx="219">
                  <c:v>21471</c:v>
                </c:pt>
                <c:pt idx="220">
                  <c:v>21399</c:v>
                </c:pt>
                <c:pt idx="221">
                  <c:v>21661</c:v>
                </c:pt>
                <c:pt idx="222">
                  <c:v>21733</c:v>
                </c:pt>
                <c:pt idx="223">
                  <c:v>21863</c:v>
                </c:pt>
                <c:pt idx="224">
                  <c:v>21910</c:v>
                </c:pt>
                <c:pt idx="225">
                  <c:v>22128</c:v>
                </c:pt>
                <c:pt idx="226">
                  <c:v>22180</c:v>
                </c:pt>
                <c:pt idx="227">
                  <c:v>22272</c:v>
                </c:pt>
                <c:pt idx="228">
                  <c:v>22695</c:v>
                </c:pt>
                <c:pt idx="229">
                  <c:v>22428</c:v>
                </c:pt>
                <c:pt idx="230">
                  <c:v>22563</c:v>
                </c:pt>
                <c:pt idx="231">
                  <c:v>22448</c:v>
                </c:pt>
                <c:pt idx="232">
                  <c:v>22608</c:v>
                </c:pt>
                <c:pt idx="233">
                  <c:v>22607</c:v>
                </c:pt>
                <c:pt idx="234">
                  <c:v>22728</c:v>
                </c:pt>
                <c:pt idx="235">
                  <c:v>22822</c:v>
                </c:pt>
                <c:pt idx="236">
                  <c:v>22695</c:v>
                </c:pt>
                <c:pt idx="237">
                  <c:v>22830</c:v>
                </c:pt>
                <c:pt idx="238">
                  <c:v>22735</c:v>
                </c:pt>
                <c:pt idx="239">
                  <c:v>22677</c:v>
                </c:pt>
                <c:pt idx="240">
                  <c:v>22973</c:v>
                </c:pt>
                <c:pt idx="241">
                  <c:v>22999</c:v>
                </c:pt>
                <c:pt idx="242">
                  <c:v>22945</c:v>
                </c:pt>
                <c:pt idx="243">
                  <c:v>23045</c:v>
                </c:pt>
                <c:pt idx="244">
                  <c:v>22883</c:v>
                </c:pt>
                <c:pt idx="245">
                  <c:v>22449</c:v>
                </c:pt>
                <c:pt idx="246">
                  <c:v>22793</c:v>
                </c:pt>
                <c:pt idx="247">
                  <c:v>22741</c:v>
                </c:pt>
                <c:pt idx="248">
                  <c:v>22608</c:v>
                </c:pt>
                <c:pt idx="249">
                  <c:v>22527</c:v>
                </c:pt>
                <c:pt idx="250">
                  <c:v>22661</c:v>
                </c:pt>
                <c:pt idx="251">
                  <c:v>22898</c:v>
                </c:pt>
                <c:pt idx="252">
                  <c:v>23173</c:v>
                </c:pt>
                <c:pt idx="253">
                  <c:v>23008</c:v>
                </c:pt>
                <c:pt idx="254">
                  <c:v>23049</c:v>
                </c:pt>
                <c:pt idx="255">
                  <c:v>22953</c:v>
                </c:pt>
                <c:pt idx="256">
                  <c:v>23055</c:v>
                </c:pt>
                <c:pt idx="257">
                  <c:v>23043</c:v>
                </c:pt>
                <c:pt idx="258">
                  <c:v>23308</c:v>
                </c:pt>
                <c:pt idx="259">
                  <c:v>23305</c:v>
                </c:pt>
                <c:pt idx="260">
                  <c:v>23728</c:v>
                </c:pt>
                <c:pt idx="261">
                  <c:v>23771</c:v>
                </c:pt>
                <c:pt idx="262">
                  <c:v>23772</c:v>
                </c:pt>
                <c:pt idx="263">
                  <c:v>23824</c:v>
                </c:pt>
                <c:pt idx="264">
                  <c:v>23768</c:v>
                </c:pt>
                <c:pt idx="265">
                  <c:v>23906</c:v>
                </c:pt>
                <c:pt idx="266">
                  <c:v>24053</c:v>
                </c:pt>
                <c:pt idx="267">
                  <c:v>24259</c:v>
                </c:pt>
                <c:pt idx="268">
                  <c:v>24594</c:v>
                </c:pt>
                <c:pt idx="269">
                  <c:v>24797</c:v>
                </c:pt>
                <c:pt idx="270">
                  <c:v>24813</c:v>
                </c:pt>
                <c:pt idx="271">
                  <c:v>24902</c:v>
                </c:pt>
                <c:pt idx="272">
                  <c:v>25046</c:v>
                </c:pt>
                <c:pt idx="273">
                  <c:v>24962</c:v>
                </c:pt>
                <c:pt idx="274">
                  <c:v>25064</c:v>
                </c:pt>
                <c:pt idx="275">
                  <c:v>25240</c:v>
                </c:pt>
                <c:pt idx="276">
                  <c:v>25440</c:v>
                </c:pt>
                <c:pt idx="277">
                  <c:v>25249</c:v>
                </c:pt>
                <c:pt idx="278">
                  <c:v>25793</c:v>
                </c:pt>
                <c:pt idx="279">
                  <c:v>25393</c:v>
                </c:pt>
                <c:pt idx="280">
                  <c:v>25348</c:v>
                </c:pt>
                <c:pt idx="281">
                  <c:v>25534</c:v>
                </c:pt>
                <c:pt idx="282">
                  <c:v>25783</c:v>
                </c:pt>
                <c:pt idx="283">
                  <c:v>25955</c:v>
                </c:pt>
                <c:pt idx="284">
                  <c:v>26194</c:v>
                </c:pt>
                <c:pt idx="285">
                  <c:v>26043</c:v>
                </c:pt>
                <c:pt idx="286">
                  <c:v>26210</c:v>
                </c:pt>
                <c:pt idx="287">
                  <c:v>26433</c:v>
                </c:pt>
                <c:pt idx="288">
                  <c:v>26247</c:v>
                </c:pt>
                <c:pt idx="289">
                  <c:v>26787</c:v>
                </c:pt>
                <c:pt idx="290">
                  <c:v>26617</c:v>
                </c:pt>
                <c:pt idx="291">
                  <c:v>26811</c:v>
                </c:pt>
                <c:pt idx="292">
                  <c:v>26722</c:v>
                </c:pt>
                <c:pt idx="293">
                  <c:v>26892</c:v>
                </c:pt>
                <c:pt idx="294">
                  <c:v>26822</c:v>
                </c:pt>
                <c:pt idx="295">
                  <c:v>26747</c:v>
                </c:pt>
                <c:pt idx="296">
                  <c:v>26683</c:v>
                </c:pt>
                <c:pt idx="297">
                  <c:v>25885</c:v>
                </c:pt>
                <c:pt idx="298">
                  <c:v>26114</c:v>
                </c:pt>
                <c:pt idx="299">
                  <c:v>26179</c:v>
                </c:pt>
                <c:pt idx="300">
                  <c:v>26160</c:v>
                </c:pt>
                <c:pt idx="301">
                  <c:v>26436</c:v>
                </c:pt>
                <c:pt idx="302">
                  <c:v>26569</c:v>
                </c:pt>
                <c:pt idx="303">
                  <c:v>26755</c:v>
                </c:pt>
                <c:pt idx="304">
                  <c:v>26761</c:v>
                </c:pt>
                <c:pt idx="305">
                  <c:v>26983</c:v>
                </c:pt>
                <c:pt idx="306">
                  <c:v>27020</c:v>
                </c:pt>
                <c:pt idx="307">
                  <c:v>27336</c:v>
                </c:pt>
                <c:pt idx="308">
                  <c:v>27372</c:v>
                </c:pt>
                <c:pt idx="309">
                  <c:v>27568</c:v>
                </c:pt>
                <c:pt idx="310">
                  <c:v>27763</c:v>
                </c:pt>
                <c:pt idx="311">
                  <c:v>27669</c:v>
                </c:pt>
                <c:pt idx="312">
                  <c:v>27671</c:v>
                </c:pt>
                <c:pt idx="313">
                  <c:v>27510</c:v>
                </c:pt>
                <c:pt idx="314">
                  <c:v>27674</c:v>
                </c:pt>
                <c:pt idx="315">
                  <c:v>27937</c:v>
                </c:pt>
                <c:pt idx="316">
                  <c:v>28309</c:v>
                </c:pt>
                <c:pt idx="317">
                  <c:v>28076</c:v>
                </c:pt>
                <c:pt idx="318">
                  <c:v>28258</c:v>
                </c:pt>
                <c:pt idx="319">
                  <c:v>28533</c:v>
                </c:pt>
                <c:pt idx="320">
                  <c:v>28319</c:v>
                </c:pt>
                <c:pt idx="321">
                  <c:v>28555</c:v>
                </c:pt>
                <c:pt idx="322">
                  <c:v>29077</c:v>
                </c:pt>
                <c:pt idx="323">
                  <c:v>27944</c:v>
                </c:pt>
                <c:pt idx="324">
                  <c:v>28639</c:v>
                </c:pt>
                <c:pt idx="325">
                  <c:v>28756</c:v>
                </c:pt>
                <c:pt idx="326">
                  <c:v>28700</c:v>
                </c:pt>
                <c:pt idx="327">
                  <c:v>28545</c:v>
                </c:pt>
                <c:pt idx="328">
                  <c:v>28684</c:v>
                </c:pt>
                <c:pt idx="329">
                  <c:v>28615</c:v>
                </c:pt>
                <c:pt idx="330">
                  <c:v>28398</c:v>
                </c:pt>
                <c:pt idx="331">
                  <c:v>28414</c:v>
                </c:pt>
                <c:pt idx="332">
                  <c:v>28434</c:v>
                </c:pt>
                <c:pt idx="333">
                  <c:v>28718</c:v>
                </c:pt>
                <c:pt idx="334">
                  <c:v>28499</c:v>
                </c:pt>
                <c:pt idx="335">
                  <c:v>28359</c:v>
                </c:pt>
                <c:pt idx="336">
                  <c:v>28872</c:v>
                </c:pt>
                <c:pt idx="337">
                  <c:v>29064</c:v>
                </c:pt>
                <c:pt idx="338">
                  <c:v>30492</c:v>
                </c:pt>
                <c:pt idx="339">
                  <c:v>25958</c:v>
                </c:pt>
                <c:pt idx="340">
                  <c:v>26251</c:v>
                </c:pt>
                <c:pt idx="341">
                  <c:v>28336</c:v>
                </c:pt>
                <c:pt idx="342">
                  <c:v>29811</c:v>
                </c:pt>
                <c:pt idx="343">
                  <c:v>29599</c:v>
                </c:pt>
              </c:numCache>
            </c:numRef>
          </c:val>
          <c:smooth val="0"/>
          <c:extLst>
            <c:ext xmlns:c16="http://schemas.microsoft.com/office/drawing/2014/chart" uri="{C3380CC4-5D6E-409C-BE32-E72D297353CC}">
              <c16:uniqueId val="{00000000-01D3-43A1-BF49-26CD25045474}"/>
            </c:ext>
          </c:extLst>
        </c:ser>
        <c:dLbls>
          <c:showLegendKey val="0"/>
          <c:showVal val="0"/>
          <c:showCatName val="0"/>
          <c:showSerName val="0"/>
          <c:showPercent val="0"/>
          <c:showBubbleSize val="0"/>
        </c:dLbls>
        <c:smooth val="0"/>
        <c:axId val="892479320"/>
        <c:axId val="892479648"/>
      </c:lineChart>
      <c:dateAx>
        <c:axId val="892479320"/>
        <c:scaling>
          <c:orientation val="minMax"/>
        </c:scaling>
        <c:delete val="0"/>
        <c:axPos val="b"/>
        <c:numFmt formatCode="[$-409]mmm\-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92479648"/>
        <c:crosses val="autoZero"/>
        <c:auto val="1"/>
        <c:lblOffset val="100"/>
        <c:baseTimeUnit val="months"/>
      </c:dateAx>
      <c:valAx>
        <c:axId val="892479648"/>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9247932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Health!$D$6</c:f>
              <c:strCache>
                <c:ptCount val="1"/>
                <c:pt idx="0">
                  <c:v>yoy</c:v>
                </c:pt>
              </c:strCache>
            </c:strRef>
          </c:tx>
          <c:spPr>
            <a:ln w="28575" cap="rnd">
              <a:solidFill>
                <a:schemeClr val="tx1"/>
              </a:solidFill>
              <a:round/>
            </a:ln>
            <a:effectLst/>
          </c:spPr>
          <c:marker>
            <c:symbol val="none"/>
          </c:marker>
          <c:cat>
            <c:numRef>
              <c:f>Health!$A$7:$A$350</c:f>
              <c:numCache>
                <c:formatCode>[$-409]mmm\-yy;@</c:formatCode>
                <c:ptCount val="344"/>
                <c:pt idx="0">
                  <c:v>33604</c:v>
                </c:pt>
                <c:pt idx="1">
                  <c:v>33635</c:v>
                </c:pt>
                <c:pt idx="2">
                  <c:v>33664</c:v>
                </c:pt>
                <c:pt idx="3">
                  <c:v>33695</c:v>
                </c:pt>
                <c:pt idx="4">
                  <c:v>33725</c:v>
                </c:pt>
                <c:pt idx="5">
                  <c:v>33756</c:v>
                </c:pt>
                <c:pt idx="6">
                  <c:v>33786</c:v>
                </c:pt>
                <c:pt idx="7">
                  <c:v>33817</c:v>
                </c:pt>
                <c:pt idx="8">
                  <c:v>33848</c:v>
                </c:pt>
                <c:pt idx="9">
                  <c:v>33878</c:v>
                </c:pt>
                <c:pt idx="10">
                  <c:v>33909</c:v>
                </c:pt>
                <c:pt idx="11">
                  <c:v>33939</c:v>
                </c:pt>
                <c:pt idx="12">
                  <c:v>33970</c:v>
                </c:pt>
                <c:pt idx="13">
                  <c:v>34001</c:v>
                </c:pt>
                <c:pt idx="14">
                  <c:v>34029</c:v>
                </c:pt>
                <c:pt idx="15">
                  <c:v>34060</c:v>
                </c:pt>
                <c:pt idx="16">
                  <c:v>34090</c:v>
                </c:pt>
                <c:pt idx="17">
                  <c:v>34121</c:v>
                </c:pt>
                <c:pt idx="18">
                  <c:v>34151</c:v>
                </c:pt>
                <c:pt idx="19">
                  <c:v>34182</c:v>
                </c:pt>
                <c:pt idx="20">
                  <c:v>34213</c:v>
                </c:pt>
                <c:pt idx="21">
                  <c:v>34243</c:v>
                </c:pt>
                <c:pt idx="22">
                  <c:v>34274</c:v>
                </c:pt>
                <c:pt idx="23">
                  <c:v>34304</c:v>
                </c:pt>
                <c:pt idx="24">
                  <c:v>34335</c:v>
                </c:pt>
                <c:pt idx="25">
                  <c:v>34366</c:v>
                </c:pt>
                <c:pt idx="26">
                  <c:v>34394</c:v>
                </c:pt>
                <c:pt idx="27">
                  <c:v>34425</c:v>
                </c:pt>
                <c:pt idx="28">
                  <c:v>34455</c:v>
                </c:pt>
                <c:pt idx="29">
                  <c:v>34486</c:v>
                </c:pt>
                <c:pt idx="30">
                  <c:v>34516</c:v>
                </c:pt>
                <c:pt idx="31">
                  <c:v>34547</c:v>
                </c:pt>
                <c:pt idx="32">
                  <c:v>34578</c:v>
                </c:pt>
                <c:pt idx="33">
                  <c:v>34608</c:v>
                </c:pt>
                <c:pt idx="34">
                  <c:v>34639</c:v>
                </c:pt>
                <c:pt idx="35">
                  <c:v>34669</c:v>
                </c:pt>
                <c:pt idx="36">
                  <c:v>34700</c:v>
                </c:pt>
                <c:pt idx="37">
                  <c:v>34731</c:v>
                </c:pt>
                <c:pt idx="38">
                  <c:v>34759</c:v>
                </c:pt>
                <c:pt idx="39">
                  <c:v>34790</c:v>
                </c:pt>
                <c:pt idx="40">
                  <c:v>34820</c:v>
                </c:pt>
                <c:pt idx="41">
                  <c:v>34851</c:v>
                </c:pt>
                <c:pt idx="42">
                  <c:v>34881</c:v>
                </c:pt>
                <c:pt idx="43">
                  <c:v>34912</c:v>
                </c:pt>
                <c:pt idx="44">
                  <c:v>34943</c:v>
                </c:pt>
                <c:pt idx="45">
                  <c:v>34973</c:v>
                </c:pt>
                <c:pt idx="46">
                  <c:v>35004</c:v>
                </c:pt>
                <c:pt idx="47">
                  <c:v>35034</c:v>
                </c:pt>
                <c:pt idx="48">
                  <c:v>35065</c:v>
                </c:pt>
                <c:pt idx="49">
                  <c:v>35096</c:v>
                </c:pt>
                <c:pt idx="50">
                  <c:v>35125</c:v>
                </c:pt>
                <c:pt idx="51">
                  <c:v>35156</c:v>
                </c:pt>
                <c:pt idx="52">
                  <c:v>35186</c:v>
                </c:pt>
                <c:pt idx="53">
                  <c:v>35217</c:v>
                </c:pt>
                <c:pt idx="54">
                  <c:v>35247</c:v>
                </c:pt>
                <c:pt idx="55">
                  <c:v>35278</c:v>
                </c:pt>
                <c:pt idx="56">
                  <c:v>35309</c:v>
                </c:pt>
                <c:pt idx="57">
                  <c:v>35339</c:v>
                </c:pt>
                <c:pt idx="58">
                  <c:v>35370</c:v>
                </c:pt>
                <c:pt idx="59">
                  <c:v>35400</c:v>
                </c:pt>
                <c:pt idx="60">
                  <c:v>35431</c:v>
                </c:pt>
                <c:pt idx="61">
                  <c:v>35462</c:v>
                </c:pt>
                <c:pt idx="62">
                  <c:v>35490</c:v>
                </c:pt>
                <c:pt idx="63">
                  <c:v>35521</c:v>
                </c:pt>
                <c:pt idx="64">
                  <c:v>35551</c:v>
                </c:pt>
                <c:pt idx="65">
                  <c:v>35582</c:v>
                </c:pt>
                <c:pt idx="66">
                  <c:v>35612</c:v>
                </c:pt>
                <c:pt idx="67">
                  <c:v>35643</c:v>
                </c:pt>
                <c:pt idx="68">
                  <c:v>35674</c:v>
                </c:pt>
                <c:pt idx="69">
                  <c:v>35704</c:v>
                </c:pt>
                <c:pt idx="70">
                  <c:v>35735</c:v>
                </c:pt>
                <c:pt idx="71">
                  <c:v>35765</c:v>
                </c:pt>
                <c:pt idx="72">
                  <c:v>35796</c:v>
                </c:pt>
                <c:pt idx="73">
                  <c:v>35827</c:v>
                </c:pt>
                <c:pt idx="74">
                  <c:v>35855</c:v>
                </c:pt>
                <c:pt idx="75">
                  <c:v>35886</c:v>
                </c:pt>
                <c:pt idx="76">
                  <c:v>35916</c:v>
                </c:pt>
                <c:pt idx="77">
                  <c:v>35947</c:v>
                </c:pt>
                <c:pt idx="78">
                  <c:v>35977</c:v>
                </c:pt>
                <c:pt idx="79">
                  <c:v>36008</c:v>
                </c:pt>
                <c:pt idx="80">
                  <c:v>36039</c:v>
                </c:pt>
                <c:pt idx="81">
                  <c:v>36069</c:v>
                </c:pt>
                <c:pt idx="82">
                  <c:v>36100</c:v>
                </c:pt>
                <c:pt idx="83">
                  <c:v>36130</c:v>
                </c:pt>
                <c:pt idx="84">
                  <c:v>36161</c:v>
                </c:pt>
                <c:pt idx="85">
                  <c:v>36192</c:v>
                </c:pt>
                <c:pt idx="86">
                  <c:v>36220</c:v>
                </c:pt>
                <c:pt idx="87">
                  <c:v>36251</c:v>
                </c:pt>
                <c:pt idx="88">
                  <c:v>36281</c:v>
                </c:pt>
                <c:pt idx="89">
                  <c:v>36312</c:v>
                </c:pt>
                <c:pt idx="90">
                  <c:v>36342</c:v>
                </c:pt>
                <c:pt idx="91">
                  <c:v>36373</c:v>
                </c:pt>
                <c:pt idx="92">
                  <c:v>36404</c:v>
                </c:pt>
                <c:pt idx="93">
                  <c:v>36434</c:v>
                </c:pt>
                <c:pt idx="94">
                  <c:v>36465</c:v>
                </c:pt>
                <c:pt idx="95">
                  <c:v>36495</c:v>
                </c:pt>
                <c:pt idx="96">
                  <c:v>36526</c:v>
                </c:pt>
                <c:pt idx="97">
                  <c:v>36557</c:v>
                </c:pt>
                <c:pt idx="98">
                  <c:v>36586</c:v>
                </c:pt>
                <c:pt idx="99">
                  <c:v>36617</c:v>
                </c:pt>
                <c:pt idx="100">
                  <c:v>36647</c:v>
                </c:pt>
                <c:pt idx="101">
                  <c:v>36678</c:v>
                </c:pt>
                <c:pt idx="102">
                  <c:v>36708</c:v>
                </c:pt>
                <c:pt idx="103">
                  <c:v>36739</c:v>
                </c:pt>
                <c:pt idx="104">
                  <c:v>36770</c:v>
                </c:pt>
                <c:pt idx="105">
                  <c:v>36800</c:v>
                </c:pt>
                <c:pt idx="106">
                  <c:v>36831</c:v>
                </c:pt>
                <c:pt idx="107">
                  <c:v>36861</c:v>
                </c:pt>
                <c:pt idx="108">
                  <c:v>36892</c:v>
                </c:pt>
                <c:pt idx="109">
                  <c:v>36923</c:v>
                </c:pt>
                <c:pt idx="110">
                  <c:v>36951</c:v>
                </c:pt>
                <c:pt idx="111">
                  <c:v>36982</c:v>
                </c:pt>
                <c:pt idx="112">
                  <c:v>37012</c:v>
                </c:pt>
                <c:pt idx="113">
                  <c:v>37043</c:v>
                </c:pt>
                <c:pt idx="114">
                  <c:v>37073</c:v>
                </c:pt>
                <c:pt idx="115">
                  <c:v>37104</c:v>
                </c:pt>
                <c:pt idx="116">
                  <c:v>37135</c:v>
                </c:pt>
                <c:pt idx="117">
                  <c:v>37165</c:v>
                </c:pt>
                <c:pt idx="118">
                  <c:v>37196</c:v>
                </c:pt>
                <c:pt idx="119">
                  <c:v>37226</c:v>
                </c:pt>
                <c:pt idx="120">
                  <c:v>37257</c:v>
                </c:pt>
                <c:pt idx="121">
                  <c:v>37288</c:v>
                </c:pt>
                <c:pt idx="122">
                  <c:v>37316</c:v>
                </c:pt>
                <c:pt idx="123">
                  <c:v>37347</c:v>
                </c:pt>
                <c:pt idx="124">
                  <c:v>37377</c:v>
                </c:pt>
                <c:pt idx="125">
                  <c:v>37408</c:v>
                </c:pt>
                <c:pt idx="126">
                  <c:v>37438</c:v>
                </c:pt>
                <c:pt idx="127">
                  <c:v>37469</c:v>
                </c:pt>
                <c:pt idx="128">
                  <c:v>37500</c:v>
                </c:pt>
                <c:pt idx="129">
                  <c:v>37530</c:v>
                </c:pt>
                <c:pt idx="130">
                  <c:v>37561</c:v>
                </c:pt>
                <c:pt idx="131">
                  <c:v>37591</c:v>
                </c:pt>
                <c:pt idx="132">
                  <c:v>37622</c:v>
                </c:pt>
                <c:pt idx="133">
                  <c:v>37653</c:v>
                </c:pt>
                <c:pt idx="134">
                  <c:v>37681</c:v>
                </c:pt>
                <c:pt idx="135">
                  <c:v>37712</c:v>
                </c:pt>
                <c:pt idx="136">
                  <c:v>37742</c:v>
                </c:pt>
                <c:pt idx="137">
                  <c:v>37773</c:v>
                </c:pt>
                <c:pt idx="138">
                  <c:v>37803</c:v>
                </c:pt>
                <c:pt idx="139">
                  <c:v>37834</c:v>
                </c:pt>
                <c:pt idx="140">
                  <c:v>37865</c:v>
                </c:pt>
                <c:pt idx="141">
                  <c:v>37895</c:v>
                </c:pt>
                <c:pt idx="142">
                  <c:v>37926</c:v>
                </c:pt>
                <c:pt idx="143">
                  <c:v>37956</c:v>
                </c:pt>
                <c:pt idx="144">
                  <c:v>37987</c:v>
                </c:pt>
                <c:pt idx="145">
                  <c:v>38018</c:v>
                </c:pt>
                <c:pt idx="146">
                  <c:v>38047</c:v>
                </c:pt>
                <c:pt idx="147">
                  <c:v>38078</c:v>
                </c:pt>
                <c:pt idx="148">
                  <c:v>38108</c:v>
                </c:pt>
                <c:pt idx="149">
                  <c:v>38139</c:v>
                </c:pt>
                <c:pt idx="150">
                  <c:v>38169</c:v>
                </c:pt>
                <c:pt idx="151">
                  <c:v>38200</c:v>
                </c:pt>
                <c:pt idx="152">
                  <c:v>38231</c:v>
                </c:pt>
                <c:pt idx="153">
                  <c:v>38261</c:v>
                </c:pt>
                <c:pt idx="154">
                  <c:v>38292</c:v>
                </c:pt>
                <c:pt idx="155">
                  <c:v>38322</c:v>
                </c:pt>
                <c:pt idx="156">
                  <c:v>38353</c:v>
                </c:pt>
                <c:pt idx="157">
                  <c:v>38384</c:v>
                </c:pt>
                <c:pt idx="158">
                  <c:v>38412</c:v>
                </c:pt>
                <c:pt idx="159">
                  <c:v>38443</c:v>
                </c:pt>
                <c:pt idx="160">
                  <c:v>38473</c:v>
                </c:pt>
                <c:pt idx="161">
                  <c:v>38504</c:v>
                </c:pt>
                <c:pt idx="162">
                  <c:v>38534</c:v>
                </c:pt>
                <c:pt idx="163">
                  <c:v>38565</c:v>
                </c:pt>
                <c:pt idx="164">
                  <c:v>38596</c:v>
                </c:pt>
                <c:pt idx="165">
                  <c:v>38626</c:v>
                </c:pt>
                <c:pt idx="166">
                  <c:v>38657</c:v>
                </c:pt>
                <c:pt idx="167">
                  <c:v>38687</c:v>
                </c:pt>
                <c:pt idx="168">
                  <c:v>38718</c:v>
                </c:pt>
                <c:pt idx="169">
                  <c:v>38749</c:v>
                </c:pt>
                <c:pt idx="170">
                  <c:v>38777</c:v>
                </c:pt>
                <c:pt idx="171">
                  <c:v>38808</c:v>
                </c:pt>
                <c:pt idx="172">
                  <c:v>38838</c:v>
                </c:pt>
                <c:pt idx="173">
                  <c:v>38869</c:v>
                </c:pt>
                <c:pt idx="174">
                  <c:v>38899</c:v>
                </c:pt>
                <c:pt idx="175">
                  <c:v>38930</c:v>
                </c:pt>
                <c:pt idx="176">
                  <c:v>38961</c:v>
                </c:pt>
                <c:pt idx="177">
                  <c:v>38991</c:v>
                </c:pt>
                <c:pt idx="178">
                  <c:v>39022</c:v>
                </c:pt>
                <c:pt idx="179">
                  <c:v>39052</c:v>
                </c:pt>
                <c:pt idx="180">
                  <c:v>39083</c:v>
                </c:pt>
                <c:pt idx="181">
                  <c:v>39114</c:v>
                </c:pt>
                <c:pt idx="182">
                  <c:v>39142</c:v>
                </c:pt>
                <c:pt idx="183">
                  <c:v>39173</c:v>
                </c:pt>
                <c:pt idx="184">
                  <c:v>39203</c:v>
                </c:pt>
                <c:pt idx="185">
                  <c:v>39234</c:v>
                </c:pt>
                <c:pt idx="186">
                  <c:v>39264</c:v>
                </c:pt>
                <c:pt idx="187">
                  <c:v>39295</c:v>
                </c:pt>
                <c:pt idx="188">
                  <c:v>39326</c:v>
                </c:pt>
                <c:pt idx="189">
                  <c:v>39356</c:v>
                </c:pt>
                <c:pt idx="190">
                  <c:v>39387</c:v>
                </c:pt>
                <c:pt idx="191">
                  <c:v>39417</c:v>
                </c:pt>
                <c:pt idx="192">
                  <c:v>39448</c:v>
                </c:pt>
                <c:pt idx="193">
                  <c:v>39479</c:v>
                </c:pt>
                <c:pt idx="194">
                  <c:v>39508</c:v>
                </c:pt>
                <c:pt idx="195">
                  <c:v>39539</c:v>
                </c:pt>
                <c:pt idx="196">
                  <c:v>39569</c:v>
                </c:pt>
                <c:pt idx="197">
                  <c:v>39600</c:v>
                </c:pt>
                <c:pt idx="198">
                  <c:v>39630</c:v>
                </c:pt>
                <c:pt idx="199">
                  <c:v>39661</c:v>
                </c:pt>
                <c:pt idx="200">
                  <c:v>39692</c:v>
                </c:pt>
                <c:pt idx="201">
                  <c:v>39722</c:v>
                </c:pt>
                <c:pt idx="202">
                  <c:v>39753</c:v>
                </c:pt>
                <c:pt idx="203">
                  <c:v>39783</c:v>
                </c:pt>
                <c:pt idx="204">
                  <c:v>39814</c:v>
                </c:pt>
                <c:pt idx="205">
                  <c:v>39845</c:v>
                </c:pt>
                <c:pt idx="206">
                  <c:v>39873</c:v>
                </c:pt>
                <c:pt idx="207">
                  <c:v>39904</c:v>
                </c:pt>
                <c:pt idx="208">
                  <c:v>39934</c:v>
                </c:pt>
                <c:pt idx="209">
                  <c:v>39965</c:v>
                </c:pt>
                <c:pt idx="210">
                  <c:v>39995</c:v>
                </c:pt>
                <c:pt idx="211">
                  <c:v>40026</c:v>
                </c:pt>
                <c:pt idx="212">
                  <c:v>40057</c:v>
                </c:pt>
                <c:pt idx="213">
                  <c:v>40087</c:v>
                </c:pt>
                <c:pt idx="214">
                  <c:v>40118</c:v>
                </c:pt>
                <c:pt idx="215">
                  <c:v>40148</c:v>
                </c:pt>
                <c:pt idx="216">
                  <c:v>40179</c:v>
                </c:pt>
                <c:pt idx="217">
                  <c:v>40210</c:v>
                </c:pt>
                <c:pt idx="218">
                  <c:v>40238</c:v>
                </c:pt>
                <c:pt idx="219">
                  <c:v>40269</c:v>
                </c:pt>
                <c:pt idx="220">
                  <c:v>40299</c:v>
                </c:pt>
                <c:pt idx="221">
                  <c:v>40330</c:v>
                </c:pt>
                <c:pt idx="222">
                  <c:v>40360</c:v>
                </c:pt>
                <c:pt idx="223">
                  <c:v>40391</c:v>
                </c:pt>
                <c:pt idx="224">
                  <c:v>40422</c:v>
                </c:pt>
                <c:pt idx="225">
                  <c:v>40452</c:v>
                </c:pt>
                <c:pt idx="226">
                  <c:v>40483</c:v>
                </c:pt>
                <c:pt idx="227">
                  <c:v>40513</c:v>
                </c:pt>
                <c:pt idx="228">
                  <c:v>40544</c:v>
                </c:pt>
                <c:pt idx="229">
                  <c:v>40575</c:v>
                </c:pt>
                <c:pt idx="230">
                  <c:v>40603</c:v>
                </c:pt>
                <c:pt idx="231">
                  <c:v>40634</c:v>
                </c:pt>
                <c:pt idx="232">
                  <c:v>40664</c:v>
                </c:pt>
                <c:pt idx="233">
                  <c:v>40695</c:v>
                </c:pt>
                <c:pt idx="234">
                  <c:v>40725</c:v>
                </c:pt>
                <c:pt idx="235">
                  <c:v>40756</c:v>
                </c:pt>
                <c:pt idx="236">
                  <c:v>40787</c:v>
                </c:pt>
                <c:pt idx="237">
                  <c:v>40817</c:v>
                </c:pt>
                <c:pt idx="238">
                  <c:v>40848</c:v>
                </c:pt>
                <c:pt idx="239">
                  <c:v>40878</c:v>
                </c:pt>
                <c:pt idx="240">
                  <c:v>40909</c:v>
                </c:pt>
                <c:pt idx="241">
                  <c:v>40940</c:v>
                </c:pt>
                <c:pt idx="242">
                  <c:v>40969</c:v>
                </c:pt>
                <c:pt idx="243">
                  <c:v>41000</c:v>
                </c:pt>
                <c:pt idx="244">
                  <c:v>41030</c:v>
                </c:pt>
                <c:pt idx="245">
                  <c:v>41061</c:v>
                </c:pt>
                <c:pt idx="246">
                  <c:v>41091</c:v>
                </c:pt>
                <c:pt idx="247">
                  <c:v>41122</c:v>
                </c:pt>
                <c:pt idx="248">
                  <c:v>41153</c:v>
                </c:pt>
                <c:pt idx="249">
                  <c:v>41183</c:v>
                </c:pt>
                <c:pt idx="250">
                  <c:v>41214</c:v>
                </c:pt>
                <c:pt idx="251">
                  <c:v>41244</c:v>
                </c:pt>
                <c:pt idx="252">
                  <c:v>41275</c:v>
                </c:pt>
                <c:pt idx="253">
                  <c:v>41306</c:v>
                </c:pt>
                <c:pt idx="254">
                  <c:v>41334</c:v>
                </c:pt>
                <c:pt idx="255">
                  <c:v>41365</c:v>
                </c:pt>
                <c:pt idx="256">
                  <c:v>41395</c:v>
                </c:pt>
                <c:pt idx="257">
                  <c:v>41426</c:v>
                </c:pt>
                <c:pt idx="258">
                  <c:v>41456</c:v>
                </c:pt>
                <c:pt idx="259">
                  <c:v>41487</c:v>
                </c:pt>
                <c:pt idx="260">
                  <c:v>41518</c:v>
                </c:pt>
                <c:pt idx="261">
                  <c:v>41548</c:v>
                </c:pt>
                <c:pt idx="262">
                  <c:v>41579</c:v>
                </c:pt>
                <c:pt idx="263">
                  <c:v>41609</c:v>
                </c:pt>
                <c:pt idx="264">
                  <c:v>41640</c:v>
                </c:pt>
                <c:pt idx="265">
                  <c:v>41671</c:v>
                </c:pt>
                <c:pt idx="266">
                  <c:v>41699</c:v>
                </c:pt>
                <c:pt idx="267">
                  <c:v>41730</c:v>
                </c:pt>
                <c:pt idx="268">
                  <c:v>41760</c:v>
                </c:pt>
                <c:pt idx="269">
                  <c:v>41791</c:v>
                </c:pt>
                <c:pt idx="270">
                  <c:v>41821</c:v>
                </c:pt>
                <c:pt idx="271">
                  <c:v>41852</c:v>
                </c:pt>
                <c:pt idx="272">
                  <c:v>41883</c:v>
                </c:pt>
                <c:pt idx="273">
                  <c:v>41913</c:v>
                </c:pt>
                <c:pt idx="274">
                  <c:v>41944</c:v>
                </c:pt>
                <c:pt idx="275">
                  <c:v>41974</c:v>
                </c:pt>
                <c:pt idx="276">
                  <c:v>42005</c:v>
                </c:pt>
                <c:pt idx="277">
                  <c:v>42036</c:v>
                </c:pt>
                <c:pt idx="278">
                  <c:v>42064</c:v>
                </c:pt>
                <c:pt idx="279">
                  <c:v>42095</c:v>
                </c:pt>
                <c:pt idx="280">
                  <c:v>42125</c:v>
                </c:pt>
                <c:pt idx="281">
                  <c:v>42156</c:v>
                </c:pt>
                <c:pt idx="282">
                  <c:v>42186</c:v>
                </c:pt>
                <c:pt idx="283">
                  <c:v>42217</c:v>
                </c:pt>
                <c:pt idx="284">
                  <c:v>42248</c:v>
                </c:pt>
                <c:pt idx="285">
                  <c:v>42278</c:v>
                </c:pt>
                <c:pt idx="286">
                  <c:v>42309</c:v>
                </c:pt>
                <c:pt idx="287">
                  <c:v>42339</c:v>
                </c:pt>
                <c:pt idx="288">
                  <c:v>42370</c:v>
                </c:pt>
                <c:pt idx="289">
                  <c:v>42401</c:v>
                </c:pt>
                <c:pt idx="290">
                  <c:v>42430</c:v>
                </c:pt>
                <c:pt idx="291">
                  <c:v>42461</c:v>
                </c:pt>
                <c:pt idx="292">
                  <c:v>42491</c:v>
                </c:pt>
                <c:pt idx="293">
                  <c:v>42522</c:v>
                </c:pt>
                <c:pt idx="294">
                  <c:v>42552</c:v>
                </c:pt>
                <c:pt idx="295">
                  <c:v>42583</c:v>
                </c:pt>
                <c:pt idx="296">
                  <c:v>42614</c:v>
                </c:pt>
                <c:pt idx="297">
                  <c:v>42644</c:v>
                </c:pt>
                <c:pt idx="298">
                  <c:v>42675</c:v>
                </c:pt>
                <c:pt idx="299">
                  <c:v>42705</c:v>
                </c:pt>
                <c:pt idx="300">
                  <c:v>42736</c:v>
                </c:pt>
                <c:pt idx="301">
                  <c:v>42767</c:v>
                </c:pt>
                <c:pt idx="302">
                  <c:v>42795</c:v>
                </c:pt>
                <c:pt idx="303">
                  <c:v>42826</c:v>
                </c:pt>
                <c:pt idx="304">
                  <c:v>42856</c:v>
                </c:pt>
                <c:pt idx="305">
                  <c:v>42887</c:v>
                </c:pt>
                <c:pt idx="306">
                  <c:v>42917</c:v>
                </c:pt>
                <c:pt idx="307">
                  <c:v>42948</c:v>
                </c:pt>
                <c:pt idx="308">
                  <c:v>42979</c:v>
                </c:pt>
                <c:pt idx="309">
                  <c:v>43009</c:v>
                </c:pt>
                <c:pt idx="310">
                  <c:v>43040</c:v>
                </c:pt>
                <c:pt idx="311">
                  <c:v>43070</c:v>
                </c:pt>
                <c:pt idx="312">
                  <c:v>43101</c:v>
                </c:pt>
                <c:pt idx="313">
                  <c:v>43132</c:v>
                </c:pt>
                <c:pt idx="314">
                  <c:v>43160</c:v>
                </c:pt>
                <c:pt idx="315">
                  <c:v>43191</c:v>
                </c:pt>
                <c:pt idx="316">
                  <c:v>43221</c:v>
                </c:pt>
                <c:pt idx="317">
                  <c:v>43252</c:v>
                </c:pt>
                <c:pt idx="318">
                  <c:v>43282</c:v>
                </c:pt>
                <c:pt idx="319">
                  <c:v>43313</c:v>
                </c:pt>
                <c:pt idx="320">
                  <c:v>43344</c:v>
                </c:pt>
                <c:pt idx="321">
                  <c:v>43374</c:v>
                </c:pt>
                <c:pt idx="322">
                  <c:v>43405</c:v>
                </c:pt>
                <c:pt idx="323">
                  <c:v>43435</c:v>
                </c:pt>
                <c:pt idx="324">
                  <c:v>43466</c:v>
                </c:pt>
                <c:pt idx="325">
                  <c:v>43497</c:v>
                </c:pt>
                <c:pt idx="326">
                  <c:v>43525</c:v>
                </c:pt>
                <c:pt idx="327">
                  <c:v>43556</c:v>
                </c:pt>
                <c:pt idx="328">
                  <c:v>43586</c:v>
                </c:pt>
                <c:pt idx="329">
                  <c:v>43617</c:v>
                </c:pt>
                <c:pt idx="330">
                  <c:v>43647</c:v>
                </c:pt>
                <c:pt idx="331">
                  <c:v>43678</c:v>
                </c:pt>
                <c:pt idx="332">
                  <c:v>43709</c:v>
                </c:pt>
                <c:pt idx="333">
                  <c:v>43739</c:v>
                </c:pt>
                <c:pt idx="334">
                  <c:v>43770</c:v>
                </c:pt>
                <c:pt idx="335">
                  <c:v>43800</c:v>
                </c:pt>
                <c:pt idx="336">
                  <c:v>43831</c:v>
                </c:pt>
                <c:pt idx="337">
                  <c:v>43862</c:v>
                </c:pt>
                <c:pt idx="338">
                  <c:v>43891</c:v>
                </c:pt>
                <c:pt idx="339">
                  <c:v>43922</c:v>
                </c:pt>
                <c:pt idx="340">
                  <c:v>43952</c:v>
                </c:pt>
                <c:pt idx="341">
                  <c:v>43983</c:v>
                </c:pt>
                <c:pt idx="342">
                  <c:v>44013</c:v>
                </c:pt>
                <c:pt idx="343">
                  <c:v>44044</c:v>
                </c:pt>
              </c:numCache>
            </c:numRef>
          </c:cat>
          <c:val>
            <c:numRef>
              <c:f>Health!$D$7:$D$350</c:f>
              <c:numCache>
                <c:formatCode>General</c:formatCode>
                <c:ptCount val="344"/>
                <c:pt idx="12" formatCode="0.00%">
                  <c:v>1.3071014688047432E-2</c:v>
                </c:pt>
                <c:pt idx="13" formatCode="0.00%">
                  <c:v>3.0437710437710437E-2</c:v>
                </c:pt>
                <c:pt idx="14" formatCode="0.00%">
                  <c:v>2.1765417170495769E-2</c:v>
                </c:pt>
                <c:pt idx="15" formatCode="0.00%">
                  <c:v>2.2219265566790845E-2</c:v>
                </c:pt>
                <c:pt idx="16" formatCode="0.00%">
                  <c:v>2.7889514615178333E-2</c:v>
                </c:pt>
                <c:pt idx="17" formatCode="0.00%">
                  <c:v>3.5459080490764461E-2</c:v>
                </c:pt>
                <c:pt idx="18" formatCode="0.00%">
                  <c:v>6.3631376851343943E-2</c:v>
                </c:pt>
                <c:pt idx="19" formatCode="0.00%">
                  <c:v>2.2642514651038892E-2</c:v>
                </c:pt>
                <c:pt idx="20" formatCode="0.00%">
                  <c:v>4.7439353099730457E-2</c:v>
                </c:pt>
                <c:pt idx="21" formatCode="0.00%">
                  <c:v>2.9595222295952222E-2</c:v>
                </c:pt>
                <c:pt idx="22" formatCode="0.00%">
                  <c:v>3.8281979458450049E-2</c:v>
                </c:pt>
                <c:pt idx="23" formatCode="0.00%">
                  <c:v>6.1520063778899813E-2</c:v>
                </c:pt>
                <c:pt idx="24" formatCode="0.00%">
                  <c:v>4.6155892524607611E-2</c:v>
                </c:pt>
                <c:pt idx="25" formatCode="0.00%">
                  <c:v>1.0194745784864723E-2</c:v>
                </c:pt>
                <c:pt idx="26" formatCode="0.00%">
                  <c:v>4.0236686390532544E-2</c:v>
                </c:pt>
                <c:pt idx="27" formatCode="0.00%">
                  <c:v>2.0174411037355199E-2</c:v>
                </c:pt>
                <c:pt idx="28" formatCode="0.00%">
                  <c:v>3.7698930341768848E-2</c:v>
                </c:pt>
                <c:pt idx="29" formatCode="0.00%">
                  <c:v>4.3489583333333331E-2</c:v>
                </c:pt>
                <c:pt idx="30" formatCode="0.00%">
                  <c:v>4.2289840123775145E-2</c:v>
                </c:pt>
                <c:pt idx="31" formatCode="0.00%">
                  <c:v>5.834852826256838E-2</c:v>
                </c:pt>
                <c:pt idx="32" formatCode="0.00%">
                  <c:v>5.3782810087493568E-2</c:v>
                </c:pt>
                <c:pt idx="33" formatCode="0.00%">
                  <c:v>5.877803557617943E-2</c:v>
                </c:pt>
                <c:pt idx="34" formatCode="0.00%">
                  <c:v>5.2158273381294966E-2</c:v>
                </c:pt>
                <c:pt idx="35" formatCode="0.00%">
                  <c:v>3.7301289272750032E-2</c:v>
                </c:pt>
                <c:pt idx="36" formatCode="0.00%">
                  <c:v>5.6071201525746982E-2</c:v>
                </c:pt>
                <c:pt idx="37" formatCode="0.00%">
                  <c:v>7.4395135205071808E-2</c:v>
                </c:pt>
                <c:pt idx="38" formatCode="0.00%">
                  <c:v>4.9677664012135005E-2</c:v>
                </c:pt>
                <c:pt idx="39" formatCode="0.00%">
                  <c:v>7.8081143148762439E-2</c:v>
                </c:pt>
                <c:pt idx="40" formatCode="0.00%">
                  <c:v>5.8956631049654304E-2</c:v>
                </c:pt>
                <c:pt idx="41" formatCode="0.00%">
                  <c:v>5.8397803843274268E-2</c:v>
                </c:pt>
                <c:pt idx="42" formatCode="0.00%">
                  <c:v>4.2924294903513113E-2</c:v>
                </c:pt>
                <c:pt idx="43" formatCode="0.00%">
                  <c:v>4.4548363278365741E-2</c:v>
                </c:pt>
                <c:pt idx="44" formatCode="0.00%">
                  <c:v>5.1404151404151402E-2</c:v>
                </c:pt>
                <c:pt idx="45" formatCode="0.00%">
                  <c:v>4.5045045045045043E-2</c:v>
                </c:pt>
                <c:pt idx="46" formatCode="0.00%">
                  <c:v>6.117216117216117E-2</c:v>
                </c:pt>
                <c:pt idx="47" formatCode="0.00%">
                  <c:v>5.7198020996741886E-2</c:v>
                </c:pt>
                <c:pt idx="48" formatCode="0.00%">
                  <c:v>2.8894774861545871E-2</c:v>
                </c:pt>
                <c:pt idx="49" formatCode="0.00%">
                  <c:v>5.7562620423892097E-2</c:v>
                </c:pt>
                <c:pt idx="50" formatCode="0.00%">
                  <c:v>8.2731213872832374E-2</c:v>
                </c:pt>
                <c:pt idx="51" formatCode="0.00%">
                  <c:v>5.5857988165680474E-2</c:v>
                </c:pt>
                <c:pt idx="52" formatCode="0.00%">
                  <c:v>7.7397910731244066E-2</c:v>
                </c:pt>
                <c:pt idx="53" formatCode="0.00%">
                  <c:v>6.9559066257958033E-2</c:v>
                </c:pt>
                <c:pt idx="54" formatCode="0.00%">
                  <c:v>8.3382754121693756E-2</c:v>
                </c:pt>
                <c:pt idx="55" formatCode="0.00%">
                  <c:v>8.8242224316682369E-2</c:v>
                </c:pt>
                <c:pt idx="56" formatCode="0.00%">
                  <c:v>6.7239577284868193E-2</c:v>
                </c:pt>
                <c:pt idx="57" formatCode="0.00%">
                  <c:v>9.0750232991612306E-2</c:v>
                </c:pt>
                <c:pt idx="58" formatCode="0.00%">
                  <c:v>8.3189506385916462E-2</c:v>
                </c:pt>
                <c:pt idx="59" formatCode="0.00%">
                  <c:v>8.4921812578472783E-2</c:v>
                </c:pt>
                <c:pt idx="60" formatCode="0.00%">
                  <c:v>0.10554645448162883</c:v>
                </c:pt>
                <c:pt idx="61" formatCode="0.00%">
                  <c:v>9.8724664085629701E-2</c:v>
                </c:pt>
                <c:pt idx="62" formatCode="0.00%">
                  <c:v>0.10354799243688133</c:v>
                </c:pt>
                <c:pt idx="63" formatCode="0.00%">
                  <c:v>7.3526115220802504E-2</c:v>
                </c:pt>
                <c:pt idx="64" formatCode="0.00%">
                  <c:v>7.1176729836932573E-2</c:v>
                </c:pt>
                <c:pt idx="65" formatCode="0.00%">
                  <c:v>9.3033509700176362E-2</c:v>
                </c:pt>
                <c:pt idx="66" formatCode="0.00%">
                  <c:v>8.9336544777753449E-2</c:v>
                </c:pt>
                <c:pt idx="67" formatCode="0.00%">
                  <c:v>8.1411713759878754E-2</c:v>
                </c:pt>
                <c:pt idx="68" formatCode="0.00%">
                  <c:v>9.651795429815016E-2</c:v>
                </c:pt>
                <c:pt idx="69" formatCode="0.00%">
                  <c:v>7.4228345615721461E-2</c:v>
                </c:pt>
                <c:pt idx="70" formatCode="0.00%">
                  <c:v>8.5298491608243043E-2</c:v>
                </c:pt>
                <c:pt idx="71" formatCode="0.00%">
                  <c:v>7.3224618621778009E-2</c:v>
                </c:pt>
                <c:pt idx="72" formatCode="0.00%">
                  <c:v>9.8856900931414055E-2</c:v>
                </c:pt>
                <c:pt idx="73" formatCode="0.00%">
                  <c:v>7.8453725774691674E-2</c:v>
                </c:pt>
                <c:pt idx="74" formatCode="0.00%">
                  <c:v>4.7470268091110664E-2</c:v>
                </c:pt>
                <c:pt idx="75" formatCode="0.00%">
                  <c:v>0.10879097932762581</c:v>
                </c:pt>
                <c:pt idx="76" formatCode="0.00%">
                  <c:v>9.4939312898580541E-2</c:v>
                </c:pt>
                <c:pt idx="77" formatCode="0.00%">
                  <c:v>7.624041952400161E-2</c:v>
                </c:pt>
                <c:pt idx="78" formatCode="0.00%">
                  <c:v>8.8241206030150759E-2</c:v>
                </c:pt>
                <c:pt idx="79" formatCode="0.00%">
                  <c:v>0.10311342476724397</c:v>
                </c:pt>
                <c:pt idx="80" formatCode="0.00%">
                  <c:v>9.0106182395554235E-2</c:v>
                </c:pt>
                <c:pt idx="81" formatCode="0.00%">
                  <c:v>0.10419566514217539</c:v>
                </c:pt>
                <c:pt idx="82" formatCode="0.00%">
                  <c:v>9.9344230204561026E-2</c:v>
                </c:pt>
                <c:pt idx="83" formatCode="0.00%">
                  <c:v>0.10881286148416822</c:v>
                </c:pt>
                <c:pt idx="84" formatCode="0.00%">
                  <c:v>9.9499133115006744E-2</c:v>
                </c:pt>
                <c:pt idx="85" formatCode="0.00%">
                  <c:v>0.10493945800499711</c:v>
                </c:pt>
                <c:pt idx="86" formatCode="0.00%">
                  <c:v>0.11565476763206003</c:v>
                </c:pt>
                <c:pt idx="87" formatCode="0.00%">
                  <c:v>9.4067796610169493E-2</c:v>
                </c:pt>
                <c:pt idx="88" formatCode="0.00%">
                  <c:v>0.10295913574448097</c:v>
                </c:pt>
                <c:pt idx="89" formatCode="0.00%">
                  <c:v>0.10916416791604198</c:v>
                </c:pt>
                <c:pt idx="90" formatCode="0.00%">
                  <c:v>9.5031400073882527E-2</c:v>
                </c:pt>
                <c:pt idx="91" formatCode="0.00%">
                  <c:v>7.5233687267447141E-2</c:v>
                </c:pt>
                <c:pt idx="92" formatCode="0.00%">
                  <c:v>9.1761492944924902E-2</c:v>
                </c:pt>
                <c:pt idx="93" formatCode="0.00%">
                  <c:v>9.4453448586349714E-2</c:v>
                </c:pt>
                <c:pt idx="94" formatCode="0.00%">
                  <c:v>9.1346153846153841E-2</c:v>
                </c:pt>
                <c:pt idx="95" formatCode="0.00%">
                  <c:v>0.13173017416674035</c:v>
                </c:pt>
                <c:pt idx="96" formatCode="0.00%">
                  <c:v>8.4625492772667538E-2</c:v>
                </c:pt>
                <c:pt idx="97" formatCode="0.00%">
                  <c:v>7.7230822751782918E-2</c:v>
                </c:pt>
                <c:pt idx="98" formatCode="0.00%">
                  <c:v>8.4950409659335924E-2</c:v>
                </c:pt>
                <c:pt idx="99" formatCode="0.00%">
                  <c:v>9.587744212066443E-2</c:v>
                </c:pt>
                <c:pt idx="100" formatCode="0.00%">
                  <c:v>9.1389149135508052E-2</c:v>
                </c:pt>
                <c:pt idx="101" formatCode="0.00%">
                  <c:v>8.6761848441328046E-2</c:v>
                </c:pt>
                <c:pt idx="102" formatCode="0.00%">
                  <c:v>9.3615585729948547E-2</c:v>
                </c:pt>
                <c:pt idx="103" formatCode="0.00%">
                  <c:v>0.100101282916948</c:v>
                </c:pt>
                <c:pt idx="104" formatCode="0.00%">
                  <c:v>0.1033936462936713</c:v>
                </c:pt>
                <c:pt idx="105" formatCode="0.00%">
                  <c:v>9.4364459070341425E-2</c:v>
                </c:pt>
                <c:pt idx="106" formatCode="0.00%">
                  <c:v>8.8268885625713819E-2</c:v>
                </c:pt>
                <c:pt idx="107" formatCode="0.00%">
                  <c:v>5.6714319193812986E-2</c:v>
                </c:pt>
                <c:pt idx="108" formatCode="0.00%">
                  <c:v>8.3353525563363215E-2</c:v>
                </c:pt>
                <c:pt idx="109" formatCode="0.00%">
                  <c:v>9.6560632972711127E-2</c:v>
                </c:pt>
                <c:pt idx="110" formatCode="0.00%">
                  <c:v>8.505564387917329E-2</c:v>
                </c:pt>
                <c:pt idx="111" formatCode="0.00%">
                  <c:v>7.146783947223749E-2</c:v>
                </c:pt>
                <c:pt idx="112" formatCode="0.00%">
                  <c:v>7.7883564850944276E-2</c:v>
                </c:pt>
                <c:pt idx="113" formatCode="0.00%">
                  <c:v>7.6103855721393041E-2</c:v>
                </c:pt>
                <c:pt idx="114" formatCode="0.00%">
                  <c:v>7.0332382200971696E-2</c:v>
                </c:pt>
                <c:pt idx="115" formatCode="0.00%">
                  <c:v>7.4420745741905783E-2</c:v>
                </c:pt>
                <c:pt idx="116" formatCode="0.00%">
                  <c:v>4.9950880374820525E-2</c:v>
                </c:pt>
                <c:pt idx="117" formatCode="0.00%">
                  <c:v>7.4875958502480827E-2</c:v>
                </c:pt>
                <c:pt idx="118" formatCode="0.00%">
                  <c:v>7.0464767616191901E-2</c:v>
                </c:pt>
                <c:pt idx="119" formatCode="0.00%">
                  <c:v>6.0841280402158644E-2</c:v>
                </c:pt>
                <c:pt idx="120" formatCode="0.00%">
                  <c:v>8.29046447476329E-2</c:v>
                </c:pt>
                <c:pt idx="121" formatCode="0.00%">
                  <c:v>8.5775290826093364E-2</c:v>
                </c:pt>
                <c:pt idx="122" formatCode="0.00%">
                  <c:v>8.0219780219780226E-2</c:v>
                </c:pt>
                <c:pt idx="123" formatCode="0.00%">
                  <c:v>9.5067067360551205E-2</c:v>
                </c:pt>
                <c:pt idx="124" formatCode="0.00%">
                  <c:v>7.898928467998842E-2</c:v>
                </c:pt>
                <c:pt idx="125" formatCode="0.00%">
                  <c:v>7.975149895253919E-2</c:v>
                </c:pt>
                <c:pt idx="126" formatCode="0.00%">
                  <c:v>8.1057713091721301E-2</c:v>
                </c:pt>
                <c:pt idx="127" formatCode="0.00%">
                  <c:v>7.9691516709511565E-2</c:v>
                </c:pt>
                <c:pt idx="128" formatCode="0.00%">
                  <c:v>0.10033107816323593</c:v>
                </c:pt>
                <c:pt idx="129" formatCode="0.00%">
                  <c:v>6.9939851727514338E-2</c:v>
                </c:pt>
                <c:pt idx="130" formatCode="0.00%">
                  <c:v>7.4789915966386553E-2</c:v>
                </c:pt>
                <c:pt idx="131" formatCode="0.00%">
                  <c:v>6.5714285714285711E-2</c:v>
                </c:pt>
                <c:pt idx="132" formatCode="0.00%">
                  <c:v>6.3063683304647164E-2</c:v>
                </c:pt>
                <c:pt idx="133" formatCode="0.00%">
                  <c:v>5.3366786465043739E-2</c:v>
                </c:pt>
                <c:pt idx="134" formatCode="0.00%">
                  <c:v>6.3207867073584265E-2</c:v>
                </c:pt>
                <c:pt idx="135" formatCode="0.00%">
                  <c:v>5.1204819277108432E-2</c:v>
                </c:pt>
                <c:pt idx="136" formatCode="0.00%">
                  <c:v>5.9585318392270013E-2</c:v>
                </c:pt>
                <c:pt idx="137" formatCode="0.00%">
                  <c:v>6.603331772261993E-2</c:v>
                </c:pt>
                <c:pt idx="138" formatCode="0.00%">
                  <c:v>7.8512396694214878E-2</c:v>
                </c:pt>
                <c:pt idx="139" formatCode="0.00%">
                  <c:v>8.1018518518518517E-2</c:v>
                </c:pt>
                <c:pt idx="140" formatCode="0.00%">
                  <c:v>6.8746729461015177E-2</c:v>
                </c:pt>
                <c:pt idx="141" formatCode="0.00%">
                  <c:v>7.4258072950712517E-2</c:v>
                </c:pt>
                <c:pt idx="142" formatCode="0.00%">
                  <c:v>7.5058639562157942E-2</c:v>
                </c:pt>
                <c:pt idx="143" formatCode="0.00%">
                  <c:v>8.8602628653632387E-2</c:v>
                </c:pt>
                <c:pt idx="144" formatCode="0.00%">
                  <c:v>5.4789197590829612E-2</c:v>
                </c:pt>
                <c:pt idx="145" formatCode="0.00%">
                  <c:v>3.8560576799279003E-2</c:v>
                </c:pt>
                <c:pt idx="146" formatCode="0.00%">
                  <c:v>5.4155769598775279E-2</c:v>
                </c:pt>
                <c:pt idx="147" formatCode="0.00%">
                  <c:v>4.9092645654250242E-2</c:v>
                </c:pt>
                <c:pt idx="148" formatCode="0.00%">
                  <c:v>4.2492559052624911E-2</c:v>
                </c:pt>
                <c:pt idx="149" formatCode="0.00%">
                  <c:v>3.9914647922681061E-2</c:v>
                </c:pt>
                <c:pt idx="150" formatCode="0.00%">
                  <c:v>2.2988505747126436E-2</c:v>
                </c:pt>
                <c:pt idx="151" formatCode="0.00%">
                  <c:v>1.6212909146527989E-2</c:v>
                </c:pt>
                <c:pt idx="152" formatCode="0.00%">
                  <c:v>1.811616377991309E-2</c:v>
                </c:pt>
                <c:pt idx="153" formatCode="0.00%">
                  <c:v>1.8559084824145065E-2</c:v>
                </c:pt>
                <c:pt idx="154" formatCode="0.00%">
                  <c:v>1.896969696969697E-2</c:v>
                </c:pt>
                <c:pt idx="155" formatCode="0.00%">
                  <c:v>1.4055742431523306E-2</c:v>
                </c:pt>
                <c:pt idx="156" formatCode="0.00%">
                  <c:v>5.0899490391109477E-2</c:v>
                </c:pt>
                <c:pt idx="157" formatCode="0.00%">
                  <c:v>7.1840327279489247E-2</c:v>
                </c:pt>
                <c:pt idx="158" formatCode="0.00%">
                  <c:v>4.350720077453709E-2</c:v>
                </c:pt>
                <c:pt idx="159" formatCode="0.00%">
                  <c:v>5.3046856033017724E-2</c:v>
                </c:pt>
                <c:pt idx="160" formatCode="0.00%">
                  <c:v>5.7769408334345768E-2</c:v>
                </c:pt>
                <c:pt idx="161" formatCode="0.00%">
                  <c:v>4.9607724803862399E-2</c:v>
                </c:pt>
                <c:pt idx="162" formatCode="0.00%">
                  <c:v>6.530143771898031E-2</c:v>
                </c:pt>
                <c:pt idx="163" formatCode="0.00%">
                  <c:v>5.6472004816375675E-2</c:v>
                </c:pt>
                <c:pt idx="164" formatCode="0.00%">
                  <c:v>6.4442440637210704E-2</c:v>
                </c:pt>
                <c:pt idx="165" formatCode="0.00%">
                  <c:v>5.9919947428161778E-2</c:v>
                </c:pt>
                <c:pt idx="166" formatCode="0.00%">
                  <c:v>6.2213763159459944E-2</c:v>
                </c:pt>
                <c:pt idx="167" formatCode="0.00%">
                  <c:v>6.652055443667812E-2</c:v>
                </c:pt>
                <c:pt idx="168" formatCode="0.00%">
                  <c:v>5.1647581210563218E-2</c:v>
                </c:pt>
                <c:pt idx="169" formatCode="0.00%">
                  <c:v>4.8114735137635901E-2</c:v>
                </c:pt>
                <c:pt idx="170" formatCode="0.00%">
                  <c:v>5.6654102638445926E-2</c:v>
                </c:pt>
                <c:pt idx="171" formatCode="0.00%">
                  <c:v>5.4409221902017288E-2</c:v>
                </c:pt>
                <c:pt idx="172" formatCode="0.00%">
                  <c:v>6.0472061103773046E-2</c:v>
                </c:pt>
                <c:pt idx="173" formatCode="0.00%">
                  <c:v>6.853725850965961E-2</c:v>
                </c:pt>
                <c:pt idx="174" formatCode="0.00%">
                  <c:v>5.6988942444003404E-2</c:v>
                </c:pt>
                <c:pt idx="175" formatCode="0.00%">
                  <c:v>6.8896740369272846E-2</c:v>
                </c:pt>
                <c:pt idx="176" formatCode="0.00%">
                  <c:v>6.9238154402213814E-2</c:v>
                </c:pt>
                <c:pt idx="177" formatCode="0.00%">
                  <c:v>7.3385187690226575E-2</c:v>
                </c:pt>
                <c:pt idx="178" formatCode="0.00%">
                  <c:v>7.9343748250181978E-2</c:v>
                </c:pt>
                <c:pt idx="179" formatCode="0.00%">
                  <c:v>7.6645376284365449E-2</c:v>
                </c:pt>
                <c:pt idx="180" formatCode="0.00%">
                  <c:v>7.9055555555555559E-2</c:v>
                </c:pt>
                <c:pt idx="181" formatCode="0.00%">
                  <c:v>7.0459059810196428E-2</c:v>
                </c:pt>
                <c:pt idx="182" formatCode="0.00%">
                  <c:v>7.2330150367687404E-2</c:v>
                </c:pt>
                <c:pt idx="183" formatCode="0.00%">
                  <c:v>6.9858970154148894E-2</c:v>
                </c:pt>
                <c:pt idx="184" formatCode="0.00%">
                  <c:v>6.4117838189104298E-2</c:v>
                </c:pt>
                <c:pt idx="185" formatCode="0.00%">
                  <c:v>6.9737408523461039E-2</c:v>
                </c:pt>
                <c:pt idx="186" formatCode="0.00%">
                  <c:v>6.3894849785407729E-2</c:v>
                </c:pt>
                <c:pt idx="187" formatCode="0.00%">
                  <c:v>6.701498107373248E-2</c:v>
                </c:pt>
                <c:pt idx="188" formatCode="0.00%">
                  <c:v>6.332857972851634E-2</c:v>
                </c:pt>
                <c:pt idx="189" formatCode="0.00%">
                  <c:v>4.9569418189455997E-2</c:v>
                </c:pt>
                <c:pt idx="190" formatCode="0.00%">
                  <c:v>3.4343224735422284E-2</c:v>
                </c:pt>
                <c:pt idx="191" formatCode="0.00%">
                  <c:v>2.2697962342017024E-2</c:v>
                </c:pt>
                <c:pt idx="192" formatCode="0.00%">
                  <c:v>3.5885290634814396E-2</c:v>
                </c:pt>
                <c:pt idx="193" formatCode="0.00%">
                  <c:v>4.5255399206226482E-2</c:v>
                </c:pt>
                <c:pt idx="194" formatCode="0.00%">
                  <c:v>3.8280450358239508E-2</c:v>
                </c:pt>
                <c:pt idx="195" formatCode="0.00%">
                  <c:v>3.0656039239730228E-2</c:v>
                </c:pt>
                <c:pt idx="196" formatCode="0.00%">
                  <c:v>4.5089058524173026E-2</c:v>
                </c:pt>
                <c:pt idx="197" formatCode="0.00%">
                  <c:v>3.1036217303822937E-2</c:v>
                </c:pt>
                <c:pt idx="198" formatCode="0.00%">
                  <c:v>4.0794715344662398E-2</c:v>
                </c:pt>
                <c:pt idx="199" formatCode="0.00%">
                  <c:v>3.0278804836614371E-2</c:v>
                </c:pt>
                <c:pt idx="200" formatCode="0.00%">
                  <c:v>2.5928869461553747E-2</c:v>
                </c:pt>
                <c:pt idx="201" formatCode="0.00%">
                  <c:v>3.3570142085251151E-2</c:v>
                </c:pt>
                <c:pt idx="202" formatCode="0.00%">
                  <c:v>4.2682315177048853E-2</c:v>
                </c:pt>
                <c:pt idx="203" formatCode="0.00%">
                  <c:v>4.3228247162673393E-2</c:v>
                </c:pt>
                <c:pt idx="204" formatCode="0.00%">
                  <c:v>3.1461232604373758E-2</c:v>
                </c:pt>
                <c:pt idx="205" formatCode="0.00%">
                  <c:v>3.0918684353271858E-2</c:v>
                </c:pt>
                <c:pt idx="206" formatCode="0.00%">
                  <c:v>3.0559936908517351E-2</c:v>
                </c:pt>
                <c:pt idx="207" formatCode="0.00%">
                  <c:v>4.3971842157445963E-2</c:v>
                </c:pt>
                <c:pt idx="208" formatCode="0.00%">
                  <c:v>2.8486560186988703E-2</c:v>
                </c:pt>
                <c:pt idx="209" formatCode="0.00%">
                  <c:v>2.7223496121383618E-2</c:v>
                </c:pt>
                <c:pt idx="210" formatCode="0.00%">
                  <c:v>1.8749999999999999E-2</c:v>
                </c:pt>
                <c:pt idx="211" formatCode="0.00%">
                  <c:v>2.1823472356935016E-2</c:v>
                </c:pt>
                <c:pt idx="212" formatCode="0.00%">
                  <c:v>2.7936477195700592E-2</c:v>
                </c:pt>
                <c:pt idx="213" formatCode="0.00%">
                  <c:v>2.9962728108814559E-2</c:v>
                </c:pt>
                <c:pt idx="214" formatCode="0.00%">
                  <c:v>2.400307855115686E-2</c:v>
                </c:pt>
                <c:pt idx="215" formatCode="0.00%">
                  <c:v>2.4804177545691905E-2</c:v>
                </c:pt>
                <c:pt idx="216" formatCode="0.00%">
                  <c:v>1.9852551438346262E-2</c:v>
                </c:pt>
                <c:pt idx="217" formatCode="0.00%">
                  <c:v>1.4015115277910647E-2</c:v>
                </c:pt>
                <c:pt idx="218" formatCode="0.00%">
                  <c:v>2.1762004974172567E-2</c:v>
                </c:pt>
                <c:pt idx="219" formatCode="0.00%">
                  <c:v>1.9564081865235766E-2</c:v>
                </c:pt>
                <c:pt idx="220" formatCode="0.00%">
                  <c:v>1.3162255575020123E-2</c:v>
                </c:pt>
                <c:pt idx="221" formatCode="0.00%">
                  <c:v>2.8781762051769175E-2</c:v>
                </c:pt>
                <c:pt idx="222" formatCode="0.00%">
                  <c:v>3.3575878632234747E-2</c:v>
                </c:pt>
                <c:pt idx="223" formatCode="0.00%">
                  <c:v>3.7636449928808734E-2</c:v>
                </c:pt>
                <c:pt idx="224" formatCode="0.00%">
                  <c:v>3.1981536432575008E-2</c:v>
                </c:pt>
                <c:pt idx="225" formatCode="0.00%">
                  <c:v>3.9947363474010712E-2</c:v>
                </c:pt>
                <c:pt idx="226" formatCode="0.00%">
                  <c:v>4.1901540774145062E-2</c:v>
                </c:pt>
                <c:pt idx="227" formatCode="0.00%">
                  <c:v>5.0813871196036801E-2</c:v>
                </c:pt>
                <c:pt idx="228" formatCode="0.00%">
                  <c:v>7.2289156626506021E-2</c:v>
                </c:pt>
                <c:pt idx="229" formatCode="0.00%">
                  <c:v>5.7974432756262087E-2</c:v>
                </c:pt>
                <c:pt idx="230" formatCode="0.00%">
                  <c:v>5.6171885971071478E-2</c:v>
                </c:pt>
                <c:pt idx="231" formatCode="0.00%">
                  <c:v>4.5503236924223374E-2</c:v>
                </c:pt>
                <c:pt idx="232" formatCode="0.00%">
                  <c:v>5.6497967194728722E-2</c:v>
                </c:pt>
                <c:pt idx="233" formatCode="0.00%">
                  <c:v>4.3672960620469971E-2</c:v>
                </c:pt>
                <c:pt idx="234" formatCode="0.00%">
                  <c:v>4.5782910780840194E-2</c:v>
                </c:pt>
                <c:pt idx="235" formatCode="0.00%">
                  <c:v>4.3864062571467778E-2</c:v>
                </c:pt>
                <c:pt idx="236" formatCode="0.00%">
                  <c:v>3.5828388863532637E-2</c:v>
                </c:pt>
                <c:pt idx="237" formatCode="0.00%">
                  <c:v>3.1724511930585682E-2</c:v>
                </c:pt>
                <c:pt idx="238" formatCode="0.00%">
                  <c:v>2.502254283137962E-2</c:v>
                </c:pt>
                <c:pt idx="239" formatCode="0.00%">
                  <c:v>1.8184267241379309E-2</c:v>
                </c:pt>
                <c:pt idx="240" formatCode="0.00%">
                  <c:v>1.2249394139678344E-2</c:v>
                </c:pt>
                <c:pt idx="241" formatCode="0.00%">
                  <c:v>2.5459247369359728E-2</c:v>
                </c:pt>
                <c:pt idx="242" formatCode="0.00%">
                  <c:v>1.6930372734122234E-2</c:v>
                </c:pt>
                <c:pt idx="243" formatCode="0.00%">
                  <c:v>2.6594796863863152E-2</c:v>
                </c:pt>
                <c:pt idx="244" formatCode="0.00%">
                  <c:v>1.2163835810332625E-2</c:v>
                </c:pt>
                <c:pt idx="245" formatCode="0.00%">
                  <c:v>-6.9889857123899678E-3</c:v>
                </c:pt>
                <c:pt idx="246" formatCode="0.00%">
                  <c:v>2.8599084829285461E-3</c:v>
                </c:pt>
                <c:pt idx="247" formatCode="0.00%">
                  <c:v>-3.5492069056173867E-3</c:v>
                </c:pt>
                <c:pt idx="248" formatCode="0.00%">
                  <c:v>-3.833443489755453E-3</c:v>
                </c:pt>
                <c:pt idx="249" formatCode="0.00%">
                  <c:v>-1.3272010512483574E-2</c:v>
                </c:pt>
                <c:pt idx="250" formatCode="0.00%">
                  <c:v>-3.2548933362656698E-3</c:v>
                </c:pt>
                <c:pt idx="251" formatCode="0.00%">
                  <c:v>9.7455571724654935E-3</c:v>
                </c:pt>
                <c:pt idx="252" formatCode="0.00%">
                  <c:v>8.7058721107386924E-3</c:v>
                </c:pt>
                <c:pt idx="253" formatCode="0.00%">
                  <c:v>3.9132136179833904E-4</c:v>
                </c:pt>
                <c:pt idx="254" formatCode="0.00%">
                  <c:v>4.5325779036827192E-3</c:v>
                </c:pt>
                <c:pt idx="255" formatCode="0.00%">
                  <c:v>-3.9921891950531569E-3</c:v>
                </c:pt>
                <c:pt idx="256" formatCode="0.00%">
                  <c:v>7.5164969628108199E-3</c:v>
                </c:pt>
                <c:pt idx="257" formatCode="0.00%">
                  <c:v>2.6459975945476413E-2</c:v>
                </c:pt>
                <c:pt idx="258" formatCode="0.00%">
                  <c:v>2.2594656254113103E-2</c:v>
                </c:pt>
                <c:pt idx="259" formatCode="0.00%">
                  <c:v>2.4801020183808978E-2</c:v>
                </c:pt>
                <c:pt idx="260" formatCode="0.00%">
                  <c:v>4.953998584571833E-2</c:v>
                </c:pt>
                <c:pt idx="261" formatCode="0.00%">
                  <c:v>5.5222621742797531E-2</c:v>
                </c:pt>
                <c:pt idx="262" formatCode="0.00%">
                  <c:v>4.9026962623008694E-2</c:v>
                </c:pt>
                <c:pt idx="263" formatCode="0.00%">
                  <c:v>4.0440213119049696E-2</c:v>
                </c:pt>
                <c:pt idx="264" formatCode="0.00%">
                  <c:v>2.5676433780693047E-2</c:v>
                </c:pt>
                <c:pt idx="265" formatCode="0.00%">
                  <c:v>3.9029902642559108E-2</c:v>
                </c:pt>
                <c:pt idx="266" formatCode="0.00%">
                  <c:v>4.3559373508612088E-2</c:v>
                </c:pt>
                <c:pt idx="267" formatCode="0.00%">
                  <c:v>5.6898880320655251E-2</c:v>
                </c:pt>
                <c:pt idx="268" formatCode="0.00%">
                  <c:v>6.6753415744957703E-2</c:v>
                </c:pt>
                <c:pt idx="269" formatCode="0.00%">
                  <c:v>7.6118560951265027E-2</c:v>
                </c:pt>
                <c:pt idx="270" formatCode="0.00%">
                  <c:v>6.4570104685086671E-2</c:v>
                </c:pt>
                <c:pt idx="271" formatCode="0.00%">
                  <c:v>6.8526067367517707E-2</c:v>
                </c:pt>
                <c:pt idx="272" formatCode="0.00%">
                  <c:v>5.5546190155091033E-2</c:v>
                </c:pt>
                <c:pt idx="273" formatCode="0.00%">
                  <c:v>5.0103066762020948E-2</c:v>
                </c:pt>
                <c:pt idx="274" formatCode="0.00%">
                  <c:v>5.4349655056368837E-2</c:v>
                </c:pt>
                <c:pt idx="275" formatCode="0.00%">
                  <c:v>5.9435862995298856E-2</c:v>
                </c:pt>
                <c:pt idx="276" formatCode="0.00%">
                  <c:v>7.0346684617973748E-2</c:v>
                </c:pt>
                <c:pt idx="277" formatCode="0.00%">
                  <c:v>5.6178365263950474E-2</c:v>
                </c:pt>
                <c:pt idx="278" formatCode="0.00%">
                  <c:v>7.2340248617636049E-2</c:v>
                </c:pt>
                <c:pt idx="279" formatCode="0.00%">
                  <c:v>4.6745537738571249E-2</c:v>
                </c:pt>
                <c:pt idx="280" formatCode="0.00%">
                  <c:v>3.0657884036756934E-2</c:v>
                </c:pt>
                <c:pt idx="281" formatCode="0.00%">
                  <c:v>2.972133725853934E-2</c:v>
                </c:pt>
                <c:pt idx="282" formatCode="0.00%">
                  <c:v>3.9092411236045621E-2</c:v>
                </c:pt>
                <c:pt idx="283" formatCode="0.00%">
                  <c:v>4.2285760179905228E-2</c:v>
                </c:pt>
                <c:pt idx="284" formatCode="0.00%">
                  <c:v>4.5835662381218556E-2</c:v>
                </c:pt>
                <c:pt idx="285" formatCode="0.00%">
                  <c:v>4.3305824853777743E-2</c:v>
                </c:pt>
                <c:pt idx="286" formatCode="0.00%">
                  <c:v>4.5722949249920201E-2</c:v>
                </c:pt>
                <c:pt idx="287" formatCode="0.00%">
                  <c:v>4.7266244057052299E-2</c:v>
                </c:pt>
                <c:pt idx="288" formatCode="0.00%">
                  <c:v>3.1721698113207547E-2</c:v>
                </c:pt>
                <c:pt idx="289" formatCode="0.00%">
                  <c:v>6.0913303497168204E-2</c:v>
                </c:pt>
                <c:pt idx="290" formatCode="0.00%">
                  <c:v>3.1946652192455315E-2</c:v>
                </c:pt>
                <c:pt idx="291" formatCode="0.00%">
                  <c:v>5.5842161225534599E-2</c:v>
                </c:pt>
                <c:pt idx="292" formatCode="0.00%">
                  <c:v>5.4205459996843931E-2</c:v>
                </c:pt>
                <c:pt idx="293" formatCode="0.00%">
                  <c:v>5.3183989974152114E-2</c:v>
                </c:pt>
                <c:pt idx="294" formatCode="0.00%">
                  <c:v>4.029787068998953E-2</c:v>
                </c:pt>
                <c:pt idx="295" formatCode="0.00%">
                  <c:v>3.0514351762666155E-2</c:v>
                </c:pt>
                <c:pt idx="296" formatCode="0.00%">
                  <c:v>1.8668397342902956E-2</c:v>
                </c:pt>
                <c:pt idx="297" formatCode="0.00%">
                  <c:v>-6.0668893752639863E-3</c:v>
                </c:pt>
                <c:pt idx="298" formatCode="0.00%">
                  <c:v>-3.6627241510873714E-3</c:v>
                </c:pt>
                <c:pt idx="299" formatCode="0.00%">
                  <c:v>-9.6092006204365754E-3</c:v>
                </c:pt>
                <c:pt idx="300" formatCode="0.00%">
                  <c:v>-3.3146645330894959E-3</c:v>
                </c:pt>
                <c:pt idx="301" formatCode="0.00%">
                  <c:v>-1.3103371038190167E-2</c:v>
                </c:pt>
                <c:pt idx="302" formatCode="0.00%">
                  <c:v>-1.8033587556824586E-3</c:v>
                </c:pt>
                <c:pt idx="303" formatCode="0.00%">
                  <c:v>-2.088694938644586E-3</c:v>
                </c:pt>
                <c:pt idx="304" formatCode="0.00%">
                  <c:v>1.4594715964373925E-3</c:v>
                </c:pt>
                <c:pt idx="305" formatCode="0.00%">
                  <c:v>3.3839059943477612E-3</c:v>
                </c:pt>
                <c:pt idx="306" formatCode="0.00%">
                  <c:v>7.3819998508686899E-3</c:v>
                </c:pt>
                <c:pt idx="307" formatCode="0.00%">
                  <c:v>2.2021161251729166E-2</c:v>
                </c:pt>
                <c:pt idx="308" formatCode="0.00%">
                  <c:v>2.582168421841622E-2</c:v>
                </c:pt>
                <c:pt idx="309" formatCode="0.00%">
                  <c:v>6.5018350395982236E-2</c:v>
                </c:pt>
                <c:pt idx="310" formatCode="0.00%">
                  <c:v>6.3146205100712255E-2</c:v>
                </c:pt>
                <c:pt idx="311" formatCode="0.00%">
                  <c:v>5.6915848580923641E-2</c:v>
                </c:pt>
                <c:pt idx="312" formatCode="0.00%">
                  <c:v>5.7759938837920487E-2</c:v>
                </c:pt>
                <c:pt idx="313" formatCode="0.00%">
                  <c:v>4.0626418520199728E-2</c:v>
                </c:pt>
                <c:pt idx="314" formatCode="0.00%">
                  <c:v>4.1589822725733E-2</c:v>
                </c:pt>
                <c:pt idx="315" formatCode="0.00%">
                  <c:v>4.4178658194729957E-2</c:v>
                </c:pt>
                <c:pt idx="316" formatCode="0.00%">
                  <c:v>5.7845371996562159E-2</c:v>
                </c:pt>
                <c:pt idx="317" formatCode="0.00%">
                  <c:v>4.0506985879998521E-2</c:v>
                </c:pt>
                <c:pt idx="318" formatCode="0.00%">
                  <c:v>4.5817912657290898E-2</c:v>
                </c:pt>
                <c:pt idx="319" formatCode="0.00%">
                  <c:v>4.3788410886742755E-2</c:v>
                </c:pt>
                <c:pt idx="320" formatCode="0.00%">
                  <c:v>3.4597398801695163E-2</c:v>
                </c:pt>
                <c:pt idx="321" formatCode="0.00%">
                  <c:v>3.5802379570516539E-2</c:v>
                </c:pt>
                <c:pt idx="322" formatCode="0.00%">
                  <c:v>4.732917912329359E-2</c:v>
                </c:pt>
                <c:pt idx="323" formatCode="0.00%">
                  <c:v>9.9389208139072614E-3</c:v>
                </c:pt>
                <c:pt idx="324" formatCode="0.00%">
                  <c:v>3.4982472624769612E-2</c:v>
                </c:pt>
                <c:pt idx="325" formatCode="0.00%">
                  <c:v>4.5292620865139951E-2</c:v>
                </c:pt>
                <c:pt idx="326" formatCode="0.00%">
                  <c:v>3.7074510370745106E-2</c:v>
                </c:pt>
                <c:pt idx="327" formatCode="0.00%">
                  <c:v>2.1763253033611339E-2</c:v>
                </c:pt>
                <c:pt idx="328" formatCode="0.00%">
                  <c:v>1.3246670670104913E-2</c:v>
                </c:pt>
                <c:pt idx="329" formatCode="0.00%">
                  <c:v>1.9197891437526714E-2</c:v>
                </c:pt>
                <c:pt idx="330" formatCode="0.00%">
                  <c:v>4.9543492108429475E-3</c:v>
                </c:pt>
                <c:pt idx="331" formatCode="0.00%">
                  <c:v>-4.1706094697367959E-3</c:v>
                </c:pt>
                <c:pt idx="332" formatCode="0.00%">
                  <c:v>4.0608778558564925E-3</c:v>
                </c:pt>
                <c:pt idx="333" formatCode="0.00%">
                  <c:v>5.7082822623008228E-3</c:v>
                </c:pt>
                <c:pt idx="334" formatCode="0.00%">
                  <c:v>-1.9878254290332565E-2</c:v>
                </c:pt>
                <c:pt idx="335" formatCode="0.00%">
                  <c:v>1.485113083309476E-2</c:v>
                </c:pt>
                <c:pt idx="336" formatCode="0.00%">
                  <c:v>8.1357589301302418E-3</c:v>
                </c:pt>
                <c:pt idx="337" formatCode="0.00%">
                  <c:v>1.0710808179162609E-2</c:v>
                </c:pt>
                <c:pt idx="338" formatCode="0.00%">
                  <c:v>6.2439024390243902E-2</c:v>
                </c:pt>
                <c:pt idx="339" formatCode="0.00%">
                  <c:v>-9.0628831669294099E-2</c:v>
                </c:pt>
                <c:pt idx="340" formatCode="0.00%">
                  <c:v>-8.4820806024264395E-2</c:v>
                </c:pt>
                <c:pt idx="341" formatCode="0.00%">
                  <c:v>-9.7501310501485229E-3</c:v>
                </c:pt>
                <c:pt idx="342" formatCode="0.00%">
                  <c:v>4.975702514261568E-2</c:v>
                </c:pt>
                <c:pt idx="343" formatCode="0.00%">
                  <c:v>4.1704793411698457E-2</c:v>
                </c:pt>
              </c:numCache>
            </c:numRef>
          </c:val>
          <c:smooth val="0"/>
          <c:extLst>
            <c:ext xmlns:c16="http://schemas.microsoft.com/office/drawing/2014/chart" uri="{C3380CC4-5D6E-409C-BE32-E72D297353CC}">
              <c16:uniqueId val="{00000002-354D-4DA4-A38E-CDB704BB7E4E}"/>
            </c:ext>
          </c:extLst>
        </c:ser>
        <c:dLbls>
          <c:showLegendKey val="0"/>
          <c:showVal val="0"/>
          <c:showCatName val="0"/>
          <c:showSerName val="0"/>
          <c:showPercent val="0"/>
          <c:showBubbleSize val="0"/>
        </c:dLbls>
        <c:smooth val="0"/>
        <c:axId val="892479320"/>
        <c:axId val="892479648"/>
      </c:lineChart>
      <c:dateAx>
        <c:axId val="892479320"/>
        <c:scaling>
          <c:orientation val="minMax"/>
        </c:scaling>
        <c:delete val="0"/>
        <c:axPos val="b"/>
        <c:numFmt formatCode="[$-409]mmm\-yy;@" sourceLinked="1"/>
        <c:majorTickMark val="out"/>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92479648"/>
        <c:crosses val="autoZero"/>
        <c:auto val="1"/>
        <c:lblOffset val="100"/>
        <c:baseTimeUnit val="months"/>
      </c:dateAx>
      <c:valAx>
        <c:axId val="89247964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9247932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'Sporting Goods'!$B$6</c:f>
              <c:strCache>
                <c:ptCount val="1"/>
                <c:pt idx="0">
                  <c:v>Sporting Goods, Millions of Dollars</c:v>
                </c:pt>
              </c:strCache>
            </c:strRef>
          </c:tx>
          <c:spPr>
            <a:ln w="28575" cap="rnd">
              <a:solidFill>
                <a:schemeClr val="accent1"/>
              </a:solidFill>
              <a:round/>
            </a:ln>
            <a:effectLst/>
          </c:spPr>
          <c:marker>
            <c:symbol val="none"/>
          </c:marker>
          <c:cat>
            <c:numRef>
              <c:f>'Sporting Goods'!$A$7:$A$350</c:f>
              <c:numCache>
                <c:formatCode>[$-409]mmm\-yy;@</c:formatCode>
                <c:ptCount val="344"/>
                <c:pt idx="0">
                  <c:v>33604</c:v>
                </c:pt>
                <c:pt idx="1">
                  <c:v>33635</c:v>
                </c:pt>
                <c:pt idx="2">
                  <c:v>33664</c:v>
                </c:pt>
                <c:pt idx="3">
                  <c:v>33695</c:v>
                </c:pt>
                <c:pt idx="4">
                  <c:v>33725</c:v>
                </c:pt>
                <c:pt idx="5">
                  <c:v>33756</c:v>
                </c:pt>
                <c:pt idx="6">
                  <c:v>33786</c:v>
                </c:pt>
                <c:pt idx="7">
                  <c:v>33817</c:v>
                </c:pt>
                <c:pt idx="8">
                  <c:v>33848</c:v>
                </c:pt>
                <c:pt idx="9">
                  <c:v>33878</c:v>
                </c:pt>
                <c:pt idx="10">
                  <c:v>33909</c:v>
                </c:pt>
                <c:pt idx="11">
                  <c:v>33939</c:v>
                </c:pt>
                <c:pt idx="12">
                  <c:v>33970</c:v>
                </c:pt>
                <c:pt idx="13">
                  <c:v>34001</c:v>
                </c:pt>
                <c:pt idx="14">
                  <c:v>34029</c:v>
                </c:pt>
                <c:pt idx="15">
                  <c:v>34060</c:v>
                </c:pt>
                <c:pt idx="16">
                  <c:v>34090</c:v>
                </c:pt>
                <c:pt idx="17">
                  <c:v>34121</c:v>
                </c:pt>
                <c:pt idx="18">
                  <c:v>34151</c:v>
                </c:pt>
                <c:pt idx="19">
                  <c:v>34182</c:v>
                </c:pt>
                <c:pt idx="20">
                  <c:v>34213</c:v>
                </c:pt>
                <c:pt idx="21">
                  <c:v>34243</c:v>
                </c:pt>
                <c:pt idx="22">
                  <c:v>34274</c:v>
                </c:pt>
                <c:pt idx="23">
                  <c:v>34304</c:v>
                </c:pt>
                <c:pt idx="24">
                  <c:v>34335</c:v>
                </c:pt>
                <c:pt idx="25">
                  <c:v>34366</c:v>
                </c:pt>
                <c:pt idx="26">
                  <c:v>34394</c:v>
                </c:pt>
                <c:pt idx="27">
                  <c:v>34425</c:v>
                </c:pt>
                <c:pt idx="28">
                  <c:v>34455</c:v>
                </c:pt>
                <c:pt idx="29">
                  <c:v>34486</c:v>
                </c:pt>
                <c:pt idx="30">
                  <c:v>34516</c:v>
                </c:pt>
                <c:pt idx="31">
                  <c:v>34547</c:v>
                </c:pt>
                <c:pt idx="32">
                  <c:v>34578</c:v>
                </c:pt>
                <c:pt idx="33">
                  <c:v>34608</c:v>
                </c:pt>
                <c:pt idx="34">
                  <c:v>34639</c:v>
                </c:pt>
                <c:pt idx="35">
                  <c:v>34669</c:v>
                </c:pt>
                <c:pt idx="36">
                  <c:v>34700</c:v>
                </c:pt>
                <c:pt idx="37">
                  <c:v>34731</c:v>
                </c:pt>
                <c:pt idx="38">
                  <c:v>34759</c:v>
                </c:pt>
                <c:pt idx="39">
                  <c:v>34790</c:v>
                </c:pt>
                <c:pt idx="40">
                  <c:v>34820</c:v>
                </c:pt>
                <c:pt idx="41">
                  <c:v>34851</c:v>
                </c:pt>
                <c:pt idx="42">
                  <c:v>34881</c:v>
                </c:pt>
                <c:pt idx="43">
                  <c:v>34912</c:v>
                </c:pt>
                <c:pt idx="44">
                  <c:v>34943</c:v>
                </c:pt>
                <c:pt idx="45">
                  <c:v>34973</c:v>
                </c:pt>
                <c:pt idx="46">
                  <c:v>35004</c:v>
                </c:pt>
                <c:pt idx="47">
                  <c:v>35034</c:v>
                </c:pt>
                <c:pt idx="48">
                  <c:v>35065</c:v>
                </c:pt>
                <c:pt idx="49">
                  <c:v>35096</c:v>
                </c:pt>
                <c:pt idx="50">
                  <c:v>35125</c:v>
                </c:pt>
                <c:pt idx="51">
                  <c:v>35156</c:v>
                </c:pt>
                <c:pt idx="52">
                  <c:v>35186</c:v>
                </c:pt>
                <c:pt idx="53">
                  <c:v>35217</c:v>
                </c:pt>
                <c:pt idx="54">
                  <c:v>35247</c:v>
                </c:pt>
                <c:pt idx="55">
                  <c:v>35278</c:v>
                </c:pt>
                <c:pt idx="56">
                  <c:v>35309</c:v>
                </c:pt>
                <c:pt idx="57">
                  <c:v>35339</c:v>
                </c:pt>
                <c:pt idx="58">
                  <c:v>35370</c:v>
                </c:pt>
                <c:pt idx="59">
                  <c:v>35400</c:v>
                </c:pt>
                <c:pt idx="60">
                  <c:v>35431</c:v>
                </c:pt>
                <c:pt idx="61">
                  <c:v>35462</c:v>
                </c:pt>
                <c:pt idx="62">
                  <c:v>35490</c:v>
                </c:pt>
                <c:pt idx="63">
                  <c:v>35521</c:v>
                </c:pt>
                <c:pt idx="64">
                  <c:v>35551</c:v>
                </c:pt>
                <c:pt idx="65">
                  <c:v>35582</c:v>
                </c:pt>
                <c:pt idx="66">
                  <c:v>35612</c:v>
                </c:pt>
                <c:pt idx="67">
                  <c:v>35643</c:v>
                </c:pt>
                <c:pt idx="68">
                  <c:v>35674</c:v>
                </c:pt>
                <c:pt idx="69">
                  <c:v>35704</c:v>
                </c:pt>
                <c:pt idx="70">
                  <c:v>35735</c:v>
                </c:pt>
                <c:pt idx="71">
                  <c:v>35765</c:v>
                </c:pt>
                <c:pt idx="72">
                  <c:v>35796</c:v>
                </c:pt>
                <c:pt idx="73">
                  <c:v>35827</c:v>
                </c:pt>
                <c:pt idx="74">
                  <c:v>35855</c:v>
                </c:pt>
                <c:pt idx="75">
                  <c:v>35886</c:v>
                </c:pt>
                <c:pt idx="76">
                  <c:v>35916</c:v>
                </c:pt>
                <c:pt idx="77">
                  <c:v>35947</c:v>
                </c:pt>
                <c:pt idx="78">
                  <c:v>35977</c:v>
                </c:pt>
                <c:pt idx="79">
                  <c:v>36008</c:v>
                </c:pt>
                <c:pt idx="80">
                  <c:v>36039</c:v>
                </c:pt>
                <c:pt idx="81">
                  <c:v>36069</c:v>
                </c:pt>
                <c:pt idx="82">
                  <c:v>36100</c:v>
                </c:pt>
                <c:pt idx="83">
                  <c:v>36130</c:v>
                </c:pt>
                <c:pt idx="84">
                  <c:v>36161</c:v>
                </c:pt>
                <c:pt idx="85">
                  <c:v>36192</c:v>
                </c:pt>
                <c:pt idx="86">
                  <c:v>36220</c:v>
                </c:pt>
                <c:pt idx="87">
                  <c:v>36251</c:v>
                </c:pt>
                <c:pt idx="88">
                  <c:v>36281</c:v>
                </c:pt>
                <c:pt idx="89">
                  <c:v>36312</c:v>
                </c:pt>
                <c:pt idx="90">
                  <c:v>36342</c:v>
                </c:pt>
                <c:pt idx="91">
                  <c:v>36373</c:v>
                </c:pt>
                <c:pt idx="92">
                  <c:v>36404</c:v>
                </c:pt>
                <c:pt idx="93">
                  <c:v>36434</c:v>
                </c:pt>
                <c:pt idx="94">
                  <c:v>36465</c:v>
                </c:pt>
                <c:pt idx="95">
                  <c:v>36495</c:v>
                </c:pt>
                <c:pt idx="96">
                  <c:v>36526</c:v>
                </c:pt>
                <c:pt idx="97">
                  <c:v>36557</c:v>
                </c:pt>
                <c:pt idx="98">
                  <c:v>36586</c:v>
                </c:pt>
                <c:pt idx="99">
                  <c:v>36617</c:v>
                </c:pt>
                <c:pt idx="100">
                  <c:v>36647</c:v>
                </c:pt>
                <c:pt idx="101">
                  <c:v>36678</c:v>
                </c:pt>
                <c:pt idx="102">
                  <c:v>36708</c:v>
                </c:pt>
                <c:pt idx="103">
                  <c:v>36739</c:v>
                </c:pt>
                <c:pt idx="104">
                  <c:v>36770</c:v>
                </c:pt>
                <c:pt idx="105">
                  <c:v>36800</c:v>
                </c:pt>
                <c:pt idx="106">
                  <c:v>36831</c:v>
                </c:pt>
                <c:pt idx="107">
                  <c:v>36861</c:v>
                </c:pt>
                <c:pt idx="108">
                  <c:v>36892</c:v>
                </c:pt>
                <c:pt idx="109">
                  <c:v>36923</c:v>
                </c:pt>
                <c:pt idx="110">
                  <c:v>36951</c:v>
                </c:pt>
                <c:pt idx="111">
                  <c:v>36982</c:v>
                </c:pt>
                <c:pt idx="112">
                  <c:v>37012</c:v>
                </c:pt>
                <c:pt idx="113">
                  <c:v>37043</c:v>
                </c:pt>
                <c:pt idx="114">
                  <c:v>37073</c:v>
                </c:pt>
                <c:pt idx="115">
                  <c:v>37104</c:v>
                </c:pt>
                <c:pt idx="116">
                  <c:v>37135</c:v>
                </c:pt>
                <c:pt idx="117">
                  <c:v>37165</c:v>
                </c:pt>
                <c:pt idx="118">
                  <c:v>37196</c:v>
                </c:pt>
                <c:pt idx="119">
                  <c:v>37226</c:v>
                </c:pt>
                <c:pt idx="120">
                  <c:v>37257</c:v>
                </c:pt>
                <c:pt idx="121">
                  <c:v>37288</c:v>
                </c:pt>
                <c:pt idx="122">
                  <c:v>37316</c:v>
                </c:pt>
                <c:pt idx="123">
                  <c:v>37347</c:v>
                </c:pt>
                <c:pt idx="124">
                  <c:v>37377</c:v>
                </c:pt>
                <c:pt idx="125">
                  <c:v>37408</c:v>
                </c:pt>
                <c:pt idx="126">
                  <c:v>37438</c:v>
                </c:pt>
                <c:pt idx="127">
                  <c:v>37469</c:v>
                </c:pt>
                <c:pt idx="128">
                  <c:v>37500</c:v>
                </c:pt>
                <c:pt idx="129">
                  <c:v>37530</c:v>
                </c:pt>
                <c:pt idx="130">
                  <c:v>37561</c:v>
                </c:pt>
                <c:pt idx="131">
                  <c:v>37591</c:v>
                </c:pt>
                <c:pt idx="132">
                  <c:v>37622</c:v>
                </c:pt>
                <c:pt idx="133">
                  <c:v>37653</c:v>
                </c:pt>
                <c:pt idx="134">
                  <c:v>37681</c:v>
                </c:pt>
                <c:pt idx="135">
                  <c:v>37712</c:v>
                </c:pt>
                <c:pt idx="136">
                  <c:v>37742</c:v>
                </c:pt>
                <c:pt idx="137">
                  <c:v>37773</c:v>
                </c:pt>
                <c:pt idx="138">
                  <c:v>37803</c:v>
                </c:pt>
                <c:pt idx="139">
                  <c:v>37834</c:v>
                </c:pt>
                <c:pt idx="140">
                  <c:v>37865</c:v>
                </c:pt>
                <c:pt idx="141">
                  <c:v>37895</c:v>
                </c:pt>
                <c:pt idx="142">
                  <c:v>37926</c:v>
                </c:pt>
                <c:pt idx="143">
                  <c:v>37956</c:v>
                </c:pt>
                <c:pt idx="144">
                  <c:v>37987</c:v>
                </c:pt>
                <c:pt idx="145">
                  <c:v>38018</c:v>
                </c:pt>
                <c:pt idx="146">
                  <c:v>38047</c:v>
                </c:pt>
                <c:pt idx="147">
                  <c:v>38078</c:v>
                </c:pt>
                <c:pt idx="148">
                  <c:v>38108</c:v>
                </c:pt>
                <c:pt idx="149">
                  <c:v>38139</c:v>
                </c:pt>
                <c:pt idx="150">
                  <c:v>38169</c:v>
                </c:pt>
                <c:pt idx="151">
                  <c:v>38200</c:v>
                </c:pt>
                <c:pt idx="152">
                  <c:v>38231</c:v>
                </c:pt>
                <c:pt idx="153">
                  <c:v>38261</c:v>
                </c:pt>
                <c:pt idx="154">
                  <c:v>38292</c:v>
                </c:pt>
                <c:pt idx="155">
                  <c:v>38322</c:v>
                </c:pt>
                <c:pt idx="156">
                  <c:v>38353</c:v>
                </c:pt>
                <c:pt idx="157">
                  <c:v>38384</c:v>
                </c:pt>
                <c:pt idx="158">
                  <c:v>38412</c:v>
                </c:pt>
                <c:pt idx="159">
                  <c:v>38443</c:v>
                </c:pt>
                <c:pt idx="160">
                  <c:v>38473</c:v>
                </c:pt>
                <c:pt idx="161">
                  <c:v>38504</c:v>
                </c:pt>
                <c:pt idx="162">
                  <c:v>38534</c:v>
                </c:pt>
                <c:pt idx="163">
                  <c:v>38565</c:v>
                </c:pt>
                <c:pt idx="164">
                  <c:v>38596</c:v>
                </c:pt>
                <c:pt idx="165">
                  <c:v>38626</c:v>
                </c:pt>
                <c:pt idx="166">
                  <c:v>38657</c:v>
                </c:pt>
                <c:pt idx="167">
                  <c:v>38687</c:v>
                </c:pt>
                <c:pt idx="168">
                  <c:v>38718</c:v>
                </c:pt>
                <c:pt idx="169">
                  <c:v>38749</c:v>
                </c:pt>
                <c:pt idx="170">
                  <c:v>38777</c:v>
                </c:pt>
                <c:pt idx="171">
                  <c:v>38808</c:v>
                </c:pt>
                <c:pt idx="172">
                  <c:v>38838</c:v>
                </c:pt>
                <c:pt idx="173">
                  <c:v>38869</c:v>
                </c:pt>
                <c:pt idx="174">
                  <c:v>38899</c:v>
                </c:pt>
                <c:pt idx="175">
                  <c:v>38930</c:v>
                </c:pt>
                <c:pt idx="176">
                  <c:v>38961</c:v>
                </c:pt>
                <c:pt idx="177">
                  <c:v>38991</c:v>
                </c:pt>
                <c:pt idx="178">
                  <c:v>39022</c:v>
                </c:pt>
                <c:pt idx="179">
                  <c:v>39052</c:v>
                </c:pt>
                <c:pt idx="180">
                  <c:v>39083</c:v>
                </c:pt>
                <c:pt idx="181">
                  <c:v>39114</c:v>
                </c:pt>
                <c:pt idx="182">
                  <c:v>39142</c:v>
                </c:pt>
                <c:pt idx="183">
                  <c:v>39173</c:v>
                </c:pt>
                <c:pt idx="184">
                  <c:v>39203</c:v>
                </c:pt>
                <c:pt idx="185">
                  <c:v>39234</c:v>
                </c:pt>
                <c:pt idx="186">
                  <c:v>39264</c:v>
                </c:pt>
                <c:pt idx="187">
                  <c:v>39295</c:v>
                </c:pt>
                <c:pt idx="188">
                  <c:v>39326</c:v>
                </c:pt>
                <c:pt idx="189">
                  <c:v>39356</c:v>
                </c:pt>
                <c:pt idx="190">
                  <c:v>39387</c:v>
                </c:pt>
                <c:pt idx="191">
                  <c:v>39417</c:v>
                </c:pt>
                <c:pt idx="192">
                  <c:v>39448</c:v>
                </c:pt>
                <c:pt idx="193">
                  <c:v>39479</c:v>
                </c:pt>
                <c:pt idx="194">
                  <c:v>39508</c:v>
                </c:pt>
                <c:pt idx="195">
                  <c:v>39539</c:v>
                </c:pt>
                <c:pt idx="196">
                  <c:v>39569</c:v>
                </c:pt>
                <c:pt idx="197">
                  <c:v>39600</c:v>
                </c:pt>
                <c:pt idx="198">
                  <c:v>39630</c:v>
                </c:pt>
                <c:pt idx="199">
                  <c:v>39661</c:v>
                </c:pt>
                <c:pt idx="200">
                  <c:v>39692</c:v>
                </c:pt>
                <c:pt idx="201">
                  <c:v>39722</c:v>
                </c:pt>
                <c:pt idx="202">
                  <c:v>39753</c:v>
                </c:pt>
                <c:pt idx="203">
                  <c:v>39783</c:v>
                </c:pt>
                <c:pt idx="204">
                  <c:v>39814</c:v>
                </c:pt>
                <c:pt idx="205">
                  <c:v>39845</c:v>
                </c:pt>
                <c:pt idx="206">
                  <c:v>39873</c:v>
                </c:pt>
                <c:pt idx="207">
                  <c:v>39904</c:v>
                </c:pt>
                <c:pt idx="208">
                  <c:v>39934</c:v>
                </c:pt>
                <c:pt idx="209">
                  <c:v>39965</c:v>
                </c:pt>
                <c:pt idx="210">
                  <c:v>39995</c:v>
                </c:pt>
                <c:pt idx="211">
                  <c:v>40026</c:v>
                </c:pt>
                <c:pt idx="212">
                  <c:v>40057</c:v>
                </c:pt>
                <c:pt idx="213">
                  <c:v>40087</c:v>
                </c:pt>
                <c:pt idx="214">
                  <c:v>40118</c:v>
                </c:pt>
                <c:pt idx="215">
                  <c:v>40148</c:v>
                </c:pt>
                <c:pt idx="216">
                  <c:v>40179</c:v>
                </c:pt>
                <c:pt idx="217">
                  <c:v>40210</c:v>
                </c:pt>
                <c:pt idx="218">
                  <c:v>40238</c:v>
                </c:pt>
                <c:pt idx="219">
                  <c:v>40269</c:v>
                </c:pt>
                <c:pt idx="220">
                  <c:v>40299</c:v>
                </c:pt>
                <c:pt idx="221">
                  <c:v>40330</c:v>
                </c:pt>
                <c:pt idx="222">
                  <c:v>40360</c:v>
                </c:pt>
                <c:pt idx="223">
                  <c:v>40391</c:v>
                </c:pt>
                <c:pt idx="224">
                  <c:v>40422</c:v>
                </c:pt>
                <c:pt idx="225">
                  <c:v>40452</c:v>
                </c:pt>
                <c:pt idx="226">
                  <c:v>40483</c:v>
                </c:pt>
                <c:pt idx="227">
                  <c:v>40513</c:v>
                </c:pt>
                <c:pt idx="228">
                  <c:v>40544</c:v>
                </c:pt>
                <c:pt idx="229">
                  <c:v>40575</c:v>
                </c:pt>
                <c:pt idx="230">
                  <c:v>40603</c:v>
                </c:pt>
                <c:pt idx="231">
                  <c:v>40634</c:v>
                </c:pt>
                <c:pt idx="232">
                  <c:v>40664</c:v>
                </c:pt>
                <c:pt idx="233">
                  <c:v>40695</c:v>
                </c:pt>
                <c:pt idx="234">
                  <c:v>40725</c:v>
                </c:pt>
                <c:pt idx="235">
                  <c:v>40756</c:v>
                </c:pt>
                <c:pt idx="236">
                  <c:v>40787</c:v>
                </c:pt>
                <c:pt idx="237">
                  <c:v>40817</c:v>
                </c:pt>
                <c:pt idx="238">
                  <c:v>40848</c:v>
                </c:pt>
                <c:pt idx="239">
                  <c:v>40878</c:v>
                </c:pt>
                <c:pt idx="240">
                  <c:v>40909</c:v>
                </c:pt>
                <c:pt idx="241">
                  <c:v>40940</c:v>
                </c:pt>
                <c:pt idx="242">
                  <c:v>40969</c:v>
                </c:pt>
                <c:pt idx="243">
                  <c:v>41000</c:v>
                </c:pt>
                <c:pt idx="244">
                  <c:v>41030</c:v>
                </c:pt>
                <c:pt idx="245">
                  <c:v>41061</c:v>
                </c:pt>
                <c:pt idx="246">
                  <c:v>41091</c:v>
                </c:pt>
                <c:pt idx="247">
                  <c:v>41122</c:v>
                </c:pt>
                <c:pt idx="248">
                  <c:v>41153</c:v>
                </c:pt>
                <c:pt idx="249">
                  <c:v>41183</c:v>
                </c:pt>
                <c:pt idx="250">
                  <c:v>41214</c:v>
                </c:pt>
                <c:pt idx="251">
                  <c:v>41244</c:v>
                </c:pt>
                <c:pt idx="252">
                  <c:v>41275</c:v>
                </c:pt>
                <c:pt idx="253">
                  <c:v>41306</c:v>
                </c:pt>
                <c:pt idx="254">
                  <c:v>41334</c:v>
                </c:pt>
                <c:pt idx="255">
                  <c:v>41365</c:v>
                </c:pt>
                <c:pt idx="256">
                  <c:v>41395</c:v>
                </c:pt>
                <c:pt idx="257">
                  <c:v>41426</c:v>
                </c:pt>
                <c:pt idx="258">
                  <c:v>41456</c:v>
                </c:pt>
                <c:pt idx="259">
                  <c:v>41487</c:v>
                </c:pt>
                <c:pt idx="260">
                  <c:v>41518</c:v>
                </c:pt>
                <c:pt idx="261">
                  <c:v>41548</c:v>
                </c:pt>
                <c:pt idx="262">
                  <c:v>41579</c:v>
                </c:pt>
                <c:pt idx="263">
                  <c:v>41609</c:v>
                </c:pt>
                <c:pt idx="264">
                  <c:v>41640</c:v>
                </c:pt>
                <c:pt idx="265">
                  <c:v>41671</c:v>
                </c:pt>
                <c:pt idx="266">
                  <c:v>41699</c:v>
                </c:pt>
                <c:pt idx="267">
                  <c:v>41730</c:v>
                </c:pt>
                <c:pt idx="268">
                  <c:v>41760</c:v>
                </c:pt>
                <c:pt idx="269">
                  <c:v>41791</c:v>
                </c:pt>
                <c:pt idx="270">
                  <c:v>41821</c:v>
                </c:pt>
                <c:pt idx="271">
                  <c:v>41852</c:v>
                </c:pt>
                <c:pt idx="272">
                  <c:v>41883</c:v>
                </c:pt>
                <c:pt idx="273">
                  <c:v>41913</c:v>
                </c:pt>
                <c:pt idx="274">
                  <c:v>41944</c:v>
                </c:pt>
                <c:pt idx="275">
                  <c:v>41974</c:v>
                </c:pt>
                <c:pt idx="276">
                  <c:v>42005</c:v>
                </c:pt>
                <c:pt idx="277">
                  <c:v>42036</c:v>
                </c:pt>
                <c:pt idx="278">
                  <c:v>42064</c:v>
                </c:pt>
                <c:pt idx="279">
                  <c:v>42095</c:v>
                </c:pt>
                <c:pt idx="280">
                  <c:v>42125</c:v>
                </c:pt>
                <c:pt idx="281">
                  <c:v>42156</c:v>
                </c:pt>
                <c:pt idx="282">
                  <c:v>42186</c:v>
                </c:pt>
                <c:pt idx="283">
                  <c:v>42217</c:v>
                </c:pt>
                <c:pt idx="284">
                  <c:v>42248</c:v>
                </c:pt>
                <c:pt idx="285">
                  <c:v>42278</c:v>
                </c:pt>
                <c:pt idx="286">
                  <c:v>42309</c:v>
                </c:pt>
                <c:pt idx="287">
                  <c:v>42339</c:v>
                </c:pt>
                <c:pt idx="288">
                  <c:v>42370</c:v>
                </c:pt>
                <c:pt idx="289">
                  <c:v>42401</c:v>
                </c:pt>
                <c:pt idx="290">
                  <c:v>42430</c:v>
                </c:pt>
                <c:pt idx="291">
                  <c:v>42461</c:v>
                </c:pt>
                <c:pt idx="292">
                  <c:v>42491</c:v>
                </c:pt>
                <c:pt idx="293">
                  <c:v>42522</c:v>
                </c:pt>
                <c:pt idx="294">
                  <c:v>42552</c:v>
                </c:pt>
                <c:pt idx="295">
                  <c:v>42583</c:v>
                </c:pt>
                <c:pt idx="296">
                  <c:v>42614</c:v>
                </c:pt>
                <c:pt idx="297">
                  <c:v>42644</c:v>
                </c:pt>
                <c:pt idx="298">
                  <c:v>42675</c:v>
                </c:pt>
                <c:pt idx="299">
                  <c:v>42705</c:v>
                </c:pt>
                <c:pt idx="300">
                  <c:v>42736</c:v>
                </c:pt>
                <c:pt idx="301">
                  <c:v>42767</c:v>
                </c:pt>
                <c:pt idx="302">
                  <c:v>42795</c:v>
                </c:pt>
                <c:pt idx="303">
                  <c:v>42826</c:v>
                </c:pt>
                <c:pt idx="304">
                  <c:v>42856</c:v>
                </c:pt>
                <c:pt idx="305">
                  <c:v>42887</c:v>
                </c:pt>
                <c:pt idx="306">
                  <c:v>42917</c:v>
                </c:pt>
                <c:pt idx="307">
                  <c:v>42948</c:v>
                </c:pt>
                <c:pt idx="308">
                  <c:v>42979</c:v>
                </c:pt>
                <c:pt idx="309">
                  <c:v>43009</c:v>
                </c:pt>
                <c:pt idx="310">
                  <c:v>43040</c:v>
                </c:pt>
                <c:pt idx="311">
                  <c:v>43070</c:v>
                </c:pt>
                <c:pt idx="312">
                  <c:v>43101</c:v>
                </c:pt>
                <c:pt idx="313">
                  <c:v>43132</c:v>
                </c:pt>
                <c:pt idx="314">
                  <c:v>43160</c:v>
                </c:pt>
                <c:pt idx="315">
                  <c:v>43191</c:v>
                </c:pt>
                <c:pt idx="316">
                  <c:v>43221</c:v>
                </c:pt>
                <c:pt idx="317">
                  <c:v>43252</c:v>
                </c:pt>
                <c:pt idx="318">
                  <c:v>43282</c:v>
                </c:pt>
                <c:pt idx="319">
                  <c:v>43313</c:v>
                </c:pt>
                <c:pt idx="320">
                  <c:v>43344</c:v>
                </c:pt>
                <c:pt idx="321">
                  <c:v>43374</c:v>
                </c:pt>
                <c:pt idx="322">
                  <c:v>43405</c:v>
                </c:pt>
                <c:pt idx="323">
                  <c:v>43435</c:v>
                </c:pt>
                <c:pt idx="324">
                  <c:v>43466</c:v>
                </c:pt>
                <c:pt idx="325">
                  <c:v>43497</c:v>
                </c:pt>
                <c:pt idx="326">
                  <c:v>43525</c:v>
                </c:pt>
                <c:pt idx="327">
                  <c:v>43556</c:v>
                </c:pt>
                <c:pt idx="328">
                  <c:v>43586</c:v>
                </c:pt>
                <c:pt idx="329">
                  <c:v>43617</c:v>
                </c:pt>
                <c:pt idx="330">
                  <c:v>43647</c:v>
                </c:pt>
                <c:pt idx="331">
                  <c:v>43678</c:v>
                </c:pt>
                <c:pt idx="332">
                  <c:v>43709</c:v>
                </c:pt>
                <c:pt idx="333">
                  <c:v>43739</c:v>
                </c:pt>
                <c:pt idx="334">
                  <c:v>43770</c:v>
                </c:pt>
                <c:pt idx="335">
                  <c:v>43800</c:v>
                </c:pt>
                <c:pt idx="336">
                  <c:v>43831</c:v>
                </c:pt>
                <c:pt idx="337">
                  <c:v>43862</c:v>
                </c:pt>
                <c:pt idx="338">
                  <c:v>43891</c:v>
                </c:pt>
                <c:pt idx="339">
                  <c:v>43922</c:v>
                </c:pt>
                <c:pt idx="340">
                  <c:v>43952</c:v>
                </c:pt>
                <c:pt idx="341">
                  <c:v>43983</c:v>
                </c:pt>
                <c:pt idx="342">
                  <c:v>44013</c:v>
                </c:pt>
                <c:pt idx="343">
                  <c:v>44044</c:v>
                </c:pt>
              </c:numCache>
            </c:numRef>
          </c:cat>
          <c:val>
            <c:numRef>
              <c:f>'Sporting Goods'!$B$7:$B$350</c:f>
              <c:numCache>
                <c:formatCode>#,##0</c:formatCode>
                <c:ptCount val="344"/>
                <c:pt idx="0">
                  <c:v>3385</c:v>
                </c:pt>
                <c:pt idx="1">
                  <c:v>3516</c:v>
                </c:pt>
                <c:pt idx="2">
                  <c:v>3482</c:v>
                </c:pt>
                <c:pt idx="3">
                  <c:v>3535</c:v>
                </c:pt>
                <c:pt idx="4">
                  <c:v>3512</c:v>
                </c:pt>
                <c:pt idx="5">
                  <c:v>3549</c:v>
                </c:pt>
                <c:pt idx="6">
                  <c:v>3586</c:v>
                </c:pt>
                <c:pt idx="7">
                  <c:v>3512</c:v>
                </c:pt>
                <c:pt idx="8">
                  <c:v>3566</c:v>
                </c:pt>
                <c:pt idx="9">
                  <c:v>3607</c:v>
                </c:pt>
                <c:pt idx="10">
                  <c:v>3626</c:v>
                </c:pt>
                <c:pt idx="11">
                  <c:v>3800</c:v>
                </c:pt>
                <c:pt idx="12">
                  <c:v>3648</c:v>
                </c:pt>
                <c:pt idx="13">
                  <c:v>3585</c:v>
                </c:pt>
                <c:pt idx="14">
                  <c:v>3608</c:v>
                </c:pt>
                <c:pt idx="15">
                  <c:v>3749</c:v>
                </c:pt>
                <c:pt idx="16">
                  <c:v>3746</c:v>
                </c:pt>
                <c:pt idx="17">
                  <c:v>3702</c:v>
                </c:pt>
                <c:pt idx="18">
                  <c:v>3810</c:v>
                </c:pt>
                <c:pt idx="19">
                  <c:v>3804</c:v>
                </c:pt>
                <c:pt idx="20">
                  <c:v>3825</c:v>
                </c:pt>
                <c:pt idx="21">
                  <c:v>3817</c:v>
                </c:pt>
                <c:pt idx="22">
                  <c:v>3930</c:v>
                </c:pt>
                <c:pt idx="23">
                  <c:v>4018</c:v>
                </c:pt>
                <c:pt idx="24">
                  <c:v>3981</c:v>
                </c:pt>
                <c:pt idx="25">
                  <c:v>4095</c:v>
                </c:pt>
                <c:pt idx="26">
                  <c:v>4131</c:v>
                </c:pt>
                <c:pt idx="27">
                  <c:v>4035</c:v>
                </c:pt>
                <c:pt idx="28">
                  <c:v>4119</c:v>
                </c:pt>
                <c:pt idx="29">
                  <c:v>4135</c:v>
                </c:pt>
                <c:pt idx="30">
                  <c:v>4111</c:v>
                </c:pt>
                <c:pt idx="31">
                  <c:v>4249</c:v>
                </c:pt>
                <c:pt idx="32">
                  <c:v>4306</c:v>
                </c:pt>
                <c:pt idx="33">
                  <c:v>4347</c:v>
                </c:pt>
                <c:pt idx="34">
                  <c:v>4221</c:v>
                </c:pt>
                <c:pt idx="35">
                  <c:v>4255</c:v>
                </c:pt>
                <c:pt idx="36">
                  <c:v>4436</c:v>
                </c:pt>
                <c:pt idx="37">
                  <c:v>4298</c:v>
                </c:pt>
                <c:pt idx="38">
                  <c:v>4347</c:v>
                </c:pt>
                <c:pt idx="39">
                  <c:v>4345</c:v>
                </c:pt>
                <c:pt idx="40">
                  <c:v>4380</c:v>
                </c:pt>
                <c:pt idx="41">
                  <c:v>4421</c:v>
                </c:pt>
                <c:pt idx="42">
                  <c:v>4429</c:v>
                </c:pt>
                <c:pt idx="43">
                  <c:v>4462</c:v>
                </c:pt>
                <c:pt idx="44">
                  <c:v>4441</c:v>
                </c:pt>
                <c:pt idx="45">
                  <c:v>4414</c:v>
                </c:pt>
                <c:pt idx="46">
                  <c:v>4532</c:v>
                </c:pt>
                <c:pt idx="47">
                  <c:v>4505</c:v>
                </c:pt>
                <c:pt idx="48">
                  <c:v>4600</c:v>
                </c:pt>
                <c:pt idx="49">
                  <c:v>4485</c:v>
                </c:pt>
                <c:pt idx="50">
                  <c:v>4548</c:v>
                </c:pt>
                <c:pt idx="51">
                  <c:v>4628</c:v>
                </c:pt>
                <c:pt idx="52">
                  <c:v>4432</c:v>
                </c:pt>
                <c:pt idx="53">
                  <c:v>4609</c:v>
                </c:pt>
                <c:pt idx="54">
                  <c:v>4655</c:v>
                </c:pt>
                <c:pt idx="55">
                  <c:v>4738</c:v>
                </c:pt>
                <c:pt idx="56">
                  <c:v>4690</c:v>
                </c:pt>
                <c:pt idx="57">
                  <c:v>4769</c:v>
                </c:pt>
                <c:pt idx="58">
                  <c:v>4692</c:v>
                </c:pt>
                <c:pt idx="59">
                  <c:v>4940</c:v>
                </c:pt>
                <c:pt idx="60">
                  <c:v>4748</c:v>
                </c:pt>
                <c:pt idx="61">
                  <c:v>4666</c:v>
                </c:pt>
                <c:pt idx="62">
                  <c:v>4698</c:v>
                </c:pt>
                <c:pt idx="63">
                  <c:v>4725</c:v>
                </c:pt>
                <c:pt idx="64">
                  <c:v>4763</c:v>
                </c:pt>
                <c:pt idx="65">
                  <c:v>4838</c:v>
                </c:pt>
                <c:pt idx="66">
                  <c:v>4786</c:v>
                </c:pt>
                <c:pt idx="67">
                  <c:v>4745</c:v>
                </c:pt>
                <c:pt idx="68">
                  <c:v>4827</c:v>
                </c:pt>
                <c:pt idx="69">
                  <c:v>4878</c:v>
                </c:pt>
                <c:pt idx="70">
                  <c:v>5015</c:v>
                </c:pt>
                <c:pt idx="71">
                  <c:v>4915</c:v>
                </c:pt>
                <c:pt idx="72">
                  <c:v>4834</c:v>
                </c:pt>
                <c:pt idx="73">
                  <c:v>5027</c:v>
                </c:pt>
                <c:pt idx="74">
                  <c:v>5008</c:v>
                </c:pt>
                <c:pt idx="75">
                  <c:v>5036</c:v>
                </c:pt>
                <c:pt idx="76">
                  <c:v>4986</c:v>
                </c:pt>
                <c:pt idx="77">
                  <c:v>5083</c:v>
                </c:pt>
                <c:pt idx="78">
                  <c:v>5032</c:v>
                </c:pt>
                <c:pt idx="79">
                  <c:v>5057</c:v>
                </c:pt>
                <c:pt idx="80">
                  <c:v>5047</c:v>
                </c:pt>
                <c:pt idx="81">
                  <c:v>5108</c:v>
                </c:pt>
                <c:pt idx="82">
                  <c:v>5093</c:v>
                </c:pt>
                <c:pt idx="83">
                  <c:v>5154</c:v>
                </c:pt>
                <c:pt idx="84">
                  <c:v>5122</c:v>
                </c:pt>
                <c:pt idx="85">
                  <c:v>5292</c:v>
                </c:pt>
                <c:pt idx="86">
                  <c:v>5273</c:v>
                </c:pt>
                <c:pt idx="87">
                  <c:v>5277</c:v>
                </c:pt>
                <c:pt idx="88">
                  <c:v>5328</c:v>
                </c:pt>
                <c:pt idx="89">
                  <c:v>5367</c:v>
                </c:pt>
                <c:pt idx="90">
                  <c:v>5326</c:v>
                </c:pt>
                <c:pt idx="91">
                  <c:v>5290</c:v>
                </c:pt>
                <c:pt idx="92">
                  <c:v>5385</c:v>
                </c:pt>
                <c:pt idx="93">
                  <c:v>5373</c:v>
                </c:pt>
                <c:pt idx="94">
                  <c:v>5414</c:v>
                </c:pt>
                <c:pt idx="95">
                  <c:v>5455</c:v>
                </c:pt>
                <c:pt idx="96">
                  <c:v>5232</c:v>
                </c:pt>
                <c:pt idx="97">
                  <c:v>5541</c:v>
                </c:pt>
                <c:pt idx="98">
                  <c:v>5635</c:v>
                </c:pt>
                <c:pt idx="99">
                  <c:v>5649</c:v>
                </c:pt>
                <c:pt idx="100">
                  <c:v>5757</c:v>
                </c:pt>
                <c:pt idx="101">
                  <c:v>5686</c:v>
                </c:pt>
                <c:pt idx="102">
                  <c:v>5800</c:v>
                </c:pt>
                <c:pt idx="103">
                  <c:v>5633</c:v>
                </c:pt>
                <c:pt idx="104">
                  <c:v>5728</c:v>
                </c:pt>
                <c:pt idx="105">
                  <c:v>5626</c:v>
                </c:pt>
                <c:pt idx="106">
                  <c:v>5615</c:v>
                </c:pt>
                <c:pt idx="107">
                  <c:v>5601</c:v>
                </c:pt>
                <c:pt idx="108">
                  <c:v>5386</c:v>
                </c:pt>
                <c:pt idx="109">
                  <c:v>5715</c:v>
                </c:pt>
                <c:pt idx="110">
                  <c:v>5723</c:v>
                </c:pt>
                <c:pt idx="111">
                  <c:v>5658</c:v>
                </c:pt>
                <c:pt idx="112">
                  <c:v>5679</c:v>
                </c:pt>
                <c:pt idx="113">
                  <c:v>5621</c:v>
                </c:pt>
                <c:pt idx="114">
                  <c:v>5703</c:v>
                </c:pt>
                <c:pt idx="115">
                  <c:v>5775</c:v>
                </c:pt>
                <c:pt idx="116">
                  <c:v>5672</c:v>
                </c:pt>
                <c:pt idx="117">
                  <c:v>5798</c:v>
                </c:pt>
                <c:pt idx="118">
                  <c:v>6066</c:v>
                </c:pt>
                <c:pt idx="119">
                  <c:v>5797</c:v>
                </c:pt>
                <c:pt idx="120">
                  <c:v>5775</c:v>
                </c:pt>
                <c:pt idx="121">
                  <c:v>5711</c:v>
                </c:pt>
                <c:pt idx="122">
                  <c:v>5717</c:v>
                </c:pt>
                <c:pt idx="123">
                  <c:v>5799</c:v>
                </c:pt>
                <c:pt idx="124">
                  <c:v>5731</c:v>
                </c:pt>
                <c:pt idx="125">
                  <c:v>5670</c:v>
                </c:pt>
                <c:pt idx="126">
                  <c:v>5666</c:v>
                </c:pt>
                <c:pt idx="127">
                  <c:v>5689</c:v>
                </c:pt>
                <c:pt idx="128">
                  <c:v>5852</c:v>
                </c:pt>
                <c:pt idx="129">
                  <c:v>5839</c:v>
                </c:pt>
                <c:pt idx="130">
                  <c:v>5985</c:v>
                </c:pt>
                <c:pt idx="131">
                  <c:v>5809</c:v>
                </c:pt>
                <c:pt idx="132">
                  <c:v>5794</c:v>
                </c:pt>
                <c:pt idx="133">
                  <c:v>5576</c:v>
                </c:pt>
                <c:pt idx="134">
                  <c:v>5660</c:v>
                </c:pt>
                <c:pt idx="135">
                  <c:v>5709</c:v>
                </c:pt>
                <c:pt idx="136">
                  <c:v>5748</c:v>
                </c:pt>
                <c:pt idx="137">
                  <c:v>5908</c:v>
                </c:pt>
                <c:pt idx="138">
                  <c:v>5808</c:v>
                </c:pt>
                <c:pt idx="139">
                  <c:v>6132</c:v>
                </c:pt>
                <c:pt idx="140">
                  <c:v>5954</c:v>
                </c:pt>
                <c:pt idx="141">
                  <c:v>5841</c:v>
                </c:pt>
                <c:pt idx="142">
                  <c:v>6011</c:v>
                </c:pt>
                <c:pt idx="143">
                  <c:v>6013</c:v>
                </c:pt>
                <c:pt idx="144">
                  <c:v>6087</c:v>
                </c:pt>
                <c:pt idx="145">
                  <c:v>6093</c:v>
                </c:pt>
                <c:pt idx="146">
                  <c:v>6067</c:v>
                </c:pt>
                <c:pt idx="147">
                  <c:v>5941</c:v>
                </c:pt>
                <c:pt idx="148">
                  <c:v>5985</c:v>
                </c:pt>
                <c:pt idx="149">
                  <c:v>6017</c:v>
                </c:pt>
                <c:pt idx="150">
                  <c:v>6124</c:v>
                </c:pt>
                <c:pt idx="151">
                  <c:v>6192</c:v>
                </c:pt>
                <c:pt idx="152">
                  <c:v>6111</c:v>
                </c:pt>
                <c:pt idx="153">
                  <c:v>6094</c:v>
                </c:pt>
                <c:pt idx="154">
                  <c:v>6140</c:v>
                </c:pt>
                <c:pt idx="155">
                  <c:v>6122</c:v>
                </c:pt>
                <c:pt idx="156">
                  <c:v>6192</c:v>
                </c:pt>
                <c:pt idx="157">
                  <c:v>6269</c:v>
                </c:pt>
                <c:pt idx="158">
                  <c:v>6137</c:v>
                </c:pt>
                <c:pt idx="159">
                  <c:v>6318</c:v>
                </c:pt>
                <c:pt idx="160">
                  <c:v>6232</c:v>
                </c:pt>
                <c:pt idx="161">
                  <c:v>6135</c:v>
                </c:pt>
                <c:pt idx="162">
                  <c:v>6239</c:v>
                </c:pt>
                <c:pt idx="163">
                  <c:v>6274</c:v>
                </c:pt>
                <c:pt idx="164">
                  <c:v>6155</c:v>
                </c:pt>
                <c:pt idx="165">
                  <c:v>6377</c:v>
                </c:pt>
                <c:pt idx="166">
                  <c:v>6287</c:v>
                </c:pt>
                <c:pt idx="167">
                  <c:v>6462</c:v>
                </c:pt>
                <c:pt idx="168">
                  <c:v>6735</c:v>
                </c:pt>
                <c:pt idx="169">
                  <c:v>6629</c:v>
                </c:pt>
                <c:pt idx="170">
                  <c:v>6610</c:v>
                </c:pt>
                <c:pt idx="171">
                  <c:v>6580</c:v>
                </c:pt>
                <c:pt idx="172">
                  <c:v>6503</c:v>
                </c:pt>
                <c:pt idx="173">
                  <c:v>6524</c:v>
                </c:pt>
                <c:pt idx="174">
                  <c:v>6461</c:v>
                </c:pt>
                <c:pt idx="175">
                  <c:v>6412</c:v>
                </c:pt>
                <c:pt idx="176">
                  <c:v>6690</c:v>
                </c:pt>
                <c:pt idx="177">
                  <c:v>6589</c:v>
                </c:pt>
                <c:pt idx="178">
                  <c:v>6461</c:v>
                </c:pt>
                <c:pt idx="179">
                  <c:v>6566</c:v>
                </c:pt>
                <c:pt idx="180">
                  <c:v>6489</c:v>
                </c:pt>
                <c:pt idx="181">
                  <c:v>6494</c:v>
                </c:pt>
                <c:pt idx="182">
                  <c:v>6779</c:v>
                </c:pt>
                <c:pt idx="183">
                  <c:v>6640</c:v>
                </c:pt>
                <c:pt idx="184">
                  <c:v>6805</c:v>
                </c:pt>
                <c:pt idx="185">
                  <c:v>6850</c:v>
                </c:pt>
                <c:pt idx="186">
                  <c:v>6936</c:v>
                </c:pt>
                <c:pt idx="187">
                  <c:v>6780</c:v>
                </c:pt>
                <c:pt idx="188">
                  <c:v>6749</c:v>
                </c:pt>
                <c:pt idx="189">
                  <c:v>6834</c:v>
                </c:pt>
                <c:pt idx="190">
                  <c:v>6940</c:v>
                </c:pt>
                <c:pt idx="191">
                  <c:v>6756</c:v>
                </c:pt>
                <c:pt idx="192">
                  <c:v>6818</c:v>
                </c:pt>
                <c:pt idx="193">
                  <c:v>6751</c:v>
                </c:pt>
                <c:pt idx="194">
                  <c:v>6733</c:v>
                </c:pt>
                <c:pt idx="195">
                  <c:v>6809</c:v>
                </c:pt>
                <c:pt idx="196">
                  <c:v>6949</c:v>
                </c:pt>
                <c:pt idx="197">
                  <c:v>6879</c:v>
                </c:pt>
                <c:pt idx="198">
                  <c:v>6858</c:v>
                </c:pt>
                <c:pt idx="199">
                  <c:v>6931</c:v>
                </c:pt>
                <c:pt idx="200">
                  <c:v>6536</c:v>
                </c:pt>
                <c:pt idx="201">
                  <c:v>6426</c:v>
                </c:pt>
                <c:pt idx="202">
                  <c:v>6431</c:v>
                </c:pt>
                <c:pt idx="203">
                  <c:v>6470</c:v>
                </c:pt>
                <c:pt idx="204">
                  <c:v>6661</c:v>
                </c:pt>
                <c:pt idx="205">
                  <c:v>6535</c:v>
                </c:pt>
                <c:pt idx="206">
                  <c:v>6360</c:v>
                </c:pt>
                <c:pt idx="207">
                  <c:v>6514</c:v>
                </c:pt>
                <c:pt idx="208">
                  <c:v>6453</c:v>
                </c:pt>
                <c:pt idx="209">
                  <c:v>6473</c:v>
                </c:pt>
                <c:pt idx="210">
                  <c:v>6455</c:v>
                </c:pt>
                <c:pt idx="211">
                  <c:v>6628</c:v>
                </c:pt>
                <c:pt idx="212">
                  <c:v>6484</c:v>
                </c:pt>
                <c:pt idx="213">
                  <c:v>6408</c:v>
                </c:pt>
                <c:pt idx="214">
                  <c:v>6307</c:v>
                </c:pt>
                <c:pt idx="215">
                  <c:v>6523</c:v>
                </c:pt>
                <c:pt idx="216">
                  <c:v>6501</c:v>
                </c:pt>
                <c:pt idx="217">
                  <c:v>6412</c:v>
                </c:pt>
                <c:pt idx="218">
                  <c:v>6522</c:v>
                </c:pt>
                <c:pt idx="219">
                  <c:v>6416</c:v>
                </c:pt>
                <c:pt idx="220">
                  <c:v>6496</c:v>
                </c:pt>
                <c:pt idx="221">
                  <c:v>6497</c:v>
                </c:pt>
                <c:pt idx="222">
                  <c:v>6488</c:v>
                </c:pt>
                <c:pt idx="223">
                  <c:v>6446</c:v>
                </c:pt>
                <c:pt idx="224">
                  <c:v>6462</c:v>
                </c:pt>
                <c:pt idx="225">
                  <c:v>6571</c:v>
                </c:pt>
                <c:pt idx="226">
                  <c:v>6775</c:v>
                </c:pt>
                <c:pt idx="227">
                  <c:v>6584</c:v>
                </c:pt>
                <c:pt idx="228">
                  <c:v>6565</c:v>
                </c:pt>
                <c:pt idx="229">
                  <c:v>6611</c:v>
                </c:pt>
                <c:pt idx="230">
                  <c:v>6559</c:v>
                </c:pt>
                <c:pt idx="231">
                  <c:v>6615</c:v>
                </c:pt>
                <c:pt idx="232">
                  <c:v>6542</c:v>
                </c:pt>
                <c:pt idx="233">
                  <c:v>6578</c:v>
                </c:pt>
                <c:pt idx="234">
                  <c:v>6421</c:v>
                </c:pt>
                <c:pt idx="235">
                  <c:v>6661</c:v>
                </c:pt>
                <c:pt idx="236">
                  <c:v>6693</c:v>
                </c:pt>
                <c:pt idx="237">
                  <c:v>6589</c:v>
                </c:pt>
                <c:pt idx="238">
                  <c:v>6594</c:v>
                </c:pt>
                <c:pt idx="239">
                  <c:v>6353</c:v>
                </c:pt>
                <c:pt idx="240">
                  <c:v>6575</c:v>
                </c:pt>
                <c:pt idx="241">
                  <c:v>6667</c:v>
                </c:pt>
                <c:pt idx="242">
                  <c:v>6815</c:v>
                </c:pt>
                <c:pt idx="243">
                  <c:v>6843</c:v>
                </c:pt>
                <c:pt idx="244">
                  <c:v>6862</c:v>
                </c:pt>
                <c:pt idx="245">
                  <c:v>6804</c:v>
                </c:pt>
                <c:pt idx="246">
                  <c:v>6775</c:v>
                </c:pt>
                <c:pt idx="247">
                  <c:v>6750</c:v>
                </c:pt>
                <c:pt idx="248">
                  <c:v>6706</c:v>
                </c:pt>
                <c:pt idx="249">
                  <c:v>6749</c:v>
                </c:pt>
                <c:pt idx="250">
                  <c:v>6700</c:v>
                </c:pt>
                <c:pt idx="251">
                  <c:v>6820</c:v>
                </c:pt>
                <c:pt idx="252">
                  <c:v>7010</c:v>
                </c:pt>
                <c:pt idx="253">
                  <c:v>7009</c:v>
                </c:pt>
                <c:pt idx="254">
                  <c:v>6891</c:v>
                </c:pt>
                <c:pt idx="255">
                  <c:v>6795</c:v>
                </c:pt>
                <c:pt idx="256">
                  <c:v>6857</c:v>
                </c:pt>
                <c:pt idx="257">
                  <c:v>6893</c:v>
                </c:pt>
                <c:pt idx="258">
                  <c:v>6938</c:v>
                </c:pt>
                <c:pt idx="259">
                  <c:v>6764</c:v>
                </c:pt>
                <c:pt idx="260">
                  <c:v>6876</c:v>
                </c:pt>
                <c:pt idx="261">
                  <c:v>6863</c:v>
                </c:pt>
                <c:pt idx="262">
                  <c:v>6903</c:v>
                </c:pt>
                <c:pt idx="263">
                  <c:v>6870</c:v>
                </c:pt>
                <c:pt idx="264">
                  <c:v>6485</c:v>
                </c:pt>
                <c:pt idx="265">
                  <c:v>6798</c:v>
                </c:pt>
                <c:pt idx="266">
                  <c:v>6794</c:v>
                </c:pt>
                <c:pt idx="267">
                  <c:v>6903</c:v>
                </c:pt>
                <c:pt idx="268">
                  <c:v>6877</c:v>
                </c:pt>
                <c:pt idx="269">
                  <c:v>6952</c:v>
                </c:pt>
                <c:pt idx="270">
                  <c:v>6928</c:v>
                </c:pt>
                <c:pt idx="271">
                  <c:v>7166</c:v>
                </c:pt>
                <c:pt idx="272">
                  <c:v>7061</c:v>
                </c:pt>
                <c:pt idx="273">
                  <c:v>7157</c:v>
                </c:pt>
                <c:pt idx="274">
                  <c:v>7137</c:v>
                </c:pt>
                <c:pt idx="275">
                  <c:v>7074</c:v>
                </c:pt>
                <c:pt idx="276">
                  <c:v>6951</c:v>
                </c:pt>
                <c:pt idx="277">
                  <c:v>6985</c:v>
                </c:pt>
                <c:pt idx="278">
                  <c:v>7076</c:v>
                </c:pt>
                <c:pt idx="279">
                  <c:v>7082</c:v>
                </c:pt>
                <c:pt idx="280">
                  <c:v>7123</c:v>
                </c:pt>
                <c:pt idx="281">
                  <c:v>7094</c:v>
                </c:pt>
                <c:pt idx="282">
                  <c:v>7140</c:v>
                </c:pt>
                <c:pt idx="283">
                  <c:v>7170</c:v>
                </c:pt>
                <c:pt idx="284">
                  <c:v>7197</c:v>
                </c:pt>
                <c:pt idx="285">
                  <c:v>7106</c:v>
                </c:pt>
                <c:pt idx="286">
                  <c:v>7213</c:v>
                </c:pt>
                <c:pt idx="287">
                  <c:v>7353</c:v>
                </c:pt>
                <c:pt idx="288">
                  <c:v>7303</c:v>
                </c:pt>
                <c:pt idx="289">
                  <c:v>7296</c:v>
                </c:pt>
                <c:pt idx="290">
                  <c:v>7280</c:v>
                </c:pt>
                <c:pt idx="291">
                  <c:v>7213</c:v>
                </c:pt>
                <c:pt idx="292">
                  <c:v>7261</c:v>
                </c:pt>
                <c:pt idx="293">
                  <c:v>7562</c:v>
                </c:pt>
                <c:pt idx="294">
                  <c:v>7216</c:v>
                </c:pt>
                <c:pt idx="295">
                  <c:v>7039</c:v>
                </c:pt>
                <c:pt idx="296">
                  <c:v>7058</c:v>
                </c:pt>
                <c:pt idx="297">
                  <c:v>7084</c:v>
                </c:pt>
                <c:pt idx="298">
                  <c:v>6961</c:v>
                </c:pt>
                <c:pt idx="299">
                  <c:v>7075</c:v>
                </c:pt>
                <c:pt idx="300">
                  <c:v>7227</c:v>
                </c:pt>
                <c:pt idx="301">
                  <c:v>7051</c:v>
                </c:pt>
                <c:pt idx="302">
                  <c:v>6964</c:v>
                </c:pt>
                <c:pt idx="303">
                  <c:v>7028</c:v>
                </c:pt>
                <c:pt idx="304">
                  <c:v>6948</c:v>
                </c:pt>
                <c:pt idx="305">
                  <c:v>6945</c:v>
                </c:pt>
                <c:pt idx="306">
                  <c:v>6841</c:v>
                </c:pt>
                <c:pt idx="307">
                  <c:v>6913</c:v>
                </c:pt>
                <c:pt idx="308">
                  <c:v>7002</c:v>
                </c:pt>
                <c:pt idx="309">
                  <c:v>7031</c:v>
                </c:pt>
                <c:pt idx="310">
                  <c:v>7144</c:v>
                </c:pt>
                <c:pt idx="311">
                  <c:v>7059</c:v>
                </c:pt>
                <c:pt idx="312">
                  <c:v>6879</c:v>
                </c:pt>
                <c:pt idx="313">
                  <c:v>7163</c:v>
                </c:pt>
                <c:pt idx="314">
                  <c:v>7237</c:v>
                </c:pt>
                <c:pt idx="315">
                  <c:v>7127</c:v>
                </c:pt>
                <c:pt idx="316">
                  <c:v>7138</c:v>
                </c:pt>
                <c:pt idx="317">
                  <c:v>6919</c:v>
                </c:pt>
                <c:pt idx="318">
                  <c:v>6673</c:v>
                </c:pt>
                <c:pt idx="319">
                  <c:v>6608</c:v>
                </c:pt>
                <c:pt idx="320">
                  <c:v>6503</c:v>
                </c:pt>
                <c:pt idx="321">
                  <c:v>6501</c:v>
                </c:pt>
                <c:pt idx="322">
                  <c:v>6579</c:v>
                </c:pt>
                <c:pt idx="323">
                  <c:v>6398</c:v>
                </c:pt>
                <c:pt idx="324">
                  <c:v>6541</c:v>
                </c:pt>
                <c:pt idx="325">
                  <c:v>6594</c:v>
                </c:pt>
                <c:pt idx="326">
                  <c:v>6632</c:v>
                </c:pt>
                <c:pt idx="327">
                  <c:v>6775</c:v>
                </c:pt>
                <c:pt idx="328">
                  <c:v>6815</c:v>
                </c:pt>
                <c:pt idx="329">
                  <c:v>6892</c:v>
                </c:pt>
                <c:pt idx="330">
                  <c:v>6785</c:v>
                </c:pt>
                <c:pt idx="331">
                  <c:v>6775</c:v>
                </c:pt>
                <c:pt idx="332">
                  <c:v>6823</c:v>
                </c:pt>
                <c:pt idx="333">
                  <c:v>6846</c:v>
                </c:pt>
                <c:pt idx="334">
                  <c:v>6633</c:v>
                </c:pt>
                <c:pt idx="335">
                  <c:v>6702</c:v>
                </c:pt>
                <c:pt idx="336">
                  <c:v>6759</c:v>
                </c:pt>
                <c:pt idx="337">
                  <c:v>6769</c:v>
                </c:pt>
                <c:pt idx="338">
                  <c:v>5642</c:v>
                </c:pt>
                <c:pt idx="339">
                  <c:v>3771</c:v>
                </c:pt>
                <c:pt idx="340">
                  <c:v>6680</c:v>
                </c:pt>
                <c:pt idx="341">
                  <c:v>8552</c:v>
                </c:pt>
                <c:pt idx="342">
                  <c:v>8108</c:v>
                </c:pt>
                <c:pt idx="343">
                  <c:v>7526</c:v>
                </c:pt>
              </c:numCache>
            </c:numRef>
          </c:val>
          <c:smooth val="0"/>
          <c:extLst>
            <c:ext xmlns:c16="http://schemas.microsoft.com/office/drawing/2014/chart" uri="{C3380CC4-5D6E-409C-BE32-E72D297353CC}">
              <c16:uniqueId val="{00000000-652D-4B56-B567-99050374991F}"/>
            </c:ext>
          </c:extLst>
        </c:ser>
        <c:dLbls>
          <c:showLegendKey val="0"/>
          <c:showVal val="0"/>
          <c:showCatName val="0"/>
          <c:showSerName val="0"/>
          <c:showPercent val="0"/>
          <c:showBubbleSize val="0"/>
        </c:dLbls>
        <c:smooth val="0"/>
        <c:axId val="919503544"/>
        <c:axId val="919502560"/>
      </c:lineChart>
      <c:dateAx>
        <c:axId val="919503544"/>
        <c:scaling>
          <c:orientation val="minMax"/>
        </c:scaling>
        <c:delete val="0"/>
        <c:axPos val="b"/>
        <c:numFmt formatCode="[$-409]mmm\-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19502560"/>
        <c:crosses val="autoZero"/>
        <c:auto val="1"/>
        <c:lblOffset val="100"/>
        <c:baseTimeUnit val="months"/>
      </c:dateAx>
      <c:valAx>
        <c:axId val="919502560"/>
        <c:scaling>
          <c:orientation val="minMax"/>
          <c:min val="3000"/>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1950354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'Sporting Goods'!$D$6</c:f>
              <c:strCache>
                <c:ptCount val="1"/>
                <c:pt idx="0">
                  <c:v>yoy</c:v>
                </c:pt>
              </c:strCache>
            </c:strRef>
          </c:tx>
          <c:spPr>
            <a:ln w="28575" cap="rnd">
              <a:solidFill>
                <a:schemeClr val="tx1"/>
              </a:solidFill>
              <a:round/>
            </a:ln>
            <a:effectLst/>
          </c:spPr>
          <c:marker>
            <c:symbol val="none"/>
          </c:marker>
          <c:cat>
            <c:numRef>
              <c:f>'Sporting Goods'!$A$7:$A$350</c:f>
              <c:numCache>
                <c:formatCode>[$-409]mmm\-yy;@</c:formatCode>
                <c:ptCount val="344"/>
                <c:pt idx="0">
                  <c:v>33604</c:v>
                </c:pt>
                <c:pt idx="1">
                  <c:v>33635</c:v>
                </c:pt>
                <c:pt idx="2">
                  <c:v>33664</c:v>
                </c:pt>
                <c:pt idx="3">
                  <c:v>33695</c:v>
                </c:pt>
                <c:pt idx="4">
                  <c:v>33725</c:v>
                </c:pt>
                <c:pt idx="5">
                  <c:v>33756</c:v>
                </c:pt>
                <c:pt idx="6">
                  <c:v>33786</c:v>
                </c:pt>
                <c:pt idx="7">
                  <c:v>33817</c:v>
                </c:pt>
                <c:pt idx="8">
                  <c:v>33848</c:v>
                </c:pt>
                <c:pt idx="9">
                  <c:v>33878</c:v>
                </c:pt>
                <c:pt idx="10">
                  <c:v>33909</c:v>
                </c:pt>
                <c:pt idx="11">
                  <c:v>33939</c:v>
                </c:pt>
                <c:pt idx="12">
                  <c:v>33970</c:v>
                </c:pt>
                <c:pt idx="13">
                  <c:v>34001</c:v>
                </c:pt>
                <c:pt idx="14">
                  <c:v>34029</c:v>
                </c:pt>
                <c:pt idx="15">
                  <c:v>34060</c:v>
                </c:pt>
                <c:pt idx="16">
                  <c:v>34090</c:v>
                </c:pt>
                <c:pt idx="17">
                  <c:v>34121</c:v>
                </c:pt>
                <c:pt idx="18">
                  <c:v>34151</c:v>
                </c:pt>
                <c:pt idx="19">
                  <c:v>34182</c:v>
                </c:pt>
                <c:pt idx="20">
                  <c:v>34213</c:v>
                </c:pt>
                <c:pt idx="21">
                  <c:v>34243</c:v>
                </c:pt>
                <c:pt idx="22">
                  <c:v>34274</c:v>
                </c:pt>
                <c:pt idx="23">
                  <c:v>34304</c:v>
                </c:pt>
                <c:pt idx="24">
                  <c:v>34335</c:v>
                </c:pt>
                <c:pt idx="25">
                  <c:v>34366</c:v>
                </c:pt>
                <c:pt idx="26">
                  <c:v>34394</c:v>
                </c:pt>
                <c:pt idx="27">
                  <c:v>34425</c:v>
                </c:pt>
                <c:pt idx="28">
                  <c:v>34455</c:v>
                </c:pt>
                <c:pt idx="29">
                  <c:v>34486</c:v>
                </c:pt>
                <c:pt idx="30">
                  <c:v>34516</c:v>
                </c:pt>
                <c:pt idx="31">
                  <c:v>34547</c:v>
                </c:pt>
                <c:pt idx="32">
                  <c:v>34578</c:v>
                </c:pt>
                <c:pt idx="33">
                  <c:v>34608</c:v>
                </c:pt>
                <c:pt idx="34">
                  <c:v>34639</c:v>
                </c:pt>
                <c:pt idx="35">
                  <c:v>34669</c:v>
                </c:pt>
                <c:pt idx="36">
                  <c:v>34700</c:v>
                </c:pt>
                <c:pt idx="37">
                  <c:v>34731</c:v>
                </c:pt>
                <c:pt idx="38">
                  <c:v>34759</c:v>
                </c:pt>
                <c:pt idx="39">
                  <c:v>34790</c:v>
                </c:pt>
                <c:pt idx="40">
                  <c:v>34820</c:v>
                </c:pt>
                <c:pt idx="41">
                  <c:v>34851</c:v>
                </c:pt>
                <c:pt idx="42">
                  <c:v>34881</c:v>
                </c:pt>
                <c:pt idx="43">
                  <c:v>34912</c:v>
                </c:pt>
                <c:pt idx="44">
                  <c:v>34943</c:v>
                </c:pt>
                <c:pt idx="45">
                  <c:v>34973</c:v>
                </c:pt>
                <c:pt idx="46">
                  <c:v>35004</c:v>
                </c:pt>
                <c:pt idx="47">
                  <c:v>35034</c:v>
                </c:pt>
                <c:pt idx="48">
                  <c:v>35065</c:v>
                </c:pt>
                <c:pt idx="49">
                  <c:v>35096</c:v>
                </c:pt>
                <c:pt idx="50">
                  <c:v>35125</c:v>
                </c:pt>
                <c:pt idx="51">
                  <c:v>35156</c:v>
                </c:pt>
                <c:pt idx="52">
                  <c:v>35186</c:v>
                </c:pt>
                <c:pt idx="53">
                  <c:v>35217</c:v>
                </c:pt>
                <c:pt idx="54">
                  <c:v>35247</c:v>
                </c:pt>
                <c:pt idx="55">
                  <c:v>35278</c:v>
                </c:pt>
                <c:pt idx="56">
                  <c:v>35309</c:v>
                </c:pt>
                <c:pt idx="57">
                  <c:v>35339</c:v>
                </c:pt>
                <c:pt idx="58">
                  <c:v>35370</c:v>
                </c:pt>
                <c:pt idx="59">
                  <c:v>35400</c:v>
                </c:pt>
                <c:pt idx="60">
                  <c:v>35431</c:v>
                </c:pt>
                <c:pt idx="61">
                  <c:v>35462</c:v>
                </c:pt>
                <c:pt idx="62">
                  <c:v>35490</c:v>
                </c:pt>
                <c:pt idx="63">
                  <c:v>35521</c:v>
                </c:pt>
                <c:pt idx="64">
                  <c:v>35551</c:v>
                </c:pt>
                <c:pt idx="65">
                  <c:v>35582</c:v>
                </c:pt>
                <c:pt idx="66">
                  <c:v>35612</c:v>
                </c:pt>
                <c:pt idx="67">
                  <c:v>35643</c:v>
                </c:pt>
                <c:pt idx="68">
                  <c:v>35674</c:v>
                </c:pt>
                <c:pt idx="69">
                  <c:v>35704</c:v>
                </c:pt>
                <c:pt idx="70">
                  <c:v>35735</c:v>
                </c:pt>
                <c:pt idx="71">
                  <c:v>35765</c:v>
                </c:pt>
                <c:pt idx="72">
                  <c:v>35796</c:v>
                </c:pt>
                <c:pt idx="73">
                  <c:v>35827</c:v>
                </c:pt>
                <c:pt idx="74">
                  <c:v>35855</c:v>
                </c:pt>
                <c:pt idx="75">
                  <c:v>35886</c:v>
                </c:pt>
                <c:pt idx="76">
                  <c:v>35916</c:v>
                </c:pt>
                <c:pt idx="77">
                  <c:v>35947</c:v>
                </c:pt>
                <c:pt idx="78">
                  <c:v>35977</c:v>
                </c:pt>
                <c:pt idx="79">
                  <c:v>36008</c:v>
                </c:pt>
                <c:pt idx="80">
                  <c:v>36039</c:v>
                </c:pt>
                <c:pt idx="81">
                  <c:v>36069</c:v>
                </c:pt>
                <c:pt idx="82">
                  <c:v>36100</c:v>
                </c:pt>
                <c:pt idx="83">
                  <c:v>36130</c:v>
                </c:pt>
                <c:pt idx="84">
                  <c:v>36161</c:v>
                </c:pt>
                <c:pt idx="85">
                  <c:v>36192</c:v>
                </c:pt>
                <c:pt idx="86">
                  <c:v>36220</c:v>
                </c:pt>
                <c:pt idx="87">
                  <c:v>36251</c:v>
                </c:pt>
                <c:pt idx="88">
                  <c:v>36281</c:v>
                </c:pt>
                <c:pt idx="89">
                  <c:v>36312</c:v>
                </c:pt>
                <c:pt idx="90">
                  <c:v>36342</c:v>
                </c:pt>
                <c:pt idx="91">
                  <c:v>36373</c:v>
                </c:pt>
                <c:pt idx="92">
                  <c:v>36404</c:v>
                </c:pt>
                <c:pt idx="93">
                  <c:v>36434</c:v>
                </c:pt>
                <c:pt idx="94">
                  <c:v>36465</c:v>
                </c:pt>
                <c:pt idx="95">
                  <c:v>36495</c:v>
                </c:pt>
                <c:pt idx="96">
                  <c:v>36526</c:v>
                </c:pt>
                <c:pt idx="97">
                  <c:v>36557</c:v>
                </c:pt>
                <c:pt idx="98">
                  <c:v>36586</c:v>
                </c:pt>
                <c:pt idx="99">
                  <c:v>36617</c:v>
                </c:pt>
                <c:pt idx="100">
                  <c:v>36647</c:v>
                </c:pt>
                <c:pt idx="101">
                  <c:v>36678</c:v>
                </c:pt>
                <c:pt idx="102">
                  <c:v>36708</c:v>
                </c:pt>
                <c:pt idx="103">
                  <c:v>36739</c:v>
                </c:pt>
                <c:pt idx="104">
                  <c:v>36770</c:v>
                </c:pt>
                <c:pt idx="105">
                  <c:v>36800</c:v>
                </c:pt>
                <c:pt idx="106">
                  <c:v>36831</c:v>
                </c:pt>
                <c:pt idx="107">
                  <c:v>36861</c:v>
                </c:pt>
                <c:pt idx="108">
                  <c:v>36892</c:v>
                </c:pt>
                <c:pt idx="109">
                  <c:v>36923</c:v>
                </c:pt>
                <c:pt idx="110">
                  <c:v>36951</c:v>
                </c:pt>
                <c:pt idx="111">
                  <c:v>36982</c:v>
                </c:pt>
                <c:pt idx="112">
                  <c:v>37012</c:v>
                </c:pt>
                <c:pt idx="113">
                  <c:v>37043</c:v>
                </c:pt>
                <c:pt idx="114">
                  <c:v>37073</c:v>
                </c:pt>
                <c:pt idx="115">
                  <c:v>37104</c:v>
                </c:pt>
                <c:pt idx="116">
                  <c:v>37135</c:v>
                </c:pt>
                <c:pt idx="117">
                  <c:v>37165</c:v>
                </c:pt>
                <c:pt idx="118">
                  <c:v>37196</c:v>
                </c:pt>
                <c:pt idx="119">
                  <c:v>37226</c:v>
                </c:pt>
                <c:pt idx="120">
                  <c:v>37257</c:v>
                </c:pt>
                <c:pt idx="121">
                  <c:v>37288</c:v>
                </c:pt>
                <c:pt idx="122">
                  <c:v>37316</c:v>
                </c:pt>
                <c:pt idx="123">
                  <c:v>37347</c:v>
                </c:pt>
                <c:pt idx="124">
                  <c:v>37377</c:v>
                </c:pt>
                <c:pt idx="125">
                  <c:v>37408</c:v>
                </c:pt>
                <c:pt idx="126">
                  <c:v>37438</c:v>
                </c:pt>
                <c:pt idx="127">
                  <c:v>37469</c:v>
                </c:pt>
                <c:pt idx="128">
                  <c:v>37500</c:v>
                </c:pt>
                <c:pt idx="129">
                  <c:v>37530</c:v>
                </c:pt>
                <c:pt idx="130">
                  <c:v>37561</c:v>
                </c:pt>
                <c:pt idx="131">
                  <c:v>37591</c:v>
                </c:pt>
                <c:pt idx="132">
                  <c:v>37622</c:v>
                </c:pt>
                <c:pt idx="133">
                  <c:v>37653</c:v>
                </c:pt>
                <c:pt idx="134">
                  <c:v>37681</c:v>
                </c:pt>
                <c:pt idx="135">
                  <c:v>37712</c:v>
                </c:pt>
                <c:pt idx="136">
                  <c:v>37742</c:v>
                </c:pt>
                <c:pt idx="137">
                  <c:v>37773</c:v>
                </c:pt>
                <c:pt idx="138">
                  <c:v>37803</c:v>
                </c:pt>
                <c:pt idx="139">
                  <c:v>37834</c:v>
                </c:pt>
                <c:pt idx="140">
                  <c:v>37865</c:v>
                </c:pt>
                <c:pt idx="141">
                  <c:v>37895</c:v>
                </c:pt>
                <c:pt idx="142">
                  <c:v>37926</c:v>
                </c:pt>
                <c:pt idx="143">
                  <c:v>37956</c:v>
                </c:pt>
                <c:pt idx="144">
                  <c:v>37987</c:v>
                </c:pt>
                <c:pt idx="145">
                  <c:v>38018</c:v>
                </c:pt>
                <c:pt idx="146">
                  <c:v>38047</c:v>
                </c:pt>
                <c:pt idx="147">
                  <c:v>38078</c:v>
                </c:pt>
                <c:pt idx="148">
                  <c:v>38108</c:v>
                </c:pt>
                <c:pt idx="149">
                  <c:v>38139</c:v>
                </c:pt>
                <c:pt idx="150">
                  <c:v>38169</c:v>
                </c:pt>
                <c:pt idx="151">
                  <c:v>38200</c:v>
                </c:pt>
                <c:pt idx="152">
                  <c:v>38231</c:v>
                </c:pt>
                <c:pt idx="153">
                  <c:v>38261</c:v>
                </c:pt>
                <c:pt idx="154">
                  <c:v>38292</c:v>
                </c:pt>
                <c:pt idx="155">
                  <c:v>38322</c:v>
                </c:pt>
                <c:pt idx="156">
                  <c:v>38353</c:v>
                </c:pt>
                <c:pt idx="157">
                  <c:v>38384</c:v>
                </c:pt>
                <c:pt idx="158">
                  <c:v>38412</c:v>
                </c:pt>
                <c:pt idx="159">
                  <c:v>38443</c:v>
                </c:pt>
                <c:pt idx="160">
                  <c:v>38473</c:v>
                </c:pt>
                <c:pt idx="161">
                  <c:v>38504</c:v>
                </c:pt>
                <c:pt idx="162">
                  <c:v>38534</c:v>
                </c:pt>
                <c:pt idx="163">
                  <c:v>38565</c:v>
                </c:pt>
                <c:pt idx="164">
                  <c:v>38596</c:v>
                </c:pt>
                <c:pt idx="165">
                  <c:v>38626</c:v>
                </c:pt>
                <c:pt idx="166">
                  <c:v>38657</c:v>
                </c:pt>
                <c:pt idx="167">
                  <c:v>38687</c:v>
                </c:pt>
                <c:pt idx="168">
                  <c:v>38718</c:v>
                </c:pt>
                <c:pt idx="169">
                  <c:v>38749</c:v>
                </c:pt>
                <c:pt idx="170">
                  <c:v>38777</c:v>
                </c:pt>
                <c:pt idx="171">
                  <c:v>38808</c:v>
                </c:pt>
                <c:pt idx="172">
                  <c:v>38838</c:v>
                </c:pt>
                <c:pt idx="173">
                  <c:v>38869</c:v>
                </c:pt>
                <c:pt idx="174">
                  <c:v>38899</c:v>
                </c:pt>
                <c:pt idx="175">
                  <c:v>38930</c:v>
                </c:pt>
                <c:pt idx="176">
                  <c:v>38961</c:v>
                </c:pt>
                <c:pt idx="177">
                  <c:v>38991</c:v>
                </c:pt>
                <c:pt idx="178">
                  <c:v>39022</c:v>
                </c:pt>
                <c:pt idx="179">
                  <c:v>39052</c:v>
                </c:pt>
                <c:pt idx="180">
                  <c:v>39083</c:v>
                </c:pt>
                <c:pt idx="181">
                  <c:v>39114</c:v>
                </c:pt>
                <c:pt idx="182">
                  <c:v>39142</c:v>
                </c:pt>
                <c:pt idx="183">
                  <c:v>39173</c:v>
                </c:pt>
                <c:pt idx="184">
                  <c:v>39203</c:v>
                </c:pt>
                <c:pt idx="185">
                  <c:v>39234</c:v>
                </c:pt>
                <c:pt idx="186">
                  <c:v>39264</c:v>
                </c:pt>
                <c:pt idx="187">
                  <c:v>39295</c:v>
                </c:pt>
                <c:pt idx="188">
                  <c:v>39326</c:v>
                </c:pt>
                <c:pt idx="189">
                  <c:v>39356</c:v>
                </c:pt>
                <c:pt idx="190">
                  <c:v>39387</c:v>
                </c:pt>
                <c:pt idx="191">
                  <c:v>39417</c:v>
                </c:pt>
                <c:pt idx="192">
                  <c:v>39448</c:v>
                </c:pt>
                <c:pt idx="193">
                  <c:v>39479</c:v>
                </c:pt>
                <c:pt idx="194">
                  <c:v>39508</c:v>
                </c:pt>
                <c:pt idx="195">
                  <c:v>39539</c:v>
                </c:pt>
                <c:pt idx="196">
                  <c:v>39569</c:v>
                </c:pt>
                <c:pt idx="197">
                  <c:v>39600</c:v>
                </c:pt>
                <c:pt idx="198">
                  <c:v>39630</c:v>
                </c:pt>
                <c:pt idx="199">
                  <c:v>39661</c:v>
                </c:pt>
                <c:pt idx="200">
                  <c:v>39692</c:v>
                </c:pt>
                <c:pt idx="201">
                  <c:v>39722</c:v>
                </c:pt>
                <c:pt idx="202">
                  <c:v>39753</c:v>
                </c:pt>
                <c:pt idx="203">
                  <c:v>39783</c:v>
                </c:pt>
                <c:pt idx="204">
                  <c:v>39814</c:v>
                </c:pt>
                <c:pt idx="205">
                  <c:v>39845</c:v>
                </c:pt>
                <c:pt idx="206">
                  <c:v>39873</c:v>
                </c:pt>
                <c:pt idx="207">
                  <c:v>39904</c:v>
                </c:pt>
                <c:pt idx="208">
                  <c:v>39934</c:v>
                </c:pt>
                <c:pt idx="209">
                  <c:v>39965</c:v>
                </c:pt>
                <c:pt idx="210">
                  <c:v>39995</c:v>
                </c:pt>
                <c:pt idx="211">
                  <c:v>40026</c:v>
                </c:pt>
                <c:pt idx="212">
                  <c:v>40057</c:v>
                </c:pt>
                <c:pt idx="213">
                  <c:v>40087</c:v>
                </c:pt>
                <c:pt idx="214">
                  <c:v>40118</c:v>
                </c:pt>
                <c:pt idx="215">
                  <c:v>40148</c:v>
                </c:pt>
                <c:pt idx="216">
                  <c:v>40179</c:v>
                </c:pt>
                <c:pt idx="217">
                  <c:v>40210</c:v>
                </c:pt>
                <c:pt idx="218">
                  <c:v>40238</c:v>
                </c:pt>
                <c:pt idx="219">
                  <c:v>40269</c:v>
                </c:pt>
                <c:pt idx="220">
                  <c:v>40299</c:v>
                </c:pt>
                <c:pt idx="221">
                  <c:v>40330</c:v>
                </c:pt>
                <c:pt idx="222">
                  <c:v>40360</c:v>
                </c:pt>
                <c:pt idx="223">
                  <c:v>40391</c:v>
                </c:pt>
                <c:pt idx="224">
                  <c:v>40422</c:v>
                </c:pt>
                <c:pt idx="225">
                  <c:v>40452</c:v>
                </c:pt>
                <c:pt idx="226">
                  <c:v>40483</c:v>
                </c:pt>
                <c:pt idx="227">
                  <c:v>40513</c:v>
                </c:pt>
                <c:pt idx="228">
                  <c:v>40544</c:v>
                </c:pt>
                <c:pt idx="229">
                  <c:v>40575</c:v>
                </c:pt>
                <c:pt idx="230">
                  <c:v>40603</c:v>
                </c:pt>
                <c:pt idx="231">
                  <c:v>40634</c:v>
                </c:pt>
                <c:pt idx="232">
                  <c:v>40664</c:v>
                </c:pt>
                <c:pt idx="233">
                  <c:v>40695</c:v>
                </c:pt>
                <c:pt idx="234">
                  <c:v>40725</c:v>
                </c:pt>
                <c:pt idx="235">
                  <c:v>40756</c:v>
                </c:pt>
                <c:pt idx="236">
                  <c:v>40787</c:v>
                </c:pt>
                <c:pt idx="237">
                  <c:v>40817</c:v>
                </c:pt>
                <c:pt idx="238">
                  <c:v>40848</c:v>
                </c:pt>
                <c:pt idx="239">
                  <c:v>40878</c:v>
                </c:pt>
                <c:pt idx="240">
                  <c:v>40909</c:v>
                </c:pt>
                <c:pt idx="241">
                  <c:v>40940</c:v>
                </c:pt>
                <c:pt idx="242">
                  <c:v>40969</c:v>
                </c:pt>
                <c:pt idx="243">
                  <c:v>41000</c:v>
                </c:pt>
                <c:pt idx="244">
                  <c:v>41030</c:v>
                </c:pt>
                <c:pt idx="245">
                  <c:v>41061</c:v>
                </c:pt>
                <c:pt idx="246">
                  <c:v>41091</c:v>
                </c:pt>
                <c:pt idx="247">
                  <c:v>41122</c:v>
                </c:pt>
                <c:pt idx="248">
                  <c:v>41153</c:v>
                </c:pt>
                <c:pt idx="249">
                  <c:v>41183</c:v>
                </c:pt>
                <c:pt idx="250">
                  <c:v>41214</c:v>
                </c:pt>
                <c:pt idx="251">
                  <c:v>41244</c:v>
                </c:pt>
                <c:pt idx="252">
                  <c:v>41275</c:v>
                </c:pt>
                <c:pt idx="253">
                  <c:v>41306</c:v>
                </c:pt>
                <c:pt idx="254">
                  <c:v>41334</c:v>
                </c:pt>
                <c:pt idx="255">
                  <c:v>41365</c:v>
                </c:pt>
                <c:pt idx="256">
                  <c:v>41395</c:v>
                </c:pt>
                <c:pt idx="257">
                  <c:v>41426</c:v>
                </c:pt>
                <c:pt idx="258">
                  <c:v>41456</c:v>
                </c:pt>
                <c:pt idx="259">
                  <c:v>41487</c:v>
                </c:pt>
                <c:pt idx="260">
                  <c:v>41518</c:v>
                </c:pt>
                <c:pt idx="261">
                  <c:v>41548</c:v>
                </c:pt>
                <c:pt idx="262">
                  <c:v>41579</c:v>
                </c:pt>
                <c:pt idx="263">
                  <c:v>41609</c:v>
                </c:pt>
                <c:pt idx="264">
                  <c:v>41640</c:v>
                </c:pt>
                <c:pt idx="265">
                  <c:v>41671</c:v>
                </c:pt>
                <c:pt idx="266">
                  <c:v>41699</c:v>
                </c:pt>
                <c:pt idx="267">
                  <c:v>41730</c:v>
                </c:pt>
                <c:pt idx="268">
                  <c:v>41760</c:v>
                </c:pt>
                <c:pt idx="269">
                  <c:v>41791</c:v>
                </c:pt>
                <c:pt idx="270">
                  <c:v>41821</c:v>
                </c:pt>
                <c:pt idx="271">
                  <c:v>41852</c:v>
                </c:pt>
                <c:pt idx="272">
                  <c:v>41883</c:v>
                </c:pt>
                <c:pt idx="273">
                  <c:v>41913</c:v>
                </c:pt>
                <c:pt idx="274">
                  <c:v>41944</c:v>
                </c:pt>
                <c:pt idx="275">
                  <c:v>41974</c:v>
                </c:pt>
                <c:pt idx="276">
                  <c:v>42005</c:v>
                </c:pt>
                <c:pt idx="277">
                  <c:v>42036</c:v>
                </c:pt>
                <c:pt idx="278">
                  <c:v>42064</c:v>
                </c:pt>
                <c:pt idx="279">
                  <c:v>42095</c:v>
                </c:pt>
                <c:pt idx="280">
                  <c:v>42125</c:v>
                </c:pt>
                <c:pt idx="281">
                  <c:v>42156</c:v>
                </c:pt>
                <c:pt idx="282">
                  <c:v>42186</c:v>
                </c:pt>
                <c:pt idx="283">
                  <c:v>42217</c:v>
                </c:pt>
                <c:pt idx="284">
                  <c:v>42248</c:v>
                </c:pt>
                <c:pt idx="285">
                  <c:v>42278</c:v>
                </c:pt>
                <c:pt idx="286">
                  <c:v>42309</c:v>
                </c:pt>
                <c:pt idx="287">
                  <c:v>42339</c:v>
                </c:pt>
                <c:pt idx="288">
                  <c:v>42370</c:v>
                </c:pt>
                <c:pt idx="289">
                  <c:v>42401</c:v>
                </c:pt>
                <c:pt idx="290">
                  <c:v>42430</c:v>
                </c:pt>
                <c:pt idx="291">
                  <c:v>42461</c:v>
                </c:pt>
                <c:pt idx="292">
                  <c:v>42491</c:v>
                </c:pt>
                <c:pt idx="293">
                  <c:v>42522</c:v>
                </c:pt>
                <c:pt idx="294">
                  <c:v>42552</c:v>
                </c:pt>
                <c:pt idx="295">
                  <c:v>42583</c:v>
                </c:pt>
                <c:pt idx="296">
                  <c:v>42614</c:v>
                </c:pt>
                <c:pt idx="297">
                  <c:v>42644</c:v>
                </c:pt>
                <c:pt idx="298">
                  <c:v>42675</c:v>
                </c:pt>
                <c:pt idx="299">
                  <c:v>42705</c:v>
                </c:pt>
                <c:pt idx="300">
                  <c:v>42736</c:v>
                </c:pt>
                <c:pt idx="301">
                  <c:v>42767</c:v>
                </c:pt>
                <c:pt idx="302">
                  <c:v>42795</c:v>
                </c:pt>
                <c:pt idx="303">
                  <c:v>42826</c:v>
                </c:pt>
                <c:pt idx="304">
                  <c:v>42856</c:v>
                </c:pt>
                <c:pt idx="305">
                  <c:v>42887</c:v>
                </c:pt>
                <c:pt idx="306">
                  <c:v>42917</c:v>
                </c:pt>
                <c:pt idx="307">
                  <c:v>42948</c:v>
                </c:pt>
                <c:pt idx="308">
                  <c:v>42979</c:v>
                </c:pt>
                <c:pt idx="309">
                  <c:v>43009</c:v>
                </c:pt>
                <c:pt idx="310">
                  <c:v>43040</c:v>
                </c:pt>
                <c:pt idx="311">
                  <c:v>43070</c:v>
                </c:pt>
                <c:pt idx="312">
                  <c:v>43101</c:v>
                </c:pt>
                <c:pt idx="313">
                  <c:v>43132</c:v>
                </c:pt>
                <c:pt idx="314">
                  <c:v>43160</c:v>
                </c:pt>
                <c:pt idx="315">
                  <c:v>43191</c:v>
                </c:pt>
                <c:pt idx="316">
                  <c:v>43221</c:v>
                </c:pt>
                <c:pt idx="317">
                  <c:v>43252</c:v>
                </c:pt>
                <c:pt idx="318">
                  <c:v>43282</c:v>
                </c:pt>
                <c:pt idx="319">
                  <c:v>43313</c:v>
                </c:pt>
                <c:pt idx="320">
                  <c:v>43344</c:v>
                </c:pt>
                <c:pt idx="321">
                  <c:v>43374</c:v>
                </c:pt>
                <c:pt idx="322">
                  <c:v>43405</c:v>
                </c:pt>
                <c:pt idx="323">
                  <c:v>43435</c:v>
                </c:pt>
                <c:pt idx="324">
                  <c:v>43466</c:v>
                </c:pt>
                <c:pt idx="325">
                  <c:v>43497</c:v>
                </c:pt>
                <c:pt idx="326">
                  <c:v>43525</c:v>
                </c:pt>
                <c:pt idx="327">
                  <c:v>43556</c:v>
                </c:pt>
                <c:pt idx="328">
                  <c:v>43586</c:v>
                </c:pt>
                <c:pt idx="329">
                  <c:v>43617</c:v>
                </c:pt>
                <c:pt idx="330">
                  <c:v>43647</c:v>
                </c:pt>
                <c:pt idx="331">
                  <c:v>43678</c:v>
                </c:pt>
                <c:pt idx="332">
                  <c:v>43709</c:v>
                </c:pt>
                <c:pt idx="333">
                  <c:v>43739</c:v>
                </c:pt>
                <c:pt idx="334">
                  <c:v>43770</c:v>
                </c:pt>
                <c:pt idx="335">
                  <c:v>43800</c:v>
                </c:pt>
                <c:pt idx="336">
                  <c:v>43831</c:v>
                </c:pt>
                <c:pt idx="337">
                  <c:v>43862</c:v>
                </c:pt>
                <c:pt idx="338">
                  <c:v>43891</c:v>
                </c:pt>
                <c:pt idx="339">
                  <c:v>43922</c:v>
                </c:pt>
                <c:pt idx="340">
                  <c:v>43952</c:v>
                </c:pt>
                <c:pt idx="341">
                  <c:v>43983</c:v>
                </c:pt>
                <c:pt idx="342">
                  <c:v>44013</c:v>
                </c:pt>
                <c:pt idx="343">
                  <c:v>44044</c:v>
                </c:pt>
              </c:numCache>
            </c:numRef>
          </c:cat>
          <c:val>
            <c:numRef>
              <c:f>'Sporting Goods'!$D$7:$D$350</c:f>
              <c:numCache>
                <c:formatCode>General</c:formatCode>
                <c:ptCount val="344"/>
                <c:pt idx="12" formatCode="0.00%">
                  <c:v>7.7695716395864103E-2</c:v>
                </c:pt>
                <c:pt idx="13" formatCode="0.00%">
                  <c:v>1.9624573378839591E-2</c:v>
                </c:pt>
                <c:pt idx="14" formatCode="0.00%">
                  <c:v>3.6186099942561743E-2</c:v>
                </c:pt>
                <c:pt idx="15" formatCode="0.00%">
                  <c:v>6.0537482319660538E-2</c:v>
                </c:pt>
                <c:pt idx="16" formatCode="0.00%">
                  <c:v>6.6628701594533032E-2</c:v>
                </c:pt>
                <c:pt idx="17" formatCode="0.00%">
                  <c:v>4.3110735418427727E-2</c:v>
                </c:pt>
                <c:pt idx="18" formatCode="0.00%">
                  <c:v>6.2465142219743447E-2</c:v>
                </c:pt>
                <c:pt idx="19" formatCode="0.00%">
                  <c:v>8.3143507972665148E-2</c:v>
                </c:pt>
                <c:pt idx="20" formatCode="0.00%">
                  <c:v>7.263039820527202E-2</c:v>
                </c:pt>
                <c:pt idx="21" formatCode="0.00%">
                  <c:v>5.8220127529803163E-2</c:v>
                </c:pt>
                <c:pt idx="22" formatCode="0.00%">
                  <c:v>8.383894098179813E-2</c:v>
                </c:pt>
                <c:pt idx="23" formatCode="0.00%">
                  <c:v>5.7368421052631575E-2</c:v>
                </c:pt>
                <c:pt idx="24" formatCode="0.00%">
                  <c:v>9.1282894736842105E-2</c:v>
                </c:pt>
                <c:pt idx="25" formatCode="0.00%">
                  <c:v>0.14225941422594143</c:v>
                </c:pt>
                <c:pt idx="26" formatCode="0.00%">
                  <c:v>0.14495565410199557</c:v>
                </c:pt>
                <c:pt idx="27" formatCode="0.00%">
                  <c:v>7.6287009869298483E-2</c:v>
                </c:pt>
                <c:pt idx="28" formatCode="0.00%">
                  <c:v>9.9572877736252008E-2</c:v>
                </c:pt>
                <c:pt idx="29" formatCode="0.00%">
                  <c:v>0.11696380334954079</c:v>
                </c:pt>
                <c:pt idx="30" formatCode="0.00%">
                  <c:v>7.9002624671916016E-2</c:v>
                </c:pt>
                <c:pt idx="31" formatCode="0.00%">
                  <c:v>0.11698212407991587</c:v>
                </c:pt>
                <c:pt idx="32" formatCode="0.00%">
                  <c:v>0.1257516339869281</c:v>
                </c:pt>
                <c:pt idx="33" formatCode="0.00%">
                  <c:v>0.1388525019648939</c:v>
                </c:pt>
                <c:pt idx="34" formatCode="0.00%">
                  <c:v>7.4045801526717553E-2</c:v>
                </c:pt>
                <c:pt idx="35" formatCode="0.00%">
                  <c:v>5.8984569437531109E-2</c:v>
                </c:pt>
                <c:pt idx="36" formatCode="0.00%">
                  <c:v>0.11429289123335845</c:v>
                </c:pt>
                <c:pt idx="37" formatCode="0.00%">
                  <c:v>4.957264957264957E-2</c:v>
                </c:pt>
                <c:pt idx="38" formatCode="0.00%">
                  <c:v>5.2287581699346407E-2</c:v>
                </c:pt>
                <c:pt idx="39" formatCode="0.00%">
                  <c:v>7.6827757125154897E-2</c:v>
                </c:pt>
                <c:pt idx="40" formatCode="0.00%">
                  <c:v>6.3364894391842674E-2</c:v>
                </c:pt>
                <c:pt idx="41" formatCode="0.00%">
                  <c:v>6.9165659008464331E-2</c:v>
                </c:pt>
                <c:pt idx="42" formatCode="0.00%">
                  <c:v>7.7353441984918517E-2</c:v>
                </c:pt>
                <c:pt idx="43" formatCode="0.00%">
                  <c:v>5.0129442221699225E-2</c:v>
                </c:pt>
                <c:pt idx="44" formatCode="0.00%">
                  <c:v>3.1351602415234554E-2</c:v>
                </c:pt>
                <c:pt idx="45" formatCode="0.00%">
                  <c:v>1.5412928456406717E-2</c:v>
                </c:pt>
                <c:pt idx="46" formatCode="0.00%">
                  <c:v>7.3679222932954272E-2</c:v>
                </c:pt>
                <c:pt idx="47" formatCode="0.00%">
                  <c:v>5.8754406580493537E-2</c:v>
                </c:pt>
                <c:pt idx="48" formatCode="0.00%">
                  <c:v>3.6970243462578899E-2</c:v>
                </c:pt>
                <c:pt idx="49" formatCode="0.00%">
                  <c:v>4.3508608655188463E-2</c:v>
                </c:pt>
                <c:pt idx="50" formatCode="0.00%">
                  <c:v>4.6238785369220152E-2</c:v>
                </c:pt>
                <c:pt idx="51" formatCode="0.00%">
                  <c:v>6.5132336018411965E-2</c:v>
                </c:pt>
                <c:pt idx="52" formatCode="0.00%">
                  <c:v>1.1872146118721462E-2</c:v>
                </c:pt>
                <c:pt idx="53" formatCode="0.00%">
                  <c:v>4.252431576566388E-2</c:v>
                </c:pt>
                <c:pt idx="54" formatCode="0.00%">
                  <c:v>5.1027319936780315E-2</c:v>
                </c:pt>
                <c:pt idx="55" formatCode="0.00%">
                  <c:v>6.1855670103092786E-2</c:v>
                </c:pt>
                <c:pt idx="56" formatCode="0.00%">
                  <c:v>5.6068453051114617E-2</c:v>
                </c:pt>
                <c:pt idx="57" formatCode="0.00%">
                  <c:v>8.0425917535115535E-2</c:v>
                </c:pt>
                <c:pt idx="58" formatCode="0.00%">
                  <c:v>3.5304501323918797E-2</c:v>
                </c:pt>
                <c:pt idx="59" formatCode="0.00%">
                  <c:v>9.6559378468368484E-2</c:v>
                </c:pt>
                <c:pt idx="60" formatCode="0.00%">
                  <c:v>3.2173913043478261E-2</c:v>
                </c:pt>
                <c:pt idx="61" formatCode="0.00%">
                  <c:v>4.0356744704570791E-2</c:v>
                </c:pt>
                <c:pt idx="62" formatCode="0.00%">
                  <c:v>3.2981530343007916E-2</c:v>
                </c:pt>
                <c:pt idx="63" formatCode="0.00%">
                  <c:v>2.0959377700950736E-2</c:v>
                </c:pt>
                <c:pt idx="64" formatCode="0.00%">
                  <c:v>7.4684115523465711E-2</c:v>
                </c:pt>
                <c:pt idx="65" formatCode="0.00%">
                  <c:v>4.9685398134085484E-2</c:v>
                </c:pt>
                <c:pt idx="66" formatCode="0.00%">
                  <c:v>2.8141783029001072E-2</c:v>
                </c:pt>
                <c:pt idx="67" formatCode="0.00%">
                  <c:v>1.4774166314900801E-3</c:v>
                </c:pt>
                <c:pt idx="68" formatCode="0.00%">
                  <c:v>2.9211087420042643E-2</c:v>
                </c:pt>
                <c:pt idx="69" formatCode="0.00%">
                  <c:v>2.2855944642482702E-2</c:v>
                </c:pt>
                <c:pt idx="70" formatCode="0.00%">
                  <c:v>6.8840579710144928E-2</c:v>
                </c:pt>
                <c:pt idx="71" formatCode="0.00%">
                  <c:v>-5.0607287449392713E-3</c:v>
                </c:pt>
                <c:pt idx="72" formatCode="0.00%">
                  <c:v>1.8112889637742206E-2</c:v>
                </c:pt>
                <c:pt idx="73" formatCode="0.00%">
                  <c:v>7.7368195456493788E-2</c:v>
                </c:pt>
                <c:pt idx="74" formatCode="0.00%">
                  <c:v>6.5985525755640692E-2</c:v>
                </c:pt>
                <c:pt idx="75" formatCode="0.00%">
                  <c:v>6.582010582010582E-2</c:v>
                </c:pt>
                <c:pt idx="76" formatCode="0.00%">
                  <c:v>4.6819231576737348E-2</c:v>
                </c:pt>
                <c:pt idx="77" formatCode="0.00%">
                  <c:v>5.0640760644894582E-2</c:v>
                </c:pt>
                <c:pt idx="78" formatCode="0.00%">
                  <c:v>5.1399916422900128E-2</c:v>
                </c:pt>
                <c:pt idx="79" formatCode="0.00%">
                  <c:v>6.575342465753424E-2</c:v>
                </c:pt>
                <c:pt idx="80" formatCode="0.00%">
                  <c:v>4.5576962916925624E-2</c:v>
                </c:pt>
                <c:pt idx="81" formatCode="0.00%">
                  <c:v>4.7150471504715047E-2</c:v>
                </c:pt>
                <c:pt idx="82" formatCode="0.00%">
                  <c:v>1.5553339980059821E-2</c:v>
                </c:pt>
                <c:pt idx="83" formatCode="0.00%">
                  <c:v>4.8626653102746692E-2</c:v>
                </c:pt>
                <c:pt idx="84" formatCode="0.00%">
                  <c:v>5.9577989242863054E-2</c:v>
                </c:pt>
                <c:pt idx="85" formatCode="0.00%">
                  <c:v>5.2715337179232144E-2</c:v>
                </c:pt>
                <c:pt idx="86" formatCode="0.00%">
                  <c:v>5.2915335463258786E-2</c:v>
                </c:pt>
                <c:pt idx="87" formatCode="0.00%">
                  <c:v>4.785544082605242E-2</c:v>
                </c:pt>
                <c:pt idx="88" formatCode="0.00%">
                  <c:v>6.8592057761732855E-2</c:v>
                </c:pt>
                <c:pt idx="89" formatCode="0.00%">
                  <c:v>5.5872516230572496E-2</c:v>
                </c:pt>
                <c:pt idx="90" formatCode="0.00%">
                  <c:v>5.8426073131955483E-2</c:v>
                </c:pt>
                <c:pt idx="91" formatCode="0.00%">
                  <c:v>4.6074747874233733E-2</c:v>
                </c:pt>
                <c:pt idx="92" formatCode="0.00%">
                  <c:v>6.6970477511392901E-2</c:v>
                </c:pt>
                <c:pt idx="93" formatCode="0.00%">
                  <c:v>5.1879404855129208E-2</c:v>
                </c:pt>
                <c:pt idx="94" formatCode="0.00%">
                  <c:v>6.3027685057922639E-2</c:v>
                </c:pt>
                <c:pt idx="95" formatCode="0.00%">
                  <c:v>5.8401241753977491E-2</c:v>
                </c:pt>
                <c:pt idx="96" formatCode="0.00%">
                  <c:v>2.1475985942991018E-2</c:v>
                </c:pt>
                <c:pt idx="97" formatCode="0.00%">
                  <c:v>4.7052154195011339E-2</c:v>
                </c:pt>
                <c:pt idx="98" formatCode="0.00%">
                  <c:v>6.8651621467855112E-2</c:v>
                </c:pt>
                <c:pt idx="99" formatCode="0.00%">
                  <c:v>7.0494599204093233E-2</c:v>
                </c:pt>
                <c:pt idx="100" formatCode="0.00%">
                  <c:v>8.0518018018018014E-2</c:v>
                </c:pt>
                <c:pt idx="101" formatCode="0.00%">
                  <c:v>5.9437302030929756E-2</c:v>
                </c:pt>
                <c:pt idx="102" formatCode="0.00%">
                  <c:v>8.8997371385655277E-2</c:v>
                </c:pt>
                <c:pt idx="103" formatCode="0.00%">
                  <c:v>6.483931947069943E-2</c:v>
                </c:pt>
                <c:pt idx="104" formatCode="0.00%">
                  <c:v>6.3695450324976782E-2</c:v>
                </c:pt>
                <c:pt idx="105" formatCode="0.00%">
                  <c:v>4.7087288293318444E-2</c:v>
                </c:pt>
                <c:pt idx="106" formatCode="0.00%">
                  <c:v>3.7125969708164022E-2</c:v>
                </c:pt>
                <c:pt idx="107" formatCode="0.00%">
                  <c:v>2.6764436296975253E-2</c:v>
                </c:pt>
                <c:pt idx="108" formatCode="0.00%">
                  <c:v>2.9434250764525993E-2</c:v>
                </c:pt>
                <c:pt idx="109" formatCode="0.00%">
                  <c:v>3.1402273957769358E-2</c:v>
                </c:pt>
                <c:pt idx="110" formatCode="0.00%">
                  <c:v>1.5616681455190773E-2</c:v>
                </c:pt>
                <c:pt idx="111" formatCode="0.00%">
                  <c:v>1.5932023366967605E-3</c:v>
                </c:pt>
                <c:pt idx="112" formatCode="0.00%">
                  <c:v>-1.354872329338197E-2</c:v>
                </c:pt>
                <c:pt idx="113" formatCode="0.00%">
                  <c:v>-1.14315863524446E-2</c:v>
                </c:pt>
                <c:pt idx="114" formatCode="0.00%">
                  <c:v>-1.6724137931034482E-2</c:v>
                </c:pt>
                <c:pt idx="115" formatCode="0.00%">
                  <c:v>2.5208592224391976E-2</c:v>
                </c:pt>
                <c:pt idx="116" formatCode="0.00%">
                  <c:v>-9.7765363128491621E-3</c:v>
                </c:pt>
                <c:pt idx="117" formatCode="0.00%">
                  <c:v>3.0572342694632066E-2</c:v>
                </c:pt>
                <c:pt idx="118" formatCode="0.00%">
                  <c:v>8.0320569902048083E-2</c:v>
                </c:pt>
                <c:pt idx="119" formatCode="0.00%">
                  <c:v>3.4993751115872163E-2</c:v>
                </c:pt>
                <c:pt idx="120" formatCode="0.00%">
                  <c:v>7.2224285183809883E-2</c:v>
                </c:pt>
                <c:pt idx="121" formatCode="0.00%">
                  <c:v>-6.9991251093613294E-4</c:v>
                </c:pt>
                <c:pt idx="122" formatCode="0.00%">
                  <c:v>-1.0484011881880134E-3</c:v>
                </c:pt>
                <c:pt idx="123" formatCode="0.00%">
                  <c:v>2.4920466595970307E-2</c:v>
                </c:pt>
                <c:pt idx="124" formatCode="0.00%">
                  <c:v>9.1565416446557496E-3</c:v>
                </c:pt>
                <c:pt idx="125" formatCode="0.00%">
                  <c:v>8.717310087173101E-3</c:v>
                </c:pt>
                <c:pt idx="126" formatCode="0.00%">
                  <c:v>-6.4878134315272664E-3</c:v>
                </c:pt>
                <c:pt idx="127" formatCode="0.00%">
                  <c:v>-1.4891774891774892E-2</c:v>
                </c:pt>
                <c:pt idx="128" formatCode="0.00%">
                  <c:v>3.1734837799717912E-2</c:v>
                </c:pt>
                <c:pt idx="129" formatCode="0.00%">
                  <c:v>7.0714039323904795E-3</c:v>
                </c:pt>
                <c:pt idx="130" formatCode="0.00%">
                  <c:v>-1.3353115727002967E-2</c:v>
                </c:pt>
                <c:pt idx="131" formatCode="0.00%">
                  <c:v>2.0700362256339485E-3</c:v>
                </c:pt>
                <c:pt idx="132" formatCode="0.00%">
                  <c:v>3.29004329004329E-3</c:v>
                </c:pt>
                <c:pt idx="133" formatCode="0.00%">
                  <c:v>-2.3638592190509542E-2</c:v>
                </c:pt>
                <c:pt idx="134" formatCode="0.00%">
                  <c:v>-9.9702641245408424E-3</c:v>
                </c:pt>
                <c:pt idx="135" formatCode="0.00%">
                  <c:v>-1.5519917227108122E-2</c:v>
                </c:pt>
                <c:pt idx="136" formatCode="0.00%">
                  <c:v>2.9663235037515269E-3</c:v>
                </c:pt>
                <c:pt idx="137" formatCode="0.00%">
                  <c:v>4.1975308641975309E-2</c:v>
                </c:pt>
                <c:pt idx="138" formatCode="0.00%">
                  <c:v>2.5061771973173313E-2</c:v>
                </c:pt>
                <c:pt idx="139" formatCode="0.00%">
                  <c:v>7.7869572859905076E-2</c:v>
                </c:pt>
                <c:pt idx="140" formatCode="0.00%">
                  <c:v>1.7429938482570063E-2</c:v>
                </c:pt>
                <c:pt idx="141" formatCode="0.00%">
                  <c:v>3.4252440486384652E-4</c:v>
                </c:pt>
                <c:pt idx="142" formatCode="0.00%">
                  <c:v>4.344193817878028E-3</c:v>
                </c:pt>
                <c:pt idx="143" formatCode="0.00%">
                  <c:v>3.5117920468238938E-2</c:v>
                </c:pt>
                <c:pt idx="144" formatCode="0.00%">
                  <c:v>5.0569554711770798E-2</c:v>
                </c:pt>
                <c:pt idx="145" formatCode="0.00%">
                  <c:v>9.2718794835007168E-2</c:v>
                </c:pt>
                <c:pt idx="146" formatCode="0.00%">
                  <c:v>7.1908127208480568E-2</c:v>
                </c:pt>
                <c:pt idx="147" formatCode="0.00%">
                  <c:v>4.0637589770537746E-2</c:v>
                </c:pt>
                <c:pt idx="148" formatCode="0.00%">
                  <c:v>4.1231732776617951E-2</c:v>
                </c:pt>
                <c:pt idx="149" formatCode="0.00%">
                  <c:v>1.8449559918754233E-2</c:v>
                </c:pt>
                <c:pt idx="150" formatCode="0.00%">
                  <c:v>5.4407713498622591E-2</c:v>
                </c:pt>
                <c:pt idx="151" formatCode="0.00%">
                  <c:v>9.7847358121330719E-3</c:v>
                </c:pt>
                <c:pt idx="152" formatCode="0.00%">
                  <c:v>2.6368827678871345E-2</c:v>
                </c:pt>
                <c:pt idx="153" formatCode="0.00%">
                  <c:v>4.3314500941619587E-2</c:v>
                </c:pt>
                <c:pt idx="154" formatCode="0.00%">
                  <c:v>2.1460655464980868E-2</c:v>
                </c:pt>
                <c:pt idx="155" formatCode="0.00%">
                  <c:v>1.8127390653583902E-2</c:v>
                </c:pt>
                <c:pt idx="156" formatCode="0.00%">
                  <c:v>1.7249876786594381E-2</c:v>
                </c:pt>
                <c:pt idx="157" formatCode="0.00%">
                  <c:v>2.8885606433612342E-2</c:v>
                </c:pt>
                <c:pt idx="158" formatCode="0.00%">
                  <c:v>1.1537827591890556E-2</c:v>
                </c:pt>
                <c:pt idx="159" formatCode="0.00%">
                  <c:v>6.3457330415754923E-2</c:v>
                </c:pt>
                <c:pt idx="160" formatCode="0.00%">
                  <c:v>4.1269841269841269E-2</c:v>
                </c:pt>
                <c:pt idx="161" formatCode="0.00%">
                  <c:v>1.9611101878012297E-2</c:v>
                </c:pt>
                <c:pt idx="162" formatCode="0.00%">
                  <c:v>1.8778576094056171E-2</c:v>
                </c:pt>
                <c:pt idx="163" formatCode="0.00%">
                  <c:v>1.3242894056847546E-2</c:v>
                </c:pt>
                <c:pt idx="164" formatCode="0.00%">
                  <c:v>7.2001309114711172E-3</c:v>
                </c:pt>
                <c:pt idx="165" formatCode="0.00%">
                  <c:v>4.6439120446340666E-2</c:v>
                </c:pt>
                <c:pt idx="166" formatCode="0.00%">
                  <c:v>2.3941368078175897E-2</c:v>
                </c:pt>
                <c:pt idx="167" formatCode="0.00%">
                  <c:v>5.5537406076445604E-2</c:v>
                </c:pt>
                <c:pt idx="168" formatCode="0.00%">
                  <c:v>8.7693798449612406E-2</c:v>
                </c:pt>
                <c:pt idx="169" formatCode="0.00%">
                  <c:v>5.7425426702823419E-2</c:v>
                </c:pt>
                <c:pt idx="170" formatCode="0.00%">
                  <c:v>7.7073488675248492E-2</c:v>
                </c:pt>
                <c:pt idx="171" formatCode="0.00%">
                  <c:v>4.1468819246597025E-2</c:v>
                </c:pt>
                <c:pt idx="172" formatCode="0.00%">
                  <c:v>4.348523748395379E-2</c:v>
                </c:pt>
                <c:pt idx="173" formatCode="0.00%">
                  <c:v>6.3406682966585165E-2</c:v>
                </c:pt>
                <c:pt idx="174" formatCode="0.00%">
                  <c:v>3.5582625420740505E-2</c:v>
                </c:pt>
                <c:pt idx="175" formatCode="0.00%">
                  <c:v>2.1995537137392412E-2</c:v>
                </c:pt>
                <c:pt idx="176" formatCode="0.00%">
                  <c:v>8.692120227457352E-2</c:v>
                </c:pt>
                <c:pt idx="177" formatCode="0.00%">
                  <c:v>3.3244472322408659E-2</c:v>
                </c:pt>
                <c:pt idx="178" formatCode="0.00%">
                  <c:v>2.7676157149673929E-2</c:v>
                </c:pt>
                <c:pt idx="179" formatCode="0.00%">
                  <c:v>1.6094088517486844E-2</c:v>
                </c:pt>
                <c:pt idx="180" formatCode="0.00%">
                  <c:v>-3.6525612472160358E-2</c:v>
                </c:pt>
                <c:pt idx="181" formatCode="0.00%">
                  <c:v>-2.0365062603710966E-2</c:v>
                </c:pt>
                <c:pt idx="182" formatCode="0.00%">
                  <c:v>2.556732223903177E-2</c:v>
                </c:pt>
                <c:pt idx="183" formatCode="0.00%">
                  <c:v>9.11854103343465E-3</c:v>
                </c:pt>
                <c:pt idx="184" formatCode="0.00%">
                  <c:v>4.6440104567122865E-2</c:v>
                </c:pt>
                <c:pt idx="185" formatCode="0.00%">
                  <c:v>4.9969343960760269E-2</c:v>
                </c:pt>
                <c:pt idx="186" formatCode="0.00%">
                  <c:v>7.3518031264510134E-2</c:v>
                </c:pt>
                <c:pt idx="187" formatCode="0.00%">
                  <c:v>5.7392389270118527E-2</c:v>
                </c:pt>
                <c:pt idx="188" formatCode="0.00%">
                  <c:v>8.8191330343796708E-3</c:v>
                </c:pt>
                <c:pt idx="189" formatCode="0.00%">
                  <c:v>3.7183184094703295E-2</c:v>
                </c:pt>
                <c:pt idx="190" formatCode="0.00%">
                  <c:v>7.4137130475158644E-2</c:v>
                </c:pt>
                <c:pt idx="191" formatCode="0.00%">
                  <c:v>2.8936947913493757E-2</c:v>
                </c:pt>
                <c:pt idx="192" formatCode="0.00%">
                  <c:v>5.070118662351672E-2</c:v>
                </c:pt>
                <c:pt idx="193" formatCode="0.00%">
                  <c:v>3.9574992300585157E-2</c:v>
                </c:pt>
                <c:pt idx="194" formatCode="0.00%">
                  <c:v>-6.7856616020061959E-3</c:v>
                </c:pt>
                <c:pt idx="195" formatCode="0.00%">
                  <c:v>2.5451807228915664E-2</c:v>
                </c:pt>
                <c:pt idx="196" formatCode="0.00%">
                  <c:v>2.1160911094783248E-2</c:v>
                </c:pt>
                <c:pt idx="197" formatCode="0.00%">
                  <c:v>4.2335766423357664E-3</c:v>
                </c:pt>
                <c:pt idx="198" formatCode="0.00%">
                  <c:v>-1.124567474048443E-2</c:v>
                </c:pt>
                <c:pt idx="199" formatCode="0.00%">
                  <c:v>2.2271386430678466E-2</c:v>
                </c:pt>
                <c:pt idx="200" formatCode="0.00%">
                  <c:v>-3.1560231145354868E-2</c:v>
                </c:pt>
                <c:pt idx="201" formatCode="0.00%">
                  <c:v>-5.9701492537313432E-2</c:v>
                </c:pt>
                <c:pt idx="202" formatCode="0.00%">
                  <c:v>-7.3342939481268007E-2</c:v>
                </c:pt>
                <c:pt idx="203" formatCode="0.00%">
                  <c:v>-4.2332741267021905E-2</c:v>
                </c:pt>
                <c:pt idx="204" formatCode="0.00%">
                  <c:v>-2.3027280727486065E-2</c:v>
                </c:pt>
                <c:pt idx="205" formatCode="0.00%">
                  <c:v>-3.1995259961487187E-2</c:v>
                </c:pt>
                <c:pt idx="206" formatCode="0.00%">
                  <c:v>-5.5398782117926627E-2</c:v>
                </c:pt>
                <c:pt idx="207" formatCode="0.00%">
                  <c:v>-4.3325011014833312E-2</c:v>
                </c:pt>
                <c:pt idx="208" formatCode="0.00%">
                  <c:v>-7.137717657216866E-2</c:v>
                </c:pt>
                <c:pt idx="209" formatCode="0.00%">
                  <c:v>-5.9020206425352523E-2</c:v>
                </c:pt>
                <c:pt idx="210" formatCode="0.00%">
                  <c:v>-5.8763487897346166E-2</c:v>
                </c:pt>
                <c:pt idx="211" formatCode="0.00%">
                  <c:v>-4.3716635406146301E-2</c:v>
                </c:pt>
                <c:pt idx="212" formatCode="0.00%">
                  <c:v>-7.9559363525091801E-3</c:v>
                </c:pt>
                <c:pt idx="213" formatCode="0.00%">
                  <c:v>-2.8011204481792717E-3</c:v>
                </c:pt>
                <c:pt idx="214" formatCode="0.00%">
                  <c:v>-1.9281604727103094E-2</c:v>
                </c:pt>
                <c:pt idx="215" formatCode="0.00%">
                  <c:v>8.191653786707883E-3</c:v>
                </c:pt>
                <c:pt idx="216" formatCode="0.00%">
                  <c:v>-2.4020417354751539E-2</c:v>
                </c:pt>
                <c:pt idx="217" formatCode="0.00%">
                  <c:v>-1.8821729150726857E-2</c:v>
                </c:pt>
                <c:pt idx="218" formatCode="0.00%">
                  <c:v>2.5471698113207548E-2</c:v>
                </c:pt>
                <c:pt idx="219" formatCode="0.00%">
                  <c:v>-1.5044519496469143E-2</c:v>
                </c:pt>
                <c:pt idx="220" formatCode="0.00%">
                  <c:v>6.6635673330234001E-3</c:v>
                </c:pt>
                <c:pt idx="221" formatCode="0.00%">
                  <c:v>3.7077089448478294E-3</c:v>
                </c:pt>
                <c:pt idx="222" formatCode="0.00%">
                  <c:v>5.1123160340821065E-3</c:v>
                </c:pt>
                <c:pt idx="223" formatCode="0.00%">
                  <c:v>-2.7459263729631866E-2</c:v>
                </c:pt>
                <c:pt idx="224" formatCode="0.00%">
                  <c:v>-3.3929673041332509E-3</c:v>
                </c:pt>
                <c:pt idx="225" formatCode="0.00%">
                  <c:v>2.5436953807740324E-2</c:v>
                </c:pt>
                <c:pt idx="226" formatCode="0.00%">
                  <c:v>7.4203266212145236E-2</c:v>
                </c:pt>
                <c:pt idx="227" formatCode="0.00%">
                  <c:v>9.3515253717614596E-3</c:v>
                </c:pt>
                <c:pt idx="228" formatCode="0.00%">
                  <c:v>9.8446392862636522E-3</c:v>
                </c:pt>
                <c:pt idx="229" formatCode="0.00%">
                  <c:v>3.1035558328134746E-2</c:v>
                </c:pt>
                <c:pt idx="230" formatCode="0.00%">
                  <c:v>5.67310640907697E-3</c:v>
                </c:pt>
                <c:pt idx="231" formatCode="0.00%">
                  <c:v>3.1016209476309228E-2</c:v>
                </c:pt>
                <c:pt idx="232" formatCode="0.00%">
                  <c:v>7.0812807881773399E-3</c:v>
                </c:pt>
                <c:pt idx="233" formatCode="0.00%">
                  <c:v>1.2467292596583038E-2</c:v>
                </c:pt>
                <c:pt idx="234" formatCode="0.00%">
                  <c:v>-1.032675709001233E-2</c:v>
                </c:pt>
                <c:pt idx="235" formatCode="0.00%">
                  <c:v>3.3354017995656224E-2</c:v>
                </c:pt>
                <c:pt idx="236" formatCode="0.00%">
                  <c:v>3.5747446610956357E-2</c:v>
                </c:pt>
                <c:pt idx="237" formatCode="0.00%">
                  <c:v>2.7393090853751333E-3</c:v>
                </c:pt>
                <c:pt idx="238" formatCode="0.00%">
                  <c:v>-2.6715867158671587E-2</c:v>
                </c:pt>
                <c:pt idx="239" formatCode="0.00%">
                  <c:v>-3.5085054678007294E-2</c:v>
                </c:pt>
                <c:pt idx="240" formatCode="0.00%">
                  <c:v>1.5232292460015233E-3</c:v>
                </c:pt>
                <c:pt idx="241" formatCode="0.00%">
                  <c:v>8.4707306005142938E-3</c:v>
                </c:pt>
                <c:pt idx="242" formatCode="0.00%">
                  <c:v>3.9030339990852266E-2</c:v>
                </c:pt>
                <c:pt idx="243" formatCode="0.00%">
                  <c:v>3.4467120181405894E-2</c:v>
                </c:pt>
                <c:pt idx="244" formatCode="0.00%">
                  <c:v>4.8914704983185571E-2</c:v>
                </c:pt>
                <c:pt idx="245" formatCode="0.00%">
                  <c:v>3.4356947400425664E-2</c:v>
                </c:pt>
                <c:pt idx="246" formatCode="0.00%">
                  <c:v>5.5131599439339665E-2</c:v>
                </c:pt>
                <c:pt idx="247" formatCode="0.00%">
                  <c:v>1.3361357153580543E-2</c:v>
                </c:pt>
                <c:pt idx="248" formatCode="0.00%">
                  <c:v>1.9423278051695801E-3</c:v>
                </c:pt>
                <c:pt idx="249" formatCode="0.00%">
                  <c:v>2.4282895735316435E-2</c:v>
                </c:pt>
                <c:pt idx="250" formatCode="0.00%">
                  <c:v>1.6075219896875947E-2</c:v>
                </c:pt>
                <c:pt idx="251" formatCode="0.00%">
                  <c:v>7.3508578624272E-2</c:v>
                </c:pt>
                <c:pt idx="252" formatCode="0.00%">
                  <c:v>6.6159695817490496E-2</c:v>
                </c:pt>
                <c:pt idx="253" formatCode="0.00%">
                  <c:v>5.1297435128243585E-2</c:v>
                </c:pt>
                <c:pt idx="254" formatCode="0.00%">
                  <c:v>1.1151870873074102E-2</c:v>
                </c:pt>
                <c:pt idx="255" formatCode="0.00%">
                  <c:v>-7.0144673388864535E-3</c:v>
                </c:pt>
                <c:pt idx="256" formatCode="0.00%">
                  <c:v>-7.2865053920139898E-4</c:v>
                </c:pt>
                <c:pt idx="257" formatCode="0.00%">
                  <c:v>1.3080540858318637E-2</c:v>
                </c:pt>
                <c:pt idx="258" formatCode="0.00%">
                  <c:v>2.4059040590405905E-2</c:v>
                </c:pt>
                <c:pt idx="259" formatCode="0.00%">
                  <c:v>2.0740740740740741E-3</c:v>
                </c:pt>
                <c:pt idx="260" formatCode="0.00%">
                  <c:v>2.5350432448553534E-2</c:v>
                </c:pt>
                <c:pt idx="261" formatCode="0.00%">
                  <c:v>1.6891391317232184E-2</c:v>
                </c:pt>
                <c:pt idx="262" formatCode="0.00%">
                  <c:v>3.0298507462686568E-2</c:v>
                </c:pt>
                <c:pt idx="263" formatCode="0.00%">
                  <c:v>7.331378299120235E-3</c:v>
                </c:pt>
                <c:pt idx="264" formatCode="0.00%">
                  <c:v>-7.4893009985734671E-2</c:v>
                </c:pt>
                <c:pt idx="265" formatCode="0.00%">
                  <c:v>-3.0104151804822371E-2</c:v>
                </c:pt>
                <c:pt idx="266" formatCode="0.00%">
                  <c:v>-1.4076331446814685E-2</c:v>
                </c:pt>
                <c:pt idx="267" formatCode="0.00%">
                  <c:v>1.5894039735099338E-2</c:v>
                </c:pt>
                <c:pt idx="268" formatCode="0.00%">
                  <c:v>2.9167274318214961E-3</c:v>
                </c:pt>
                <c:pt idx="269" formatCode="0.00%">
                  <c:v>8.5594080951690125E-3</c:v>
                </c:pt>
                <c:pt idx="270" formatCode="0.00%">
                  <c:v>-1.4413375612568463E-3</c:v>
                </c:pt>
                <c:pt idx="271" formatCode="0.00%">
                  <c:v>5.9432288586635129E-2</c:v>
                </c:pt>
                <c:pt idx="272" formatCode="0.00%">
                  <c:v>2.6905177428737638E-2</c:v>
                </c:pt>
                <c:pt idx="273" formatCode="0.00%">
                  <c:v>4.2838408859099522E-2</c:v>
                </c:pt>
                <c:pt idx="274" formatCode="0.00%">
                  <c:v>3.3898305084745763E-2</c:v>
                </c:pt>
                <c:pt idx="275" formatCode="0.00%">
                  <c:v>2.9694323144104803E-2</c:v>
                </c:pt>
                <c:pt idx="276" formatCode="0.00%">
                  <c:v>7.1858134155744019E-2</c:v>
                </c:pt>
                <c:pt idx="277" formatCode="0.00%">
                  <c:v>2.7508090614886731E-2</c:v>
                </c:pt>
                <c:pt idx="278" formatCode="0.00%">
                  <c:v>4.1507212246099497E-2</c:v>
                </c:pt>
                <c:pt idx="279" formatCode="0.00%">
                  <c:v>2.5930754744314066E-2</c:v>
                </c:pt>
                <c:pt idx="280" formatCode="0.00%">
                  <c:v>3.5771411952886432E-2</c:v>
                </c:pt>
                <c:pt idx="281" formatCode="0.00%">
                  <c:v>2.0425776754890677E-2</c:v>
                </c:pt>
                <c:pt idx="282" formatCode="0.00%">
                  <c:v>3.0600461893764433E-2</c:v>
                </c:pt>
                <c:pt idx="283" formatCode="0.00%">
                  <c:v>5.5819145967066707E-4</c:v>
                </c:pt>
                <c:pt idx="284" formatCode="0.00%">
                  <c:v>1.9260727942217816E-2</c:v>
                </c:pt>
                <c:pt idx="285" formatCode="0.00%">
                  <c:v>-7.1258907363420431E-3</c:v>
                </c:pt>
                <c:pt idx="286" formatCode="0.00%">
                  <c:v>1.064873196020737E-2</c:v>
                </c:pt>
                <c:pt idx="287" formatCode="0.00%">
                  <c:v>3.9440203562340966E-2</c:v>
                </c:pt>
                <c:pt idx="288" formatCode="0.00%">
                  <c:v>5.0640195655301395E-2</c:v>
                </c:pt>
                <c:pt idx="289" formatCode="0.00%">
                  <c:v>4.4523979957050826E-2</c:v>
                </c:pt>
                <c:pt idx="290" formatCode="0.00%">
                  <c:v>2.882984737139627E-2</c:v>
                </c:pt>
                <c:pt idx="291" formatCode="0.00%">
                  <c:v>1.849759954815024E-2</c:v>
                </c:pt>
                <c:pt idx="292" formatCode="0.00%">
                  <c:v>1.9373859328934439E-2</c:v>
                </c:pt>
                <c:pt idx="293" formatCode="0.00%">
                  <c:v>6.5971243304200733E-2</c:v>
                </c:pt>
                <c:pt idx="294" formatCode="0.00%">
                  <c:v>1.0644257703081233E-2</c:v>
                </c:pt>
                <c:pt idx="295" formatCode="0.00%">
                  <c:v>-1.8270571827057182E-2</c:v>
                </c:pt>
                <c:pt idx="296" formatCode="0.00%">
                  <c:v>-1.9313602890093096E-2</c:v>
                </c:pt>
                <c:pt idx="297" formatCode="0.00%">
                  <c:v>-3.0959752321981426E-3</c:v>
                </c:pt>
                <c:pt idx="298" formatCode="0.00%">
                  <c:v>-3.4936919450991269E-2</c:v>
                </c:pt>
                <c:pt idx="299" formatCode="0.00%">
                  <c:v>-3.7807697538419692E-2</c:v>
                </c:pt>
                <c:pt idx="300" formatCode="0.00%">
                  <c:v>-1.0406682185403259E-2</c:v>
                </c:pt>
                <c:pt idx="301" formatCode="0.00%">
                  <c:v>-3.358004385964912E-2</c:v>
                </c:pt>
                <c:pt idx="302" formatCode="0.00%">
                  <c:v>-4.3406593406593405E-2</c:v>
                </c:pt>
                <c:pt idx="303" formatCode="0.00%">
                  <c:v>-2.5648135311243589E-2</c:v>
                </c:pt>
                <c:pt idx="304" formatCode="0.00%">
                  <c:v>-4.3107010053711613E-2</c:v>
                </c:pt>
                <c:pt idx="305" formatCode="0.00%">
                  <c:v>-8.1592171383231951E-2</c:v>
                </c:pt>
                <c:pt idx="306" formatCode="0.00%">
                  <c:v>-5.1967849223946788E-2</c:v>
                </c:pt>
                <c:pt idx="307" formatCode="0.00%">
                  <c:v>-1.7900269924705215E-2</c:v>
                </c:pt>
                <c:pt idx="308" formatCode="0.00%">
                  <c:v>-7.9342589968829699E-3</c:v>
                </c:pt>
                <c:pt idx="309" formatCode="0.00%">
                  <c:v>-7.481648785996612E-3</c:v>
                </c:pt>
                <c:pt idx="310" formatCode="0.00%">
                  <c:v>2.628932624622899E-2</c:v>
                </c:pt>
                <c:pt idx="311" formatCode="0.00%">
                  <c:v>-2.2614840989399294E-3</c:v>
                </c:pt>
                <c:pt idx="312" formatCode="0.00%">
                  <c:v>-4.8152760481527605E-2</c:v>
                </c:pt>
                <c:pt idx="313" formatCode="0.00%">
                  <c:v>1.5884271734505743E-2</c:v>
                </c:pt>
                <c:pt idx="314" formatCode="0.00%">
                  <c:v>3.9201608271108558E-2</c:v>
                </c:pt>
                <c:pt idx="315" formatCode="0.00%">
                  <c:v>1.4086511098463289E-2</c:v>
                </c:pt>
                <c:pt idx="316" formatCode="0.00%">
                  <c:v>2.7345998848589521E-2</c:v>
                </c:pt>
                <c:pt idx="317" formatCode="0.00%">
                  <c:v>-3.7437005039596834E-3</c:v>
                </c:pt>
                <c:pt idx="318" formatCode="0.00%">
                  <c:v>-2.4557813185206841E-2</c:v>
                </c:pt>
                <c:pt idx="319" formatCode="0.00%">
                  <c:v>-4.4119774338203382E-2</c:v>
                </c:pt>
                <c:pt idx="320" formatCode="0.00%">
                  <c:v>-7.126535275635533E-2</c:v>
                </c:pt>
                <c:pt idx="321" formatCode="0.00%">
                  <c:v>-7.5380457971838996E-2</c:v>
                </c:pt>
                <c:pt idx="322" formatCode="0.00%">
                  <c:v>-7.908734602463606E-2</c:v>
                </c:pt>
                <c:pt idx="323" formatCode="0.00%">
                  <c:v>-9.363932568352458E-2</c:v>
                </c:pt>
                <c:pt idx="324" formatCode="0.00%">
                  <c:v>-4.9135048698938796E-2</c:v>
                </c:pt>
                <c:pt idx="325" formatCode="0.00%">
                  <c:v>-7.9435990506770901E-2</c:v>
                </c:pt>
                <c:pt idx="326" formatCode="0.00%">
                  <c:v>-8.3598176039795496E-2</c:v>
                </c:pt>
                <c:pt idx="327" formatCode="0.00%">
                  <c:v>-4.9389645011926477E-2</c:v>
                </c:pt>
                <c:pt idx="328" formatCode="0.00%">
                  <c:v>-4.5250770523956291E-2</c:v>
                </c:pt>
                <c:pt idx="329" formatCode="0.00%">
                  <c:v>-3.9022980199450788E-3</c:v>
                </c:pt>
                <c:pt idx="330" formatCode="0.00%">
                  <c:v>1.6784055147609771E-2</c:v>
                </c:pt>
                <c:pt idx="331" formatCode="0.00%">
                  <c:v>2.5272397094430993E-2</c:v>
                </c:pt>
                <c:pt idx="332" formatCode="0.00%">
                  <c:v>4.9208057819467937E-2</c:v>
                </c:pt>
                <c:pt idx="333" formatCode="0.00%">
                  <c:v>5.3068758652515001E-2</c:v>
                </c:pt>
                <c:pt idx="334" formatCode="0.00%">
                  <c:v>8.2079343365253077E-3</c:v>
                </c:pt>
                <c:pt idx="335" formatCode="0.00%">
                  <c:v>4.7514848390121912E-2</c:v>
                </c:pt>
                <c:pt idx="336" formatCode="0.00%">
                  <c:v>3.3328237272588289E-2</c:v>
                </c:pt>
                <c:pt idx="337" formatCode="0.00%">
                  <c:v>2.6539278131634821E-2</c:v>
                </c:pt>
                <c:pt idx="338" formatCode="0.00%">
                  <c:v>-0.14927623642943305</c:v>
                </c:pt>
                <c:pt idx="339" formatCode="0.00%">
                  <c:v>-0.44339483394833951</c:v>
                </c:pt>
                <c:pt idx="340" formatCode="0.00%">
                  <c:v>-1.9809244314013204E-2</c:v>
                </c:pt>
                <c:pt idx="341" formatCode="0.00%">
                  <c:v>0.240858966918166</c:v>
                </c:pt>
                <c:pt idx="342" formatCode="0.00%">
                  <c:v>0.19498894620486368</c:v>
                </c:pt>
                <c:pt idx="343" formatCode="0.00%">
                  <c:v>0.11084870848708488</c:v>
                </c:pt>
              </c:numCache>
            </c:numRef>
          </c:val>
          <c:smooth val="0"/>
          <c:extLst>
            <c:ext xmlns:c16="http://schemas.microsoft.com/office/drawing/2014/chart" uri="{C3380CC4-5D6E-409C-BE32-E72D297353CC}">
              <c16:uniqueId val="{00000002-4969-4B3A-960D-4B2617CFE2EB}"/>
            </c:ext>
          </c:extLst>
        </c:ser>
        <c:dLbls>
          <c:showLegendKey val="0"/>
          <c:showVal val="0"/>
          <c:showCatName val="0"/>
          <c:showSerName val="0"/>
          <c:showPercent val="0"/>
          <c:showBubbleSize val="0"/>
        </c:dLbls>
        <c:smooth val="0"/>
        <c:axId val="1039182047"/>
        <c:axId val="1039181719"/>
      </c:lineChart>
      <c:dateAx>
        <c:axId val="1039182047"/>
        <c:scaling>
          <c:orientation val="minMax"/>
        </c:scaling>
        <c:delete val="0"/>
        <c:axPos val="b"/>
        <c:numFmt formatCode="[$-409]mmm\-yy;@" sourceLinked="1"/>
        <c:majorTickMark val="out"/>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39181719"/>
        <c:crosses val="autoZero"/>
        <c:auto val="1"/>
        <c:lblOffset val="100"/>
        <c:baseTimeUnit val="months"/>
      </c:dateAx>
      <c:valAx>
        <c:axId val="1039181719"/>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39182047"/>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'General Merchandising'!$B$6</c:f>
              <c:strCache>
                <c:ptCount val="1"/>
                <c:pt idx="0">
                  <c:v>General Merchandise Stores, Millions of Dollars</c:v>
                </c:pt>
              </c:strCache>
            </c:strRef>
          </c:tx>
          <c:spPr>
            <a:ln w="28575" cap="rnd">
              <a:solidFill>
                <a:schemeClr val="accent1"/>
              </a:solidFill>
              <a:round/>
            </a:ln>
            <a:effectLst/>
          </c:spPr>
          <c:marker>
            <c:symbol val="none"/>
          </c:marker>
          <c:cat>
            <c:numRef>
              <c:f>'General Merchandising'!$A$7:$A$350</c:f>
              <c:numCache>
                <c:formatCode>[$-409]mmm\-yy;@</c:formatCode>
                <c:ptCount val="344"/>
                <c:pt idx="0">
                  <c:v>33604</c:v>
                </c:pt>
                <c:pt idx="1">
                  <c:v>33635</c:v>
                </c:pt>
                <c:pt idx="2">
                  <c:v>33664</c:v>
                </c:pt>
                <c:pt idx="3">
                  <c:v>33695</c:v>
                </c:pt>
                <c:pt idx="4">
                  <c:v>33725</c:v>
                </c:pt>
                <c:pt idx="5">
                  <c:v>33756</c:v>
                </c:pt>
                <c:pt idx="6">
                  <c:v>33786</c:v>
                </c:pt>
                <c:pt idx="7">
                  <c:v>33817</c:v>
                </c:pt>
                <c:pt idx="8">
                  <c:v>33848</c:v>
                </c:pt>
                <c:pt idx="9">
                  <c:v>33878</c:v>
                </c:pt>
                <c:pt idx="10">
                  <c:v>33909</c:v>
                </c:pt>
                <c:pt idx="11">
                  <c:v>33939</c:v>
                </c:pt>
                <c:pt idx="12">
                  <c:v>33970</c:v>
                </c:pt>
                <c:pt idx="13">
                  <c:v>34001</c:v>
                </c:pt>
                <c:pt idx="14">
                  <c:v>34029</c:v>
                </c:pt>
                <c:pt idx="15">
                  <c:v>34060</c:v>
                </c:pt>
                <c:pt idx="16">
                  <c:v>34090</c:v>
                </c:pt>
                <c:pt idx="17">
                  <c:v>34121</c:v>
                </c:pt>
                <c:pt idx="18">
                  <c:v>34151</c:v>
                </c:pt>
                <c:pt idx="19">
                  <c:v>34182</c:v>
                </c:pt>
                <c:pt idx="20">
                  <c:v>34213</c:v>
                </c:pt>
                <c:pt idx="21">
                  <c:v>34243</c:v>
                </c:pt>
                <c:pt idx="22">
                  <c:v>34274</c:v>
                </c:pt>
                <c:pt idx="23">
                  <c:v>34304</c:v>
                </c:pt>
                <c:pt idx="24">
                  <c:v>34335</c:v>
                </c:pt>
                <c:pt idx="25">
                  <c:v>34366</c:v>
                </c:pt>
                <c:pt idx="26">
                  <c:v>34394</c:v>
                </c:pt>
                <c:pt idx="27">
                  <c:v>34425</c:v>
                </c:pt>
                <c:pt idx="28">
                  <c:v>34455</c:v>
                </c:pt>
                <c:pt idx="29">
                  <c:v>34486</c:v>
                </c:pt>
                <c:pt idx="30">
                  <c:v>34516</c:v>
                </c:pt>
                <c:pt idx="31">
                  <c:v>34547</c:v>
                </c:pt>
                <c:pt idx="32">
                  <c:v>34578</c:v>
                </c:pt>
                <c:pt idx="33">
                  <c:v>34608</c:v>
                </c:pt>
                <c:pt idx="34">
                  <c:v>34639</c:v>
                </c:pt>
                <c:pt idx="35">
                  <c:v>34669</c:v>
                </c:pt>
                <c:pt idx="36">
                  <c:v>34700</c:v>
                </c:pt>
                <c:pt idx="37">
                  <c:v>34731</c:v>
                </c:pt>
                <c:pt idx="38">
                  <c:v>34759</c:v>
                </c:pt>
                <c:pt idx="39">
                  <c:v>34790</c:v>
                </c:pt>
                <c:pt idx="40">
                  <c:v>34820</c:v>
                </c:pt>
                <c:pt idx="41">
                  <c:v>34851</c:v>
                </c:pt>
                <c:pt idx="42">
                  <c:v>34881</c:v>
                </c:pt>
                <c:pt idx="43">
                  <c:v>34912</c:v>
                </c:pt>
                <c:pt idx="44">
                  <c:v>34943</c:v>
                </c:pt>
                <c:pt idx="45">
                  <c:v>34973</c:v>
                </c:pt>
                <c:pt idx="46">
                  <c:v>35004</c:v>
                </c:pt>
                <c:pt idx="47">
                  <c:v>35034</c:v>
                </c:pt>
                <c:pt idx="48">
                  <c:v>35065</c:v>
                </c:pt>
                <c:pt idx="49">
                  <c:v>35096</c:v>
                </c:pt>
                <c:pt idx="50">
                  <c:v>35125</c:v>
                </c:pt>
                <c:pt idx="51">
                  <c:v>35156</c:v>
                </c:pt>
                <c:pt idx="52">
                  <c:v>35186</c:v>
                </c:pt>
                <c:pt idx="53">
                  <c:v>35217</c:v>
                </c:pt>
                <c:pt idx="54">
                  <c:v>35247</c:v>
                </c:pt>
                <c:pt idx="55">
                  <c:v>35278</c:v>
                </c:pt>
                <c:pt idx="56">
                  <c:v>35309</c:v>
                </c:pt>
                <c:pt idx="57">
                  <c:v>35339</c:v>
                </c:pt>
                <c:pt idx="58">
                  <c:v>35370</c:v>
                </c:pt>
                <c:pt idx="59">
                  <c:v>35400</c:v>
                </c:pt>
                <c:pt idx="60">
                  <c:v>35431</c:v>
                </c:pt>
                <c:pt idx="61">
                  <c:v>35462</c:v>
                </c:pt>
                <c:pt idx="62">
                  <c:v>35490</c:v>
                </c:pt>
                <c:pt idx="63">
                  <c:v>35521</c:v>
                </c:pt>
                <c:pt idx="64">
                  <c:v>35551</c:v>
                </c:pt>
                <c:pt idx="65">
                  <c:v>35582</c:v>
                </c:pt>
                <c:pt idx="66">
                  <c:v>35612</c:v>
                </c:pt>
                <c:pt idx="67">
                  <c:v>35643</c:v>
                </c:pt>
                <c:pt idx="68">
                  <c:v>35674</c:v>
                </c:pt>
                <c:pt idx="69">
                  <c:v>35704</c:v>
                </c:pt>
                <c:pt idx="70">
                  <c:v>35735</c:v>
                </c:pt>
                <c:pt idx="71">
                  <c:v>35765</c:v>
                </c:pt>
                <c:pt idx="72">
                  <c:v>35796</c:v>
                </c:pt>
                <c:pt idx="73">
                  <c:v>35827</c:v>
                </c:pt>
                <c:pt idx="74">
                  <c:v>35855</c:v>
                </c:pt>
                <c:pt idx="75">
                  <c:v>35886</c:v>
                </c:pt>
                <c:pt idx="76">
                  <c:v>35916</c:v>
                </c:pt>
                <c:pt idx="77">
                  <c:v>35947</c:v>
                </c:pt>
                <c:pt idx="78">
                  <c:v>35977</c:v>
                </c:pt>
                <c:pt idx="79">
                  <c:v>36008</c:v>
                </c:pt>
                <c:pt idx="80">
                  <c:v>36039</c:v>
                </c:pt>
                <c:pt idx="81">
                  <c:v>36069</c:v>
                </c:pt>
                <c:pt idx="82">
                  <c:v>36100</c:v>
                </c:pt>
                <c:pt idx="83">
                  <c:v>36130</c:v>
                </c:pt>
                <c:pt idx="84">
                  <c:v>36161</c:v>
                </c:pt>
                <c:pt idx="85">
                  <c:v>36192</c:v>
                </c:pt>
                <c:pt idx="86">
                  <c:v>36220</c:v>
                </c:pt>
                <c:pt idx="87">
                  <c:v>36251</c:v>
                </c:pt>
                <c:pt idx="88">
                  <c:v>36281</c:v>
                </c:pt>
                <c:pt idx="89">
                  <c:v>36312</c:v>
                </c:pt>
                <c:pt idx="90">
                  <c:v>36342</c:v>
                </c:pt>
                <c:pt idx="91">
                  <c:v>36373</c:v>
                </c:pt>
                <c:pt idx="92">
                  <c:v>36404</c:v>
                </c:pt>
                <c:pt idx="93">
                  <c:v>36434</c:v>
                </c:pt>
                <c:pt idx="94">
                  <c:v>36465</c:v>
                </c:pt>
                <c:pt idx="95">
                  <c:v>36495</c:v>
                </c:pt>
                <c:pt idx="96">
                  <c:v>36526</c:v>
                </c:pt>
                <c:pt idx="97">
                  <c:v>36557</c:v>
                </c:pt>
                <c:pt idx="98">
                  <c:v>36586</c:v>
                </c:pt>
                <c:pt idx="99">
                  <c:v>36617</c:v>
                </c:pt>
                <c:pt idx="100">
                  <c:v>36647</c:v>
                </c:pt>
                <c:pt idx="101">
                  <c:v>36678</c:v>
                </c:pt>
                <c:pt idx="102">
                  <c:v>36708</c:v>
                </c:pt>
                <c:pt idx="103">
                  <c:v>36739</c:v>
                </c:pt>
                <c:pt idx="104">
                  <c:v>36770</c:v>
                </c:pt>
                <c:pt idx="105">
                  <c:v>36800</c:v>
                </c:pt>
                <c:pt idx="106">
                  <c:v>36831</c:v>
                </c:pt>
                <c:pt idx="107">
                  <c:v>36861</c:v>
                </c:pt>
                <c:pt idx="108">
                  <c:v>36892</c:v>
                </c:pt>
                <c:pt idx="109">
                  <c:v>36923</c:v>
                </c:pt>
                <c:pt idx="110">
                  <c:v>36951</c:v>
                </c:pt>
                <c:pt idx="111">
                  <c:v>36982</c:v>
                </c:pt>
                <c:pt idx="112">
                  <c:v>37012</c:v>
                </c:pt>
                <c:pt idx="113">
                  <c:v>37043</c:v>
                </c:pt>
                <c:pt idx="114">
                  <c:v>37073</c:v>
                </c:pt>
                <c:pt idx="115">
                  <c:v>37104</c:v>
                </c:pt>
                <c:pt idx="116">
                  <c:v>37135</c:v>
                </c:pt>
                <c:pt idx="117">
                  <c:v>37165</c:v>
                </c:pt>
                <c:pt idx="118">
                  <c:v>37196</c:v>
                </c:pt>
                <c:pt idx="119">
                  <c:v>37226</c:v>
                </c:pt>
                <c:pt idx="120">
                  <c:v>37257</c:v>
                </c:pt>
                <c:pt idx="121">
                  <c:v>37288</c:v>
                </c:pt>
                <c:pt idx="122">
                  <c:v>37316</c:v>
                </c:pt>
                <c:pt idx="123">
                  <c:v>37347</c:v>
                </c:pt>
                <c:pt idx="124">
                  <c:v>37377</c:v>
                </c:pt>
                <c:pt idx="125">
                  <c:v>37408</c:v>
                </c:pt>
                <c:pt idx="126">
                  <c:v>37438</c:v>
                </c:pt>
                <c:pt idx="127">
                  <c:v>37469</c:v>
                </c:pt>
                <c:pt idx="128">
                  <c:v>37500</c:v>
                </c:pt>
                <c:pt idx="129">
                  <c:v>37530</c:v>
                </c:pt>
                <c:pt idx="130">
                  <c:v>37561</c:v>
                </c:pt>
                <c:pt idx="131">
                  <c:v>37591</c:v>
                </c:pt>
                <c:pt idx="132">
                  <c:v>37622</c:v>
                </c:pt>
                <c:pt idx="133">
                  <c:v>37653</c:v>
                </c:pt>
                <c:pt idx="134">
                  <c:v>37681</c:v>
                </c:pt>
                <c:pt idx="135">
                  <c:v>37712</c:v>
                </c:pt>
                <c:pt idx="136">
                  <c:v>37742</c:v>
                </c:pt>
                <c:pt idx="137">
                  <c:v>37773</c:v>
                </c:pt>
                <c:pt idx="138">
                  <c:v>37803</c:v>
                </c:pt>
                <c:pt idx="139">
                  <c:v>37834</c:v>
                </c:pt>
                <c:pt idx="140">
                  <c:v>37865</c:v>
                </c:pt>
                <c:pt idx="141">
                  <c:v>37895</c:v>
                </c:pt>
                <c:pt idx="142">
                  <c:v>37926</c:v>
                </c:pt>
                <c:pt idx="143">
                  <c:v>37956</c:v>
                </c:pt>
                <c:pt idx="144">
                  <c:v>37987</c:v>
                </c:pt>
                <c:pt idx="145">
                  <c:v>38018</c:v>
                </c:pt>
                <c:pt idx="146">
                  <c:v>38047</c:v>
                </c:pt>
                <c:pt idx="147">
                  <c:v>38078</c:v>
                </c:pt>
                <c:pt idx="148">
                  <c:v>38108</c:v>
                </c:pt>
                <c:pt idx="149">
                  <c:v>38139</c:v>
                </c:pt>
                <c:pt idx="150">
                  <c:v>38169</c:v>
                </c:pt>
                <c:pt idx="151">
                  <c:v>38200</c:v>
                </c:pt>
                <c:pt idx="152">
                  <c:v>38231</c:v>
                </c:pt>
                <c:pt idx="153">
                  <c:v>38261</c:v>
                </c:pt>
                <c:pt idx="154">
                  <c:v>38292</c:v>
                </c:pt>
                <c:pt idx="155">
                  <c:v>38322</c:v>
                </c:pt>
                <c:pt idx="156">
                  <c:v>38353</c:v>
                </c:pt>
                <c:pt idx="157">
                  <c:v>38384</c:v>
                </c:pt>
                <c:pt idx="158">
                  <c:v>38412</c:v>
                </c:pt>
                <c:pt idx="159">
                  <c:v>38443</c:v>
                </c:pt>
                <c:pt idx="160">
                  <c:v>38473</c:v>
                </c:pt>
                <c:pt idx="161">
                  <c:v>38504</c:v>
                </c:pt>
                <c:pt idx="162">
                  <c:v>38534</c:v>
                </c:pt>
                <c:pt idx="163">
                  <c:v>38565</c:v>
                </c:pt>
                <c:pt idx="164">
                  <c:v>38596</c:v>
                </c:pt>
                <c:pt idx="165">
                  <c:v>38626</c:v>
                </c:pt>
                <c:pt idx="166">
                  <c:v>38657</c:v>
                </c:pt>
                <c:pt idx="167">
                  <c:v>38687</c:v>
                </c:pt>
                <c:pt idx="168">
                  <c:v>38718</c:v>
                </c:pt>
                <c:pt idx="169">
                  <c:v>38749</c:v>
                </c:pt>
                <c:pt idx="170">
                  <c:v>38777</c:v>
                </c:pt>
                <c:pt idx="171">
                  <c:v>38808</c:v>
                </c:pt>
                <c:pt idx="172">
                  <c:v>38838</c:v>
                </c:pt>
                <c:pt idx="173">
                  <c:v>38869</c:v>
                </c:pt>
                <c:pt idx="174">
                  <c:v>38899</c:v>
                </c:pt>
                <c:pt idx="175">
                  <c:v>38930</c:v>
                </c:pt>
                <c:pt idx="176">
                  <c:v>38961</c:v>
                </c:pt>
                <c:pt idx="177">
                  <c:v>38991</c:v>
                </c:pt>
                <c:pt idx="178">
                  <c:v>39022</c:v>
                </c:pt>
                <c:pt idx="179">
                  <c:v>39052</c:v>
                </c:pt>
                <c:pt idx="180">
                  <c:v>39083</c:v>
                </c:pt>
                <c:pt idx="181">
                  <c:v>39114</c:v>
                </c:pt>
                <c:pt idx="182">
                  <c:v>39142</c:v>
                </c:pt>
                <c:pt idx="183">
                  <c:v>39173</c:v>
                </c:pt>
                <c:pt idx="184">
                  <c:v>39203</c:v>
                </c:pt>
                <c:pt idx="185">
                  <c:v>39234</c:v>
                </c:pt>
                <c:pt idx="186">
                  <c:v>39264</c:v>
                </c:pt>
                <c:pt idx="187">
                  <c:v>39295</c:v>
                </c:pt>
                <c:pt idx="188">
                  <c:v>39326</c:v>
                </c:pt>
                <c:pt idx="189">
                  <c:v>39356</c:v>
                </c:pt>
                <c:pt idx="190">
                  <c:v>39387</c:v>
                </c:pt>
                <c:pt idx="191">
                  <c:v>39417</c:v>
                </c:pt>
                <c:pt idx="192">
                  <c:v>39448</c:v>
                </c:pt>
                <c:pt idx="193">
                  <c:v>39479</c:v>
                </c:pt>
                <c:pt idx="194">
                  <c:v>39508</c:v>
                </c:pt>
                <c:pt idx="195">
                  <c:v>39539</c:v>
                </c:pt>
                <c:pt idx="196">
                  <c:v>39569</c:v>
                </c:pt>
                <c:pt idx="197">
                  <c:v>39600</c:v>
                </c:pt>
                <c:pt idx="198">
                  <c:v>39630</c:v>
                </c:pt>
                <c:pt idx="199">
                  <c:v>39661</c:v>
                </c:pt>
                <c:pt idx="200">
                  <c:v>39692</c:v>
                </c:pt>
                <c:pt idx="201">
                  <c:v>39722</c:v>
                </c:pt>
                <c:pt idx="202">
                  <c:v>39753</c:v>
                </c:pt>
                <c:pt idx="203">
                  <c:v>39783</c:v>
                </c:pt>
                <c:pt idx="204">
                  <c:v>39814</c:v>
                </c:pt>
                <c:pt idx="205">
                  <c:v>39845</c:v>
                </c:pt>
                <c:pt idx="206">
                  <c:v>39873</c:v>
                </c:pt>
                <c:pt idx="207">
                  <c:v>39904</c:v>
                </c:pt>
                <c:pt idx="208">
                  <c:v>39934</c:v>
                </c:pt>
                <c:pt idx="209">
                  <c:v>39965</c:v>
                </c:pt>
                <c:pt idx="210">
                  <c:v>39995</c:v>
                </c:pt>
                <c:pt idx="211">
                  <c:v>40026</c:v>
                </c:pt>
                <c:pt idx="212">
                  <c:v>40057</c:v>
                </c:pt>
                <c:pt idx="213">
                  <c:v>40087</c:v>
                </c:pt>
                <c:pt idx="214">
                  <c:v>40118</c:v>
                </c:pt>
                <c:pt idx="215">
                  <c:v>40148</c:v>
                </c:pt>
                <c:pt idx="216">
                  <c:v>40179</c:v>
                </c:pt>
                <c:pt idx="217">
                  <c:v>40210</c:v>
                </c:pt>
                <c:pt idx="218">
                  <c:v>40238</c:v>
                </c:pt>
                <c:pt idx="219">
                  <c:v>40269</c:v>
                </c:pt>
                <c:pt idx="220">
                  <c:v>40299</c:v>
                </c:pt>
                <c:pt idx="221">
                  <c:v>40330</c:v>
                </c:pt>
                <c:pt idx="222">
                  <c:v>40360</c:v>
                </c:pt>
                <c:pt idx="223">
                  <c:v>40391</c:v>
                </c:pt>
                <c:pt idx="224">
                  <c:v>40422</c:v>
                </c:pt>
                <c:pt idx="225">
                  <c:v>40452</c:v>
                </c:pt>
                <c:pt idx="226">
                  <c:v>40483</c:v>
                </c:pt>
                <c:pt idx="227">
                  <c:v>40513</c:v>
                </c:pt>
                <c:pt idx="228">
                  <c:v>40544</c:v>
                </c:pt>
                <c:pt idx="229">
                  <c:v>40575</c:v>
                </c:pt>
                <c:pt idx="230">
                  <c:v>40603</c:v>
                </c:pt>
                <c:pt idx="231">
                  <c:v>40634</c:v>
                </c:pt>
                <c:pt idx="232">
                  <c:v>40664</c:v>
                </c:pt>
                <c:pt idx="233">
                  <c:v>40695</c:v>
                </c:pt>
                <c:pt idx="234">
                  <c:v>40725</c:v>
                </c:pt>
                <c:pt idx="235">
                  <c:v>40756</c:v>
                </c:pt>
                <c:pt idx="236">
                  <c:v>40787</c:v>
                </c:pt>
                <c:pt idx="237">
                  <c:v>40817</c:v>
                </c:pt>
                <c:pt idx="238">
                  <c:v>40848</c:v>
                </c:pt>
                <c:pt idx="239">
                  <c:v>40878</c:v>
                </c:pt>
                <c:pt idx="240">
                  <c:v>40909</c:v>
                </c:pt>
                <c:pt idx="241">
                  <c:v>40940</c:v>
                </c:pt>
                <c:pt idx="242">
                  <c:v>40969</c:v>
                </c:pt>
                <c:pt idx="243">
                  <c:v>41000</c:v>
                </c:pt>
                <c:pt idx="244">
                  <c:v>41030</c:v>
                </c:pt>
                <c:pt idx="245">
                  <c:v>41061</c:v>
                </c:pt>
                <c:pt idx="246">
                  <c:v>41091</c:v>
                </c:pt>
                <c:pt idx="247">
                  <c:v>41122</c:v>
                </c:pt>
                <c:pt idx="248">
                  <c:v>41153</c:v>
                </c:pt>
                <c:pt idx="249">
                  <c:v>41183</c:v>
                </c:pt>
                <c:pt idx="250">
                  <c:v>41214</c:v>
                </c:pt>
                <c:pt idx="251">
                  <c:v>41244</c:v>
                </c:pt>
                <c:pt idx="252">
                  <c:v>41275</c:v>
                </c:pt>
                <c:pt idx="253">
                  <c:v>41306</c:v>
                </c:pt>
                <c:pt idx="254">
                  <c:v>41334</c:v>
                </c:pt>
                <c:pt idx="255">
                  <c:v>41365</c:v>
                </c:pt>
                <c:pt idx="256">
                  <c:v>41395</c:v>
                </c:pt>
                <c:pt idx="257">
                  <c:v>41426</c:v>
                </c:pt>
                <c:pt idx="258">
                  <c:v>41456</c:v>
                </c:pt>
                <c:pt idx="259">
                  <c:v>41487</c:v>
                </c:pt>
                <c:pt idx="260">
                  <c:v>41518</c:v>
                </c:pt>
                <c:pt idx="261">
                  <c:v>41548</c:v>
                </c:pt>
                <c:pt idx="262">
                  <c:v>41579</c:v>
                </c:pt>
                <c:pt idx="263">
                  <c:v>41609</c:v>
                </c:pt>
                <c:pt idx="264">
                  <c:v>41640</c:v>
                </c:pt>
                <c:pt idx="265">
                  <c:v>41671</c:v>
                </c:pt>
                <c:pt idx="266">
                  <c:v>41699</c:v>
                </c:pt>
                <c:pt idx="267">
                  <c:v>41730</c:v>
                </c:pt>
                <c:pt idx="268">
                  <c:v>41760</c:v>
                </c:pt>
                <c:pt idx="269">
                  <c:v>41791</c:v>
                </c:pt>
                <c:pt idx="270">
                  <c:v>41821</c:v>
                </c:pt>
                <c:pt idx="271">
                  <c:v>41852</c:v>
                </c:pt>
                <c:pt idx="272">
                  <c:v>41883</c:v>
                </c:pt>
                <c:pt idx="273">
                  <c:v>41913</c:v>
                </c:pt>
                <c:pt idx="274">
                  <c:v>41944</c:v>
                </c:pt>
                <c:pt idx="275">
                  <c:v>41974</c:v>
                </c:pt>
                <c:pt idx="276">
                  <c:v>42005</c:v>
                </c:pt>
                <c:pt idx="277">
                  <c:v>42036</c:v>
                </c:pt>
                <c:pt idx="278">
                  <c:v>42064</c:v>
                </c:pt>
                <c:pt idx="279">
                  <c:v>42095</c:v>
                </c:pt>
                <c:pt idx="280">
                  <c:v>42125</c:v>
                </c:pt>
                <c:pt idx="281">
                  <c:v>42156</c:v>
                </c:pt>
                <c:pt idx="282">
                  <c:v>42186</c:v>
                </c:pt>
                <c:pt idx="283">
                  <c:v>42217</c:v>
                </c:pt>
                <c:pt idx="284">
                  <c:v>42248</c:v>
                </c:pt>
                <c:pt idx="285">
                  <c:v>42278</c:v>
                </c:pt>
                <c:pt idx="286">
                  <c:v>42309</c:v>
                </c:pt>
                <c:pt idx="287">
                  <c:v>42339</c:v>
                </c:pt>
                <c:pt idx="288">
                  <c:v>42370</c:v>
                </c:pt>
                <c:pt idx="289">
                  <c:v>42401</c:v>
                </c:pt>
                <c:pt idx="290">
                  <c:v>42430</c:v>
                </c:pt>
                <c:pt idx="291">
                  <c:v>42461</c:v>
                </c:pt>
                <c:pt idx="292">
                  <c:v>42491</c:v>
                </c:pt>
                <c:pt idx="293">
                  <c:v>42522</c:v>
                </c:pt>
                <c:pt idx="294">
                  <c:v>42552</c:v>
                </c:pt>
                <c:pt idx="295">
                  <c:v>42583</c:v>
                </c:pt>
                <c:pt idx="296">
                  <c:v>42614</c:v>
                </c:pt>
                <c:pt idx="297">
                  <c:v>42644</c:v>
                </c:pt>
                <c:pt idx="298">
                  <c:v>42675</c:v>
                </c:pt>
                <c:pt idx="299">
                  <c:v>42705</c:v>
                </c:pt>
                <c:pt idx="300">
                  <c:v>42736</c:v>
                </c:pt>
                <c:pt idx="301">
                  <c:v>42767</c:v>
                </c:pt>
                <c:pt idx="302">
                  <c:v>42795</c:v>
                </c:pt>
                <c:pt idx="303">
                  <c:v>42826</c:v>
                </c:pt>
                <c:pt idx="304">
                  <c:v>42856</c:v>
                </c:pt>
                <c:pt idx="305">
                  <c:v>42887</c:v>
                </c:pt>
                <c:pt idx="306">
                  <c:v>42917</c:v>
                </c:pt>
                <c:pt idx="307">
                  <c:v>42948</c:v>
                </c:pt>
                <c:pt idx="308">
                  <c:v>42979</c:v>
                </c:pt>
                <c:pt idx="309">
                  <c:v>43009</c:v>
                </c:pt>
                <c:pt idx="310">
                  <c:v>43040</c:v>
                </c:pt>
                <c:pt idx="311">
                  <c:v>43070</c:v>
                </c:pt>
                <c:pt idx="312">
                  <c:v>43101</c:v>
                </c:pt>
                <c:pt idx="313">
                  <c:v>43132</c:v>
                </c:pt>
                <c:pt idx="314">
                  <c:v>43160</c:v>
                </c:pt>
                <c:pt idx="315">
                  <c:v>43191</c:v>
                </c:pt>
                <c:pt idx="316">
                  <c:v>43221</c:v>
                </c:pt>
                <c:pt idx="317">
                  <c:v>43252</c:v>
                </c:pt>
                <c:pt idx="318">
                  <c:v>43282</c:v>
                </c:pt>
                <c:pt idx="319">
                  <c:v>43313</c:v>
                </c:pt>
                <c:pt idx="320">
                  <c:v>43344</c:v>
                </c:pt>
                <c:pt idx="321">
                  <c:v>43374</c:v>
                </c:pt>
                <c:pt idx="322">
                  <c:v>43405</c:v>
                </c:pt>
                <c:pt idx="323">
                  <c:v>43435</c:v>
                </c:pt>
                <c:pt idx="324">
                  <c:v>43466</c:v>
                </c:pt>
                <c:pt idx="325">
                  <c:v>43497</c:v>
                </c:pt>
                <c:pt idx="326">
                  <c:v>43525</c:v>
                </c:pt>
                <c:pt idx="327">
                  <c:v>43556</c:v>
                </c:pt>
                <c:pt idx="328">
                  <c:v>43586</c:v>
                </c:pt>
                <c:pt idx="329">
                  <c:v>43617</c:v>
                </c:pt>
                <c:pt idx="330">
                  <c:v>43647</c:v>
                </c:pt>
                <c:pt idx="331">
                  <c:v>43678</c:v>
                </c:pt>
                <c:pt idx="332">
                  <c:v>43709</c:v>
                </c:pt>
                <c:pt idx="333">
                  <c:v>43739</c:v>
                </c:pt>
                <c:pt idx="334">
                  <c:v>43770</c:v>
                </c:pt>
                <c:pt idx="335">
                  <c:v>43800</c:v>
                </c:pt>
                <c:pt idx="336">
                  <c:v>43831</c:v>
                </c:pt>
                <c:pt idx="337">
                  <c:v>43862</c:v>
                </c:pt>
                <c:pt idx="338">
                  <c:v>43891</c:v>
                </c:pt>
                <c:pt idx="339">
                  <c:v>43922</c:v>
                </c:pt>
                <c:pt idx="340">
                  <c:v>43952</c:v>
                </c:pt>
                <c:pt idx="341">
                  <c:v>43983</c:v>
                </c:pt>
                <c:pt idx="342">
                  <c:v>44013</c:v>
                </c:pt>
                <c:pt idx="343">
                  <c:v>44044</c:v>
                </c:pt>
              </c:numCache>
            </c:numRef>
          </c:cat>
          <c:val>
            <c:numRef>
              <c:f>'General Merchandising'!$B$7:$B$350</c:f>
              <c:numCache>
                <c:formatCode>#,##0</c:formatCode>
                <c:ptCount val="344"/>
                <c:pt idx="0">
                  <c:v>19879</c:v>
                </c:pt>
                <c:pt idx="1">
                  <c:v>20202</c:v>
                </c:pt>
                <c:pt idx="2">
                  <c:v>20168</c:v>
                </c:pt>
                <c:pt idx="3">
                  <c:v>20258</c:v>
                </c:pt>
                <c:pt idx="4">
                  <c:v>20345</c:v>
                </c:pt>
                <c:pt idx="5">
                  <c:v>20298</c:v>
                </c:pt>
                <c:pt idx="6">
                  <c:v>20205</c:v>
                </c:pt>
                <c:pt idx="7">
                  <c:v>20593</c:v>
                </c:pt>
                <c:pt idx="8">
                  <c:v>20684</c:v>
                </c:pt>
                <c:pt idx="9">
                  <c:v>20851</c:v>
                </c:pt>
                <c:pt idx="10">
                  <c:v>21078</c:v>
                </c:pt>
                <c:pt idx="11">
                  <c:v>21752</c:v>
                </c:pt>
                <c:pt idx="12">
                  <c:v>21383</c:v>
                </c:pt>
                <c:pt idx="13">
                  <c:v>21392</c:v>
                </c:pt>
                <c:pt idx="14">
                  <c:v>21273</c:v>
                </c:pt>
                <c:pt idx="15">
                  <c:v>21759</c:v>
                </c:pt>
                <c:pt idx="16">
                  <c:v>21993</c:v>
                </c:pt>
                <c:pt idx="17">
                  <c:v>21957</c:v>
                </c:pt>
                <c:pt idx="18">
                  <c:v>22343</c:v>
                </c:pt>
                <c:pt idx="19">
                  <c:v>22315</c:v>
                </c:pt>
                <c:pt idx="20">
                  <c:v>22429</c:v>
                </c:pt>
                <c:pt idx="21">
                  <c:v>22647</c:v>
                </c:pt>
                <c:pt idx="22">
                  <c:v>22760</c:v>
                </c:pt>
                <c:pt idx="23">
                  <c:v>22905</c:v>
                </c:pt>
                <c:pt idx="24">
                  <c:v>22706</c:v>
                </c:pt>
                <c:pt idx="25">
                  <c:v>23070</c:v>
                </c:pt>
                <c:pt idx="26">
                  <c:v>23657</c:v>
                </c:pt>
                <c:pt idx="27">
                  <c:v>23354</c:v>
                </c:pt>
                <c:pt idx="28">
                  <c:v>23271</c:v>
                </c:pt>
                <c:pt idx="29">
                  <c:v>23626</c:v>
                </c:pt>
                <c:pt idx="30">
                  <c:v>23635</c:v>
                </c:pt>
                <c:pt idx="31">
                  <c:v>23889</c:v>
                </c:pt>
                <c:pt idx="32">
                  <c:v>23995</c:v>
                </c:pt>
                <c:pt idx="33">
                  <c:v>24255</c:v>
                </c:pt>
                <c:pt idx="34">
                  <c:v>24356</c:v>
                </c:pt>
                <c:pt idx="35">
                  <c:v>24583</c:v>
                </c:pt>
                <c:pt idx="36">
                  <c:v>24936</c:v>
                </c:pt>
                <c:pt idx="37">
                  <c:v>24115</c:v>
                </c:pt>
                <c:pt idx="38">
                  <c:v>24579</c:v>
                </c:pt>
                <c:pt idx="39">
                  <c:v>24747</c:v>
                </c:pt>
                <c:pt idx="40">
                  <c:v>24851</c:v>
                </c:pt>
                <c:pt idx="41">
                  <c:v>25166</c:v>
                </c:pt>
                <c:pt idx="42">
                  <c:v>25375</c:v>
                </c:pt>
                <c:pt idx="43">
                  <c:v>25174</c:v>
                </c:pt>
                <c:pt idx="44">
                  <c:v>25469</c:v>
                </c:pt>
                <c:pt idx="45">
                  <c:v>25135</c:v>
                </c:pt>
                <c:pt idx="46">
                  <c:v>25414</c:v>
                </c:pt>
                <c:pt idx="47">
                  <c:v>25554</c:v>
                </c:pt>
                <c:pt idx="48">
                  <c:v>25215</c:v>
                </c:pt>
                <c:pt idx="49">
                  <c:v>25616</c:v>
                </c:pt>
                <c:pt idx="50">
                  <c:v>25576</c:v>
                </c:pt>
                <c:pt idx="51">
                  <c:v>26103</c:v>
                </c:pt>
                <c:pt idx="52">
                  <c:v>26216</c:v>
                </c:pt>
                <c:pt idx="53">
                  <c:v>26085</c:v>
                </c:pt>
                <c:pt idx="54">
                  <c:v>26209</c:v>
                </c:pt>
                <c:pt idx="55">
                  <c:v>26441</c:v>
                </c:pt>
                <c:pt idx="56">
                  <c:v>26590</c:v>
                </c:pt>
                <c:pt idx="57">
                  <c:v>26904</c:v>
                </c:pt>
                <c:pt idx="58">
                  <c:v>26772</c:v>
                </c:pt>
                <c:pt idx="59">
                  <c:v>27051</c:v>
                </c:pt>
                <c:pt idx="60">
                  <c:v>27216</c:v>
                </c:pt>
                <c:pt idx="61">
                  <c:v>27262</c:v>
                </c:pt>
                <c:pt idx="62">
                  <c:v>27304</c:v>
                </c:pt>
                <c:pt idx="63">
                  <c:v>27179</c:v>
                </c:pt>
                <c:pt idx="64">
                  <c:v>27328</c:v>
                </c:pt>
                <c:pt idx="65">
                  <c:v>27433</c:v>
                </c:pt>
                <c:pt idx="66">
                  <c:v>27949</c:v>
                </c:pt>
                <c:pt idx="67">
                  <c:v>27939</c:v>
                </c:pt>
                <c:pt idx="68">
                  <c:v>27868</c:v>
                </c:pt>
                <c:pt idx="69">
                  <c:v>28155</c:v>
                </c:pt>
                <c:pt idx="70">
                  <c:v>28151</c:v>
                </c:pt>
                <c:pt idx="71">
                  <c:v>28008</c:v>
                </c:pt>
                <c:pt idx="72">
                  <c:v>28402</c:v>
                </c:pt>
                <c:pt idx="73">
                  <c:v>28748</c:v>
                </c:pt>
                <c:pt idx="74">
                  <c:v>28714</c:v>
                </c:pt>
                <c:pt idx="75">
                  <c:v>29123</c:v>
                </c:pt>
                <c:pt idx="76">
                  <c:v>29076</c:v>
                </c:pt>
                <c:pt idx="77">
                  <c:v>29170</c:v>
                </c:pt>
                <c:pt idx="78">
                  <c:v>29113</c:v>
                </c:pt>
                <c:pt idx="79">
                  <c:v>29274</c:v>
                </c:pt>
                <c:pt idx="80">
                  <c:v>29559</c:v>
                </c:pt>
                <c:pt idx="81">
                  <c:v>29720</c:v>
                </c:pt>
                <c:pt idx="82">
                  <c:v>30094</c:v>
                </c:pt>
                <c:pt idx="83">
                  <c:v>30129</c:v>
                </c:pt>
                <c:pt idx="84">
                  <c:v>30664</c:v>
                </c:pt>
                <c:pt idx="85">
                  <c:v>31094</c:v>
                </c:pt>
                <c:pt idx="86">
                  <c:v>31390</c:v>
                </c:pt>
                <c:pt idx="87">
                  <c:v>31009</c:v>
                </c:pt>
                <c:pt idx="88">
                  <c:v>31165</c:v>
                </c:pt>
                <c:pt idx="89">
                  <c:v>31652</c:v>
                </c:pt>
                <c:pt idx="90">
                  <c:v>31549</c:v>
                </c:pt>
                <c:pt idx="91">
                  <c:v>31806</c:v>
                </c:pt>
                <c:pt idx="92">
                  <c:v>32152</c:v>
                </c:pt>
                <c:pt idx="93">
                  <c:v>32085</c:v>
                </c:pt>
                <c:pt idx="94">
                  <c:v>32161</c:v>
                </c:pt>
                <c:pt idx="95">
                  <c:v>33101</c:v>
                </c:pt>
                <c:pt idx="96">
                  <c:v>32179</c:v>
                </c:pt>
                <c:pt idx="97">
                  <c:v>32576</c:v>
                </c:pt>
                <c:pt idx="98">
                  <c:v>33105</c:v>
                </c:pt>
                <c:pt idx="99">
                  <c:v>32879</c:v>
                </c:pt>
                <c:pt idx="100">
                  <c:v>33339</c:v>
                </c:pt>
                <c:pt idx="101">
                  <c:v>33408</c:v>
                </c:pt>
                <c:pt idx="102">
                  <c:v>33586</c:v>
                </c:pt>
                <c:pt idx="103">
                  <c:v>33823</c:v>
                </c:pt>
                <c:pt idx="104">
                  <c:v>34146</c:v>
                </c:pt>
                <c:pt idx="105">
                  <c:v>34280</c:v>
                </c:pt>
                <c:pt idx="106">
                  <c:v>34458</c:v>
                </c:pt>
                <c:pt idx="107">
                  <c:v>34734</c:v>
                </c:pt>
                <c:pt idx="108">
                  <c:v>35601</c:v>
                </c:pt>
                <c:pt idx="109">
                  <c:v>34655</c:v>
                </c:pt>
                <c:pt idx="110">
                  <c:v>34069</c:v>
                </c:pt>
                <c:pt idx="111">
                  <c:v>35364</c:v>
                </c:pt>
                <c:pt idx="112">
                  <c:v>35202</c:v>
                </c:pt>
                <c:pt idx="113">
                  <c:v>35114</c:v>
                </c:pt>
                <c:pt idx="114">
                  <c:v>35720</c:v>
                </c:pt>
                <c:pt idx="115">
                  <c:v>35915</c:v>
                </c:pt>
                <c:pt idx="116">
                  <c:v>35822</c:v>
                </c:pt>
                <c:pt idx="117">
                  <c:v>36229</c:v>
                </c:pt>
                <c:pt idx="118">
                  <c:v>36656</c:v>
                </c:pt>
                <c:pt idx="119">
                  <c:v>37054</c:v>
                </c:pt>
                <c:pt idx="120">
                  <c:v>36811</c:v>
                </c:pt>
                <c:pt idx="121">
                  <c:v>36974</c:v>
                </c:pt>
                <c:pt idx="122">
                  <c:v>37144</c:v>
                </c:pt>
                <c:pt idx="123">
                  <c:v>37491</c:v>
                </c:pt>
                <c:pt idx="124">
                  <c:v>37114</c:v>
                </c:pt>
                <c:pt idx="125">
                  <c:v>37417</c:v>
                </c:pt>
                <c:pt idx="126">
                  <c:v>37132</c:v>
                </c:pt>
                <c:pt idx="127">
                  <c:v>37202</c:v>
                </c:pt>
                <c:pt idx="128">
                  <c:v>37059</c:v>
                </c:pt>
                <c:pt idx="129">
                  <c:v>37816</c:v>
                </c:pt>
                <c:pt idx="130">
                  <c:v>37698</c:v>
                </c:pt>
                <c:pt idx="131">
                  <c:v>37716</c:v>
                </c:pt>
                <c:pt idx="132">
                  <c:v>37740</c:v>
                </c:pt>
                <c:pt idx="133">
                  <c:v>38030</c:v>
                </c:pt>
                <c:pt idx="134">
                  <c:v>38391</c:v>
                </c:pt>
                <c:pt idx="135">
                  <c:v>38321</c:v>
                </c:pt>
                <c:pt idx="136">
                  <c:v>38483</c:v>
                </c:pt>
                <c:pt idx="137">
                  <c:v>38866</c:v>
                </c:pt>
                <c:pt idx="138">
                  <c:v>39404</c:v>
                </c:pt>
                <c:pt idx="139">
                  <c:v>40085</c:v>
                </c:pt>
                <c:pt idx="140">
                  <c:v>39896</c:v>
                </c:pt>
                <c:pt idx="141">
                  <c:v>39649</c:v>
                </c:pt>
                <c:pt idx="142">
                  <c:v>39945</c:v>
                </c:pt>
                <c:pt idx="143">
                  <c:v>40084</c:v>
                </c:pt>
                <c:pt idx="144">
                  <c:v>40436</c:v>
                </c:pt>
                <c:pt idx="145">
                  <c:v>40519</c:v>
                </c:pt>
                <c:pt idx="146">
                  <c:v>41079</c:v>
                </c:pt>
                <c:pt idx="147">
                  <c:v>40662</c:v>
                </c:pt>
                <c:pt idx="148">
                  <c:v>41332</c:v>
                </c:pt>
                <c:pt idx="149">
                  <c:v>40756</c:v>
                </c:pt>
                <c:pt idx="150">
                  <c:v>41197</c:v>
                </c:pt>
                <c:pt idx="151">
                  <c:v>41323</c:v>
                </c:pt>
                <c:pt idx="152">
                  <c:v>41555</c:v>
                </c:pt>
                <c:pt idx="153">
                  <c:v>42042</c:v>
                </c:pt>
                <c:pt idx="154">
                  <c:v>42179</c:v>
                </c:pt>
                <c:pt idx="155">
                  <c:v>42656</c:v>
                </c:pt>
                <c:pt idx="156">
                  <c:v>42556</c:v>
                </c:pt>
                <c:pt idx="157">
                  <c:v>43183</c:v>
                </c:pt>
                <c:pt idx="158">
                  <c:v>42949</c:v>
                </c:pt>
                <c:pt idx="159">
                  <c:v>43601</c:v>
                </c:pt>
                <c:pt idx="160">
                  <c:v>43423</c:v>
                </c:pt>
                <c:pt idx="161">
                  <c:v>44354</c:v>
                </c:pt>
                <c:pt idx="162">
                  <c:v>44017</c:v>
                </c:pt>
                <c:pt idx="163">
                  <c:v>44214</c:v>
                </c:pt>
                <c:pt idx="164">
                  <c:v>44502</c:v>
                </c:pt>
                <c:pt idx="165">
                  <c:v>45267</c:v>
                </c:pt>
                <c:pt idx="166">
                  <c:v>45226</c:v>
                </c:pt>
                <c:pt idx="167">
                  <c:v>44778</c:v>
                </c:pt>
                <c:pt idx="168">
                  <c:v>45710</c:v>
                </c:pt>
                <c:pt idx="169">
                  <c:v>45774</c:v>
                </c:pt>
                <c:pt idx="170">
                  <c:v>45635</c:v>
                </c:pt>
                <c:pt idx="171">
                  <c:v>46048</c:v>
                </c:pt>
                <c:pt idx="172">
                  <c:v>45806</c:v>
                </c:pt>
                <c:pt idx="173">
                  <c:v>45956</c:v>
                </c:pt>
                <c:pt idx="174">
                  <c:v>45838</c:v>
                </c:pt>
                <c:pt idx="175">
                  <c:v>46043</c:v>
                </c:pt>
                <c:pt idx="176">
                  <c:v>46712</c:v>
                </c:pt>
                <c:pt idx="177">
                  <c:v>46679</c:v>
                </c:pt>
                <c:pt idx="178">
                  <c:v>46800</c:v>
                </c:pt>
                <c:pt idx="179">
                  <c:v>47344</c:v>
                </c:pt>
                <c:pt idx="180">
                  <c:v>48034</c:v>
                </c:pt>
                <c:pt idx="181">
                  <c:v>47293</c:v>
                </c:pt>
                <c:pt idx="182">
                  <c:v>48132</c:v>
                </c:pt>
                <c:pt idx="183">
                  <c:v>47679</c:v>
                </c:pt>
                <c:pt idx="184">
                  <c:v>47887</c:v>
                </c:pt>
                <c:pt idx="185">
                  <c:v>47852</c:v>
                </c:pt>
                <c:pt idx="186">
                  <c:v>48412</c:v>
                </c:pt>
                <c:pt idx="187">
                  <c:v>48704</c:v>
                </c:pt>
                <c:pt idx="188">
                  <c:v>48288</c:v>
                </c:pt>
                <c:pt idx="189">
                  <c:v>48540</c:v>
                </c:pt>
                <c:pt idx="190">
                  <c:v>49047</c:v>
                </c:pt>
                <c:pt idx="191">
                  <c:v>49302</c:v>
                </c:pt>
                <c:pt idx="192">
                  <c:v>48951</c:v>
                </c:pt>
                <c:pt idx="193">
                  <c:v>48927</c:v>
                </c:pt>
                <c:pt idx="194">
                  <c:v>48990</c:v>
                </c:pt>
                <c:pt idx="195">
                  <c:v>49433</c:v>
                </c:pt>
                <c:pt idx="196">
                  <c:v>50375</c:v>
                </c:pt>
                <c:pt idx="197">
                  <c:v>50762</c:v>
                </c:pt>
                <c:pt idx="198">
                  <c:v>50582</c:v>
                </c:pt>
                <c:pt idx="199">
                  <c:v>50131</c:v>
                </c:pt>
                <c:pt idx="200">
                  <c:v>49436</c:v>
                </c:pt>
                <c:pt idx="201">
                  <c:v>49260</c:v>
                </c:pt>
                <c:pt idx="202">
                  <c:v>49464</c:v>
                </c:pt>
                <c:pt idx="203">
                  <c:v>48906</c:v>
                </c:pt>
                <c:pt idx="204">
                  <c:v>49288</c:v>
                </c:pt>
                <c:pt idx="205">
                  <c:v>49199</c:v>
                </c:pt>
                <c:pt idx="206">
                  <c:v>48840</c:v>
                </c:pt>
                <c:pt idx="207">
                  <c:v>48887</c:v>
                </c:pt>
                <c:pt idx="208">
                  <c:v>49085</c:v>
                </c:pt>
                <c:pt idx="209">
                  <c:v>48792</c:v>
                </c:pt>
                <c:pt idx="210">
                  <c:v>48812</c:v>
                </c:pt>
                <c:pt idx="211">
                  <c:v>48934</c:v>
                </c:pt>
                <c:pt idx="212">
                  <c:v>49220</c:v>
                </c:pt>
                <c:pt idx="213">
                  <c:v>49725</c:v>
                </c:pt>
                <c:pt idx="214">
                  <c:v>49156</c:v>
                </c:pt>
                <c:pt idx="215">
                  <c:v>49657</c:v>
                </c:pt>
                <c:pt idx="216">
                  <c:v>49849</c:v>
                </c:pt>
                <c:pt idx="217">
                  <c:v>50538</c:v>
                </c:pt>
                <c:pt idx="218">
                  <c:v>50064</c:v>
                </c:pt>
                <c:pt idx="219">
                  <c:v>50656</c:v>
                </c:pt>
                <c:pt idx="220">
                  <c:v>49985</c:v>
                </c:pt>
                <c:pt idx="221">
                  <c:v>49971</c:v>
                </c:pt>
                <c:pt idx="222">
                  <c:v>49870</c:v>
                </c:pt>
                <c:pt idx="223">
                  <c:v>50160</c:v>
                </c:pt>
                <c:pt idx="224">
                  <c:v>50254</c:v>
                </c:pt>
                <c:pt idx="225">
                  <c:v>50259</c:v>
                </c:pt>
                <c:pt idx="226">
                  <c:v>51386</c:v>
                </c:pt>
                <c:pt idx="227">
                  <c:v>50916</c:v>
                </c:pt>
                <c:pt idx="228">
                  <c:v>50839</c:v>
                </c:pt>
                <c:pt idx="229">
                  <c:v>51513</c:v>
                </c:pt>
                <c:pt idx="230">
                  <c:v>51641</c:v>
                </c:pt>
                <c:pt idx="231">
                  <c:v>52005</c:v>
                </c:pt>
                <c:pt idx="232">
                  <c:v>51790</c:v>
                </c:pt>
                <c:pt idx="233">
                  <c:v>52353</c:v>
                </c:pt>
                <c:pt idx="234">
                  <c:v>52123</c:v>
                </c:pt>
                <c:pt idx="235">
                  <c:v>52136</c:v>
                </c:pt>
                <c:pt idx="236">
                  <c:v>52575</c:v>
                </c:pt>
                <c:pt idx="237">
                  <c:v>52455</c:v>
                </c:pt>
                <c:pt idx="238">
                  <c:v>52657</c:v>
                </c:pt>
                <c:pt idx="239">
                  <c:v>52458</c:v>
                </c:pt>
                <c:pt idx="240">
                  <c:v>53149</c:v>
                </c:pt>
                <c:pt idx="241">
                  <c:v>53944</c:v>
                </c:pt>
                <c:pt idx="242">
                  <c:v>53658</c:v>
                </c:pt>
                <c:pt idx="243">
                  <c:v>53285</c:v>
                </c:pt>
                <c:pt idx="244">
                  <c:v>53154</c:v>
                </c:pt>
                <c:pt idx="245">
                  <c:v>53132</c:v>
                </c:pt>
                <c:pt idx="246">
                  <c:v>53280</c:v>
                </c:pt>
                <c:pt idx="247">
                  <c:v>53554</c:v>
                </c:pt>
                <c:pt idx="248">
                  <c:v>53450</c:v>
                </c:pt>
                <c:pt idx="249">
                  <c:v>53674</c:v>
                </c:pt>
                <c:pt idx="250">
                  <c:v>53464</c:v>
                </c:pt>
                <c:pt idx="251">
                  <c:v>53676</c:v>
                </c:pt>
                <c:pt idx="252">
                  <c:v>54074</c:v>
                </c:pt>
                <c:pt idx="253">
                  <c:v>54534</c:v>
                </c:pt>
                <c:pt idx="254">
                  <c:v>54236</c:v>
                </c:pt>
                <c:pt idx="255">
                  <c:v>54198</c:v>
                </c:pt>
                <c:pt idx="256">
                  <c:v>54453</c:v>
                </c:pt>
                <c:pt idx="257">
                  <c:v>54447</c:v>
                </c:pt>
                <c:pt idx="258">
                  <c:v>54636</c:v>
                </c:pt>
                <c:pt idx="259">
                  <c:v>54466</c:v>
                </c:pt>
                <c:pt idx="260">
                  <c:v>54836</c:v>
                </c:pt>
                <c:pt idx="261">
                  <c:v>54919</c:v>
                </c:pt>
                <c:pt idx="262">
                  <c:v>54770</c:v>
                </c:pt>
                <c:pt idx="263">
                  <c:v>54662</c:v>
                </c:pt>
                <c:pt idx="264">
                  <c:v>54538</c:v>
                </c:pt>
                <c:pt idx="265">
                  <c:v>55390</c:v>
                </c:pt>
                <c:pt idx="266">
                  <c:v>55469</c:v>
                </c:pt>
                <c:pt idx="267">
                  <c:v>55963</c:v>
                </c:pt>
                <c:pt idx="268">
                  <c:v>55960</c:v>
                </c:pt>
                <c:pt idx="269">
                  <c:v>55952</c:v>
                </c:pt>
                <c:pt idx="270">
                  <c:v>56067</c:v>
                </c:pt>
                <c:pt idx="271">
                  <c:v>56433</c:v>
                </c:pt>
                <c:pt idx="272">
                  <c:v>56032</c:v>
                </c:pt>
                <c:pt idx="273">
                  <c:v>56249</c:v>
                </c:pt>
                <c:pt idx="274">
                  <c:v>56338</c:v>
                </c:pt>
                <c:pt idx="275">
                  <c:v>56388</c:v>
                </c:pt>
                <c:pt idx="276">
                  <c:v>56497</c:v>
                </c:pt>
                <c:pt idx="277">
                  <c:v>56158</c:v>
                </c:pt>
                <c:pt idx="278">
                  <c:v>56368</c:v>
                </c:pt>
                <c:pt idx="279">
                  <c:v>56245</c:v>
                </c:pt>
                <c:pt idx="280">
                  <c:v>56778</c:v>
                </c:pt>
                <c:pt idx="281">
                  <c:v>56644</c:v>
                </c:pt>
                <c:pt idx="282">
                  <c:v>56924</c:v>
                </c:pt>
                <c:pt idx="283">
                  <c:v>56743</c:v>
                </c:pt>
                <c:pt idx="284">
                  <c:v>57113</c:v>
                </c:pt>
                <c:pt idx="285">
                  <c:v>56750</c:v>
                </c:pt>
                <c:pt idx="286">
                  <c:v>56938</c:v>
                </c:pt>
                <c:pt idx="287">
                  <c:v>57161</c:v>
                </c:pt>
                <c:pt idx="288">
                  <c:v>56318</c:v>
                </c:pt>
                <c:pt idx="289">
                  <c:v>57185</c:v>
                </c:pt>
                <c:pt idx="290">
                  <c:v>56993</c:v>
                </c:pt>
                <c:pt idx="291">
                  <c:v>56917</c:v>
                </c:pt>
                <c:pt idx="292">
                  <c:v>56668</c:v>
                </c:pt>
                <c:pt idx="293">
                  <c:v>57085</c:v>
                </c:pt>
                <c:pt idx="294">
                  <c:v>56755</c:v>
                </c:pt>
                <c:pt idx="295">
                  <c:v>56858</c:v>
                </c:pt>
                <c:pt idx="296">
                  <c:v>56245</c:v>
                </c:pt>
                <c:pt idx="297">
                  <c:v>56762</c:v>
                </c:pt>
                <c:pt idx="298">
                  <c:v>56538</c:v>
                </c:pt>
                <c:pt idx="299">
                  <c:v>56446</c:v>
                </c:pt>
                <c:pt idx="300">
                  <c:v>57695</c:v>
                </c:pt>
                <c:pt idx="301">
                  <c:v>56965</c:v>
                </c:pt>
                <c:pt idx="302">
                  <c:v>57274</c:v>
                </c:pt>
                <c:pt idx="303">
                  <c:v>57655</c:v>
                </c:pt>
                <c:pt idx="304">
                  <c:v>56600</c:v>
                </c:pt>
                <c:pt idx="305">
                  <c:v>57767</c:v>
                </c:pt>
                <c:pt idx="306">
                  <c:v>57438</c:v>
                </c:pt>
                <c:pt idx="307">
                  <c:v>57654</c:v>
                </c:pt>
                <c:pt idx="308">
                  <c:v>58294</c:v>
                </c:pt>
                <c:pt idx="309">
                  <c:v>57996</c:v>
                </c:pt>
                <c:pt idx="310">
                  <c:v>58065</c:v>
                </c:pt>
                <c:pt idx="311">
                  <c:v>58591</c:v>
                </c:pt>
                <c:pt idx="312">
                  <c:v>58607</c:v>
                </c:pt>
                <c:pt idx="313">
                  <c:v>58670</c:v>
                </c:pt>
                <c:pt idx="314">
                  <c:v>58081</c:v>
                </c:pt>
                <c:pt idx="315">
                  <c:v>58423</c:v>
                </c:pt>
                <c:pt idx="316">
                  <c:v>59682</c:v>
                </c:pt>
                <c:pt idx="317">
                  <c:v>58687</c:v>
                </c:pt>
                <c:pt idx="318">
                  <c:v>58966</c:v>
                </c:pt>
                <c:pt idx="319">
                  <c:v>59202</c:v>
                </c:pt>
                <c:pt idx="320">
                  <c:v>58992</c:v>
                </c:pt>
                <c:pt idx="321">
                  <c:v>59355</c:v>
                </c:pt>
                <c:pt idx="322">
                  <c:v>59962</c:v>
                </c:pt>
                <c:pt idx="323">
                  <c:v>59257</c:v>
                </c:pt>
                <c:pt idx="324">
                  <c:v>59432</c:v>
                </c:pt>
                <c:pt idx="325">
                  <c:v>58756</c:v>
                </c:pt>
                <c:pt idx="326">
                  <c:v>59647</c:v>
                </c:pt>
                <c:pt idx="327">
                  <c:v>60161</c:v>
                </c:pt>
                <c:pt idx="328">
                  <c:v>59648</c:v>
                </c:pt>
                <c:pt idx="329">
                  <c:v>59693</c:v>
                </c:pt>
                <c:pt idx="330">
                  <c:v>60138</c:v>
                </c:pt>
                <c:pt idx="331">
                  <c:v>60073</c:v>
                </c:pt>
                <c:pt idx="332">
                  <c:v>59589</c:v>
                </c:pt>
                <c:pt idx="333">
                  <c:v>59869</c:v>
                </c:pt>
                <c:pt idx="334">
                  <c:v>59958</c:v>
                </c:pt>
                <c:pt idx="335">
                  <c:v>60259</c:v>
                </c:pt>
                <c:pt idx="336">
                  <c:v>60594</c:v>
                </c:pt>
                <c:pt idx="337">
                  <c:v>60699</c:v>
                </c:pt>
                <c:pt idx="338">
                  <c:v>65710</c:v>
                </c:pt>
                <c:pt idx="339">
                  <c:v>57089</c:v>
                </c:pt>
                <c:pt idx="340">
                  <c:v>61069</c:v>
                </c:pt>
                <c:pt idx="341">
                  <c:v>62024</c:v>
                </c:pt>
                <c:pt idx="342">
                  <c:v>61745</c:v>
                </c:pt>
                <c:pt idx="343">
                  <c:v>61165</c:v>
                </c:pt>
              </c:numCache>
            </c:numRef>
          </c:val>
          <c:smooth val="0"/>
          <c:extLst>
            <c:ext xmlns:c16="http://schemas.microsoft.com/office/drawing/2014/chart" uri="{C3380CC4-5D6E-409C-BE32-E72D297353CC}">
              <c16:uniqueId val="{00000000-39AA-4786-A278-BCC5B92F0158}"/>
            </c:ext>
          </c:extLst>
        </c:ser>
        <c:dLbls>
          <c:showLegendKey val="0"/>
          <c:showVal val="0"/>
          <c:showCatName val="0"/>
          <c:showSerName val="0"/>
          <c:showPercent val="0"/>
          <c:showBubbleSize val="0"/>
        </c:dLbls>
        <c:smooth val="0"/>
        <c:axId val="991627056"/>
        <c:axId val="991625088"/>
      </c:lineChart>
      <c:dateAx>
        <c:axId val="991627056"/>
        <c:scaling>
          <c:orientation val="minMax"/>
        </c:scaling>
        <c:delete val="0"/>
        <c:axPos val="b"/>
        <c:numFmt formatCode="[$-409]mmm\-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91625088"/>
        <c:crosses val="autoZero"/>
        <c:auto val="1"/>
        <c:lblOffset val="100"/>
        <c:baseTimeUnit val="months"/>
      </c:dateAx>
      <c:valAx>
        <c:axId val="991625088"/>
        <c:scaling>
          <c:orientation val="minMax"/>
          <c:min val="20000"/>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9162705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'General Merchandising'!$D$6</c:f>
              <c:strCache>
                <c:ptCount val="1"/>
                <c:pt idx="0">
                  <c:v>yoy</c:v>
                </c:pt>
              </c:strCache>
            </c:strRef>
          </c:tx>
          <c:spPr>
            <a:ln w="28575" cap="rnd">
              <a:solidFill>
                <a:schemeClr val="tx1"/>
              </a:solidFill>
              <a:round/>
            </a:ln>
            <a:effectLst/>
          </c:spPr>
          <c:marker>
            <c:symbol val="none"/>
          </c:marker>
          <c:cat>
            <c:numRef>
              <c:f>'General Merchandising'!$A$7:$A$350</c:f>
              <c:numCache>
                <c:formatCode>[$-409]mmm\-yy;@</c:formatCode>
                <c:ptCount val="344"/>
                <c:pt idx="0">
                  <c:v>33604</c:v>
                </c:pt>
                <c:pt idx="1">
                  <c:v>33635</c:v>
                </c:pt>
                <c:pt idx="2">
                  <c:v>33664</c:v>
                </c:pt>
                <c:pt idx="3">
                  <c:v>33695</c:v>
                </c:pt>
                <c:pt idx="4">
                  <c:v>33725</c:v>
                </c:pt>
                <c:pt idx="5">
                  <c:v>33756</c:v>
                </c:pt>
                <c:pt idx="6">
                  <c:v>33786</c:v>
                </c:pt>
                <c:pt idx="7">
                  <c:v>33817</c:v>
                </c:pt>
                <c:pt idx="8">
                  <c:v>33848</c:v>
                </c:pt>
                <c:pt idx="9">
                  <c:v>33878</c:v>
                </c:pt>
                <c:pt idx="10">
                  <c:v>33909</c:v>
                </c:pt>
                <c:pt idx="11">
                  <c:v>33939</c:v>
                </c:pt>
                <c:pt idx="12">
                  <c:v>33970</c:v>
                </c:pt>
                <c:pt idx="13">
                  <c:v>34001</c:v>
                </c:pt>
                <c:pt idx="14">
                  <c:v>34029</c:v>
                </c:pt>
                <c:pt idx="15">
                  <c:v>34060</c:v>
                </c:pt>
                <c:pt idx="16">
                  <c:v>34090</c:v>
                </c:pt>
                <c:pt idx="17">
                  <c:v>34121</c:v>
                </c:pt>
                <c:pt idx="18">
                  <c:v>34151</c:v>
                </c:pt>
                <c:pt idx="19">
                  <c:v>34182</c:v>
                </c:pt>
                <c:pt idx="20">
                  <c:v>34213</c:v>
                </c:pt>
                <c:pt idx="21">
                  <c:v>34243</c:v>
                </c:pt>
                <c:pt idx="22">
                  <c:v>34274</c:v>
                </c:pt>
                <c:pt idx="23">
                  <c:v>34304</c:v>
                </c:pt>
                <c:pt idx="24">
                  <c:v>34335</c:v>
                </c:pt>
                <c:pt idx="25">
                  <c:v>34366</c:v>
                </c:pt>
                <c:pt idx="26">
                  <c:v>34394</c:v>
                </c:pt>
                <c:pt idx="27">
                  <c:v>34425</c:v>
                </c:pt>
                <c:pt idx="28">
                  <c:v>34455</c:v>
                </c:pt>
                <c:pt idx="29">
                  <c:v>34486</c:v>
                </c:pt>
                <c:pt idx="30">
                  <c:v>34516</c:v>
                </c:pt>
                <c:pt idx="31">
                  <c:v>34547</c:v>
                </c:pt>
                <c:pt idx="32">
                  <c:v>34578</c:v>
                </c:pt>
                <c:pt idx="33">
                  <c:v>34608</c:v>
                </c:pt>
                <c:pt idx="34">
                  <c:v>34639</c:v>
                </c:pt>
                <c:pt idx="35">
                  <c:v>34669</c:v>
                </c:pt>
                <c:pt idx="36">
                  <c:v>34700</c:v>
                </c:pt>
                <c:pt idx="37">
                  <c:v>34731</c:v>
                </c:pt>
                <c:pt idx="38">
                  <c:v>34759</c:v>
                </c:pt>
                <c:pt idx="39">
                  <c:v>34790</c:v>
                </c:pt>
                <c:pt idx="40">
                  <c:v>34820</c:v>
                </c:pt>
                <c:pt idx="41">
                  <c:v>34851</c:v>
                </c:pt>
                <c:pt idx="42">
                  <c:v>34881</c:v>
                </c:pt>
                <c:pt idx="43">
                  <c:v>34912</c:v>
                </c:pt>
                <c:pt idx="44">
                  <c:v>34943</c:v>
                </c:pt>
                <c:pt idx="45">
                  <c:v>34973</c:v>
                </c:pt>
                <c:pt idx="46">
                  <c:v>35004</c:v>
                </c:pt>
                <c:pt idx="47">
                  <c:v>35034</c:v>
                </c:pt>
                <c:pt idx="48">
                  <c:v>35065</c:v>
                </c:pt>
                <c:pt idx="49">
                  <c:v>35096</c:v>
                </c:pt>
                <c:pt idx="50">
                  <c:v>35125</c:v>
                </c:pt>
                <c:pt idx="51">
                  <c:v>35156</c:v>
                </c:pt>
                <c:pt idx="52">
                  <c:v>35186</c:v>
                </c:pt>
                <c:pt idx="53">
                  <c:v>35217</c:v>
                </c:pt>
                <c:pt idx="54">
                  <c:v>35247</c:v>
                </c:pt>
                <c:pt idx="55">
                  <c:v>35278</c:v>
                </c:pt>
                <c:pt idx="56">
                  <c:v>35309</c:v>
                </c:pt>
                <c:pt idx="57">
                  <c:v>35339</c:v>
                </c:pt>
                <c:pt idx="58">
                  <c:v>35370</c:v>
                </c:pt>
                <c:pt idx="59">
                  <c:v>35400</c:v>
                </c:pt>
                <c:pt idx="60">
                  <c:v>35431</c:v>
                </c:pt>
                <c:pt idx="61">
                  <c:v>35462</c:v>
                </c:pt>
                <c:pt idx="62">
                  <c:v>35490</c:v>
                </c:pt>
                <c:pt idx="63">
                  <c:v>35521</c:v>
                </c:pt>
                <c:pt idx="64">
                  <c:v>35551</c:v>
                </c:pt>
                <c:pt idx="65">
                  <c:v>35582</c:v>
                </c:pt>
                <c:pt idx="66">
                  <c:v>35612</c:v>
                </c:pt>
                <c:pt idx="67">
                  <c:v>35643</c:v>
                </c:pt>
                <c:pt idx="68">
                  <c:v>35674</c:v>
                </c:pt>
                <c:pt idx="69">
                  <c:v>35704</c:v>
                </c:pt>
                <c:pt idx="70">
                  <c:v>35735</c:v>
                </c:pt>
                <c:pt idx="71">
                  <c:v>35765</c:v>
                </c:pt>
                <c:pt idx="72">
                  <c:v>35796</c:v>
                </c:pt>
                <c:pt idx="73">
                  <c:v>35827</c:v>
                </c:pt>
                <c:pt idx="74">
                  <c:v>35855</c:v>
                </c:pt>
                <c:pt idx="75">
                  <c:v>35886</c:v>
                </c:pt>
                <c:pt idx="76">
                  <c:v>35916</c:v>
                </c:pt>
                <c:pt idx="77">
                  <c:v>35947</c:v>
                </c:pt>
                <c:pt idx="78">
                  <c:v>35977</c:v>
                </c:pt>
                <c:pt idx="79">
                  <c:v>36008</c:v>
                </c:pt>
                <c:pt idx="80">
                  <c:v>36039</c:v>
                </c:pt>
                <c:pt idx="81">
                  <c:v>36069</c:v>
                </c:pt>
                <c:pt idx="82">
                  <c:v>36100</c:v>
                </c:pt>
                <c:pt idx="83">
                  <c:v>36130</c:v>
                </c:pt>
                <c:pt idx="84">
                  <c:v>36161</c:v>
                </c:pt>
                <c:pt idx="85">
                  <c:v>36192</c:v>
                </c:pt>
                <c:pt idx="86">
                  <c:v>36220</c:v>
                </c:pt>
                <c:pt idx="87">
                  <c:v>36251</c:v>
                </c:pt>
                <c:pt idx="88">
                  <c:v>36281</c:v>
                </c:pt>
                <c:pt idx="89">
                  <c:v>36312</c:v>
                </c:pt>
                <c:pt idx="90">
                  <c:v>36342</c:v>
                </c:pt>
                <c:pt idx="91">
                  <c:v>36373</c:v>
                </c:pt>
                <c:pt idx="92">
                  <c:v>36404</c:v>
                </c:pt>
                <c:pt idx="93">
                  <c:v>36434</c:v>
                </c:pt>
                <c:pt idx="94">
                  <c:v>36465</c:v>
                </c:pt>
                <c:pt idx="95">
                  <c:v>36495</c:v>
                </c:pt>
                <c:pt idx="96">
                  <c:v>36526</c:v>
                </c:pt>
                <c:pt idx="97">
                  <c:v>36557</c:v>
                </c:pt>
                <c:pt idx="98">
                  <c:v>36586</c:v>
                </c:pt>
                <c:pt idx="99">
                  <c:v>36617</c:v>
                </c:pt>
                <c:pt idx="100">
                  <c:v>36647</c:v>
                </c:pt>
                <c:pt idx="101">
                  <c:v>36678</c:v>
                </c:pt>
                <c:pt idx="102">
                  <c:v>36708</c:v>
                </c:pt>
                <c:pt idx="103">
                  <c:v>36739</c:v>
                </c:pt>
                <c:pt idx="104">
                  <c:v>36770</c:v>
                </c:pt>
                <c:pt idx="105">
                  <c:v>36800</c:v>
                </c:pt>
                <c:pt idx="106">
                  <c:v>36831</c:v>
                </c:pt>
                <c:pt idx="107">
                  <c:v>36861</c:v>
                </c:pt>
                <c:pt idx="108">
                  <c:v>36892</c:v>
                </c:pt>
                <c:pt idx="109">
                  <c:v>36923</c:v>
                </c:pt>
                <c:pt idx="110">
                  <c:v>36951</c:v>
                </c:pt>
                <c:pt idx="111">
                  <c:v>36982</c:v>
                </c:pt>
                <c:pt idx="112">
                  <c:v>37012</c:v>
                </c:pt>
                <c:pt idx="113">
                  <c:v>37043</c:v>
                </c:pt>
                <c:pt idx="114">
                  <c:v>37073</c:v>
                </c:pt>
                <c:pt idx="115">
                  <c:v>37104</c:v>
                </c:pt>
                <c:pt idx="116">
                  <c:v>37135</c:v>
                </c:pt>
                <c:pt idx="117">
                  <c:v>37165</c:v>
                </c:pt>
                <c:pt idx="118">
                  <c:v>37196</c:v>
                </c:pt>
                <c:pt idx="119">
                  <c:v>37226</c:v>
                </c:pt>
                <c:pt idx="120">
                  <c:v>37257</c:v>
                </c:pt>
                <c:pt idx="121">
                  <c:v>37288</c:v>
                </c:pt>
                <c:pt idx="122">
                  <c:v>37316</c:v>
                </c:pt>
                <c:pt idx="123">
                  <c:v>37347</c:v>
                </c:pt>
                <c:pt idx="124">
                  <c:v>37377</c:v>
                </c:pt>
                <c:pt idx="125">
                  <c:v>37408</c:v>
                </c:pt>
                <c:pt idx="126">
                  <c:v>37438</c:v>
                </c:pt>
                <c:pt idx="127">
                  <c:v>37469</c:v>
                </c:pt>
                <c:pt idx="128">
                  <c:v>37500</c:v>
                </c:pt>
                <c:pt idx="129">
                  <c:v>37530</c:v>
                </c:pt>
                <c:pt idx="130">
                  <c:v>37561</c:v>
                </c:pt>
                <c:pt idx="131">
                  <c:v>37591</c:v>
                </c:pt>
                <c:pt idx="132">
                  <c:v>37622</c:v>
                </c:pt>
                <c:pt idx="133">
                  <c:v>37653</c:v>
                </c:pt>
                <c:pt idx="134">
                  <c:v>37681</c:v>
                </c:pt>
                <c:pt idx="135">
                  <c:v>37712</c:v>
                </c:pt>
                <c:pt idx="136">
                  <c:v>37742</c:v>
                </c:pt>
                <c:pt idx="137">
                  <c:v>37773</c:v>
                </c:pt>
                <c:pt idx="138">
                  <c:v>37803</c:v>
                </c:pt>
                <c:pt idx="139">
                  <c:v>37834</c:v>
                </c:pt>
                <c:pt idx="140">
                  <c:v>37865</c:v>
                </c:pt>
                <c:pt idx="141">
                  <c:v>37895</c:v>
                </c:pt>
                <c:pt idx="142">
                  <c:v>37926</c:v>
                </c:pt>
                <c:pt idx="143">
                  <c:v>37956</c:v>
                </c:pt>
                <c:pt idx="144">
                  <c:v>37987</c:v>
                </c:pt>
                <c:pt idx="145">
                  <c:v>38018</c:v>
                </c:pt>
                <c:pt idx="146">
                  <c:v>38047</c:v>
                </c:pt>
                <c:pt idx="147">
                  <c:v>38078</c:v>
                </c:pt>
                <c:pt idx="148">
                  <c:v>38108</c:v>
                </c:pt>
                <c:pt idx="149">
                  <c:v>38139</c:v>
                </c:pt>
                <c:pt idx="150">
                  <c:v>38169</c:v>
                </c:pt>
                <c:pt idx="151">
                  <c:v>38200</c:v>
                </c:pt>
                <c:pt idx="152">
                  <c:v>38231</c:v>
                </c:pt>
                <c:pt idx="153">
                  <c:v>38261</c:v>
                </c:pt>
                <c:pt idx="154">
                  <c:v>38292</c:v>
                </c:pt>
                <c:pt idx="155">
                  <c:v>38322</c:v>
                </c:pt>
                <c:pt idx="156">
                  <c:v>38353</c:v>
                </c:pt>
                <c:pt idx="157">
                  <c:v>38384</c:v>
                </c:pt>
                <c:pt idx="158">
                  <c:v>38412</c:v>
                </c:pt>
                <c:pt idx="159">
                  <c:v>38443</c:v>
                </c:pt>
                <c:pt idx="160">
                  <c:v>38473</c:v>
                </c:pt>
                <c:pt idx="161">
                  <c:v>38504</c:v>
                </c:pt>
                <c:pt idx="162">
                  <c:v>38534</c:v>
                </c:pt>
                <c:pt idx="163">
                  <c:v>38565</c:v>
                </c:pt>
                <c:pt idx="164">
                  <c:v>38596</c:v>
                </c:pt>
                <c:pt idx="165">
                  <c:v>38626</c:v>
                </c:pt>
                <c:pt idx="166">
                  <c:v>38657</c:v>
                </c:pt>
                <c:pt idx="167">
                  <c:v>38687</c:v>
                </c:pt>
                <c:pt idx="168">
                  <c:v>38718</c:v>
                </c:pt>
                <c:pt idx="169">
                  <c:v>38749</c:v>
                </c:pt>
                <c:pt idx="170">
                  <c:v>38777</c:v>
                </c:pt>
                <c:pt idx="171">
                  <c:v>38808</c:v>
                </c:pt>
                <c:pt idx="172">
                  <c:v>38838</c:v>
                </c:pt>
                <c:pt idx="173">
                  <c:v>38869</c:v>
                </c:pt>
                <c:pt idx="174">
                  <c:v>38899</c:v>
                </c:pt>
                <c:pt idx="175">
                  <c:v>38930</c:v>
                </c:pt>
                <c:pt idx="176">
                  <c:v>38961</c:v>
                </c:pt>
                <c:pt idx="177">
                  <c:v>38991</c:v>
                </c:pt>
                <c:pt idx="178">
                  <c:v>39022</c:v>
                </c:pt>
                <c:pt idx="179">
                  <c:v>39052</c:v>
                </c:pt>
                <c:pt idx="180">
                  <c:v>39083</c:v>
                </c:pt>
                <c:pt idx="181">
                  <c:v>39114</c:v>
                </c:pt>
                <c:pt idx="182">
                  <c:v>39142</c:v>
                </c:pt>
                <c:pt idx="183">
                  <c:v>39173</c:v>
                </c:pt>
                <c:pt idx="184">
                  <c:v>39203</c:v>
                </c:pt>
                <c:pt idx="185">
                  <c:v>39234</c:v>
                </c:pt>
                <c:pt idx="186">
                  <c:v>39264</c:v>
                </c:pt>
                <c:pt idx="187">
                  <c:v>39295</c:v>
                </c:pt>
                <c:pt idx="188">
                  <c:v>39326</c:v>
                </c:pt>
                <c:pt idx="189">
                  <c:v>39356</c:v>
                </c:pt>
                <c:pt idx="190">
                  <c:v>39387</c:v>
                </c:pt>
                <c:pt idx="191">
                  <c:v>39417</c:v>
                </c:pt>
                <c:pt idx="192">
                  <c:v>39448</c:v>
                </c:pt>
                <c:pt idx="193">
                  <c:v>39479</c:v>
                </c:pt>
                <c:pt idx="194">
                  <c:v>39508</c:v>
                </c:pt>
                <c:pt idx="195">
                  <c:v>39539</c:v>
                </c:pt>
                <c:pt idx="196">
                  <c:v>39569</c:v>
                </c:pt>
                <c:pt idx="197">
                  <c:v>39600</c:v>
                </c:pt>
                <c:pt idx="198">
                  <c:v>39630</c:v>
                </c:pt>
                <c:pt idx="199">
                  <c:v>39661</c:v>
                </c:pt>
                <c:pt idx="200">
                  <c:v>39692</c:v>
                </c:pt>
                <c:pt idx="201">
                  <c:v>39722</c:v>
                </c:pt>
                <c:pt idx="202">
                  <c:v>39753</c:v>
                </c:pt>
                <c:pt idx="203">
                  <c:v>39783</c:v>
                </c:pt>
                <c:pt idx="204">
                  <c:v>39814</c:v>
                </c:pt>
                <c:pt idx="205">
                  <c:v>39845</c:v>
                </c:pt>
                <c:pt idx="206">
                  <c:v>39873</c:v>
                </c:pt>
                <c:pt idx="207">
                  <c:v>39904</c:v>
                </c:pt>
                <c:pt idx="208">
                  <c:v>39934</c:v>
                </c:pt>
                <c:pt idx="209">
                  <c:v>39965</c:v>
                </c:pt>
                <c:pt idx="210">
                  <c:v>39995</c:v>
                </c:pt>
                <c:pt idx="211">
                  <c:v>40026</c:v>
                </c:pt>
                <c:pt idx="212">
                  <c:v>40057</c:v>
                </c:pt>
                <c:pt idx="213">
                  <c:v>40087</c:v>
                </c:pt>
                <c:pt idx="214">
                  <c:v>40118</c:v>
                </c:pt>
                <c:pt idx="215">
                  <c:v>40148</c:v>
                </c:pt>
                <c:pt idx="216">
                  <c:v>40179</c:v>
                </c:pt>
                <c:pt idx="217">
                  <c:v>40210</c:v>
                </c:pt>
                <c:pt idx="218">
                  <c:v>40238</c:v>
                </c:pt>
                <c:pt idx="219">
                  <c:v>40269</c:v>
                </c:pt>
                <c:pt idx="220">
                  <c:v>40299</c:v>
                </c:pt>
                <c:pt idx="221">
                  <c:v>40330</c:v>
                </c:pt>
                <c:pt idx="222">
                  <c:v>40360</c:v>
                </c:pt>
                <c:pt idx="223">
                  <c:v>40391</c:v>
                </c:pt>
                <c:pt idx="224">
                  <c:v>40422</c:v>
                </c:pt>
                <c:pt idx="225">
                  <c:v>40452</c:v>
                </c:pt>
                <c:pt idx="226">
                  <c:v>40483</c:v>
                </c:pt>
                <c:pt idx="227">
                  <c:v>40513</c:v>
                </c:pt>
                <c:pt idx="228">
                  <c:v>40544</c:v>
                </c:pt>
                <c:pt idx="229">
                  <c:v>40575</c:v>
                </c:pt>
                <c:pt idx="230">
                  <c:v>40603</c:v>
                </c:pt>
                <c:pt idx="231">
                  <c:v>40634</c:v>
                </c:pt>
                <c:pt idx="232">
                  <c:v>40664</c:v>
                </c:pt>
                <c:pt idx="233">
                  <c:v>40695</c:v>
                </c:pt>
                <c:pt idx="234">
                  <c:v>40725</c:v>
                </c:pt>
                <c:pt idx="235">
                  <c:v>40756</c:v>
                </c:pt>
                <c:pt idx="236">
                  <c:v>40787</c:v>
                </c:pt>
                <c:pt idx="237">
                  <c:v>40817</c:v>
                </c:pt>
                <c:pt idx="238">
                  <c:v>40848</c:v>
                </c:pt>
                <c:pt idx="239">
                  <c:v>40878</c:v>
                </c:pt>
                <c:pt idx="240">
                  <c:v>40909</c:v>
                </c:pt>
                <c:pt idx="241">
                  <c:v>40940</c:v>
                </c:pt>
                <c:pt idx="242">
                  <c:v>40969</c:v>
                </c:pt>
                <c:pt idx="243">
                  <c:v>41000</c:v>
                </c:pt>
                <c:pt idx="244">
                  <c:v>41030</c:v>
                </c:pt>
                <c:pt idx="245">
                  <c:v>41061</c:v>
                </c:pt>
                <c:pt idx="246">
                  <c:v>41091</c:v>
                </c:pt>
                <c:pt idx="247">
                  <c:v>41122</c:v>
                </c:pt>
                <c:pt idx="248">
                  <c:v>41153</c:v>
                </c:pt>
                <c:pt idx="249">
                  <c:v>41183</c:v>
                </c:pt>
                <c:pt idx="250">
                  <c:v>41214</c:v>
                </c:pt>
                <c:pt idx="251">
                  <c:v>41244</c:v>
                </c:pt>
                <c:pt idx="252">
                  <c:v>41275</c:v>
                </c:pt>
                <c:pt idx="253">
                  <c:v>41306</c:v>
                </c:pt>
                <c:pt idx="254">
                  <c:v>41334</c:v>
                </c:pt>
                <c:pt idx="255">
                  <c:v>41365</c:v>
                </c:pt>
                <c:pt idx="256">
                  <c:v>41395</c:v>
                </c:pt>
                <c:pt idx="257">
                  <c:v>41426</c:v>
                </c:pt>
                <c:pt idx="258">
                  <c:v>41456</c:v>
                </c:pt>
                <c:pt idx="259">
                  <c:v>41487</c:v>
                </c:pt>
                <c:pt idx="260">
                  <c:v>41518</c:v>
                </c:pt>
                <c:pt idx="261">
                  <c:v>41548</c:v>
                </c:pt>
                <c:pt idx="262">
                  <c:v>41579</c:v>
                </c:pt>
                <c:pt idx="263">
                  <c:v>41609</c:v>
                </c:pt>
                <c:pt idx="264">
                  <c:v>41640</c:v>
                </c:pt>
                <c:pt idx="265">
                  <c:v>41671</c:v>
                </c:pt>
                <c:pt idx="266">
                  <c:v>41699</c:v>
                </c:pt>
                <c:pt idx="267">
                  <c:v>41730</c:v>
                </c:pt>
                <c:pt idx="268">
                  <c:v>41760</c:v>
                </c:pt>
                <c:pt idx="269">
                  <c:v>41791</c:v>
                </c:pt>
                <c:pt idx="270">
                  <c:v>41821</c:v>
                </c:pt>
                <c:pt idx="271">
                  <c:v>41852</c:v>
                </c:pt>
                <c:pt idx="272">
                  <c:v>41883</c:v>
                </c:pt>
                <c:pt idx="273">
                  <c:v>41913</c:v>
                </c:pt>
                <c:pt idx="274">
                  <c:v>41944</c:v>
                </c:pt>
                <c:pt idx="275">
                  <c:v>41974</c:v>
                </c:pt>
                <c:pt idx="276">
                  <c:v>42005</c:v>
                </c:pt>
                <c:pt idx="277">
                  <c:v>42036</c:v>
                </c:pt>
                <c:pt idx="278">
                  <c:v>42064</c:v>
                </c:pt>
                <c:pt idx="279">
                  <c:v>42095</c:v>
                </c:pt>
                <c:pt idx="280">
                  <c:v>42125</c:v>
                </c:pt>
                <c:pt idx="281">
                  <c:v>42156</c:v>
                </c:pt>
                <c:pt idx="282">
                  <c:v>42186</c:v>
                </c:pt>
                <c:pt idx="283">
                  <c:v>42217</c:v>
                </c:pt>
                <c:pt idx="284">
                  <c:v>42248</c:v>
                </c:pt>
                <c:pt idx="285">
                  <c:v>42278</c:v>
                </c:pt>
                <c:pt idx="286">
                  <c:v>42309</c:v>
                </c:pt>
                <c:pt idx="287">
                  <c:v>42339</c:v>
                </c:pt>
                <c:pt idx="288">
                  <c:v>42370</c:v>
                </c:pt>
                <c:pt idx="289">
                  <c:v>42401</c:v>
                </c:pt>
                <c:pt idx="290">
                  <c:v>42430</c:v>
                </c:pt>
                <c:pt idx="291">
                  <c:v>42461</c:v>
                </c:pt>
                <c:pt idx="292">
                  <c:v>42491</c:v>
                </c:pt>
                <c:pt idx="293">
                  <c:v>42522</c:v>
                </c:pt>
                <c:pt idx="294">
                  <c:v>42552</c:v>
                </c:pt>
                <c:pt idx="295">
                  <c:v>42583</c:v>
                </c:pt>
                <c:pt idx="296">
                  <c:v>42614</c:v>
                </c:pt>
                <c:pt idx="297">
                  <c:v>42644</c:v>
                </c:pt>
                <c:pt idx="298">
                  <c:v>42675</c:v>
                </c:pt>
                <c:pt idx="299">
                  <c:v>42705</c:v>
                </c:pt>
                <c:pt idx="300">
                  <c:v>42736</c:v>
                </c:pt>
                <c:pt idx="301">
                  <c:v>42767</c:v>
                </c:pt>
                <c:pt idx="302">
                  <c:v>42795</c:v>
                </c:pt>
                <c:pt idx="303">
                  <c:v>42826</c:v>
                </c:pt>
                <c:pt idx="304">
                  <c:v>42856</c:v>
                </c:pt>
                <c:pt idx="305">
                  <c:v>42887</c:v>
                </c:pt>
                <c:pt idx="306">
                  <c:v>42917</c:v>
                </c:pt>
                <c:pt idx="307">
                  <c:v>42948</c:v>
                </c:pt>
                <c:pt idx="308">
                  <c:v>42979</c:v>
                </c:pt>
                <c:pt idx="309">
                  <c:v>43009</c:v>
                </c:pt>
                <c:pt idx="310">
                  <c:v>43040</c:v>
                </c:pt>
                <c:pt idx="311">
                  <c:v>43070</c:v>
                </c:pt>
                <c:pt idx="312">
                  <c:v>43101</c:v>
                </c:pt>
                <c:pt idx="313">
                  <c:v>43132</c:v>
                </c:pt>
                <c:pt idx="314">
                  <c:v>43160</c:v>
                </c:pt>
                <c:pt idx="315">
                  <c:v>43191</c:v>
                </c:pt>
                <c:pt idx="316">
                  <c:v>43221</c:v>
                </c:pt>
                <c:pt idx="317">
                  <c:v>43252</c:v>
                </c:pt>
                <c:pt idx="318">
                  <c:v>43282</c:v>
                </c:pt>
                <c:pt idx="319">
                  <c:v>43313</c:v>
                </c:pt>
                <c:pt idx="320">
                  <c:v>43344</c:v>
                </c:pt>
                <c:pt idx="321">
                  <c:v>43374</c:v>
                </c:pt>
                <c:pt idx="322">
                  <c:v>43405</c:v>
                </c:pt>
                <c:pt idx="323">
                  <c:v>43435</c:v>
                </c:pt>
                <c:pt idx="324">
                  <c:v>43466</c:v>
                </c:pt>
                <c:pt idx="325">
                  <c:v>43497</c:v>
                </c:pt>
                <c:pt idx="326">
                  <c:v>43525</c:v>
                </c:pt>
                <c:pt idx="327">
                  <c:v>43556</c:v>
                </c:pt>
                <c:pt idx="328">
                  <c:v>43586</c:v>
                </c:pt>
                <c:pt idx="329">
                  <c:v>43617</c:v>
                </c:pt>
                <c:pt idx="330">
                  <c:v>43647</c:v>
                </c:pt>
                <c:pt idx="331">
                  <c:v>43678</c:v>
                </c:pt>
                <c:pt idx="332">
                  <c:v>43709</c:v>
                </c:pt>
                <c:pt idx="333">
                  <c:v>43739</c:v>
                </c:pt>
                <c:pt idx="334">
                  <c:v>43770</c:v>
                </c:pt>
                <c:pt idx="335">
                  <c:v>43800</c:v>
                </c:pt>
                <c:pt idx="336">
                  <c:v>43831</c:v>
                </c:pt>
                <c:pt idx="337">
                  <c:v>43862</c:v>
                </c:pt>
                <c:pt idx="338">
                  <c:v>43891</c:v>
                </c:pt>
                <c:pt idx="339">
                  <c:v>43922</c:v>
                </c:pt>
                <c:pt idx="340">
                  <c:v>43952</c:v>
                </c:pt>
                <c:pt idx="341">
                  <c:v>43983</c:v>
                </c:pt>
                <c:pt idx="342">
                  <c:v>44013</c:v>
                </c:pt>
                <c:pt idx="343">
                  <c:v>44044</c:v>
                </c:pt>
              </c:numCache>
            </c:numRef>
          </c:cat>
          <c:val>
            <c:numRef>
              <c:f>'General Merchandising'!$D$7:$D$350</c:f>
              <c:numCache>
                <c:formatCode>General</c:formatCode>
                <c:ptCount val="344"/>
                <c:pt idx="12" formatCode="0.00%">
                  <c:v>7.5657729262035317E-2</c:v>
                </c:pt>
                <c:pt idx="13" formatCode="0.00%">
                  <c:v>5.8905058905058906E-2</c:v>
                </c:pt>
                <c:pt idx="14" formatCode="0.00%">
                  <c:v>5.4789765965886555E-2</c:v>
                </c:pt>
                <c:pt idx="15" formatCode="0.00%">
                  <c:v>7.4094185013328068E-2</c:v>
                </c:pt>
                <c:pt idx="16" formatCode="0.00%">
                  <c:v>8.1002703366920614E-2</c:v>
                </c:pt>
                <c:pt idx="17" formatCode="0.00%">
                  <c:v>8.1732190363582619E-2</c:v>
                </c:pt>
                <c:pt idx="18" formatCode="0.00%">
                  <c:v>0.10581539222964613</c:v>
                </c:pt>
                <c:pt idx="19" formatCode="0.00%">
                  <c:v>8.3620647792939345E-2</c:v>
                </c:pt>
                <c:pt idx="20" formatCode="0.00%">
                  <c:v>8.4364726358538006E-2</c:v>
                </c:pt>
                <c:pt idx="21" formatCode="0.00%">
                  <c:v>8.6134957555992514E-2</c:v>
                </c:pt>
                <c:pt idx="22" formatCode="0.00%">
                  <c:v>7.9798842394914124E-2</c:v>
                </c:pt>
                <c:pt idx="23" formatCode="0.00%">
                  <c:v>5.3006620080912101E-2</c:v>
                </c:pt>
                <c:pt idx="24" formatCode="0.00%">
                  <c:v>6.1871580227283354E-2</c:v>
                </c:pt>
                <c:pt idx="25" formatCode="0.00%">
                  <c:v>7.8440538519072553E-2</c:v>
                </c:pt>
                <c:pt idx="26" formatCode="0.00%">
                  <c:v>0.11206693931274385</c:v>
                </c:pt>
                <c:pt idx="27" formatCode="0.00%">
                  <c:v>7.330300105703387E-2</c:v>
                </c:pt>
                <c:pt idx="28" formatCode="0.00%">
                  <c:v>5.8109398444959763E-2</c:v>
                </c:pt>
                <c:pt idx="29" formatCode="0.00%">
                  <c:v>7.6012205674727884E-2</c:v>
                </c:pt>
                <c:pt idx="30" formatCode="0.00%">
                  <c:v>5.782571722687195E-2</c:v>
                </c:pt>
                <c:pt idx="31" formatCode="0.00%">
                  <c:v>7.0535514228097687E-2</c:v>
                </c:pt>
                <c:pt idx="32" formatCode="0.00%">
                  <c:v>6.9820321904676977E-2</c:v>
                </c:pt>
                <c:pt idx="33" formatCode="0.00%">
                  <c:v>7.1002781825407341E-2</c:v>
                </c:pt>
                <c:pt idx="34" formatCode="0.00%">
                  <c:v>7.0123022847100175E-2</c:v>
                </c:pt>
                <c:pt idx="35" formatCode="0.00%">
                  <c:v>7.3259113730626504E-2</c:v>
                </c:pt>
                <c:pt idx="36" formatCode="0.00%">
                  <c:v>9.8211926363075838E-2</c:v>
                </c:pt>
                <c:pt idx="37" formatCode="0.00%">
                  <c:v>4.5296922410056353E-2</c:v>
                </c:pt>
                <c:pt idx="38" formatCode="0.00%">
                  <c:v>3.8973665299911232E-2</c:v>
                </c:pt>
                <c:pt idx="39" formatCode="0.00%">
                  <c:v>5.9647169649738804E-2</c:v>
                </c:pt>
                <c:pt idx="40" formatCode="0.00%">
                  <c:v>6.7895664131322253E-2</c:v>
                </c:pt>
                <c:pt idx="41" formatCode="0.00%">
                  <c:v>6.5182426140692459E-2</c:v>
                </c:pt>
                <c:pt idx="42" formatCode="0.00%">
                  <c:v>7.3619631901840496E-2</c:v>
                </c:pt>
                <c:pt idx="43" formatCode="0.00%">
                  <c:v>5.3790447486290763E-2</c:v>
                </c:pt>
                <c:pt idx="44" formatCode="0.00%">
                  <c:v>6.142946447176495E-2</c:v>
                </c:pt>
                <c:pt idx="45" formatCode="0.00%">
                  <c:v>3.6281179138321996E-2</c:v>
                </c:pt>
                <c:pt idx="46" formatCode="0.00%">
                  <c:v>4.3438988339628837E-2</c:v>
                </c:pt>
                <c:pt idx="47" formatCode="0.00%">
                  <c:v>3.9498840662246265E-2</c:v>
                </c:pt>
                <c:pt idx="48" formatCode="0.00%">
                  <c:v>1.118864292589028E-2</c:v>
                </c:pt>
                <c:pt idx="49" formatCode="0.00%">
                  <c:v>6.224341696039809E-2</c:v>
                </c:pt>
                <c:pt idx="50" formatCode="0.00%">
                  <c:v>4.0563082306033608E-2</c:v>
                </c:pt>
                <c:pt idx="51" formatCode="0.00%">
                  <c:v>5.4794520547945202E-2</c:v>
                </c:pt>
                <c:pt idx="52" formatCode="0.00%">
                  <c:v>5.4927367107963462E-2</c:v>
                </c:pt>
                <c:pt idx="53" formatCode="0.00%">
                  <c:v>3.6517523643010412E-2</c:v>
                </c:pt>
                <c:pt idx="54" formatCode="0.00%">
                  <c:v>3.2866995073891625E-2</c:v>
                </c:pt>
                <c:pt idx="55" formatCode="0.00%">
                  <c:v>5.0329705251449912E-2</c:v>
                </c:pt>
                <c:pt idx="56" formatCode="0.00%">
                  <c:v>4.401429188425144E-2</c:v>
                </c:pt>
                <c:pt idx="57" formatCode="0.00%">
                  <c:v>7.0379948279291824E-2</c:v>
                </c:pt>
                <c:pt idx="58" formatCode="0.00%">
                  <c:v>5.3435114503816793E-2</c:v>
                </c:pt>
                <c:pt idx="59" formatCode="0.00%">
                  <c:v>5.8581826719887299E-2</c:v>
                </c:pt>
                <c:pt idx="60" formatCode="0.00%">
                  <c:v>7.9357525282569896E-2</c:v>
                </c:pt>
                <c:pt idx="61" formatCode="0.00%">
                  <c:v>6.4256714553404121E-2</c:v>
                </c:pt>
                <c:pt idx="62" formatCode="0.00%">
                  <c:v>6.7563340631842356E-2</c:v>
                </c:pt>
                <c:pt idx="63" formatCode="0.00%">
                  <c:v>4.1221315557598746E-2</c:v>
                </c:pt>
                <c:pt idx="64" formatCode="0.00%">
                  <c:v>4.2416844675007628E-2</c:v>
                </c:pt>
                <c:pt idx="65" formatCode="0.00%">
                  <c:v>5.1677209124017631E-2</c:v>
                </c:pt>
                <c:pt idx="66" formatCode="0.00%">
                  <c:v>6.6389408218550883E-2</c:v>
                </c:pt>
                <c:pt idx="67" formatCode="0.00%">
                  <c:v>5.665443818312469E-2</c:v>
                </c:pt>
                <c:pt idx="68" formatCode="0.00%">
                  <c:v>4.8063181647235803E-2</c:v>
                </c:pt>
                <c:pt idx="69" formatCode="0.00%">
                  <c:v>4.6498661909009815E-2</c:v>
                </c:pt>
                <c:pt idx="70" formatCode="0.00%">
                  <c:v>5.1509039294785598E-2</c:v>
                </c:pt>
                <c:pt idx="71" formatCode="0.00%">
                  <c:v>3.5377620051014746E-2</c:v>
                </c:pt>
                <c:pt idx="72" formatCode="0.00%">
                  <c:v>4.3577307466196355E-2</c:v>
                </c:pt>
                <c:pt idx="73" formatCode="0.00%">
                  <c:v>5.4508106521898615E-2</c:v>
                </c:pt>
                <c:pt idx="74" formatCode="0.00%">
                  <c:v>5.1640785232932904E-2</c:v>
                </c:pt>
                <c:pt idx="75" formatCode="0.00%">
                  <c:v>7.1525810368299053E-2</c:v>
                </c:pt>
                <c:pt idx="76" formatCode="0.00%">
                  <c:v>6.3963700234192039E-2</c:v>
                </c:pt>
                <c:pt idx="77" formatCode="0.00%">
                  <c:v>6.3317901797105669E-2</c:v>
                </c:pt>
                <c:pt idx="78" formatCode="0.00%">
                  <c:v>4.1647286128305129E-2</c:v>
                </c:pt>
                <c:pt idx="79" formatCode="0.00%">
                  <c:v>4.7782669386878557E-2</c:v>
                </c:pt>
                <c:pt idx="80" formatCode="0.00%">
                  <c:v>6.0678914884455287E-2</c:v>
                </c:pt>
                <c:pt idx="81" formatCode="0.00%">
                  <c:v>5.5585153613922925E-2</c:v>
                </c:pt>
                <c:pt idx="82" formatCode="0.00%">
                  <c:v>6.9020638698447656E-2</c:v>
                </c:pt>
                <c:pt idx="83" formatCode="0.00%">
                  <c:v>7.5728363324764347E-2</c:v>
                </c:pt>
                <c:pt idx="84" formatCode="0.00%">
                  <c:v>7.9642278712766704E-2</c:v>
                </c:pt>
                <c:pt idx="85" formatCode="0.00%">
                  <c:v>8.1605676916655073E-2</c:v>
                </c:pt>
                <c:pt idx="86" formatCode="0.00%">
                  <c:v>9.3194957163752867E-2</c:v>
                </c:pt>
                <c:pt idx="87" formatCode="0.00%">
                  <c:v>6.4759811832572192E-2</c:v>
                </c:pt>
                <c:pt idx="88" formatCode="0.00%">
                  <c:v>7.1846196175539959E-2</c:v>
                </c:pt>
                <c:pt idx="89" formatCode="0.00%">
                  <c:v>8.5087418580733626E-2</c:v>
                </c:pt>
                <c:pt idx="90" formatCode="0.00%">
                  <c:v>8.3673960086559265E-2</c:v>
                </c:pt>
                <c:pt idx="91" formatCode="0.00%">
                  <c:v>8.649313383890142E-2</c:v>
                </c:pt>
                <c:pt idx="92" formatCode="0.00%">
                  <c:v>8.7722859366013733E-2</c:v>
                </c:pt>
                <c:pt idx="93" formatCode="0.00%">
                  <c:v>7.9576043068640648E-2</c:v>
                </c:pt>
                <c:pt idx="94" formatCode="0.00%">
                  <c:v>6.8684787665315342E-2</c:v>
                </c:pt>
                <c:pt idx="95" formatCode="0.00%">
                  <c:v>9.8642503899897108E-2</c:v>
                </c:pt>
                <c:pt idx="96" formatCode="0.00%">
                  <c:v>4.94064701278372E-2</c:v>
                </c:pt>
                <c:pt idx="97" formatCode="0.00%">
                  <c:v>4.7661928346304755E-2</c:v>
                </c:pt>
                <c:pt idx="98" formatCode="0.00%">
                  <c:v>5.4635234151003506E-2</c:v>
                </c:pt>
                <c:pt idx="99" formatCode="0.00%">
                  <c:v>6.0305072720822986E-2</c:v>
                </c:pt>
                <c:pt idx="100" formatCode="0.00%">
                  <c:v>6.9757741055671424E-2</c:v>
                </c:pt>
                <c:pt idx="101" formatCode="0.00%">
                  <c:v>5.5478326803993429E-2</c:v>
                </c:pt>
                <c:pt idx="102" formatCode="0.00%">
                  <c:v>6.4566230308409148E-2</c:v>
                </c:pt>
                <c:pt idx="103" formatCode="0.00%">
                  <c:v>6.3415707728101622E-2</c:v>
                </c:pt>
                <c:pt idx="104" formatCode="0.00%">
                  <c:v>6.2017914904205024E-2</c:v>
                </c:pt>
                <c:pt idx="105" formatCode="0.00%">
                  <c:v>6.8412030543867852E-2</c:v>
                </c:pt>
                <c:pt idx="106" formatCode="0.00%">
                  <c:v>7.1421908522744937E-2</c:v>
                </c:pt>
                <c:pt idx="107" formatCode="0.00%">
                  <c:v>4.9333856983172712E-2</c:v>
                </c:pt>
                <c:pt idx="108" formatCode="0.00%">
                  <c:v>0.10634264582491687</c:v>
                </c:pt>
                <c:pt idx="109" formatCode="0.00%">
                  <c:v>6.381999017681729E-2</c:v>
                </c:pt>
                <c:pt idx="110" formatCode="0.00%">
                  <c:v>2.911946835825404E-2</c:v>
                </c:pt>
                <c:pt idx="111" formatCode="0.00%">
                  <c:v>7.5580157547370658E-2</c:v>
                </c:pt>
                <c:pt idx="112" formatCode="0.00%">
                  <c:v>5.5880500314946457E-2</c:v>
                </c:pt>
                <c:pt idx="113" formatCode="0.00%">
                  <c:v>5.1065613026819924E-2</c:v>
                </c:pt>
                <c:pt idx="114" formatCode="0.00%">
                  <c:v>6.3538379086524141E-2</c:v>
                </c:pt>
                <c:pt idx="115" formatCode="0.00%">
                  <c:v>6.1851402891523521E-2</c:v>
                </c:pt>
                <c:pt idx="116" formatCode="0.00%">
                  <c:v>4.9083347976336907E-2</c:v>
                </c:pt>
                <c:pt idx="117" formatCode="0.00%">
                  <c:v>5.6855309218203032E-2</c:v>
                </c:pt>
                <c:pt idx="118" formatCode="0.00%">
                  <c:v>6.3787799640141626E-2</c:v>
                </c:pt>
                <c:pt idx="119" formatCode="0.00%">
                  <c:v>6.6793343697817698E-2</c:v>
                </c:pt>
                <c:pt idx="120" formatCode="0.00%">
                  <c:v>3.3987809331198562E-2</c:v>
                </c:pt>
                <c:pt idx="121" formatCode="0.00%">
                  <c:v>6.6916750829606117E-2</c:v>
                </c:pt>
                <c:pt idx="122" formatCode="0.00%">
                  <c:v>9.0258005811735015E-2</c:v>
                </c:pt>
                <c:pt idx="123" formatCode="0.00%">
                  <c:v>6.0145911096029861E-2</c:v>
                </c:pt>
                <c:pt idx="124" formatCode="0.00%">
                  <c:v>5.4315095733196976E-2</c:v>
                </c:pt>
                <c:pt idx="125" formatCode="0.00%">
                  <c:v>6.5586375804522409E-2</c:v>
                </c:pt>
                <c:pt idx="126" formatCode="0.00%">
                  <c:v>3.9529675251959689E-2</c:v>
                </c:pt>
                <c:pt idx="127" formatCode="0.00%">
                  <c:v>3.5834609494640124E-2</c:v>
                </c:pt>
                <c:pt idx="128" formatCode="0.00%">
                  <c:v>3.4531851934565351E-2</c:v>
                </c:pt>
                <c:pt idx="129" formatCode="0.00%">
                  <c:v>4.3804686853073503E-2</c:v>
                </c:pt>
                <c:pt idx="130" formatCode="0.00%">
                  <c:v>2.8426451331296378E-2</c:v>
                </c:pt>
                <c:pt idx="131" formatCode="0.00%">
                  <c:v>1.7865817455605334E-2</c:v>
                </c:pt>
                <c:pt idx="132" formatCode="0.00%">
                  <c:v>2.5237021542473717E-2</c:v>
                </c:pt>
                <c:pt idx="133" formatCode="0.00%">
                  <c:v>2.8560610158489749E-2</c:v>
                </c:pt>
                <c:pt idx="134" formatCode="0.00%">
                  <c:v>3.3572043937109629E-2</c:v>
                </c:pt>
                <c:pt idx="135" formatCode="0.00%">
                  <c:v>2.2138646608519379E-2</c:v>
                </c:pt>
                <c:pt idx="136" formatCode="0.00%">
                  <c:v>3.6886350164358463E-2</c:v>
                </c:pt>
                <c:pt idx="137" formatCode="0.00%">
                  <c:v>3.8725712911243555E-2</c:v>
                </c:pt>
                <c:pt idx="138" formatCode="0.00%">
                  <c:v>6.1187116233976088E-2</c:v>
                </c:pt>
                <c:pt idx="139" formatCode="0.00%">
                  <c:v>7.7495833557335622E-2</c:v>
                </c:pt>
                <c:pt idx="140" formatCode="0.00%">
                  <c:v>7.6553603712998186E-2</c:v>
                </c:pt>
                <c:pt idx="141" formatCode="0.00%">
                  <c:v>4.8471546435371271E-2</c:v>
                </c:pt>
                <c:pt idx="142" formatCode="0.00%">
                  <c:v>5.9605284099952249E-2</c:v>
                </c:pt>
                <c:pt idx="143" formatCode="0.00%">
                  <c:v>6.2785024923109556E-2</c:v>
                </c:pt>
                <c:pt idx="144" formatCode="0.00%">
                  <c:v>7.1436142024377314E-2</c:v>
                </c:pt>
                <c:pt idx="145" formatCode="0.00%">
                  <c:v>6.5448330265579807E-2</c:v>
                </c:pt>
                <c:pt idx="146" formatCode="0.00%">
                  <c:v>7.0016410096116283E-2</c:v>
                </c:pt>
                <c:pt idx="147" formatCode="0.00%">
                  <c:v>6.1089220009916234E-2</c:v>
                </c:pt>
                <c:pt idx="148" formatCode="0.00%">
                  <c:v>7.4032689759114409E-2</c:v>
                </c:pt>
                <c:pt idx="149" formatCode="0.00%">
                  <c:v>4.862862141717697E-2</c:v>
                </c:pt>
                <c:pt idx="150" formatCode="0.00%">
                  <c:v>4.5502994619835549E-2</c:v>
                </c:pt>
                <c:pt idx="151" formatCode="0.00%">
                  <c:v>3.0884370712236497E-2</c:v>
                </c:pt>
                <c:pt idx="152" formatCode="0.00%">
                  <c:v>4.1583116101864846E-2</c:v>
                </c:pt>
                <c:pt idx="153" formatCode="0.00%">
                  <c:v>6.0354611717823907E-2</c:v>
                </c:pt>
                <c:pt idx="154" formatCode="0.00%">
                  <c:v>5.5926899486794343E-2</c:v>
                </c:pt>
                <c:pt idx="155" formatCode="0.00%">
                  <c:v>6.4165252968765588E-2</c:v>
                </c:pt>
                <c:pt idx="156" formatCode="0.00%">
                  <c:v>5.2428529033534475E-2</c:v>
                </c:pt>
                <c:pt idx="157" formatCode="0.00%">
                  <c:v>6.574693353735285E-2</c:v>
                </c:pt>
                <c:pt idx="158" formatCode="0.00%">
                  <c:v>4.5522042892962342E-2</c:v>
                </c:pt>
                <c:pt idx="159" formatCode="0.00%">
                  <c:v>7.2278786090207076E-2</c:v>
                </c:pt>
                <c:pt idx="160" formatCode="0.00%">
                  <c:v>5.0590341623923354E-2</c:v>
                </c:pt>
                <c:pt idx="161" formatCode="0.00%">
                  <c:v>8.8281480027480611E-2</c:v>
                </c:pt>
                <c:pt idx="162" formatCode="0.00%">
                  <c:v>6.8451586280554408E-2</c:v>
                </c:pt>
                <c:pt idx="163" formatCode="0.00%">
                  <c:v>6.9961038646758469E-2</c:v>
                </c:pt>
                <c:pt idx="164" formatCode="0.00%">
                  <c:v>7.0918060401877037E-2</c:v>
                </c:pt>
                <c:pt idx="165" formatCode="0.00%">
                  <c:v>7.6709005280433853E-2</c:v>
                </c:pt>
                <c:pt idx="166" formatCode="0.00%">
                  <c:v>7.2239740155053467E-2</c:v>
                </c:pt>
                <c:pt idx="167" formatCode="0.00%">
                  <c:v>4.9746811702925733E-2</c:v>
                </c:pt>
                <c:pt idx="168" formatCode="0.00%">
                  <c:v>7.4114108468841061E-2</c:v>
                </c:pt>
                <c:pt idx="169" formatCode="0.00%">
                  <c:v>6.0000463145219181E-2</c:v>
                </c:pt>
                <c:pt idx="170" formatCode="0.00%">
                  <c:v>6.2539290786747068E-2</c:v>
                </c:pt>
                <c:pt idx="171" formatCode="0.00%">
                  <c:v>5.6122565996192746E-2</c:v>
                </c:pt>
                <c:pt idx="172" formatCode="0.00%">
                  <c:v>5.4878750892384219E-2</c:v>
                </c:pt>
                <c:pt idx="173" formatCode="0.00%">
                  <c:v>3.6118501149839922E-2</c:v>
                </c:pt>
                <c:pt idx="174" formatCode="0.00%">
                  <c:v>4.1370379626053569E-2</c:v>
                </c:pt>
                <c:pt idx="175" formatCode="0.00%">
                  <c:v>4.1366987831908446E-2</c:v>
                </c:pt>
                <c:pt idx="176" formatCode="0.00%">
                  <c:v>4.9660689407217656E-2</c:v>
                </c:pt>
                <c:pt idx="177" formatCode="0.00%">
                  <c:v>3.1192701084675371E-2</c:v>
                </c:pt>
                <c:pt idx="178" formatCode="0.00%">
                  <c:v>3.4802989430858355E-2</c:v>
                </c:pt>
                <c:pt idx="179" formatCode="0.00%">
                  <c:v>5.7304926526419227E-2</c:v>
                </c:pt>
                <c:pt idx="180" formatCode="0.00%">
                  <c:v>5.0842266462480856E-2</c:v>
                </c:pt>
                <c:pt idx="181" formatCode="0.00%">
                  <c:v>3.3184777384541446E-2</c:v>
                </c:pt>
                <c:pt idx="182" formatCode="0.00%">
                  <c:v>5.4716774405609729E-2</c:v>
                </c:pt>
                <c:pt idx="183" formatCode="0.00%">
                  <c:v>3.5419562195969423E-2</c:v>
                </c:pt>
                <c:pt idx="184" formatCode="0.00%">
                  <c:v>4.5430729598742524E-2</c:v>
                </c:pt>
                <c:pt idx="185" formatCode="0.00%">
                  <c:v>4.125685438245278E-2</c:v>
                </c:pt>
                <c:pt idx="186" formatCode="0.00%">
                  <c:v>5.6154282473057288E-2</c:v>
                </c:pt>
                <c:pt idx="187" formatCode="0.00%">
                  <c:v>5.7793801446473947E-2</c:v>
                </c:pt>
                <c:pt idx="188" formatCode="0.00%">
                  <c:v>3.3738653879088885E-2</c:v>
                </c:pt>
                <c:pt idx="189" formatCode="0.00%">
                  <c:v>3.9868034876496927E-2</c:v>
                </c:pt>
                <c:pt idx="190" formatCode="0.00%">
                  <c:v>4.8012820512820513E-2</c:v>
                </c:pt>
                <c:pt idx="191" formatCode="0.00%">
                  <c:v>4.1356877323420076E-2</c:v>
                </c:pt>
                <c:pt idx="192" formatCode="0.00%">
                  <c:v>1.9090644127076655E-2</c:v>
                </c:pt>
                <c:pt idx="193" formatCode="0.00%">
                  <c:v>3.4550567737297276E-2</c:v>
                </c:pt>
                <c:pt idx="194" formatCode="0.00%">
                  <c:v>1.7825978558962851E-2</c:v>
                </c:pt>
                <c:pt idx="195" formatCode="0.00%">
                  <c:v>3.678768430545943E-2</c:v>
                </c:pt>
                <c:pt idx="196" formatCode="0.00%">
                  <c:v>5.1955645582308349E-2</c:v>
                </c:pt>
                <c:pt idx="197" formatCode="0.00%">
                  <c:v>6.081250522444203E-2</c:v>
                </c:pt>
                <c:pt idx="198" formatCode="0.00%">
                  <c:v>4.4823597455176403E-2</c:v>
                </c:pt>
                <c:pt idx="199" formatCode="0.00%">
                  <c:v>2.9299441524310119E-2</c:v>
                </c:pt>
                <c:pt idx="200" formatCode="0.00%">
                  <c:v>2.3774022531477802E-2</c:v>
                </c:pt>
                <c:pt idx="201" formatCode="0.00%">
                  <c:v>1.4833127317676144E-2</c:v>
                </c:pt>
                <c:pt idx="202" formatCode="0.00%">
                  <c:v>8.5020490549880725E-3</c:v>
                </c:pt>
                <c:pt idx="203" formatCode="0.00%">
                  <c:v>-8.0321285140562242E-3</c:v>
                </c:pt>
                <c:pt idx="204" formatCode="0.00%">
                  <c:v>6.8844354558640275E-3</c:v>
                </c:pt>
                <c:pt idx="205" formatCode="0.00%">
                  <c:v>5.5593026345371679E-3</c:v>
                </c:pt>
                <c:pt idx="206" formatCode="0.00%">
                  <c:v>-3.0618493570116348E-3</c:v>
                </c:pt>
                <c:pt idx="207" formatCode="0.00%">
                  <c:v>-1.104525317095867E-2</c:v>
                </c:pt>
                <c:pt idx="208" formatCode="0.00%">
                  <c:v>-2.5607940446650126E-2</c:v>
                </c:pt>
                <c:pt idx="209" formatCode="0.00%">
                  <c:v>-3.8808557582443559E-2</c:v>
                </c:pt>
                <c:pt idx="210" formatCode="0.00%">
                  <c:v>-3.4992685144913209E-2</c:v>
                </c:pt>
                <c:pt idx="211" formatCode="0.00%">
                  <c:v>-2.3877441104306715E-2</c:v>
                </c:pt>
                <c:pt idx="212" formatCode="0.00%">
                  <c:v>-4.3692855409013676E-3</c:v>
                </c:pt>
                <c:pt idx="213" formatCode="0.00%">
                  <c:v>9.4397076735688191E-3</c:v>
                </c:pt>
                <c:pt idx="214" formatCode="0.00%">
                  <c:v>-6.2267507682354844E-3</c:v>
                </c:pt>
                <c:pt idx="215" formatCode="0.00%">
                  <c:v>1.5355989040199566E-2</c:v>
                </c:pt>
                <c:pt idx="216" formatCode="0.00%">
                  <c:v>1.1382080831033923E-2</c:v>
                </c:pt>
                <c:pt idx="217" formatCode="0.00%">
                  <c:v>2.7216000325209863E-2</c:v>
                </c:pt>
                <c:pt idx="218" formatCode="0.00%">
                  <c:v>2.5061425061425061E-2</c:v>
                </c:pt>
                <c:pt idx="219" formatCode="0.00%">
                  <c:v>3.6185488984801686E-2</c:v>
                </c:pt>
                <c:pt idx="220" formatCode="0.00%">
                  <c:v>1.8335540389120913E-2</c:v>
                </c:pt>
                <c:pt idx="221" formatCode="0.00%">
                  <c:v>2.4163797343826857E-2</c:v>
                </c:pt>
                <c:pt idx="222" formatCode="0.00%">
                  <c:v>2.1674997951323445E-2</c:v>
                </c:pt>
                <c:pt idx="223" formatCode="0.00%">
                  <c:v>2.5054154575550741E-2</c:v>
                </c:pt>
                <c:pt idx="224" formatCode="0.00%">
                  <c:v>2.1007720438845998E-2</c:v>
                </c:pt>
                <c:pt idx="225" formatCode="0.00%">
                  <c:v>1.0739064856711916E-2</c:v>
                </c:pt>
                <c:pt idx="226" formatCode="0.00%">
                  <c:v>4.5365774269672067E-2</c:v>
                </c:pt>
                <c:pt idx="227" formatCode="0.00%">
                  <c:v>2.5353927945707552E-2</c:v>
                </c:pt>
                <c:pt idx="228" formatCode="0.00%">
                  <c:v>1.9859977130935427E-2</c:v>
                </c:pt>
                <c:pt idx="229" formatCode="0.00%">
                  <c:v>1.9292413629348214E-2</c:v>
                </c:pt>
                <c:pt idx="230" formatCode="0.00%">
                  <c:v>3.1499680409076379E-2</c:v>
                </c:pt>
                <c:pt idx="231" formatCode="0.00%">
                  <c:v>2.6630606443461782E-2</c:v>
                </c:pt>
                <c:pt idx="232" formatCode="0.00%">
                  <c:v>3.6110833249974994E-2</c:v>
                </c:pt>
                <c:pt idx="233" formatCode="0.00%">
                  <c:v>4.7667647235396529E-2</c:v>
                </c:pt>
                <c:pt idx="234" formatCode="0.00%">
                  <c:v>4.517746139963906E-2</c:v>
                </c:pt>
                <c:pt idx="235" formatCode="0.00%">
                  <c:v>3.9393939393939391E-2</c:v>
                </c:pt>
                <c:pt idx="236" formatCode="0.00%">
                  <c:v>4.6185378278346005E-2</c:v>
                </c:pt>
                <c:pt idx="237" formatCode="0.00%">
                  <c:v>4.3693666805945205E-2</c:v>
                </c:pt>
                <c:pt idx="238" formatCode="0.00%">
                  <c:v>2.4734363445296385E-2</c:v>
                </c:pt>
                <c:pt idx="239" formatCode="0.00%">
                  <c:v>3.0285175583313693E-2</c:v>
                </c:pt>
                <c:pt idx="240" formatCode="0.00%">
                  <c:v>4.543755778044415E-2</c:v>
                </c:pt>
                <c:pt idx="241" formatCode="0.00%">
                  <c:v>4.7191970958787105E-2</c:v>
                </c:pt>
                <c:pt idx="242" formatCode="0.00%">
                  <c:v>3.9058112739877228E-2</c:v>
                </c:pt>
                <c:pt idx="243" formatCode="0.00%">
                  <c:v>2.4613017979040478E-2</c:v>
                </c:pt>
                <c:pt idx="244" formatCode="0.00%">
                  <c:v>2.6337130720216258E-2</c:v>
                </c:pt>
                <c:pt idx="245" formatCode="0.00%">
                  <c:v>1.4879758562069032E-2</c:v>
                </c:pt>
                <c:pt idx="246" formatCode="0.00%">
                  <c:v>2.219749438827389E-2</c:v>
                </c:pt>
                <c:pt idx="247" formatCode="0.00%">
                  <c:v>2.7198097284026394E-2</c:v>
                </c:pt>
                <c:pt idx="248" formatCode="0.00%">
                  <c:v>1.6642891107941038E-2</c:v>
                </c:pt>
                <c:pt idx="249" formatCode="0.00%">
                  <c:v>2.3238966733390525E-2</c:v>
                </c:pt>
                <c:pt idx="250" formatCode="0.00%">
                  <c:v>1.532559773629337E-2</c:v>
                </c:pt>
                <c:pt idx="251" formatCode="0.00%">
                  <c:v>2.321857485988791E-2</c:v>
                </c:pt>
                <c:pt idx="252" formatCode="0.00%">
                  <c:v>1.7403902237107E-2</c:v>
                </c:pt>
                <c:pt idx="253" formatCode="0.00%">
                  <c:v>1.0937268278214445E-2</c:v>
                </c:pt>
                <c:pt idx="254" formatCode="0.00%">
                  <c:v>1.0771925901077192E-2</c:v>
                </c:pt>
                <c:pt idx="255" formatCode="0.00%">
                  <c:v>1.7134277939382565E-2</c:v>
                </c:pt>
                <c:pt idx="256" formatCode="0.00%">
                  <c:v>2.4438424201377131E-2</c:v>
                </c:pt>
                <c:pt idx="257" formatCode="0.00%">
                  <c:v>2.4749680042159151E-2</c:v>
                </c:pt>
                <c:pt idx="258" formatCode="0.00%">
                  <c:v>2.5450450450450451E-2</c:v>
                </c:pt>
                <c:pt idx="259" formatCode="0.00%">
                  <c:v>1.7029540277103485E-2</c:v>
                </c:pt>
                <c:pt idx="260" formatCode="0.00%">
                  <c:v>2.5930776426566885E-2</c:v>
                </c:pt>
                <c:pt idx="261" formatCode="0.00%">
                  <c:v>2.3195588180497075E-2</c:v>
                </c:pt>
                <c:pt idx="262" formatCode="0.00%">
                  <c:v>2.4427652251982644E-2</c:v>
                </c:pt>
                <c:pt idx="263" formatCode="0.00%">
                  <c:v>1.8369476115954988E-2</c:v>
                </c:pt>
                <c:pt idx="264" formatCode="0.00%">
                  <c:v>8.5808336723748931E-3</c:v>
                </c:pt>
                <c:pt idx="265" formatCode="0.00%">
                  <c:v>1.5696629625554698E-2</c:v>
                </c:pt>
                <c:pt idx="266" formatCode="0.00%">
                  <c:v>2.2733977431964009E-2</c:v>
                </c:pt>
                <c:pt idx="267" formatCode="0.00%">
                  <c:v>3.2565777334957011E-2</c:v>
                </c:pt>
                <c:pt idx="268" formatCode="0.00%">
                  <c:v>2.7675242869997979E-2</c:v>
                </c:pt>
                <c:pt idx="269" formatCode="0.00%">
                  <c:v>2.7641559681892483E-2</c:v>
                </c:pt>
                <c:pt idx="270" formatCode="0.00%">
                  <c:v>2.6191522073358224E-2</c:v>
                </c:pt>
                <c:pt idx="271" formatCode="0.00%">
                  <c:v>3.6114273124518051E-2</c:v>
                </c:pt>
                <c:pt idx="272" formatCode="0.00%">
                  <c:v>2.1810489459479176E-2</c:v>
                </c:pt>
                <c:pt idx="273" formatCode="0.00%">
                  <c:v>2.4217483930880024E-2</c:v>
                </c:pt>
                <c:pt idx="274" formatCode="0.00%">
                  <c:v>2.8628811393098412E-2</c:v>
                </c:pt>
                <c:pt idx="275" formatCode="0.00%">
                  <c:v>3.1575866232483263E-2</c:v>
                </c:pt>
                <c:pt idx="276" formatCode="0.00%">
                  <c:v>3.5919909054237413E-2</c:v>
                </c:pt>
                <c:pt idx="277" formatCode="0.00%">
                  <c:v>1.3865318649575735E-2</c:v>
                </c:pt>
                <c:pt idx="278" formatCode="0.00%">
                  <c:v>1.6207250896897365E-2</c:v>
                </c:pt>
                <c:pt idx="279" formatCode="0.00%">
                  <c:v>5.0390436538427178E-3</c:v>
                </c:pt>
                <c:pt idx="280" formatCode="0.00%">
                  <c:v>1.4617583988563259E-2</c:v>
                </c:pt>
                <c:pt idx="281" formatCode="0.00%">
                  <c:v>1.2367743780383186E-2</c:v>
                </c:pt>
                <c:pt idx="282" formatCode="0.00%">
                  <c:v>1.5285283678456133E-2</c:v>
                </c:pt>
                <c:pt idx="283" formatCode="0.00%">
                  <c:v>5.4932397710559426E-3</c:v>
                </c:pt>
                <c:pt idx="284" formatCode="0.00%">
                  <c:v>1.9292547115933752E-2</c:v>
                </c:pt>
                <c:pt idx="285" formatCode="0.00%">
                  <c:v>8.9068250102224047E-3</c:v>
                </c:pt>
                <c:pt idx="286" formatCode="0.00%">
                  <c:v>1.0650005325002663E-2</c:v>
                </c:pt>
                <c:pt idx="287" formatCode="0.00%">
                  <c:v>1.3708590480244023E-2</c:v>
                </c:pt>
                <c:pt idx="288" formatCode="0.00%">
                  <c:v>-3.1683098217604472E-3</c:v>
                </c:pt>
                <c:pt idx="289" formatCode="0.00%">
                  <c:v>1.8287688307988176E-2</c:v>
                </c:pt>
                <c:pt idx="290" formatCode="0.00%">
                  <c:v>1.1087851263128015E-2</c:v>
                </c:pt>
                <c:pt idx="291" formatCode="0.00%">
                  <c:v>1.19477286869944E-2</c:v>
                </c:pt>
                <c:pt idx="292" formatCode="0.00%">
                  <c:v>-1.9373701081404769E-3</c:v>
                </c:pt>
                <c:pt idx="293" formatCode="0.00%">
                  <c:v>7.7854671280276812E-3</c:v>
                </c:pt>
                <c:pt idx="294" formatCode="0.00%">
                  <c:v>-2.9688707750685126E-3</c:v>
                </c:pt>
                <c:pt idx="295" formatCode="0.00%">
                  <c:v>2.0266817052323636E-3</c:v>
                </c:pt>
                <c:pt idx="296" formatCode="0.00%">
                  <c:v>-1.5197940924132859E-2</c:v>
                </c:pt>
                <c:pt idx="297" formatCode="0.00%">
                  <c:v>2.1145374449339208E-4</c:v>
                </c:pt>
                <c:pt idx="298" formatCode="0.00%">
                  <c:v>-7.0251852892620039E-3</c:v>
                </c:pt>
                <c:pt idx="299" formatCode="0.00%">
                  <c:v>-1.2508528542187855E-2</c:v>
                </c:pt>
                <c:pt idx="300" formatCode="0.00%">
                  <c:v>2.445044213217799E-2</c:v>
                </c:pt>
                <c:pt idx="301" formatCode="0.00%">
                  <c:v>-3.8471627174958469E-3</c:v>
                </c:pt>
                <c:pt idx="302" formatCode="0.00%">
                  <c:v>4.9304300528135031E-3</c:v>
                </c:pt>
                <c:pt idx="303" formatCode="0.00%">
                  <c:v>1.2966249099566035E-2</c:v>
                </c:pt>
                <c:pt idx="304" formatCode="0.00%">
                  <c:v>-1.1999717653702266E-3</c:v>
                </c:pt>
                <c:pt idx="305" formatCode="0.00%">
                  <c:v>1.1947096435140581E-2</c:v>
                </c:pt>
                <c:pt idx="306" formatCode="0.00%">
                  <c:v>1.203418201039556E-2</c:v>
                </c:pt>
                <c:pt idx="307" formatCode="0.00%">
                  <c:v>1.3999788947905307E-2</c:v>
                </c:pt>
                <c:pt idx="308" formatCode="0.00%">
                  <c:v>3.6429904880433815E-2</c:v>
                </c:pt>
                <c:pt idx="309" formatCode="0.00%">
                  <c:v>2.1739896409569782E-2</c:v>
                </c:pt>
                <c:pt idx="310" formatCode="0.00%">
                  <c:v>2.7008383741908098E-2</c:v>
                </c:pt>
                <c:pt idx="311" formatCode="0.00%">
                  <c:v>3.8000921234454171E-2</c:v>
                </c:pt>
                <c:pt idx="312" formatCode="0.00%">
                  <c:v>1.5807262327758038E-2</c:v>
                </c:pt>
                <c:pt idx="313" formatCode="0.00%">
                  <c:v>2.9930659176687441E-2</c:v>
                </c:pt>
                <c:pt idx="314" formatCode="0.00%">
                  <c:v>1.4090163075741175E-2</c:v>
                </c:pt>
                <c:pt idx="315" formatCode="0.00%">
                  <c:v>1.3320613997051426E-2</c:v>
                </c:pt>
                <c:pt idx="316" formatCode="0.00%">
                  <c:v>5.4452296819787985E-2</c:v>
                </c:pt>
                <c:pt idx="317" formatCode="0.00%">
                  <c:v>1.5926047743521389E-2</c:v>
                </c:pt>
                <c:pt idx="318" formatCode="0.00%">
                  <c:v>2.6602597583481317E-2</c:v>
                </c:pt>
                <c:pt idx="319" formatCode="0.00%">
                  <c:v>2.6849828285981894E-2</c:v>
                </c:pt>
                <c:pt idx="320" formatCode="0.00%">
                  <c:v>1.19737880399355E-2</c:v>
                </c:pt>
                <c:pt idx="321" formatCode="0.00%">
                  <c:v>2.3432650527622594E-2</c:v>
                </c:pt>
                <c:pt idx="322" formatCode="0.00%">
                  <c:v>3.2670283303194693E-2</c:v>
                </c:pt>
                <c:pt idx="323" formatCode="0.00%">
                  <c:v>1.1366933488078374E-2</c:v>
                </c:pt>
                <c:pt idx="324" formatCode="0.00%">
                  <c:v>1.4076816762502773E-2</c:v>
                </c:pt>
                <c:pt idx="325" formatCode="0.00%">
                  <c:v>1.4658258053519687E-3</c:v>
                </c:pt>
                <c:pt idx="326" formatCode="0.00%">
                  <c:v>2.696234568964033E-2</c:v>
                </c:pt>
                <c:pt idx="327" formatCode="0.00%">
                  <c:v>2.9748557930951852E-2</c:v>
                </c:pt>
                <c:pt idx="328" formatCode="0.00%">
                  <c:v>-5.6968600247980967E-4</c:v>
                </c:pt>
                <c:pt idx="329" formatCode="0.00%">
                  <c:v>1.7141786085504457E-2</c:v>
                </c:pt>
                <c:pt idx="330" formatCode="0.00%">
                  <c:v>1.9875860665468235E-2</c:v>
                </c:pt>
                <c:pt idx="331" formatCode="0.00%">
                  <c:v>1.4712340799297322E-2</c:v>
                </c:pt>
                <c:pt idx="332" formatCode="0.00%">
                  <c:v>1.0120016273393002E-2</c:v>
                </c:pt>
                <c:pt idx="333" formatCode="0.00%">
                  <c:v>8.6597590767416386E-3</c:v>
                </c:pt>
                <c:pt idx="334" formatCode="0.00%">
                  <c:v>-6.6708915646576165E-5</c:v>
                </c:pt>
                <c:pt idx="335" formatCode="0.00%">
                  <c:v>1.6909394670671818E-2</c:v>
                </c:pt>
                <c:pt idx="336" formatCode="0.00%">
                  <c:v>1.9551756629425224E-2</c:v>
                </c:pt>
                <c:pt idx="337" formatCode="0.00%">
                  <c:v>3.3068963169718836E-2</c:v>
                </c:pt>
                <c:pt idx="338" formatCode="0.00%">
                  <c:v>0.10164802923868761</c:v>
                </c:pt>
                <c:pt idx="339" formatCode="0.00%">
                  <c:v>-5.1062981000980702E-2</c:v>
                </c:pt>
                <c:pt idx="340" formatCode="0.00%">
                  <c:v>2.3823095493562232E-2</c:v>
                </c:pt>
                <c:pt idx="341" formatCode="0.00%">
                  <c:v>3.9049804834737745E-2</c:v>
                </c:pt>
                <c:pt idx="342" formatCode="0.00%">
                  <c:v>2.672187302537497E-2</c:v>
                </c:pt>
                <c:pt idx="343" formatCode="0.00%">
                  <c:v>1.8177883574983771E-2</c:v>
                </c:pt>
              </c:numCache>
            </c:numRef>
          </c:val>
          <c:smooth val="0"/>
          <c:extLst>
            <c:ext xmlns:c16="http://schemas.microsoft.com/office/drawing/2014/chart" uri="{C3380CC4-5D6E-409C-BE32-E72D297353CC}">
              <c16:uniqueId val="{00000002-C479-4BBD-A161-4313B2EA7676}"/>
            </c:ext>
          </c:extLst>
        </c:ser>
        <c:dLbls>
          <c:showLegendKey val="0"/>
          <c:showVal val="0"/>
          <c:showCatName val="0"/>
          <c:showSerName val="0"/>
          <c:showPercent val="0"/>
          <c:showBubbleSize val="0"/>
        </c:dLbls>
        <c:smooth val="0"/>
        <c:axId val="991627056"/>
        <c:axId val="991625088"/>
      </c:lineChart>
      <c:dateAx>
        <c:axId val="991627056"/>
        <c:scaling>
          <c:orientation val="minMax"/>
        </c:scaling>
        <c:delete val="0"/>
        <c:axPos val="b"/>
        <c:numFmt formatCode="[$-409]mmm\-yy;@" sourceLinked="1"/>
        <c:majorTickMark val="out"/>
        <c:minorTickMark val="none"/>
        <c:tickLblPos val="low"/>
        <c:spPr>
          <a:noFill/>
          <a:ln w="9525" cap="flat" cmpd="sng" algn="ctr">
            <a:solidFill>
              <a:sysClr val="windowText" lastClr="000000"/>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91625088"/>
        <c:crosses val="autoZero"/>
        <c:auto val="1"/>
        <c:lblOffset val="100"/>
        <c:baseTimeUnit val="months"/>
      </c:dateAx>
      <c:valAx>
        <c:axId val="99162508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9162705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'Food Services'!$B$6</c:f>
              <c:strCache>
                <c:ptCount val="1"/>
                <c:pt idx="0">
                  <c:v>Food Services and Drinking Places</c:v>
                </c:pt>
              </c:strCache>
            </c:strRef>
          </c:tx>
          <c:spPr>
            <a:ln w="28575" cap="rnd">
              <a:solidFill>
                <a:schemeClr val="accent1"/>
              </a:solidFill>
              <a:round/>
            </a:ln>
            <a:effectLst/>
          </c:spPr>
          <c:marker>
            <c:symbol val="none"/>
          </c:marker>
          <c:cat>
            <c:numRef>
              <c:f>'Food Services'!$A$7:$A$350</c:f>
              <c:numCache>
                <c:formatCode>[$-409]mmm\-yy;@</c:formatCode>
                <c:ptCount val="344"/>
                <c:pt idx="0">
                  <c:v>33604</c:v>
                </c:pt>
                <c:pt idx="1">
                  <c:v>33635</c:v>
                </c:pt>
                <c:pt idx="2">
                  <c:v>33664</c:v>
                </c:pt>
                <c:pt idx="3">
                  <c:v>33695</c:v>
                </c:pt>
                <c:pt idx="4">
                  <c:v>33725</c:v>
                </c:pt>
                <c:pt idx="5">
                  <c:v>33756</c:v>
                </c:pt>
                <c:pt idx="6">
                  <c:v>33786</c:v>
                </c:pt>
                <c:pt idx="7">
                  <c:v>33817</c:v>
                </c:pt>
                <c:pt idx="8">
                  <c:v>33848</c:v>
                </c:pt>
                <c:pt idx="9">
                  <c:v>33878</c:v>
                </c:pt>
                <c:pt idx="10">
                  <c:v>33909</c:v>
                </c:pt>
                <c:pt idx="11">
                  <c:v>33939</c:v>
                </c:pt>
                <c:pt idx="12">
                  <c:v>33970</c:v>
                </c:pt>
                <c:pt idx="13">
                  <c:v>34001</c:v>
                </c:pt>
                <c:pt idx="14">
                  <c:v>34029</c:v>
                </c:pt>
                <c:pt idx="15">
                  <c:v>34060</c:v>
                </c:pt>
                <c:pt idx="16">
                  <c:v>34090</c:v>
                </c:pt>
                <c:pt idx="17">
                  <c:v>34121</c:v>
                </c:pt>
                <c:pt idx="18">
                  <c:v>34151</c:v>
                </c:pt>
                <c:pt idx="19">
                  <c:v>34182</c:v>
                </c:pt>
                <c:pt idx="20">
                  <c:v>34213</c:v>
                </c:pt>
                <c:pt idx="21">
                  <c:v>34243</c:v>
                </c:pt>
                <c:pt idx="22">
                  <c:v>34274</c:v>
                </c:pt>
                <c:pt idx="23">
                  <c:v>34304</c:v>
                </c:pt>
                <c:pt idx="24">
                  <c:v>34335</c:v>
                </c:pt>
                <c:pt idx="25">
                  <c:v>34366</c:v>
                </c:pt>
                <c:pt idx="26">
                  <c:v>34394</c:v>
                </c:pt>
                <c:pt idx="27">
                  <c:v>34425</c:v>
                </c:pt>
                <c:pt idx="28">
                  <c:v>34455</c:v>
                </c:pt>
                <c:pt idx="29">
                  <c:v>34486</c:v>
                </c:pt>
                <c:pt idx="30">
                  <c:v>34516</c:v>
                </c:pt>
                <c:pt idx="31">
                  <c:v>34547</c:v>
                </c:pt>
                <c:pt idx="32">
                  <c:v>34578</c:v>
                </c:pt>
                <c:pt idx="33">
                  <c:v>34608</c:v>
                </c:pt>
                <c:pt idx="34">
                  <c:v>34639</c:v>
                </c:pt>
                <c:pt idx="35">
                  <c:v>34669</c:v>
                </c:pt>
                <c:pt idx="36">
                  <c:v>34700</c:v>
                </c:pt>
                <c:pt idx="37">
                  <c:v>34731</c:v>
                </c:pt>
                <c:pt idx="38">
                  <c:v>34759</c:v>
                </c:pt>
                <c:pt idx="39">
                  <c:v>34790</c:v>
                </c:pt>
                <c:pt idx="40">
                  <c:v>34820</c:v>
                </c:pt>
                <c:pt idx="41">
                  <c:v>34851</c:v>
                </c:pt>
                <c:pt idx="42">
                  <c:v>34881</c:v>
                </c:pt>
                <c:pt idx="43">
                  <c:v>34912</c:v>
                </c:pt>
                <c:pt idx="44">
                  <c:v>34943</c:v>
                </c:pt>
                <c:pt idx="45">
                  <c:v>34973</c:v>
                </c:pt>
                <c:pt idx="46">
                  <c:v>35004</c:v>
                </c:pt>
                <c:pt idx="47">
                  <c:v>35034</c:v>
                </c:pt>
                <c:pt idx="48">
                  <c:v>35065</c:v>
                </c:pt>
                <c:pt idx="49">
                  <c:v>35096</c:v>
                </c:pt>
                <c:pt idx="50">
                  <c:v>35125</c:v>
                </c:pt>
                <c:pt idx="51">
                  <c:v>35156</c:v>
                </c:pt>
                <c:pt idx="52">
                  <c:v>35186</c:v>
                </c:pt>
                <c:pt idx="53">
                  <c:v>35217</c:v>
                </c:pt>
                <c:pt idx="54">
                  <c:v>35247</c:v>
                </c:pt>
                <c:pt idx="55">
                  <c:v>35278</c:v>
                </c:pt>
                <c:pt idx="56">
                  <c:v>35309</c:v>
                </c:pt>
                <c:pt idx="57">
                  <c:v>35339</c:v>
                </c:pt>
                <c:pt idx="58">
                  <c:v>35370</c:v>
                </c:pt>
                <c:pt idx="59">
                  <c:v>35400</c:v>
                </c:pt>
                <c:pt idx="60">
                  <c:v>35431</c:v>
                </c:pt>
                <c:pt idx="61">
                  <c:v>35462</c:v>
                </c:pt>
                <c:pt idx="62">
                  <c:v>35490</c:v>
                </c:pt>
                <c:pt idx="63">
                  <c:v>35521</c:v>
                </c:pt>
                <c:pt idx="64">
                  <c:v>35551</c:v>
                </c:pt>
                <c:pt idx="65">
                  <c:v>35582</c:v>
                </c:pt>
                <c:pt idx="66">
                  <c:v>35612</c:v>
                </c:pt>
                <c:pt idx="67">
                  <c:v>35643</c:v>
                </c:pt>
                <c:pt idx="68">
                  <c:v>35674</c:v>
                </c:pt>
                <c:pt idx="69">
                  <c:v>35704</c:v>
                </c:pt>
                <c:pt idx="70">
                  <c:v>35735</c:v>
                </c:pt>
                <c:pt idx="71">
                  <c:v>35765</c:v>
                </c:pt>
                <c:pt idx="72">
                  <c:v>35796</c:v>
                </c:pt>
                <c:pt idx="73">
                  <c:v>35827</c:v>
                </c:pt>
                <c:pt idx="74">
                  <c:v>35855</c:v>
                </c:pt>
                <c:pt idx="75">
                  <c:v>35886</c:v>
                </c:pt>
                <c:pt idx="76">
                  <c:v>35916</c:v>
                </c:pt>
                <c:pt idx="77">
                  <c:v>35947</c:v>
                </c:pt>
                <c:pt idx="78">
                  <c:v>35977</c:v>
                </c:pt>
                <c:pt idx="79">
                  <c:v>36008</c:v>
                </c:pt>
                <c:pt idx="80">
                  <c:v>36039</c:v>
                </c:pt>
                <c:pt idx="81">
                  <c:v>36069</c:v>
                </c:pt>
                <c:pt idx="82">
                  <c:v>36100</c:v>
                </c:pt>
                <c:pt idx="83">
                  <c:v>36130</c:v>
                </c:pt>
                <c:pt idx="84">
                  <c:v>36161</c:v>
                </c:pt>
                <c:pt idx="85">
                  <c:v>36192</c:v>
                </c:pt>
                <c:pt idx="86">
                  <c:v>36220</c:v>
                </c:pt>
                <c:pt idx="87">
                  <c:v>36251</c:v>
                </c:pt>
                <c:pt idx="88">
                  <c:v>36281</c:v>
                </c:pt>
                <c:pt idx="89">
                  <c:v>36312</c:v>
                </c:pt>
                <c:pt idx="90">
                  <c:v>36342</c:v>
                </c:pt>
                <c:pt idx="91">
                  <c:v>36373</c:v>
                </c:pt>
                <c:pt idx="92">
                  <c:v>36404</c:v>
                </c:pt>
                <c:pt idx="93">
                  <c:v>36434</c:v>
                </c:pt>
                <c:pt idx="94">
                  <c:v>36465</c:v>
                </c:pt>
                <c:pt idx="95">
                  <c:v>36495</c:v>
                </c:pt>
                <c:pt idx="96">
                  <c:v>36526</c:v>
                </c:pt>
                <c:pt idx="97">
                  <c:v>36557</c:v>
                </c:pt>
                <c:pt idx="98">
                  <c:v>36586</c:v>
                </c:pt>
                <c:pt idx="99">
                  <c:v>36617</c:v>
                </c:pt>
                <c:pt idx="100">
                  <c:v>36647</c:v>
                </c:pt>
                <c:pt idx="101">
                  <c:v>36678</c:v>
                </c:pt>
                <c:pt idx="102">
                  <c:v>36708</c:v>
                </c:pt>
                <c:pt idx="103">
                  <c:v>36739</c:v>
                </c:pt>
                <c:pt idx="104">
                  <c:v>36770</c:v>
                </c:pt>
                <c:pt idx="105">
                  <c:v>36800</c:v>
                </c:pt>
                <c:pt idx="106">
                  <c:v>36831</c:v>
                </c:pt>
                <c:pt idx="107">
                  <c:v>36861</c:v>
                </c:pt>
                <c:pt idx="108">
                  <c:v>36892</c:v>
                </c:pt>
                <c:pt idx="109">
                  <c:v>36923</c:v>
                </c:pt>
                <c:pt idx="110">
                  <c:v>36951</c:v>
                </c:pt>
                <c:pt idx="111">
                  <c:v>36982</c:v>
                </c:pt>
                <c:pt idx="112">
                  <c:v>37012</c:v>
                </c:pt>
                <c:pt idx="113">
                  <c:v>37043</c:v>
                </c:pt>
                <c:pt idx="114">
                  <c:v>37073</c:v>
                </c:pt>
                <c:pt idx="115">
                  <c:v>37104</c:v>
                </c:pt>
                <c:pt idx="116">
                  <c:v>37135</c:v>
                </c:pt>
                <c:pt idx="117">
                  <c:v>37165</c:v>
                </c:pt>
                <c:pt idx="118">
                  <c:v>37196</c:v>
                </c:pt>
                <c:pt idx="119">
                  <c:v>37226</c:v>
                </c:pt>
                <c:pt idx="120">
                  <c:v>37257</c:v>
                </c:pt>
                <c:pt idx="121">
                  <c:v>37288</c:v>
                </c:pt>
                <c:pt idx="122">
                  <c:v>37316</c:v>
                </c:pt>
                <c:pt idx="123">
                  <c:v>37347</c:v>
                </c:pt>
                <c:pt idx="124">
                  <c:v>37377</c:v>
                </c:pt>
                <c:pt idx="125">
                  <c:v>37408</c:v>
                </c:pt>
                <c:pt idx="126">
                  <c:v>37438</c:v>
                </c:pt>
                <c:pt idx="127">
                  <c:v>37469</c:v>
                </c:pt>
                <c:pt idx="128">
                  <c:v>37500</c:v>
                </c:pt>
                <c:pt idx="129">
                  <c:v>37530</c:v>
                </c:pt>
                <c:pt idx="130">
                  <c:v>37561</c:v>
                </c:pt>
                <c:pt idx="131">
                  <c:v>37591</c:v>
                </c:pt>
                <c:pt idx="132">
                  <c:v>37622</c:v>
                </c:pt>
                <c:pt idx="133">
                  <c:v>37653</c:v>
                </c:pt>
                <c:pt idx="134">
                  <c:v>37681</c:v>
                </c:pt>
                <c:pt idx="135">
                  <c:v>37712</c:v>
                </c:pt>
                <c:pt idx="136">
                  <c:v>37742</c:v>
                </c:pt>
                <c:pt idx="137">
                  <c:v>37773</c:v>
                </c:pt>
                <c:pt idx="138">
                  <c:v>37803</c:v>
                </c:pt>
                <c:pt idx="139">
                  <c:v>37834</c:v>
                </c:pt>
                <c:pt idx="140">
                  <c:v>37865</c:v>
                </c:pt>
                <c:pt idx="141">
                  <c:v>37895</c:v>
                </c:pt>
                <c:pt idx="142">
                  <c:v>37926</c:v>
                </c:pt>
                <c:pt idx="143">
                  <c:v>37956</c:v>
                </c:pt>
                <c:pt idx="144">
                  <c:v>37987</c:v>
                </c:pt>
                <c:pt idx="145">
                  <c:v>38018</c:v>
                </c:pt>
                <c:pt idx="146">
                  <c:v>38047</c:v>
                </c:pt>
                <c:pt idx="147">
                  <c:v>38078</c:v>
                </c:pt>
                <c:pt idx="148">
                  <c:v>38108</c:v>
                </c:pt>
                <c:pt idx="149">
                  <c:v>38139</c:v>
                </c:pt>
                <c:pt idx="150">
                  <c:v>38169</c:v>
                </c:pt>
                <c:pt idx="151">
                  <c:v>38200</c:v>
                </c:pt>
                <c:pt idx="152">
                  <c:v>38231</c:v>
                </c:pt>
                <c:pt idx="153">
                  <c:v>38261</c:v>
                </c:pt>
                <c:pt idx="154">
                  <c:v>38292</c:v>
                </c:pt>
                <c:pt idx="155">
                  <c:v>38322</c:v>
                </c:pt>
                <c:pt idx="156">
                  <c:v>38353</c:v>
                </c:pt>
                <c:pt idx="157">
                  <c:v>38384</c:v>
                </c:pt>
                <c:pt idx="158">
                  <c:v>38412</c:v>
                </c:pt>
                <c:pt idx="159">
                  <c:v>38443</c:v>
                </c:pt>
                <c:pt idx="160">
                  <c:v>38473</c:v>
                </c:pt>
                <c:pt idx="161">
                  <c:v>38504</c:v>
                </c:pt>
                <c:pt idx="162">
                  <c:v>38534</c:v>
                </c:pt>
                <c:pt idx="163">
                  <c:v>38565</c:v>
                </c:pt>
                <c:pt idx="164">
                  <c:v>38596</c:v>
                </c:pt>
                <c:pt idx="165">
                  <c:v>38626</c:v>
                </c:pt>
                <c:pt idx="166">
                  <c:v>38657</c:v>
                </c:pt>
                <c:pt idx="167">
                  <c:v>38687</c:v>
                </c:pt>
                <c:pt idx="168">
                  <c:v>38718</c:v>
                </c:pt>
                <c:pt idx="169">
                  <c:v>38749</c:v>
                </c:pt>
                <c:pt idx="170">
                  <c:v>38777</c:v>
                </c:pt>
                <c:pt idx="171">
                  <c:v>38808</c:v>
                </c:pt>
                <c:pt idx="172">
                  <c:v>38838</c:v>
                </c:pt>
                <c:pt idx="173">
                  <c:v>38869</c:v>
                </c:pt>
                <c:pt idx="174">
                  <c:v>38899</c:v>
                </c:pt>
                <c:pt idx="175">
                  <c:v>38930</c:v>
                </c:pt>
                <c:pt idx="176">
                  <c:v>38961</c:v>
                </c:pt>
                <c:pt idx="177">
                  <c:v>38991</c:v>
                </c:pt>
                <c:pt idx="178">
                  <c:v>39022</c:v>
                </c:pt>
                <c:pt idx="179">
                  <c:v>39052</c:v>
                </c:pt>
                <c:pt idx="180">
                  <c:v>39083</c:v>
                </c:pt>
                <c:pt idx="181">
                  <c:v>39114</c:v>
                </c:pt>
                <c:pt idx="182">
                  <c:v>39142</c:v>
                </c:pt>
                <c:pt idx="183">
                  <c:v>39173</c:v>
                </c:pt>
                <c:pt idx="184">
                  <c:v>39203</c:v>
                </c:pt>
                <c:pt idx="185">
                  <c:v>39234</c:v>
                </c:pt>
                <c:pt idx="186">
                  <c:v>39264</c:v>
                </c:pt>
                <c:pt idx="187">
                  <c:v>39295</c:v>
                </c:pt>
                <c:pt idx="188">
                  <c:v>39326</c:v>
                </c:pt>
                <c:pt idx="189">
                  <c:v>39356</c:v>
                </c:pt>
                <c:pt idx="190">
                  <c:v>39387</c:v>
                </c:pt>
                <c:pt idx="191">
                  <c:v>39417</c:v>
                </c:pt>
                <c:pt idx="192">
                  <c:v>39448</c:v>
                </c:pt>
                <c:pt idx="193">
                  <c:v>39479</c:v>
                </c:pt>
                <c:pt idx="194">
                  <c:v>39508</c:v>
                </c:pt>
                <c:pt idx="195">
                  <c:v>39539</c:v>
                </c:pt>
                <c:pt idx="196">
                  <c:v>39569</c:v>
                </c:pt>
                <c:pt idx="197">
                  <c:v>39600</c:v>
                </c:pt>
                <c:pt idx="198">
                  <c:v>39630</c:v>
                </c:pt>
                <c:pt idx="199">
                  <c:v>39661</c:v>
                </c:pt>
                <c:pt idx="200">
                  <c:v>39692</c:v>
                </c:pt>
                <c:pt idx="201">
                  <c:v>39722</c:v>
                </c:pt>
                <c:pt idx="202">
                  <c:v>39753</c:v>
                </c:pt>
                <c:pt idx="203">
                  <c:v>39783</c:v>
                </c:pt>
                <c:pt idx="204">
                  <c:v>39814</c:v>
                </c:pt>
                <c:pt idx="205">
                  <c:v>39845</c:v>
                </c:pt>
                <c:pt idx="206">
                  <c:v>39873</c:v>
                </c:pt>
                <c:pt idx="207">
                  <c:v>39904</c:v>
                </c:pt>
                <c:pt idx="208">
                  <c:v>39934</c:v>
                </c:pt>
                <c:pt idx="209">
                  <c:v>39965</c:v>
                </c:pt>
                <c:pt idx="210">
                  <c:v>39995</c:v>
                </c:pt>
                <c:pt idx="211">
                  <c:v>40026</c:v>
                </c:pt>
                <c:pt idx="212">
                  <c:v>40057</c:v>
                </c:pt>
                <c:pt idx="213">
                  <c:v>40087</c:v>
                </c:pt>
                <c:pt idx="214">
                  <c:v>40118</c:v>
                </c:pt>
                <c:pt idx="215">
                  <c:v>40148</c:v>
                </c:pt>
                <c:pt idx="216">
                  <c:v>40179</c:v>
                </c:pt>
                <c:pt idx="217">
                  <c:v>40210</c:v>
                </c:pt>
                <c:pt idx="218">
                  <c:v>40238</c:v>
                </c:pt>
                <c:pt idx="219">
                  <c:v>40269</c:v>
                </c:pt>
                <c:pt idx="220">
                  <c:v>40299</c:v>
                </c:pt>
                <c:pt idx="221">
                  <c:v>40330</c:v>
                </c:pt>
                <c:pt idx="222">
                  <c:v>40360</c:v>
                </c:pt>
                <c:pt idx="223">
                  <c:v>40391</c:v>
                </c:pt>
                <c:pt idx="224">
                  <c:v>40422</c:v>
                </c:pt>
                <c:pt idx="225">
                  <c:v>40452</c:v>
                </c:pt>
                <c:pt idx="226">
                  <c:v>40483</c:v>
                </c:pt>
                <c:pt idx="227">
                  <c:v>40513</c:v>
                </c:pt>
                <c:pt idx="228">
                  <c:v>40544</c:v>
                </c:pt>
                <c:pt idx="229">
                  <c:v>40575</c:v>
                </c:pt>
                <c:pt idx="230">
                  <c:v>40603</c:v>
                </c:pt>
                <c:pt idx="231">
                  <c:v>40634</c:v>
                </c:pt>
                <c:pt idx="232">
                  <c:v>40664</c:v>
                </c:pt>
                <c:pt idx="233">
                  <c:v>40695</c:v>
                </c:pt>
                <c:pt idx="234">
                  <c:v>40725</c:v>
                </c:pt>
                <c:pt idx="235">
                  <c:v>40756</c:v>
                </c:pt>
                <c:pt idx="236">
                  <c:v>40787</c:v>
                </c:pt>
                <c:pt idx="237">
                  <c:v>40817</c:v>
                </c:pt>
                <c:pt idx="238">
                  <c:v>40848</c:v>
                </c:pt>
                <c:pt idx="239">
                  <c:v>40878</c:v>
                </c:pt>
                <c:pt idx="240">
                  <c:v>40909</c:v>
                </c:pt>
                <c:pt idx="241">
                  <c:v>40940</c:v>
                </c:pt>
                <c:pt idx="242">
                  <c:v>40969</c:v>
                </c:pt>
                <c:pt idx="243">
                  <c:v>41000</c:v>
                </c:pt>
                <c:pt idx="244">
                  <c:v>41030</c:v>
                </c:pt>
                <c:pt idx="245">
                  <c:v>41061</c:v>
                </c:pt>
                <c:pt idx="246">
                  <c:v>41091</c:v>
                </c:pt>
                <c:pt idx="247">
                  <c:v>41122</c:v>
                </c:pt>
                <c:pt idx="248">
                  <c:v>41153</c:v>
                </c:pt>
                <c:pt idx="249">
                  <c:v>41183</c:v>
                </c:pt>
                <c:pt idx="250">
                  <c:v>41214</c:v>
                </c:pt>
                <c:pt idx="251">
                  <c:v>41244</c:v>
                </c:pt>
                <c:pt idx="252">
                  <c:v>41275</c:v>
                </c:pt>
                <c:pt idx="253">
                  <c:v>41306</c:v>
                </c:pt>
                <c:pt idx="254">
                  <c:v>41334</c:v>
                </c:pt>
                <c:pt idx="255">
                  <c:v>41365</c:v>
                </c:pt>
                <c:pt idx="256">
                  <c:v>41395</c:v>
                </c:pt>
                <c:pt idx="257">
                  <c:v>41426</c:v>
                </c:pt>
                <c:pt idx="258">
                  <c:v>41456</c:v>
                </c:pt>
                <c:pt idx="259">
                  <c:v>41487</c:v>
                </c:pt>
                <c:pt idx="260">
                  <c:v>41518</c:v>
                </c:pt>
                <c:pt idx="261">
                  <c:v>41548</c:v>
                </c:pt>
                <c:pt idx="262">
                  <c:v>41579</c:v>
                </c:pt>
                <c:pt idx="263">
                  <c:v>41609</c:v>
                </c:pt>
                <c:pt idx="264">
                  <c:v>41640</c:v>
                </c:pt>
                <c:pt idx="265">
                  <c:v>41671</c:v>
                </c:pt>
                <c:pt idx="266">
                  <c:v>41699</c:v>
                </c:pt>
                <c:pt idx="267">
                  <c:v>41730</c:v>
                </c:pt>
                <c:pt idx="268">
                  <c:v>41760</c:v>
                </c:pt>
                <c:pt idx="269">
                  <c:v>41791</c:v>
                </c:pt>
                <c:pt idx="270">
                  <c:v>41821</c:v>
                </c:pt>
                <c:pt idx="271">
                  <c:v>41852</c:v>
                </c:pt>
                <c:pt idx="272">
                  <c:v>41883</c:v>
                </c:pt>
                <c:pt idx="273">
                  <c:v>41913</c:v>
                </c:pt>
                <c:pt idx="274">
                  <c:v>41944</c:v>
                </c:pt>
                <c:pt idx="275">
                  <c:v>41974</c:v>
                </c:pt>
                <c:pt idx="276">
                  <c:v>42005</c:v>
                </c:pt>
                <c:pt idx="277">
                  <c:v>42036</c:v>
                </c:pt>
                <c:pt idx="278">
                  <c:v>42064</c:v>
                </c:pt>
                <c:pt idx="279">
                  <c:v>42095</c:v>
                </c:pt>
                <c:pt idx="280">
                  <c:v>42125</c:v>
                </c:pt>
                <c:pt idx="281">
                  <c:v>42156</c:v>
                </c:pt>
                <c:pt idx="282">
                  <c:v>42186</c:v>
                </c:pt>
                <c:pt idx="283">
                  <c:v>42217</c:v>
                </c:pt>
                <c:pt idx="284">
                  <c:v>42248</c:v>
                </c:pt>
                <c:pt idx="285">
                  <c:v>42278</c:v>
                </c:pt>
                <c:pt idx="286">
                  <c:v>42309</c:v>
                </c:pt>
                <c:pt idx="287">
                  <c:v>42339</c:v>
                </c:pt>
                <c:pt idx="288">
                  <c:v>42370</c:v>
                </c:pt>
                <c:pt idx="289">
                  <c:v>42401</c:v>
                </c:pt>
                <c:pt idx="290">
                  <c:v>42430</c:v>
                </c:pt>
                <c:pt idx="291">
                  <c:v>42461</c:v>
                </c:pt>
                <c:pt idx="292">
                  <c:v>42491</c:v>
                </c:pt>
                <c:pt idx="293">
                  <c:v>42522</c:v>
                </c:pt>
                <c:pt idx="294">
                  <c:v>42552</c:v>
                </c:pt>
                <c:pt idx="295">
                  <c:v>42583</c:v>
                </c:pt>
                <c:pt idx="296">
                  <c:v>42614</c:v>
                </c:pt>
                <c:pt idx="297">
                  <c:v>42644</c:v>
                </c:pt>
                <c:pt idx="298">
                  <c:v>42675</c:v>
                </c:pt>
                <c:pt idx="299">
                  <c:v>42705</c:v>
                </c:pt>
                <c:pt idx="300">
                  <c:v>42736</c:v>
                </c:pt>
                <c:pt idx="301">
                  <c:v>42767</c:v>
                </c:pt>
                <c:pt idx="302">
                  <c:v>42795</c:v>
                </c:pt>
                <c:pt idx="303">
                  <c:v>42826</c:v>
                </c:pt>
                <c:pt idx="304">
                  <c:v>42856</c:v>
                </c:pt>
                <c:pt idx="305">
                  <c:v>42887</c:v>
                </c:pt>
                <c:pt idx="306">
                  <c:v>42917</c:v>
                </c:pt>
                <c:pt idx="307">
                  <c:v>42948</c:v>
                </c:pt>
                <c:pt idx="308">
                  <c:v>42979</c:v>
                </c:pt>
                <c:pt idx="309">
                  <c:v>43009</c:v>
                </c:pt>
                <c:pt idx="310">
                  <c:v>43040</c:v>
                </c:pt>
                <c:pt idx="311">
                  <c:v>43070</c:v>
                </c:pt>
                <c:pt idx="312">
                  <c:v>43101</c:v>
                </c:pt>
                <c:pt idx="313">
                  <c:v>43132</c:v>
                </c:pt>
                <c:pt idx="314">
                  <c:v>43160</c:v>
                </c:pt>
                <c:pt idx="315">
                  <c:v>43191</c:v>
                </c:pt>
                <c:pt idx="316">
                  <c:v>43221</c:v>
                </c:pt>
                <c:pt idx="317">
                  <c:v>43252</c:v>
                </c:pt>
                <c:pt idx="318">
                  <c:v>43282</c:v>
                </c:pt>
                <c:pt idx="319">
                  <c:v>43313</c:v>
                </c:pt>
                <c:pt idx="320">
                  <c:v>43344</c:v>
                </c:pt>
                <c:pt idx="321">
                  <c:v>43374</c:v>
                </c:pt>
                <c:pt idx="322">
                  <c:v>43405</c:v>
                </c:pt>
                <c:pt idx="323">
                  <c:v>43435</c:v>
                </c:pt>
                <c:pt idx="324">
                  <c:v>43466</c:v>
                </c:pt>
                <c:pt idx="325">
                  <c:v>43497</c:v>
                </c:pt>
                <c:pt idx="326">
                  <c:v>43525</c:v>
                </c:pt>
                <c:pt idx="327">
                  <c:v>43556</c:v>
                </c:pt>
                <c:pt idx="328">
                  <c:v>43586</c:v>
                </c:pt>
                <c:pt idx="329">
                  <c:v>43617</c:v>
                </c:pt>
                <c:pt idx="330">
                  <c:v>43647</c:v>
                </c:pt>
                <c:pt idx="331">
                  <c:v>43678</c:v>
                </c:pt>
                <c:pt idx="332">
                  <c:v>43709</c:v>
                </c:pt>
                <c:pt idx="333">
                  <c:v>43739</c:v>
                </c:pt>
                <c:pt idx="334">
                  <c:v>43770</c:v>
                </c:pt>
                <c:pt idx="335">
                  <c:v>43800</c:v>
                </c:pt>
                <c:pt idx="336">
                  <c:v>43831</c:v>
                </c:pt>
                <c:pt idx="337">
                  <c:v>43862</c:v>
                </c:pt>
                <c:pt idx="338">
                  <c:v>43891</c:v>
                </c:pt>
                <c:pt idx="339">
                  <c:v>43922</c:v>
                </c:pt>
                <c:pt idx="340">
                  <c:v>43952</c:v>
                </c:pt>
                <c:pt idx="341">
                  <c:v>43983</c:v>
                </c:pt>
                <c:pt idx="342">
                  <c:v>44013</c:v>
                </c:pt>
                <c:pt idx="343">
                  <c:v>44044</c:v>
                </c:pt>
              </c:numCache>
            </c:numRef>
          </c:cat>
          <c:val>
            <c:numRef>
              <c:f>'Food Services'!$B$7:$B$350</c:f>
              <c:numCache>
                <c:formatCode>#,##0</c:formatCode>
                <c:ptCount val="344"/>
                <c:pt idx="0">
                  <c:v>17170</c:v>
                </c:pt>
                <c:pt idx="1">
                  <c:v>16990</c:v>
                </c:pt>
                <c:pt idx="2">
                  <c:v>16916</c:v>
                </c:pt>
                <c:pt idx="3">
                  <c:v>16677</c:v>
                </c:pt>
                <c:pt idx="4">
                  <c:v>16602</c:v>
                </c:pt>
                <c:pt idx="5">
                  <c:v>16277</c:v>
                </c:pt>
                <c:pt idx="6">
                  <c:v>16496</c:v>
                </c:pt>
                <c:pt idx="7">
                  <c:v>16733</c:v>
                </c:pt>
                <c:pt idx="8">
                  <c:v>16812</c:v>
                </c:pt>
                <c:pt idx="9">
                  <c:v>17104</c:v>
                </c:pt>
                <c:pt idx="10">
                  <c:v>17420</c:v>
                </c:pt>
                <c:pt idx="11">
                  <c:v>17491</c:v>
                </c:pt>
                <c:pt idx="12">
                  <c:v>17553</c:v>
                </c:pt>
                <c:pt idx="13">
                  <c:v>17478</c:v>
                </c:pt>
                <c:pt idx="14">
                  <c:v>17554</c:v>
                </c:pt>
                <c:pt idx="15">
                  <c:v>17770</c:v>
                </c:pt>
                <c:pt idx="16">
                  <c:v>17821</c:v>
                </c:pt>
                <c:pt idx="17">
                  <c:v>18030</c:v>
                </c:pt>
                <c:pt idx="18">
                  <c:v>17927</c:v>
                </c:pt>
                <c:pt idx="19">
                  <c:v>18201</c:v>
                </c:pt>
                <c:pt idx="20">
                  <c:v>18515</c:v>
                </c:pt>
                <c:pt idx="21">
                  <c:v>18199</c:v>
                </c:pt>
                <c:pt idx="22">
                  <c:v>18153</c:v>
                </c:pt>
                <c:pt idx="23">
                  <c:v>18238</c:v>
                </c:pt>
                <c:pt idx="24">
                  <c:v>17624</c:v>
                </c:pt>
                <c:pt idx="25">
                  <c:v>18425</c:v>
                </c:pt>
                <c:pt idx="26">
                  <c:v>18813</c:v>
                </c:pt>
                <c:pt idx="27">
                  <c:v>18533</c:v>
                </c:pt>
                <c:pt idx="28">
                  <c:v>18600</c:v>
                </c:pt>
                <c:pt idx="29">
                  <c:v>18889</c:v>
                </c:pt>
                <c:pt idx="30">
                  <c:v>18962</c:v>
                </c:pt>
                <c:pt idx="31">
                  <c:v>18868</c:v>
                </c:pt>
                <c:pt idx="32">
                  <c:v>18978</c:v>
                </c:pt>
                <c:pt idx="33">
                  <c:v>19010</c:v>
                </c:pt>
                <c:pt idx="34">
                  <c:v>19028</c:v>
                </c:pt>
                <c:pt idx="35">
                  <c:v>19178</c:v>
                </c:pt>
                <c:pt idx="36">
                  <c:v>19160</c:v>
                </c:pt>
                <c:pt idx="37">
                  <c:v>18911</c:v>
                </c:pt>
                <c:pt idx="38">
                  <c:v>19234</c:v>
                </c:pt>
                <c:pt idx="39">
                  <c:v>19346</c:v>
                </c:pt>
                <c:pt idx="40">
                  <c:v>19450</c:v>
                </c:pt>
                <c:pt idx="41">
                  <c:v>19419</c:v>
                </c:pt>
                <c:pt idx="42">
                  <c:v>19489</c:v>
                </c:pt>
                <c:pt idx="43">
                  <c:v>19715</c:v>
                </c:pt>
                <c:pt idx="44">
                  <c:v>19640</c:v>
                </c:pt>
                <c:pt idx="45">
                  <c:v>19611</c:v>
                </c:pt>
                <c:pt idx="46">
                  <c:v>19609</c:v>
                </c:pt>
                <c:pt idx="47">
                  <c:v>19625</c:v>
                </c:pt>
                <c:pt idx="48">
                  <c:v>19564</c:v>
                </c:pt>
                <c:pt idx="49">
                  <c:v>19742</c:v>
                </c:pt>
                <c:pt idx="50">
                  <c:v>19862</c:v>
                </c:pt>
                <c:pt idx="51">
                  <c:v>19932</c:v>
                </c:pt>
                <c:pt idx="52">
                  <c:v>20094</c:v>
                </c:pt>
                <c:pt idx="53">
                  <c:v>19932</c:v>
                </c:pt>
                <c:pt idx="54">
                  <c:v>20145</c:v>
                </c:pt>
                <c:pt idx="55">
                  <c:v>20140</c:v>
                </c:pt>
                <c:pt idx="56">
                  <c:v>20397</c:v>
                </c:pt>
                <c:pt idx="57">
                  <c:v>20551</c:v>
                </c:pt>
                <c:pt idx="58">
                  <c:v>20789</c:v>
                </c:pt>
                <c:pt idx="59">
                  <c:v>20707</c:v>
                </c:pt>
                <c:pt idx="60">
                  <c:v>21110</c:v>
                </c:pt>
                <c:pt idx="61">
                  <c:v>21136</c:v>
                </c:pt>
                <c:pt idx="62">
                  <c:v>21171</c:v>
                </c:pt>
                <c:pt idx="63">
                  <c:v>21216</c:v>
                </c:pt>
                <c:pt idx="64">
                  <c:v>21230</c:v>
                </c:pt>
                <c:pt idx="65">
                  <c:v>21382</c:v>
                </c:pt>
                <c:pt idx="66">
                  <c:v>21689</c:v>
                </c:pt>
                <c:pt idx="67">
                  <c:v>21674</c:v>
                </c:pt>
                <c:pt idx="68">
                  <c:v>21986</c:v>
                </c:pt>
                <c:pt idx="69">
                  <c:v>21758</c:v>
                </c:pt>
                <c:pt idx="70">
                  <c:v>21504</c:v>
                </c:pt>
                <c:pt idx="71">
                  <c:v>21818</c:v>
                </c:pt>
                <c:pt idx="72">
                  <c:v>21921</c:v>
                </c:pt>
                <c:pt idx="73">
                  <c:v>22132</c:v>
                </c:pt>
                <c:pt idx="74">
                  <c:v>22251</c:v>
                </c:pt>
                <c:pt idx="75">
                  <c:v>22353</c:v>
                </c:pt>
                <c:pt idx="76">
                  <c:v>22436</c:v>
                </c:pt>
                <c:pt idx="77">
                  <c:v>22634</c:v>
                </c:pt>
                <c:pt idx="78">
                  <c:v>22570</c:v>
                </c:pt>
                <c:pt idx="79">
                  <c:v>22743</c:v>
                </c:pt>
                <c:pt idx="80">
                  <c:v>22830</c:v>
                </c:pt>
                <c:pt idx="81">
                  <c:v>23066</c:v>
                </c:pt>
                <c:pt idx="82">
                  <c:v>23157</c:v>
                </c:pt>
                <c:pt idx="83">
                  <c:v>23351</c:v>
                </c:pt>
                <c:pt idx="84">
                  <c:v>22871</c:v>
                </c:pt>
                <c:pt idx="85">
                  <c:v>23270</c:v>
                </c:pt>
                <c:pt idx="86">
                  <c:v>23250</c:v>
                </c:pt>
                <c:pt idx="87">
                  <c:v>23440</c:v>
                </c:pt>
                <c:pt idx="88">
                  <c:v>23500</c:v>
                </c:pt>
                <c:pt idx="89">
                  <c:v>23546</c:v>
                </c:pt>
                <c:pt idx="90">
                  <c:v>23508</c:v>
                </c:pt>
                <c:pt idx="91">
                  <c:v>23664</c:v>
                </c:pt>
                <c:pt idx="92">
                  <c:v>23836</c:v>
                </c:pt>
                <c:pt idx="93">
                  <c:v>24265</c:v>
                </c:pt>
                <c:pt idx="94">
                  <c:v>24421</c:v>
                </c:pt>
                <c:pt idx="95">
                  <c:v>24378</c:v>
                </c:pt>
                <c:pt idx="96">
                  <c:v>24608</c:v>
                </c:pt>
                <c:pt idx="97">
                  <c:v>24887</c:v>
                </c:pt>
                <c:pt idx="98">
                  <c:v>25367</c:v>
                </c:pt>
                <c:pt idx="99">
                  <c:v>25215</c:v>
                </c:pt>
                <c:pt idx="100">
                  <c:v>25193</c:v>
                </c:pt>
                <c:pt idx="101">
                  <c:v>25262</c:v>
                </c:pt>
                <c:pt idx="102">
                  <c:v>25454</c:v>
                </c:pt>
                <c:pt idx="103">
                  <c:v>25342</c:v>
                </c:pt>
                <c:pt idx="104">
                  <c:v>25711</c:v>
                </c:pt>
                <c:pt idx="105">
                  <c:v>25706</c:v>
                </c:pt>
                <c:pt idx="106">
                  <c:v>25698</c:v>
                </c:pt>
                <c:pt idx="107">
                  <c:v>25133</c:v>
                </c:pt>
                <c:pt idx="108">
                  <c:v>26180</c:v>
                </c:pt>
                <c:pt idx="109">
                  <c:v>26069</c:v>
                </c:pt>
                <c:pt idx="110">
                  <c:v>26122</c:v>
                </c:pt>
                <c:pt idx="111">
                  <c:v>26045</c:v>
                </c:pt>
                <c:pt idx="112">
                  <c:v>26278</c:v>
                </c:pt>
                <c:pt idx="113">
                  <c:v>26379</c:v>
                </c:pt>
                <c:pt idx="114">
                  <c:v>26507</c:v>
                </c:pt>
                <c:pt idx="115">
                  <c:v>26853</c:v>
                </c:pt>
                <c:pt idx="116">
                  <c:v>26239</c:v>
                </c:pt>
                <c:pt idx="117">
                  <c:v>26541</c:v>
                </c:pt>
                <c:pt idx="118">
                  <c:v>26597</c:v>
                </c:pt>
                <c:pt idx="119">
                  <c:v>27156</c:v>
                </c:pt>
                <c:pt idx="120">
                  <c:v>27201</c:v>
                </c:pt>
                <c:pt idx="121">
                  <c:v>27384</c:v>
                </c:pt>
                <c:pt idx="122">
                  <c:v>27203</c:v>
                </c:pt>
                <c:pt idx="123">
                  <c:v>27500</c:v>
                </c:pt>
                <c:pt idx="124">
                  <c:v>27378</c:v>
                </c:pt>
                <c:pt idx="125">
                  <c:v>27586</c:v>
                </c:pt>
                <c:pt idx="126">
                  <c:v>27616</c:v>
                </c:pt>
                <c:pt idx="127">
                  <c:v>27607</c:v>
                </c:pt>
                <c:pt idx="128">
                  <c:v>27784</c:v>
                </c:pt>
                <c:pt idx="129">
                  <c:v>27623</c:v>
                </c:pt>
                <c:pt idx="130">
                  <c:v>27916</c:v>
                </c:pt>
                <c:pt idx="131">
                  <c:v>28017</c:v>
                </c:pt>
                <c:pt idx="132">
                  <c:v>28018</c:v>
                </c:pt>
                <c:pt idx="133">
                  <c:v>27979</c:v>
                </c:pt>
                <c:pt idx="134">
                  <c:v>28505</c:v>
                </c:pt>
                <c:pt idx="135">
                  <c:v>28403</c:v>
                </c:pt>
                <c:pt idx="136">
                  <c:v>29048</c:v>
                </c:pt>
                <c:pt idx="137">
                  <c:v>29230</c:v>
                </c:pt>
                <c:pt idx="138">
                  <c:v>29395</c:v>
                </c:pt>
                <c:pt idx="139">
                  <c:v>29844</c:v>
                </c:pt>
                <c:pt idx="140">
                  <c:v>29503</c:v>
                </c:pt>
                <c:pt idx="141">
                  <c:v>30045</c:v>
                </c:pt>
                <c:pt idx="142">
                  <c:v>30229</c:v>
                </c:pt>
                <c:pt idx="143">
                  <c:v>29795</c:v>
                </c:pt>
                <c:pt idx="144">
                  <c:v>30341</c:v>
                </c:pt>
                <c:pt idx="145">
                  <c:v>30461</c:v>
                </c:pt>
                <c:pt idx="146">
                  <c:v>30703</c:v>
                </c:pt>
                <c:pt idx="147">
                  <c:v>30560</c:v>
                </c:pt>
                <c:pt idx="148">
                  <c:v>30712</c:v>
                </c:pt>
                <c:pt idx="149">
                  <c:v>30825</c:v>
                </c:pt>
                <c:pt idx="150">
                  <c:v>31191</c:v>
                </c:pt>
                <c:pt idx="151">
                  <c:v>31036</c:v>
                </c:pt>
                <c:pt idx="152">
                  <c:v>31430</c:v>
                </c:pt>
                <c:pt idx="153">
                  <c:v>31625</c:v>
                </c:pt>
                <c:pt idx="154">
                  <c:v>31659</c:v>
                </c:pt>
                <c:pt idx="155">
                  <c:v>32111</c:v>
                </c:pt>
                <c:pt idx="156">
                  <c:v>32000</c:v>
                </c:pt>
                <c:pt idx="157">
                  <c:v>32469</c:v>
                </c:pt>
                <c:pt idx="158">
                  <c:v>32273</c:v>
                </c:pt>
                <c:pt idx="159">
                  <c:v>32823</c:v>
                </c:pt>
                <c:pt idx="160">
                  <c:v>32746</c:v>
                </c:pt>
                <c:pt idx="161">
                  <c:v>33009</c:v>
                </c:pt>
                <c:pt idx="162">
                  <c:v>33056</c:v>
                </c:pt>
                <c:pt idx="163">
                  <c:v>33261</c:v>
                </c:pt>
                <c:pt idx="164">
                  <c:v>33283</c:v>
                </c:pt>
                <c:pt idx="165">
                  <c:v>33618</c:v>
                </c:pt>
                <c:pt idx="166">
                  <c:v>34022</c:v>
                </c:pt>
                <c:pt idx="167">
                  <c:v>33932</c:v>
                </c:pt>
                <c:pt idx="168">
                  <c:v>34983</c:v>
                </c:pt>
                <c:pt idx="169">
                  <c:v>34535</c:v>
                </c:pt>
                <c:pt idx="170">
                  <c:v>34796</c:v>
                </c:pt>
                <c:pt idx="171">
                  <c:v>34862</c:v>
                </c:pt>
                <c:pt idx="172">
                  <c:v>34910</c:v>
                </c:pt>
                <c:pt idx="173">
                  <c:v>34695</c:v>
                </c:pt>
                <c:pt idx="174">
                  <c:v>34802</c:v>
                </c:pt>
                <c:pt idx="175">
                  <c:v>35367</c:v>
                </c:pt>
                <c:pt idx="176">
                  <c:v>35725</c:v>
                </c:pt>
                <c:pt idx="177">
                  <c:v>35784</c:v>
                </c:pt>
                <c:pt idx="178">
                  <c:v>35923</c:v>
                </c:pt>
                <c:pt idx="179">
                  <c:v>36881</c:v>
                </c:pt>
                <c:pt idx="180">
                  <c:v>36435</c:v>
                </c:pt>
                <c:pt idx="181">
                  <c:v>36053</c:v>
                </c:pt>
                <c:pt idx="182">
                  <c:v>36579</c:v>
                </c:pt>
                <c:pt idx="183">
                  <c:v>36627</c:v>
                </c:pt>
                <c:pt idx="184">
                  <c:v>36732</c:v>
                </c:pt>
                <c:pt idx="185">
                  <c:v>37078</c:v>
                </c:pt>
                <c:pt idx="186">
                  <c:v>37272</c:v>
                </c:pt>
                <c:pt idx="187">
                  <c:v>37189</c:v>
                </c:pt>
                <c:pt idx="188">
                  <c:v>37427</c:v>
                </c:pt>
                <c:pt idx="189">
                  <c:v>37759</c:v>
                </c:pt>
                <c:pt idx="190">
                  <c:v>37727</c:v>
                </c:pt>
                <c:pt idx="191">
                  <c:v>38109</c:v>
                </c:pt>
                <c:pt idx="192">
                  <c:v>37824</c:v>
                </c:pt>
                <c:pt idx="193">
                  <c:v>37249</c:v>
                </c:pt>
                <c:pt idx="194">
                  <c:v>37552</c:v>
                </c:pt>
                <c:pt idx="195">
                  <c:v>37729</c:v>
                </c:pt>
                <c:pt idx="196">
                  <c:v>38089</c:v>
                </c:pt>
                <c:pt idx="197">
                  <c:v>38144</c:v>
                </c:pt>
                <c:pt idx="198">
                  <c:v>38267</c:v>
                </c:pt>
                <c:pt idx="199">
                  <c:v>38239</c:v>
                </c:pt>
                <c:pt idx="200">
                  <c:v>38386</c:v>
                </c:pt>
                <c:pt idx="201">
                  <c:v>38120</c:v>
                </c:pt>
                <c:pt idx="202">
                  <c:v>38018</c:v>
                </c:pt>
                <c:pt idx="203">
                  <c:v>38066</c:v>
                </c:pt>
                <c:pt idx="204">
                  <c:v>38256</c:v>
                </c:pt>
                <c:pt idx="205">
                  <c:v>37945</c:v>
                </c:pt>
                <c:pt idx="206">
                  <c:v>37447</c:v>
                </c:pt>
                <c:pt idx="207">
                  <c:v>37738</c:v>
                </c:pt>
                <c:pt idx="208">
                  <c:v>37755</c:v>
                </c:pt>
                <c:pt idx="209">
                  <c:v>37714</c:v>
                </c:pt>
                <c:pt idx="210">
                  <c:v>37715</c:v>
                </c:pt>
                <c:pt idx="211">
                  <c:v>37645</c:v>
                </c:pt>
                <c:pt idx="212">
                  <c:v>37474</c:v>
                </c:pt>
                <c:pt idx="213">
                  <c:v>37500</c:v>
                </c:pt>
                <c:pt idx="214">
                  <c:v>37700</c:v>
                </c:pt>
                <c:pt idx="215">
                  <c:v>37659</c:v>
                </c:pt>
                <c:pt idx="216">
                  <c:v>37660</c:v>
                </c:pt>
                <c:pt idx="217">
                  <c:v>38267</c:v>
                </c:pt>
                <c:pt idx="218">
                  <c:v>38376</c:v>
                </c:pt>
                <c:pt idx="219">
                  <c:v>38658</c:v>
                </c:pt>
                <c:pt idx="220">
                  <c:v>38695</c:v>
                </c:pt>
                <c:pt idx="221">
                  <c:v>38838</c:v>
                </c:pt>
                <c:pt idx="222">
                  <c:v>39033</c:v>
                </c:pt>
                <c:pt idx="223">
                  <c:v>39402</c:v>
                </c:pt>
                <c:pt idx="224">
                  <c:v>39385</c:v>
                </c:pt>
                <c:pt idx="225">
                  <c:v>39440</c:v>
                </c:pt>
                <c:pt idx="226">
                  <c:v>39710</c:v>
                </c:pt>
                <c:pt idx="227">
                  <c:v>39508</c:v>
                </c:pt>
                <c:pt idx="228">
                  <c:v>39700</c:v>
                </c:pt>
                <c:pt idx="229">
                  <c:v>40382</c:v>
                </c:pt>
                <c:pt idx="230">
                  <c:v>40575</c:v>
                </c:pt>
                <c:pt idx="231">
                  <c:v>40624</c:v>
                </c:pt>
                <c:pt idx="232">
                  <c:v>41050</c:v>
                </c:pt>
                <c:pt idx="233">
                  <c:v>41540</c:v>
                </c:pt>
                <c:pt idx="234">
                  <c:v>41516</c:v>
                </c:pt>
                <c:pt idx="235">
                  <c:v>41718</c:v>
                </c:pt>
                <c:pt idx="236">
                  <c:v>42013</c:v>
                </c:pt>
                <c:pt idx="237">
                  <c:v>42162</c:v>
                </c:pt>
                <c:pt idx="238">
                  <c:v>42237</c:v>
                </c:pt>
                <c:pt idx="239">
                  <c:v>41864</c:v>
                </c:pt>
                <c:pt idx="240">
                  <c:v>42858</c:v>
                </c:pt>
                <c:pt idx="241">
                  <c:v>42950</c:v>
                </c:pt>
                <c:pt idx="242">
                  <c:v>42942</c:v>
                </c:pt>
                <c:pt idx="243">
                  <c:v>43365</c:v>
                </c:pt>
                <c:pt idx="244">
                  <c:v>43313</c:v>
                </c:pt>
                <c:pt idx="245">
                  <c:v>43542</c:v>
                </c:pt>
                <c:pt idx="246">
                  <c:v>43676</c:v>
                </c:pt>
                <c:pt idx="247">
                  <c:v>43712</c:v>
                </c:pt>
                <c:pt idx="248">
                  <c:v>44085</c:v>
                </c:pt>
                <c:pt idx="249">
                  <c:v>43708</c:v>
                </c:pt>
                <c:pt idx="250">
                  <c:v>44520</c:v>
                </c:pt>
                <c:pt idx="251">
                  <c:v>44538</c:v>
                </c:pt>
                <c:pt idx="252">
                  <c:v>45146</c:v>
                </c:pt>
                <c:pt idx="253">
                  <c:v>44868</c:v>
                </c:pt>
                <c:pt idx="254">
                  <c:v>45011</c:v>
                </c:pt>
                <c:pt idx="255">
                  <c:v>44723</c:v>
                </c:pt>
                <c:pt idx="256">
                  <c:v>44816</c:v>
                </c:pt>
                <c:pt idx="257">
                  <c:v>44701</c:v>
                </c:pt>
                <c:pt idx="258">
                  <c:v>45050</c:v>
                </c:pt>
                <c:pt idx="259">
                  <c:v>45155</c:v>
                </c:pt>
                <c:pt idx="260">
                  <c:v>45344</c:v>
                </c:pt>
                <c:pt idx="261">
                  <c:v>45936</c:v>
                </c:pt>
                <c:pt idx="262">
                  <c:v>46744</c:v>
                </c:pt>
                <c:pt idx="263">
                  <c:v>46330</c:v>
                </c:pt>
                <c:pt idx="264">
                  <c:v>45914</c:v>
                </c:pt>
                <c:pt idx="265">
                  <c:v>46424</c:v>
                </c:pt>
                <c:pt idx="266">
                  <c:v>47057</c:v>
                </c:pt>
                <c:pt idx="267">
                  <c:v>47137</c:v>
                </c:pt>
                <c:pt idx="268">
                  <c:v>47540</c:v>
                </c:pt>
                <c:pt idx="269">
                  <c:v>47710</c:v>
                </c:pt>
                <c:pt idx="270">
                  <c:v>48083</c:v>
                </c:pt>
                <c:pt idx="271">
                  <c:v>48375</c:v>
                </c:pt>
                <c:pt idx="272">
                  <c:v>48982</c:v>
                </c:pt>
                <c:pt idx="273">
                  <c:v>49658</c:v>
                </c:pt>
                <c:pt idx="274">
                  <c:v>49731</c:v>
                </c:pt>
                <c:pt idx="275">
                  <c:v>50508</c:v>
                </c:pt>
                <c:pt idx="276">
                  <c:v>50834</c:v>
                </c:pt>
                <c:pt idx="277">
                  <c:v>50690</c:v>
                </c:pt>
                <c:pt idx="278">
                  <c:v>51067</c:v>
                </c:pt>
                <c:pt idx="279">
                  <c:v>51739</c:v>
                </c:pt>
                <c:pt idx="280">
                  <c:v>51811</c:v>
                </c:pt>
                <c:pt idx="281">
                  <c:v>51879</c:v>
                </c:pt>
                <c:pt idx="282">
                  <c:v>52157</c:v>
                </c:pt>
                <c:pt idx="283">
                  <c:v>52416</c:v>
                </c:pt>
                <c:pt idx="284">
                  <c:v>52387</c:v>
                </c:pt>
                <c:pt idx="285">
                  <c:v>52759</c:v>
                </c:pt>
                <c:pt idx="286">
                  <c:v>52881</c:v>
                </c:pt>
                <c:pt idx="287">
                  <c:v>53740</c:v>
                </c:pt>
                <c:pt idx="288">
                  <c:v>53045</c:v>
                </c:pt>
                <c:pt idx="289">
                  <c:v>54237</c:v>
                </c:pt>
                <c:pt idx="290">
                  <c:v>53919</c:v>
                </c:pt>
                <c:pt idx="291">
                  <c:v>54240</c:v>
                </c:pt>
                <c:pt idx="292">
                  <c:v>54300</c:v>
                </c:pt>
                <c:pt idx="293">
                  <c:v>54296</c:v>
                </c:pt>
                <c:pt idx="294">
                  <c:v>54330</c:v>
                </c:pt>
                <c:pt idx="295">
                  <c:v>54803</c:v>
                </c:pt>
                <c:pt idx="296">
                  <c:v>55366</c:v>
                </c:pt>
                <c:pt idx="297">
                  <c:v>55375</c:v>
                </c:pt>
                <c:pt idx="298">
                  <c:v>56346</c:v>
                </c:pt>
                <c:pt idx="299">
                  <c:v>55451</c:v>
                </c:pt>
                <c:pt idx="300">
                  <c:v>57403</c:v>
                </c:pt>
                <c:pt idx="301">
                  <c:v>57492</c:v>
                </c:pt>
                <c:pt idx="302">
                  <c:v>57379</c:v>
                </c:pt>
                <c:pt idx="303">
                  <c:v>57474</c:v>
                </c:pt>
                <c:pt idx="304">
                  <c:v>57470</c:v>
                </c:pt>
                <c:pt idx="305">
                  <c:v>57263</c:v>
                </c:pt>
                <c:pt idx="306">
                  <c:v>57215</c:v>
                </c:pt>
                <c:pt idx="307">
                  <c:v>57524</c:v>
                </c:pt>
                <c:pt idx="308">
                  <c:v>57884</c:v>
                </c:pt>
                <c:pt idx="309">
                  <c:v>58126</c:v>
                </c:pt>
                <c:pt idx="310">
                  <c:v>58849</c:v>
                </c:pt>
                <c:pt idx="311">
                  <c:v>59119</c:v>
                </c:pt>
                <c:pt idx="312">
                  <c:v>59344</c:v>
                </c:pt>
                <c:pt idx="313">
                  <c:v>59653</c:v>
                </c:pt>
                <c:pt idx="314">
                  <c:v>60141</c:v>
                </c:pt>
                <c:pt idx="315">
                  <c:v>59415</c:v>
                </c:pt>
                <c:pt idx="316">
                  <c:v>60723</c:v>
                </c:pt>
                <c:pt idx="317">
                  <c:v>61440</c:v>
                </c:pt>
                <c:pt idx="318">
                  <c:v>62259</c:v>
                </c:pt>
                <c:pt idx="319">
                  <c:v>62635</c:v>
                </c:pt>
                <c:pt idx="320">
                  <c:v>61377</c:v>
                </c:pt>
                <c:pt idx="321">
                  <c:v>61972</c:v>
                </c:pt>
                <c:pt idx="322">
                  <c:v>61731</c:v>
                </c:pt>
                <c:pt idx="323">
                  <c:v>61790</c:v>
                </c:pt>
                <c:pt idx="324">
                  <c:v>61973</c:v>
                </c:pt>
                <c:pt idx="325">
                  <c:v>62631</c:v>
                </c:pt>
                <c:pt idx="326">
                  <c:v>63153</c:v>
                </c:pt>
                <c:pt idx="327">
                  <c:v>63617</c:v>
                </c:pt>
                <c:pt idx="328">
                  <c:v>64318</c:v>
                </c:pt>
                <c:pt idx="329">
                  <c:v>64984</c:v>
                </c:pt>
                <c:pt idx="330">
                  <c:v>65435</c:v>
                </c:pt>
                <c:pt idx="331">
                  <c:v>65333</c:v>
                </c:pt>
                <c:pt idx="332">
                  <c:v>65756</c:v>
                </c:pt>
                <c:pt idx="333">
                  <c:v>65628</c:v>
                </c:pt>
                <c:pt idx="334">
                  <c:v>65147</c:v>
                </c:pt>
                <c:pt idx="335">
                  <c:v>65807</c:v>
                </c:pt>
                <c:pt idx="336">
                  <c:v>66344</c:v>
                </c:pt>
                <c:pt idx="337">
                  <c:v>66200</c:v>
                </c:pt>
                <c:pt idx="338">
                  <c:v>46126</c:v>
                </c:pt>
                <c:pt idx="339">
                  <c:v>29927</c:v>
                </c:pt>
                <c:pt idx="340">
                  <c:v>39664</c:v>
                </c:pt>
                <c:pt idx="341">
                  <c:v>50464</c:v>
                </c:pt>
                <c:pt idx="342">
                  <c:v>52214</c:v>
                </c:pt>
                <c:pt idx="343">
                  <c:v>54558</c:v>
                </c:pt>
              </c:numCache>
            </c:numRef>
          </c:val>
          <c:smooth val="0"/>
          <c:extLst>
            <c:ext xmlns:c16="http://schemas.microsoft.com/office/drawing/2014/chart" uri="{C3380CC4-5D6E-409C-BE32-E72D297353CC}">
              <c16:uniqueId val="{00000000-0684-4D9B-925E-C9E3AA5A79C3}"/>
            </c:ext>
          </c:extLst>
        </c:ser>
        <c:dLbls>
          <c:showLegendKey val="0"/>
          <c:showVal val="0"/>
          <c:showCatName val="0"/>
          <c:showSerName val="0"/>
          <c:showPercent val="0"/>
          <c:showBubbleSize val="0"/>
        </c:dLbls>
        <c:smooth val="0"/>
        <c:axId val="1585895695"/>
        <c:axId val="1585895367"/>
      </c:lineChart>
      <c:dateAx>
        <c:axId val="1585895695"/>
        <c:scaling>
          <c:orientation val="minMax"/>
        </c:scaling>
        <c:delete val="0"/>
        <c:axPos val="b"/>
        <c:numFmt formatCode="[$-409]mmm\-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85895367"/>
        <c:crosses val="autoZero"/>
        <c:auto val="1"/>
        <c:lblOffset val="100"/>
        <c:baseTimeUnit val="months"/>
      </c:dateAx>
      <c:valAx>
        <c:axId val="1585895367"/>
        <c:scaling>
          <c:orientation val="minMax"/>
          <c:min val="15000"/>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85895695"/>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'Food Services'!$D$6</c:f>
              <c:strCache>
                <c:ptCount val="1"/>
                <c:pt idx="0">
                  <c:v>yoy</c:v>
                </c:pt>
              </c:strCache>
            </c:strRef>
          </c:tx>
          <c:spPr>
            <a:ln w="28575" cap="rnd">
              <a:solidFill>
                <a:sysClr val="windowText" lastClr="000000"/>
              </a:solidFill>
              <a:round/>
            </a:ln>
            <a:effectLst/>
          </c:spPr>
          <c:marker>
            <c:symbol val="none"/>
          </c:marker>
          <c:cat>
            <c:numRef>
              <c:f>'Food Services'!$A$7:$A$350</c:f>
              <c:numCache>
                <c:formatCode>[$-409]mmm\-yy;@</c:formatCode>
                <c:ptCount val="344"/>
                <c:pt idx="0">
                  <c:v>33604</c:v>
                </c:pt>
                <c:pt idx="1">
                  <c:v>33635</c:v>
                </c:pt>
                <c:pt idx="2">
                  <c:v>33664</c:v>
                </c:pt>
                <c:pt idx="3">
                  <c:v>33695</c:v>
                </c:pt>
                <c:pt idx="4">
                  <c:v>33725</c:v>
                </c:pt>
                <c:pt idx="5">
                  <c:v>33756</c:v>
                </c:pt>
                <c:pt idx="6">
                  <c:v>33786</c:v>
                </c:pt>
                <c:pt idx="7">
                  <c:v>33817</c:v>
                </c:pt>
                <c:pt idx="8">
                  <c:v>33848</c:v>
                </c:pt>
                <c:pt idx="9">
                  <c:v>33878</c:v>
                </c:pt>
                <c:pt idx="10">
                  <c:v>33909</c:v>
                </c:pt>
                <c:pt idx="11">
                  <c:v>33939</c:v>
                </c:pt>
                <c:pt idx="12">
                  <c:v>33970</c:v>
                </c:pt>
                <c:pt idx="13">
                  <c:v>34001</c:v>
                </c:pt>
                <c:pt idx="14">
                  <c:v>34029</c:v>
                </c:pt>
                <c:pt idx="15">
                  <c:v>34060</c:v>
                </c:pt>
                <c:pt idx="16">
                  <c:v>34090</c:v>
                </c:pt>
                <c:pt idx="17">
                  <c:v>34121</c:v>
                </c:pt>
                <c:pt idx="18">
                  <c:v>34151</c:v>
                </c:pt>
                <c:pt idx="19">
                  <c:v>34182</c:v>
                </c:pt>
                <c:pt idx="20">
                  <c:v>34213</c:v>
                </c:pt>
                <c:pt idx="21">
                  <c:v>34243</c:v>
                </c:pt>
                <c:pt idx="22">
                  <c:v>34274</c:v>
                </c:pt>
                <c:pt idx="23">
                  <c:v>34304</c:v>
                </c:pt>
                <c:pt idx="24">
                  <c:v>34335</c:v>
                </c:pt>
                <c:pt idx="25">
                  <c:v>34366</c:v>
                </c:pt>
                <c:pt idx="26">
                  <c:v>34394</c:v>
                </c:pt>
                <c:pt idx="27">
                  <c:v>34425</c:v>
                </c:pt>
                <c:pt idx="28">
                  <c:v>34455</c:v>
                </c:pt>
                <c:pt idx="29">
                  <c:v>34486</c:v>
                </c:pt>
                <c:pt idx="30">
                  <c:v>34516</c:v>
                </c:pt>
                <c:pt idx="31">
                  <c:v>34547</c:v>
                </c:pt>
                <c:pt idx="32">
                  <c:v>34578</c:v>
                </c:pt>
                <c:pt idx="33">
                  <c:v>34608</c:v>
                </c:pt>
                <c:pt idx="34">
                  <c:v>34639</c:v>
                </c:pt>
                <c:pt idx="35">
                  <c:v>34669</c:v>
                </c:pt>
                <c:pt idx="36">
                  <c:v>34700</c:v>
                </c:pt>
                <c:pt idx="37">
                  <c:v>34731</c:v>
                </c:pt>
                <c:pt idx="38">
                  <c:v>34759</c:v>
                </c:pt>
                <c:pt idx="39">
                  <c:v>34790</c:v>
                </c:pt>
                <c:pt idx="40">
                  <c:v>34820</c:v>
                </c:pt>
                <c:pt idx="41">
                  <c:v>34851</c:v>
                </c:pt>
                <c:pt idx="42">
                  <c:v>34881</c:v>
                </c:pt>
                <c:pt idx="43">
                  <c:v>34912</c:v>
                </c:pt>
                <c:pt idx="44">
                  <c:v>34943</c:v>
                </c:pt>
                <c:pt idx="45">
                  <c:v>34973</c:v>
                </c:pt>
                <c:pt idx="46">
                  <c:v>35004</c:v>
                </c:pt>
                <c:pt idx="47">
                  <c:v>35034</c:v>
                </c:pt>
                <c:pt idx="48">
                  <c:v>35065</c:v>
                </c:pt>
                <c:pt idx="49">
                  <c:v>35096</c:v>
                </c:pt>
                <c:pt idx="50">
                  <c:v>35125</c:v>
                </c:pt>
                <c:pt idx="51">
                  <c:v>35156</c:v>
                </c:pt>
                <c:pt idx="52">
                  <c:v>35186</c:v>
                </c:pt>
                <c:pt idx="53">
                  <c:v>35217</c:v>
                </c:pt>
                <c:pt idx="54">
                  <c:v>35247</c:v>
                </c:pt>
                <c:pt idx="55">
                  <c:v>35278</c:v>
                </c:pt>
                <c:pt idx="56">
                  <c:v>35309</c:v>
                </c:pt>
                <c:pt idx="57">
                  <c:v>35339</c:v>
                </c:pt>
                <c:pt idx="58">
                  <c:v>35370</c:v>
                </c:pt>
                <c:pt idx="59">
                  <c:v>35400</c:v>
                </c:pt>
                <c:pt idx="60">
                  <c:v>35431</c:v>
                </c:pt>
                <c:pt idx="61">
                  <c:v>35462</c:v>
                </c:pt>
                <c:pt idx="62">
                  <c:v>35490</c:v>
                </c:pt>
                <c:pt idx="63">
                  <c:v>35521</c:v>
                </c:pt>
                <c:pt idx="64">
                  <c:v>35551</c:v>
                </c:pt>
                <c:pt idx="65">
                  <c:v>35582</c:v>
                </c:pt>
                <c:pt idx="66">
                  <c:v>35612</c:v>
                </c:pt>
                <c:pt idx="67">
                  <c:v>35643</c:v>
                </c:pt>
                <c:pt idx="68">
                  <c:v>35674</c:v>
                </c:pt>
                <c:pt idx="69">
                  <c:v>35704</c:v>
                </c:pt>
                <c:pt idx="70">
                  <c:v>35735</c:v>
                </c:pt>
                <c:pt idx="71">
                  <c:v>35765</c:v>
                </c:pt>
                <c:pt idx="72">
                  <c:v>35796</c:v>
                </c:pt>
                <c:pt idx="73">
                  <c:v>35827</c:v>
                </c:pt>
                <c:pt idx="74">
                  <c:v>35855</c:v>
                </c:pt>
                <c:pt idx="75">
                  <c:v>35886</c:v>
                </c:pt>
                <c:pt idx="76">
                  <c:v>35916</c:v>
                </c:pt>
                <c:pt idx="77">
                  <c:v>35947</c:v>
                </c:pt>
                <c:pt idx="78">
                  <c:v>35977</c:v>
                </c:pt>
                <c:pt idx="79">
                  <c:v>36008</c:v>
                </c:pt>
                <c:pt idx="80">
                  <c:v>36039</c:v>
                </c:pt>
                <c:pt idx="81">
                  <c:v>36069</c:v>
                </c:pt>
                <c:pt idx="82">
                  <c:v>36100</c:v>
                </c:pt>
                <c:pt idx="83">
                  <c:v>36130</c:v>
                </c:pt>
                <c:pt idx="84">
                  <c:v>36161</c:v>
                </c:pt>
                <c:pt idx="85">
                  <c:v>36192</c:v>
                </c:pt>
                <c:pt idx="86">
                  <c:v>36220</c:v>
                </c:pt>
                <c:pt idx="87">
                  <c:v>36251</c:v>
                </c:pt>
                <c:pt idx="88">
                  <c:v>36281</c:v>
                </c:pt>
                <c:pt idx="89">
                  <c:v>36312</c:v>
                </c:pt>
                <c:pt idx="90">
                  <c:v>36342</c:v>
                </c:pt>
                <c:pt idx="91">
                  <c:v>36373</c:v>
                </c:pt>
                <c:pt idx="92">
                  <c:v>36404</c:v>
                </c:pt>
                <c:pt idx="93">
                  <c:v>36434</c:v>
                </c:pt>
                <c:pt idx="94">
                  <c:v>36465</c:v>
                </c:pt>
                <c:pt idx="95">
                  <c:v>36495</c:v>
                </c:pt>
                <c:pt idx="96">
                  <c:v>36526</c:v>
                </c:pt>
                <c:pt idx="97">
                  <c:v>36557</c:v>
                </c:pt>
                <c:pt idx="98">
                  <c:v>36586</c:v>
                </c:pt>
                <c:pt idx="99">
                  <c:v>36617</c:v>
                </c:pt>
                <c:pt idx="100">
                  <c:v>36647</c:v>
                </c:pt>
                <c:pt idx="101">
                  <c:v>36678</c:v>
                </c:pt>
                <c:pt idx="102">
                  <c:v>36708</c:v>
                </c:pt>
                <c:pt idx="103">
                  <c:v>36739</c:v>
                </c:pt>
                <c:pt idx="104">
                  <c:v>36770</c:v>
                </c:pt>
                <c:pt idx="105">
                  <c:v>36800</c:v>
                </c:pt>
                <c:pt idx="106">
                  <c:v>36831</c:v>
                </c:pt>
                <c:pt idx="107">
                  <c:v>36861</c:v>
                </c:pt>
                <c:pt idx="108">
                  <c:v>36892</c:v>
                </c:pt>
                <c:pt idx="109">
                  <c:v>36923</c:v>
                </c:pt>
                <c:pt idx="110">
                  <c:v>36951</c:v>
                </c:pt>
                <c:pt idx="111">
                  <c:v>36982</c:v>
                </c:pt>
                <c:pt idx="112">
                  <c:v>37012</c:v>
                </c:pt>
                <c:pt idx="113">
                  <c:v>37043</c:v>
                </c:pt>
                <c:pt idx="114">
                  <c:v>37073</c:v>
                </c:pt>
                <c:pt idx="115">
                  <c:v>37104</c:v>
                </c:pt>
                <c:pt idx="116">
                  <c:v>37135</c:v>
                </c:pt>
                <c:pt idx="117">
                  <c:v>37165</c:v>
                </c:pt>
                <c:pt idx="118">
                  <c:v>37196</c:v>
                </c:pt>
                <c:pt idx="119">
                  <c:v>37226</c:v>
                </c:pt>
                <c:pt idx="120">
                  <c:v>37257</c:v>
                </c:pt>
                <c:pt idx="121">
                  <c:v>37288</c:v>
                </c:pt>
                <c:pt idx="122">
                  <c:v>37316</c:v>
                </c:pt>
                <c:pt idx="123">
                  <c:v>37347</c:v>
                </c:pt>
                <c:pt idx="124">
                  <c:v>37377</c:v>
                </c:pt>
                <c:pt idx="125">
                  <c:v>37408</c:v>
                </c:pt>
                <c:pt idx="126">
                  <c:v>37438</c:v>
                </c:pt>
                <c:pt idx="127">
                  <c:v>37469</c:v>
                </c:pt>
                <c:pt idx="128">
                  <c:v>37500</c:v>
                </c:pt>
                <c:pt idx="129">
                  <c:v>37530</c:v>
                </c:pt>
                <c:pt idx="130">
                  <c:v>37561</c:v>
                </c:pt>
                <c:pt idx="131">
                  <c:v>37591</c:v>
                </c:pt>
                <c:pt idx="132">
                  <c:v>37622</c:v>
                </c:pt>
                <c:pt idx="133">
                  <c:v>37653</c:v>
                </c:pt>
                <c:pt idx="134">
                  <c:v>37681</c:v>
                </c:pt>
                <c:pt idx="135">
                  <c:v>37712</c:v>
                </c:pt>
                <c:pt idx="136">
                  <c:v>37742</c:v>
                </c:pt>
                <c:pt idx="137">
                  <c:v>37773</c:v>
                </c:pt>
                <c:pt idx="138">
                  <c:v>37803</c:v>
                </c:pt>
                <c:pt idx="139">
                  <c:v>37834</c:v>
                </c:pt>
                <c:pt idx="140">
                  <c:v>37865</c:v>
                </c:pt>
                <c:pt idx="141">
                  <c:v>37895</c:v>
                </c:pt>
                <c:pt idx="142">
                  <c:v>37926</c:v>
                </c:pt>
                <c:pt idx="143">
                  <c:v>37956</c:v>
                </c:pt>
                <c:pt idx="144">
                  <c:v>37987</c:v>
                </c:pt>
                <c:pt idx="145">
                  <c:v>38018</c:v>
                </c:pt>
                <c:pt idx="146">
                  <c:v>38047</c:v>
                </c:pt>
                <c:pt idx="147">
                  <c:v>38078</c:v>
                </c:pt>
                <c:pt idx="148">
                  <c:v>38108</c:v>
                </c:pt>
                <c:pt idx="149">
                  <c:v>38139</c:v>
                </c:pt>
                <c:pt idx="150">
                  <c:v>38169</c:v>
                </c:pt>
                <c:pt idx="151">
                  <c:v>38200</c:v>
                </c:pt>
                <c:pt idx="152">
                  <c:v>38231</c:v>
                </c:pt>
                <c:pt idx="153">
                  <c:v>38261</c:v>
                </c:pt>
                <c:pt idx="154">
                  <c:v>38292</c:v>
                </c:pt>
                <c:pt idx="155">
                  <c:v>38322</c:v>
                </c:pt>
                <c:pt idx="156">
                  <c:v>38353</c:v>
                </c:pt>
                <c:pt idx="157">
                  <c:v>38384</c:v>
                </c:pt>
                <c:pt idx="158">
                  <c:v>38412</c:v>
                </c:pt>
                <c:pt idx="159">
                  <c:v>38443</c:v>
                </c:pt>
                <c:pt idx="160">
                  <c:v>38473</c:v>
                </c:pt>
                <c:pt idx="161">
                  <c:v>38504</c:v>
                </c:pt>
                <c:pt idx="162">
                  <c:v>38534</c:v>
                </c:pt>
                <c:pt idx="163">
                  <c:v>38565</c:v>
                </c:pt>
                <c:pt idx="164">
                  <c:v>38596</c:v>
                </c:pt>
                <c:pt idx="165">
                  <c:v>38626</c:v>
                </c:pt>
                <c:pt idx="166">
                  <c:v>38657</c:v>
                </c:pt>
                <c:pt idx="167">
                  <c:v>38687</c:v>
                </c:pt>
                <c:pt idx="168">
                  <c:v>38718</c:v>
                </c:pt>
                <c:pt idx="169">
                  <c:v>38749</c:v>
                </c:pt>
                <c:pt idx="170">
                  <c:v>38777</c:v>
                </c:pt>
                <c:pt idx="171">
                  <c:v>38808</c:v>
                </c:pt>
                <c:pt idx="172">
                  <c:v>38838</c:v>
                </c:pt>
                <c:pt idx="173">
                  <c:v>38869</c:v>
                </c:pt>
                <c:pt idx="174">
                  <c:v>38899</c:v>
                </c:pt>
                <c:pt idx="175">
                  <c:v>38930</c:v>
                </c:pt>
                <c:pt idx="176">
                  <c:v>38961</c:v>
                </c:pt>
                <c:pt idx="177">
                  <c:v>38991</c:v>
                </c:pt>
                <c:pt idx="178">
                  <c:v>39022</c:v>
                </c:pt>
                <c:pt idx="179">
                  <c:v>39052</c:v>
                </c:pt>
                <c:pt idx="180">
                  <c:v>39083</c:v>
                </c:pt>
                <c:pt idx="181">
                  <c:v>39114</c:v>
                </c:pt>
                <c:pt idx="182">
                  <c:v>39142</c:v>
                </c:pt>
                <c:pt idx="183">
                  <c:v>39173</c:v>
                </c:pt>
                <c:pt idx="184">
                  <c:v>39203</c:v>
                </c:pt>
                <c:pt idx="185">
                  <c:v>39234</c:v>
                </c:pt>
                <c:pt idx="186">
                  <c:v>39264</c:v>
                </c:pt>
                <c:pt idx="187">
                  <c:v>39295</c:v>
                </c:pt>
                <c:pt idx="188">
                  <c:v>39326</c:v>
                </c:pt>
                <c:pt idx="189">
                  <c:v>39356</c:v>
                </c:pt>
                <c:pt idx="190">
                  <c:v>39387</c:v>
                </c:pt>
                <c:pt idx="191">
                  <c:v>39417</c:v>
                </c:pt>
                <c:pt idx="192">
                  <c:v>39448</c:v>
                </c:pt>
                <c:pt idx="193">
                  <c:v>39479</c:v>
                </c:pt>
                <c:pt idx="194">
                  <c:v>39508</c:v>
                </c:pt>
                <c:pt idx="195">
                  <c:v>39539</c:v>
                </c:pt>
                <c:pt idx="196">
                  <c:v>39569</c:v>
                </c:pt>
                <c:pt idx="197">
                  <c:v>39600</c:v>
                </c:pt>
                <c:pt idx="198">
                  <c:v>39630</c:v>
                </c:pt>
                <c:pt idx="199">
                  <c:v>39661</c:v>
                </c:pt>
                <c:pt idx="200">
                  <c:v>39692</c:v>
                </c:pt>
                <c:pt idx="201">
                  <c:v>39722</c:v>
                </c:pt>
                <c:pt idx="202">
                  <c:v>39753</c:v>
                </c:pt>
                <c:pt idx="203">
                  <c:v>39783</c:v>
                </c:pt>
                <c:pt idx="204">
                  <c:v>39814</c:v>
                </c:pt>
                <c:pt idx="205">
                  <c:v>39845</c:v>
                </c:pt>
                <c:pt idx="206">
                  <c:v>39873</c:v>
                </c:pt>
                <c:pt idx="207">
                  <c:v>39904</c:v>
                </c:pt>
                <c:pt idx="208">
                  <c:v>39934</c:v>
                </c:pt>
                <c:pt idx="209">
                  <c:v>39965</c:v>
                </c:pt>
                <c:pt idx="210">
                  <c:v>39995</c:v>
                </c:pt>
                <c:pt idx="211">
                  <c:v>40026</c:v>
                </c:pt>
                <c:pt idx="212">
                  <c:v>40057</c:v>
                </c:pt>
                <c:pt idx="213">
                  <c:v>40087</c:v>
                </c:pt>
                <c:pt idx="214">
                  <c:v>40118</c:v>
                </c:pt>
                <c:pt idx="215">
                  <c:v>40148</c:v>
                </c:pt>
                <c:pt idx="216">
                  <c:v>40179</c:v>
                </c:pt>
                <c:pt idx="217">
                  <c:v>40210</c:v>
                </c:pt>
                <c:pt idx="218">
                  <c:v>40238</c:v>
                </c:pt>
                <c:pt idx="219">
                  <c:v>40269</c:v>
                </c:pt>
                <c:pt idx="220">
                  <c:v>40299</c:v>
                </c:pt>
                <c:pt idx="221">
                  <c:v>40330</c:v>
                </c:pt>
                <c:pt idx="222">
                  <c:v>40360</c:v>
                </c:pt>
                <c:pt idx="223">
                  <c:v>40391</c:v>
                </c:pt>
                <c:pt idx="224">
                  <c:v>40422</c:v>
                </c:pt>
                <c:pt idx="225">
                  <c:v>40452</c:v>
                </c:pt>
                <c:pt idx="226">
                  <c:v>40483</c:v>
                </c:pt>
                <c:pt idx="227">
                  <c:v>40513</c:v>
                </c:pt>
                <c:pt idx="228">
                  <c:v>40544</c:v>
                </c:pt>
                <c:pt idx="229">
                  <c:v>40575</c:v>
                </c:pt>
                <c:pt idx="230">
                  <c:v>40603</c:v>
                </c:pt>
                <c:pt idx="231">
                  <c:v>40634</c:v>
                </c:pt>
                <c:pt idx="232">
                  <c:v>40664</c:v>
                </c:pt>
                <c:pt idx="233">
                  <c:v>40695</c:v>
                </c:pt>
                <c:pt idx="234">
                  <c:v>40725</c:v>
                </c:pt>
                <c:pt idx="235">
                  <c:v>40756</c:v>
                </c:pt>
                <c:pt idx="236">
                  <c:v>40787</c:v>
                </c:pt>
                <c:pt idx="237">
                  <c:v>40817</c:v>
                </c:pt>
                <c:pt idx="238">
                  <c:v>40848</c:v>
                </c:pt>
                <c:pt idx="239">
                  <c:v>40878</c:v>
                </c:pt>
                <c:pt idx="240">
                  <c:v>40909</c:v>
                </c:pt>
                <c:pt idx="241">
                  <c:v>40940</c:v>
                </c:pt>
                <c:pt idx="242">
                  <c:v>40969</c:v>
                </c:pt>
                <c:pt idx="243">
                  <c:v>41000</c:v>
                </c:pt>
                <c:pt idx="244">
                  <c:v>41030</c:v>
                </c:pt>
                <c:pt idx="245">
                  <c:v>41061</c:v>
                </c:pt>
                <c:pt idx="246">
                  <c:v>41091</c:v>
                </c:pt>
                <c:pt idx="247">
                  <c:v>41122</c:v>
                </c:pt>
                <c:pt idx="248">
                  <c:v>41153</c:v>
                </c:pt>
                <c:pt idx="249">
                  <c:v>41183</c:v>
                </c:pt>
                <c:pt idx="250">
                  <c:v>41214</c:v>
                </c:pt>
                <c:pt idx="251">
                  <c:v>41244</c:v>
                </c:pt>
                <c:pt idx="252">
                  <c:v>41275</c:v>
                </c:pt>
                <c:pt idx="253">
                  <c:v>41306</c:v>
                </c:pt>
                <c:pt idx="254">
                  <c:v>41334</c:v>
                </c:pt>
                <c:pt idx="255">
                  <c:v>41365</c:v>
                </c:pt>
                <c:pt idx="256">
                  <c:v>41395</c:v>
                </c:pt>
                <c:pt idx="257">
                  <c:v>41426</c:v>
                </c:pt>
                <c:pt idx="258">
                  <c:v>41456</c:v>
                </c:pt>
                <c:pt idx="259">
                  <c:v>41487</c:v>
                </c:pt>
                <c:pt idx="260">
                  <c:v>41518</c:v>
                </c:pt>
                <c:pt idx="261">
                  <c:v>41548</c:v>
                </c:pt>
                <c:pt idx="262">
                  <c:v>41579</c:v>
                </c:pt>
                <c:pt idx="263">
                  <c:v>41609</c:v>
                </c:pt>
                <c:pt idx="264">
                  <c:v>41640</c:v>
                </c:pt>
                <c:pt idx="265">
                  <c:v>41671</c:v>
                </c:pt>
                <c:pt idx="266">
                  <c:v>41699</c:v>
                </c:pt>
                <c:pt idx="267">
                  <c:v>41730</c:v>
                </c:pt>
                <c:pt idx="268">
                  <c:v>41760</c:v>
                </c:pt>
                <c:pt idx="269">
                  <c:v>41791</c:v>
                </c:pt>
                <c:pt idx="270">
                  <c:v>41821</c:v>
                </c:pt>
                <c:pt idx="271">
                  <c:v>41852</c:v>
                </c:pt>
                <c:pt idx="272">
                  <c:v>41883</c:v>
                </c:pt>
                <c:pt idx="273">
                  <c:v>41913</c:v>
                </c:pt>
                <c:pt idx="274">
                  <c:v>41944</c:v>
                </c:pt>
                <c:pt idx="275">
                  <c:v>41974</c:v>
                </c:pt>
                <c:pt idx="276">
                  <c:v>42005</c:v>
                </c:pt>
                <c:pt idx="277">
                  <c:v>42036</c:v>
                </c:pt>
                <c:pt idx="278">
                  <c:v>42064</c:v>
                </c:pt>
                <c:pt idx="279">
                  <c:v>42095</c:v>
                </c:pt>
                <c:pt idx="280">
                  <c:v>42125</c:v>
                </c:pt>
                <c:pt idx="281">
                  <c:v>42156</c:v>
                </c:pt>
                <c:pt idx="282">
                  <c:v>42186</c:v>
                </c:pt>
                <c:pt idx="283">
                  <c:v>42217</c:v>
                </c:pt>
                <c:pt idx="284">
                  <c:v>42248</c:v>
                </c:pt>
                <c:pt idx="285">
                  <c:v>42278</c:v>
                </c:pt>
                <c:pt idx="286">
                  <c:v>42309</c:v>
                </c:pt>
                <c:pt idx="287">
                  <c:v>42339</c:v>
                </c:pt>
                <c:pt idx="288">
                  <c:v>42370</c:v>
                </c:pt>
                <c:pt idx="289">
                  <c:v>42401</c:v>
                </c:pt>
                <c:pt idx="290">
                  <c:v>42430</c:v>
                </c:pt>
                <c:pt idx="291">
                  <c:v>42461</c:v>
                </c:pt>
                <c:pt idx="292">
                  <c:v>42491</c:v>
                </c:pt>
                <c:pt idx="293">
                  <c:v>42522</c:v>
                </c:pt>
                <c:pt idx="294">
                  <c:v>42552</c:v>
                </c:pt>
                <c:pt idx="295">
                  <c:v>42583</c:v>
                </c:pt>
                <c:pt idx="296">
                  <c:v>42614</c:v>
                </c:pt>
                <c:pt idx="297">
                  <c:v>42644</c:v>
                </c:pt>
                <c:pt idx="298">
                  <c:v>42675</c:v>
                </c:pt>
                <c:pt idx="299">
                  <c:v>42705</c:v>
                </c:pt>
                <c:pt idx="300">
                  <c:v>42736</c:v>
                </c:pt>
                <c:pt idx="301">
                  <c:v>42767</c:v>
                </c:pt>
                <c:pt idx="302">
                  <c:v>42795</c:v>
                </c:pt>
                <c:pt idx="303">
                  <c:v>42826</c:v>
                </c:pt>
                <c:pt idx="304">
                  <c:v>42856</c:v>
                </c:pt>
                <c:pt idx="305">
                  <c:v>42887</c:v>
                </c:pt>
                <c:pt idx="306">
                  <c:v>42917</c:v>
                </c:pt>
                <c:pt idx="307">
                  <c:v>42948</c:v>
                </c:pt>
                <c:pt idx="308">
                  <c:v>42979</c:v>
                </c:pt>
                <c:pt idx="309">
                  <c:v>43009</c:v>
                </c:pt>
                <c:pt idx="310">
                  <c:v>43040</c:v>
                </c:pt>
                <c:pt idx="311">
                  <c:v>43070</c:v>
                </c:pt>
                <c:pt idx="312">
                  <c:v>43101</c:v>
                </c:pt>
                <c:pt idx="313">
                  <c:v>43132</c:v>
                </c:pt>
                <c:pt idx="314">
                  <c:v>43160</c:v>
                </c:pt>
                <c:pt idx="315">
                  <c:v>43191</c:v>
                </c:pt>
                <c:pt idx="316">
                  <c:v>43221</c:v>
                </c:pt>
                <c:pt idx="317">
                  <c:v>43252</c:v>
                </c:pt>
                <c:pt idx="318">
                  <c:v>43282</c:v>
                </c:pt>
                <c:pt idx="319">
                  <c:v>43313</c:v>
                </c:pt>
                <c:pt idx="320">
                  <c:v>43344</c:v>
                </c:pt>
                <c:pt idx="321">
                  <c:v>43374</c:v>
                </c:pt>
                <c:pt idx="322">
                  <c:v>43405</c:v>
                </c:pt>
                <c:pt idx="323">
                  <c:v>43435</c:v>
                </c:pt>
                <c:pt idx="324">
                  <c:v>43466</c:v>
                </c:pt>
                <c:pt idx="325">
                  <c:v>43497</c:v>
                </c:pt>
                <c:pt idx="326">
                  <c:v>43525</c:v>
                </c:pt>
                <c:pt idx="327">
                  <c:v>43556</c:v>
                </c:pt>
                <c:pt idx="328">
                  <c:v>43586</c:v>
                </c:pt>
                <c:pt idx="329">
                  <c:v>43617</c:v>
                </c:pt>
                <c:pt idx="330">
                  <c:v>43647</c:v>
                </c:pt>
                <c:pt idx="331">
                  <c:v>43678</c:v>
                </c:pt>
                <c:pt idx="332">
                  <c:v>43709</c:v>
                </c:pt>
                <c:pt idx="333">
                  <c:v>43739</c:v>
                </c:pt>
                <c:pt idx="334">
                  <c:v>43770</c:v>
                </c:pt>
                <c:pt idx="335">
                  <c:v>43800</c:v>
                </c:pt>
                <c:pt idx="336">
                  <c:v>43831</c:v>
                </c:pt>
                <c:pt idx="337">
                  <c:v>43862</c:v>
                </c:pt>
                <c:pt idx="338">
                  <c:v>43891</c:v>
                </c:pt>
                <c:pt idx="339">
                  <c:v>43922</c:v>
                </c:pt>
                <c:pt idx="340">
                  <c:v>43952</c:v>
                </c:pt>
                <c:pt idx="341">
                  <c:v>43983</c:v>
                </c:pt>
                <c:pt idx="342">
                  <c:v>44013</c:v>
                </c:pt>
                <c:pt idx="343">
                  <c:v>44044</c:v>
                </c:pt>
              </c:numCache>
            </c:numRef>
          </c:cat>
          <c:val>
            <c:numRef>
              <c:f>'Food Services'!$D$7:$D$350</c:f>
              <c:numCache>
                <c:formatCode>General</c:formatCode>
                <c:ptCount val="344"/>
                <c:pt idx="12" formatCode="0.00%">
                  <c:v>2.2306348281887014E-2</c:v>
                </c:pt>
                <c:pt idx="13" formatCode="0.00%">
                  <c:v>2.8722778104767512E-2</c:v>
                </c:pt>
                <c:pt idx="14" formatCode="0.00%">
                  <c:v>3.7715772050130054E-2</c:v>
                </c:pt>
                <c:pt idx="15" formatCode="0.00%">
                  <c:v>6.5539365593332136E-2</c:v>
                </c:pt>
                <c:pt idx="16" formatCode="0.00%">
                  <c:v>7.3424888567642455E-2</c:v>
                </c:pt>
                <c:pt idx="17" formatCode="0.00%">
                  <c:v>0.10769797874301161</c:v>
                </c:pt>
                <c:pt idx="18" formatCode="0.00%">
                  <c:v>8.6748302618816678E-2</c:v>
                </c:pt>
                <c:pt idx="19" formatCode="0.00%">
                  <c:v>8.773083129145999E-2</c:v>
                </c:pt>
                <c:pt idx="20" formatCode="0.00%">
                  <c:v>0.10129669283844872</c:v>
                </c:pt>
                <c:pt idx="21" formatCode="0.00%">
                  <c:v>6.4020112254443401E-2</c:v>
                </c:pt>
                <c:pt idx="22" formatCode="0.00%">
                  <c:v>4.2078071182548797E-2</c:v>
                </c:pt>
                <c:pt idx="23" formatCode="0.00%">
                  <c:v>4.270767823452061E-2</c:v>
                </c:pt>
                <c:pt idx="24" formatCode="0.00%">
                  <c:v>4.0448926109496949E-3</c:v>
                </c:pt>
                <c:pt idx="25" formatCode="0.00%">
                  <c:v>5.4182400732349242E-2</c:v>
                </c:pt>
                <c:pt idx="26" formatCode="0.00%">
                  <c:v>7.1721544947020627E-2</c:v>
                </c:pt>
                <c:pt idx="27" formatCode="0.00%">
                  <c:v>4.2937535171637592E-2</c:v>
                </c:pt>
                <c:pt idx="28" formatCode="0.00%">
                  <c:v>4.3712474047472083E-2</c:v>
                </c:pt>
                <c:pt idx="29" formatCode="0.00%">
                  <c:v>4.7642817526344979E-2</c:v>
                </c:pt>
                <c:pt idx="30" formatCode="0.00%">
                  <c:v>5.7734144028560273E-2</c:v>
                </c:pt>
                <c:pt idx="31" formatCode="0.00%">
                  <c:v>3.6646338113290482E-2</c:v>
                </c:pt>
                <c:pt idx="32" formatCode="0.00%">
                  <c:v>2.5006751282743721E-2</c:v>
                </c:pt>
                <c:pt idx="33" formatCode="0.00%">
                  <c:v>4.4562888070773118E-2</c:v>
                </c:pt>
                <c:pt idx="34" formatCode="0.00%">
                  <c:v>4.8201399217760149E-2</c:v>
                </c:pt>
                <c:pt idx="35" formatCode="0.00%">
                  <c:v>5.1540739116131155E-2</c:v>
                </c:pt>
                <c:pt idx="36" formatCode="0.00%">
                  <c:v>8.7153881071266454E-2</c:v>
                </c:pt>
                <c:pt idx="37" formatCode="0.00%">
                  <c:v>2.637720488466757E-2</c:v>
                </c:pt>
                <c:pt idx="38" formatCode="0.00%">
                  <c:v>2.2378142773613989E-2</c:v>
                </c:pt>
                <c:pt idx="39" formatCode="0.00%">
                  <c:v>4.3867695462148602E-2</c:v>
                </c:pt>
                <c:pt idx="40" formatCode="0.00%">
                  <c:v>4.5698924731182797E-2</c:v>
                </c:pt>
                <c:pt idx="41" formatCode="0.00%">
                  <c:v>2.8058658478479537E-2</c:v>
                </c:pt>
                <c:pt idx="42" formatCode="0.00%">
                  <c:v>2.7792426959181521E-2</c:v>
                </c:pt>
                <c:pt idx="43" formatCode="0.00%">
                  <c:v>4.489082043671825E-2</c:v>
                </c:pt>
                <c:pt idx="44" formatCode="0.00%">
                  <c:v>3.4882495521129729E-2</c:v>
                </c:pt>
                <c:pt idx="45" formatCode="0.00%">
                  <c:v>3.1614939505523409E-2</c:v>
                </c:pt>
                <c:pt idx="46" formatCode="0.00%">
                  <c:v>3.0533949968467523E-2</c:v>
                </c:pt>
                <c:pt idx="47" formatCode="0.00%">
                  <c:v>2.3307957034101576E-2</c:v>
                </c:pt>
                <c:pt idx="48" formatCode="0.00%">
                  <c:v>2.1085594989561588E-2</c:v>
                </c:pt>
                <c:pt idx="49" formatCode="0.00%">
                  <c:v>4.3942678864153137E-2</c:v>
                </c:pt>
                <c:pt idx="50" formatCode="0.00%">
                  <c:v>3.2650514713528124E-2</c:v>
                </c:pt>
                <c:pt idx="51" formatCode="0.00%">
                  <c:v>3.0290499328026466E-2</c:v>
                </c:pt>
                <c:pt idx="52" formatCode="0.00%">
                  <c:v>3.3110539845758354E-2</c:v>
                </c:pt>
                <c:pt idx="53" formatCode="0.00%">
                  <c:v>2.6417426232040783E-2</c:v>
                </c:pt>
                <c:pt idx="54" formatCode="0.00%">
                  <c:v>3.3660013340858948E-2</c:v>
                </c:pt>
                <c:pt idx="55" formatCode="0.00%">
                  <c:v>2.155718995688562E-2</c:v>
                </c:pt>
                <c:pt idx="56" formatCode="0.00%">
                  <c:v>3.854378818737271E-2</c:v>
                </c:pt>
                <c:pt idx="57" formatCode="0.00%">
                  <c:v>4.7932282902452703E-2</c:v>
                </c:pt>
                <c:pt idx="58" formatCode="0.00%">
                  <c:v>6.0176449589474219E-2</c:v>
                </c:pt>
                <c:pt idx="59" formatCode="0.00%">
                  <c:v>5.5133757961783436E-2</c:v>
                </c:pt>
                <c:pt idx="60" formatCode="0.00%">
                  <c:v>7.9022694745450831E-2</c:v>
                </c:pt>
                <c:pt idx="61" formatCode="0.00%">
                  <c:v>7.0610880356600139E-2</c:v>
                </c:pt>
                <c:pt idx="62" formatCode="0.00%">
                  <c:v>6.5904742724801124E-2</c:v>
                </c:pt>
                <c:pt idx="63" formatCode="0.00%">
                  <c:v>6.4419024683925352E-2</c:v>
                </c:pt>
                <c:pt idx="64" formatCode="0.00%">
                  <c:v>5.6534288842440529E-2</c:v>
                </c:pt>
                <c:pt idx="65" formatCode="0.00%">
                  <c:v>7.2747340959261483E-2</c:v>
                </c:pt>
                <c:pt idx="66" formatCode="0.00%">
                  <c:v>7.6644328617522961E-2</c:v>
                </c:pt>
                <c:pt idx="67" formatCode="0.00%">
                  <c:v>7.6166832174776558E-2</c:v>
                </c:pt>
                <c:pt idx="68" formatCode="0.00%">
                  <c:v>7.7903613276462225E-2</c:v>
                </c:pt>
                <c:pt idx="69" formatCode="0.00%">
                  <c:v>5.8731935185635735E-2</c:v>
                </c:pt>
                <c:pt idx="70" formatCode="0.00%">
                  <c:v>3.4393188705565444E-2</c:v>
                </c:pt>
                <c:pt idx="71" formatCode="0.00%">
                  <c:v>5.3653353938281738E-2</c:v>
                </c:pt>
                <c:pt idx="72" formatCode="0.00%">
                  <c:v>3.8417811463761248E-2</c:v>
                </c:pt>
                <c:pt idx="73" formatCode="0.00%">
                  <c:v>4.7123391370174107E-2</c:v>
                </c:pt>
                <c:pt idx="74" formatCode="0.00%">
                  <c:v>5.1013178404421142E-2</c:v>
                </c:pt>
                <c:pt idx="75" formatCode="0.00%">
                  <c:v>5.3591628959276015E-2</c:v>
                </c:pt>
                <c:pt idx="76" formatCode="0.00%">
                  <c:v>5.6806406029203955E-2</c:v>
                </c:pt>
                <c:pt idx="77" formatCode="0.00%">
                  <c:v>5.8553923861191653E-2</c:v>
                </c:pt>
                <c:pt idx="78" formatCode="0.00%">
                  <c:v>4.0619668956613952E-2</c:v>
                </c:pt>
                <c:pt idx="79" formatCode="0.00%">
                  <c:v>4.9321768016978872E-2</c:v>
                </c:pt>
                <c:pt idx="80" formatCode="0.00%">
                  <c:v>3.8388065132356958E-2</c:v>
                </c:pt>
                <c:pt idx="81" formatCode="0.00%">
                  <c:v>6.0115819468701169E-2</c:v>
                </c:pt>
                <c:pt idx="82" formatCode="0.00%">
                  <c:v>7.6869419642857137E-2</c:v>
                </c:pt>
                <c:pt idx="83" formatCode="0.00%">
                  <c:v>7.0263085525712712E-2</c:v>
                </c:pt>
                <c:pt idx="84" formatCode="0.00%">
                  <c:v>4.3337438985447743E-2</c:v>
                </c:pt>
                <c:pt idx="85" formatCode="0.00%">
                  <c:v>5.1418760166275078E-2</c:v>
                </c:pt>
                <c:pt idx="86" formatCode="0.00%">
                  <c:v>4.4896858568154244E-2</c:v>
                </c:pt>
                <c:pt idx="87" formatCode="0.00%">
                  <c:v>4.8628819397843692E-2</c:v>
                </c:pt>
                <c:pt idx="88" formatCode="0.00%">
                  <c:v>4.7423783205562488E-2</c:v>
                </c:pt>
                <c:pt idx="89" formatCode="0.00%">
                  <c:v>4.0293363965715298E-2</c:v>
                </c:pt>
                <c:pt idx="90" formatCode="0.00%">
                  <c:v>4.1559592379264508E-2</c:v>
                </c:pt>
                <c:pt idx="91" formatCode="0.00%">
                  <c:v>4.0495976784065427E-2</c:v>
                </c:pt>
                <c:pt idx="92" formatCode="0.00%">
                  <c:v>4.4064826982041172E-2</c:v>
                </c:pt>
                <c:pt idx="93" formatCode="0.00%">
                  <c:v>5.1981271135003899E-2</c:v>
                </c:pt>
                <c:pt idx="94" formatCode="0.00%">
                  <c:v>5.4583927106274563E-2</c:v>
                </c:pt>
                <c:pt idx="95" formatCode="0.00%">
                  <c:v>4.39809858250182E-2</c:v>
                </c:pt>
                <c:pt idx="96" formatCode="0.00%">
                  <c:v>7.5947706702811424E-2</c:v>
                </c:pt>
                <c:pt idx="97" formatCode="0.00%">
                  <c:v>6.9488611946712506E-2</c:v>
                </c:pt>
                <c:pt idx="98" formatCode="0.00%">
                  <c:v>9.1053763440860219E-2</c:v>
                </c:pt>
                <c:pt idx="99" formatCode="0.00%">
                  <c:v>7.5725255972696248E-2</c:v>
                </c:pt>
                <c:pt idx="100" formatCode="0.00%">
                  <c:v>7.2042553191489361E-2</c:v>
                </c:pt>
                <c:pt idx="101" formatCode="0.00%">
                  <c:v>7.2878620572496389E-2</c:v>
                </c:pt>
                <c:pt idx="102" formatCode="0.00%">
                  <c:v>8.2780330100391361E-2</c:v>
                </c:pt>
                <c:pt idx="103" formatCode="0.00%">
                  <c:v>7.0909398242055444E-2</c:v>
                </c:pt>
                <c:pt idx="104" formatCode="0.00%">
                  <c:v>7.8662527269676125E-2</c:v>
                </c:pt>
                <c:pt idx="105" formatCode="0.00%">
                  <c:v>5.9385946837008034E-2</c:v>
                </c:pt>
                <c:pt idx="106" formatCode="0.00%">
                  <c:v>5.2291060972114167E-2</c:v>
                </c:pt>
                <c:pt idx="107" formatCode="0.00%">
                  <c:v>3.0970547214701782E-2</c:v>
                </c:pt>
                <c:pt idx="108" formatCode="0.00%">
                  <c:v>6.3881664499349802E-2</c:v>
                </c:pt>
                <c:pt idx="109" formatCode="0.00%">
                  <c:v>4.7494675935227229E-2</c:v>
                </c:pt>
                <c:pt idx="110" formatCode="0.00%">
                  <c:v>2.9763078014743566E-2</c:v>
                </c:pt>
                <c:pt idx="111" formatCode="0.00%">
                  <c:v>3.2916914534999009E-2</c:v>
                </c:pt>
                <c:pt idx="112" formatCode="0.00%">
                  <c:v>4.3067518755209783E-2</c:v>
                </c:pt>
                <c:pt idx="113" formatCode="0.00%">
                  <c:v>4.4216609927955029E-2</c:v>
                </c:pt>
                <c:pt idx="114" formatCode="0.00%">
                  <c:v>4.1368743615934629E-2</c:v>
                </c:pt>
                <c:pt idx="115" formatCode="0.00%">
                  <c:v>5.962433904190672E-2</c:v>
                </c:pt>
                <c:pt idx="116" formatCode="0.00%">
                  <c:v>2.053595737233091E-2</c:v>
                </c:pt>
                <c:pt idx="117" formatCode="0.00%">
                  <c:v>3.2482688866412514E-2</c:v>
                </c:pt>
                <c:pt idx="118" formatCode="0.00%">
                  <c:v>3.4983267180325316E-2</c:v>
                </c:pt>
                <c:pt idx="119" formatCode="0.00%">
                  <c:v>8.0491783710659293E-2</c:v>
                </c:pt>
                <c:pt idx="120" formatCode="0.00%">
                  <c:v>3.8999236058059585E-2</c:v>
                </c:pt>
                <c:pt idx="121" formatCode="0.00%">
                  <c:v>5.0443054969504006E-2</c:v>
                </c:pt>
                <c:pt idx="122" formatCode="0.00%">
                  <c:v>4.1382742515886993E-2</c:v>
                </c:pt>
                <c:pt idx="123" formatCode="0.00%">
                  <c:v>5.5864849299289691E-2</c:v>
                </c:pt>
                <c:pt idx="124" formatCode="0.00%">
                  <c:v>4.1860111119567701E-2</c:v>
                </c:pt>
                <c:pt idx="125" formatCode="0.00%">
                  <c:v>4.5756093862542174E-2</c:v>
                </c:pt>
                <c:pt idx="126" formatCode="0.00%">
                  <c:v>4.1838005055268419E-2</c:v>
                </c:pt>
                <c:pt idx="127" formatCode="0.00%">
                  <c:v>2.8078799389267495E-2</c:v>
                </c:pt>
                <c:pt idx="128" formatCode="0.00%">
                  <c:v>5.8881817142421584E-2</c:v>
                </c:pt>
                <c:pt idx="129" formatCode="0.00%">
                  <c:v>4.0767115029576882E-2</c:v>
                </c:pt>
                <c:pt idx="130" formatCode="0.00%">
                  <c:v>4.9592059254803172E-2</c:v>
                </c:pt>
                <c:pt idx="131" formatCode="0.00%">
                  <c:v>3.1705700397702166E-2</c:v>
                </c:pt>
                <c:pt idx="132" formatCode="0.00%">
                  <c:v>3.0035660453659793E-2</c:v>
                </c:pt>
                <c:pt idx="133" formatCode="0.00%">
                  <c:v>2.1728016359918199E-2</c:v>
                </c:pt>
                <c:pt idx="134" formatCode="0.00%">
                  <c:v>4.786236812116311E-2</c:v>
                </c:pt>
                <c:pt idx="135" formatCode="0.00%">
                  <c:v>3.2836363636363636E-2</c:v>
                </c:pt>
                <c:pt idx="136" formatCode="0.00%">
                  <c:v>6.0997881510702026E-2</c:v>
                </c:pt>
                <c:pt idx="137" formatCode="0.00%">
                  <c:v>5.9595446965852242E-2</c:v>
                </c:pt>
                <c:pt idx="138" formatCode="0.00%">
                  <c:v>6.441917728852839E-2</c:v>
                </c:pt>
                <c:pt idx="139" formatCode="0.00%">
                  <c:v>8.1030173506719316E-2</c:v>
                </c:pt>
                <c:pt idx="140" formatCode="0.00%">
                  <c:v>6.1870141088396197E-2</c:v>
                </c:pt>
                <c:pt idx="141" formatCode="0.00%">
                  <c:v>8.7680556058357173E-2</c:v>
                </c:pt>
                <c:pt idx="142" formatCode="0.00%">
                  <c:v>8.2855709987104176E-2</c:v>
                </c:pt>
                <c:pt idx="143" formatCode="0.00%">
                  <c:v>6.3461469821893851E-2</c:v>
                </c:pt>
                <c:pt idx="144" formatCode="0.00%">
                  <c:v>8.2910985794846168E-2</c:v>
                </c:pt>
                <c:pt idx="145" formatCode="0.00%">
                  <c:v>8.8709389184745704E-2</c:v>
                </c:pt>
                <c:pt idx="146" formatCode="0.00%">
                  <c:v>7.7109279073846695E-2</c:v>
                </c:pt>
                <c:pt idx="147" formatCode="0.00%">
                  <c:v>7.5942682111044602E-2</c:v>
                </c:pt>
                <c:pt idx="148" formatCode="0.00%">
                  <c:v>5.7284494629578631E-2</c:v>
                </c:pt>
                <c:pt idx="149" formatCode="0.00%">
                  <c:v>5.45672254533014E-2</c:v>
                </c:pt>
                <c:pt idx="150" formatCode="0.00%">
                  <c:v>6.1098826331008674E-2</c:v>
                </c:pt>
                <c:pt idx="151" formatCode="0.00%">
                  <c:v>3.9941026672027875E-2</c:v>
                </c:pt>
                <c:pt idx="152" formatCode="0.00%">
                  <c:v>6.531539165508593E-2</c:v>
                </c:pt>
                <c:pt idx="153" formatCode="0.00%">
                  <c:v>5.2587784989182894E-2</c:v>
                </c:pt>
                <c:pt idx="154" formatCode="0.00%">
                  <c:v>4.7305567501405937E-2</c:v>
                </c:pt>
                <c:pt idx="155" formatCode="0.00%">
                  <c:v>7.7731162946803156E-2</c:v>
                </c:pt>
                <c:pt idx="156" formatCode="0.00%">
                  <c:v>5.4678487854718037E-2</c:v>
                </c:pt>
                <c:pt idx="157" formatCode="0.00%">
                  <c:v>6.5920357178030922E-2</c:v>
                </c:pt>
                <c:pt idx="158" formatCode="0.00%">
                  <c:v>5.1135068234374491E-2</c:v>
                </c:pt>
                <c:pt idx="159" formatCode="0.00%">
                  <c:v>7.405104712041885E-2</c:v>
                </c:pt>
                <c:pt idx="160" formatCode="0.00%">
                  <c:v>6.6228184423026831E-2</c:v>
                </c:pt>
                <c:pt idx="161" formatCode="0.00%">
                  <c:v>7.085158150851581E-2</c:v>
                </c:pt>
                <c:pt idx="162" formatCode="0.00%">
                  <c:v>5.9792888974383639E-2</c:v>
                </c:pt>
                <c:pt idx="163" formatCode="0.00%">
                  <c:v>7.1690939554066246E-2</c:v>
                </c:pt>
                <c:pt idx="164" formatCode="0.00%">
                  <c:v>5.8956411072223991E-2</c:v>
                </c:pt>
                <c:pt idx="165" formatCode="0.00%">
                  <c:v>6.30197628458498E-2</c:v>
                </c:pt>
                <c:pt idx="166" formatCode="0.00%">
                  <c:v>7.4639123156132539E-2</c:v>
                </c:pt>
                <c:pt idx="167" formatCode="0.00%">
                  <c:v>5.6709538787331447E-2</c:v>
                </c:pt>
                <c:pt idx="168" formatCode="0.00%">
                  <c:v>9.3218750000000003E-2</c:v>
                </c:pt>
                <c:pt idx="169" formatCode="0.00%">
                  <c:v>6.3629923927438478E-2</c:v>
                </c:pt>
                <c:pt idx="170" formatCode="0.00%">
                  <c:v>7.8176804139683323E-2</c:v>
                </c:pt>
                <c:pt idx="171" formatCode="0.00%">
                  <c:v>6.2121073637388419E-2</c:v>
                </c:pt>
                <c:pt idx="172" formatCode="0.00%">
                  <c:v>6.6084407255848049E-2</c:v>
                </c:pt>
                <c:pt idx="173" formatCode="0.00%">
                  <c:v>5.1076979005725713E-2</c:v>
                </c:pt>
                <c:pt idx="174" formatCode="0.00%">
                  <c:v>5.2819457889641819E-2</c:v>
                </c:pt>
                <c:pt idx="175" formatCode="0.00%">
                  <c:v>6.3317398755299001E-2</c:v>
                </c:pt>
                <c:pt idx="176" formatCode="0.00%">
                  <c:v>7.3370789892738028E-2</c:v>
                </c:pt>
                <c:pt idx="177" formatCode="0.00%">
                  <c:v>6.4429769766196687E-2</c:v>
                </c:pt>
                <c:pt idx="178" formatCode="0.00%">
                  <c:v>5.5875609899476812E-2</c:v>
                </c:pt>
                <c:pt idx="179" formatCode="0.00%">
                  <c:v>8.6909112342331729E-2</c:v>
                </c:pt>
                <c:pt idx="180" formatCode="0.00%">
                  <c:v>4.1505874281794017E-2</c:v>
                </c:pt>
                <c:pt idx="181" formatCode="0.00%">
                  <c:v>4.3955407557550313E-2</c:v>
                </c:pt>
                <c:pt idx="182" formatCode="0.00%">
                  <c:v>5.1241522014024599E-2</c:v>
                </c:pt>
                <c:pt idx="183" formatCode="0.00%">
                  <c:v>5.0628191153691701E-2</c:v>
                </c:pt>
                <c:pt idx="184" formatCode="0.00%">
                  <c:v>5.219134918361501E-2</c:v>
                </c:pt>
                <c:pt idx="185" formatCode="0.00%">
                  <c:v>6.8684248450785412E-2</c:v>
                </c:pt>
                <c:pt idx="186" formatCode="0.00%">
                  <c:v>7.0972932590081028E-2</c:v>
                </c:pt>
                <c:pt idx="187" formatCode="0.00%">
                  <c:v>5.1516950829869651E-2</c:v>
                </c:pt>
                <c:pt idx="188" formatCode="0.00%">
                  <c:v>4.7641707487753676E-2</c:v>
                </c:pt>
                <c:pt idx="189" formatCode="0.00%">
                  <c:v>5.519226469930695E-2</c:v>
                </c:pt>
                <c:pt idx="190" formatCode="0.00%">
                  <c:v>5.0218522951869279E-2</c:v>
                </c:pt>
                <c:pt idx="191" formatCode="0.00%">
                  <c:v>3.3296277215910629E-2</c:v>
                </c:pt>
                <c:pt idx="192" formatCode="0.00%">
                  <c:v>3.8122684232194316E-2</c:v>
                </c:pt>
                <c:pt idx="193" formatCode="0.00%">
                  <c:v>3.3173383629656342E-2</c:v>
                </c:pt>
                <c:pt idx="194" formatCode="0.00%">
                  <c:v>2.6599961726673775E-2</c:v>
                </c:pt>
                <c:pt idx="195" formatCode="0.00%">
                  <c:v>3.0087094220110848E-2</c:v>
                </c:pt>
                <c:pt idx="196" formatCode="0.00%">
                  <c:v>3.6943264728302297E-2</c:v>
                </c:pt>
                <c:pt idx="197" formatCode="0.00%">
                  <c:v>2.875020227628243E-2</c:v>
                </c:pt>
                <c:pt idx="198" formatCode="0.00%">
                  <c:v>2.6695642841811546E-2</c:v>
                </c:pt>
                <c:pt idx="199" formatCode="0.00%">
                  <c:v>2.8234155260964264E-2</c:v>
                </c:pt>
                <c:pt idx="200" formatCode="0.00%">
                  <c:v>2.5623213188339967E-2</c:v>
                </c:pt>
                <c:pt idx="201" formatCode="0.00%">
                  <c:v>9.560634550703143E-3</c:v>
                </c:pt>
                <c:pt idx="202" formatCode="0.00%">
                  <c:v>7.713308770906778E-3</c:v>
                </c:pt>
                <c:pt idx="203" formatCode="0.00%">
                  <c:v>-1.1283423863129444E-3</c:v>
                </c:pt>
                <c:pt idx="204" formatCode="0.00%">
                  <c:v>1.1421319796954314E-2</c:v>
                </c:pt>
                <c:pt idx="205" formatCode="0.00%">
                  <c:v>1.868506537088244E-2</c:v>
                </c:pt>
                <c:pt idx="206" formatCode="0.00%">
                  <c:v>-2.7961227098423518E-3</c:v>
                </c:pt>
                <c:pt idx="207" formatCode="0.00%">
                  <c:v>2.3854329560815289E-4</c:v>
                </c:pt>
                <c:pt idx="208" formatCode="0.00%">
                  <c:v>-8.7689359132557959E-3</c:v>
                </c:pt>
                <c:pt idx="209" formatCode="0.00%">
                  <c:v>-1.1273070469798658E-2</c:v>
                </c:pt>
                <c:pt idx="210" formatCode="0.00%">
                  <c:v>-1.4424961455039591E-2</c:v>
                </c:pt>
                <c:pt idx="211" formatCode="0.00%">
                  <c:v>-1.5533879024033055E-2</c:v>
                </c:pt>
                <c:pt idx="212" formatCode="0.00%">
                  <c:v>-2.3758662012191945E-2</c:v>
                </c:pt>
                <c:pt idx="213" formatCode="0.00%">
                  <c:v>-1.6264428121720881E-2</c:v>
                </c:pt>
                <c:pt idx="214" formatCode="0.00%">
                  <c:v>-8.3644589405018673E-3</c:v>
                </c:pt>
                <c:pt idx="215" formatCode="0.00%">
                  <c:v>-1.0691956076288551E-2</c:v>
                </c:pt>
                <c:pt idx="216" formatCode="0.00%">
                  <c:v>-1.5579255541614387E-2</c:v>
                </c:pt>
                <c:pt idx="217" formatCode="0.00%">
                  <c:v>8.4859665305046777E-3</c:v>
                </c:pt>
                <c:pt idx="218" formatCode="0.00%">
                  <c:v>2.4808395866157504E-2</c:v>
                </c:pt>
                <c:pt idx="219" formatCode="0.00%">
                  <c:v>2.4378610419206106E-2</c:v>
                </c:pt>
                <c:pt idx="220" formatCode="0.00%">
                  <c:v>2.4897364587471858E-2</c:v>
                </c:pt>
                <c:pt idx="221" formatCode="0.00%">
                  <c:v>2.9803256085273372E-2</c:v>
                </c:pt>
                <c:pt idx="222" formatCode="0.00%">
                  <c:v>3.4946307835078884E-2</c:v>
                </c:pt>
                <c:pt idx="223" formatCode="0.00%">
                  <c:v>4.6672864922300439E-2</c:v>
                </c:pt>
                <c:pt idx="224" formatCode="0.00%">
                  <c:v>5.0995356780701287E-2</c:v>
                </c:pt>
                <c:pt idx="225" formatCode="0.00%">
                  <c:v>5.1733333333333333E-2</c:v>
                </c:pt>
                <c:pt idx="226" formatCode="0.00%">
                  <c:v>5.3315649867374006E-2</c:v>
                </c:pt>
                <c:pt idx="227" formatCode="0.00%">
                  <c:v>4.9098489072997159E-2</c:v>
                </c:pt>
                <c:pt idx="228" formatCode="0.00%">
                  <c:v>5.4168879447689854E-2</c:v>
                </c:pt>
                <c:pt idx="229" formatCode="0.00%">
                  <c:v>5.5269553401102775E-2</c:v>
                </c:pt>
                <c:pt idx="230" formatCode="0.00%">
                  <c:v>5.7301438398999371E-2</c:v>
                </c:pt>
                <c:pt idx="231" formatCode="0.00%">
                  <c:v>5.085622639557142E-2</c:v>
                </c:pt>
                <c:pt idx="232" formatCode="0.00%">
                  <c:v>6.0860576301847782E-2</c:v>
                </c:pt>
                <c:pt idx="233" formatCode="0.00%">
                  <c:v>6.9571038673464133E-2</c:v>
                </c:pt>
                <c:pt idx="234" formatCode="0.00%">
                  <c:v>6.3612840417082983E-2</c:v>
                </c:pt>
                <c:pt idx="235" formatCode="0.00%">
                  <c:v>5.877874219582762E-2</c:v>
                </c:pt>
                <c:pt idx="236" formatCode="0.00%">
                  <c:v>6.672591087977657E-2</c:v>
                </c:pt>
                <c:pt idx="237" formatCode="0.00%">
                  <c:v>6.9016227180527384E-2</c:v>
                </c:pt>
                <c:pt idx="238" formatCode="0.00%">
                  <c:v>6.363636363636363E-2</c:v>
                </c:pt>
                <c:pt idx="239" formatCode="0.00%">
                  <c:v>5.9633491950997264E-2</c:v>
                </c:pt>
                <c:pt idx="240" formatCode="0.00%">
                  <c:v>7.9546599496221657E-2</c:v>
                </c:pt>
                <c:pt idx="241" formatCode="0.00%">
                  <c:v>6.3592689812292602E-2</c:v>
                </c:pt>
                <c:pt idx="242" formatCode="0.00%">
                  <c:v>5.833641404805915E-2</c:v>
                </c:pt>
                <c:pt idx="243" formatCode="0.00%">
                  <c:v>6.7472430090586843E-2</c:v>
                </c:pt>
                <c:pt idx="244" formatCode="0.00%">
                  <c:v>5.5127892813641902E-2</c:v>
                </c:pt>
                <c:pt idx="245" formatCode="0.00%">
                  <c:v>4.8194511314395762E-2</c:v>
                </c:pt>
                <c:pt idx="246" formatCode="0.00%">
                  <c:v>5.2028133731573369E-2</c:v>
                </c:pt>
                <c:pt idx="247" formatCode="0.00%">
                  <c:v>4.7797113955606693E-2</c:v>
                </c:pt>
                <c:pt idx="248" formatCode="0.00%">
                  <c:v>4.9318068216980461E-2</c:v>
                </c:pt>
                <c:pt idx="249" formatCode="0.00%">
                  <c:v>3.6668089749063139E-2</c:v>
                </c:pt>
                <c:pt idx="250" formatCode="0.00%">
                  <c:v>5.4052134384544356E-2</c:v>
                </c:pt>
                <c:pt idx="251" formatCode="0.00%">
                  <c:v>6.3873495127078156E-2</c:v>
                </c:pt>
                <c:pt idx="252" formatCode="0.00%">
                  <c:v>5.3385598954687571E-2</c:v>
                </c:pt>
                <c:pt idx="253" formatCode="0.00%">
                  <c:v>4.4656577415599537E-2</c:v>
                </c:pt>
                <c:pt idx="254" formatCode="0.00%">
                  <c:v>4.8181267756508779E-2</c:v>
                </c:pt>
                <c:pt idx="255" formatCode="0.00%">
                  <c:v>3.1315577078288942E-2</c:v>
                </c:pt>
                <c:pt idx="256" formatCode="0.00%">
                  <c:v>3.470089811373029E-2</c:v>
                </c:pt>
                <c:pt idx="257" formatCode="0.00%">
                  <c:v>2.661797804418722E-2</c:v>
                </c:pt>
                <c:pt idx="258" formatCode="0.00%">
                  <c:v>3.1458924809964282E-2</c:v>
                </c:pt>
                <c:pt idx="259" formatCode="0.00%">
                  <c:v>3.3011530014641285E-2</c:v>
                </c:pt>
                <c:pt idx="260" formatCode="0.00%">
                  <c:v>2.855846659861631E-2</c:v>
                </c:pt>
                <c:pt idx="261" formatCode="0.00%">
                  <c:v>5.0974649949665968E-2</c:v>
                </c:pt>
                <c:pt idx="262" formatCode="0.00%">
                  <c:v>4.9955076370170708E-2</c:v>
                </c:pt>
                <c:pt idx="263" formatCode="0.00%">
                  <c:v>4.0235304683640935E-2</c:v>
                </c:pt>
                <c:pt idx="264" formatCode="0.00%">
                  <c:v>1.7011473884729546E-2</c:v>
                </c:pt>
                <c:pt idx="265" formatCode="0.00%">
                  <c:v>3.4679504323794241E-2</c:v>
                </c:pt>
                <c:pt idx="266" formatCode="0.00%">
                  <c:v>4.5455555308702315E-2</c:v>
                </c:pt>
                <c:pt idx="267" formatCode="0.00%">
                  <c:v>5.3976701026317554E-2</c:v>
                </c:pt>
                <c:pt idx="268" formatCode="0.00%">
                  <c:v>6.0781863620135664E-2</c:v>
                </c:pt>
                <c:pt idx="269" formatCode="0.00%">
                  <c:v>6.731393033712893E-2</c:v>
                </c:pt>
                <c:pt idx="270" formatCode="0.00%">
                  <c:v>6.7325194228634852E-2</c:v>
                </c:pt>
                <c:pt idx="271" formatCode="0.00%">
                  <c:v>7.1309932454877642E-2</c:v>
                </c:pt>
                <c:pt idx="272" formatCode="0.00%">
                  <c:v>8.0231122088920248E-2</c:v>
                </c:pt>
                <c:pt idx="273" formatCode="0.00%">
                  <c:v>8.1025774991292238E-2</c:v>
                </c:pt>
                <c:pt idx="274" formatCode="0.00%">
                  <c:v>6.3901249358206402E-2</c:v>
                </c:pt>
                <c:pt idx="275" formatCode="0.00%">
                  <c:v>9.0179149579106416E-2</c:v>
                </c:pt>
                <c:pt idx="276" formatCode="0.00%">
                  <c:v>0.10715685847453936</c:v>
                </c:pt>
                <c:pt idx="277" formatCode="0.00%">
                  <c:v>9.1892124763053598E-2</c:v>
                </c:pt>
                <c:pt idx="278" formatCode="0.00%">
                  <c:v>8.5215802112331859E-2</c:v>
                </c:pt>
                <c:pt idx="279" formatCode="0.00%">
                  <c:v>9.7630311644780116E-2</c:v>
                </c:pt>
                <c:pt idx="280" formatCode="0.00%">
                  <c:v>8.9840134623474968E-2</c:v>
                </c:pt>
                <c:pt idx="281" formatCode="0.00%">
                  <c:v>8.7382100188639691E-2</c:v>
                </c:pt>
                <c:pt idx="282" formatCode="0.00%">
                  <c:v>8.4728490318823707E-2</c:v>
                </c:pt>
                <c:pt idx="283" formatCode="0.00%">
                  <c:v>8.3534883720930236E-2</c:v>
                </c:pt>
                <c:pt idx="284" formatCode="0.00%">
                  <c:v>6.9515332162835328E-2</c:v>
                </c:pt>
                <c:pt idx="285" formatCode="0.00%">
                  <c:v>6.2447138426839584E-2</c:v>
                </c:pt>
                <c:pt idx="286" formatCode="0.00%">
                  <c:v>6.3340773360680461E-2</c:v>
                </c:pt>
                <c:pt idx="287" formatCode="0.00%">
                  <c:v>6.3989862992001267E-2</c:v>
                </c:pt>
                <c:pt idx="288" formatCode="0.00%">
                  <c:v>4.3494511547389543E-2</c:v>
                </c:pt>
                <c:pt idx="289" formatCode="0.00%">
                  <c:v>6.9974353915959756E-2</c:v>
                </c:pt>
                <c:pt idx="290" formatCode="0.00%">
                  <c:v>5.584819942428574E-2</c:v>
                </c:pt>
                <c:pt idx="291" formatCode="0.00%">
                  <c:v>4.8338777324648717E-2</c:v>
                </c:pt>
                <c:pt idx="292" formatCode="0.00%">
                  <c:v>4.8039991507594915E-2</c:v>
                </c:pt>
                <c:pt idx="293" formatCode="0.00%">
                  <c:v>4.6589178665741436E-2</c:v>
                </c:pt>
                <c:pt idx="294" formatCode="0.00%">
                  <c:v>4.1662672316275857E-2</c:v>
                </c:pt>
                <c:pt idx="295" formatCode="0.00%">
                  <c:v>4.5539529914529912E-2</c:v>
                </c:pt>
                <c:pt idx="296" formatCode="0.00%">
                  <c:v>5.6865252829900549E-2</c:v>
                </c:pt>
                <c:pt idx="297" formatCode="0.00%">
                  <c:v>4.9583957239523115E-2</c:v>
                </c:pt>
                <c:pt idx="298" formatCode="0.00%">
                  <c:v>6.5524479491688881E-2</c:v>
                </c:pt>
                <c:pt idx="299" formatCode="0.00%">
                  <c:v>3.1838481577967995E-2</c:v>
                </c:pt>
                <c:pt idx="300" formatCode="0.00%">
                  <c:v>8.2156659440098034E-2</c:v>
                </c:pt>
                <c:pt idx="301" formatCode="0.00%">
                  <c:v>6.0014381326400794E-2</c:v>
                </c:pt>
                <c:pt idx="302" formatCode="0.00%">
                  <c:v>6.4170329568426721E-2</c:v>
                </c:pt>
                <c:pt idx="303" formatCode="0.00%">
                  <c:v>5.9623893805309733E-2</c:v>
                </c:pt>
                <c:pt idx="304" formatCode="0.00%">
                  <c:v>5.8379373848987108E-2</c:v>
                </c:pt>
                <c:pt idx="305" formatCode="0.00%">
                  <c:v>5.46449093855901E-2</c:v>
                </c:pt>
                <c:pt idx="306" formatCode="0.00%">
                  <c:v>5.3101417264862873E-2</c:v>
                </c:pt>
                <c:pt idx="307" formatCode="0.00%">
                  <c:v>4.9650566574822544E-2</c:v>
                </c:pt>
                <c:pt idx="308" formatCode="0.00%">
                  <c:v>4.5479174944912042E-2</c:v>
                </c:pt>
                <c:pt idx="309" formatCode="0.00%">
                  <c:v>4.9679458239277649E-2</c:v>
                </c:pt>
                <c:pt idx="310" formatCode="0.00%">
                  <c:v>4.4421964292052675E-2</c:v>
                </c:pt>
                <c:pt idx="311" formatCode="0.00%">
                  <c:v>6.6148491460929465E-2</c:v>
                </c:pt>
                <c:pt idx="312" formatCode="0.00%">
                  <c:v>3.3813563751023464E-2</c:v>
                </c:pt>
                <c:pt idx="313" formatCode="0.00%">
                  <c:v>3.7587838307938493E-2</c:v>
                </c:pt>
                <c:pt idx="314" formatCode="0.00%">
                  <c:v>4.8136077659073878E-2</c:v>
                </c:pt>
                <c:pt idx="315" formatCode="0.00%">
                  <c:v>3.3771792462678779E-2</c:v>
                </c:pt>
                <c:pt idx="316" formatCode="0.00%">
                  <c:v>5.6603445275796069E-2</c:v>
                </c:pt>
                <c:pt idx="317" formatCode="0.00%">
                  <c:v>7.2944134956254472E-2</c:v>
                </c:pt>
                <c:pt idx="318" formatCode="0.00%">
                  <c:v>8.8158699641702351E-2</c:v>
                </c:pt>
                <c:pt idx="319" formatCode="0.00%">
                  <c:v>8.8849871358041857E-2</c:v>
                </c:pt>
                <c:pt idx="320" formatCode="0.00%">
                  <c:v>6.0344827586206899E-2</c:v>
                </c:pt>
                <c:pt idx="321" formatCode="0.00%">
                  <c:v>6.6166603585314662E-2</c:v>
                </c:pt>
                <c:pt idx="322" formatCode="0.00%">
                  <c:v>4.8972794779860322E-2</c:v>
                </c:pt>
                <c:pt idx="323" formatCode="0.00%">
                  <c:v>4.5180060555828072E-2</c:v>
                </c:pt>
                <c:pt idx="324" formatCode="0.00%">
                  <c:v>4.4301024534915072E-2</c:v>
                </c:pt>
                <c:pt idx="325" formatCode="0.00%">
                  <c:v>4.9922049184450069E-2</c:v>
                </c:pt>
                <c:pt idx="326" formatCode="0.00%">
                  <c:v>5.0082306579538084E-2</c:v>
                </c:pt>
                <c:pt idx="327" formatCode="0.00%">
                  <c:v>7.0722881427249015E-2</c:v>
                </c:pt>
                <c:pt idx="328" formatCode="0.00%">
                  <c:v>5.9203267295752843E-2</c:v>
                </c:pt>
                <c:pt idx="329" formatCode="0.00%">
                  <c:v>5.768229166666667E-2</c:v>
                </c:pt>
                <c:pt idx="330" formatCode="0.00%">
                  <c:v>5.101270499044315E-2</c:v>
                </c:pt>
                <c:pt idx="331" formatCode="0.00%">
                  <c:v>4.3074958090524466E-2</c:v>
                </c:pt>
                <c:pt idx="332" formatCode="0.00%">
                  <c:v>7.1345943920361046E-2</c:v>
                </c:pt>
                <c:pt idx="333" formatCode="0.00%">
                  <c:v>5.8994384560769379E-2</c:v>
                </c:pt>
                <c:pt idx="334" formatCode="0.00%">
                  <c:v>5.5336864784306106E-2</c:v>
                </c:pt>
                <c:pt idx="335" formatCode="0.00%">
                  <c:v>6.5010519501537467E-2</c:v>
                </c:pt>
                <c:pt idx="336" formatCode="0.00%">
                  <c:v>7.0530714988785437E-2</c:v>
                </c:pt>
                <c:pt idx="337" formatCode="0.00%">
                  <c:v>5.6984560361482334E-2</c:v>
                </c:pt>
                <c:pt idx="338" formatCode="0.00%">
                  <c:v>-0.26961506183395878</c:v>
                </c:pt>
                <c:pt idx="339" formatCode="0.00%">
                  <c:v>-0.52957542795164814</c:v>
                </c:pt>
                <c:pt idx="340" formatCode="0.00%">
                  <c:v>-0.38331415777853789</c:v>
                </c:pt>
                <c:pt idx="341" formatCode="0.00%">
                  <c:v>-0.22343961590545364</c:v>
                </c:pt>
                <c:pt idx="342" formatCode="0.00%">
                  <c:v>-0.20204783372812715</c:v>
                </c:pt>
                <c:pt idx="343" formatCode="0.00%">
                  <c:v>-0.1649243108383206</c:v>
                </c:pt>
              </c:numCache>
            </c:numRef>
          </c:val>
          <c:smooth val="0"/>
          <c:extLst>
            <c:ext xmlns:c16="http://schemas.microsoft.com/office/drawing/2014/chart" uri="{C3380CC4-5D6E-409C-BE32-E72D297353CC}">
              <c16:uniqueId val="{00000002-062C-44DE-B24D-F7A6707B96BE}"/>
            </c:ext>
          </c:extLst>
        </c:ser>
        <c:dLbls>
          <c:showLegendKey val="0"/>
          <c:showVal val="0"/>
          <c:showCatName val="0"/>
          <c:showSerName val="0"/>
          <c:showPercent val="0"/>
          <c:showBubbleSize val="0"/>
        </c:dLbls>
        <c:smooth val="0"/>
        <c:axId val="1585895695"/>
        <c:axId val="1585895367"/>
      </c:lineChart>
      <c:dateAx>
        <c:axId val="1585895695"/>
        <c:scaling>
          <c:orientation val="minMax"/>
        </c:scaling>
        <c:delete val="0"/>
        <c:axPos val="b"/>
        <c:numFmt formatCode="[$-409]mmm\-yy;@" sourceLinked="1"/>
        <c:majorTickMark val="out"/>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85895367"/>
        <c:crosses val="autoZero"/>
        <c:auto val="1"/>
        <c:lblOffset val="100"/>
        <c:baseTimeUnit val="months"/>
      </c:dateAx>
      <c:valAx>
        <c:axId val="1585895367"/>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85895695"/>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t>Gasoline Stations, Millions of Dollars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'Gas Station'!$B$6</c:f>
              <c:strCache>
                <c:ptCount val="1"/>
                <c:pt idx="0">
                  <c:v>Gasoline Stations, Millions of Dollars</c:v>
                </c:pt>
              </c:strCache>
            </c:strRef>
          </c:tx>
          <c:spPr>
            <a:ln w="28575" cap="rnd">
              <a:solidFill>
                <a:schemeClr val="accent1"/>
              </a:solidFill>
              <a:round/>
            </a:ln>
            <a:effectLst/>
          </c:spPr>
          <c:marker>
            <c:symbol val="none"/>
          </c:marker>
          <c:cat>
            <c:numRef>
              <c:f>'Gas Station'!$A$7:$A$350</c:f>
              <c:numCache>
                <c:formatCode>[$-409]mmm\-yy;@</c:formatCode>
                <c:ptCount val="344"/>
                <c:pt idx="0">
                  <c:v>33604</c:v>
                </c:pt>
                <c:pt idx="1">
                  <c:v>33635</c:v>
                </c:pt>
                <c:pt idx="2">
                  <c:v>33664</c:v>
                </c:pt>
                <c:pt idx="3">
                  <c:v>33695</c:v>
                </c:pt>
                <c:pt idx="4">
                  <c:v>33725</c:v>
                </c:pt>
                <c:pt idx="5">
                  <c:v>33756</c:v>
                </c:pt>
                <c:pt idx="6">
                  <c:v>33786</c:v>
                </c:pt>
                <c:pt idx="7">
                  <c:v>33817</c:v>
                </c:pt>
                <c:pt idx="8">
                  <c:v>33848</c:v>
                </c:pt>
                <c:pt idx="9">
                  <c:v>33878</c:v>
                </c:pt>
                <c:pt idx="10">
                  <c:v>33909</c:v>
                </c:pt>
                <c:pt idx="11">
                  <c:v>33939</c:v>
                </c:pt>
                <c:pt idx="12">
                  <c:v>33970</c:v>
                </c:pt>
                <c:pt idx="13">
                  <c:v>34001</c:v>
                </c:pt>
                <c:pt idx="14">
                  <c:v>34029</c:v>
                </c:pt>
                <c:pt idx="15">
                  <c:v>34060</c:v>
                </c:pt>
                <c:pt idx="16">
                  <c:v>34090</c:v>
                </c:pt>
                <c:pt idx="17">
                  <c:v>34121</c:v>
                </c:pt>
                <c:pt idx="18">
                  <c:v>34151</c:v>
                </c:pt>
                <c:pt idx="19">
                  <c:v>34182</c:v>
                </c:pt>
                <c:pt idx="20">
                  <c:v>34213</c:v>
                </c:pt>
                <c:pt idx="21">
                  <c:v>34243</c:v>
                </c:pt>
                <c:pt idx="22">
                  <c:v>34274</c:v>
                </c:pt>
                <c:pt idx="23">
                  <c:v>34304</c:v>
                </c:pt>
                <c:pt idx="24">
                  <c:v>34335</c:v>
                </c:pt>
                <c:pt idx="25">
                  <c:v>34366</c:v>
                </c:pt>
                <c:pt idx="26">
                  <c:v>34394</c:v>
                </c:pt>
                <c:pt idx="27">
                  <c:v>34425</c:v>
                </c:pt>
                <c:pt idx="28">
                  <c:v>34455</c:v>
                </c:pt>
                <c:pt idx="29">
                  <c:v>34486</c:v>
                </c:pt>
                <c:pt idx="30">
                  <c:v>34516</c:v>
                </c:pt>
                <c:pt idx="31">
                  <c:v>34547</c:v>
                </c:pt>
                <c:pt idx="32">
                  <c:v>34578</c:v>
                </c:pt>
                <c:pt idx="33">
                  <c:v>34608</c:v>
                </c:pt>
                <c:pt idx="34">
                  <c:v>34639</c:v>
                </c:pt>
                <c:pt idx="35">
                  <c:v>34669</c:v>
                </c:pt>
                <c:pt idx="36">
                  <c:v>34700</c:v>
                </c:pt>
                <c:pt idx="37">
                  <c:v>34731</c:v>
                </c:pt>
                <c:pt idx="38">
                  <c:v>34759</c:v>
                </c:pt>
                <c:pt idx="39">
                  <c:v>34790</c:v>
                </c:pt>
                <c:pt idx="40">
                  <c:v>34820</c:v>
                </c:pt>
                <c:pt idx="41">
                  <c:v>34851</c:v>
                </c:pt>
                <c:pt idx="42">
                  <c:v>34881</c:v>
                </c:pt>
                <c:pt idx="43">
                  <c:v>34912</c:v>
                </c:pt>
                <c:pt idx="44">
                  <c:v>34943</c:v>
                </c:pt>
                <c:pt idx="45">
                  <c:v>34973</c:v>
                </c:pt>
                <c:pt idx="46">
                  <c:v>35004</c:v>
                </c:pt>
                <c:pt idx="47">
                  <c:v>35034</c:v>
                </c:pt>
                <c:pt idx="48">
                  <c:v>35065</c:v>
                </c:pt>
                <c:pt idx="49">
                  <c:v>35096</c:v>
                </c:pt>
                <c:pt idx="50">
                  <c:v>35125</c:v>
                </c:pt>
                <c:pt idx="51">
                  <c:v>35156</c:v>
                </c:pt>
                <c:pt idx="52">
                  <c:v>35186</c:v>
                </c:pt>
                <c:pt idx="53">
                  <c:v>35217</c:v>
                </c:pt>
                <c:pt idx="54">
                  <c:v>35247</c:v>
                </c:pt>
                <c:pt idx="55">
                  <c:v>35278</c:v>
                </c:pt>
                <c:pt idx="56">
                  <c:v>35309</c:v>
                </c:pt>
                <c:pt idx="57">
                  <c:v>35339</c:v>
                </c:pt>
                <c:pt idx="58">
                  <c:v>35370</c:v>
                </c:pt>
                <c:pt idx="59">
                  <c:v>35400</c:v>
                </c:pt>
                <c:pt idx="60">
                  <c:v>35431</c:v>
                </c:pt>
                <c:pt idx="61">
                  <c:v>35462</c:v>
                </c:pt>
                <c:pt idx="62">
                  <c:v>35490</c:v>
                </c:pt>
                <c:pt idx="63">
                  <c:v>35521</c:v>
                </c:pt>
                <c:pt idx="64">
                  <c:v>35551</c:v>
                </c:pt>
                <c:pt idx="65">
                  <c:v>35582</c:v>
                </c:pt>
                <c:pt idx="66">
                  <c:v>35612</c:v>
                </c:pt>
                <c:pt idx="67">
                  <c:v>35643</c:v>
                </c:pt>
                <c:pt idx="68">
                  <c:v>35674</c:v>
                </c:pt>
                <c:pt idx="69">
                  <c:v>35704</c:v>
                </c:pt>
                <c:pt idx="70">
                  <c:v>35735</c:v>
                </c:pt>
                <c:pt idx="71">
                  <c:v>35765</c:v>
                </c:pt>
                <c:pt idx="72">
                  <c:v>35796</c:v>
                </c:pt>
                <c:pt idx="73">
                  <c:v>35827</c:v>
                </c:pt>
                <c:pt idx="74">
                  <c:v>35855</c:v>
                </c:pt>
                <c:pt idx="75">
                  <c:v>35886</c:v>
                </c:pt>
                <c:pt idx="76">
                  <c:v>35916</c:v>
                </c:pt>
                <c:pt idx="77">
                  <c:v>35947</c:v>
                </c:pt>
                <c:pt idx="78">
                  <c:v>35977</c:v>
                </c:pt>
                <c:pt idx="79">
                  <c:v>36008</c:v>
                </c:pt>
                <c:pt idx="80">
                  <c:v>36039</c:v>
                </c:pt>
                <c:pt idx="81">
                  <c:v>36069</c:v>
                </c:pt>
                <c:pt idx="82">
                  <c:v>36100</c:v>
                </c:pt>
                <c:pt idx="83">
                  <c:v>36130</c:v>
                </c:pt>
                <c:pt idx="84">
                  <c:v>36161</c:v>
                </c:pt>
                <c:pt idx="85">
                  <c:v>36192</c:v>
                </c:pt>
                <c:pt idx="86">
                  <c:v>36220</c:v>
                </c:pt>
                <c:pt idx="87">
                  <c:v>36251</c:v>
                </c:pt>
                <c:pt idx="88">
                  <c:v>36281</c:v>
                </c:pt>
                <c:pt idx="89">
                  <c:v>36312</c:v>
                </c:pt>
                <c:pt idx="90">
                  <c:v>36342</c:v>
                </c:pt>
                <c:pt idx="91">
                  <c:v>36373</c:v>
                </c:pt>
                <c:pt idx="92">
                  <c:v>36404</c:v>
                </c:pt>
                <c:pt idx="93">
                  <c:v>36434</c:v>
                </c:pt>
                <c:pt idx="94">
                  <c:v>36465</c:v>
                </c:pt>
                <c:pt idx="95">
                  <c:v>36495</c:v>
                </c:pt>
                <c:pt idx="96">
                  <c:v>36526</c:v>
                </c:pt>
                <c:pt idx="97">
                  <c:v>36557</c:v>
                </c:pt>
                <c:pt idx="98">
                  <c:v>36586</c:v>
                </c:pt>
                <c:pt idx="99">
                  <c:v>36617</c:v>
                </c:pt>
                <c:pt idx="100">
                  <c:v>36647</c:v>
                </c:pt>
                <c:pt idx="101">
                  <c:v>36678</c:v>
                </c:pt>
                <c:pt idx="102">
                  <c:v>36708</c:v>
                </c:pt>
                <c:pt idx="103">
                  <c:v>36739</c:v>
                </c:pt>
                <c:pt idx="104">
                  <c:v>36770</c:v>
                </c:pt>
                <c:pt idx="105">
                  <c:v>36800</c:v>
                </c:pt>
                <c:pt idx="106">
                  <c:v>36831</c:v>
                </c:pt>
                <c:pt idx="107">
                  <c:v>36861</c:v>
                </c:pt>
                <c:pt idx="108">
                  <c:v>36892</c:v>
                </c:pt>
                <c:pt idx="109">
                  <c:v>36923</c:v>
                </c:pt>
                <c:pt idx="110">
                  <c:v>36951</c:v>
                </c:pt>
                <c:pt idx="111">
                  <c:v>36982</c:v>
                </c:pt>
                <c:pt idx="112">
                  <c:v>37012</c:v>
                </c:pt>
                <c:pt idx="113">
                  <c:v>37043</c:v>
                </c:pt>
                <c:pt idx="114">
                  <c:v>37073</c:v>
                </c:pt>
                <c:pt idx="115">
                  <c:v>37104</c:v>
                </c:pt>
                <c:pt idx="116">
                  <c:v>37135</c:v>
                </c:pt>
                <c:pt idx="117">
                  <c:v>37165</c:v>
                </c:pt>
                <c:pt idx="118">
                  <c:v>37196</c:v>
                </c:pt>
                <c:pt idx="119">
                  <c:v>37226</c:v>
                </c:pt>
                <c:pt idx="120">
                  <c:v>37257</c:v>
                </c:pt>
                <c:pt idx="121">
                  <c:v>37288</c:v>
                </c:pt>
                <c:pt idx="122">
                  <c:v>37316</c:v>
                </c:pt>
                <c:pt idx="123">
                  <c:v>37347</c:v>
                </c:pt>
                <c:pt idx="124">
                  <c:v>37377</c:v>
                </c:pt>
                <c:pt idx="125">
                  <c:v>37408</c:v>
                </c:pt>
                <c:pt idx="126">
                  <c:v>37438</c:v>
                </c:pt>
                <c:pt idx="127">
                  <c:v>37469</c:v>
                </c:pt>
                <c:pt idx="128">
                  <c:v>37500</c:v>
                </c:pt>
                <c:pt idx="129">
                  <c:v>37530</c:v>
                </c:pt>
                <c:pt idx="130">
                  <c:v>37561</c:v>
                </c:pt>
                <c:pt idx="131">
                  <c:v>37591</c:v>
                </c:pt>
                <c:pt idx="132">
                  <c:v>37622</c:v>
                </c:pt>
                <c:pt idx="133">
                  <c:v>37653</c:v>
                </c:pt>
                <c:pt idx="134">
                  <c:v>37681</c:v>
                </c:pt>
                <c:pt idx="135">
                  <c:v>37712</c:v>
                </c:pt>
                <c:pt idx="136">
                  <c:v>37742</c:v>
                </c:pt>
                <c:pt idx="137">
                  <c:v>37773</c:v>
                </c:pt>
                <c:pt idx="138">
                  <c:v>37803</c:v>
                </c:pt>
                <c:pt idx="139">
                  <c:v>37834</c:v>
                </c:pt>
                <c:pt idx="140">
                  <c:v>37865</c:v>
                </c:pt>
                <c:pt idx="141">
                  <c:v>37895</c:v>
                </c:pt>
                <c:pt idx="142">
                  <c:v>37926</c:v>
                </c:pt>
                <c:pt idx="143">
                  <c:v>37956</c:v>
                </c:pt>
                <c:pt idx="144">
                  <c:v>37987</c:v>
                </c:pt>
                <c:pt idx="145">
                  <c:v>38018</c:v>
                </c:pt>
                <c:pt idx="146">
                  <c:v>38047</c:v>
                </c:pt>
                <c:pt idx="147">
                  <c:v>38078</c:v>
                </c:pt>
                <c:pt idx="148">
                  <c:v>38108</c:v>
                </c:pt>
                <c:pt idx="149">
                  <c:v>38139</c:v>
                </c:pt>
                <c:pt idx="150">
                  <c:v>38169</c:v>
                </c:pt>
                <c:pt idx="151">
                  <c:v>38200</c:v>
                </c:pt>
                <c:pt idx="152">
                  <c:v>38231</c:v>
                </c:pt>
                <c:pt idx="153">
                  <c:v>38261</c:v>
                </c:pt>
                <c:pt idx="154">
                  <c:v>38292</c:v>
                </c:pt>
                <c:pt idx="155">
                  <c:v>38322</c:v>
                </c:pt>
                <c:pt idx="156">
                  <c:v>38353</c:v>
                </c:pt>
                <c:pt idx="157">
                  <c:v>38384</c:v>
                </c:pt>
                <c:pt idx="158">
                  <c:v>38412</c:v>
                </c:pt>
                <c:pt idx="159">
                  <c:v>38443</c:v>
                </c:pt>
                <c:pt idx="160">
                  <c:v>38473</c:v>
                </c:pt>
                <c:pt idx="161">
                  <c:v>38504</c:v>
                </c:pt>
                <c:pt idx="162">
                  <c:v>38534</c:v>
                </c:pt>
                <c:pt idx="163">
                  <c:v>38565</c:v>
                </c:pt>
                <c:pt idx="164">
                  <c:v>38596</c:v>
                </c:pt>
                <c:pt idx="165">
                  <c:v>38626</c:v>
                </c:pt>
                <c:pt idx="166">
                  <c:v>38657</c:v>
                </c:pt>
                <c:pt idx="167">
                  <c:v>38687</c:v>
                </c:pt>
                <c:pt idx="168">
                  <c:v>38718</c:v>
                </c:pt>
                <c:pt idx="169">
                  <c:v>38749</c:v>
                </c:pt>
                <c:pt idx="170">
                  <c:v>38777</c:v>
                </c:pt>
                <c:pt idx="171">
                  <c:v>38808</c:v>
                </c:pt>
                <c:pt idx="172">
                  <c:v>38838</c:v>
                </c:pt>
                <c:pt idx="173">
                  <c:v>38869</c:v>
                </c:pt>
                <c:pt idx="174">
                  <c:v>38899</c:v>
                </c:pt>
                <c:pt idx="175">
                  <c:v>38930</c:v>
                </c:pt>
                <c:pt idx="176">
                  <c:v>38961</c:v>
                </c:pt>
                <c:pt idx="177">
                  <c:v>38991</c:v>
                </c:pt>
                <c:pt idx="178">
                  <c:v>39022</c:v>
                </c:pt>
                <c:pt idx="179">
                  <c:v>39052</c:v>
                </c:pt>
                <c:pt idx="180">
                  <c:v>39083</c:v>
                </c:pt>
                <c:pt idx="181">
                  <c:v>39114</c:v>
                </c:pt>
                <c:pt idx="182">
                  <c:v>39142</c:v>
                </c:pt>
                <c:pt idx="183">
                  <c:v>39173</c:v>
                </c:pt>
                <c:pt idx="184">
                  <c:v>39203</c:v>
                </c:pt>
                <c:pt idx="185">
                  <c:v>39234</c:v>
                </c:pt>
                <c:pt idx="186">
                  <c:v>39264</c:v>
                </c:pt>
                <c:pt idx="187">
                  <c:v>39295</c:v>
                </c:pt>
                <c:pt idx="188">
                  <c:v>39326</c:v>
                </c:pt>
                <c:pt idx="189">
                  <c:v>39356</c:v>
                </c:pt>
                <c:pt idx="190">
                  <c:v>39387</c:v>
                </c:pt>
                <c:pt idx="191">
                  <c:v>39417</c:v>
                </c:pt>
                <c:pt idx="192">
                  <c:v>39448</c:v>
                </c:pt>
                <c:pt idx="193">
                  <c:v>39479</c:v>
                </c:pt>
                <c:pt idx="194">
                  <c:v>39508</c:v>
                </c:pt>
                <c:pt idx="195">
                  <c:v>39539</c:v>
                </c:pt>
                <c:pt idx="196">
                  <c:v>39569</c:v>
                </c:pt>
                <c:pt idx="197">
                  <c:v>39600</c:v>
                </c:pt>
                <c:pt idx="198">
                  <c:v>39630</c:v>
                </c:pt>
                <c:pt idx="199">
                  <c:v>39661</c:v>
                </c:pt>
                <c:pt idx="200">
                  <c:v>39692</c:v>
                </c:pt>
                <c:pt idx="201">
                  <c:v>39722</c:v>
                </c:pt>
                <c:pt idx="202">
                  <c:v>39753</c:v>
                </c:pt>
                <c:pt idx="203">
                  <c:v>39783</c:v>
                </c:pt>
                <c:pt idx="204">
                  <c:v>39814</c:v>
                </c:pt>
                <c:pt idx="205">
                  <c:v>39845</c:v>
                </c:pt>
                <c:pt idx="206">
                  <c:v>39873</c:v>
                </c:pt>
                <c:pt idx="207">
                  <c:v>39904</c:v>
                </c:pt>
                <c:pt idx="208">
                  <c:v>39934</c:v>
                </c:pt>
                <c:pt idx="209">
                  <c:v>39965</c:v>
                </c:pt>
                <c:pt idx="210">
                  <c:v>39995</c:v>
                </c:pt>
                <c:pt idx="211">
                  <c:v>40026</c:v>
                </c:pt>
                <c:pt idx="212">
                  <c:v>40057</c:v>
                </c:pt>
                <c:pt idx="213">
                  <c:v>40087</c:v>
                </c:pt>
                <c:pt idx="214">
                  <c:v>40118</c:v>
                </c:pt>
                <c:pt idx="215">
                  <c:v>40148</c:v>
                </c:pt>
                <c:pt idx="216">
                  <c:v>40179</c:v>
                </c:pt>
                <c:pt idx="217">
                  <c:v>40210</c:v>
                </c:pt>
                <c:pt idx="218">
                  <c:v>40238</c:v>
                </c:pt>
                <c:pt idx="219">
                  <c:v>40269</c:v>
                </c:pt>
                <c:pt idx="220">
                  <c:v>40299</c:v>
                </c:pt>
                <c:pt idx="221">
                  <c:v>40330</c:v>
                </c:pt>
                <c:pt idx="222">
                  <c:v>40360</c:v>
                </c:pt>
                <c:pt idx="223">
                  <c:v>40391</c:v>
                </c:pt>
                <c:pt idx="224">
                  <c:v>40422</c:v>
                </c:pt>
                <c:pt idx="225">
                  <c:v>40452</c:v>
                </c:pt>
                <c:pt idx="226">
                  <c:v>40483</c:v>
                </c:pt>
                <c:pt idx="227">
                  <c:v>40513</c:v>
                </c:pt>
                <c:pt idx="228">
                  <c:v>40544</c:v>
                </c:pt>
                <c:pt idx="229">
                  <c:v>40575</c:v>
                </c:pt>
                <c:pt idx="230">
                  <c:v>40603</c:v>
                </c:pt>
                <c:pt idx="231">
                  <c:v>40634</c:v>
                </c:pt>
                <c:pt idx="232">
                  <c:v>40664</c:v>
                </c:pt>
                <c:pt idx="233">
                  <c:v>40695</c:v>
                </c:pt>
                <c:pt idx="234">
                  <c:v>40725</c:v>
                </c:pt>
                <c:pt idx="235">
                  <c:v>40756</c:v>
                </c:pt>
                <c:pt idx="236">
                  <c:v>40787</c:v>
                </c:pt>
                <c:pt idx="237">
                  <c:v>40817</c:v>
                </c:pt>
                <c:pt idx="238">
                  <c:v>40848</c:v>
                </c:pt>
                <c:pt idx="239">
                  <c:v>40878</c:v>
                </c:pt>
                <c:pt idx="240">
                  <c:v>40909</c:v>
                </c:pt>
                <c:pt idx="241">
                  <c:v>40940</c:v>
                </c:pt>
                <c:pt idx="242">
                  <c:v>40969</c:v>
                </c:pt>
                <c:pt idx="243">
                  <c:v>41000</c:v>
                </c:pt>
                <c:pt idx="244">
                  <c:v>41030</c:v>
                </c:pt>
                <c:pt idx="245">
                  <c:v>41061</c:v>
                </c:pt>
                <c:pt idx="246">
                  <c:v>41091</c:v>
                </c:pt>
                <c:pt idx="247">
                  <c:v>41122</c:v>
                </c:pt>
                <c:pt idx="248">
                  <c:v>41153</c:v>
                </c:pt>
                <c:pt idx="249">
                  <c:v>41183</c:v>
                </c:pt>
                <c:pt idx="250">
                  <c:v>41214</c:v>
                </c:pt>
                <c:pt idx="251">
                  <c:v>41244</c:v>
                </c:pt>
                <c:pt idx="252">
                  <c:v>41275</c:v>
                </c:pt>
                <c:pt idx="253">
                  <c:v>41306</c:v>
                </c:pt>
                <c:pt idx="254">
                  <c:v>41334</c:v>
                </c:pt>
                <c:pt idx="255">
                  <c:v>41365</c:v>
                </c:pt>
                <c:pt idx="256">
                  <c:v>41395</c:v>
                </c:pt>
                <c:pt idx="257">
                  <c:v>41426</c:v>
                </c:pt>
                <c:pt idx="258">
                  <c:v>41456</c:v>
                </c:pt>
                <c:pt idx="259">
                  <c:v>41487</c:v>
                </c:pt>
                <c:pt idx="260">
                  <c:v>41518</c:v>
                </c:pt>
                <c:pt idx="261">
                  <c:v>41548</c:v>
                </c:pt>
                <c:pt idx="262">
                  <c:v>41579</c:v>
                </c:pt>
                <c:pt idx="263">
                  <c:v>41609</c:v>
                </c:pt>
                <c:pt idx="264">
                  <c:v>41640</c:v>
                </c:pt>
                <c:pt idx="265">
                  <c:v>41671</c:v>
                </c:pt>
                <c:pt idx="266">
                  <c:v>41699</c:v>
                </c:pt>
                <c:pt idx="267">
                  <c:v>41730</c:v>
                </c:pt>
                <c:pt idx="268">
                  <c:v>41760</c:v>
                </c:pt>
                <c:pt idx="269">
                  <c:v>41791</c:v>
                </c:pt>
                <c:pt idx="270">
                  <c:v>41821</c:v>
                </c:pt>
                <c:pt idx="271">
                  <c:v>41852</c:v>
                </c:pt>
                <c:pt idx="272">
                  <c:v>41883</c:v>
                </c:pt>
                <c:pt idx="273">
                  <c:v>41913</c:v>
                </c:pt>
                <c:pt idx="274">
                  <c:v>41944</c:v>
                </c:pt>
                <c:pt idx="275">
                  <c:v>41974</c:v>
                </c:pt>
                <c:pt idx="276">
                  <c:v>42005</c:v>
                </c:pt>
                <c:pt idx="277">
                  <c:v>42036</c:v>
                </c:pt>
                <c:pt idx="278">
                  <c:v>42064</c:v>
                </c:pt>
                <c:pt idx="279">
                  <c:v>42095</c:v>
                </c:pt>
                <c:pt idx="280">
                  <c:v>42125</c:v>
                </c:pt>
                <c:pt idx="281">
                  <c:v>42156</c:v>
                </c:pt>
                <c:pt idx="282">
                  <c:v>42186</c:v>
                </c:pt>
                <c:pt idx="283">
                  <c:v>42217</c:v>
                </c:pt>
                <c:pt idx="284">
                  <c:v>42248</c:v>
                </c:pt>
                <c:pt idx="285">
                  <c:v>42278</c:v>
                </c:pt>
                <c:pt idx="286">
                  <c:v>42309</c:v>
                </c:pt>
                <c:pt idx="287">
                  <c:v>42339</c:v>
                </c:pt>
                <c:pt idx="288">
                  <c:v>42370</c:v>
                </c:pt>
                <c:pt idx="289">
                  <c:v>42401</c:v>
                </c:pt>
                <c:pt idx="290">
                  <c:v>42430</c:v>
                </c:pt>
                <c:pt idx="291">
                  <c:v>42461</c:v>
                </c:pt>
                <c:pt idx="292">
                  <c:v>42491</c:v>
                </c:pt>
                <c:pt idx="293">
                  <c:v>42522</c:v>
                </c:pt>
                <c:pt idx="294">
                  <c:v>42552</c:v>
                </c:pt>
                <c:pt idx="295">
                  <c:v>42583</c:v>
                </c:pt>
                <c:pt idx="296">
                  <c:v>42614</c:v>
                </c:pt>
                <c:pt idx="297">
                  <c:v>42644</c:v>
                </c:pt>
                <c:pt idx="298">
                  <c:v>42675</c:v>
                </c:pt>
                <c:pt idx="299">
                  <c:v>42705</c:v>
                </c:pt>
                <c:pt idx="300">
                  <c:v>42736</c:v>
                </c:pt>
                <c:pt idx="301">
                  <c:v>42767</c:v>
                </c:pt>
                <c:pt idx="302">
                  <c:v>42795</c:v>
                </c:pt>
                <c:pt idx="303">
                  <c:v>42826</c:v>
                </c:pt>
                <c:pt idx="304">
                  <c:v>42856</c:v>
                </c:pt>
                <c:pt idx="305">
                  <c:v>42887</c:v>
                </c:pt>
                <c:pt idx="306">
                  <c:v>42917</c:v>
                </c:pt>
                <c:pt idx="307">
                  <c:v>42948</c:v>
                </c:pt>
                <c:pt idx="308">
                  <c:v>42979</c:v>
                </c:pt>
                <c:pt idx="309">
                  <c:v>43009</c:v>
                </c:pt>
                <c:pt idx="310">
                  <c:v>43040</c:v>
                </c:pt>
                <c:pt idx="311">
                  <c:v>43070</c:v>
                </c:pt>
                <c:pt idx="312">
                  <c:v>43101</c:v>
                </c:pt>
                <c:pt idx="313">
                  <c:v>43132</c:v>
                </c:pt>
                <c:pt idx="314">
                  <c:v>43160</c:v>
                </c:pt>
                <c:pt idx="315">
                  <c:v>43191</c:v>
                </c:pt>
                <c:pt idx="316">
                  <c:v>43221</c:v>
                </c:pt>
                <c:pt idx="317">
                  <c:v>43252</c:v>
                </c:pt>
                <c:pt idx="318">
                  <c:v>43282</c:v>
                </c:pt>
                <c:pt idx="319">
                  <c:v>43313</c:v>
                </c:pt>
                <c:pt idx="320">
                  <c:v>43344</c:v>
                </c:pt>
                <c:pt idx="321">
                  <c:v>43374</c:v>
                </c:pt>
                <c:pt idx="322">
                  <c:v>43405</c:v>
                </c:pt>
                <c:pt idx="323">
                  <c:v>43435</c:v>
                </c:pt>
                <c:pt idx="324">
                  <c:v>43466</c:v>
                </c:pt>
                <c:pt idx="325">
                  <c:v>43497</c:v>
                </c:pt>
                <c:pt idx="326">
                  <c:v>43525</c:v>
                </c:pt>
                <c:pt idx="327">
                  <c:v>43556</c:v>
                </c:pt>
                <c:pt idx="328">
                  <c:v>43586</c:v>
                </c:pt>
                <c:pt idx="329">
                  <c:v>43617</c:v>
                </c:pt>
                <c:pt idx="330">
                  <c:v>43647</c:v>
                </c:pt>
                <c:pt idx="331">
                  <c:v>43678</c:v>
                </c:pt>
                <c:pt idx="332">
                  <c:v>43709</c:v>
                </c:pt>
                <c:pt idx="333">
                  <c:v>43739</c:v>
                </c:pt>
                <c:pt idx="334">
                  <c:v>43770</c:v>
                </c:pt>
                <c:pt idx="335">
                  <c:v>43800</c:v>
                </c:pt>
                <c:pt idx="336">
                  <c:v>43831</c:v>
                </c:pt>
                <c:pt idx="337">
                  <c:v>43862</c:v>
                </c:pt>
                <c:pt idx="338">
                  <c:v>43891</c:v>
                </c:pt>
                <c:pt idx="339">
                  <c:v>43922</c:v>
                </c:pt>
                <c:pt idx="340">
                  <c:v>43952</c:v>
                </c:pt>
                <c:pt idx="341">
                  <c:v>43983</c:v>
                </c:pt>
                <c:pt idx="342">
                  <c:v>44013</c:v>
                </c:pt>
                <c:pt idx="343">
                  <c:v>44044</c:v>
                </c:pt>
              </c:numCache>
            </c:numRef>
          </c:cat>
          <c:val>
            <c:numRef>
              <c:f>'Gas Station'!$B$7:$B$350</c:f>
              <c:numCache>
                <c:formatCode>#,##0</c:formatCode>
                <c:ptCount val="344"/>
                <c:pt idx="0">
                  <c:v>12803</c:v>
                </c:pt>
                <c:pt idx="1">
                  <c:v>12601</c:v>
                </c:pt>
                <c:pt idx="2">
                  <c:v>12639</c:v>
                </c:pt>
                <c:pt idx="3">
                  <c:v>12710</c:v>
                </c:pt>
                <c:pt idx="4">
                  <c:v>12870</c:v>
                </c:pt>
                <c:pt idx="5">
                  <c:v>12886</c:v>
                </c:pt>
                <c:pt idx="6">
                  <c:v>12966</c:v>
                </c:pt>
                <c:pt idx="7">
                  <c:v>13092</c:v>
                </c:pt>
                <c:pt idx="8">
                  <c:v>13246</c:v>
                </c:pt>
                <c:pt idx="9">
                  <c:v>13304</c:v>
                </c:pt>
                <c:pt idx="10">
                  <c:v>13358</c:v>
                </c:pt>
                <c:pt idx="11">
                  <c:v>13475</c:v>
                </c:pt>
                <c:pt idx="12">
                  <c:v>13398</c:v>
                </c:pt>
                <c:pt idx="13">
                  <c:v>13596</c:v>
                </c:pt>
                <c:pt idx="14">
                  <c:v>13487</c:v>
                </c:pt>
                <c:pt idx="15">
                  <c:v>13539</c:v>
                </c:pt>
                <c:pt idx="16">
                  <c:v>13521</c:v>
                </c:pt>
                <c:pt idx="17">
                  <c:v>13461</c:v>
                </c:pt>
                <c:pt idx="18">
                  <c:v>13502</c:v>
                </c:pt>
                <c:pt idx="19">
                  <c:v>13372</c:v>
                </c:pt>
                <c:pt idx="20">
                  <c:v>13416</c:v>
                </c:pt>
                <c:pt idx="21">
                  <c:v>13755</c:v>
                </c:pt>
                <c:pt idx="22">
                  <c:v>13754</c:v>
                </c:pt>
                <c:pt idx="23">
                  <c:v>13627</c:v>
                </c:pt>
                <c:pt idx="24">
                  <c:v>13656</c:v>
                </c:pt>
                <c:pt idx="25">
                  <c:v>13875</c:v>
                </c:pt>
                <c:pt idx="26">
                  <c:v>13911</c:v>
                </c:pt>
                <c:pt idx="27">
                  <c:v>13867</c:v>
                </c:pt>
                <c:pt idx="28">
                  <c:v>13773</c:v>
                </c:pt>
                <c:pt idx="29">
                  <c:v>14059</c:v>
                </c:pt>
                <c:pt idx="30">
                  <c:v>14322</c:v>
                </c:pt>
                <c:pt idx="31">
                  <c:v>14685</c:v>
                </c:pt>
                <c:pt idx="32">
                  <c:v>14649</c:v>
                </c:pt>
                <c:pt idx="33">
                  <c:v>14709</c:v>
                </c:pt>
                <c:pt idx="34">
                  <c:v>14878</c:v>
                </c:pt>
                <c:pt idx="35">
                  <c:v>14885</c:v>
                </c:pt>
                <c:pt idx="36">
                  <c:v>14915</c:v>
                </c:pt>
                <c:pt idx="37">
                  <c:v>14963</c:v>
                </c:pt>
                <c:pt idx="38">
                  <c:v>14921</c:v>
                </c:pt>
                <c:pt idx="39">
                  <c:v>15021</c:v>
                </c:pt>
                <c:pt idx="40">
                  <c:v>15215</c:v>
                </c:pt>
                <c:pt idx="41">
                  <c:v>15333</c:v>
                </c:pt>
                <c:pt idx="42">
                  <c:v>15249</c:v>
                </c:pt>
                <c:pt idx="43">
                  <c:v>15227</c:v>
                </c:pt>
                <c:pt idx="44">
                  <c:v>15194</c:v>
                </c:pt>
                <c:pt idx="45">
                  <c:v>15007</c:v>
                </c:pt>
                <c:pt idx="46">
                  <c:v>14981</c:v>
                </c:pt>
                <c:pt idx="47">
                  <c:v>15246</c:v>
                </c:pt>
                <c:pt idx="48">
                  <c:v>15479</c:v>
                </c:pt>
                <c:pt idx="49">
                  <c:v>15457</c:v>
                </c:pt>
                <c:pt idx="50">
                  <c:v>15951</c:v>
                </c:pt>
                <c:pt idx="51">
                  <c:v>16252</c:v>
                </c:pt>
                <c:pt idx="52">
                  <c:v>16488</c:v>
                </c:pt>
                <c:pt idx="53">
                  <c:v>16352</c:v>
                </c:pt>
                <c:pt idx="54">
                  <c:v>16075</c:v>
                </c:pt>
                <c:pt idx="55">
                  <c:v>16066</c:v>
                </c:pt>
                <c:pt idx="56">
                  <c:v>16088</c:v>
                </c:pt>
                <c:pt idx="57">
                  <c:v>16360</c:v>
                </c:pt>
                <c:pt idx="58">
                  <c:v>16602</c:v>
                </c:pt>
                <c:pt idx="59">
                  <c:v>16759</c:v>
                </c:pt>
                <c:pt idx="60">
                  <c:v>16938</c:v>
                </c:pt>
                <c:pt idx="61">
                  <c:v>16984</c:v>
                </c:pt>
                <c:pt idx="62">
                  <c:v>16969</c:v>
                </c:pt>
                <c:pt idx="63">
                  <c:v>16613</c:v>
                </c:pt>
                <c:pt idx="64">
                  <c:v>16367</c:v>
                </c:pt>
                <c:pt idx="65">
                  <c:v>16378</c:v>
                </c:pt>
                <c:pt idx="66">
                  <c:v>16396</c:v>
                </c:pt>
                <c:pt idx="67">
                  <c:v>16682</c:v>
                </c:pt>
                <c:pt idx="68">
                  <c:v>16757</c:v>
                </c:pt>
                <c:pt idx="69">
                  <c:v>16711</c:v>
                </c:pt>
                <c:pt idx="70">
                  <c:v>16638</c:v>
                </c:pt>
                <c:pt idx="71">
                  <c:v>16536</c:v>
                </c:pt>
                <c:pt idx="72">
                  <c:v>16225</c:v>
                </c:pt>
                <c:pt idx="73">
                  <c:v>16054</c:v>
                </c:pt>
                <c:pt idx="74">
                  <c:v>15703</c:v>
                </c:pt>
                <c:pt idx="75">
                  <c:v>15798</c:v>
                </c:pt>
                <c:pt idx="76">
                  <c:v>16057</c:v>
                </c:pt>
                <c:pt idx="77">
                  <c:v>15933</c:v>
                </c:pt>
                <c:pt idx="78">
                  <c:v>16087</c:v>
                </c:pt>
                <c:pt idx="79">
                  <c:v>15851</c:v>
                </c:pt>
                <c:pt idx="80">
                  <c:v>15812</c:v>
                </c:pt>
                <c:pt idx="81">
                  <c:v>15948</c:v>
                </c:pt>
                <c:pt idx="82">
                  <c:v>16014</c:v>
                </c:pt>
                <c:pt idx="83">
                  <c:v>16399</c:v>
                </c:pt>
                <c:pt idx="84">
                  <c:v>16394</c:v>
                </c:pt>
                <c:pt idx="85">
                  <c:v>16309</c:v>
                </c:pt>
                <c:pt idx="86">
                  <c:v>16529</c:v>
                </c:pt>
                <c:pt idx="87">
                  <c:v>17115</c:v>
                </c:pt>
                <c:pt idx="88">
                  <c:v>17186</c:v>
                </c:pt>
                <c:pt idx="89">
                  <c:v>17070</c:v>
                </c:pt>
                <c:pt idx="90">
                  <c:v>17704</c:v>
                </c:pt>
                <c:pt idx="91">
                  <c:v>18135</c:v>
                </c:pt>
                <c:pt idx="92">
                  <c:v>18339</c:v>
                </c:pt>
                <c:pt idx="93">
                  <c:v>18632</c:v>
                </c:pt>
                <c:pt idx="94">
                  <c:v>18992</c:v>
                </c:pt>
                <c:pt idx="95">
                  <c:v>20095</c:v>
                </c:pt>
                <c:pt idx="96">
                  <c:v>19358</c:v>
                </c:pt>
                <c:pt idx="97">
                  <c:v>20214</c:v>
                </c:pt>
                <c:pt idx="98">
                  <c:v>20819</c:v>
                </c:pt>
                <c:pt idx="99">
                  <c:v>19907</c:v>
                </c:pt>
                <c:pt idx="100">
                  <c:v>20242</c:v>
                </c:pt>
                <c:pt idx="101">
                  <c:v>20885</c:v>
                </c:pt>
                <c:pt idx="102">
                  <c:v>20905</c:v>
                </c:pt>
                <c:pt idx="103">
                  <c:v>20574</c:v>
                </c:pt>
                <c:pt idx="104">
                  <c:v>21327</c:v>
                </c:pt>
                <c:pt idx="105">
                  <c:v>21412</c:v>
                </c:pt>
                <c:pt idx="106">
                  <c:v>21906</c:v>
                </c:pt>
                <c:pt idx="107">
                  <c:v>22124</c:v>
                </c:pt>
                <c:pt idx="108">
                  <c:v>21931</c:v>
                </c:pt>
                <c:pt idx="109">
                  <c:v>21615</c:v>
                </c:pt>
                <c:pt idx="110">
                  <c:v>20652</c:v>
                </c:pt>
                <c:pt idx="111">
                  <c:v>21618</c:v>
                </c:pt>
                <c:pt idx="112">
                  <c:v>22628</c:v>
                </c:pt>
                <c:pt idx="113">
                  <c:v>21928</c:v>
                </c:pt>
                <c:pt idx="114">
                  <c:v>20686</c:v>
                </c:pt>
                <c:pt idx="115">
                  <c:v>20878</c:v>
                </c:pt>
                <c:pt idx="116">
                  <c:v>21336</c:v>
                </c:pt>
                <c:pt idx="117">
                  <c:v>20033</c:v>
                </c:pt>
                <c:pt idx="118">
                  <c:v>19245</c:v>
                </c:pt>
                <c:pt idx="119">
                  <c:v>18950</c:v>
                </c:pt>
                <c:pt idx="120">
                  <c:v>19130</c:v>
                </c:pt>
                <c:pt idx="121">
                  <c:v>19068</c:v>
                </c:pt>
                <c:pt idx="122">
                  <c:v>19813</c:v>
                </c:pt>
                <c:pt idx="123">
                  <c:v>20856</c:v>
                </c:pt>
                <c:pt idx="124">
                  <c:v>20930</c:v>
                </c:pt>
                <c:pt idx="125">
                  <c:v>20733</c:v>
                </c:pt>
                <c:pt idx="126">
                  <c:v>21438</c:v>
                </c:pt>
                <c:pt idx="127">
                  <c:v>21182</c:v>
                </c:pt>
                <c:pt idx="128">
                  <c:v>21272</c:v>
                </c:pt>
                <c:pt idx="129">
                  <c:v>21659</c:v>
                </c:pt>
                <c:pt idx="130">
                  <c:v>22009</c:v>
                </c:pt>
                <c:pt idx="131">
                  <c:v>22464</c:v>
                </c:pt>
                <c:pt idx="132">
                  <c:v>23073</c:v>
                </c:pt>
                <c:pt idx="133">
                  <c:v>23885</c:v>
                </c:pt>
                <c:pt idx="134">
                  <c:v>23968</c:v>
                </c:pt>
                <c:pt idx="135">
                  <c:v>22581</c:v>
                </c:pt>
                <c:pt idx="136">
                  <c:v>21810</c:v>
                </c:pt>
                <c:pt idx="137">
                  <c:v>21777</c:v>
                </c:pt>
                <c:pt idx="138">
                  <c:v>22196</c:v>
                </c:pt>
                <c:pt idx="139">
                  <c:v>23073</c:v>
                </c:pt>
                <c:pt idx="140">
                  <c:v>23214</c:v>
                </c:pt>
                <c:pt idx="141">
                  <c:v>22714</c:v>
                </c:pt>
                <c:pt idx="142">
                  <c:v>23472</c:v>
                </c:pt>
                <c:pt idx="143">
                  <c:v>23994</c:v>
                </c:pt>
                <c:pt idx="144">
                  <c:v>24889</c:v>
                </c:pt>
                <c:pt idx="145">
                  <c:v>25256</c:v>
                </c:pt>
                <c:pt idx="146">
                  <c:v>25679</c:v>
                </c:pt>
                <c:pt idx="147">
                  <c:v>25518</c:v>
                </c:pt>
                <c:pt idx="148">
                  <c:v>27011</c:v>
                </c:pt>
                <c:pt idx="149">
                  <c:v>27050</c:v>
                </c:pt>
                <c:pt idx="150">
                  <c:v>26745</c:v>
                </c:pt>
                <c:pt idx="151">
                  <c:v>26552</c:v>
                </c:pt>
                <c:pt idx="152">
                  <c:v>27161</c:v>
                </c:pt>
                <c:pt idx="153">
                  <c:v>28656</c:v>
                </c:pt>
                <c:pt idx="154">
                  <c:v>29349</c:v>
                </c:pt>
                <c:pt idx="155">
                  <c:v>29046</c:v>
                </c:pt>
                <c:pt idx="156">
                  <c:v>28375</c:v>
                </c:pt>
                <c:pt idx="157">
                  <c:v>29015</c:v>
                </c:pt>
                <c:pt idx="158">
                  <c:v>29498</c:v>
                </c:pt>
                <c:pt idx="159">
                  <c:v>30009</c:v>
                </c:pt>
                <c:pt idx="160">
                  <c:v>29140</c:v>
                </c:pt>
                <c:pt idx="161">
                  <c:v>29889</c:v>
                </c:pt>
                <c:pt idx="162">
                  <c:v>30976</c:v>
                </c:pt>
                <c:pt idx="163">
                  <c:v>33399</c:v>
                </c:pt>
                <c:pt idx="164">
                  <c:v>36116</c:v>
                </c:pt>
                <c:pt idx="165">
                  <c:v>35911</c:v>
                </c:pt>
                <c:pt idx="166">
                  <c:v>33185</c:v>
                </c:pt>
                <c:pt idx="167">
                  <c:v>33154</c:v>
                </c:pt>
                <c:pt idx="168">
                  <c:v>34298</c:v>
                </c:pt>
                <c:pt idx="169">
                  <c:v>34174</c:v>
                </c:pt>
                <c:pt idx="170">
                  <c:v>34195</c:v>
                </c:pt>
                <c:pt idx="171">
                  <c:v>35646</c:v>
                </c:pt>
                <c:pt idx="172">
                  <c:v>36159</c:v>
                </c:pt>
                <c:pt idx="173">
                  <c:v>36228</c:v>
                </c:pt>
                <c:pt idx="174">
                  <c:v>36963</c:v>
                </c:pt>
                <c:pt idx="175">
                  <c:v>37696</c:v>
                </c:pt>
                <c:pt idx="176">
                  <c:v>34935</c:v>
                </c:pt>
                <c:pt idx="177">
                  <c:v>32912</c:v>
                </c:pt>
                <c:pt idx="178">
                  <c:v>33322</c:v>
                </c:pt>
                <c:pt idx="179">
                  <c:v>34895</c:v>
                </c:pt>
                <c:pt idx="180">
                  <c:v>34244</c:v>
                </c:pt>
                <c:pt idx="181">
                  <c:v>34932</c:v>
                </c:pt>
                <c:pt idx="182">
                  <c:v>35999</c:v>
                </c:pt>
                <c:pt idx="183">
                  <c:v>36350</c:v>
                </c:pt>
                <c:pt idx="184">
                  <c:v>37996</c:v>
                </c:pt>
                <c:pt idx="185">
                  <c:v>37310</c:v>
                </c:pt>
                <c:pt idx="186">
                  <c:v>36963</c:v>
                </c:pt>
                <c:pt idx="187">
                  <c:v>37223</c:v>
                </c:pt>
                <c:pt idx="188">
                  <c:v>38210</c:v>
                </c:pt>
                <c:pt idx="189">
                  <c:v>39307</c:v>
                </c:pt>
                <c:pt idx="190">
                  <c:v>41985</c:v>
                </c:pt>
                <c:pt idx="191">
                  <c:v>41593</c:v>
                </c:pt>
                <c:pt idx="192">
                  <c:v>42423</c:v>
                </c:pt>
                <c:pt idx="193">
                  <c:v>42504</c:v>
                </c:pt>
                <c:pt idx="194">
                  <c:v>43044</c:v>
                </c:pt>
                <c:pt idx="195">
                  <c:v>42933</c:v>
                </c:pt>
                <c:pt idx="196">
                  <c:v>44344</c:v>
                </c:pt>
                <c:pt idx="197">
                  <c:v>46547</c:v>
                </c:pt>
                <c:pt idx="198">
                  <c:v>46813</c:v>
                </c:pt>
                <c:pt idx="199">
                  <c:v>45645</c:v>
                </c:pt>
                <c:pt idx="200">
                  <c:v>45777</c:v>
                </c:pt>
                <c:pt idx="201">
                  <c:v>40584</c:v>
                </c:pt>
                <c:pt idx="202">
                  <c:v>31776</c:v>
                </c:pt>
                <c:pt idx="203">
                  <c:v>27999</c:v>
                </c:pt>
                <c:pt idx="204">
                  <c:v>28818</c:v>
                </c:pt>
                <c:pt idx="205">
                  <c:v>29860</c:v>
                </c:pt>
                <c:pt idx="206">
                  <c:v>28825</c:v>
                </c:pt>
                <c:pt idx="207">
                  <c:v>28747</c:v>
                </c:pt>
                <c:pt idx="208">
                  <c:v>30488</c:v>
                </c:pt>
                <c:pt idx="209">
                  <c:v>33375</c:v>
                </c:pt>
                <c:pt idx="210">
                  <c:v>33066</c:v>
                </c:pt>
                <c:pt idx="211">
                  <c:v>34658</c:v>
                </c:pt>
                <c:pt idx="212">
                  <c:v>34800</c:v>
                </c:pt>
                <c:pt idx="213">
                  <c:v>34885</c:v>
                </c:pt>
                <c:pt idx="214">
                  <c:v>36573</c:v>
                </c:pt>
                <c:pt idx="215">
                  <c:v>37182</c:v>
                </c:pt>
                <c:pt idx="216">
                  <c:v>37358</c:v>
                </c:pt>
                <c:pt idx="217">
                  <c:v>36950</c:v>
                </c:pt>
                <c:pt idx="218">
                  <c:v>37160</c:v>
                </c:pt>
                <c:pt idx="219">
                  <c:v>37218</c:v>
                </c:pt>
                <c:pt idx="220">
                  <c:v>36606</c:v>
                </c:pt>
                <c:pt idx="221">
                  <c:v>35642</c:v>
                </c:pt>
                <c:pt idx="222">
                  <c:v>35764</c:v>
                </c:pt>
                <c:pt idx="223">
                  <c:v>36189</c:v>
                </c:pt>
                <c:pt idx="224">
                  <c:v>37357</c:v>
                </c:pt>
                <c:pt idx="225">
                  <c:v>38480</c:v>
                </c:pt>
                <c:pt idx="226">
                  <c:v>39272</c:v>
                </c:pt>
                <c:pt idx="227">
                  <c:v>41279</c:v>
                </c:pt>
                <c:pt idx="228">
                  <c:v>41778</c:v>
                </c:pt>
                <c:pt idx="229">
                  <c:v>42294</c:v>
                </c:pt>
                <c:pt idx="230">
                  <c:v>43823</c:v>
                </c:pt>
                <c:pt idx="231">
                  <c:v>44604</c:v>
                </c:pt>
                <c:pt idx="232">
                  <c:v>45300</c:v>
                </c:pt>
                <c:pt idx="233">
                  <c:v>44614</c:v>
                </c:pt>
                <c:pt idx="234">
                  <c:v>44754</c:v>
                </c:pt>
                <c:pt idx="235">
                  <c:v>45075</c:v>
                </c:pt>
                <c:pt idx="236">
                  <c:v>45082</c:v>
                </c:pt>
                <c:pt idx="237">
                  <c:v>44846</c:v>
                </c:pt>
                <c:pt idx="238">
                  <c:v>45622</c:v>
                </c:pt>
                <c:pt idx="239">
                  <c:v>45291</c:v>
                </c:pt>
                <c:pt idx="240">
                  <c:v>45752</c:v>
                </c:pt>
                <c:pt idx="241">
                  <c:v>47171</c:v>
                </c:pt>
                <c:pt idx="242">
                  <c:v>47541</c:v>
                </c:pt>
                <c:pt idx="243">
                  <c:v>47006</c:v>
                </c:pt>
                <c:pt idx="244">
                  <c:v>45808</c:v>
                </c:pt>
                <c:pt idx="245">
                  <c:v>43646</c:v>
                </c:pt>
                <c:pt idx="246">
                  <c:v>43484</c:v>
                </c:pt>
                <c:pt idx="247">
                  <c:v>46391</c:v>
                </c:pt>
                <c:pt idx="248">
                  <c:v>47107</c:v>
                </c:pt>
                <c:pt idx="249">
                  <c:v>47976</c:v>
                </c:pt>
                <c:pt idx="250">
                  <c:v>46822</c:v>
                </c:pt>
                <c:pt idx="251">
                  <c:v>45886</c:v>
                </c:pt>
                <c:pt idx="252">
                  <c:v>46044</c:v>
                </c:pt>
                <c:pt idx="253">
                  <c:v>49046</c:v>
                </c:pt>
                <c:pt idx="254">
                  <c:v>47587</c:v>
                </c:pt>
                <c:pt idx="255">
                  <c:v>46169</c:v>
                </c:pt>
                <c:pt idx="256">
                  <c:v>45593</c:v>
                </c:pt>
                <c:pt idx="257">
                  <c:v>45828</c:v>
                </c:pt>
                <c:pt idx="258">
                  <c:v>46006</c:v>
                </c:pt>
                <c:pt idx="259">
                  <c:v>45638</c:v>
                </c:pt>
                <c:pt idx="260">
                  <c:v>45752</c:v>
                </c:pt>
                <c:pt idx="261">
                  <c:v>45075</c:v>
                </c:pt>
                <c:pt idx="262">
                  <c:v>44723</c:v>
                </c:pt>
                <c:pt idx="263">
                  <c:v>46672</c:v>
                </c:pt>
                <c:pt idx="264">
                  <c:v>47135</c:v>
                </c:pt>
                <c:pt idx="265">
                  <c:v>47522</c:v>
                </c:pt>
                <c:pt idx="266">
                  <c:v>46868</c:v>
                </c:pt>
                <c:pt idx="267">
                  <c:v>47088</c:v>
                </c:pt>
                <c:pt idx="268">
                  <c:v>46787</c:v>
                </c:pt>
                <c:pt idx="269">
                  <c:v>45784</c:v>
                </c:pt>
                <c:pt idx="270">
                  <c:v>45815</c:v>
                </c:pt>
                <c:pt idx="271">
                  <c:v>45873</c:v>
                </c:pt>
                <c:pt idx="272">
                  <c:v>45440</c:v>
                </c:pt>
                <c:pt idx="273">
                  <c:v>44512</c:v>
                </c:pt>
                <c:pt idx="274">
                  <c:v>43641</c:v>
                </c:pt>
                <c:pt idx="275">
                  <c:v>40499</c:v>
                </c:pt>
                <c:pt idx="276">
                  <c:v>36581</c:v>
                </c:pt>
                <c:pt idx="277">
                  <c:v>37808</c:v>
                </c:pt>
                <c:pt idx="278">
                  <c:v>38377</c:v>
                </c:pt>
                <c:pt idx="279">
                  <c:v>37832</c:v>
                </c:pt>
                <c:pt idx="280">
                  <c:v>39269</c:v>
                </c:pt>
                <c:pt idx="281">
                  <c:v>39887</c:v>
                </c:pt>
                <c:pt idx="282">
                  <c:v>40293</c:v>
                </c:pt>
                <c:pt idx="283">
                  <c:v>39229</c:v>
                </c:pt>
                <c:pt idx="284">
                  <c:v>36953</c:v>
                </c:pt>
                <c:pt idx="285">
                  <c:v>36566</c:v>
                </c:pt>
                <c:pt idx="286">
                  <c:v>36134</c:v>
                </c:pt>
                <c:pt idx="287">
                  <c:v>35976</c:v>
                </c:pt>
                <c:pt idx="288">
                  <c:v>34498</c:v>
                </c:pt>
                <c:pt idx="289">
                  <c:v>32865</c:v>
                </c:pt>
                <c:pt idx="290">
                  <c:v>34202</c:v>
                </c:pt>
                <c:pt idx="291">
                  <c:v>35101</c:v>
                </c:pt>
                <c:pt idx="292">
                  <c:v>36033</c:v>
                </c:pt>
                <c:pt idx="293">
                  <c:v>37267</c:v>
                </c:pt>
                <c:pt idx="294">
                  <c:v>36807</c:v>
                </c:pt>
                <c:pt idx="295">
                  <c:v>36018</c:v>
                </c:pt>
                <c:pt idx="296">
                  <c:v>36963</c:v>
                </c:pt>
                <c:pt idx="297">
                  <c:v>37953</c:v>
                </c:pt>
                <c:pt idx="298">
                  <c:v>37578</c:v>
                </c:pt>
                <c:pt idx="299">
                  <c:v>39400</c:v>
                </c:pt>
                <c:pt idx="300">
                  <c:v>39871</c:v>
                </c:pt>
                <c:pt idx="301">
                  <c:v>40106</c:v>
                </c:pt>
                <c:pt idx="302">
                  <c:v>39779</c:v>
                </c:pt>
                <c:pt idx="303">
                  <c:v>39539</c:v>
                </c:pt>
                <c:pt idx="304">
                  <c:v>38057</c:v>
                </c:pt>
                <c:pt idx="305">
                  <c:v>37633</c:v>
                </c:pt>
                <c:pt idx="306">
                  <c:v>37545</c:v>
                </c:pt>
                <c:pt idx="307">
                  <c:v>38765</c:v>
                </c:pt>
                <c:pt idx="308">
                  <c:v>40820</c:v>
                </c:pt>
                <c:pt idx="309">
                  <c:v>40940</c:v>
                </c:pt>
                <c:pt idx="310">
                  <c:v>42005</c:v>
                </c:pt>
                <c:pt idx="311">
                  <c:v>42720</c:v>
                </c:pt>
                <c:pt idx="312">
                  <c:v>42760</c:v>
                </c:pt>
                <c:pt idx="313">
                  <c:v>43184</c:v>
                </c:pt>
                <c:pt idx="314">
                  <c:v>42612</c:v>
                </c:pt>
                <c:pt idx="315">
                  <c:v>42403</c:v>
                </c:pt>
                <c:pt idx="316">
                  <c:v>43525</c:v>
                </c:pt>
                <c:pt idx="317">
                  <c:v>43773</c:v>
                </c:pt>
                <c:pt idx="318">
                  <c:v>44174</c:v>
                </c:pt>
                <c:pt idx="319">
                  <c:v>44616</c:v>
                </c:pt>
                <c:pt idx="320">
                  <c:v>44089</c:v>
                </c:pt>
                <c:pt idx="321">
                  <c:v>45878</c:v>
                </c:pt>
                <c:pt idx="322">
                  <c:v>43722</c:v>
                </c:pt>
                <c:pt idx="323">
                  <c:v>40962</c:v>
                </c:pt>
                <c:pt idx="324">
                  <c:v>39781</c:v>
                </c:pt>
                <c:pt idx="325">
                  <c:v>41440</c:v>
                </c:pt>
                <c:pt idx="326">
                  <c:v>42662</c:v>
                </c:pt>
                <c:pt idx="327">
                  <c:v>43487</c:v>
                </c:pt>
                <c:pt idx="328">
                  <c:v>43276</c:v>
                </c:pt>
                <c:pt idx="329">
                  <c:v>42617</c:v>
                </c:pt>
                <c:pt idx="330">
                  <c:v>43398</c:v>
                </c:pt>
                <c:pt idx="331">
                  <c:v>42783</c:v>
                </c:pt>
                <c:pt idx="332">
                  <c:v>42538</c:v>
                </c:pt>
                <c:pt idx="333">
                  <c:v>43266</c:v>
                </c:pt>
                <c:pt idx="334">
                  <c:v>43240</c:v>
                </c:pt>
                <c:pt idx="335">
                  <c:v>44093</c:v>
                </c:pt>
                <c:pt idx="336">
                  <c:v>43195</c:v>
                </c:pt>
                <c:pt idx="337">
                  <c:v>41625</c:v>
                </c:pt>
                <c:pt idx="338">
                  <c:v>34677</c:v>
                </c:pt>
                <c:pt idx="339">
                  <c:v>26131</c:v>
                </c:pt>
                <c:pt idx="340">
                  <c:v>29616</c:v>
                </c:pt>
                <c:pt idx="341">
                  <c:v>34291</c:v>
                </c:pt>
                <c:pt idx="342">
                  <c:v>35996</c:v>
                </c:pt>
                <c:pt idx="343">
                  <c:v>36366</c:v>
                </c:pt>
              </c:numCache>
            </c:numRef>
          </c:val>
          <c:smooth val="0"/>
          <c:extLst>
            <c:ext xmlns:c16="http://schemas.microsoft.com/office/drawing/2014/chart" uri="{C3380CC4-5D6E-409C-BE32-E72D297353CC}">
              <c16:uniqueId val="{00000000-7341-40AB-9EFE-C20EDE50677F}"/>
            </c:ext>
          </c:extLst>
        </c:ser>
        <c:dLbls>
          <c:showLegendKey val="0"/>
          <c:showVal val="0"/>
          <c:showCatName val="0"/>
          <c:showSerName val="0"/>
          <c:showPercent val="0"/>
          <c:showBubbleSize val="0"/>
        </c:dLbls>
        <c:smooth val="0"/>
        <c:axId val="1045517208"/>
        <c:axId val="1045518520"/>
      </c:lineChart>
      <c:dateAx>
        <c:axId val="1045517208"/>
        <c:scaling>
          <c:orientation val="minMax"/>
        </c:scaling>
        <c:delete val="0"/>
        <c:axPos val="b"/>
        <c:numFmt formatCode="[$-409]mmm\-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518520"/>
        <c:crosses val="autoZero"/>
        <c:auto val="1"/>
        <c:lblOffset val="100"/>
        <c:baseTimeUnit val="months"/>
      </c:dateAx>
      <c:valAx>
        <c:axId val="1045518520"/>
        <c:scaling>
          <c:orientation val="minMax"/>
          <c:min val="10000"/>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51720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'Gas Station'!$D$6</c:f>
              <c:strCache>
                <c:ptCount val="1"/>
                <c:pt idx="0">
                  <c:v>yoy</c:v>
                </c:pt>
              </c:strCache>
            </c:strRef>
          </c:tx>
          <c:spPr>
            <a:ln w="28575" cap="rnd">
              <a:solidFill>
                <a:sysClr val="windowText" lastClr="000000"/>
              </a:solidFill>
              <a:round/>
            </a:ln>
            <a:effectLst/>
          </c:spPr>
          <c:marker>
            <c:symbol val="none"/>
          </c:marker>
          <c:cat>
            <c:numRef>
              <c:f>'Gas Station'!$A$7:$A$360</c:f>
              <c:numCache>
                <c:formatCode>[$-409]mmm\-yy;@</c:formatCode>
                <c:ptCount val="354"/>
                <c:pt idx="0">
                  <c:v>33604</c:v>
                </c:pt>
                <c:pt idx="1">
                  <c:v>33635</c:v>
                </c:pt>
                <c:pt idx="2">
                  <c:v>33664</c:v>
                </c:pt>
                <c:pt idx="3">
                  <c:v>33695</c:v>
                </c:pt>
                <c:pt idx="4">
                  <c:v>33725</c:v>
                </c:pt>
                <c:pt idx="5">
                  <c:v>33756</c:v>
                </c:pt>
                <c:pt idx="6">
                  <c:v>33786</c:v>
                </c:pt>
                <c:pt idx="7">
                  <c:v>33817</c:v>
                </c:pt>
                <c:pt idx="8">
                  <c:v>33848</c:v>
                </c:pt>
                <c:pt idx="9">
                  <c:v>33878</c:v>
                </c:pt>
                <c:pt idx="10">
                  <c:v>33909</c:v>
                </c:pt>
                <c:pt idx="11">
                  <c:v>33939</c:v>
                </c:pt>
                <c:pt idx="12">
                  <c:v>33970</c:v>
                </c:pt>
                <c:pt idx="13">
                  <c:v>34001</c:v>
                </c:pt>
                <c:pt idx="14">
                  <c:v>34029</c:v>
                </c:pt>
                <c:pt idx="15">
                  <c:v>34060</c:v>
                </c:pt>
                <c:pt idx="16">
                  <c:v>34090</c:v>
                </c:pt>
                <c:pt idx="17">
                  <c:v>34121</c:v>
                </c:pt>
                <c:pt idx="18">
                  <c:v>34151</c:v>
                </c:pt>
                <c:pt idx="19">
                  <c:v>34182</c:v>
                </c:pt>
                <c:pt idx="20">
                  <c:v>34213</c:v>
                </c:pt>
                <c:pt idx="21">
                  <c:v>34243</c:v>
                </c:pt>
                <c:pt idx="22">
                  <c:v>34274</c:v>
                </c:pt>
                <c:pt idx="23">
                  <c:v>34304</c:v>
                </c:pt>
                <c:pt idx="24">
                  <c:v>34335</c:v>
                </c:pt>
                <c:pt idx="25">
                  <c:v>34366</c:v>
                </c:pt>
                <c:pt idx="26">
                  <c:v>34394</c:v>
                </c:pt>
                <c:pt idx="27">
                  <c:v>34425</c:v>
                </c:pt>
                <c:pt idx="28">
                  <c:v>34455</c:v>
                </c:pt>
                <c:pt idx="29">
                  <c:v>34486</c:v>
                </c:pt>
                <c:pt idx="30">
                  <c:v>34516</c:v>
                </c:pt>
                <c:pt idx="31">
                  <c:v>34547</c:v>
                </c:pt>
                <c:pt idx="32">
                  <c:v>34578</c:v>
                </c:pt>
                <c:pt idx="33">
                  <c:v>34608</c:v>
                </c:pt>
                <c:pt idx="34">
                  <c:v>34639</c:v>
                </c:pt>
                <c:pt idx="35">
                  <c:v>34669</c:v>
                </c:pt>
                <c:pt idx="36">
                  <c:v>34700</c:v>
                </c:pt>
                <c:pt idx="37">
                  <c:v>34731</c:v>
                </c:pt>
                <c:pt idx="38">
                  <c:v>34759</c:v>
                </c:pt>
                <c:pt idx="39">
                  <c:v>34790</c:v>
                </c:pt>
                <c:pt idx="40">
                  <c:v>34820</c:v>
                </c:pt>
                <c:pt idx="41">
                  <c:v>34851</c:v>
                </c:pt>
                <c:pt idx="42">
                  <c:v>34881</c:v>
                </c:pt>
                <c:pt idx="43">
                  <c:v>34912</c:v>
                </c:pt>
                <c:pt idx="44">
                  <c:v>34943</c:v>
                </c:pt>
                <c:pt idx="45">
                  <c:v>34973</c:v>
                </c:pt>
                <c:pt idx="46">
                  <c:v>35004</c:v>
                </c:pt>
                <c:pt idx="47">
                  <c:v>35034</c:v>
                </c:pt>
                <c:pt idx="48">
                  <c:v>35065</c:v>
                </c:pt>
                <c:pt idx="49">
                  <c:v>35096</c:v>
                </c:pt>
                <c:pt idx="50">
                  <c:v>35125</c:v>
                </c:pt>
                <c:pt idx="51">
                  <c:v>35156</c:v>
                </c:pt>
                <c:pt idx="52">
                  <c:v>35186</c:v>
                </c:pt>
                <c:pt idx="53">
                  <c:v>35217</c:v>
                </c:pt>
                <c:pt idx="54">
                  <c:v>35247</c:v>
                </c:pt>
                <c:pt idx="55">
                  <c:v>35278</c:v>
                </c:pt>
                <c:pt idx="56">
                  <c:v>35309</c:v>
                </c:pt>
                <c:pt idx="57">
                  <c:v>35339</c:v>
                </c:pt>
                <c:pt idx="58">
                  <c:v>35370</c:v>
                </c:pt>
                <c:pt idx="59">
                  <c:v>35400</c:v>
                </c:pt>
                <c:pt idx="60">
                  <c:v>35431</c:v>
                </c:pt>
                <c:pt idx="61">
                  <c:v>35462</c:v>
                </c:pt>
                <c:pt idx="62">
                  <c:v>35490</c:v>
                </c:pt>
                <c:pt idx="63">
                  <c:v>35521</c:v>
                </c:pt>
                <c:pt idx="64">
                  <c:v>35551</c:v>
                </c:pt>
                <c:pt idx="65">
                  <c:v>35582</c:v>
                </c:pt>
                <c:pt idx="66">
                  <c:v>35612</c:v>
                </c:pt>
                <c:pt idx="67">
                  <c:v>35643</c:v>
                </c:pt>
                <c:pt idx="68">
                  <c:v>35674</c:v>
                </c:pt>
                <c:pt idx="69">
                  <c:v>35704</c:v>
                </c:pt>
                <c:pt idx="70">
                  <c:v>35735</c:v>
                </c:pt>
                <c:pt idx="71">
                  <c:v>35765</c:v>
                </c:pt>
                <c:pt idx="72">
                  <c:v>35796</c:v>
                </c:pt>
                <c:pt idx="73">
                  <c:v>35827</c:v>
                </c:pt>
                <c:pt idx="74">
                  <c:v>35855</c:v>
                </c:pt>
                <c:pt idx="75">
                  <c:v>35886</c:v>
                </c:pt>
                <c:pt idx="76">
                  <c:v>35916</c:v>
                </c:pt>
                <c:pt idx="77">
                  <c:v>35947</c:v>
                </c:pt>
                <c:pt idx="78">
                  <c:v>35977</c:v>
                </c:pt>
                <c:pt idx="79">
                  <c:v>36008</c:v>
                </c:pt>
                <c:pt idx="80">
                  <c:v>36039</c:v>
                </c:pt>
                <c:pt idx="81">
                  <c:v>36069</c:v>
                </c:pt>
                <c:pt idx="82">
                  <c:v>36100</c:v>
                </c:pt>
                <c:pt idx="83">
                  <c:v>36130</c:v>
                </c:pt>
                <c:pt idx="84">
                  <c:v>36161</c:v>
                </c:pt>
                <c:pt idx="85">
                  <c:v>36192</c:v>
                </c:pt>
                <c:pt idx="86">
                  <c:v>36220</c:v>
                </c:pt>
                <c:pt idx="87">
                  <c:v>36251</c:v>
                </c:pt>
                <c:pt idx="88">
                  <c:v>36281</c:v>
                </c:pt>
                <c:pt idx="89">
                  <c:v>36312</c:v>
                </c:pt>
                <c:pt idx="90">
                  <c:v>36342</c:v>
                </c:pt>
                <c:pt idx="91">
                  <c:v>36373</c:v>
                </c:pt>
                <c:pt idx="92">
                  <c:v>36404</c:v>
                </c:pt>
                <c:pt idx="93">
                  <c:v>36434</c:v>
                </c:pt>
                <c:pt idx="94">
                  <c:v>36465</c:v>
                </c:pt>
                <c:pt idx="95">
                  <c:v>36495</c:v>
                </c:pt>
                <c:pt idx="96">
                  <c:v>36526</c:v>
                </c:pt>
                <c:pt idx="97">
                  <c:v>36557</c:v>
                </c:pt>
                <c:pt idx="98">
                  <c:v>36586</c:v>
                </c:pt>
                <c:pt idx="99">
                  <c:v>36617</c:v>
                </c:pt>
                <c:pt idx="100">
                  <c:v>36647</c:v>
                </c:pt>
                <c:pt idx="101">
                  <c:v>36678</c:v>
                </c:pt>
                <c:pt idx="102">
                  <c:v>36708</c:v>
                </c:pt>
                <c:pt idx="103">
                  <c:v>36739</c:v>
                </c:pt>
                <c:pt idx="104">
                  <c:v>36770</c:v>
                </c:pt>
                <c:pt idx="105">
                  <c:v>36800</c:v>
                </c:pt>
                <c:pt idx="106">
                  <c:v>36831</c:v>
                </c:pt>
                <c:pt idx="107">
                  <c:v>36861</c:v>
                </c:pt>
                <c:pt idx="108">
                  <c:v>36892</c:v>
                </c:pt>
                <c:pt idx="109">
                  <c:v>36923</c:v>
                </c:pt>
                <c:pt idx="110">
                  <c:v>36951</c:v>
                </c:pt>
                <c:pt idx="111">
                  <c:v>36982</c:v>
                </c:pt>
                <c:pt idx="112">
                  <c:v>37012</c:v>
                </c:pt>
                <c:pt idx="113">
                  <c:v>37043</c:v>
                </c:pt>
                <c:pt idx="114">
                  <c:v>37073</c:v>
                </c:pt>
                <c:pt idx="115">
                  <c:v>37104</c:v>
                </c:pt>
                <c:pt idx="116">
                  <c:v>37135</c:v>
                </c:pt>
                <c:pt idx="117">
                  <c:v>37165</c:v>
                </c:pt>
                <c:pt idx="118">
                  <c:v>37196</c:v>
                </c:pt>
                <c:pt idx="119">
                  <c:v>37226</c:v>
                </c:pt>
                <c:pt idx="120">
                  <c:v>37257</c:v>
                </c:pt>
                <c:pt idx="121">
                  <c:v>37288</c:v>
                </c:pt>
                <c:pt idx="122">
                  <c:v>37316</c:v>
                </c:pt>
                <c:pt idx="123">
                  <c:v>37347</c:v>
                </c:pt>
                <c:pt idx="124">
                  <c:v>37377</c:v>
                </c:pt>
                <c:pt idx="125">
                  <c:v>37408</c:v>
                </c:pt>
                <c:pt idx="126">
                  <c:v>37438</c:v>
                </c:pt>
                <c:pt idx="127">
                  <c:v>37469</c:v>
                </c:pt>
                <c:pt idx="128">
                  <c:v>37500</c:v>
                </c:pt>
                <c:pt idx="129">
                  <c:v>37530</c:v>
                </c:pt>
                <c:pt idx="130">
                  <c:v>37561</c:v>
                </c:pt>
                <c:pt idx="131">
                  <c:v>37591</c:v>
                </c:pt>
                <c:pt idx="132">
                  <c:v>37622</c:v>
                </c:pt>
                <c:pt idx="133">
                  <c:v>37653</c:v>
                </c:pt>
                <c:pt idx="134">
                  <c:v>37681</c:v>
                </c:pt>
                <c:pt idx="135">
                  <c:v>37712</c:v>
                </c:pt>
                <c:pt idx="136">
                  <c:v>37742</c:v>
                </c:pt>
                <c:pt idx="137">
                  <c:v>37773</c:v>
                </c:pt>
                <c:pt idx="138">
                  <c:v>37803</c:v>
                </c:pt>
                <c:pt idx="139">
                  <c:v>37834</c:v>
                </c:pt>
                <c:pt idx="140">
                  <c:v>37865</c:v>
                </c:pt>
                <c:pt idx="141">
                  <c:v>37895</c:v>
                </c:pt>
                <c:pt idx="142">
                  <c:v>37926</c:v>
                </c:pt>
                <c:pt idx="143">
                  <c:v>37956</c:v>
                </c:pt>
                <c:pt idx="144">
                  <c:v>37987</c:v>
                </c:pt>
                <c:pt idx="145">
                  <c:v>38018</c:v>
                </c:pt>
                <c:pt idx="146">
                  <c:v>38047</c:v>
                </c:pt>
                <c:pt idx="147">
                  <c:v>38078</c:v>
                </c:pt>
                <c:pt idx="148">
                  <c:v>38108</c:v>
                </c:pt>
                <c:pt idx="149">
                  <c:v>38139</c:v>
                </c:pt>
                <c:pt idx="150">
                  <c:v>38169</c:v>
                </c:pt>
                <c:pt idx="151">
                  <c:v>38200</c:v>
                </c:pt>
                <c:pt idx="152">
                  <c:v>38231</c:v>
                </c:pt>
                <c:pt idx="153">
                  <c:v>38261</c:v>
                </c:pt>
                <c:pt idx="154">
                  <c:v>38292</c:v>
                </c:pt>
                <c:pt idx="155">
                  <c:v>38322</c:v>
                </c:pt>
                <c:pt idx="156">
                  <c:v>38353</c:v>
                </c:pt>
                <c:pt idx="157">
                  <c:v>38384</c:v>
                </c:pt>
                <c:pt idx="158">
                  <c:v>38412</c:v>
                </c:pt>
                <c:pt idx="159">
                  <c:v>38443</c:v>
                </c:pt>
                <c:pt idx="160">
                  <c:v>38473</c:v>
                </c:pt>
                <c:pt idx="161">
                  <c:v>38504</c:v>
                </c:pt>
                <c:pt idx="162">
                  <c:v>38534</c:v>
                </c:pt>
                <c:pt idx="163">
                  <c:v>38565</c:v>
                </c:pt>
                <c:pt idx="164">
                  <c:v>38596</c:v>
                </c:pt>
                <c:pt idx="165">
                  <c:v>38626</c:v>
                </c:pt>
                <c:pt idx="166">
                  <c:v>38657</c:v>
                </c:pt>
                <c:pt idx="167">
                  <c:v>38687</c:v>
                </c:pt>
                <c:pt idx="168">
                  <c:v>38718</c:v>
                </c:pt>
                <c:pt idx="169">
                  <c:v>38749</c:v>
                </c:pt>
                <c:pt idx="170">
                  <c:v>38777</c:v>
                </c:pt>
                <c:pt idx="171">
                  <c:v>38808</c:v>
                </c:pt>
                <c:pt idx="172">
                  <c:v>38838</c:v>
                </c:pt>
                <c:pt idx="173">
                  <c:v>38869</c:v>
                </c:pt>
                <c:pt idx="174">
                  <c:v>38899</c:v>
                </c:pt>
                <c:pt idx="175">
                  <c:v>38930</c:v>
                </c:pt>
                <c:pt idx="176">
                  <c:v>38961</c:v>
                </c:pt>
                <c:pt idx="177">
                  <c:v>38991</c:v>
                </c:pt>
                <c:pt idx="178">
                  <c:v>39022</c:v>
                </c:pt>
                <c:pt idx="179">
                  <c:v>39052</c:v>
                </c:pt>
                <c:pt idx="180">
                  <c:v>39083</c:v>
                </c:pt>
                <c:pt idx="181">
                  <c:v>39114</c:v>
                </c:pt>
                <c:pt idx="182">
                  <c:v>39142</c:v>
                </c:pt>
                <c:pt idx="183">
                  <c:v>39173</c:v>
                </c:pt>
                <c:pt idx="184">
                  <c:v>39203</c:v>
                </c:pt>
                <c:pt idx="185">
                  <c:v>39234</c:v>
                </c:pt>
                <c:pt idx="186">
                  <c:v>39264</c:v>
                </c:pt>
                <c:pt idx="187">
                  <c:v>39295</c:v>
                </c:pt>
                <c:pt idx="188">
                  <c:v>39326</c:v>
                </c:pt>
                <c:pt idx="189">
                  <c:v>39356</c:v>
                </c:pt>
                <c:pt idx="190">
                  <c:v>39387</c:v>
                </c:pt>
                <c:pt idx="191">
                  <c:v>39417</c:v>
                </c:pt>
                <c:pt idx="192">
                  <c:v>39448</c:v>
                </c:pt>
                <c:pt idx="193">
                  <c:v>39479</c:v>
                </c:pt>
                <c:pt idx="194">
                  <c:v>39508</c:v>
                </c:pt>
                <c:pt idx="195">
                  <c:v>39539</c:v>
                </c:pt>
                <c:pt idx="196">
                  <c:v>39569</c:v>
                </c:pt>
                <c:pt idx="197">
                  <c:v>39600</c:v>
                </c:pt>
                <c:pt idx="198">
                  <c:v>39630</c:v>
                </c:pt>
                <c:pt idx="199">
                  <c:v>39661</c:v>
                </c:pt>
                <c:pt idx="200">
                  <c:v>39692</c:v>
                </c:pt>
                <c:pt idx="201">
                  <c:v>39722</c:v>
                </c:pt>
                <c:pt idx="202">
                  <c:v>39753</c:v>
                </c:pt>
                <c:pt idx="203">
                  <c:v>39783</c:v>
                </c:pt>
                <c:pt idx="204">
                  <c:v>39814</c:v>
                </c:pt>
                <c:pt idx="205">
                  <c:v>39845</c:v>
                </c:pt>
                <c:pt idx="206">
                  <c:v>39873</c:v>
                </c:pt>
                <c:pt idx="207">
                  <c:v>39904</c:v>
                </c:pt>
                <c:pt idx="208">
                  <c:v>39934</c:v>
                </c:pt>
                <c:pt idx="209">
                  <c:v>39965</c:v>
                </c:pt>
                <c:pt idx="210">
                  <c:v>39995</c:v>
                </c:pt>
                <c:pt idx="211">
                  <c:v>40026</c:v>
                </c:pt>
                <c:pt idx="212">
                  <c:v>40057</c:v>
                </c:pt>
                <c:pt idx="213">
                  <c:v>40087</c:v>
                </c:pt>
                <c:pt idx="214">
                  <c:v>40118</c:v>
                </c:pt>
                <c:pt idx="215">
                  <c:v>40148</c:v>
                </c:pt>
                <c:pt idx="216">
                  <c:v>40179</c:v>
                </c:pt>
                <c:pt idx="217">
                  <c:v>40210</c:v>
                </c:pt>
                <c:pt idx="218">
                  <c:v>40238</c:v>
                </c:pt>
                <c:pt idx="219">
                  <c:v>40269</c:v>
                </c:pt>
                <c:pt idx="220">
                  <c:v>40299</c:v>
                </c:pt>
                <c:pt idx="221">
                  <c:v>40330</c:v>
                </c:pt>
                <c:pt idx="222">
                  <c:v>40360</c:v>
                </c:pt>
                <c:pt idx="223">
                  <c:v>40391</c:v>
                </c:pt>
                <c:pt idx="224">
                  <c:v>40422</c:v>
                </c:pt>
                <c:pt idx="225">
                  <c:v>40452</c:v>
                </c:pt>
                <c:pt idx="226">
                  <c:v>40483</c:v>
                </c:pt>
                <c:pt idx="227">
                  <c:v>40513</c:v>
                </c:pt>
                <c:pt idx="228">
                  <c:v>40544</c:v>
                </c:pt>
                <c:pt idx="229">
                  <c:v>40575</c:v>
                </c:pt>
                <c:pt idx="230">
                  <c:v>40603</c:v>
                </c:pt>
                <c:pt idx="231">
                  <c:v>40634</c:v>
                </c:pt>
                <c:pt idx="232">
                  <c:v>40664</c:v>
                </c:pt>
                <c:pt idx="233">
                  <c:v>40695</c:v>
                </c:pt>
                <c:pt idx="234">
                  <c:v>40725</c:v>
                </c:pt>
                <c:pt idx="235">
                  <c:v>40756</c:v>
                </c:pt>
                <c:pt idx="236">
                  <c:v>40787</c:v>
                </c:pt>
                <c:pt idx="237">
                  <c:v>40817</c:v>
                </c:pt>
                <c:pt idx="238">
                  <c:v>40848</c:v>
                </c:pt>
                <c:pt idx="239">
                  <c:v>40878</c:v>
                </c:pt>
                <c:pt idx="240">
                  <c:v>40909</c:v>
                </c:pt>
                <c:pt idx="241">
                  <c:v>40940</c:v>
                </c:pt>
                <c:pt idx="242">
                  <c:v>40969</c:v>
                </c:pt>
                <c:pt idx="243">
                  <c:v>41000</c:v>
                </c:pt>
                <c:pt idx="244">
                  <c:v>41030</c:v>
                </c:pt>
                <c:pt idx="245">
                  <c:v>41061</c:v>
                </c:pt>
                <c:pt idx="246">
                  <c:v>41091</c:v>
                </c:pt>
                <c:pt idx="247">
                  <c:v>41122</c:v>
                </c:pt>
                <c:pt idx="248">
                  <c:v>41153</c:v>
                </c:pt>
                <c:pt idx="249">
                  <c:v>41183</c:v>
                </c:pt>
                <c:pt idx="250">
                  <c:v>41214</c:v>
                </c:pt>
                <c:pt idx="251">
                  <c:v>41244</c:v>
                </c:pt>
                <c:pt idx="252">
                  <c:v>41275</c:v>
                </c:pt>
                <c:pt idx="253">
                  <c:v>41306</c:v>
                </c:pt>
                <c:pt idx="254">
                  <c:v>41334</c:v>
                </c:pt>
                <c:pt idx="255">
                  <c:v>41365</c:v>
                </c:pt>
                <c:pt idx="256">
                  <c:v>41395</c:v>
                </c:pt>
                <c:pt idx="257">
                  <c:v>41426</c:v>
                </c:pt>
                <c:pt idx="258">
                  <c:v>41456</c:v>
                </c:pt>
                <c:pt idx="259">
                  <c:v>41487</c:v>
                </c:pt>
                <c:pt idx="260">
                  <c:v>41518</c:v>
                </c:pt>
                <c:pt idx="261">
                  <c:v>41548</c:v>
                </c:pt>
                <c:pt idx="262">
                  <c:v>41579</c:v>
                </c:pt>
                <c:pt idx="263">
                  <c:v>41609</c:v>
                </c:pt>
                <c:pt idx="264">
                  <c:v>41640</c:v>
                </c:pt>
                <c:pt idx="265">
                  <c:v>41671</c:v>
                </c:pt>
                <c:pt idx="266">
                  <c:v>41699</c:v>
                </c:pt>
                <c:pt idx="267">
                  <c:v>41730</c:v>
                </c:pt>
                <c:pt idx="268">
                  <c:v>41760</c:v>
                </c:pt>
                <c:pt idx="269">
                  <c:v>41791</c:v>
                </c:pt>
                <c:pt idx="270">
                  <c:v>41821</c:v>
                </c:pt>
                <c:pt idx="271">
                  <c:v>41852</c:v>
                </c:pt>
                <c:pt idx="272">
                  <c:v>41883</c:v>
                </c:pt>
                <c:pt idx="273">
                  <c:v>41913</c:v>
                </c:pt>
                <c:pt idx="274">
                  <c:v>41944</c:v>
                </c:pt>
                <c:pt idx="275">
                  <c:v>41974</c:v>
                </c:pt>
                <c:pt idx="276">
                  <c:v>42005</c:v>
                </c:pt>
                <c:pt idx="277">
                  <c:v>42036</c:v>
                </c:pt>
                <c:pt idx="278">
                  <c:v>42064</c:v>
                </c:pt>
                <c:pt idx="279">
                  <c:v>42095</c:v>
                </c:pt>
                <c:pt idx="280">
                  <c:v>42125</c:v>
                </c:pt>
                <c:pt idx="281">
                  <c:v>42156</c:v>
                </c:pt>
                <c:pt idx="282">
                  <c:v>42186</c:v>
                </c:pt>
                <c:pt idx="283">
                  <c:v>42217</c:v>
                </c:pt>
                <c:pt idx="284">
                  <c:v>42248</c:v>
                </c:pt>
                <c:pt idx="285">
                  <c:v>42278</c:v>
                </c:pt>
                <c:pt idx="286">
                  <c:v>42309</c:v>
                </c:pt>
                <c:pt idx="287">
                  <c:v>42339</c:v>
                </c:pt>
                <c:pt idx="288">
                  <c:v>42370</c:v>
                </c:pt>
                <c:pt idx="289">
                  <c:v>42401</c:v>
                </c:pt>
                <c:pt idx="290">
                  <c:v>42430</c:v>
                </c:pt>
                <c:pt idx="291">
                  <c:v>42461</c:v>
                </c:pt>
                <c:pt idx="292">
                  <c:v>42491</c:v>
                </c:pt>
                <c:pt idx="293">
                  <c:v>42522</c:v>
                </c:pt>
                <c:pt idx="294">
                  <c:v>42552</c:v>
                </c:pt>
                <c:pt idx="295">
                  <c:v>42583</c:v>
                </c:pt>
                <c:pt idx="296">
                  <c:v>42614</c:v>
                </c:pt>
                <c:pt idx="297">
                  <c:v>42644</c:v>
                </c:pt>
                <c:pt idx="298">
                  <c:v>42675</c:v>
                </c:pt>
                <c:pt idx="299">
                  <c:v>42705</c:v>
                </c:pt>
                <c:pt idx="300">
                  <c:v>42736</c:v>
                </c:pt>
                <c:pt idx="301">
                  <c:v>42767</c:v>
                </c:pt>
                <c:pt idx="302">
                  <c:v>42795</c:v>
                </c:pt>
                <c:pt idx="303">
                  <c:v>42826</c:v>
                </c:pt>
                <c:pt idx="304">
                  <c:v>42856</c:v>
                </c:pt>
                <c:pt idx="305">
                  <c:v>42887</c:v>
                </c:pt>
                <c:pt idx="306">
                  <c:v>42917</c:v>
                </c:pt>
                <c:pt idx="307">
                  <c:v>42948</c:v>
                </c:pt>
                <c:pt idx="308">
                  <c:v>42979</c:v>
                </c:pt>
                <c:pt idx="309">
                  <c:v>43009</c:v>
                </c:pt>
                <c:pt idx="310">
                  <c:v>43040</c:v>
                </c:pt>
                <c:pt idx="311">
                  <c:v>43070</c:v>
                </c:pt>
                <c:pt idx="312">
                  <c:v>43101</c:v>
                </c:pt>
                <c:pt idx="313">
                  <c:v>43132</c:v>
                </c:pt>
                <c:pt idx="314">
                  <c:v>43160</c:v>
                </c:pt>
                <c:pt idx="315">
                  <c:v>43191</c:v>
                </c:pt>
                <c:pt idx="316">
                  <c:v>43221</c:v>
                </c:pt>
                <c:pt idx="317">
                  <c:v>43252</c:v>
                </c:pt>
                <c:pt idx="318">
                  <c:v>43282</c:v>
                </c:pt>
                <c:pt idx="319">
                  <c:v>43313</c:v>
                </c:pt>
                <c:pt idx="320">
                  <c:v>43344</c:v>
                </c:pt>
                <c:pt idx="321">
                  <c:v>43374</c:v>
                </c:pt>
                <c:pt idx="322">
                  <c:v>43405</c:v>
                </c:pt>
                <c:pt idx="323">
                  <c:v>43435</c:v>
                </c:pt>
                <c:pt idx="324">
                  <c:v>43466</c:v>
                </c:pt>
                <c:pt idx="325">
                  <c:v>43497</c:v>
                </c:pt>
                <c:pt idx="326">
                  <c:v>43525</c:v>
                </c:pt>
                <c:pt idx="327">
                  <c:v>43556</c:v>
                </c:pt>
                <c:pt idx="328">
                  <c:v>43586</c:v>
                </c:pt>
                <c:pt idx="329">
                  <c:v>43617</c:v>
                </c:pt>
                <c:pt idx="330">
                  <c:v>43647</c:v>
                </c:pt>
                <c:pt idx="331">
                  <c:v>43678</c:v>
                </c:pt>
                <c:pt idx="332">
                  <c:v>43709</c:v>
                </c:pt>
                <c:pt idx="333">
                  <c:v>43739</c:v>
                </c:pt>
                <c:pt idx="334">
                  <c:v>43770</c:v>
                </c:pt>
                <c:pt idx="335">
                  <c:v>43800</c:v>
                </c:pt>
                <c:pt idx="336">
                  <c:v>43831</c:v>
                </c:pt>
                <c:pt idx="337">
                  <c:v>43862</c:v>
                </c:pt>
                <c:pt idx="338">
                  <c:v>43891</c:v>
                </c:pt>
                <c:pt idx="339">
                  <c:v>43922</c:v>
                </c:pt>
                <c:pt idx="340">
                  <c:v>43952</c:v>
                </c:pt>
                <c:pt idx="341">
                  <c:v>43983</c:v>
                </c:pt>
                <c:pt idx="342">
                  <c:v>44013</c:v>
                </c:pt>
                <c:pt idx="343">
                  <c:v>44044</c:v>
                </c:pt>
                <c:pt idx="344">
                  <c:v>44075</c:v>
                </c:pt>
                <c:pt idx="345">
                  <c:v>44105</c:v>
                </c:pt>
                <c:pt idx="346">
                  <c:v>44136</c:v>
                </c:pt>
                <c:pt idx="347">
                  <c:v>44166</c:v>
                </c:pt>
                <c:pt idx="348">
                  <c:v>44197</c:v>
                </c:pt>
                <c:pt idx="349">
                  <c:v>44228</c:v>
                </c:pt>
                <c:pt idx="350">
                  <c:v>44256</c:v>
                </c:pt>
                <c:pt idx="351">
                  <c:v>44287</c:v>
                </c:pt>
                <c:pt idx="352">
                  <c:v>44317</c:v>
                </c:pt>
                <c:pt idx="353">
                  <c:v>44348</c:v>
                </c:pt>
              </c:numCache>
            </c:numRef>
          </c:cat>
          <c:val>
            <c:numRef>
              <c:f>'Gas Station'!$D$7:$D$360</c:f>
              <c:numCache>
                <c:formatCode>General</c:formatCode>
                <c:ptCount val="354"/>
                <c:pt idx="12" formatCode="0.00%">
                  <c:v>4.6473482777474026E-2</c:v>
                </c:pt>
                <c:pt idx="13" formatCode="0.00%">
                  <c:v>7.8961987143877477E-2</c:v>
                </c:pt>
                <c:pt idx="14" formatCode="0.00%">
                  <c:v>6.709391565788432E-2</c:v>
                </c:pt>
                <c:pt idx="15" formatCode="0.00%">
                  <c:v>6.5224232887490172E-2</c:v>
                </c:pt>
                <c:pt idx="16" formatCode="0.00%">
                  <c:v>5.058275058275058E-2</c:v>
                </c:pt>
                <c:pt idx="17" formatCode="0.00%">
                  <c:v>4.4622070464069533E-2</c:v>
                </c:pt>
                <c:pt idx="18" formatCode="0.00%">
                  <c:v>4.1338886318062623E-2</c:v>
                </c:pt>
                <c:pt idx="19" formatCode="0.00%">
                  <c:v>2.1387106630003056E-2</c:v>
                </c:pt>
                <c:pt idx="20" formatCode="0.00%">
                  <c:v>1.2834063113392722E-2</c:v>
                </c:pt>
                <c:pt idx="21" formatCode="0.00%">
                  <c:v>3.3899579073962717E-2</c:v>
                </c:pt>
                <c:pt idx="22" formatCode="0.00%">
                  <c:v>2.9645156460547988E-2</c:v>
                </c:pt>
                <c:pt idx="23" formatCode="0.00%">
                  <c:v>1.1280148423005567E-2</c:v>
                </c:pt>
                <c:pt idx="24" formatCode="0.00%">
                  <c:v>1.9256605463502014E-2</c:v>
                </c:pt>
                <c:pt idx="25" formatCode="0.00%">
                  <c:v>2.0520741394527801E-2</c:v>
                </c:pt>
                <c:pt idx="26" formatCode="0.00%">
                  <c:v>3.1437680729591459E-2</c:v>
                </c:pt>
                <c:pt idx="27" formatCode="0.00%">
                  <c:v>2.422630918088485E-2</c:v>
                </c:pt>
                <c:pt idx="28" formatCode="0.00%">
                  <c:v>1.8637674728200576E-2</c:v>
                </c:pt>
                <c:pt idx="29" formatCode="0.00%">
                  <c:v>4.4424634128222271E-2</c:v>
                </c:pt>
                <c:pt idx="30" formatCode="0.00%">
                  <c:v>6.0731743445415494E-2</c:v>
                </c:pt>
                <c:pt idx="31" formatCode="0.00%">
                  <c:v>9.8190248279988041E-2</c:v>
                </c:pt>
                <c:pt idx="32" formatCode="0.00%">
                  <c:v>9.1905187835420399E-2</c:v>
                </c:pt>
                <c:pt idx="33" formatCode="0.00%">
                  <c:v>6.9356597600872413E-2</c:v>
                </c:pt>
                <c:pt idx="34" formatCode="0.00%">
                  <c:v>8.1721680965537294E-2</c:v>
                </c:pt>
                <c:pt idx="35" formatCode="0.00%">
                  <c:v>9.2316724150583396E-2</c:v>
                </c:pt>
                <c:pt idx="36" formatCode="0.00%">
                  <c:v>9.2193907439953135E-2</c:v>
                </c:pt>
                <c:pt idx="37" formatCode="0.00%">
                  <c:v>7.8414414414414421E-2</c:v>
                </c:pt>
                <c:pt idx="38" formatCode="0.00%">
                  <c:v>7.2604413773272952E-2</c:v>
                </c:pt>
                <c:pt idx="39" formatCode="0.00%">
                  <c:v>8.3219153385735919E-2</c:v>
                </c:pt>
                <c:pt idx="40" formatCode="0.00%">
                  <c:v>0.10469759674725913</c:v>
                </c:pt>
                <c:pt idx="41" formatCode="0.00%">
                  <c:v>9.0618109396116364E-2</c:v>
                </c:pt>
                <c:pt idx="42" formatCode="0.00%">
                  <c:v>6.4725596983661496E-2</c:v>
                </c:pt>
                <c:pt idx="43" formatCode="0.00%">
                  <c:v>3.6908409942117811E-2</c:v>
                </c:pt>
                <c:pt idx="44" formatCode="0.00%">
                  <c:v>3.7203904703392722E-2</c:v>
                </c:pt>
                <c:pt idx="45" formatCode="0.00%">
                  <c:v>2.0259704942552179E-2</c:v>
                </c:pt>
                <c:pt idx="46" formatCode="0.00%">
                  <c:v>6.9229735179459602E-3</c:v>
                </c:pt>
                <c:pt idx="47" formatCode="0.00%">
                  <c:v>2.4252603291904602E-2</c:v>
                </c:pt>
                <c:pt idx="48" formatCode="0.00%">
                  <c:v>3.7814280925243041E-2</c:v>
                </c:pt>
                <c:pt idx="49" formatCode="0.00%">
                  <c:v>3.3014769765421371E-2</c:v>
                </c:pt>
                <c:pt idx="50" formatCode="0.00%">
                  <c:v>6.9030225856175853E-2</c:v>
                </c:pt>
                <c:pt idx="51" formatCode="0.00%">
                  <c:v>8.1951933959123896E-2</c:v>
                </c:pt>
                <c:pt idx="52" formatCode="0.00%">
                  <c:v>8.366743345382846E-2</c:v>
                </c:pt>
                <c:pt idx="53" formatCode="0.00%">
                  <c:v>6.6457966477532118E-2</c:v>
                </c:pt>
                <c:pt idx="54" formatCode="0.00%">
                  <c:v>5.4167486392550333E-2</c:v>
                </c:pt>
                <c:pt idx="55" formatCode="0.00%">
                  <c:v>5.5099494319301244E-2</c:v>
                </c:pt>
                <c:pt idx="56" formatCode="0.00%">
                  <c:v>5.8839015400816111E-2</c:v>
                </c:pt>
                <c:pt idx="57" formatCode="0.00%">
                  <c:v>9.015792630105951E-2</c:v>
                </c:pt>
                <c:pt idx="58" formatCode="0.00%">
                  <c:v>0.1082037247179761</c:v>
                </c:pt>
                <c:pt idx="59" formatCode="0.00%">
                  <c:v>9.9239144693690148E-2</c:v>
                </c:pt>
                <c:pt idx="60" formatCode="0.00%">
                  <c:v>9.42567349311971E-2</c:v>
                </c:pt>
                <c:pt idx="61" formatCode="0.00%">
                  <c:v>9.879019214595329E-2</c:v>
                </c:pt>
                <c:pt idx="62" formatCode="0.00%">
                  <c:v>6.3820450128518585E-2</c:v>
                </c:pt>
                <c:pt idx="63" formatCode="0.00%">
                  <c:v>2.2212650750676841E-2</c:v>
                </c:pt>
                <c:pt idx="64" formatCode="0.00%">
                  <c:v>-7.3386705482775347E-3</c:v>
                </c:pt>
                <c:pt idx="65" formatCode="0.00%">
                  <c:v>1.5900195694716242E-3</c:v>
                </c:pt>
                <c:pt idx="66" formatCode="0.00%">
                  <c:v>1.9968895800933126E-2</c:v>
                </c:pt>
                <c:pt idx="67" formatCode="0.00%">
                  <c:v>3.8341839910369727E-2</c:v>
                </c:pt>
                <c:pt idx="68" formatCode="0.00%">
                  <c:v>4.1583789159622075E-2</c:v>
                </c:pt>
                <c:pt idx="69" formatCode="0.00%">
                  <c:v>2.145476772616137E-2</c:v>
                </c:pt>
                <c:pt idx="70" formatCode="0.00%">
                  <c:v>2.1684134441633538E-3</c:v>
                </c:pt>
                <c:pt idx="71" formatCode="0.00%">
                  <c:v>-1.3306283191121189E-2</c:v>
                </c:pt>
                <c:pt idx="72" formatCode="0.00%">
                  <c:v>-4.2094698311488959E-2</c:v>
                </c:pt>
                <c:pt idx="73" formatCode="0.00%">
                  <c:v>-5.4757418747056051E-2</c:v>
                </c:pt>
                <c:pt idx="74" formatCode="0.00%">
                  <c:v>-7.4606635629677648E-2</c:v>
                </c:pt>
                <c:pt idx="75" formatCode="0.00%">
                  <c:v>-4.9057966652621444E-2</c:v>
                </c:pt>
                <c:pt idx="76" formatCode="0.00%">
                  <c:v>-1.8940551108938719E-2</c:v>
                </c:pt>
                <c:pt idx="77" formatCode="0.00%">
                  <c:v>-2.7170594700207596E-2</c:v>
                </c:pt>
                <c:pt idx="78" formatCode="0.00%">
                  <c:v>-1.8846060014637716E-2</c:v>
                </c:pt>
                <c:pt idx="79" formatCode="0.00%">
                  <c:v>-4.9814170962714302E-2</c:v>
                </c:pt>
                <c:pt idx="80" formatCode="0.00%">
                  <c:v>-5.6394342662767799E-2</c:v>
                </c:pt>
                <c:pt idx="81" formatCode="0.00%">
                  <c:v>-4.5658548261624077E-2</c:v>
                </c:pt>
                <c:pt idx="82" formatCode="0.00%">
                  <c:v>-3.750450775333574E-2</c:v>
                </c:pt>
                <c:pt idx="83" formatCode="0.00%">
                  <c:v>-8.2849540396710206E-3</c:v>
                </c:pt>
                <c:pt idx="84" formatCode="0.00%">
                  <c:v>1.0416024653312789E-2</c:v>
                </c:pt>
                <c:pt idx="85" formatCode="0.00%">
                  <c:v>1.5883891864955774E-2</c:v>
                </c:pt>
                <c:pt idx="86" formatCode="0.00%">
                  <c:v>5.2601413742596956E-2</c:v>
                </c:pt>
                <c:pt idx="87" formatCode="0.00%">
                  <c:v>8.3364982909229016E-2</c:v>
                </c:pt>
                <c:pt idx="88" formatCode="0.00%">
                  <c:v>7.031201345207698E-2</c:v>
                </c:pt>
                <c:pt idx="89" formatCode="0.00%">
                  <c:v>7.1361325550743746E-2</c:v>
                </c:pt>
                <c:pt idx="90" formatCode="0.00%">
                  <c:v>0.10051594455150122</c:v>
                </c:pt>
                <c:pt idx="91" formatCode="0.00%">
                  <c:v>0.14409185540344457</c:v>
                </c:pt>
                <c:pt idx="92" formatCode="0.00%">
                  <c:v>0.15981533012901594</c:v>
                </c:pt>
                <c:pt idx="93" formatCode="0.00%">
                  <c:v>0.16829696513669426</c:v>
                </c:pt>
                <c:pt idx="94" formatCode="0.00%">
                  <c:v>0.18596228300237291</c:v>
                </c:pt>
                <c:pt idx="95" formatCode="0.00%">
                  <c:v>0.22537959631684859</c:v>
                </c:pt>
                <c:pt idx="96" formatCode="0.00%">
                  <c:v>0.18079785287300232</c:v>
                </c:pt>
                <c:pt idx="97" formatCode="0.00%">
                  <c:v>0.23943834692501073</c:v>
                </c:pt>
                <c:pt idx="98" formatCode="0.00%">
                  <c:v>0.25954383205275577</c:v>
                </c:pt>
                <c:pt idx="99" formatCode="0.00%">
                  <c:v>0.16313175576979258</c:v>
                </c:pt>
                <c:pt idx="100" formatCode="0.00%">
                  <c:v>0.17781915512626556</c:v>
                </c:pt>
                <c:pt idx="101" formatCode="0.00%">
                  <c:v>0.22349150556531927</c:v>
                </c:pt>
                <c:pt idx="102" formatCode="0.00%">
                  <c:v>0.18080659737912336</c:v>
                </c:pt>
                <c:pt idx="103" formatCode="0.00%">
                  <c:v>0.13449131513647641</c:v>
                </c:pt>
                <c:pt idx="104" formatCode="0.00%">
                  <c:v>0.16293145754948471</c:v>
                </c:pt>
                <c:pt idx="105" formatCode="0.00%">
                  <c:v>0.14920566766852728</c:v>
                </c:pt>
                <c:pt idx="106" formatCode="0.00%">
                  <c:v>0.15343302443133952</c:v>
                </c:pt>
                <c:pt idx="107" formatCode="0.00%">
                  <c:v>0.10097039064443891</c:v>
                </c:pt>
                <c:pt idx="108" formatCode="0.00%">
                  <c:v>0.13291662361814238</c:v>
                </c:pt>
                <c:pt idx="109" formatCode="0.00%">
                  <c:v>6.9308400118729588E-2</c:v>
                </c:pt>
                <c:pt idx="110" formatCode="0.00%">
                  <c:v>-8.021518804937797E-3</c:v>
                </c:pt>
                <c:pt idx="111" formatCode="0.00%">
                  <c:v>8.5949665946651932E-2</c:v>
                </c:pt>
                <c:pt idx="112" formatCode="0.00%">
                  <c:v>0.11787372789250074</c:v>
                </c:pt>
                <c:pt idx="113" formatCode="0.00%">
                  <c:v>4.9940148431888917E-2</c:v>
                </c:pt>
                <c:pt idx="114" formatCode="0.00%">
                  <c:v>-1.0475962688352068E-2</c:v>
                </c:pt>
                <c:pt idx="115" formatCode="0.00%">
                  <c:v>1.4775930786429473E-2</c:v>
                </c:pt>
                <c:pt idx="116" formatCode="0.00%">
                  <c:v>4.2200028133352089E-4</c:v>
                </c:pt>
                <c:pt idx="117" formatCode="0.00%">
                  <c:v>-6.4403138427050255E-2</c:v>
                </c:pt>
                <c:pt idx="118" formatCode="0.00%">
                  <c:v>-0.12147356888523692</c:v>
                </c:pt>
                <c:pt idx="119" formatCode="0.00%">
                  <c:v>-0.14346411137226542</c:v>
                </c:pt>
                <c:pt idx="120" formatCode="0.00%">
                  <c:v>-0.12771875427477086</c:v>
                </c:pt>
                <c:pt idx="121" formatCode="0.00%">
                  <c:v>-0.11783483691880639</c:v>
                </c:pt>
                <c:pt idx="122" formatCode="0.00%">
                  <c:v>-4.0625605268254893E-2</c:v>
                </c:pt>
                <c:pt idx="123" formatCode="0.00%">
                  <c:v>-3.5248404107688036E-2</c:v>
                </c:pt>
                <c:pt idx="124" formatCode="0.00%">
                  <c:v>-7.503977373165989E-2</c:v>
                </c:pt>
                <c:pt idx="125" formatCode="0.00%">
                  <c:v>-5.4496534111638087E-2</c:v>
                </c:pt>
                <c:pt idx="126" formatCode="0.00%">
                  <c:v>3.635308904573141E-2</c:v>
                </c:pt>
                <c:pt idx="127" formatCode="0.00%">
                  <c:v>1.4560781684069355E-2</c:v>
                </c:pt>
                <c:pt idx="128" formatCode="0.00%">
                  <c:v>-2.9996250468691415E-3</c:v>
                </c:pt>
                <c:pt idx="129" formatCode="0.00%">
                  <c:v>8.1166075974641844E-2</c:v>
                </c:pt>
                <c:pt idx="130" formatCode="0.00%">
                  <c:v>0.14362171992725384</c:v>
                </c:pt>
                <c:pt idx="131" formatCode="0.00%">
                  <c:v>0.1854353562005277</c:v>
                </c:pt>
                <c:pt idx="132" formatCode="0.00%">
                  <c:v>0.2061160480920021</c:v>
                </c:pt>
                <c:pt idx="133" formatCode="0.00%">
                  <c:v>0.25262219425215021</c:v>
                </c:pt>
                <c:pt idx="134" formatCode="0.00%">
                  <c:v>0.20971079594205824</c:v>
                </c:pt>
                <c:pt idx="135" formatCode="0.00%">
                  <c:v>8.2710011507479864E-2</c:v>
                </c:pt>
                <c:pt idx="136" formatCode="0.00%">
                  <c:v>4.2044911610129E-2</c:v>
                </c:pt>
                <c:pt idx="137" formatCode="0.00%">
                  <c:v>5.0354507307191432E-2</c:v>
                </c:pt>
                <c:pt idx="138" formatCode="0.00%">
                  <c:v>3.5357775911932086E-2</c:v>
                </c:pt>
                <c:pt idx="139" formatCode="0.00%">
                  <c:v>8.9273911811915782E-2</c:v>
                </c:pt>
                <c:pt idx="140" formatCode="0.00%">
                  <c:v>9.1293719443399771E-2</c:v>
                </c:pt>
                <c:pt idx="141" formatCode="0.00%">
                  <c:v>4.8709543376887203E-2</c:v>
                </c:pt>
                <c:pt idx="142" formatCode="0.00%">
                  <c:v>6.6472806579126714E-2</c:v>
                </c:pt>
                <c:pt idx="143" formatCode="0.00%">
                  <c:v>6.8108974358974353E-2</c:v>
                </c:pt>
                <c:pt idx="144" formatCode="0.00%">
                  <c:v>7.8706713474624018E-2</c:v>
                </c:pt>
                <c:pt idx="145" formatCode="0.00%">
                  <c:v>5.7400041867280718E-2</c:v>
                </c:pt>
                <c:pt idx="146" formatCode="0.00%">
                  <c:v>7.1386849132176231E-2</c:v>
                </c:pt>
                <c:pt idx="147" formatCode="0.00%">
                  <c:v>0.13006509897701607</c:v>
                </c:pt>
                <c:pt idx="148" formatCode="0.00%">
                  <c:v>0.23846859238881246</c:v>
                </c:pt>
                <c:pt idx="149" formatCode="0.00%">
                  <c:v>0.24213619874179179</c:v>
                </c:pt>
                <c:pt idx="150" formatCode="0.00%">
                  <c:v>0.20494683726797622</c:v>
                </c:pt>
                <c:pt idx="151" formatCode="0.00%">
                  <c:v>0.15078229965760845</c:v>
                </c:pt>
                <c:pt idx="152" formatCode="0.00%">
                  <c:v>0.17002670802102179</c:v>
                </c:pt>
                <c:pt idx="153" formatCode="0.00%">
                  <c:v>0.26160077485251387</c:v>
                </c:pt>
                <c:pt idx="154" formatCode="0.00%">
                  <c:v>0.25038343558282211</c:v>
                </c:pt>
                <c:pt idx="155" formatCode="0.00%">
                  <c:v>0.2105526381595399</c:v>
                </c:pt>
                <c:pt idx="156" formatCode="0.00%">
                  <c:v>0.14006187472377354</c:v>
                </c:pt>
                <c:pt idx="157" formatCode="0.00%">
                  <c:v>0.14883592017738359</c:v>
                </c:pt>
                <c:pt idx="158" formatCode="0.00%">
                  <c:v>0.14872074457728104</c:v>
                </c:pt>
                <c:pt idx="159" formatCode="0.00%">
                  <c:v>0.17599341641194452</c:v>
                </c:pt>
                <c:pt idx="160" formatCode="0.00%">
                  <c:v>7.8819740105882788E-2</c:v>
                </c:pt>
                <c:pt idx="161" formatCode="0.00%">
                  <c:v>0.10495378927911275</c:v>
                </c:pt>
                <c:pt idx="162" formatCode="0.00%">
                  <c:v>0.15819779398018322</c:v>
                </c:pt>
                <c:pt idx="163" formatCode="0.00%">
                  <c:v>0.25787134679120216</c:v>
                </c:pt>
                <c:pt idx="164" formatCode="0.00%">
                  <c:v>0.32970067376017081</c:v>
                </c:pt>
                <c:pt idx="165" formatCode="0.00%">
                  <c:v>0.2531756002233389</c:v>
                </c:pt>
                <c:pt idx="166" formatCode="0.00%">
                  <c:v>0.1307029200313469</c:v>
                </c:pt>
                <c:pt idx="167" formatCode="0.00%">
                  <c:v>0.14143083384975555</c:v>
                </c:pt>
                <c:pt idx="168" formatCode="0.00%">
                  <c:v>0.20874008810572686</c:v>
                </c:pt>
                <c:pt idx="169" formatCode="0.00%">
                  <c:v>0.17780458383594691</c:v>
                </c:pt>
                <c:pt idx="170" formatCode="0.00%">
                  <c:v>0.15923113431419078</c:v>
                </c:pt>
                <c:pt idx="171" formatCode="0.00%">
                  <c:v>0.18784364690592822</c:v>
                </c:pt>
                <c:pt idx="172" formatCode="0.00%">
                  <c:v>0.24087165408373371</c:v>
                </c:pt>
                <c:pt idx="173" formatCode="0.00%">
                  <c:v>0.21208471343972699</c:v>
                </c:pt>
                <c:pt idx="174" formatCode="0.00%">
                  <c:v>0.19327866735537191</c:v>
                </c:pt>
                <c:pt idx="175" formatCode="0.00%">
                  <c:v>0.1286565466031917</c:v>
                </c:pt>
                <c:pt idx="176" formatCode="0.00%">
                  <c:v>-3.2700188282201795E-2</c:v>
                </c:pt>
                <c:pt idx="177" formatCode="0.00%">
                  <c:v>-8.3512015816880628E-2</c:v>
                </c:pt>
                <c:pt idx="178" formatCode="0.00%">
                  <c:v>4.128371252071719E-3</c:v>
                </c:pt>
                <c:pt idx="179" formatCode="0.00%">
                  <c:v>5.2512517343306989E-2</c:v>
                </c:pt>
                <c:pt idx="180" formatCode="0.00%">
                  <c:v>-1.5744358271619337E-3</c:v>
                </c:pt>
                <c:pt idx="181" formatCode="0.00%">
                  <c:v>2.2180605138409318E-2</c:v>
                </c:pt>
                <c:pt idx="182" formatCode="0.00%">
                  <c:v>5.2756250913876299E-2</c:v>
                </c:pt>
                <c:pt idx="183" formatCode="0.00%">
                  <c:v>1.9749761544072267E-2</c:v>
                </c:pt>
                <c:pt idx="184" formatCode="0.00%">
                  <c:v>5.0803396111618132E-2</c:v>
                </c:pt>
                <c:pt idx="185" formatCode="0.00%">
                  <c:v>2.9866401678259911E-2</c:v>
                </c:pt>
                <c:pt idx="186" formatCode="0.00%">
                  <c:v>0</c:v>
                </c:pt>
                <c:pt idx="187" formatCode="0.00%">
                  <c:v>-1.2547750424448218E-2</c:v>
                </c:pt>
                <c:pt idx="188" formatCode="0.00%">
                  <c:v>9.3745527408043511E-2</c:v>
                </c:pt>
                <c:pt idx="189" formatCode="0.00%">
                  <c:v>0.19430602819640252</c:v>
                </c:pt>
                <c:pt idx="190" formatCode="0.00%">
                  <c:v>0.2599783926535022</c:v>
                </c:pt>
                <c:pt idx="191" formatCode="0.00%">
                  <c:v>0.19194727038257631</c:v>
                </c:pt>
                <c:pt idx="192" formatCode="0.00%">
                  <c:v>0.23884476112603667</c:v>
                </c:pt>
                <c:pt idx="193" formatCode="0.00%">
                  <c:v>0.21676399862590176</c:v>
                </c:pt>
                <c:pt idx="194" formatCode="0.00%">
                  <c:v>0.19569988055223755</c:v>
                </c:pt>
                <c:pt idx="195" formatCode="0.00%">
                  <c:v>0.18110041265474552</c:v>
                </c:pt>
                <c:pt idx="196" formatCode="0.00%">
                  <c:v>0.16707021791767554</c:v>
                </c:pt>
                <c:pt idx="197" formatCode="0.00%">
                  <c:v>0.24757437684266953</c:v>
                </c:pt>
                <c:pt idx="198" formatCode="0.00%">
                  <c:v>0.26648269891513132</c:v>
                </c:pt>
                <c:pt idx="199" formatCode="0.00%">
                  <c:v>0.22625795878892083</c:v>
                </c:pt>
                <c:pt idx="200" formatCode="0.00%">
                  <c:v>0.19803716304632296</c:v>
                </c:pt>
                <c:pt idx="201" formatCode="0.00%">
                  <c:v>3.2487852036532934E-2</c:v>
                </c:pt>
                <c:pt idx="202" formatCode="0.00%">
                  <c:v>-0.24315827081100394</c:v>
                </c:pt>
                <c:pt idx="203" formatCode="0.00%">
                  <c:v>-0.32683384223306805</c:v>
                </c:pt>
                <c:pt idx="204" formatCode="0.00%">
                  <c:v>-0.32069867760412984</c:v>
                </c:pt>
                <c:pt idx="205" formatCode="0.00%">
                  <c:v>-0.29747788443440615</c:v>
                </c:pt>
                <c:pt idx="206" formatCode="0.00%">
                  <c:v>-0.33033639996282871</c:v>
                </c:pt>
                <c:pt idx="207" formatCode="0.00%">
                  <c:v>-0.33042182004518666</c:v>
                </c:pt>
                <c:pt idx="208" formatCode="0.00%">
                  <c:v>-0.31246617355222805</c:v>
                </c:pt>
                <c:pt idx="209" formatCode="0.00%">
                  <c:v>-0.28298279158699807</c:v>
                </c:pt>
                <c:pt idx="210" formatCode="0.00%">
                  <c:v>-0.29365774464358191</c:v>
                </c:pt>
                <c:pt idx="211" formatCode="0.00%">
                  <c:v>-0.24070544418884873</c:v>
                </c:pt>
                <c:pt idx="212" formatCode="0.00%">
                  <c:v>-0.23979290910282455</c:v>
                </c:pt>
                <c:pt idx="213" formatCode="0.00%">
                  <c:v>-0.14042479794993101</c:v>
                </c:pt>
                <c:pt idx="214" formatCode="0.00%">
                  <c:v>0.15096299093655588</c:v>
                </c:pt>
                <c:pt idx="215" formatCode="0.00%">
                  <c:v>0.32797599914282655</c:v>
                </c:pt>
                <c:pt idx="216" formatCode="0.00%">
                  <c:v>0.29634256367548062</c:v>
                </c:pt>
                <c:pt idx="217" formatCode="0.00%">
                  <c:v>0.23744139316811788</c:v>
                </c:pt>
                <c:pt idx="218" formatCode="0.00%">
                  <c:v>0.28915871639202084</c:v>
                </c:pt>
                <c:pt idx="219" formatCode="0.00%">
                  <c:v>0.29467422687584793</c:v>
                </c:pt>
                <c:pt idx="220" formatCode="0.00%">
                  <c:v>0.20066911571765941</c:v>
                </c:pt>
                <c:pt idx="221" formatCode="0.00%">
                  <c:v>6.7925093632958802E-2</c:v>
                </c:pt>
                <c:pt idx="222" formatCode="0.00%">
                  <c:v>8.1594386983608547E-2</c:v>
                </c:pt>
                <c:pt idx="223" formatCode="0.00%">
                  <c:v>4.4174505164752728E-2</c:v>
                </c:pt>
                <c:pt idx="224" formatCode="0.00%">
                  <c:v>7.347701149425287E-2</c:v>
                </c:pt>
                <c:pt idx="225" formatCode="0.00%">
                  <c:v>0.10305288806077111</c:v>
                </c:pt>
                <c:pt idx="226" formatCode="0.00%">
                  <c:v>7.3797610258934193E-2</c:v>
                </c:pt>
                <c:pt idx="227" formatCode="0.00%">
                  <c:v>0.11018772524339734</c:v>
                </c:pt>
                <c:pt idx="228" formatCode="0.00%">
                  <c:v>0.11831468494030729</c:v>
                </c:pt>
                <c:pt idx="229" formatCode="0.00%">
                  <c:v>0.14462787550744249</c:v>
                </c:pt>
                <c:pt idx="230" formatCode="0.00%">
                  <c:v>0.17930570505920346</c:v>
                </c:pt>
                <c:pt idx="231" formatCode="0.00%">
                  <c:v>0.19845236176043848</c:v>
                </c:pt>
                <c:pt idx="232" formatCode="0.00%">
                  <c:v>0.23750204884445172</c:v>
                </c:pt>
                <c:pt idx="233" formatCode="0.00%">
                  <c:v>0.25172549239661074</c:v>
                </c:pt>
                <c:pt idx="234" formatCode="0.00%">
                  <c:v>0.25137009283077955</c:v>
                </c:pt>
                <c:pt idx="235" formatCode="0.00%">
                  <c:v>0.2455442261460665</c:v>
                </c:pt>
                <c:pt idx="236" formatCode="0.00%">
                  <c:v>0.20678855368471771</c:v>
                </c:pt>
                <c:pt idx="237" formatCode="0.00%">
                  <c:v>0.16543659043659042</c:v>
                </c:pt>
                <c:pt idx="238" formatCode="0.00%">
                  <c:v>0.16169280912609493</c:v>
                </c:pt>
                <c:pt idx="239" formatCode="0.00%">
                  <c:v>9.7192276944693429E-2</c:v>
                </c:pt>
                <c:pt idx="240" formatCode="0.00%">
                  <c:v>9.5121834458327351E-2</c:v>
                </c:pt>
                <c:pt idx="241" formatCode="0.00%">
                  <c:v>0.11531186456707808</c:v>
                </c:pt>
                <c:pt idx="242" formatCode="0.00%">
                  <c:v>8.4841293384752298E-2</c:v>
                </c:pt>
                <c:pt idx="243" formatCode="0.00%">
                  <c:v>5.3851672495740292E-2</c:v>
                </c:pt>
                <c:pt idx="244" formatCode="0.00%">
                  <c:v>1.1214128035320089E-2</c:v>
                </c:pt>
                <c:pt idx="245" formatCode="0.00%">
                  <c:v>-2.169722508629578E-2</c:v>
                </c:pt>
                <c:pt idx="246" formatCode="0.00%">
                  <c:v>-2.8377351745095411E-2</c:v>
                </c:pt>
                <c:pt idx="247" formatCode="0.00%">
                  <c:v>2.9195784803105935E-2</c:v>
                </c:pt>
                <c:pt idx="248" formatCode="0.00%">
                  <c:v>4.491814915043698E-2</c:v>
                </c:pt>
                <c:pt idx="249" formatCode="0.00%">
                  <c:v>6.9794407527984659E-2</c:v>
                </c:pt>
                <c:pt idx="250" formatCode="0.00%">
                  <c:v>2.6303099381877165E-2</c:v>
                </c:pt>
                <c:pt idx="251" formatCode="0.00%">
                  <c:v>1.3137267889867745E-2</c:v>
                </c:pt>
                <c:pt idx="252" formatCode="0.00%">
                  <c:v>6.3822346564084628E-3</c:v>
                </c:pt>
                <c:pt idx="253" formatCode="0.00%">
                  <c:v>3.9748998325242202E-2</c:v>
                </c:pt>
                <c:pt idx="254" formatCode="0.00%">
                  <c:v>9.6758587324625057E-4</c:v>
                </c:pt>
                <c:pt idx="255" formatCode="0.00%">
                  <c:v>-1.7806237501595542E-2</c:v>
                </c:pt>
                <c:pt idx="256" formatCode="0.00%">
                  <c:v>-4.6935033181976947E-3</c:v>
                </c:pt>
                <c:pt idx="257" formatCode="0.00%">
                  <c:v>4.9993126517893963E-2</c:v>
                </c:pt>
                <c:pt idx="258" formatCode="0.00%">
                  <c:v>5.7998344218563147E-2</c:v>
                </c:pt>
                <c:pt idx="259" formatCode="0.00%">
                  <c:v>-1.6231596645901146E-2</c:v>
                </c:pt>
                <c:pt idx="260" formatCode="0.00%">
                  <c:v>-2.876430254526928E-2</c:v>
                </c:pt>
                <c:pt idx="261" formatCode="0.00%">
                  <c:v>-6.0467733866933465E-2</c:v>
                </c:pt>
                <c:pt idx="262" formatCode="0.00%">
                  <c:v>-4.4829353722609031E-2</c:v>
                </c:pt>
                <c:pt idx="263" formatCode="0.00%">
                  <c:v>1.7129407662467854E-2</c:v>
                </c:pt>
                <c:pt idx="264" formatCode="0.00%">
                  <c:v>2.3694726783077057E-2</c:v>
                </c:pt>
                <c:pt idx="265" formatCode="0.00%">
                  <c:v>-3.1072870366594625E-2</c:v>
                </c:pt>
                <c:pt idx="266" formatCode="0.00%">
                  <c:v>-1.5109168470380565E-2</c:v>
                </c:pt>
                <c:pt idx="267" formatCode="0.00%">
                  <c:v>1.9905131148606207E-2</c:v>
                </c:pt>
                <c:pt idx="268" formatCode="0.00%">
                  <c:v>2.6188230649441799E-2</c:v>
                </c:pt>
                <c:pt idx="269" formatCode="0.00%">
                  <c:v>-9.6011172209129793E-4</c:v>
                </c:pt>
                <c:pt idx="270" formatCode="0.00%">
                  <c:v>-4.1516323957744641E-3</c:v>
                </c:pt>
                <c:pt idx="271" formatCode="0.00%">
                  <c:v>5.1492177571322148E-3</c:v>
                </c:pt>
                <c:pt idx="272" formatCode="0.00%">
                  <c:v>-6.8193740164364403E-3</c:v>
                </c:pt>
                <c:pt idx="273" formatCode="0.00%">
                  <c:v>-1.2490293954520244E-2</c:v>
                </c:pt>
                <c:pt idx="274" formatCode="0.00%">
                  <c:v>-2.4193368065648549E-2</c:v>
                </c:pt>
                <c:pt idx="275" formatCode="0.00%">
                  <c:v>-0.13226345560507372</c:v>
                </c:pt>
                <c:pt idx="276" formatCode="0.00%">
                  <c:v>-0.22391004561366287</c:v>
                </c:pt>
                <c:pt idx="277" formatCode="0.00%">
                  <c:v>-0.20441058877993351</c:v>
                </c:pt>
                <c:pt idx="278" formatCode="0.00%">
                  <c:v>-0.18116838781258002</c:v>
                </c:pt>
                <c:pt idx="279" formatCode="0.00%">
                  <c:v>-0.1965681277607883</c:v>
                </c:pt>
                <c:pt idx="280" formatCode="0.00%">
                  <c:v>-0.16068566054673306</c:v>
                </c:pt>
                <c:pt idx="281" formatCode="0.00%">
                  <c:v>-0.12880045430718154</c:v>
                </c:pt>
                <c:pt idx="282" formatCode="0.00%">
                  <c:v>-0.12052821128451381</c:v>
                </c:pt>
                <c:pt idx="283" formatCode="0.00%">
                  <c:v>-0.14483465219192118</c:v>
                </c:pt>
                <c:pt idx="284" formatCode="0.00%">
                  <c:v>-0.1867737676056338</c:v>
                </c:pt>
                <c:pt idx="285" formatCode="0.00%">
                  <c:v>-0.17851365923795831</c:v>
                </c:pt>
                <c:pt idx="286" formatCode="0.00%">
                  <c:v>-0.17201713984555808</c:v>
                </c:pt>
                <c:pt idx="287" formatCode="0.00%">
                  <c:v>-0.11168176992024495</c:v>
                </c:pt>
                <c:pt idx="288" formatCode="0.00%">
                  <c:v>-5.6942128427325663E-2</c:v>
                </c:pt>
                <c:pt idx="289" formatCode="0.00%">
                  <c:v>-0.13073952602623784</c:v>
                </c:pt>
                <c:pt idx="290" formatCode="0.00%">
                  <c:v>-0.10878911848242437</c:v>
                </c:pt>
                <c:pt idx="291" formatCode="0.00%">
                  <c:v>-7.2187566081624022E-2</c:v>
                </c:pt>
                <c:pt idx="292" formatCode="0.00%">
                  <c:v>-8.240596908502891E-2</c:v>
                </c:pt>
                <c:pt idx="293" formatCode="0.00%">
                  <c:v>-6.5685561711835941E-2</c:v>
                </c:pt>
                <c:pt idx="294" formatCode="0.00%">
                  <c:v>-8.6516268334450155E-2</c:v>
                </c:pt>
                <c:pt idx="295" formatCode="0.00%">
                  <c:v>-8.1852711004613929E-2</c:v>
                </c:pt>
                <c:pt idx="296" formatCode="0.00%">
                  <c:v>2.7061402321868318E-4</c:v>
                </c:pt>
                <c:pt idx="297" formatCode="0.00%">
                  <c:v>3.793141169392332E-2</c:v>
                </c:pt>
                <c:pt idx="298" formatCode="0.00%">
                  <c:v>3.9962362318038409E-2</c:v>
                </c:pt>
                <c:pt idx="299" formatCode="0.00%">
                  <c:v>9.5174560818323331E-2</c:v>
                </c:pt>
                <c:pt idx="300" formatCode="0.00%">
                  <c:v>0.15574815931358341</c:v>
                </c:pt>
                <c:pt idx="301" formatCode="0.00%">
                  <c:v>0.22032557431918454</c:v>
                </c:pt>
                <c:pt idx="302" formatCode="0.00%">
                  <c:v>0.16306063972867083</c:v>
                </c:pt>
                <c:pt idx="303" formatCode="0.00%">
                  <c:v>0.12643514429788325</c:v>
                </c:pt>
                <c:pt idx="304" formatCode="0.00%">
                  <c:v>5.6170732384203372E-2</c:v>
                </c:pt>
                <c:pt idx="305" formatCode="0.00%">
                  <c:v>9.8210212788794379E-3</c:v>
                </c:pt>
                <c:pt idx="306" formatCode="0.00%">
                  <c:v>2.0050533865840738E-2</c:v>
                </c:pt>
                <c:pt idx="307" formatCode="0.00%">
                  <c:v>7.626742184463324E-2</c:v>
                </c:pt>
                <c:pt idx="308" formatCode="0.00%">
                  <c:v>0.10434759083407733</c:v>
                </c:pt>
                <c:pt idx="309" formatCode="0.00%">
                  <c:v>7.8702605854609642E-2</c:v>
                </c:pt>
                <c:pt idx="310" formatCode="0.00%">
                  <c:v>0.11780829208579488</c:v>
                </c:pt>
                <c:pt idx="311" formatCode="0.00%">
                  <c:v>8.4263959390862939E-2</c:v>
                </c:pt>
                <c:pt idx="312" formatCode="0.00%">
                  <c:v>7.2458679240550772E-2</c:v>
                </c:pt>
                <c:pt idx="313" formatCode="0.00%">
                  <c:v>7.6746621453149158E-2</c:v>
                </c:pt>
                <c:pt idx="314" formatCode="0.00%">
                  <c:v>7.1218482113678067E-2</c:v>
                </c:pt>
                <c:pt idx="315" formatCode="0.00%">
                  <c:v>7.2434811199069277E-2</c:v>
                </c:pt>
                <c:pt idx="316" formatCode="0.00%">
                  <c:v>0.14367921801508263</c:v>
                </c:pt>
                <c:pt idx="317" formatCode="0.00%">
                  <c:v>0.16315467807509368</c:v>
                </c:pt>
                <c:pt idx="318" formatCode="0.00%">
                  <c:v>0.17656145958183514</c:v>
                </c:pt>
                <c:pt idx="319" formatCode="0.00%">
                  <c:v>0.1509351218883013</c:v>
                </c:pt>
                <c:pt idx="320" formatCode="0.00%">
                  <c:v>8.0083292503674672E-2</c:v>
                </c:pt>
                <c:pt idx="321" formatCode="0.00%">
                  <c:v>0.12061553492916463</c:v>
                </c:pt>
                <c:pt idx="322" formatCode="0.00%">
                  <c:v>4.0876086180216639E-2</c:v>
                </c:pt>
                <c:pt idx="323" formatCode="0.00%">
                  <c:v>-4.1151685393258426E-2</c:v>
                </c:pt>
                <c:pt idx="324" formatCode="0.00%">
                  <c:v>-6.9667913938260051E-2</c:v>
                </c:pt>
                <c:pt idx="325" formatCode="0.00%">
                  <c:v>-4.0385327899221932E-2</c:v>
                </c:pt>
                <c:pt idx="326" formatCode="0.00%">
                  <c:v>1.1733783910635501E-3</c:v>
                </c:pt>
                <c:pt idx="327" formatCode="0.00%">
                  <c:v>2.5564228946065137E-2</c:v>
                </c:pt>
                <c:pt idx="328" formatCode="0.00%">
                  <c:v>-5.7208500861573811E-3</c:v>
                </c:pt>
                <c:pt idx="329" formatCode="0.00%">
                  <c:v>-2.6408973568181299E-2</c:v>
                </c:pt>
                <c:pt idx="330" formatCode="0.00%">
                  <c:v>-1.7566894553357179E-2</c:v>
                </c:pt>
                <c:pt idx="331" formatCode="0.00%">
                  <c:v>-4.1083916083916081E-2</c:v>
                </c:pt>
                <c:pt idx="332" formatCode="0.00%">
                  <c:v>-3.5178842795255051E-2</c:v>
                </c:pt>
                <c:pt idx="333" formatCode="0.00%">
                  <c:v>-5.6933606521644364E-2</c:v>
                </c:pt>
                <c:pt idx="334" formatCode="0.00%">
                  <c:v>-1.102419834408307E-2</c:v>
                </c:pt>
                <c:pt idx="335" formatCode="0.00%">
                  <c:v>7.6436697426883457E-2</c:v>
                </c:pt>
                <c:pt idx="336" formatCode="0.00%">
                  <c:v>8.5819863754053441E-2</c:v>
                </c:pt>
                <c:pt idx="337" formatCode="0.00%">
                  <c:v>4.464285714285714E-3</c:v>
                </c:pt>
                <c:pt idx="338" formatCode="0.00%">
                  <c:v>-0.18716890909943276</c:v>
                </c:pt>
                <c:pt idx="339" formatCode="0.00%">
                  <c:v>-0.39910777933635339</c:v>
                </c:pt>
                <c:pt idx="340" formatCode="0.00%">
                  <c:v>-0.3156483963397726</c:v>
                </c:pt>
                <c:pt idx="341" formatCode="0.00%">
                  <c:v>-0.19536804561559939</c:v>
                </c:pt>
                <c:pt idx="342" formatCode="0.00%">
                  <c:v>-0.17056085533895571</c:v>
                </c:pt>
                <c:pt idx="343" formatCode="0.00%">
                  <c:v>-0.14998948180352009</c:v>
                </c:pt>
                <c:pt idx="344" formatCode="0.00%">
                  <c:v>-0.12997790211105364</c:v>
                </c:pt>
                <c:pt idx="345" formatCode="0.00%">
                  <c:v>-0.14034114547219526</c:v>
                </c:pt>
                <c:pt idx="346" formatCode="0.00%">
                  <c:v>-0.15649861239592969</c:v>
                </c:pt>
                <c:pt idx="347" formatCode="0.00%">
                  <c:v>-0.11328328759667067</c:v>
                </c:pt>
                <c:pt idx="348" formatCode="0.00%">
                  <c:v>-5.3246903576802868E-2</c:v>
                </c:pt>
                <c:pt idx="349" formatCode="0.00%">
                  <c:v>1.3885885885885886E-2</c:v>
                </c:pt>
                <c:pt idx="350" formatCode="0.00%">
                  <c:v>0.33959108342705541</c:v>
                </c:pt>
                <c:pt idx="351" formatCode="0.00%">
                  <c:v>0.75301366193410124</c:v>
                </c:pt>
                <c:pt idx="352" formatCode="0.00%">
                  <c:v>0.57468935710426794</c:v>
                </c:pt>
                <c:pt idx="353" formatCode="0.00%">
                  <c:v>0.4087661485520982</c:v>
                </c:pt>
              </c:numCache>
            </c:numRef>
          </c:val>
          <c:smooth val="0"/>
          <c:extLst>
            <c:ext xmlns:c16="http://schemas.microsoft.com/office/drawing/2014/chart" uri="{C3380CC4-5D6E-409C-BE32-E72D297353CC}">
              <c16:uniqueId val="{00000002-7C65-47E4-BE27-5AE876F2D08B}"/>
            </c:ext>
          </c:extLst>
        </c:ser>
        <c:dLbls>
          <c:showLegendKey val="0"/>
          <c:showVal val="0"/>
          <c:showCatName val="0"/>
          <c:showSerName val="0"/>
          <c:showPercent val="0"/>
          <c:showBubbleSize val="0"/>
        </c:dLbls>
        <c:smooth val="0"/>
        <c:axId val="1045517208"/>
        <c:axId val="1045518520"/>
      </c:lineChart>
      <c:dateAx>
        <c:axId val="1045517208"/>
        <c:scaling>
          <c:orientation val="minMax"/>
        </c:scaling>
        <c:delete val="0"/>
        <c:axPos val="b"/>
        <c:numFmt formatCode="[$-409]mmm\-yy;@" sourceLinked="1"/>
        <c:majorTickMark val="out"/>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518520"/>
        <c:crosses val="autoZero"/>
        <c:auto val="1"/>
        <c:lblOffset val="100"/>
        <c:baseTimeUnit val="months"/>
      </c:dateAx>
      <c:valAx>
        <c:axId val="104551852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51720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Motor!$B$6</c:f>
              <c:strCache>
                <c:ptCount val="1"/>
                <c:pt idx="0">
                  <c:v>Motor Vehicles, mil$</c:v>
                </c:pt>
              </c:strCache>
            </c:strRef>
          </c:tx>
          <c:spPr>
            <a:ln w="28575" cap="rnd">
              <a:solidFill>
                <a:schemeClr val="accent1"/>
              </a:solidFill>
              <a:round/>
            </a:ln>
            <a:effectLst/>
          </c:spPr>
          <c:marker>
            <c:symbol val="none"/>
          </c:marker>
          <c:cat>
            <c:numRef>
              <c:f>Motor!$A$7:$A$350</c:f>
              <c:numCache>
                <c:formatCode>[$-409]mmm\-yy;@</c:formatCode>
                <c:ptCount val="344"/>
                <c:pt idx="0">
                  <c:v>33604</c:v>
                </c:pt>
                <c:pt idx="1">
                  <c:v>33635</c:v>
                </c:pt>
                <c:pt idx="2">
                  <c:v>33664</c:v>
                </c:pt>
                <c:pt idx="3">
                  <c:v>33695</c:v>
                </c:pt>
                <c:pt idx="4">
                  <c:v>33725</c:v>
                </c:pt>
                <c:pt idx="5">
                  <c:v>33756</c:v>
                </c:pt>
                <c:pt idx="6">
                  <c:v>33786</c:v>
                </c:pt>
                <c:pt idx="7">
                  <c:v>33817</c:v>
                </c:pt>
                <c:pt idx="8">
                  <c:v>33848</c:v>
                </c:pt>
                <c:pt idx="9">
                  <c:v>33878</c:v>
                </c:pt>
                <c:pt idx="10">
                  <c:v>33909</c:v>
                </c:pt>
                <c:pt idx="11">
                  <c:v>33939</c:v>
                </c:pt>
                <c:pt idx="12">
                  <c:v>33970</c:v>
                </c:pt>
                <c:pt idx="13">
                  <c:v>34001</c:v>
                </c:pt>
                <c:pt idx="14">
                  <c:v>34029</c:v>
                </c:pt>
                <c:pt idx="15">
                  <c:v>34060</c:v>
                </c:pt>
                <c:pt idx="16">
                  <c:v>34090</c:v>
                </c:pt>
                <c:pt idx="17">
                  <c:v>34121</c:v>
                </c:pt>
                <c:pt idx="18">
                  <c:v>34151</c:v>
                </c:pt>
                <c:pt idx="19">
                  <c:v>34182</c:v>
                </c:pt>
                <c:pt idx="20">
                  <c:v>34213</c:v>
                </c:pt>
                <c:pt idx="21">
                  <c:v>34243</c:v>
                </c:pt>
                <c:pt idx="22">
                  <c:v>34274</c:v>
                </c:pt>
                <c:pt idx="23">
                  <c:v>34304</c:v>
                </c:pt>
                <c:pt idx="24">
                  <c:v>34335</c:v>
                </c:pt>
                <c:pt idx="25">
                  <c:v>34366</c:v>
                </c:pt>
                <c:pt idx="26">
                  <c:v>34394</c:v>
                </c:pt>
                <c:pt idx="27">
                  <c:v>34425</c:v>
                </c:pt>
                <c:pt idx="28">
                  <c:v>34455</c:v>
                </c:pt>
                <c:pt idx="29">
                  <c:v>34486</c:v>
                </c:pt>
                <c:pt idx="30">
                  <c:v>34516</c:v>
                </c:pt>
                <c:pt idx="31">
                  <c:v>34547</c:v>
                </c:pt>
                <c:pt idx="32">
                  <c:v>34578</c:v>
                </c:pt>
                <c:pt idx="33">
                  <c:v>34608</c:v>
                </c:pt>
                <c:pt idx="34">
                  <c:v>34639</c:v>
                </c:pt>
                <c:pt idx="35">
                  <c:v>34669</c:v>
                </c:pt>
                <c:pt idx="36">
                  <c:v>34700</c:v>
                </c:pt>
                <c:pt idx="37">
                  <c:v>34731</c:v>
                </c:pt>
                <c:pt idx="38">
                  <c:v>34759</c:v>
                </c:pt>
                <c:pt idx="39">
                  <c:v>34790</c:v>
                </c:pt>
                <c:pt idx="40">
                  <c:v>34820</c:v>
                </c:pt>
                <c:pt idx="41">
                  <c:v>34851</c:v>
                </c:pt>
                <c:pt idx="42">
                  <c:v>34881</c:v>
                </c:pt>
                <c:pt idx="43">
                  <c:v>34912</c:v>
                </c:pt>
                <c:pt idx="44">
                  <c:v>34943</c:v>
                </c:pt>
                <c:pt idx="45">
                  <c:v>34973</c:v>
                </c:pt>
                <c:pt idx="46">
                  <c:v>35004</c:v>
                </c:pt>
                <c:pt idx="47">
                  <c:v>35034</c:v>
                </c:pt>
                <c:pt idx="48">
                  <c:v>35065</c:v>
                </c:pt>
                <c:pt idx="49">
                  <c:v>35096</c:v>
                </c:pt>
                <c:pt idx="50">
                  <c:v>35125</c:v>
                </c:pt>
                <c:pt idx="51">
                  <c:v>35156</c:v>
                </c:pt>
                <c:pt idx="52">
                  <c:v>35186</c:v>
                </c:pt>
                <c:pt idx="53">
                  <c:v>35217</c:v>
                </c:pt>
                <c:pt idx="54">
                  <c:v>35247</c:v>
                </c:pt>
                <c:pt idx="55">
                  <c:v>35278</c:v>
                </c:pt>
                <c:pt idx="56">
                  <c:v>35309</c:v>
                </c:pt>
                <c:pt idx="57">
                  <c:v>35339</c:v>
                </c:pt>
                <c:pt idx="58">
                  <c:v>35370</c:v>
                </c:pt>
                <c:pt idx="59">
                  <c:v>35400</c:v>
                </c:pt>
                <c:pt idx="60">
                  <c:v>35431</c:v>
                </c:pt>
                <c:pt idx="61">
                  <c:v>35462</c:v>
                </c:pt>
                <c:pt idx="62">
                  <c:v>35490</c:v>
                </c:pt>
                <c:pt idx="63">
                  <c:v>35521</c:v>
                </c:pt>
                <c:pt idx="64">
                  <c:v>35551</c:v>
                </c:pt>
                <c:pt idx="65">
                  <c:v>35582</c:v>
                </c:pt>
                <c:pt idx="66">
                  <c:v>35612</c:v>
                </c:pt>
                <c:pt idx="67">
                  <c:v>35643</c:v>
                </c:pt>
                <c:pt idx="68">
                  <c:v>35674</c:v>
                </c:pt>
                <c:pt idx="69">
                  <c:v>35704</c:v>
                </c:pt>
                <c:pt idx="70">
                  <c:v>35735</c:v>
                </c:pt>
                <c:pt idx="71">
                  <c:v>35765</c:v>
                </c:pt>
                <c:pt idx="72">
                  <c:v>35796</c:v>
                </c:pt>
                <c:pt idx="73">
                  <c:v>35827</c:v>
                </c:pt>
                <c:pt idx="74">
                  <c:v>35855</c:v>
                </c:pt>
                <c:pt idx="75">
                  <c:v>35886</c:v>
                </c:pt>
                <c:pt idx="76">
                  <c:v>35916</c:v>
                </c:pt>
                <c:pt idx="77">
                  <c:v>35947</c:v>
                </c:pt>
                <c:pt idx="78">
                  <c:v>35977</c:v>
                </c:pt>
                <c:pt idx="79">
                  <c:v>36008</c:v>
                </c:pt>
                <c:pt idx="80">
                  <c:v>36039</c:v>
                </c:pt>
                <c:pt idx="81">
                  <c:v>36069</c:v>
                </c:pt>
                <c:pt idx="82">
                  <c:v>36100</c:v>
                </c:pt>
                <c:pt idx="83">
                  <c:v>36130</c:v>
                </c:pt>
                <c:pt idx="84">
                  <c:v>36161</c:v>
                </c:pt>
                <c:pt idx="85">
                  <c:v>36192</c:v>
                </c:pt>
                <c:pt idx="86">
                  <c:v>36220</c:v>
                </c:pt>
                <c:pt idx="87">
                  <c:v>36251</c:v>
                </c:pt>
                <c:pt idx="88">
                  <c:v>36281</c:v>
                </c:pt>
                <c:pt idx="89">
                  <c:v>36312</c:v>
                </c:pt>
                <c:pt idx="90">
                  <c:v>36342</c:v>
                </c:pt>
                <c:pt idx="91">
                  <c:v>36373</c:v>
                </c:pt>
                <c:pt idx="92">
                  <c:v>36404</c:v>
                </c:pt>
                <c:pt idx="93">
                  <c:v>36434</c:v>
                </c:pt>
                <c:pt idx="94">
                  <c:v>36465</c:v>
                </c:pt>
                <c:pt idx="95">
                  <c:v>36495</c:v>
                </c:pt>
                <c:pt idx="96">
                  <c:v>36526</c:v>
                </c:pt>
                <c:pt idx="97">
                  <c:v>36557</c:v>
                </c:pt>
                <c:pt idx="98">
                  <c:v>36586</c:v>
                </c:pt>
                <c:pt idx="99">
                  <c:v>36617</c:v>
                </c:pt>
                <c:pt idx="100">
                  <c:v>36647</c:v>
                </c:pt>
                <c:pt idx="101">
                  <c:v>36678</c:v>
                </c:pt>
                <c:pt idx="102">
                  <c:v>36708</c:v>
                </c:pt>
                <c:pt idx="103">
                  <c:v>36739</c:v>
                </c:pt>
                <c:pt idx="104">
                  <c:v>36770</c:v>
                </c:pt>
                <c:pt idx="105">
                  <c:v>36800</c:v>
                </c:pt>
                <c:pt idx="106">
                  <c:v>36831</c:v>
                </c:pt>
                <c:pt idx="107">
                  <c:v>36861</c:v>
                </c:pt>
                <c:pt idx="108">
                  <c:v>36892</c:v>
                </c:pt>
                <c:pt idx="109">
                  <c:v>36923</c:v>
                </c:pt>
                <c:pt idx="110">
                  <c:v>36951</c:v>
                </c:pt>
                <c:pt idx="111">
                  <c:v>36982</c:v>
                </c:pt>
                <c:pt idx="112">
                  <c:v>37012</c:v>
                </c:pt>
                <c:pt idx="113">
                  <c:v>37043</c:v>
                </c:pt>
                <c:pt idx="114">
                  <c:v>37073</c:v>
                </c:pt>
                <c:pt idx="115">
                  <c:v>37104</c:v>
                </c:pt>
                <c:pt idx="116">
                  <c:v>37135</c:v>
                </c:pt>
                <c:pt idx="117">
                  <c:v>37165</c:v>
                </c:pt>
                <c:pt idx="118">
                  <c:v>37196</c:v>
                </c:pt>
                <c:pt idx="119">
                  <c:v>37226</c:v>
                </c:pt>
                <c:pt idx="120">
                  <c:v>37257</c:v>
                </c:pt>
                <c:pt idx="121">
                  <c:v>37288</c:v>
                </c:pt>
                <c:pt idx="122">
                  <c:v>37316</c:v>
                </c:pt>
                <c:pt idx="123">
                  <c:v>37347</c:v>
                </c:pt>
                <c:pt idx="124">
                  <c:v>37377</c:v>
                </c:pt>
                <c:pt idx="125">
                  <c:v>37408</c:v>
                </c:pt>
                <c:pt idx="126">
                  <c:v>37438</c:v>
                </c:pt>
                <c:pt idx="127">
                  <c:v>37469</c:v>
                </c:pt>
                <c:pt idx="128">
                  <c:v>37500</c:v>
                </c:pt>
                <c:pt idx="129">
                  <c:v>37530</c:v>
                </c:pt>
                <c:pt idx="130">
                  <c:v>37561</c:v>
                </c:pt>
                <c:pt idx="131">
                  <c:v>37591</c:v>
                </c:pt>
                <c:pt idx="132">
                  <c:v>37622</c:v>
                </c:pt>
                <c:pt idx="133">
                  <c:v>37653</c:v>
                </c:pt>
                <c:pt idx="134">
                  <c:v>37681</c:v>
                </c:pt>
                <c:pt idx="135">
                  <c:v>37712</c:v>
                </c:pt>
                <c:pt idx="136">
                  <c:v>37742</c:v>
                </c:pt>
                <c:pt idx="137">
                  <c:v>37773</c:v>
                </c:pt>
                <c:pt idx="138">
                  <c:v>37803</c:v>
                </c:pt>
                <c:pt idx="139">
                  <c:v>37834</c:v>
                </c:pt>
                <c:pt idx="140">
                  <c:v>37865</c:v>
                </c:pt>
                <c:pt idx="141">
                  <c:v>37895</c:v>
                </c:pt>
                <c:pt idx="142">
                  <c:v>37926</c:v>
                </c:pt>
                <c:pt idx="143">
                  <c:v>37956</c:v>
                </c:pt>
                <c:pt idx="144">
                  <c:v>37987</c:v>
                </c:pt>
                <c:pt idx="145">
                  <c:v>38018</c:v>
                </c:pt>
                <c:pt idx="146">
                  <c:v>38047</c:v>
                </c:pt>
                <c:pt idx="147">
                  <c:v>38078</c:v>
                </c:pt>
                <c:pt idx="148">
                  <c:v>38108</c:v>
                </c:pt>
                <c:pt idx="149">
                  <c:v>38139</c:v>
                </c:pt>
                <c:pt idx="150">
                  <c:v>38169</c:v>
                </c:pt>
                <c:pt idx="151">
                  <c:v>38200</c:v>
                </c:pt>
                <c:pt idx="152">
                  <c:v>38231</c:v>
                </c:pt>
                <c:pt idx="153">
                  <c:v>38261</c:v>
                </c:pt>
                <c:pt idx="154">
                  <c:v>38292</c:v>
                </c:pt>
                <c:pt idx="155">
                  <c:v>38322</c:v>
                </c:pt>
                <c:pt idx="156">
                  <c:v>38353</c:v>
                </c:pt>
                <c:pt idx="157">
                  <c:v>38384</c:v>
                </c:pt>
                <c:pt idx="158">
                  <c:v>38412</c:v>
                </c:pt>
                <c:pt idx="159">
                  <c:v>38443</c:v>
                </c:pt>
                <c:pt idx="160">
                  <c:v>38473</c:v>
                </c:pt>
                <c:pt idx="161">
                  <c:v>38504</c:v>
                </c:pt>
                <c:pt idx="162">
                  <c:v>38534</c:v>
                </c:pt>
                <c:pt idx="163">
                  <c:v>38565</c:v>
                </c:pt>
                <c:pt idx="164">
                  <c:v>38596</c:v>
                </c:pt>
                <c:pt idx="165">
                  <c:v>38626</c:v>
                </c:pt>
                <c:pt idx="166">
                  <c:v>38657</c:v>
                </c:pt>
                <c:pt idx="167">
                  <c:v>38687</c:v>
                </c:pt>
                <c:pt idx="168">
                  <c:v>38718</c:v>
                </c:pt>
                <c:pt idx="169">
                  <c:v>38749</c:v>
                </c:pt>
                <c:pt idx="170">
                  <c:v>38777</c:v>
                </c:pt>
                <c:pt idx="171">
                  <c:v>38808</c:v>
                </c:pt>
                <c:pt idx="172">
                  <c:v>38838</c:v>
                </c:pt>
                <c:pt idx="173">
                  <c:v>38869</c:v>
                </c:pt>
                <c:pt idx="174">
                  <c:v>38899</c:v>
                </c:pt>
                <c:pt idx="175">
                  <c:v>38930</c:v>
                </c:pt>
                <c:pt idx="176">
                  <c:v>38961</c:v>
                </c:pt>
                <c:pt idx="177">
                  <c:v>38991</c:v>
                </c:pt>
                <c:pt idx="178">
                  <c:v>39022</c:v>
                </c:pt>
                <c:pt idx="179">
                  <c:v>39052</c:v>
                </c:pt>
                <c:pt idx="180">
                  <c:v>39083</c:v>
                </c:pt>
                <c:pt idx="181">
                  <c:v>39114</c:v>
                </c:pt>
                <c:pt idx="182">
                  <c:v>39142</c:v>
                </c:pt>
                <c:pt idx="183">
                  <c:v>39173</c:v>
                </c:pt>
                <c:pt idx="184">
                  <c:v>39203</c:v>
                </c:pt>
                <c:pt idx="185">
                  <c:v>39234</c:v>
                </c:pt>
                <c:pt idx="186">
                  <c:v>39264</c:v>
                </c:pt>
                <c:pt idx="187">
                  <c:v>39295</c:v>
                </c:pt>
                <c:pt idx="188">
                  <c:v>39326</c:v>
                </c:pt>
                <c:pt idx="189">
                  <c:v>39356</c:v>
                </c:pt>
                <c:pt idx="190">
                  <c:v>39387</c:v>
                </c:pt>
                <c:pt idx="191">
                  <c:v>39417</c:v>
                </c:pt>
                <c:pt idx="192">
                  <c:v>39448</c:v>
                </c:pt>
                <c:pt idx="193">
                  <c:v>39479</c:v>
                </c:pt>
                <c:pt idx="194">
                  <c:v>39508</c:v>
                </c:pt>
                <c:pt idx="195">
                  <c:v>39539</c:v>
                </c:pt>
                <c:pt idx="196">
                  <c:v>39569</c:v>
                </c:pt>
                <c:pt idx="197">
                  <c:v>39600</c:v>
                </c:pt>
                <c:pt idx="198">
                  <c:v>39630</c:v>
                </c:pt>
                <c:pt idx="199">
                  <c:v>39661</c:v>
                </c:pt>
                <c:pt idx="200">
                  <c:v>39692</c:v>
                </c:pt>
                <c:pt idx="201">
                  <c:v>39722</c:v>
                </c:pt>
                <c:pt idx="202">
                  <c:v>39753</c:v>
                </c:pt>
                <c:pt idx="203">
                  <c:v>39783</c:v>
                </c:pt>
                <c:pt idx="204">
                  <c:v>39814</c:v>
                </c:pt>
                <c:pt idx="205">
                  <c:v>39845</c:v>
                </c:pt>
                <c:pt idx="206">
                  <c:v>39873</c:v>
                </c:pt>
                <c:pt idx="207">
                  <c:v>39904</c:v>
                </c:pt>
                <c:pt idx="208">
                  <c:v>39934</c:v>
                </c:pt>
                <c:pt idx="209">
                  <c:v>39965</c:v>
                </c:pt>
                <c:pt idx="210">
                  <c:v>39995</c:v>
                </c:pt>
                <c:pt idx="211">
                  <c:v>40026</c:v>
                </c:pt>
                <c:pt idx="212">
                  <c:v>40057</c:v>
                </c:pt>
                <c:pt idx="213">
                  <c:v>40087</c:v>
                </c:pt>
                <c:pt idx="214">
                  <c:v>40118</c:v>
                </c:pt>
                <c:pt idx="215">
                  <c:v>40148</c:v>
                </c:pt>
                <c:pt idx="216">
                  <c:v>40179</c:v>
                </c:pt>
                <c:pt idx="217">
                  <c:v>40210</c:v>
                </c:pt>
                <c:pt idx="218">
                  <c:v>40238</c:v>
                </c:pt>
                <c:pt idx="219">
                  <c:v>40269</c:v>
                </c:pt>
                <c:pt idx="220">
                  <c:v>40299</c:v>
                </c:pt>
                <c:pt idx="221">
                  <c:v>40330</c:v>
                </c:pt>
                <c:pt idx="222">
                  <c:v>40360</c:v>
                </c:pt>
                <c:pt idx="223">
                  <c:v>40391</c:v>
                </c:pt>
                <c:pt idx="224">
                  <c:v>40422</c:v>
                </c:pt>
                <c:pt idx="225">
                  <c:v>40452</c:v>
                </c:pt>
                <c:pt idx="226">
                  <c:v>40483</c:v>
                </c:pt>
                <c:pt idx="227">
                  <c:v>40513</c:v>
                </c:pt>
                <c:pt idx="228">
                  <c:v>40544</c:v>
                </c:pt>
                <c:pt idx="229">
                  <c:v>40575</c:v>
                </c:pt>
                <c:pt idx="230">
                  <c:v>40603</c:v>
                </c:pt>
                <c:pt idx="231">
                  <c:v>40634</c:v>
                </c:pt>
                <c:pt idx="232">
                  <c:v>40664</c:v>
                </c:pt>
                <c:pt idx="233">
                  <c:v>40695</c:v>
                </c:pt>
                <c:pt idx="234">
                  <c:v>40725</c:v>
                </c:pt>
                <c:pt idx="235">
                  <c:v>40756</c:v>
                </c:pt>
                <c:pt idx="236">
                  <c:v>40787</c:v>
                </c:pt>
                <c:pt idx="237">
                  <c:v>40817</c:v>
                </c:pt>
                <c:pt idx="238">
                  <c:v>40848</c:v>
                </c:pt>
                <c:pt idx="239">
                  <c:v>40878</c:v>
                </c:pt>
                <c:pt idx="240">
                  <c:v>40909</c:v>
                </c:pt>
                <c:pt idx="241">
                  <c:v>40940</c:v>
                </c:pt>
                <c:pt idx="242">
                  <c:v>40969</c:v>
                </c:pt>
                <c:pt idx="243">
                  <c:v>41000</c:v>
                </c:pt>
                <c:pt idx="244">
                  <c:v>41030</c:v>
                </c:pt>
                <c:pt idx="245">
                  <c:v>41061</c:v>
                </c:pt>
                <c:pt idx="246">
                  <c:v>41091</c:v>
                </c:pt>
                <c:pt idx="247">
                  <c:v>41122</c:v>
                </c:pt>
                <c:pt idx="248">
                  <c:v>41153</c:v>
                </c:pt>
                <c:pt idx="249">
                  <c:v>41183</c:v>
                </c:pt>
                <c:pt idx="250">
                  <c:v>41214</c:v>
                </c:pt>
                <c:pt idx="251">
                  <c:v>41244</c:v>
                </c:pt>
                <c:pt idx="252">
                  <c:v>41275</c:v>
                </c:pt>
                <c:pt idx="253">
                  <c:v>41306</c:v>
                </c:pt>
                <c:pt idx="254">
                  <c:v>41334</c:v>
                </c:pt>
                <c:pt idx="255">
                  <c:v>41365</c:v>
                </c:pt>
                <c:pt idx="256">
                  <c:v>41395</c:v>
                </c:pt>
                <c:pt idx="257">
                  <c:v>41426</c:v>
                </c:pt>
                <c:pt idx="258">
                  <c:v>41456</c:v>
                </c:pt>
                <c:pt idx="259">
                  <c:v>41487</c:v>
                </c:pt>
                <c:pt idx="260">
                  <c:v>41518</c:v>
                </c:pt>
                <c:pt idx="261">
                  <c:v>41548</c:v>
                </c:pt>
                <c:pt idx="262">
                  <c:v>41579</c:v>
                </c:pt>
                <c:pt idx="263">
                  <c:v>41609</c:v>
                </c:pt>
                <c:pt idx="264">
                  <c:v>41640</c:v>
                </c:pt>
                <c:pt idx="265">
                  <c:v>41671</c:v>
                </c:pt>
                <c:pt idx="266">
                  <c:v>41699</c:v>
                </c:pt>
                <c:pt idx="267">
                  <c:v>41730</c:v>
                </c:pt>
                <c:pt idx="268">
                  <c:v>41760</c:v>
                </c:pt>
                <c:pt idx="269">
                  <c:v>41791</c:v>
                </c:pt>
                <c:pt idx="270">
                  <c:v>41821</c:v>
                </c:pt>
                <c:pt idx="271">
                  <c:v>41852</c:v>
                </c:pt>
                <c:pt idx="272">
                  <c:v>41883</c:v>
                </c:pt>
                <c:pt idx="273">
                  <c:v>41913</c:v>
                </c:pt>
                <c:pt idx="274">
                  <c:v>41944</c:v>
                </c:pt>
                <c:pt idx="275">
                  <c:v>41974</c:v>
                </c:pt>
                <c:pt idx="276">
                  <c:v>42005</c:v>
                </c:pt>
                <c:pt idx="277">
                  <c:v>42036</c:v>
                </c:pt>
                <c:pt idx="278">
                  <c:v>42064</c:v>
                </c:pt>
                <c:pt idx="279">
                  <c:v>42095</c:v>
                </c:pt>
                <c:pt idx="280">
                  <c:v>42125</c:v>
                </c:pt>
                <c:pt idx="281">
                  <c:v>42156</c:v>
                </c:pt>
                <c:pt idx="282">
                  <c:v>42186</c:v>
                </c:pt>
                <c:pt idx="283">
                  <c:v>42217</c:v>
                </c:pt>
                <c:pt idx="284">
                  <c:v>42248</c:v>
                </c:pt>
                <c:pt idx="285">
                  <c:v>42278</c:v>
                </c:pt>
                <c:pt idx="286">
                  <c:v>42309</c:v>
                </c:pt>
                <c:pt idx="287">
                  <c:v>42339</c:v>
                </c:pt>
                <c:pt idx="288">
                  <c:v>42370</c:v>
                </c:pt>
                <c:pt idx="289">
                  <c:v>42401</c:v>
                </c:pt>
                <c:pt idx="290">
                  <c:v>42430</c:v>
                </c:pt>
                <c:pt idx="291">
                  <c:v>42461</c:v>
                </c:pt>
                <c:pt idx="292">
                  <c:v>42491</c:v>
                </c:pt>
                <c:pt idx="293">
                  <c:v>42522</c:v>
                </c:pt>
                <c:pt idx="294">
                  <c:v>42552</c:v>
                </c:pt>
                <c:pt idx="295">
                  <c:v>42583</c:v>
                </c:pt>
                <c:pt idx="296">
                  <c:v>42614</c:v>
                </c:pt>
                <c:pt idx="297">
                  <c:v>42644</c:v>
                </c:pt>
                <c:pt idx="298">
                  <c:v>42675</c:v>
                </c:pt>
                <c:pt idx="299">
                  <c:v>42705</c:v>
                </c:pt>
                <c:pt idx="300">
                  <c:v>42736</c:v>
                </c:pt>
                <c:pt idx="301">
                  <c:v>42767</c:v>
                </c:pt>
                <c:pt idx="302">
                  <c:v>42795</c:v>
                </c:pt>
                <c:pt idx="303">
                  <c:v>42826</c:v>
                </c:pt>
                <c:pt idx="304">
                  <c:v>42856</c:v>
                </c:pt>
                <c:pt idx="305">
                  <c:v>42887</c:v>
                </c:pt>
                <c:pt idx="306">
                  <c:v>42917</c:v>
                </c:pt>
                <c:pt idx="307">
                  <c:v>42948</c:v>
                </c:pt>
                <c:pt idx="308">
                  <c:v>42979</c:v>
                </c:pt>
                <c:pt idx="309">
                  <c:v>43009</c:v>
                </c:pt>
                <c:pt idx="310">
                  <c:v>43040</c:v>
                </c:pt>
                <c:pt idx="311">
                  <c:v>43070</c:v>
                </c:pt>
                <c:pt idx="312">
                  <c:v>43101</c:v>
                </c:pt>
                <c:pt idx="313">
                  <c:v>43132</c:v>
                </c:pt>
                <c:pt idx="314">
                  <c:v>43160</c:v>
                </c:pt>
                <c:pt idx="315">
                  <c:v>43191</c:v>
                </c:pt>
                <c:pt idx="316">
                  <c:v>43221</c:v>
                </c:pt>
                <c:pt idx="317">
                  <c:v>43252</c:v>
                </c:pt>
                <c:pt idx="318">
                  <c:v>43282</c:v>
                </c:pt>
                <c:pt idx="319">
                  <c:v>43313</c:v>
                </c:pt>
                <c:pt idx="320">
                  <c:v>43344</c:v>
                </c:pt>
                <c:pt idx="321">
                  <c:v>43374</c:v>
                </c:pt>
                <c:pt idx="322">
                  <c:v>43405</c:v>
                </c:pt>
                <c:pt idx="323">
                  <c:v>43435</c:v>
                </c:pt>
                <c:pt idx="324">
                  <c:v>43466</c:v>
                </c:pt>
                <c:pt idx="325">
                  <c:v>43497</c:v>
                </c:pt>
                <c:pt idx="326">
                  <c:v>43525</c:v>
                </c:pt>
                <c:pt idx="327">
                  <c:v>43556</c:v>
                </c:pt>
                <c:pt idx="328">
                  <c:v>43586</c:v>
                </c:pt>
                <c:pt idx="329">
                  <c:v>43617</c:v>
                </c:pt>
                <c:pt idx="330">
                  <c:v>43647</c:v>
                </c:pt>
                <c:pt idx="331">
                  <c:v>43678</c:v>
                </c:pt>
                <c:pt idx="332">
                  <c:v>43709</c:v>
                </c:pt>
                <c:pt idx="333">
                  <c:v>43739</c:v>
                </c:pt>
                <c:pt idx="334">
                  <c:v>43770</c:v>
                </c:pt>
                <c:pt idx="335">
                  <c:v>43800</c:v>
                </c:pt>
                <c:pt idx="336">
                  <c:v>43831</c:v>
                </c:pt>
                <c:pt idx="337">
                  <c:v>43862</c:v>
                </c:pt>
                <c:pt idx="338">
                  <c:v>43891</c:v>
                </c:pt>
                <c:pt idx="339">
                  <c:v>43922</c:v>
                </c:pt>
                <c:pt idx="340">
                  <c:v>43952</c:v>
                </c:pt>
                <c:pt idx="341">
                  <c:v>43983</c:v>
                </c:pt>
                <c:pt idx="342">
                  <c:v>44013</c:v>
                </c:pt>
                <c:pt idx="343">
                  <c:v>44044</c:v>
                </c:pt>
              </c:numCache>
            </c:numRef>
          </c:cat>
          <c:val>
            <c:numRef>
              <c:f>Motor!$B$7:$B$350</c:f>
              <c:numCache>
                <c:formatCode>#,##0</c:formatCode>
                <c:ptCount val="344"/>
                <c:pt idx="0">
                  <c:v>33478</c:v>
                </c:pt>
                <c:pt idx="1">
                  <c:v>33817</c:v>
                </c:pt>
                <c:pt idx="2">
                  <c:v>33336</c:v>
                </c:pt>
                <c:pt idx="3">
                  <c:v>33776</c:v>
                </c:pt>
                <c:pt idx="4">
                  <c:v>34357</c:v>
                </c:pt>
                <c:pt idx="5">
                  <c:v>34781</c:v>
                </c:pt>
                <c:pt idx="6">
                  <c:v>35199</c:v>
                </c:pt>
                <c:pt idx="7">
                  <c:v>34585</c:v>
                </c:pt>
                <c:pt idx="8">
                  <c:v>35890</c:v>
                </c:pt>
                <c:pt idx="9">
                  <c:v>35972</c:v>
                </c:pt>
                <c:pt idx="10">
                  <c:v>35928</c:v>
                </c:pt>
                <c:pt idx="11">
                  <c:v>36272</c:v>
                </c:pt>
                <c:pt idx="12">
                  <c:v>37621</c:v>
                </c:pt>
                <c:pt idx="13">
                  <c:v>36723</c:v>
                </c:pt>
                <c:pt idx="14">
                  <c:v>35955</c:v>
                </c:pt>
                <c:pt idx="15">
                  <c:v>38521</c:v>
                </c:pt>
                <c:pt idx="16">
                  <c:v>39006</c:v>
                </c:pt>
                <c:pt idx="17">
                  <c:v>38892</c:v>
                </c:pt>
                <c:pt idx="18">
                  <c:v>40290</c:v>
                </c:pt>
                <c:pt idx="19">
                  <c:v>40504</c:v>
                </c:pt>
                <c:pt idx="20">
                  <c:v>40203</c:v>
                </c:pt>
                <c:pt idx="21">
                  <c:v>40857</c:v>
                </c:pt>
                <c:pt idx="22">
                  <c:v>42077</c:v>
                </c:pt>
                <c:pt idx="23">
                  <c:v>42796</c:v>
                </c:pt>
                <c:pt idx="24">
                  <c:v>42660</c:v>
                </c:pt>
                <c:pt idx="25">
                  <c:v>43685</c:v>
                </c:pt>
                <c:pt idx="26">
                  <c:v>44475</c:v>
                </c:pt>
                <c:pt idx="27">
                  <c:v>45072</c:v>
                </c:pt>
                <c:pt idx="28">
                  <c:v>44098</c:v>
                </c:pt>
                <c:pt idx="29">
                  <c:v>44541</c:v>
                </c:pt>
                <c:pt idx="30">
                  <c:v>44477</c:v>
                </c:pt>
                <c:pt idx="31">
                  <c:v>45232</c:v>
                </c:pt>
                <c:pt idx="32">
                  <c:v>46314</c:v>
                </c:pt>
                <c:pt idx="33">
                  <c:v>47041</c:v>
                </c:pt>
                <c:pt idx="34">
                  <c:v>47203</c:v>
                </c:pt>
                <c:pt idx="35">
                  <c:v>46941</c:v>
                </c:pt>
                <c:pt idx="36">
                  <c:v>47224</c:v>
                </c:pt>
                <c:pt idx="37">
                  <c:v>45902</c:v>
                </c:pt>
                <c:pt idx="38">
                  <c:v>46681</c:v>
                </c:pt>
                <c:pt idx="39">
                  <c:v>47056</c:v>
                </c:pt>
                <c:pt idx="40">
                  <c:v>47718</c:v>
                </c:pt>
                <c:pt idx="41">
                  <c:v>49652</c:v>
                </c:pt>
                <c:pt idx="42">
                  <c:v>48832</c:v>
                </c:pt>
                <c:pt idx="43">
                  <c:v>49748</c:v>
                </c:pt>
                <c:pt idx="44">
                  <c:v>49188</c:v>
                </c:pt>
                <c:pt idx="45">
                  <c:v>49271</c:v>
                </c:pt>
                <c:pt idx="46">
                  <c:v>49863</c:v>
                </c:pt>
                <c:pt idx="47">
                  <c:v>50163</c:v>
                </c:pt>
                <c:pt idx="48">
                  <c:v>50349</c:v>
                </c:pt>
                <c:pt idx="49">
                  <c:v>52288</c:v>
                </c:pt>
                <c:pt idx="50">
                  <c:v>52348</c:v>
                </c:pt>
                <c:pt idx="51">
                  <c:v>51531</c:v>
                </c:pt>
                <c:pt idx="52">
                  <c:v>52200</c:v>
                </c:pt>
                <c:pt idx="53">
                  <c:v>51798</c:v>
                </c:pt>
                <c:pt idx="54">
                  <c:v>52004</c:v>
                </c:pt>
                <c:pt idx="55">
                  <c:v>51472</c:v>
                </c:pt>
                <c:pt idx="56">
                  <c:v>53184</c:v>
                </c:pt>
                <c:pt idx="57">
                  <c:v>53450</c:v>
                </c:pt>
                <c:pt idx="58">
                  <c:v>52710</c:v>
                </c:pt>
                <c:pt idx="59">
                  <c:v>52835</c:v>
                </c:pt>
                <c:pt idx="60">
                  <c:v>54010</c:v>
                </c:pt>
                <c:pt idx="61">
                  <c:v>54601</c:v>
                </c:pt>
                <c:pt idx="62">
                  <c:v>54233</c:v>
                </c:pt>
                <c:pt idx="63">
                  <c:v>53861</c:v>
                </c:pt>
                <c:pt idx="64">
                  <c:v>52191</c:v>
                </c:pt>
                <c:pt idx="65">
                  <c:v>54066</c:v>
                </c:pt>
                <c:pt idx="66">
                  <c:v>55255</c:v>
                </c:pt>
                <c:pt idx="67">
                  <c:v>55488</c:v>
                </c:pt>
                <c:pt idx="68">
                  <c:v>55334</c:v>
                </c:pt>
                <c:pt idx="69">
                  <c:v>54856</c:v>
                </c:pt>
                <c:pt idx="70">
                  <c:v>55314</c:v>
                </c:pt>
                <c:pt idx="71">
                  <c:v>55763</c:v>
                </c:pt>
                <c:pt idx="72">
                  <c:v>55494</c:v>
                </c:pt>
                <c:pt idx="73">
                  <c:v>54841</c:v>
                </c:pt>
                <c:pt idx="74">
                  <c:v>56135</c:v>
                </c:pt>
                <c:pt idx="75">
                  <c:v>57464</c:v>
                </c:pt>
                <c:pt idx="76">
                  <c:v>57882</c:v>
                </c:pt>
                <c:pt idx="77">
                  <c:v>59264</c:v>
                </c:pt>
                <c:pt idx="78">
                  <c:v>56320</c:v>
                </c:pt>
                <c:pt idx="79">
                  <c:v>54997</c:v>
                </c:pt>
                <c:pt idx="80">
                  <c:v>57196</c:v>
                </c:pt>
                <c:pt idx="81">
                  <c:v>59294</c:v>
                </c:pt>
                <c:pt idx="82">
                  <c:v>59817</c:v>
                </c:pt>
                <c:pt idx="83">
                  <c:v>60473</c:v>
                </c:pt>
                <c:pt idx="84">
                  <c:v>60535</c:v>
                </c:pt>
                <c:pt idx="85">
                  <c:v>61260</c:v>
                </c:pt>
                <c:pt idx="86">
                  <c:v>61641</c:v>
                </c:pt>
                <c:pt idx="87">
                  <c:v>62150</c:v>
                </c:pt>
                <c:pt idx="88">
                  <c:v>63211</c:v>
                </c:pt>
                <c:pt idx="89">
                  <c:v>63452</c:v>
                </c:pt>
                <c:pt idx="90">
                  <c:v>64509</c:v>
                </c:pt>
                <c:pt idx="91">
                  <c:v>65713</c:v>
                </c:pt>
                <c:pt idx="92">
                  <c:v>65150</c:v>
                </c:pt>
                <c:pt idx="93">
                  <c:v>64519</c:v>
                </c:pt>
                <c:pt idx="94">
                  <c:v>66269</c:v>
                </c:pt>
                <c:pt idx="95">
                  <c:v>65909</c:v>
                </c:pt>
                <c:pt idx="96">
                  <c:v>67679</c:v>
                </c:pt>
                <c:pt idx="97">
                  <c:v>69085</c:v>
                </c:pt>
                <c:pt idx="98">
                  <c:v>68433</c:v>
                </c:pt>
                <c:pt idx="99">
                  <c:v>65812</c:v>
                </c:pt>
                <c:pt idx="100">
                  <c:v>65781</c:v>
                </c:pt>
                <c:pt idx="101">
                  <c:v>66638</c:v>
                </c:pt>
                <c:pt idx="102">
                  <c:v>65205</c:v>
                </c:pt>
                <c:pt idx="103">
                  <c:v>65311</c:v>
                </c:pt>
                <c:pt idx="104">
                  <c:v>66850</c:v>
                </c:pt>
                <c:pt idx="105">
                  <c:v>66208</c:v>
                </c:pt>
                <c:pt idx="106">
                  <c:v>64645</c:v>
                </c:pt>
                <c:pt idx="107">
                  <c:v>63524</c:v>
                </c:pt>
                <c:pt idx="108">
                  <c:v>65926</c:v>
                </c:pt>
                <c:pt idx="109">
                  <c:v>66188</c:v>
                </c:pt>
                <c:pt idx="110">
                  <c:v>65671</c:v>
                </c:pt>
                <c:pt idx="111">
                  <c:v>66933</c:v>
                </c:pt>
                <c:pt idx="112">
                  <c:v>67039</c:v>
                </c:pt>
                <c:pt idx="113">
                  <c:v>66710</c:v>
                </c:pt>
                <c:pt idx="114">
                  <c:v>66067</c:v>
                </c:pt>
                <c:pt idx="115">
                  <c:v>66350</c:v>
                </c:pt>
                <c:pt idx="116">
                  <c:v>63929</c:v>
                </c:pt>
                <c:pt idx="117">
                  <c:v>80455</c:v>
                </c:pt>
                <c:pt idx="118">
                  <c:v>72413</c:v>
                </c:pt>
                <c:pt idx="119">
                  <c:v>68220</c:v>
                </c:pt>
                <c:pt idx="120">
                  <c:v>67665</c:v>
                </c:pt>
                <c:pt idx="121">
                  <c:v>68168</c:v>
                </c:pt>
                <c:pt idx="122">
                  <c:v>66570</c:v>
                </c:pt>
                <c:pt idx="123">
                  <c:v>68251</c:v>
                </c:pt>
                <c:pt idx="124">
                  <c:v>65062</c:v>
                </c:pt>
                <c:pt idx="125">
                  <c:v>67354</c:v>
                </c:pt>
                <c:pt idx="126">
                  <c:v>69944</c:v>
                </c:pt>
                <c:pt idx="127">
                  <c:v>72204</c:v>
                </c:pt>
                <c:pt idx="128">
                  <c:v>68066</c:v>
                </c:pt>
                <c:pt idx="129">
                  <c:v>67553</c:v>
                </c:pt>
                <c:pt idx="130">
                  <c:v>67931</c:v>
                </c:pt>
                <c:pt idx="131">
                  <c:v>69794</c:v>
                </c:pt>
                <c:pt idx="132">
                  <c:v>69673</c:v>
                </c:pt>
                <c:pt idx="133">
                  <c:v>66535</c:v>
                </c:pt>
                <c:pt idx="134">
                  <c:v>68628</c:v>
                </c:pt>
                <c:pt idx="135">
                  <c:v>69580</c:v>
                </c:pt>
                <c:pt idx="136">
                  <c:v>69660</c:v>
                </c:pt>
                <c:pt idx="137">
                  <c:v>70325</c:v>
                </c:pt>
                <c:pt idx="138">
                  <c:v>71049</c:v>
                </c:pt>
                <c:pt idx="139">
                  <c:v>72919</c:v>
                </c:pt>
                <c:pt idx="140">
                  <c:v>71184</c:v>
                </c:pt>
                <c:pt idx="141">
                  <c:v>69817</c:v>
                </c:pt>
                <c:pt idx="142">
                  <c:v>71738</c:v>
                </c:pt>
                <c:pt idx="143">
                  <c:v>70103</c:v>
                </c:pt>
                <c:pt idx="144">
                  <c:v>69270</c:v>
                </c:pt>
                <c:pt idx="145">
                  <c:v>71093</c:v>
                </c:pt>
                <c:pt idx="146">
                  <c:v>72137</c:v>
                </c:pt>
                <c:pt idx="147">
                  <c:v>69960</c:v>
                </c:pt>
                <c:pt idx="148">
                  <c:v>72821</c:v>
                </c:pt>
                <c:pt idx="149">
                  <c:v>68991</c:v>
                </c:pt>
                <c:pt idx="150">
                  <c:v>71238</c:v>
                </c:pt>
                <c:pt idx="151">
                  <c:v>71365</c:v>
                </c:pt>
                <c:pt idx="152">
                  <c:v>74729</c:v>
                </c:pt>
                <c:pt idx="153">
                  <c:v>73858</c:v>
                </c:pt>
                <c:pt idx="154">
                  <c:v>73407</c:v>
                </c:pt>
                <c:pt idx="155">
                  <c:v>75387</c:v>
                </c:pt>
                <c:pt idx="156">
                  <c:v>72083</c:v>
                </c:pt>
                <c:pt idx="157">
                  <c:v>73773</c:v>
                </c:pt>
                <c:pt idx="158">
                  <c:v>74147</c:v>
                </c:pt>
                <c:pt idx="159">
                  <c:v>73649</c:v>
                </c:pt>
                <c:pt idx="160">
                  <c:v>73225</c:v>
                </c:pt>
                <c:pt idx="161">
                  <c:v>79639</c:v>
                </c:pt>
                <c:pt idx="162">
                  <c:v>81605</c:v>
                </c:pt>
                <c:pt idx="163">
                  <c:v>73787</c:v>
                </c:pt>
                <c:pt idx="164">
                  <c:v>70627</c:v>
                </c:pt>
                <c:pt idx="165">
                  <c:v>67853</c:v>
                </c:pt>
                <c:pt idx="166">
                  <c:v>73211</c:v>
                </c:pt>
                <c:pt idx="167">
                  <c:v>73332</c:v>
                </c:pt>
                <c:pt idx="168">
                  <c:v>76757</c:v>
                </c:pt>
                <c:pt idx="169">
                  <c:v>74108</c:v>
                </c:pt>
                <c:pt idx="170">
                  <c:v>74609</c:v>
                </c:pt>
                <c:pt idx="171">
                  <c:v>74898</c:v>
                </c:pt>
                <c:pt idx="172">
                  <c:v>74081</c:v>
                </c:pt>
                <c:pt idx="173">
                  <c:v>75369</c:v>
                </c:pt>
                <c:pt idx="174">
                  <c:v>75964</c:v>
                </c:pt>
                <c:pt idx="175">
                  <c:v>75187</c:v>
                </c:pt>
                <c:pt idx="176">
                  <c:v>74579</c:v>
                </c:pt>
                <c:pt idx="177">
                  <c:v>75447</c:v>
                </c:pt>
                <c:pt idx="178">
                  <c:v>76064</c:v>
                </c:pt>
                <c:pt idx="179">
                  <c:v>75438</c:v>
                </c:pt>
                <c:pt idx="180">
                  <c:v>75399</c:v>
                </c:pt>
                <c:pt idx="181">
                  <c:v>75841</c:v>
                </c:pt>
                <c:pt idx="182">
                  <c:v>75472</c:v>
                </c:pt>
                <c:pt idx="183">
                  <c:v>76205</c:v>
                </c:pt>
                <c:pt idx="184">
                  <c:v>77186</c:v>
                </c:pt>
                <c:pt idx="185">
                  <c:v>74794</c:v>
                </c:pt>
                <c:pt idx="186">
                  <c:v>74932</c:v>
                </c:pt>
                <c:pt idx="187">
                  <c:v>76549</c:v>
                </c:pt>
                <c:pt idx="188">
                  <c:v>77176</c:v>
                </c:pt>
                <c:pt idx="189">
                  <c:v>77617</c:v>
                </c:pt>
                <c:pt idx="190">
                  <c:v>75921</c:v>
                </c:pt>
                <c:pt idx="191">
                  <c:v>73345</c:v>
                </c:pt>
                <c:pt idx="192">
                  <c:v>73834</c:v>
                </c:pt>
                <c:pt idx="193">
                  <c:v>72206</c:v>
                </c:pt>
                <c:pt idx="194">
                  <c:v>71774</c:v>
                </c:pt>
                <c:pt idx="195">
                  <c:v>70052</c:v>
                </c:pt>
                <c:pt idx="196">
                  <c:v>69143</c:v>
                </c:pt>
                <c:pt idx="197">
                  <c:v>67161</c:v>
                </c:pt>
                <c:pt idx="198">
                  <c:v>64397</c:v>
                </c:pt>
                <c:pt idx="199">
                  <c:v>64985</c:v>
                </c:pt>
                <c:pt idx="200">
                  <c:v>62549</c:v>
                </c:pt>
                <c:pt idx="201">
                  <c:v>56599</c:v>
                </c:pt>
                <c:pt idx="202">
                  <c:v>54984</c:v>
                </c:pt>
                <c:pt idx="203">
                  <c:v>54123</c:v>
                </c:pt>
                <c:pt idx="204">
                  <c:v>55790</c:v>
                </c:pt>
                <c:pt idx="205">
                  <c:v>54188</c:v>
                </c:pt>
                <c:pt idx="206">
                  <c:v>53100</c:v>
                </c:pt>
                <c:pt idx="207">
                  <c:v>53557</c:v>
                </c:pt>
                <c:pt idx="208">
                  <c:v>54089</c:v>
                </c:pt>
                <c:pt idx="209">
                  <c:v>56611</c:v>
                </c:pt>
                <c:pt idx="210">
                  <c:v>57748</c:v>
                </c:pt>
                <c:pt idx="211">
                  <c:v>62263</c:v>
                </c:pt>
                <c:pt idx="212">
                  <c:v>53534</c:v>
                </c:pt>
                <c:pt idx="213">
                  <c:v>56469</c:v>
                </c:pt>
                <c:pt idx="214">
                  <c:v>57355</c:v>
                </c:pt>
                <c:pt idx="215">
                  <c:v>57079</c:v>
                </c:pt>
                <c:pt idx="216">
                  <c:v>56740</c:v>
                </c:pt>
                <c:pt idx="217">
                  <c:v>55856</c:v>
                </c:pt>
                <c:pt idx="218">
                  <c:v>60897</c:v>
                </c:pt>
                <c:pt idx="219">
                  <c:v>61829</c:v>
                </c:pt>
                <c:pt idx="220">
                  <c:v>61623</c:v>
                </c:pt>
                <c:pt idx="221">
                  <c:v>61367</c:v>
                </c:pt>
                <c:pt idx="222">
                  <c:v>62620</c:v>
                </c:pt>
                <c:pt idx="223">
                  <c:v>62651</c:v>
                </c:pt>
                <c:pt idx="224">
                  <c:v>63260</c:v>
                </c:pt>
                <c:pt idx="225">
                  <c:v>64730</c:v>
                </c:pt>
                <c:pt idx="226">
                  <c:v>65512</c:v>
                </c:pt>
                <c:pt idx="227">
                  <c:v>65237</c:v>
                </c:pt>
                <c:pt idx="228">
                  <c:v>66286</c:v>
                </c:pt>
                <c:pt idx="229">
                  <c:v>67320</c:v>
                </c:pt>
                <c:pt idx="230">
                  <c:v>67574</c:v>
                </c:pt>
                <c:pt idx="231">
                  <c:v>66717</c:v>
                </c:pt>
                <c:pt idx="232">
                  <c:v>65911</c:v>
                </c:pt>
                <c:pt idx="233">
                  <c:v>66768</c:v>
                </c:pt>
                <c:pt idx="234">
                  <c:v>66422</c:v>
                </c:pt>
                <c:pt idx="235">
                  <c:v>65859</c:v>
                </c:pt>
                <c:pt idx="236">
                  <c:v>68816</c:v>
                </c:pt>
                <c:pt idx="237">
                  <c:v>69880</c:v>
                </c:pt>
                <c:pt idx="238">
                  <c:v>70223</c:v>
                </c:pt>
                <c:pt idx="239">
                  <c:v>71485</c:v>
                </c:pt>
                <c:pt idx="240">
                  <c:v>71720</c:v>
                </c:pt>
                <c:pt idx="241">
                  <c:v>72589</c:v>
                </c:pt>
                <c:pt idx="242">
                  <c:v>72651</c:v>
                </c:pt>
                <c:pt idx="243">
                  <c:v>72944</c:v>
                </c:pt>
                <c:pt idx="244">
                  <c:v>73639</c:v>
                </c:pt>
                <c:pt idx="245">
                  <c:v>72386</c:v>
                </c:pt>
                <c:pt idx="246">
                  <c:v>73125</c:v>
                </c:pt>
                <c:pt idx="247">
                  <c:v>73920</c:v>
                </c:pt>
                <c:pt idx="248">
                  <c:v>75195</c:v>
                </c:pt>
                <c:pt idx="249">
                  <c:v>74813</c:v>
                </c:pt>
                <c:pt idx="250">
                  <c:v>75838</c:v>
                </c:pt>
                <c:pt idx="251">
                  <c:v>76867</c:v>
                </c:pt>
                <c:pt idx="252">
                  <c:v>77699</c:v>
                </c:pt>
                <c:pt idx="253">
                  <c:v>78821</c:v>
                </c:pt>
                <c:pt idx="254">
                  <c:v>77910</c:v>
                </c:pt>
                <c:pt idx="255">
                  <c:v>78389</c:v>
                </c:pt>
                <c:pt idx="256">
                  <c:v>79718</c:v>
                </c:pt>
                <c:pt idx="257">
                  <c:v>81317</c:v>
                </c:pt>
                <c:pt idx="258">
                  <c:v>81715</c:v>
                </c:pt>
                <c:pt idx="259">
                  <c:v>81372</c:v>
                </c:pt>
                <c:pt idx="260">
                  <c:v>80196</c:v>
                </c:pt>
                <c:pt idx="261">
                  <c:v>81491</c:v>
                </c:pt>
                <c:pt idx="262">
                  <c:v>81822</c:v>
                </c:pt>
                <c:pt idx="263">
                  <c:v>81464</c:v>
                </c:pt>
                <c:pt idx="264">
                  <c:v>79035</c:v>
                </c:pt>
                <c:pt idx="265">
                  <c:v>81569</c:v>
                </c:pt>
                <c:pt idx="266">
                  <c:v>84506</c:v>
                </c:pt>
                <c:pt idx="267">
                  <c:v>85816</c:v>
                </c:pt>
                <c:pt idx="268">
                  <c:v>85984</c:v>
                </c:pt>
                <c:pt idx="269">
                  <c:v>86228</c:v>
                </c:pt>
                <c:pt idx="270">
                  <c:v>86589</c:v>
                </c:pt>
                <c:pt idx="271">
                  <c:v>87217</c:v>
                </c:pt>
                <c:pt idx="272">
                  <c:v>86510</c:v>
                </c:pt>
                <c:pt idx="273">
                  <c:v>86755</c:v>
                </c:pt>
                <c:pt idx="274">
                  <c:v>87815</c:v>
                </c:pt>
                <c:pt idx="275">
                  <c:v>87466</c:v>
                </c:pt>
                <c:pt idx="276">
                  <c:v>88519</c:v>
                </c:pt>
                <c:pt idx="277">
                  <c:v>87285</c:v>
                </c:pt>
                <c:pt idx="278">
                  <c:v>91140</c:v>
                </c:pt>
                <c:pt idx="279">
                  <c:v>91692</c:v>
                </c:pt>
                <c:pt idx="280">
                  <c:v>92313</c:v>
                </c:pt>
                <c:pt idx="281">
                  <c:v>92405</c:v>
                </c:pt>
                <c:pt idx="282">
                  <c:v>92495</c:v>
                </c:pt>
                <c:pt idx="283">
                  <c:v>93201</c:v>
                </c:pt>
                <c:pt idx="284">
                  <c:v>93600</c:v>
                </c:pt>
                <c:pt idx="285">
                  <c:v>92891</c:v>
                </c:pt>
                <c:pt idx="286">
                  <c:v>93924</c:v>
                </c:pt>
                <c:pt idx="287">
                  <c:v>93472</c:v>
                </c:pt>
                <c:pt idx="288">
                  <c:v>93093</c:v>
                </c:pt>
                <c:pt idx="289">
                  <c:v>95572</c:v>
                </c:pt>
                <c:pt idx="290">
                  <c:v>93557</c:v>
                </c:pt>
                <c:pt idx="291">
                  <c:v>93739</c:v>
                </c:pt>
                <c:pt idx="292">
                  <c:v>94121</c:v>
                </c:pt>
                <c:pt idx="293">
                  <c:v>94752</c:v>
                </c:pt>
                <c:pt idx="294">
                  <c:v>95942</c:v>
                </c:pt>
                <c:pt idx="295">
                  <c:v>96336</c:v>
                </c:pt>
                <c:pt idx="296">
                  <c:v>97177</c:v>
                </c:pt>
                <c:pt idx="297">
                  <c:v>97032</c:v>
                </c:pt>
                <c:pt idx="298">
                  <c:v>96612</c:v>
                </c:pt>
                <c:pt idx="299">
                  <c:v>99444</c:v>
                </c:pt>
                <c:pt idx="300">
                  <c:v>99420</c:v>
                </c:pt>
                <c:pt idx="301">
                  <c:v>98817</c:v>
                </c:pt>
                <c:pt idx="302">
                  <c:v>96705</c:v>
                </c:pt>
                <c:pt idx="303">
                  <c:v>97453</c:v>
                </c:pt>
                <c:pt idx="304">
                  <c:v>97863</c:v>
                </c:pt>
                <c:pt idx="305">
                  <c:v>98696</c:v>
                </c:pt>
                <c:pt idx="306">
                  <c:v>98921</c:v>
                </c:pt>
                <c:pt idx="307">
                  <c:v>96659</c:v>
                </c:pt>
                <c:pt idx="308">
                  <c:v>100949</c:v>
                </c:pt>
                <c:pt idx="309">
                  <c:v>101500</c:v>
                </c:pt>
                <c:pt idx="310">
                  <c:v>100613</c:v>
                </c:pt>
                <c:pt idx="311">
                  <c:v>100380</c:v>
                </c:pt>
                <c:pt idx="312">
                  <c:v>100279</c:v>
                </c:pt>
                <c:pt idx="313">
                  <c:v>99817</c:v>
                </c:pt>
                <c:pt idx="314">
                  <c:v>100129</c:v>
                </c:pt>
                <c:pt idx="315">
                  <c:v>100463</c:v>
                </c:pt>
                <c:pt idx="316">
                  <c:v>100878</c:v>
                </c:pt>
                <c:pt idx="317">
                  <c:v>100593</c:v>
                </c:pt>
                <c:pt idx="318">
                  <c:v>101183</c:v>
                </c:pt>
                <c:pt idx="319">
                  <c:v>99709</c:v>
                </c:pt>
                <c:pt idx="320">
                  <c:v>99414</c:v>
                </c:pt>
                <c:pt idx="321">
                  <c:v>99879</c:v>
                </c:pt>
                <c:pt idx="322">
                  <c:v>100696</c:v>
                </c:pt>
                <c:pt idx="323">
                  <c:v>101771</c:v>
                </c:pt>
                <c:pt idx="324">
                  <c:v>99605</c:v>
                </c:pt>
                <c:pt idx="325">
                  <c:v>100353</c:v>
                </c:pt>
                <c:pt idx="326">
                  <c:v>103240</c:v>
                </c:pt>
                <c:pt idx="327">
                  <c:v>102189</c:v>
                </c:pt>
                <c:pt idx="328">
                  <c:v>102619</c:v>
                </c:pt>
                <c:pt idx="329">
                  <c:v>102956</c:v>
                </c:pt>
                <c:pt idx="330">
                  <c:v>103680</c:v>
                </c:pt>
                <c:pt idx="331">
                  <c:v>105600</c:v>
                </c:pt>
                <c:pt idx="332">
                  <c:v>103712</c:v>
                </c:pt>
                <c:pt idx="333">
                  <c:v>104097</c:v>
                </c:pt>
                <c:pt idx="334">
                  <c:v>106580</c:v>
                </c:pt>
                <c:pt idx="335">
                  <c:v>104823</c:v>
                </c:pt>
                <c:pt idx="336">
                  <c:v>105162</c:v>
                </c:pt>
                <c:pt idx="337">
                  <c:v>105520</c:v>
                </c:pt>
                <c:pt idx="338">
                  <c:v>78046</c:v>
                </c:pt>
                <c:pt idx="339">
                  <c:v>68198</c:v>
                </c:pt>
                <c:pt idx="340">
                  <c:v>100942</c:v>
                </c:pt>
                <c:pt idx="341">
                  <c:v>110574</c:v>
                </c:pt>
                <c:pt idx="342">
                  <c:v>109448</c:v>
                </c:pt>
                <c:pt idx="343">
                  <c:v>109716</c:v>
                </c:pt>
              </c:numCache>
            </c:numRef>
          </c:val>
          <c:smooth val="0"/>
          <c:extLst>
            <c:ext xmlns:c16="http://schemas.microsoft.com/office/drawing/2014/chart" uri="{C3380CC4-5D6E-409C-BE32-E72D297353CC}">
              <c16:uniqueId val="{00000000-E786-4C97-BA69-75D1DA35E311}"/>
            </c:ext>
          </c:extLst>
        </c:ser>
        <c:dLbls>
          <c:showLegendKey val="0"/>
          <c:showVal val="0"/>
          <c:showCatName val="0"/>
          <c:showSerName val="0"/>
          <c:showPercent val="0"/>
          <c:showBubbleSize val="0"/>
        </c:dLbls>
        <c:smooth val="0"/>
        <c:axId val="1031865912"/>
        <c:axId val="1031861320"/>
      </c:lineChart>
      <c:dateAx>
        <c:axId val="1031865912"/>
        <c:scaling>
          <c:orientation val="minMax"/>
        </c:scaling>
        <c:delete val="0"/>
        <c:axPos val="b"/>
        <c:numFmt formatCode="[$-409]mmm\-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31861320"/>
        <c:crosses val="autoZero"/>
        <c:auto val="1"/>
        <c:lblOffset val="100"/>
        <c:baseTimeUnit val="months"/>
      </c:dateAx>
      <c:valAx>
        <c:axId val="1031861320"/>
        <c:scaling>
          <c:orientation val="minMax"/>
          <c:min val="30000"/>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3186591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Motor!$D$6</c:f>
              <c:strCache>
                <c:ptCount val="1"/>
                <c:pt idx="0">
                  <c:v>yoy</c:v>
                </c:pt>
              </c:strCache>
            </c:strRef>
          </c:tx>
          <c:spPr>
            <a:ln w="28575" cap="rnd">
              <a:solidFill>
                <a:sysClr val="windowText" lastClr="000000"/>
              </a:solidFill>
              <a:round/>
            </a:ln>
            <a:effectLst/>
          </c:spPr>
          <c:marker>
            <c:symbol val="none"/>
          </c:marker>
          <c:cat>
            <c:numRef>
              <c:f>Motor!$A$7:$A$360</c:f>
              <c:numCache>
                <c:formatCode>[$-409]mmm\-yy;@</c:formatCode>
                <c:ptCount val="354"/>
                <c:pt idx="0">
                  <c:v>33604</c:v>
                </c:pt>
                <c:pt idx="1">
                  <c:v>33635</c:v>
                </c:pt>
                <c:pt idx="2">
                  <c:v>33664</c:v>
                </c:pt>
                <c:pt idx="3">
                  <c:v>33695</c:v>
                </c:pt>
                <c:pt idx="4">
                  <c:v>33725</c:v>
                </c:pt>
                <c:pt idx="5">
                  <c:v>33756</c:v>
                </c:pt>
                <c:pt idx="6">
                  <c:v>33786</c:v>
                </c:pt>
                <c:pt idx="7">
                  <c:v>33817</c:v>
                </c:pt>
                <c:pt idx="8">
                  <c:v>33848</c:v>
                </c:pt>
                <c:pt idx="9">
                  <c:v>33878</c:v>
                </c:pt>
                <c:pt idx="10">
                  <c:v>33909</c:v>
                </c:pt>
                <c:pt idx="11">
                  <c:v>33939</c:v>
                </c:pt>
                <c:pt idx="12">
                  <c:v>33970</c:v>
                </c:pt>
                <c:pt idx="13">
                  <c:v>34001</c:v>
                </c:pt>
                <c:pt idx="14">
                  <c:v>34029</c:v>
                </c:pt>
                <c:pt idx="15">
                  <c:v>34060</c:v>
                </c:pt>
                <c:pt idx="16">
                  <c:v>34090</c:v>
                </c:pt>
                <c:pt idx="17">
                  <c:v>34121</c:v>
                </c:pt>
                <c:pt idx="18">
                  <c:v>34151</c:v>
                </c:pt>
                <c:pt idx="19">
                  <c:v>34182</c:v>
                </c:pt>
                <c:pt idx="20">
                  <c:v>34213</c:v>
                </c:pt>
                <c:pt idx="21">
                  <c:v>34243</c:v>
                </c:pt>
                <c:pt idx="22">
                  <c:v>34274</c:v>
                </c:pt>
                <c:pt idx="23">
                  <c:v>34304</c:v>
                </c:pt>
                <c:pt idx="24">
                  <c:v>34335</c:v>
                </c:pt>
                <c:pt idx="25">
                  <c:v>34366</c:v>
                </c:pt>
                <c:pt idx="26">
                  <c:v>34394</c:v>
                </c:pt>
                <c:pt idx="27">
                  <c:v>34425</c:v>
                </c:pt>
                <c:pt idx="28">
                  <c:v>34455</c:v>
                </c:pt>
                <c:pt idx="29">
                  <c:v>34486</c:v>
                </c:pt>
                <c:pt idx="30">
                  <c:v>34516</c:v>
                </c:pt>
                <c:pt idx="31">
                  <c:v>34547</c:v>
                </c:pt>
                <c:pt idx="32">
                  <c:v>34578</c:v>
                </c:pt>
                <c:pt idx="33">
                  <c:v>34608</c:v>
                </c:pt>
                <c:pt idx="34">
                  <c:v>34639</c:v>
                </c:pt>
                <c:pt idx="35">
                  <c:v>34669</c:v>
                </c:pt>
                <c:pt idx="36">
                  <c:v>34700</c:v>
                </c:pt>
                <c:pt idx="37">
                  <c:v>34731</c:v>
                </c:pt>
                <c:pt idx="38">
                  <c:v>34759</c:v>
                </c:pt>
                <c:pt idx="39">
                  <c:v>34790</c:v>
                </c:pt>
                <c:pt idx="40">
                  <c:v>34820</c:v>
                </c:pt>
                <c:pt idx="41">
                  <c:v>34851</c:v>
                </c:pt>
                <c:pt idx="42">
                  <c:v>34881</c:v>
                </c:pt>
                <c:pt idx="43">
                  <c:v>34912</c:v>
                </c:pt>
                <c:pt idx="44">
                  <c:v>34943</c:v>
                </c:pt>
                <c:pt idx="45">
                  <c:v>34973</c:v>
                </c:pt>
                <c:pt idx="46">
                  <c:v>35004</c:v>
                </c:pt>
                <c:pt idx="47">
                  <c:v>35034</c:v>
                </c:pt>
                <c:pt idx="48">
                  <c:v>35065</c:v>
                </c:pt>
                <c:pt idx="49">
                  <c:v>35096</c:v>
                </c:pt>
                <c:pt idx="50">
                  <c:v>35125</c:v>
                </c:pt>
                <c:pt idx="51">
                  <c:v>35156</c:v>
                </c:pt>
                <c:pt idx="52">
                  <c:v>35186</c:v>
                </c:pt>
                <c:pt idx="53">
                  <c:v>35217</c:v>
                </c:pt>
                <c:pt idx="54">
                  <c:v>35247</c:v>
                </c:pt>
                <c:pt idx="55">
                  <c:v>35278</c:v>
                </c:pt>
                <c:pt idx="56">
                  <c:v>35309</c:v>
                </c:pt>
                <c:pt idx="57">
                  <c:v>35339</c:v>
                </c:pt>
                <c:pt idx="58">
                  <c:v>35370</c:v>
                </c:pt>
                <c:pt idx="59">
                  <c:v>35400</c:v>
                </c:pt>
                <c:pt idx="60">
                  <c:v>35431</c:v>
                </c:pt>
                <c:pt idx="61">
                  <c:v>35462</c:v>
                </c:pt>
                <c:pt idx="62">
                  <c:v>35490</c:v>
                </c:pt>
                <c:pt idx="63">
                  <c:v>35521</c:v>
                </c:pt>
                <c:pt idx="64">
                  <c:v>35551</c:v>
                </c:pt>
                <c:pt idx="65">
                  <c:v>35582</c:v>
                </c:pt>
                <c:pt idx="66">
                  <c:v>35612</c:v>
                </c:pt>
                <c:pt idx="67">
                  <c:v>35643</c:v>
                </c:pt>
                <c:pt idx="68">
                  <c:v>35674</c:v>
                </c:pt>
                <c:pt idx="69">
                  <c:v>35704</c:v>
                </c:pt>
                <c:pt idx="70">
                  <c:v>35735</c:v>
                </c:pt>
                <c:pt idx="71">
                  <c:v>35765</c:v>
                </c:pt>
                <c:pt idx="72">
                  <c:v>35796</c:v>
                </c:pt>
                <c:pt idx="73">
                  <c:v>35827</c:v>
                </c:pt>
                <c:pt idx="74">
                  <c:v>35855</c:v>
                </c:pt>
                <c:pt idx="75">
                  <c:v>35886</c:v>
                </c:pt>
                <c:pt idx="76">
                  <c:v>35916</c:v>
                </c:pt>
                <c:pt idx="77">
                  <c:v>35947</c:v>
                </c:pt>
                <c:pt idx="78">
                  <c:v>35977</c:v>
                </c:pt>
                <c:pt idx="79">
                  <c:v>36008</c:v>
                </c:pt>
                <c:pt idx="80">
                  <c:v>36039</c:v>
                </c:pt>
                <c:pt idx="81">
                  <c:v>36069</c:v>
                </c:pt>
                <c:pt idx="82">
                  <c:v>36100</c:v>
                </c:pt>
                <c:pt idx="83">
                  <c:v>36130</c:v>
                </c:pt>
                <c:pt idx="84">
                  <c:v>36161</c:v>
                </c:pt>
                <c:pt idx="85">
                  <c:v>36192</c:v>
                </c:pt>
                <c:pt idx="86">
                  <c:v>36220</c:v>
                </c:pt>
                <c:pt idx="87">
                  <c:v>36251</c:v>
                </c:pt>
                <c:pt idx="88">
                  <c:v>36281</c:v>
                </c:pt>
                <c:pt idx="89">
                  <c:v>36312</c:v>
                </c:pt>
                <c:pt idx="90">
                  <c:v>36342</c:v>
                </c:pt>
                <c:pt idx="91">
                  <c:v>36373</c:v>
                </c:pt>
                <c:pt idx="92">
                  <c:v>36404</c:v>
                </c:pt>
                <c:pt idx="93">
                  <c:v>36434</c:v>
                </c:pt>
                <c:pt idx="94">
                  <c:v>36465</c:v>
                </c:pt>
                <c:pt idx="95">
                  <c:v>36495</c:v>
                </c:pt>
                <c:pt idx="96">
                  <c:v>36526</c:v>
                </c:pt>
                <c:pt idx="97">
                  <c:v>36557</c:v>
                </c:pt>
                <c:pt idx="98">
                  <c:v>36586</c:v>
                </c:pt>
                <c:pt idx="99">
                  <c:v>36617</c:v>
                </c:pt>
                <c:pt idx="100">
                  <c:v>36647</c:v>
                </c:pt>
                <c:pt idx="101">
                  <c:v>36678</c:v>
                </c:pt>
                <c:pt idx="102">
                  <c:v>36708</c:v>
                </c:pt>
                <c:pt idx="103">
                  <c:v>36739</c:v>
                </c:pt>
                <c:pt idx="104">
                  <c:v>36770</c:v>
                </c:pt>
                <c:pt idx="105">
                  <c:v>36800</c:v>
                </c:pt>
                <c:pt idx="106">
                  <c:v>36831</c:v>
                </c:pt>
                <c:pt idx="107">
                  <c:v>36861</c:v>
                </c:pt>
                <c:pt idx="108">
                  <c:v>36892</c:v>
                </c:pt>
                <c:pt idx="109">
                  <c:v>36923</c:v>
                </c:pt>
                <c:pt idx="110">
                  <c:v>36951</c:v>
                </c:pt>
                <c:pt idx="111">
                  <c:v>36982</c:v>
                </c:pt>
                <c:pt idx="112">
                  <c:v>37012</c:v>
                </c:pt>
                <c:pt idx="113">
                  <c:v>37043</c:v>
                </c:pt>
                <c:pt idx="114">
                  <c:v>37073</c:v>
                </c:pt>
                <c:pt idx="115">
                  <c:v>37104</c:v>
                </c:pt>
                <c:pt idx="116">
                  <c:v>37135</c:v>
                </c:pt>
                <c:pt idx="117">
                  <c:v>37165</c:v>
                </c:pt>
                <c:pt idx="118">
                  <c:v>37196</c:v>
                </c:pt>
                <c:pt idx="119">
                  <c:v>37226</c:v>
                </c:pt>
                <c:pt idx="120">
                  <c:v>37257</c:v>
                </c:pt>
                <c:pt idx="121">
                  <c:v>37288</c:v>
                </c:pt>
                <c:pt idx="122">
                  <c:v>37316</c:v>
                </c:pt>
                <c:pt idx="123">
                  <c:v>37347</c:v>
                </c:pt>
                <c:pt idx="124">
                  <c:v>37377</c:v>
                </c:pt>
                <c:pt idx="125">
                  <c:v>37408</c:v>
                </c:pt>
                <c:pt idx="126">
                  <c:v>37438</c:v>
                </c:pt>
                <c:pt idx="127">
                  <c:v>37469</c:v>
                </c:pt>
                <c:pt idx="128">
                  <c:v>37500</c:v>
                </c:pt>
                <c:pt idx="129">
                  <c:v>37530</c:v>
                </c:pt>
                <c:pt idx="130">
                  <c:v>37561</c:v>
                </c:pt>
                <c:pt idx="131">
                  <c:v>37591</c:v>
                </c:pt>
                <c:pt idx="132">
                  <c:v>37622</c:v>
                </c:pt>
                <c:pt idx="133">
                  <c:v>37653</c:v>
                </c:pt>
                <c:pt idx="134">
                  <c:v>37681</c:v>
                </c:pt>
                <c:pt idx="135">
                  <c:v>37712</c:v>
                </c:pt>
                <c:pt idx="136">
                  <c:v>37742</c:v>
                </c:pt>
                <c:pt idx="137">
                  <c:v>37773</c:v>
                </c:pt>
                <c:pt idx="138">
                  <c:v>37803</c:v>
                </c:pt>
                <c:pt idx="139">
                  <c:v>37834</c:v>
                </c:pt>
                <c:pt idx="140">
                  <c:v>37865</c:v>
                </c:pt>
                <c:pt idx="141">
                  <c:v>37895</c:v>
                </c:pt>
                <c:pt idx="142">
                  <c:v>37926</c:v>
                </c:pt>
                <c:pt idx="143">
                  <c:v>37956</c:v>
                </c:pt>
                <c:pt idx="144">
                  <c:v>37987</c:v>
                </c:pt>
                <c:pt idx="145">
                  <c:v>38018</c:v>
                </c:pt>
                <c:pt idx="146">
                  <c:v>38047</c:v>
                </c:pt>
                <c:pt idx="147">
                  <c:v>38078</c:v>
                </c:pt>
                <c:pt idx="148">
                  <c:v>38108</c:v>
                </c:pt>
                <c:pt idx="149">
                  <c:v>38139</c:v>
                </c:pt>
                <c:pt idx="150">
                  <c:v>38169</c:v>
                </c:pt>
                <c:pt idx="151">
                  <c:v>38200</c:v>
                </c:pt>
                <c:pt idx="152">
                  <c:v>38231</c:v>
                </c:pt>
                <c:pt idx="153">
                  <c:v>38261</c:v>
                </c:pt>
                <c:pt idx="154">
                  <c:v>38292</c:v>
                </c:pt>
                <c:pt idx="155">
                  <c:v>38322</c:v>
                </c:pt>
                <c:pt idx="156">
                  <c:v>38353</c:v>
                </c:pt>
                <c:pt idx="157">
                  <c:v>38384</c:v>
                </c:pt>
                <c:pt idx="158">
                  <c:v>38412</c:v>
                </c:pt>
                <c:pt idx="159">
                  <c:v>38443</c:v>
                </c:pt>
                <c:pt idx="160">
                  <c:v>38473</c:v>
                </c:pt>
                <c:pt idx="161">
                  <c:v>38504</c:v>
                </c:pt>
                <c:pt idx="162">
                  <c:v>38534</c:v>
                </c:pt>
                <c:pt idx="163">
                  <c:v>38565</c:v>
                </c:pt>
                <c:pt idx="164">
                  <c:v>38596</c:v>
                </c:pt>
                <c:pt idx="165">
                  <c:v>38626</c:v>
                </c:pt>
                <c:pt idx="166">
                  <c:v>38657</c:v>
                </c:pt>
                <c:pt idx="167">
                  <c:v>38687</c:v>
                </c:pt>
                <c:pt idx="168">
                  <c:v>38718</c:v>
                </c:pt>
                <c:pt idx="169">
                  <c:v>38749</c:v>
                </c:pt>
                <c:pt idx="170">
                  <c:v>38777</c:v>
                </c:pt>
                <c:pt idx="171">
                  <c:v>38808</c:v>
                </c:pt>
                <c:pt idx="172">
                  <c:v>38838</c:v>
                </c:pt>
                <c:pt idx="173">
                  <c:v>38869</c:v>
                </c:pt>
                <c:pt idx="174">
                  <c:v>38899</c:v>
                </c:pt>
                <c:pt idx="175">
                  <c:v>38930</c:v>
                </c:pt>
                <c:pt idx="176">
                  <c:v>38961</c:v>
                </c:pt>
                <c:pt idx="177">
                  <c:v>38991</c:v>
                </c:pt>
                <c:pt idx="178">
                  <c:v>39022</c:v>
                </c:pt>
                <c:pt idx="179">
                  <c:v>39052</c:v>
                </c:pt>
                <c:pt idx="180">
                  <c:v>39083</c:v>
                </c:pt>
                <c:pt idx="181">
                  <c:v>39114</c:v>
                </c:pt>
                <c:pt idx="182">
                  <c:v>39142</c:v>
                </c:pt>
                <c:pt idx="183">
                  <c:v>39173</c:v>
                </c:pt>
                <c:pt idx="184">
                  <c:v>39203</c:v>
                </c:pt>
                <c:pt idx="185">
                  <c:v>39234</c:v>
                </c:pt>
                <c:pt idx="186">
                  <c:v>39264</c:v>
                </c:pt>
                <c:pt idx="187">
                  <c:v>39295</c:v>
                </c:pt>
                <c:pt idx="188">
                  <c:v>39326</c:v>
                </c:pt>
                <c:pt idx="189">
                  <c:v>39356</c:v>
                </c:pt>
                <c:pt idx="190">
                  <c:v>39387</c:v>
                </c:pt>
                <c:pt idx="191">
                  <c:v>39417</c:v>
                </c:pt>
                <c:pt idx="192">
                  <c:v>39448</c:v>
                </c:pt>
                <c:pt idx="193">
                  <c:v>39479</c:v>
                </c:pt>
                <c:pt idx="194">
                  <c:v>39508</c:v>
                </c:pt>
                <c:pt idx="195">
                  <c:v>39539</c:v>
                </c:pt>
                <c:pt idx="196">
                  <c:v>39569</c:v>
                </c:pt>
                <c:pt idx="197">
                  <c:v>39600</c:v>
                </c:pt>
                <c:pt idx="198">
                  <c:v>39630</c:v>
                </c:pt>
                <c:pt idx="199">
                  <c:v>39661</c:v>
                </c:pt>
                <c:pt idx="200">
                  <c:v>39692</c:v>
                </c:pt>
                <c:pt idx="201">
                  <c:v>39722</c:v>
                </c:pt>
                <c:pt idx="202">
                  <c:v>39753</c:v>
                </c:pt>
                <c:pt idx="203">
                  <c:v>39783</c:v>
                </c:pt>
                <c:pt idx="204">
                  <c:v>39814</c:v>
                </c:pt>
                <c:pt idx="205">
                  <c:v>39845</c:v>
                </c:pt>
                <c:pt idx="206">
                  <c:v>39873</c:v>
                </c:pt>
                <c:pt idx="207">
                  <c:v>39904</c:v>
                </c:pt>
                <c:pt idx="208">
                  <c:v>39934</c:v>
                </c:pt>
                <c:pt idx="209">
                  <c:v>39965</c:v>
                </c:pt>
                <c:pt idx="210">
                  <c:v>39995</c:v>
                </c:pt>
                <c:pt idx="211">
                  <c:v>40026</c:v>
                </c:pt>
                <c:pt idx="212">
                  <c:v>40057</c:v>
                </c:pt>
                <c:pt idx="213">
                  <c:v>40087</c:v>
                </c:pt>
                <c:pt idx="214">
                  <c:v>40118</c:v>
                </c:pt>
                <c:pt idx="215">
                  <c:v>40148</c:v>
                </c:pt>
                <c:pt idx="216">
                  <c:v>40179</c:v>
                </c:pt>
                <c:pt idx="217">
                  <c:v>40210</c:v>
                </c:pt>
                <c:pt idx="218">
                  <c:v>40238</c:v>
                </c:pt>
                <c:pt idx="219">
                  <c:v>40269</c:v>
                </c:pt>
                <c:pt idx="220">
                  <c:v>40299</c:v>
                </c:pt>
                <c:pt idx="221">
                  <c:v>40330</c:v>
                </c:pt>
                <c:pt idx="222">
                  <c:v>40360</c:v>
                </c:pt>
                <c:pt idx="223">
                  <c:v>40391</c:v>
                </c:pt>
                <c:pt idx="224">
                  <c:v>40422</c:v>
                </c:pt>
                <c:pt idx="225">
                  <c:v>40452</c:v>
                </c:pt>
                <c:pt idx="226">
                  <c:v>40483</c:v>
                </c:pt>
                <c:pt idx="227">
                  <c:v>40513</c:v>
                </c:pt>
                <c:pt idx="228">
                  <c:v>40544</c:v>
                </c:pt>
                <c:pt idx="229">
                  <c:v>40575</c:v>
                </c:pt>
                <c:pt idx="230">
                  <c:v>40603</c:v>
                </c:pt>
                <c:pt idx="231">
                  <c:v>40634</c:v>
                </c:pt>
                <c:pt idx="232">
                  <c:v>40664</c:v>
                </c:pt>
                <c:pt idx="233">
                  <c:v>40695</c:v>
                </c:pt>
                <c:pt idx="234">
                  <c:v>40725</c:v>
                </c:pt>
                <c:pt idx="235">
                  <c:v>40756</c:v>
                </c:pt>
                <c:pt idx="236">
                  <c:v>40787</c:v>
                </c:pt>
                <c:pt idx="237">
                  <c:v>40817</c:v>
                </c:pt>
                <c:pt idx="238">
                  <c:v>40848</c:v>
                </c:pt>
                <c:pt idx="239">
                  <c:v>40878</c:v>
                </c:pt>
                <c:pt idx="240">
                  <c:v>40909</c:v>
                </c:pt>
                <c:pt idx="241">
                  <c:v>40940</c:v>
                </c:pt>
                <c:pt idx="242">
                  <c:v>40969</c:v>
                </c:pt>
                <c:pt idx="243">
                  <c:v>41000</c:v>
                </c:pt>
                <c:pt idx="244">
                  <c:v>41030</c:v>
                </c:pt>
                <c:pt idx="245">
                  <c:v>41061</c:v>
                </c:pt>
                <c:pt idx="246">
                  <c:v>41091</c:v>
                </c:pt>
                <c:pt idx="247">
                  <c:v>41122</c:v>
                </c:pt>
                <c:pt idx="248">
                  <c:v>41153</c:v>
                </c:pt>
                <c:pt idx="249">
                  <c:v>41183</c:v>
                </c:pt>
                <c:pt idx="250">
                  <c:v>41214</c:v>
                </c:pt>
                <c:pt idx="251">
                  <c:v>41244</c:v>
                </c:pt>
                <c:pt idx="252">
                  <c:v>41275</c:v>
                </c:pt>
                <c:pt idx="253">
                  <c:v>41306</c:v>
                </c:pt>
                <c:pt idx="254">
                  <c:v>41334</c:v>
                </c:pt>
                <c:pt idx="255">
                  <c:v>41365</c:v>
                </c:pt>
                <c:pt idx="256">
                  <c:v>41395</c:v>
                </c:pt>
                <c:pt idx="257">
                  <c:v>41426</c:v>
                </c:pt>
                <c:pt idx="258">
                  <c:v>41456</c:v>
                </c:pt>
                <c:pt idx="259">
                  <c:v>41487</c:v>
                </c:pt>
                <c:pt idx="260">
                  <c:v>41518</c:v>
                </c:pt>
                <c:pt idx="261">
                  <c:v>41548</c:v>
                </c:pt>
                <c:pt idx="262">
                  <c:v>41579</c:v>
                </c:pt>
                <c:pt idx="263">
                  <c:v>41609</c:v>
                </c:pt>
                <c:pt idx="264">
                  <c:v>41640</c:v>
                </c:pt>
                <c:pt idx="265">
                  <c:v>41671</c:v>
                </c:pt>
                <c:pt idx="266">
                  <c:v>41699</c:v>
                </c:pt>
                <c:pt idx="267">
                  <c:v>41730</c:v>
                </c:pt>
                <c:pt idx="268">
                  <c:v>41760</c:v>
                </c:pt>
                <c:pt idx="269">
                  <c:v>41791</c:v>
                </c:pt>
                <c:pt idx="270">
                  <c:v>41821</c:v>
                </c:pt>
                <c:pt idx="271">
                  <c:v>41852</c:v>
                </c:pt>
                <c:pt idx="272">
                  <c:v>41883</c:v>
                </c:pt>
                <c:pt idx="273">
                  <c:v>41913</c:v>
                </c:pt>
                <c:pt idx="274">
                  <c:v>41944</c:v>
                </c:pt>
                <c:pt idx="275">
                  <c:v>41974</c:v>
                </c:pt>
                <c:pt idx="276">
                  <c:v>42005</c:v>
                </c:pt>
                <c:pt idx="277">
                  <c:v>42036</c:v>
                </c:pt>
                <c:pt idx="278">
                  <c:v>42064</c:v>
                </c:pt>
                <c:pt idx="279">
                  <c:v>42095</c:v>
                </c:pt>
                <c:pt idx="280">
                  <c:v>42125</c:v>
                </c:pt>
                <c:pt idx="281">
                  <c:v>42156</c:v>
                </c:pt>
                <c:pt idx="282">
                  <c:v>42186</c:v>
                </c:pt>
                <c:pt idx="283">
                  <c:v>42217</c:v>
                </c:pt>
                <c:pt idx="284">
                  <c:v>42248</c:v>
                </c:pt>
                <c:pt idx="285">
                  <c:v>42278</c:v>
                </c:pt>
                <c:pt idx="286">
                  <c:v>42309</c:v>
                </c:pt>
                <c:pt idx="287">
                  <c:v>42339</c:v>
                </c:pt>
                <c:pt idx="288">
                  <c:v>42370</c:v>
                </c:pt>
                <c:pt idx="289">
                  <c:v>42401</c:v>
                </c:pt>
                <c:pt idx="290">
                  <c:v>42430</c:v>
                </c:pt>
                <c:pt idx="291">
                  <c:v>42461</c:v>
                </c:pt>
                <c:pt idx="292">
                  <c:v>42491</c:v>
                </c:pt>
                <c:pt idx="293">
                  <c:v>42522</c:v>
                </c:pt>
                <c:pt idx="294">
                  <c:v>42552</c:v>
                </c:pt>
                <c:pt idx="295">
                  <c:v>42583</c:v>
                </c:pt>
                <c:pt idx="296">
                  <c:v>42614</c:v>
                </c:pt>
                <c:pt idx="297">
                  <c:v>42644</c:v>
                </c:pt>
                <c:pt idx="298">
                  <c:v>42675</c:v>
                </c:pt>
                <c:pt idx="299">
                  <c:v>42705</c:v>
                </c:pt>
                <c:pt idx="300">
                  <c:v>42736</c:v>
                </c:pt>
                <c:pt idx="301">
                  <c:v>42767</c:v>
                </c:pt>
                <c:pt idx="302">
                  <c:v>42795</c:v>
                </c:pt>
                <c:pt idx="303">
                  <c:v>42826</c:v>
                </c:pt>
                <c:pt idx="304">
                  <c:v>42856</c:v>
                </c:pt>
                <c:pt idx="305">
                  <c:v>42887</c:v>
                </c:pt>
                <c:pt idx="306">
                  <c:v>42917</c:v>
                </c:pt>
                <c:pt idx="307">
                  <c:v>42948</c:v>
                </c:pt>
                <c:pt idx="308">
                  <c:v>42979</c:v>
                </c:pt>
                <c:pt idx="309">
                  <c:v>43009</c:v>
                </c:pt>
                <c:pt idx="310">
                  <c:v>43040</c:v>
                </c:pt>
                <c:pt idx="311">
                  <c:v>43070</c:v>
                </c:pt>
                <c:pt idx="312">
                  <c:v>43101</c:v>
                </c:pt>
                <c:pt idx="313">
                  <c:v>43132</c:v>
                </c:pt>
                <c:pt idx="314">
                  <c:v>43160</c:v>
                </c:pt>
                <c:pt idx="315">
                  <c:v>43191</c:v>
                </c:pt>
                <c:pt idx="316">
                  <c:v>43221</c:v>
                </c:pt>
                <c:pt idx="317">
                  <c:v>43252</c:v>
                </c:pt>
                <c:pt idx="318">
                  <c:v>43282</c:v>
                </c:pt>
                <c:pt idx="319">
                  <c:v>43313</c:v>
                </c:pt>
                <c:pt idx="320">
                  <c:v>43344</c:v>
                </c:pt>
                <c:pt idx="321">
                  <c:v>43374</c:v>
                </c:pt>
                <c:pt idx="322">
                  <c:v>43405</c:v>
                </c:pt>
                <c:pt idx="323">
                  <c:v>43435</c:v>
                </c:pt>
                <c:pt idx="324">
                  <c:v>43466</c:v>
                </c:pt>
                <c:pt idx="325">
                  <c:v>43497</c:v>
                </c:pt>
                <c:pt idx="326">
                  <c:v>43525</c:v>
                </c:pt>
                <c:pt idx="327">
                  <c:v>43556</c:v>
                </c:pt>
                <c:pt idx="328">
                  <c:v>43586</c:v>
                </c:pt>
                <c:pt idx="329">
                  <c:v>43617</c:v>
                </c:pt>
                <c:pt idx="330">
                  <c:v>43647</c:v>
                </c:pt>
                <c:pt idx="331">
                  <c:v>43678</c:v>
                </c:pt>
                <c:pt idx="332">
                  <c:v>43709</c:v>
                </c:pt>
                <c:pt idx="333">
                  <c:v>43739</c:v>
                </c:pt>
                <c:pt idx="334">
                  <c:v>43770</c:v>
                </c:pt>
                <c:pt idx="335">
                  <c:v>43800</c:v>
                </c:pt>
                <c:pt idx="336">
                  <c:v>43831</c:v>
                </c:pt>
                <c:pt idx="337">
                  <c:v>43862</c:v>
                </c:pt>
                <c:pt idx="338">
                  <c:v>43891</c:v>
                </c:pt>
                <c:pt idx="339">
                  <c:v>43922</c:v>
                </c:pt>
                <c:pt idx="340">
                  <c:v>43952</c:v>
                </c:pt>
                <c:pt idx="341">
                  <c:v>43983</c:v>
                </c:pt>
                <c:pt idx="342">
                  <c:v>44013</c:v>
                </c:pt>
                <c:pt idx="343">
                  <c:v>44044</c:v>
                </c:pt>
                <c:pt idx="344">
                  <c:v>44075</c:v>
                </c:pt>
                <c:pt idx="345">
                  <c:v>44105</c:v>
                </c:pt>
                <c:pt idx="346">
                  <c:v>44136</c:v>
                </c:pt>
                <c:pt idx="347">
                  <c:v>44166</c:v>
                </c:pt>
                <c:pt idx="348">
                  <c:v>44197</c:v>
                </c:pt>
                <c:pt idx="349">
                  <c:v>44228</c:v>
                </c:pt>
                <c:pt idx="350">
                  <c:v>44256</c:v>
                </c:pt>
                <c:pt idx="351">
                  <c:v>44287</c:v>
                </c:pt>
                <c:pt idx="352">
                  <c:v>44317</c:v>
                </c:pt>
                <c:pt idx="353">
                  <c:v>44348</c:v>
                </c:pt>
              </c:numCache>
            </c:numRef>
          </c:cat>
          <c:val>
            <c:numRef>
              <c:f>Motor!$D$7:$D$360</c:f>
              <c:numCache>
                <c:formatCode>General</c:formatCode>
                <c:ptCount val="354"/>
                <c:pt idx="12" formatCode="0.00%">
                  <c:v>0.12375291236035606</c:v>
                </c:pt>
                <c:pt idx="13" formatCode="0.00%">
                  <c:v>8.5933110565691806E-2</c:v>
                </c:pt>
                <c:pt idx="14" formatCode="0.00%">
                  <c:v>7.856371490280778E-2</c:v>
                </c:pt>
                <c:pt idx="15" formatCode="0.00%">
                  <c:v>0.14048436759829463</c:v>
                </c:pt>
                <c:pt idx="16" formatCode="0.00%">
                  <c:v>0.13531449195214948</c:v>
                </c:pt>
                <c:pt idx="17" formatCode="0.00%">
                  <c:v>0.11819671659814267</c:v>
                </c:pt>
                <c:pt idx="18" formatCode="0.00%">
                  <c:v>0.14463479076110117</c:v>
                </c:pt>
                <c:pt idx="19" formatCode="0.00%">
                  <c:v>0.17114355934653752</c:v>
                </c:pt>
                <c:pt idx="20" formatCode="0.00%">
                  <c:v>0.12017275006965729</c:v>
                </c:pt>
                <c:pt idx="21" formatCode="0.00%">
                  <c:v>0.13580006671855888</c:v>
                </c:pt>
                <c:pt idx="22" formatCode="0.00%">
                  <c:v>0.17114785125807169</c:v>
                </c:pt>
                <c:pt idx="23" formatCode="0.00%">
                  <c:v>0.17986325540361711</c:v>
                </c:pt>
                <c:pt idx="24" formatCode="0.00%">
                  <c:v>0.13394114988968928</c:v>
                </c:pt>
                <c:pt idx="25" formatCode="0.00%">
                  <c:v>0.18958146120959615</c:v>
                </c:pt>
                <c:pt idx="26" formatCode="0.00%">
                  <c:v>0.23696287025448479</c:v>
                </c:pt>
                <c:pt idx="27" formatCode="0.00%">
                  <c:v>0.17006308247449442</c:v>
                </c:pt>
                <c:pt idx="28" formatCode="0.00%">
                  <c:v>0.13054401886889197</c:v>
                </c:pt>
                <c:pt idx="29" formatCode="0.00%">
                  <c:v>0.14524838012958963</c:v>
                </c:pt>
                <c:pt idx="30" formatCode="0.00%">
                  <c:v>0.10392156862745099</c:v>
                </c:pt>
                <c:pt idx="31" formatCode="0.00%">
                  <c:v>0.11672921192968595</c:v>
                </c:pt>
                <c:pt idx="32" formatCode="0.00%">
                  <c:v>0.15200358182225207</c:v>
                </c:pt>
                <c:pt idx="33" formatCode="0.00%">
                  <c:v>0.15135717257752648</c:v>
                </c:pt>
                <c:pt idx="34" formatCode="0.00%">
                  <c:v>0.12182427454428785</c:v>
                </c:pt>
                <c:pt idx="35" formatCode="0.00%">
                  <c:v>9.6854846247312831E-2</c:v>
                </c:pt>
                <c:pt idx="36" formatCode="0.00%">
                  <c:v>0.10698546647913737</c:v>
                </c:pt>
                <c:pt idx="37" formatCode="0.00%">
                  <c:v>5.0749685246652167E-2</c:v>
                </c:pt>
                <c:pt idx="38" formatCode="0.00%">
                  <c:v>4.9600899381675098E-2</c:v>
                </c:pt>
                <c:pt idx="39" formatCode="0.00%">
                  <c:v>4.4018459353922609E-2</c:v>
                </c:pt>
                <c:pt idx="40" formatCode="0.00%">
                  <c:v>8.2089890697990844E-2</c:v>
                </c:pt>
                <c:pt idx="41" formatCode="0.00%">
                  <c:v>0.11474820951482903</c:v>
                </c:pt>
                <c:pt idx="42" formatCode="0.00%">
                  <c:v>9.791577669357196E-2</c:v>
                </c:pt>
                <c:pt idx="43" formatCode="0.00%">
                  <c:v>9.9840820657941282E-2</c:v>
                </c:pt>
                <c:pt idx="44" formatCode="0.00%">
                  <c:v>6.2054670294079545E-2</c:v>
                </c:pt>
                <c:pt idx="45" formatCode="0.00%">
                  <c:v>4.7405454816011564E-2</c:v>
                </c:pt>
                <c:pt idx="46" formatCode="0.00%">
                  <c:v>5.6352350486197911E-2</c:v>
                </c:pt>
                <c:pt idx="47" formatCode="0.00%">
                  <c:v>6.8639355787051826E-2</c:v>
                </c:pt>
                <c:pt idx="48" formatCode="0.00%">
                  <c:v>6.6173979332542779E-2</c:v>
                </c:pt>
                <c:pt idx="49" formatCode="0.00%">
                  <c:v>0.13912247832338459</c:v>
                </c:pt>
                <c:pt idx="50" formatCode="0.00%">
                  <c:v>0.12139842762580065</c:v>
                </c:pt>
                <c:pt idx="51" formatCode="0.00%">
                  <c:v>9.509945596735804E-2</c:v>
                </c:pt>
                <c:pt idx="52" formatCode="0.00%">
                  <c:v>9.3926820067898903E-2</c:v>
                </c:pt>
                <c:pt idx="53" formatCode="0.00%">
                  <c:v>4.322081688552324E-2</c:v>
                </c:pt>
                <c:pt idx="54" formatCode="0.00%">
                  <c:v>6.4957404980340763E-2</c:v>
                </c:pt>
                <c:pt idx="55" formatCode="0.00%">
                  <c:v>3.4654659483798346E-2</c:v>
                </c:pt>
                <c:pt idx="56" formatCode="0.00%">
                  <c:v>8.123932666504026E-2</c:v>
                </c:pt>
                <c:pt idx="57" formatCode="0.00%">
                  <c:v>8.4816626413103044E-2</c:v>
                </c:pt>
                <c:pt idx="58" formatCode="0.00%">
                  <c:v>5.7096444257264907E-2</c:v>
                </c:pt>
                <c:pt idx="59" formatCode="0.00%">
                  <c:v>5.3266351693479257E-2</c:v>
                </c:pt>
                <c:pt idx="60" formatCode="0.00%">
                  <c:v>7.2712466980476273E-2</c:v>
                </c:pt>
                <c:pt idx="61" formatCode="0.00%">
                  <c:v>4.4235771113831091E-2</c:v>
                </c:pt>
                <c:pt idx="62" formatCode="0.00%">
                  <c:v>3.6009016581340259E-2</c:v>
                </c:pt>
                <c:pt idx="63" formatCode="0.00%">
                  <c:v>4.5215501348702725E-2</c:v>
                </c:pt>
                <c:pt idx="64" formatCode="0.00%">
                  <c:v>-1.7241379310344826E-4</c:v>
                </c:pt>
                <c:pt idx="65" formatCode="0.00%">
                  <c:v>4.3785474342638714E-2</c:v>
                </c:pt>
                <c:pt idx="66" formatCode="0.00%">
                  <c:v>6.2514421967540965E-2</c:v>
                </c:pt>
                <c:pt idx="67" formatCode="0.00%">
                  <c:v>7.8023002797637547E-2</c:v>
                </c:pt>
                <c:pt idx="68" formatCode="0.00%">
                  <c:v>4.042569193742479E-2</c:v>
                </c:pt>
                <c:pt idx="69" formatCode="0.00%">
                  <c:v>2.6304957904583724E-2</c:v>
                </c:pt>
                <c:pt idx="70" formatCode="0.00%">
                  <c:v>4.9402390438247012E-2</c:v>
                </c:pt>
                <c:pt idx="71" formatCode="0.00%">
                  <c:v>5.5417810163717232E-2</c:v>
                </c:pt>
                <c:pt idx="72" formatCode="0.00%">
                  <c:v>2.7476393260507312E-2</c:v>
                </c:pt>
                <c:pt idx="73" formatCode="0.00%">
                  <c:v>4.3955238915038188E-3</c:v>
                </c:pt>
                <c:pt idx="74" formatCode="0.00%">
                  <c:v>3.5070897792856749E-2</c:v>
                </c:pt>
                <c:pt idx="75" formatCode="0.00%">
                  <c:v>6.689441339744899E-2</c:v>
                </c:pt>
                <c:pt idx="76" formatCode="0.00%">
                  <c:v>0.10904178881416336</c:v>
                </c:pt>
                <c:pt idx="77" formatCode="0.00%">
                  <c:v>9.6141752672659342E-2</c:v>
                </c:pt>
                <c:pt idx="78" formatCode="0.00%">
                  <c:v>1.927427382137363E-2</c:v>
                </c:pt>
                <c:pt idx="79" formatCode="0.00%">
                  <c:v>-8.8487600922722027E-3</c:v>
                </c:pt>
                <c:pt idx="80" formatCode="0.00%">
                  <c:v>3.3650196985578487E-2</c:v>
                </c:pt>
                <c:pt idx="81" formatCode="0.00%">
                  <c:v>8.0902727140148747E-2</c:v>
                </c:pt>
                <c:pt idx="82" formatCode="0.00%">
                  <c:v>8.1407961817984598E-2</c:v>
                </c:pt>
                <c:pt idx="83" formatCode="0.00%">
                  <c:v>8.4464609149436001E-2</c:v>
                </c:pt>
                <c:pt idx="84" formatCode="0.00%">
                  <c:v>9.0838649223339465E-2</c:v>
                </c:pt>
                <c:pt idx="85" formatCode="0.00%">
                  <c:v>0.11704746448824785</c:v>
                </c:pt>
                <c:pt idx="86" formatCode="0.00%">
                  <c:v>9.8084973724058069E-2</c:v>
                </c:pt>
                <c:pt idx="87" formatCode="0.00%">
                  <c:v>8.1546707503828489E-2</c:v>
                </c:pt>
                <c:pt idx="88" formatCode="0.00%">
                  <c:v>9.2066618292387964E-2</c:v>
                </c:pt>
                <c:pt idx="89" formatCode="0.00%">
                  <c:v>7.0666846652267815E-2</c:v>
                </c:pt>
                <c:pt idx="90" formatCode="0.00%">
                  <c:v>0.14540127840909092</c:v>
                </c:pt>
                <c:pt idx="91" formatCode="0.00%">
                  <c:v>0.19484699165409022</c:v>
                </c:pt>
                <c:pt idx="92" formatCode="0.00%">
                  <c:v>0.13906566892789707</c:v>
                </c:pt>
                <c:pt idx="93" formatCode="0.00%">
                  <c:v>8.8120214524235171E-2</c:v>
                </c:pt>
                <c:pt idx="94" formatCode="0.00%">
                  <c:v>0.10786231338917031</c:v>
                </c:pt>
                <c:pt idx="95" formatCode="0.00%">
                  <c:v>8.9891356473136771E-2</c:v>
                </c:pt>
                <c:pt idx="96" formatCode="0.00%">
                  <c:v>0.11801437185099529</c:v>
                </c:pt>
                <c:pt idx="97" formatCode="0.00%">
                  <c:v>0.12773424746980086</c:v>
                </c:pt>
                <c:pt idx="98" formatCode="0.00%">
                  <c:v>0.1101864019078211</c:v>
                </c:pt>
                <c:pt idx="99" formatCode="0.00%">
                  <c:v>5.8921962992759452E-2</c:v>
                </c:pt>
                <c:pt idx="100" formatCode="0.00%">
                  <c:v>4.0657480501811394E-2</c:v>
                </c:pt>
                <c:pt idx="101" formatCode="0.00%">
                  <c:v>5.0211183256634935E-2</c:v>
                </c:pt>
                <c:pt idx="102" formatCode="0.00%">
                  <c:v>1.0789192205738735E-2</c:v>
                </c:pt>
                <c:pt idx="103" formatCode="0.00%">
                  <c:v>-6.1175109947803324E-3</c:v>
                </c:pt>
                <c:pt idx="104" formatCode="0.00%">
                  <c:v>2.6093630084420567E-2</c:v>
                </c:pt>
                <c:pt idx="105" formatCode="0.00%">
                  <c:v>2.6178335064089647E-2</c:v>
                </c:pt>
                <c:pt idx="106" formatCode="0.00%">
                  <c:v>-2.4506179359881693E-2</c:v>
                </c:pt>
                <c:pt idx="107" formatCode="0.00%">
                  <c:v>-3.618625680863008E-2</c:v>
                </c:pt>
                <c:pt idx="108" formatCode="0.00%">
                  <c:v>-2.5901682944487952E-2</c:v>
                </c:pt>
                <c:pt idx="109" formatCode="0.00%">
                  <c:v>-4.193384960555837E-2</c:v>
                </c:pt>
                <c:pt idx="110" formatCode="0.00%">
                  <c:v>-4.0360644718191514E-2</c:v>
                </c:pt>
                <c:pt idx="111" formatCode="0.00%">
                  <c:v>1.7033367774873884E-2</c:v>
                </c:pt>
                <c:pt idx="112" formatCode="0.00%">
                  <c:v>1.91240631793375E-2</c:v>
                </c:pt>
                <c:pt idx="113" formatCode="0.00%">
                  <c:v>1.0804645997779046E-3</c:v>
                </c:pt>
                <c:pt idx="114" formatCode="0.00%">
                  <c:v>1.3219845103903075E-2</c:v>
                </c:pt>
                <c:pt idx="115" formatCode="0.00%">
                  <c:v>1.5908499333955994E-2</c:v>
                </c:pt>
                <c:pt idx="116" formatCode="0.00%">
                  <c:v>-4.3694839192221391E-2</c:v>
                </c:pt>
                <c:pt idx="117" formatCode="0.00%">
                  <c:v>0.21518547607539876</c:v>
                </c:pt>
                <c:pt idx="118" formatCode="0.00%">
                  <c:v>0.12016397246500116</c:v>
                </c:pt>
                <c:pt idx="119" formatCode="0.00%">
                  <c:v>7.3924815817643721E-2</c:v>
                </c:pt>
                <c:pt idx="120" formatCode="0.00%">
                  <c:v>2.6378060249370505E-2</c:v>
                </c:pt>
                <c:pt idx="121" formatCode="0.00%">
                  <c:v>2.9914788179126125E-2</c:v>
                </c:pt>
                <c:pt idx="122" formatCode="0.00%">
                  <c:v>1.3689451965098749E-2</c:v>
                </c:pt>
                <c:pt idx="123" formatCode="0.00%">
                  <c:v>1.9691333124168944E-2</c:v>
                </c:pt>
                <c:pt idx="124" formatCode="0.00%">
                  <c:v>-2.9490296692969764E-2</c:v>
                </c:pt>
                <c:pt idx="125" formatCode="0.00%">
                  <c:v>9.6537250786988462E-3</c:v>
                </c:pt>
                <c:pt idx="126" formatCode="0.00%">
                  <c:v>5.8682852256043111E-2</c:v>
                </c:pt>
                <c:pt idx="127" formatCode="0.00%">
                  <c:v>8.8229088168801803E-2</c:v>
                </c:pt>
                <c:pt idx="128" formatCode="0.00%">
                  <c:v>6.4712415335763107E-2</c:v>
                </c:pt>
                <c:pt idx="129" formatCode="0.00%">
                  <c:v>-0.16036293580262259</c:v>
                </c:pt>
                <c:pt idx="130" formatCode="0.00%">
                  <c:v>-6.1894963611506218E-2</c:v>
                </c:pt>
                <c:pt idx="131" formatCode="0.00%">
                  <c:v>2.3072412782175315E-2</c:v>
                </c:pt>
                <c:pt idx="132" formatCode="0.00%">
                  <c:v>2.9675607773590483E-2</c:v>
                </c:pt>
                <c:pt idx="133" formatCode="0.00%">
                  <c:v>-2.3955521652388217E-2</c:v>
                </c:pt>
                <c:pt idx="134" formatCode="0.00%">
                  <c:v>3.0914826498422712E-2</c:v>
                </c:pt>
                <c:pt idx="135" formatCode="0.00%">
                  <c:v>1.9472242164949964E-2</c:v>
                </c:pt>
                <c:pt idx="136" formatCode="0.00%">
                  <c:v>7.0671052227106457E-2</c:v>
                </c:pt>
                <c:pt idx="137" formatCode="0.00%">
                  <c:v>4.4110223594738249E-2</c:v>
                </c:pt>
                <c:pt idx="138" formatCode="0.00%">
                  <c:v>1.5798352968088757E-2</c:v>
                </c:pt>
                <c:pt idx="139" formatCode="0.00%">
                  <c:v>9.9024984765386966E-3</c:v>
                </c:pt>
                <c:pt idx="140" formatCode="0.00%">
                  <c:v>4.5808480004701321E-2</c:v>
                </c:pt>
                <c:pt idx="141" formatCode="0.00%">
                  <c:v>3.3514425710183114E-2</c:v>
                </c:pt>
                <c:pt idx="142" formatCode="0.00%">
                  <c:v>5.6042160427492604E-2</c:v>
                </c:pt>
                <c:pt idx="143" formatCode="0.00%">
                  <c:v>4.4273146688827121E-3</c:v>
                </c:pt>
                <c:pt idx="144" formatCode="0.00%">
                  <c:v>-5.7841631622005656E-3</c:v>
                </c:pt>
                <c:pt idx="145" formatCode="0.00%">
                  <c:v>6.8505297963477874E-2</c:v>
                </c:pt>
                <c:pt idx="146" formatCode="0.00%">
                  <c:v>5.1130733811272366E-2</c:v>
                </c:pt>
                <c:pt idx="147" formatCode="0.00%">
                  <c:v>5.4613394653636104E-3</c:v>
                </c:pt>
                <c:pt idx="148" formatCode="0.00%">
                  <c:v>4.5377548090726388E-2</c:v>
                </c:pt>
                <c:pt idx="149" formatCode="0.00%">
                  <c:v>-1.8969072164948454E-2</c:v>
                </c:pt>
                <c:pt idx="150" formatCode="0.00%">
                  <c:v>2.6601359625047501E-3</c:v>
                </c:pt>
                <c:pt idx="151" formatCode="0.00%">
                  <c:v>-2.1311318037822789E-2</c:v>
                </c:pt>
                <c:pt idx="152" formatCode="0.00%">
                  <c:v>4.9800516970105645E-2</c:v>
                </c:pt>
                <c:pt idx="153" formatCode="0.00%">
                  <c:v>5.7879885987653437E-2</c:v>
                </c:pt>
                <c:pt idx="154" formatCode="0.00%">
                  <c:v>2.3265215088237753E-2</c:v>
                </c:pt>
                <c:pt idx="155" formatCode="0.00%">
                  <c:v>7.5374805643125112E-2</c:v>
                </c:pt>
                <c:pt idx="156" formatCode="0.00%">
                  <c:v>4.060921033636495E-2</c:v>
                </c:pt>
                <c:pt idx="157" formatCode="0.00%">
                  <c:v>3.7697100980405948E-2</c:v>
                </c:pt>
                <c:pt idx="158" formatCode="0.00%">
                  <c:v>2.7863648335805482E-2</c:v>
                </c:pt>
                <c:pt idx="159" formatCode="0.00%">
                  <c:v>5.2730131503716408E-2</c:v>
                </c:pt>
                <c:pt idx="160" formatCode="0.00%">
                  <c:v>5.5478502080443829E-3</c:v>
                </c:pt>
                <c:pt idx="161" formatCode="0.00%">
                  <c:v>0.15433897174993841</c:v>
                </c:pt>
                <c:pt idx="162" formatCode="0.00%">
                  <c:v>0.14552626407254554</c:v>
                </c:pt>
                <c:pt idx="163" formatCode="0.00%">
                  <c:v>3.3938205002452183E-2</c:v>
                </c:pt>
                <c:pt idx="164" formatCode="0.00%">
                  <c:v>-5.4891675253248402E-2</c:v>
                </c:pt>
                <c:pt idx="165" formatCode="0.00%">
                  <c:v>-8.1304665709875712E-2</c:v>
                </c:pt>
                <c:pt idx="166" formatCode="0.00%">
                  <c:v>-2.6700450910676094E-3</c:v>
                </c:pt>
                <c:pt idx="167" formatCode="0.00%">
                  <c:v>-2.7259341796330931E-2</c:v>
                </c:pt>
                <c:pt idx="168" formatCode="0.00%">
                  <c:v>6.4841918344131069E-2</c:v>
                </c:pt>
                <c:pt idx="169" formatCode="0.00%">
                  <c:v>4.5409567185826791E-3</c:v>
                </c:pt>
                <c:pt idx="170" formatCode="0.00%">
                  <c:v>6.2308657127058409E-3</c:v>
                </c:pt>
                <c:pt idx="171" formatCode="0.00%">
                  <c:v>1.6958818178115113E-2</c:v>
                </c:pt>
                <c:pt idx="172" formatCode="0.00%">
                  <c:v>1.1689996585865482E-2</c:v>
                </c:pt>
                <c:pt idx="173" formatCode="0.00%">
                  <c:v>-5.3616946470950159E-2</c:v>
                </c:pt>
                <c:pt idx="174" formatCode="0.00%">
                  <c:v>-6.912566631946572E-2</c:v>
                </c:pt>
                <c:pt idx="175" formatCode="0.00%">
                  <c:v>1.8973531922967461E-2</c:v>
                </c:pt>
                <c:pt idx="176" formatCode="0.00%">
                  <c:v>5.5955937530972576E-2</c:v>
                </c:pt>
                <c:pt idx="177" formatCode="0.00%">
                  <c:v>0.11191841186093467</c:v>
                </c:pt>
                <c:pt idx="178" formatCode="0.00%">
                  <c:v>3.8969553755583176E-2</c:v>
                </c:pt>
                <c:pt idx="179" formatCode="0.00%">
                  <c:v>2.8718703976435934E-2</c:v>
                </c:pt>
                <c:pt idx="180" formatCode="0.00%">
                  <c:v>-1.7692197454303841E-2</c:v>
                </c:pt>
                <c:pt idx="181" formatCode="0.00%">
                  <c:v>2.338478976628704E-2</c:v>
                </c:pt>
                <c:pt idx="182" formatCode="0.00%">
                  <c:v>1.15669691324103E-2</c:v>
                </c:pt>
                <c:pt idx="183" formatCode="0.00%">
                  <c:v>1.745039920959171E-2</c:v>
                </c:pt>
                <c:pt idx="184" formatCode="0.00%">
                  <c:v>4.1913581080169002E-2</c:v>
                </c:pt>
                <c:pt idx="185" formatCode="0.00%">
                  <c:v>-7.6291313404715467E-3</c:v>
                </c:pt>
                <c:pt idx="186" formatCode="0.00%">
                  <c:v>-1.3585382549628771E-2</c:v>
                </c:pt>
                <c:pt idx="187" formatCode="0.00%">
                  <c:v>1.8114833681354491E-2</c:v>
                </c:pt>
                <c:pt idx="188" formatCode="0.00%">
                  <c:v>3.4822134917335983E-2</c:v>
                </c:pt>
                <c:pt idx="189" formatCode="0.00%">
                  <c:v>2.8761912335811893E-2</c:v>
                </c:pt>
                <c:pt idx="190" formatCode="0.00%">
                  <c:v>-1.8799957930164073E-3</c:v>
                </c:pt>
                <c:pt idx="191" formatCode="0.00%">
                  <c:v>-2.7744637980858453E-2</c:v>
                </c:pt>
                <c:pt idx="192" formatCode="0.00%">
                  <c:v>-2.0756243451504661E-2</c:v>
                </c:pt>
                <c:pt idx="193" formatCode="0.00%">
                  <c:v>-4.7929220342558775E-2</c:v>
                </c:pt>
                <c:pt idx="194" formatCode="0.00%">
                  <c:v>-4.8998304006783976E-2</c:v>
                </c:pt>
                <c:pt idx="195" formatCode="0.00%">
                  <c:v>-8.0742733416442489E-2</c:v>
                </c:pt>
                <c:pt idx="196" formatCode="0.00%">
                  <c:v>-0.10420283471095794</c:v>
                </c:pt>
                <c:pt idx="197" formatCode="0.00%">
                  <c:v>-0.10205364066636362</c:v>
                </c:pt>
                <c:pt idx="198" formatCode="0.00%">
                  <c:v>-0.14059413868574175</c:v>
                </c:pt>
                <c:pt idx="199" formatCode="0.00%">
                  <c:v>-0.15106663705600334</c:v>
                </c:pt>
                <c:pt idx="200" formatCode="0.00%">
                  <c:v>-0.18952783248678345</c:v>
                </c:pt>
                <c:pt idx="201" formatCode="0.00%">
                  <c:v>-0.27079119265109447</c:v>
                </c:pt>
                <c:pt idx="202" formatCode="0.00%">
                  <c:v>-0.27577350140277396</c:v>
                </c:pt>
                <c:pt idx="203" formatCode="0.00%">
                  <c:v>-0.26207648783148135</c:v>
                </c:pt>
                <c:pt idx="204" formatCode="0.00%">
                  <c:v>-0.24438605520491916</c:v>
                </c:pt>
                <c:pt idx="205" formatCode="0.00%">
                  <c:v>-0.24953604963576434</c:v>
                </c:pt>
                <c:pt idx="206" formatCode="0.00%">
                  <c:v>-0.26017778025468835</c:v>
                </c:pt>
                <c:pt idx="207" formatCode="0.00%">
                  <c:v>-0.23546793810312339</c:v>
                </c:pt>
                <c:pt idx="208" formatCode="0.00%">
                  <c:v>-0.21772269065559782</c:v>
                </c:pt>
                <c:pt idx="209" formatCode="0.00%">
                  <c:v>-0.15708521314453328</c:v>
                </c:pt>
                <c:pt idx="210" formatCode="0.00%">
                  <c:v>-0.10325015140456853</c:v>
                </c:pt>
                <c:pt idx="211" formatCode="0.00%">
                  <c:v>-4.1886589212895287E-2</c:v>
                </c:pt>
                <c:pt idx="212" formatCode="0.00%">
                  <c:v>-0.14412700442852802</c:v>
                </c:pt>
                <c:pt idx="213" formatCode="0.00%">
                  <c:v>-2.2968603685577485E-3</c:v>
                </c:pt>
                <c:pt idx="214" formatCode="0.00%">
                  <c:v>4.3121635384839228E-2</c:v>
                </c:pt>
                <c:pt idx="215" formatCode="0.00%">
                  <c:v>5.4616336862332096E-2</c:v>
                </c:pt>
                <c:pt idx="216" formatCode="0.00%">
                  <c:v>1.702814124395053E-2</c:v>
                </c:pt>
                <c:pt idx="217" formatCode="0.00%">
                  <c:v>3.0781722890676901E-2</c:v>
                </c:pt>
                <c:pt idx="218" formatCode="0.00%">
                  <c:v>0.14683615819209039</c:v>
                </c:pt>
                <c:pt idx="219" formatCode="0.00%">
                  <c:v>0.15445226581025823</c:v>
                </c:pt>
                <c:pt idx="220" formatCode="0.00%">
                  <c:v>0.13928894969402281</c:v>
                </c:pt>
                <c:pt idx="221" formatCode="0.00%">
                  <c:v>8.4011941142180843E-2</c:v>
                </c:pt>
                <c:pt idx="222" formatCode="0.00%">
                  <c:v>8.4366558149199966E-2</c:v>
                </c:pt>
                <c:pt idx="223" formatCode="0.00%">
                  <c:v>6.231630342257842E-3</c:v>
                </c:pt>
                <c:pt idx="224" formatCode="0.00%">
                  <c:v>0.18167893301453283</c:v>
                </c:pt>
                <c:pt idx="225" formatCode="0.00%">
                  <c:v>0.14629265614762083</c:v>
                </c:pt>
                <c:pt idx="226" formatCode="0.00%">
                  <c:v>0.14221951006886932</c:v>
                </c:pt>
                <c:pt idx="227" formatCode="0.00%">
                  <c:v>0.14292471837278159</c:v>
                </c:pt>
                <c:pt idx="228" formatCode="0.00%">
                  <c:v>0.16824109975326049</c:v>
                </c:pt>
                <c:pt idx="229" formatCode="0.00%">
                  <c:v>0.20524205098825551</c:v>
                </c:pt>
                <c:pt idx="230" formatCode="0.00%">
                  <c:v>0.10964415324236006</c:v>
                </c:pt>
                <c:pt idx="231" formatCode="0.00%">
                  <c:v>7.905675330346601E-2</c:v>
                </c:pt>
                <c:pt idx="232" formatCode="0.00%">
                  <c:v>6.9584408418934485E-2</c:v>
                </c:pt>
                <c:pt idx="233" formatCode="0.00%">
                  <c:v>8.8011471963759025E-2</c:v>
                </c:pt>
                <c:pt idx="234" formatCode="0.00%">
                  <c:v>6.071542638134781E-2</c:v>
                </c:pt>
                <c:pt idx="235" formatCode="0.00%">
                  <c:v>5.1204290434310705E-2</c:v>
                </c:pt>
                <c:pt idx="236" formatCode="0.00%">
                  <c:v>8.7828011381599749E-2</c:v>
                </c:pt>
                <c:pt idx="237" formatCode="0.00%">
                  <c:v>7.9561254441526341E-2</c:v>
                </c:pt>
                <c:pt idx="238" formatCode="0.00%">
                  <c:v>7.1910489681279763E-2</c:v>
                </c:pt>
                <c:pt idx="239" formatCode="0.00%">
                  <c:v>9.5773870656222698E-2</c:v>
                </c:pt>
                <c:pt idx="240" formatCode="0.00%">
                  <c:v>8.1978094922004641E-2</c:v>
                </c:pt>
                <c:pt idx="241" formatCode="0.00%">
                  <c:v>7.826797385620915E-2</c:v>
                </c:pt>
                <c:pt idx="242" formatCode="0.00%">
                  <c:v>7.513244739100837E-2</c:v>
                </c:pt>
                <c:pt idx="243" formatCode="0.00%">
                  <c:v>9.3334532428016842E-2</c:v>
                </c:pt>
                <c:pt idx="244" formatCode="0.00%">
                  <c:v>0.11724901761466219</c:v>
                </c:pt>
                <c:pt idx="245" formatCode="0.00%">
                  <c:v>8.4142104001917087E-2</c:v>
                </c:pt>
                <c:pt idx="246" formatCode="0.00%">
                  <c:v>0.10091535936888381</c:v>
                </c:pt>
                <c:pt idx="247" formatCode="0.00%">
                  <c:v>0.12239784995217054</c:v>
                </c:pt>
                <c:pt idx="248" formatCode="0.00%">
                  <c:v>9.2696465938153921E-2</c:v>
                </c:pt>
                <c:pt idx="249" formatCode="0.00%">
                  <c:v>7.0592444190040071E-2</c:v>
                </c:pt>
                <c:pt idx="250" formatCode="0.00%">
                  <c:v>7.9959557409965396E-2</c:v>
                </c:pt>
                <c:pt idx="251" formatCode="0.00%">
                  <c:v>7.5288522067566616E-2</c:v>
                </c:pt>
                <c:pt idx="252" formatCode="0.00%">
                  <c:v>8.3365867261572787E-2</c:v>
                </c:pt>
                <c:pt idx="253" formatCode="0.00%">
                  <c:v>8.5853228450591693E-2</c:v>
                </c:pt>
                <c:pt idx="254" formatCode="0.00%">
                  <c:v>7.2387166040384851E-2</c:v>
                </c:pt>
                <c:pt idx="255" formatCode="0.00%">
                  <c:v>7.464630401403817E-2</c:v>
                </c:pt>
                <c:pt idx="256" formatCode="0.00%">
                  <c:v>8.2551365444940863E-2</c:v>
                </c:pt>
                <c:pt idx="257" formatCode="0.00%">
                  <c:v>0.12338021164313541</c:v>
                </c:pt>
                <c:pt idx="258" formatCode="0.00%">
                  <c:v>0.11747008547008547</c:v>
                </c:pt>
                <c:pt idx="259" formatCode="0.00%">
                  <c:v>0.10081168831168831</c:v>
                </c:pt>
                <c:pt idx="260" formatCode="0.00%">
                  <c:v>6.6507081587871539E-2</c:v>
                </c:pt>
                <c:pt idx="261" formatCode="0.00%">
                  <c:v>8.926256131955676E-2</c:v>
                </c:pt>
                <c:pt idx="262" formatCode="0.00%">
                  <c:v>7.8905034415464537E-2</c:v>
                </c:pt>
                <c:pt idx="263" formatCode="0.00%">
                  <c:v>5.980459755161513E-2</c:v>
                </c:pt>
                <c:pt idx="264" formatCode="0.00%">
                  <c:v>1.7194558488526236E-2</c:v>
                </c:pt>
                <c:pt idx="265" formatCode="0.00%">
                  <c:v>3.4863805331066595E-2</c:v>
                </c:pt>
                <c:pt idx="266" formatCode="0.00%">
                  <c:v>8.4661789243999488E-2</c:v>
                </c:pt>
                <c:pt idx="267" formatCode="0.00%">
                  <c:v>9.4745436221918888E-2</c:v>
                </c:pt>
                <c:pt idx="268" formatCode="0.00%">
                  <c:v>7.860207230487469E-2</c:v>
                </c:pt>
                <c:pt idx="269" formatCode="0.00%">
                  <c:v>6.0393275698808369E-2</c:v>
                </c:pt>
                <c:pt idx="270" formatCode="0.00%">
                  <c:v>5.9646331762834244E-2</c:v>
                </c:pt>
                <c:pt idx="271" formatCode="0.00%">
                  <c:v>7.1830605122155042E-2</c:v>
                </c:pt>
                <c:pt idx="272" formatCode="0.00%">
                  <c:v>7.8732106339468297E-2</c:v>
                </c:pt>
                <c:pt idx="273" formatCode="0.00%">
                  <c:v>6.4596090365807268E-2</c:v>
                </c:pt>
                <c:pt idx="274" formatCode="0.00%">
                  <c:v>7.3244359707658094E-2</c:v>
                </c:pt>
                <c:pt idx="275" formatCode="0.00%">
                  <c:v>7.3676716095453204E-2</c:v>
                </c:pt>
                <c:pt idx="276" formatCode="0.00%">
                  <c:v>0.1199974694755488</c:v>
                </c:pt>
                <c:pt idx="277" formatCode="0.00%">
                  <c:v>7.0075641481445156E-2</c:v>
                </c:pt>
                <c:pt idx="278" formatCode="0.00%">
                  <c:v>7.8503301540719009E-2</c:v>
                </c:pt>
                <c:pt idx="279" formatCode="0.00%">
                  <c:v>6.8472079798638952E-2</c:v>
                </c:pt>
                <c:pt idx="280" formatCode="0.00%">
                  <c:v>7.3606717528842569E-2</c:v>
                </c:pt>
                <c:pt idx="281" formatCode="0.00%">
                  <c:v>7.1635663589553283E-2</c:v>
                </c:pt>
                <c:pt idx="282" formatCode="0.00%">
                  <c:v>6.8207278060723645E-2</c:v>
                </c:pt>
                <c:pt idx="283" formatCode="0.00%">
                  <c:v>6.8610477315202312E-2</c:v>
                </c:pt>
                <c:pt idx="284" formatCode="0.00%">
                  <c:v>8.1955843255115013E-2</c:v>
                </c:pt>
                <c:pt idx="285" formatCode="0.00%">
                  <c:v>7.0727911935911478E-2</c:v>
                </c:pt>
                <c:pt idx="286" formatCode="0.00%">
                  <c:v>6.9566702727324486E-2</c:v>
                </c:pt>
                <c:pt idx="287" formatCode="0.00%">
                  <c:v>6.8666681910685298E-2</c:v>
                </c:pt>
                <c:pt idx="288" formatCode="0.00%">
                  <c:v>5.1672522283351598E-2</c:v>
                </c:pt>
                <c:pt idx="289" formatCode="0.00%">
                  <c:v>9.4941857134673777E-2</c:v>
                </c:pt>
                <c:pt idx="290" formatCode="0.00%">
                  <c:v>2.6519640114110159E-2</c:v>
                </c:pt>
                <c:pt idx="291" formatCode="0.00%">
                  <c:v>2.2324739344762902E-2</c:v>
                </c:pt>
                <c:pt idx="292" formatCode="0.00%">
                  <c:v>1.9585540498088028E-2</c:v>
                </c:pt>
                <c:pt idx="293" formatCode="0.00%">
                  <c:v>2.5399058492505816E-2</c:v>
                </c:pt>
                <c:pt idx="294" formatCode="0.00%">
                  <c:v>3.7266879290772471E-2</c:v>
                </c:pt>
                <c:pt idx="295" formatCode="0.00%">
                  <c:v>3.3636978144011329E-2</c:v>
                </c:pt>
                <c:pt idx="296" formatCode="0.00%">
                  <c:v>3.8215811965811967E-2</c:v>
                </c:pt>
                <c:pt idx="297" formatCode="0.00%">
                  <c:v>4.45791303786158E-2</c:v>
                </c:pt>
                <c:pt idx="298" formatCode="0.00%">
                  <c:v>2.8618883352497765E-2</c:v>
                </c:pt>
                <c:pt idx="299" formatCode="0.00%">
                  <c:v>6.3890790825059912E-2</c:v>
                </c:pt>
                <c:pt idx="300" formatCode="0.00%">
                  <c:v>6.7964293770745379E-2</c:v>
                </c:pt>
                <c:pt idx="301" formatCode="0.00%">
                  <c:v>3.3953459172142465E-2</c:v>
                </c:pt>
                <c:pt idx="302" formatCode="0.00%">
                  <c:v>3.3647936552048487E-2</c:v>
                </c:pt>
                <c:pt idx="303" formatCode="0.00%">
                  <c:v>3.9620648822795208E-2</c:v>
                </c:pt>
                <c:pt idx="304" formatCode="0.00%">
                  <c:v>3.9757333644988894E-2</c:v>
                </c:pt>
                <c:pt idx="305" formatCode="0.00%">
                  <c:v>4.1624451198919284E-2</c:v>
                </c:pt>
                <c:pt idx="306" formatCode="0.00%">
                  <c:v>3.1050009380667487E-2</c:v>
                </c:pt>
                <c:pt idx="307" formatCode="0.00%">
                  <c:v>3.3528483640591264E-3</c:v>
                </c:pt>
                <c:pt idx="308" formatCode="0.00%">
                  <c:v>3.8815769163485184E-2</c:v>
                </c:pt>
                <c:pt idx="309" formatCode="0.00%">
                  <c:v>4.6046665017726113E-2</c:v>
                </c:pt>
                <c:pt idx="310" formatCode="0.00%">
                  <c:v>4.1413074980333704E-2</c:v>
                </c:pt>
                <c:pt idx="311" formatCode="0.00%">
                  <c:v>9.4123325690841069E-3</c:v>
                </c:pt>
                <c:pt idx="312" formatCode="0.00%">
                  <c:v>8.6401126533896602E-3</c:v>
                </c:pt>
                <c:pt idx="313" formatCode="0.00%">
                  <c:v>1.0119716243156543E-2</c:v>
                </c:pt>
                <c:pt idx="314" formatCode="0.00%">
                  <c:v>3.5406649087430846E-2</c:v>
                </c:pt>
                <c:pt idx="315" formatCode="0.00%">
                  <c:v>3.0886683837336972E-2</c:v>
                </c:pt>
                <c:pt idx="316" formatCode="0.00%">
                  <c:v>3.0808374973176789E-2</c:v>
                </c:pt>
                <c:pt idx="317" formatCode="0.00%">
                  <c:v>1.9220637107886844E-2</c:v>
                </c:pt>
                <c:pt idx="318" formatCode="0.00%">
                  <c:v>2.2866732038697546E-2</c:v>
                </c:pt>
                <c:pt idx="319" formatCode="0.00%">
                  <c:v>3.1554226714532535E-2</c:v>
                </c:pt>
                <c:pt idx="320" formatCode="0.00%">
                  <c:v>-1.5205697926675846E-2</c:v>
                </c:pt>
                <c:pt idx="321" formatCode="0.00%">
                  <c:v>-1.5970443349753696E-2</c:v>
                </c:pt>
                <c:pt idx="322" formatCode="0.00%">
                  <c:v>8.2494309880432948E-4</c:v>
                </c:pt>
                <c:pt idx="323" formatCode="0.00%">
                  <c:v>1.3857342100019925E-2</c:v>
                </c:pt>
                <c:pt idx="324" formatCode="0.00%">
                  <c:v>-6.7212477188643687E-3</c:v>
                </c:pt>
                <c:pt idx="325" formatCode="0.00%">
                  <c:v>5.3698267830129135E-3</c:v>
                </c:pt>
                <c:pt idx="326" formatCode="0.00%">
                  <c:v>3.1069919803453545E-2</c:v>
                </c:pt>
                <c:pt idx="327" formatCode="0.00%">
                  <c:v>1.7180454495684977E-2</c:v>
                </c:pt>
                <c:pt idx="328" formatCode="0.00%">
                  <c:v>1.725847062788715E-2</c:v>
                </c:pt>
                <c:pt idx="329" formatCode="0.00%">
                  <c:v>2.349070014812164E-2</c:v>
                </c:pt>
                <c:pt idx="330" formatCode="0.00%">
                  <c:v>2.4678058567150607E-2</c:v>
                </c:pt>
                <c:pt idx="331" formatCode="0.00%">
                  <c:v>5.9081928411677982E-2</c:v>
                </c:pt>
                <c:pt idx="332" formatCode="0.00%">
                  <c:v>4.3233347415856924E-2</c:v>
                </c:pt>
                <c:pt idx="333" formatCode="0.00%">
                  <c:v>4.2231099630552972E-2</c:v>
                </c:pt>
                <c:pt idx="334" formatCode="0.00%">
                  <c:v>5.8433304202748865E-2</c:v>
                </c:pt>
                <c:pt idx="335" formatCode="0.00%">
                  <c:v>2.9988896640496802E-2</c:v>
                </c:pt>
                <c:pt idx="336" formatCode="0.00%">
                  <c:v>5.5790371969278649E-2</c:v>
                </c:pt>
                <c:pt idx="337" formatCode="0.00%">
                  <c:v>5.1488246489890685E-2</c:v>
                </c:pt>
                <c:pt idx="338" formatCode="0.00%">
                  <c:v>-0.24403332041844247</c:v>
                </c:pt>
                <c:pt idx="339" formatCode="0.00%">
                  <c:v>-0.33262875651978197</c:v>
                </c:pt>
                <c:pt idx="340" formatCode="0.00%">
                  <c:v>-1.6342002942924799E-2</c:v>
                </c:pt>
                <c:pt idx="341" formatCode="0.00%">
                  <c:v>7.399277361202844E-2</c:v>
                </c:pt>
                <c:pt idx="342" formatCode="0.00%">
                  <c:v>5.5632716049382719E-2</c:v>
                </c:pt>
                <c:pt idx="343" formatCode="0.00%">
                  <c:v>3.8977272727272728E-2</c:v>
                </c:pt>
                <c:pt idx="344" formatCode="0.00%">
                  <c:v>0.10280391854365936</c:v>
                </c:pt>
                <c:pt idx="345" formatCode="0.00%">
                  <c:v>9.7505211485441459E-2</c:v>
                </c:pt>
                <c:pt idx="346" formatCode="0.00%">
                  <c:v>5.274910865077876E-2</c:v>
                </c:pt>
                <c:pt idx="347" formatCode="0.00%">
                  <c:v>9.1811911507970578E-2</c:v>
                </c:pt>
                <c:pt idx="348" formatCode="0.00%">
                  <c:v>0.14184781575093666</c:v>
                </c:pt>
                <c:pt idx="349" formatCode="0.00%">
                  <c:v>9.6872630780894614E-2</c:v>
                </c:pt>
                <c:pt idx="350" formatCode="0.00%">
                  <c:v>0.73528431950388229</c:v>
                </c:pt>
                <c:pt idx="351" formatCode="0.00%">
                  <c:v>1.0731839643391301</c:v>
                </c:pt>
                <c:pt idx="352" formatCode="0.00%">
                  <c:v>0.33588595431039608</c:v>
                </c:pt>
                <c:pt idx="353" formatCode="0.00%">
                  <c:v>0.19393347441532369</c:v>
                </c:pt>
              </c:numCache>
            </c:numRef>
          </c:val>
          <c:smooth val="0"/>
          <c:extLst>
            <c:ext xmlns:c16="http://schemas.microsoft.com/office/drawing/2014/chart" uri="{C3380CC4-5D6E-409C-BE32-E72D297353CC}">
              <c16:uniqueId val="{00000002-F365-4945-A45C-6776D07869D7}"/>
            </c:ext>
          </c:extLst>
        </c:ser>
        <c:dLbls>
          <c:showLegendKey val="0"/>
          <c:showVal val="0"/>
          <c:showCatName val="0"/>
          <c:showSerName val="0"/>
          <c:showPercent val="0"/>
          <c:showBubbleSize val="0"/>
        </c:dLbls>
        <c:smooth val="0"/>
        <c:axId val="1031865912"/>
        <c:axId val="1031861320"/>
      </c:lineChart>
      <c:dateAx>
        <c:axId val="1031865912"/>
        <c:scaling>
          <c:orientation val="minMax"/>
        </c:scaling>
        <c:delete val="0"/>
        <c:axPos val="b"/>
        <c:numFmt formatCode="[$-409]mmm\-yy;@" sourceLinked="1"/>
        <c:majorTickMark val="out"/>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31861320"/>
        <c:crosses val="autoZero"/>
        <c:auto val="1"/>
        <c:lblOffset val="100"/>
        <c:baseTimeUnit val="months"/>
      </c:dateAx>
      <c:valAx>
        <c:axId val="103186132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3186591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Housing!$B$6</c:f>
              <c:strCache>
                <c:ptCount val="1"/>
                <c:pt idx="0">
                  <c:v>Building Materials. mil$</c:v>
                </c:pt>
              </c:strCache>
            </c:strRef>
          </c:tx>
          <c:spPr>
            <a:ln w="28575" cap="rnd">
              <a:solidFill>
                <a:schemeClr val="accent1"/>
              </a:solidFill>
              <a:round/>
            </a:ln>
            <a:effectLst/>
          </c:spPr>
          <c:marker>
            <c:symbol val="none"/>
          </c:marker>
          <c:cat>
            <c:numRef>
              <c:f>Housing!$A$7:$A$362</c:f>
              <c:numCache>
                <c:formatCode>[$-409]mmm\-yy;@</c:formatCode>
                <c:ptCount val="356"/>
                <c:pt idx="0">
                  <c:v>33604</c:v>
                </c:pt>
                <c:pt idx="1">
                  <c:v>33635</c:v>
                </c:pt>
                <c:pt idx="2">
                  <c:v>33664</c:v>
                </c:pt>
                <c:pt idx="3">
                  <c:v>33695</c:v>
                </c:pt>
                <c:pt idx="4">
                  <c:v>33725</c:v>
                </c:pt>
                <c:pt idx="5">
                  <c:v>33756</c:v>
                </c:pt>
                <c:pt idx="6">
                  <c:v>33786</c:v>
                </c:pt>
                <c:pt idx="7">
                  <c:v>33817</c:v>
                </c:pt>
                <c:pt idx="8">
                  <c:v>33848</c:v>
                </c:pt>
                <c:pt idx="9">
                  <c:v>33878</c:v>
                </c:pt>
                <c:pt idx="10">
                  <c:v>33909</c:v>
                </c:pt>
                <c:pt idx="11">
                  <c:v>33939</c:v>
                </c:pt>
                <c:pt idx="12">
                  <c:v>33970</c:v>
                </c:pt>
                <c:pt idx="13">
                  <c:v>34001</c:v>
                </c:pt>
                <c:pt idx="14">
                  <c:v>34029</c:v>
                </c:pt>
                <c:pt idx="15">
                  <c:v>34060</c:v>
                </c:pt>
                <c:pt idx="16">
                  <c:v>34090</c:v>
                </c:pt>
                <c:pt idx="17">
                  <c:v>34121</c:v>
                </c:pt>
                <c:pt idx="18">
                  <c:v>34151</c:v>
                </c:pt>
                <c:pt idx="19">
                  <c:v>34182</c:v>
                </c:pt>
                <c:pt idx="20">
                  <c:v>34213</c:v>
                </c:pt>
                <c:pt idx="21">
                  <c:v>34243</c:v>
                </c:pt>
                <c:pt idx="22">
                  <c:v>34274</c:v>
                </c:pt>
                <c:pt idx="23">
                  <c:v>34304</c:v>
                </c:pt>
                <c:pt idx="24">
                  <c:v>34335</c:v>
                </c:pt>
                <c:pt idx="25">
                  <c:v>34366</c:v>
                </c:pt>
                <c:pt idx="26">
                  <c:v>34394</c:v>
                </c:pt>
                <c:pt idx="27">
                  <c:v>34425</c:v>
                </c:pt>
                <c:pt idx="28">
                  <c:v>34455</c:v>
                </c:pt>
                <c:pt idx="29">
                  <c:v>34486</c:v>
                </c:pt>
                <c:pt idx="30">
                  <c:v>34516</c:v>
                </c:pt>
                <c:pt idx="31">
                  <c:v>34547</c:v>
                </c:pt>
                <c:pt idx="32">
                  <c:v>34578</c:v>
                </c:pt>
                <c:pt idx="33">
                  <c:v>34608</c:v>
                </c:pt>
                <c:pt idx="34">
                  <c:v>34639</c:v>
                </c:pt>
                <c:pt idx="35">
                  <c:v>34669</c:v>
                </c:pt>
                <c:pt idx="36">
                  <c:v>34700</c:v>
                </c:pt>
                <c:pt idx="37">
                  <c:v>34731</c:v>
                </c:pt>
                <c:pt idx="38">
                  <c:v>34759</c:v>
                </c:pt>
                <c:pt idx="39">
                  <c:v>34790</c:v>
                </c:pt>
                <c:pt idx="40">
                  <c:v>34820</c:v>
                </c:pt>
                <c:pt idx="41">
                  <c:v>34851</c:v>
                </c:pt>
                <c:pt idx="42">
                  <c:v>34881</c:v>
                </c:pt>
                <c:pt idx="43">
                  <c:v>34912</c:v>
                </c:pt>
                <c:pt idx="44">
                  <c:v>34943</c:v>
                </c:pt>
                <c:pt idx="45">
                  <c:v>34973</c:v>
                </c:pt>
                <c:pt idx="46">
                  <c:v>35004</c:v>
                </c:pt>
                <c:pt idx="47">
                  <c:v>35034</c:v>
                </c:pt>
                <c:pt idx="48">
                  <c:v>35065</c:v>
                </c:pt>
                <c:pt idx="49">
                  <c:v>35096</c:v>
                </c:pt>
                <c:pt idx="50">
                  <c:v>35125</c:v>
                </c:pt>
                <c:pt idx="51">
                  <c:v>35156</c:v>
                </c:pt>
                <c:pt idx="52">
                  <c:v>35186</c:v>
                </c:pt>
                <c:pt idx="53">
                  <c:v>35217</c:v>
                </c:pt>
                <c:pt idx="54">
                  <c:v>35247</c:v>
                </c:pt>
                <c:pt idx="55">
                  <c:v>35278</c:v>
                </c:pt>
                <c:pt idx="56">
                  <c:v>35309</c:v>
                </c:pt>
                <c:pt idx="57">
                  <c:v>35339</c:v>
                </c:pt>
                <c:pt idx="58">
                  <c:v>35370</c:v>
                </c:pt>
                <c:pt idx="59">
                  <c:v>35400</c:v>
                </c:pt>
                <c:pt idx="60">
                  <c:v>35431</c:v>
                </c:pt>
                <c:pt idx="61">
                  <c:v>35462</c:v>
                </c:pt>
                <c:pt idx="62">
                  <c:v>35490</c:v>
                </c:pt>
                <c:pt idx="63">
                  <c:v>35521</c:v>
                </c:pt>
                <c:pt idx="64">
                  <c:v>35551</c:v>
                </c:pt>
                <c:pt idx="65">
                  <c:v>35582</c:v>
                </c:pt>
                <c:pt idx="66">
                  <c:v>35612</c:v>
                </c:pt>
                <c:pt idx="67">
                  <c:v>35643</c:v>
                </c:pt>
                <c:pt idx="68">
                  <c:v>35674</c:v>
                </c:pt>
                <c:pt idx="69">
                  <c:v>35704</c:v>
                </c:pt>
                <c:pt idx="70">
                  <c:v>35735</c:v>
                </c:pt>
                <c:pt idx="71">
                  <c:v>35765</c:v>
                </c:pt>
                <c:pt idx="72">
                  <c:v>35796</c:v>
                </c:pt>
                <c:pt idx="73">
                  <c:v>35827</c:v>
                </c:pt>
                <c:pt idx="74">
                  <c:v>35855</c:v>
                </c:pt>
                <c:pt idx="75">
                  <c:v>35886</c:v>
                </c:pt>
                <c:pt idx="76">
                  <c:v>35916</c:v>
                </c:pt>
                <c:pt idx="77">
                  <c:v>35947</c:v>
                </c:pt>
                <c:pt idx="78">
                  <c:v>35977</c:v>
                </c:pt>
                <c:pt idx="79">
                  <c:v>36008</c:v>
                </c:pt>
                <c:pt idx="80">
                  <c:v>36039</c:v>
                </c:pt>
                <c:pt idx="81">
                  <c:v>36069</c:v>
                </c:pt>
                <c:pt idx="82">
                  <c:v>36100</c:v>
                </c:pt>
                <c:pt idx="83">
                  <c:v>36130</c:v>
                </c:pt>
                <c:pt idx="84">
                  <c:v>36161</c:v>
                </c:pt>
                <c:pt idx="85">
                  <c:v>36192</c:v>
                </c:pt>
                <c:pt idx="86">
                  <c:v>36220</c:v>
                </c:pt>
                <c:pt idx="87">
                  <c:v>36251</c:v>
                </c:pt>
                <c:pt idx="88">
                  <c:v>36281</c:v>
                </c:pt>
                <c:pt idx="89">
                  <c:v>36312</c:v>
                </c:pt>
                <c:pt idx="90">
                  <c:v>36342</c:v>
                </c:pt>
                <c:pt idx="91">
                  <c:v>36373</c:v>
                </c:pt>
                <c:pt idx="92">
                  <c:v>36404</c:v>
                </c:pt>
                <c:pt idx="93">
                  <c:v>36434</c:v>
                </c:pt>
                <c:pt idx="94">
                  <c:v>36465</c:v>
                </c:pt>
                <c:pt idx="95">
                  <c:v>36495</c:v>
                </c:pt>
                <c:pt idx="96">
                  <c:v>36526</c:v>
                </c:pt>
                <c:pt idx="97">
                  <c:v>36557</c:v>
                </c:pt>
                <c:pt idx="98">
                  <c:v>36586</c:v>
                </c:pt>
                <c:pt idx="99">
                  <c:v>36617</c:v>
                </c:pt>
                <c:pt idx="100">
                  <c:v>36647</c:v>
                </c:pt>
                <c:pt idx="101">
                  <c:v>36678</c:v>
                </c:pt>
                <c:pt idx="102">
                  <c:v>36708</c:v>
                </c:pt>
                <c:pt idx="103">
                  <c:v>36739</c:v>
                </c:pt>
                <c:pt idx="104">
                  <c:v>36770</c:v>
                </c:pt>
                <c:pt idx="105">
                  <c:v>36800</c:v>
                </c:pt>
                <c:pt idx="106">
                  <c:v>36831</c:v>
                </c:pt>
                <c:pt idx="107">
                  <c:v>36861</c:v>
                </c:pt>
                <c:pt idx="108">
                  <c:v>36892</c:v>
                </c:pt>
                <c:pt idx="109">
                  <c:v>36923</c:v>
                </c:pt>
                <c:pt idx="110">
                  <c:v>36951</c:v>
                </c:pt>
                <c:pt idx="111">
                  <c:v>36982</c:v>
                </c:pt>
                <c:pt idx="112">
                  <c:v>37012</c:v>
                </c:pt>
                <c:pt idx="113">
                  <c:v>37043</c:v>
                </c:pt>
                <c:pt idx="114">
                  <c:v>37073</c:v>
                </c:pt>
                <c:pt idx="115">
                  <c:v>37104</c:v>
                </c:pt>
                <c:pt idx="116">
                  <c:v>37135</c:v>
                </c:pt>
                <c:pt idx="117">
                  <c:v>37165</c:v>
                </c:pt>
                <c:pt idx="118">
                  <c:v>37196</c:v>
                </c:pt>
                <c:pt idx="119">
                  <c:v>37226</c:v>
                </c:pt>
                <c:pt idx="120">
                  <c:v>37257</c:v>
                </c:pt>
                <c:pt idx="121">
                  <c:v>37288</c:v>
                </c:pt>
                <c:pt idx="122">
                  <c:v>37316</c:v>
                </c:pt>
                <c:pt idx="123">
                  <c:v>37347</c:v>
                </c:pt>
                <c:pt idx="124">
                  <c:v>37377</c:v>
                </c:pt>
                <c:pt idx="125">
                  <c:v>37408</c:v>
                </c:pt>
                <c:pt idx="126">
                  <c:v>37438</c:v>
                </c:pt>
                <c:pt idx="127">
                  <c:v>37469</c:v>
                </c:pt>
                <c:pt idx="128">
                  <c:v>37500</c:v>
                </c:pt>
                <c:pt idx="129">
                  <c:v>37530</c:v>
                </c:pt>
                <c:pt idx="130">
                  <c:v>37561</c:v>
                </c:pt>
                <c:pt idx="131">
                  <c:v>37591</c:v>
                </c:pt>
                <c:pt idx="132">
                  <c:v>37622</c:v>
                </c:pt>
                <c:pt idx="133">
                  <c:v>37653</c:v>
                </c:pt>
                <c:pt idx="134">
                  <c:v>37681</c:v>
                </c:pt>
                <c:pt idx="135">
                  <c:v>37712</c:v>
                </c:pt>
                <c:pt idx="136">
                  <c:v>37742</c:v>
                </c:pt>
                <c:pt idx="137">
                  <c:v>37773</c:v>
                </c:pt>
                <c:pt idx="138">
                  <c:v>37803</c:v>
                </c:pt>
                <c:pt idx="139">
                  <c:v>37834</c:v>
                </c:pt>
                <c:pt idx="140">
                  <c:v>37865</c:v>
                </c:pt>
                <c:pt idx="141">
                  <c:v>37895</c:v>
                </c:pt>
                <c:pt idx="142">
                  <c:v>37926</c:v>
                </c:pt>
                <c:pt idx="143">
                  <c:v>37956</c:v>
                </c:pt>
                <c:pt idx="144">
                  <c:v>37987</c:v>
                </c:pt>
                <c:pt idx="145">
                  <c:v>38018</c:v>
                </c:pt>
                <c:pt idx="146">
                  <c:v>38047</c:v>
                </c:pt>
                <c:pt idx="147">
                  <c:v>38078</c:v>
                </c:pt>
                <c:pt idx="148">
                  <c:v>38108</c:v>
                </c:pt>
                <c:pt idx="149">
                  <c:v>38139</c:v>
                </c:pt>
                <c:pt idx="150">
                  <c:v>38169</c:v>
                </c:pt>
                <c:pt idx="151">
                  <c:v>38200</c:v>
                </c:pt>
                <c:pt idx="152">
                  <c:v>38231</c:v>
                </c:pt>
                <c:pt idx="153">
                  <c:v>38261</c:v>
                </c:pt>
                <c:pt idx="154">
                  <c:v>38292</c:v>
                </c:pt>
                <c:pt idx="155">
                  <c:v>38322</c:v>
                </c:pt>
                <c:pt idx="156">
                  <c:v>38353</c:v>
                </c:pt>
                <c:pt idx="157">
                  <c:v>38384</c:v>
                </c:pt>
                <c:pt idx="158">
                  <c:v>38412</c:v>
                </c:pt>
                <c:pt idx="159">
                  <c:v>38443</c:v>
                </c:pt>
                <c:pt idx="160">
                  <c:v>38473</c:v>
                </c:pt>
                <c:pt idx="161">
                  <c:v>38504</c:v>
                </c:pt>
                <c:pt idx="162">
                  <c:v>38534</c:v>
                </c:pt>
                <c:pt idx="163">
                  <c:v>38565</c:v>
                </c:pt>
                <c:pt idx="164">
                  <c:v>38596</c:v>
                </c:pt>
                <c:pt idx="165">
                  <c:v>38626</c:v>
                </c:pt>
                <c:pt idx="166">
                  <c:v>38657</c:v>
                </c:pt>
                <c:pt idx="167">
                  <c:v>38687</c:v>
                </c:pt>
                <c:pt idx="168">
                  <c:v>38718</c:v>
                </c:pt>
                <c:pt idx="169">
                  <c:v>38749</c:v>
                </c:pt>
                <c:pt idx="170">
                  <c:v>38777</c:v>
                </c:pt>
                <c:pt idx="171">
                  <c:v>38808</c:v>
                </c:pt>
                <c:pt idx="172">
                  <c:v>38838</c:v>
                </c:pt>
                <c:pt idx="173">
                  <c:v>38869</c:v>
                </c:pt>
                <c:pt idx="174">
                  <c:v>38899</c:v>
                </c:pt>
                <c:pt idx="175">
                  <c:v>38930</c:v>
                </c:pt>
                <c:pt idx="176">
                  <c:v>38961</c:v>
                </c:pt>
                <c:pt idx="177">
                  <c:v>38991</c:v>
                </c:pt>
                <c:pt idx="178">
                  <c:v>39022</c:v>
                </c:pt>
                <c:pt idx="179">
                  <c:v>39052</c:v>
                </c:pt>
                <c:pt idx="180">
                  <c:v>39083</c:v>
                </c:pt>
                <c:pt idx="181">
                  <c:v>39114</c:v>
                </c:pt>
                <c:pt idx="182">
                  <c:v>39142</c:v>
                </c:pt>
                <c:pt idx="183">
                  <c:v>39173</c:v>
                </c:pt>
                <c:pt idx="184">
                  <c:v>39203</c:v>
                </c:pt>
                <c:pt idx="185">
                  <c:v>39234</c:v>
                </c:pt>
                <c:pt idx="186">
                  <c:v>39264</c:v>
                </c:pt>
                <c:pt idx="187">
                  <c:v>39295</c:v>
                </c:pt>
                <c:pt idx="188">
                  <c:v>39326</c:v>
                </c:pt>
                <c:pt idx="189">
                  <c:v>39356</c:v>
                </c:pt>
                <c:pt idx="190">
                  <c:v>39387</c:v>
                </c:pt>
                <c:pt idx="191">
                  <c:v>39417</c:v>
                </c:pt>
                <c:pt idx="192">
                  <c:v>39448</c:v>
                </c:pt>
                <c:pt idx="193">
                  <c:v>39479</c:v>
                </c:pt>
                <c:pt idx="194">
                  <c:v>39508</c:v>
                </c:pt>
                <c:pt idx="195">
                  <c:v>39539</c:v>
                </c:pt>
                <c:pt idx="196">
                  <c:v>39569</c:v>
                </c:pt>
                <c:pt idx="197">
                  <c:v>39600</c:v>
                </c:pt>
                <c:pt idx="198">
                  <c:v>39630</c:v>
                </c:pt>
                <c:pt idx="199">
                  <c:v>39661</c:v>
                </c:pt>
                <c:pt idx="200">
                  <c:v>39692</c:v>
                </c:pt>
                <c:pt idx="201">
                  <c:v>39722</c:v>
                </c:pt>
                <c:pt idx="202">
                  <c:v>39753</c:v>
                </c:pt>
                <c:pt idx="203">
                  <c:v>39783</c:v>
                </c:pt>
                <c:pt idx="204">
                  <c:v>39814</c:v>
                </c:pt>
                <c:pt idx="205">
                  <c:v>39845</c:v>
                </c:pt>
                <c:pt idx="206">
                  <c:v>39873</c:v>
                </c:pt>
                <c:pt idx="207">
                  <c:v>39904</c:v>
                </c:pt>
                <c:pt idx="208">
                  <c:v>39934</c:v>
                </c:pt>
                <c:pt idx="209">
                  <c:v>39965</c:v>
                </c:pt>
                <c:pt idx="210">
                  <c:v>39995</c:v>
                </c:pt>
                <c:pt idx="211">
                  <c:v>40026</c:v>
                </c:pt>
                <c:pt idx="212">
                  <c:v>40057</c:v>
                </c:pt>
                <c:pt idx="213">
                  <c:v>40087</c:v>
                </c:pt>
                <c:pt idx="214">
                  <c:v>40118</c:v>
                </c:pt>
                <c:pt idx="215">
                  <c:v>40148</c:v>
                </c:pt>
                <c:pt idx="216">
                  <c:v>40179</c:v>
                </c:pt>
                <c:pt idx="217">
                  <c:v>40210</c:v>
                </c:pt>
                <c:pt idx="218">
                  <c:v>40238</c:v>
                </c:pt>
                <c:pt idx="219">
                  <c:v>40269</c:v>
                </c:pt>
                <c:pt idx="220">
                  <c:v>40299</c:v>
                </c:pt>
                <c:pt idx="221">
                  <c:v>40330</c:v>
                </c:pt>
                <c:pt idx="222">
                  <c:v>40360</c:v>
                </c:pt>
                <c:pt idx="223">
                  <c:v>40391</c:v>
                </c:pt>
                <c:pt idx="224">
                  <c:v>40422</c:v>
                </c:pt>
                <c:pt idx="225">
                  <c:v>40452</c:v>
                </c:pt>
                <c:pt idx="226">
                  <c:v>40483</c:v>
                </c:pt>
                <c:pt idx="227">
                  <c:v>40513</c:v>
                </c:pt>
                <c:pt idx="228">
                  <c:v>40544</c:v>
                </c:pt>
                <c:pt idx="229">
                  <c:v>40575</c:v>
                </c:pt>
                <c:pt idx="230">
                  <c:v>40603</c:v>
                </c:pt>
                <c:pt idx="231">
                  <c:v>40634</c:v>
                </c:pt>
                <c:pt idx="232">
                  <c:v>40664</c:v>
                </c:pt>
                <c:pt idx="233">
                  <c:v>40695</c:v>
                </c:pt>
                <c:pt idx="234">
                  <c:v>40725</c:v>
                </c:pt>
                <c:pt idx="235">
                  <c:v>40756</c:v>
                </c:pt>
                <c:pt idx="236">
                  <c:v>40787</c:v>
                </c:pt>
                <c:pt idx="237">
                  <c:v>40817</c:v>
                </c:pt>
                <c:pt idx="238">
                  <c:v>40848</c:v>
                </c:pt>
                <c:pt idx="239">
                  <c:v>40878</c:v>
                </c:pt>
                <c:pt idx="240">
                  <c:v>40909</c:v>
                </c:pt>
                <c:pt idx="241">
                  <c:v>40940</c:v>
                </c:pt>
                <c:pt idx="242">
                  <c:v>40969</c:v>
                </c:pt>
                <c:pt idx="243">
                  <c:v>41000</c:v>
                </c:pt>
                <c:pt idx="244">
                  <c:v>41030</c:v>
                </c:pt>
                <c:pt idx="245">
                  <c:v>41061</c:v>
                </c:pt>
                <c:pt idx="246">
                  <c:v>41091</c:v>
                </c:pt>
                <c:pt idx="247">
                  <c:v>41122</c:v>
                </c:pt>
                <c:pt idx="248">
                  <c:v>41153</c:v>
                </c:pt>
                <c:pt idx="249">
                  <c:v>41183</c:v>
                </c:pt>
                <c:pt idx="250">
                  <c:v>41214</c:v>
                </c:pt>
                <c:pt idx="251">
                  <c:v>41244</c:v>
                </c:pt>
                <c:pt idx="252">
                  <c:v>41275</c:v>
                </c:pt>
                <c:pt idx="253">
                  <c:v>41306</c:v>
                </c:pt>
                <c:pt idx="254">
                  <c:v>41334</c:v>
                </c:pt>
                <c:pt idx="255">
                  <c:v>41365</c:v>
                </c:pt>
                <c:pt idx="256">
                  <c:v>41395</c:v>
                </c:pt>
                <c:pt idx="257">
                  <c:v>41426</c:v>
                </c:pt>
                <c:pt idx="258">
                  <c:v>41456</c:v>
                </c:pt>
                <c:pt idx="259">
                  <c:v>41487</c:v>
                </c:pt>
                <c:pt idx="260">
                  <c:v>41518</c:v>
                </c:pt>
                <c:pt idx="261">
                  <c:v>41548</c:v>
                </c:pt>
                <c:pt idx="262">
                  <c:v>41579</c:v>
                </c:pt>
                <c:pt idx="263">
                  <c:v>41609</c:v>
                </c:pt>
                <c:pt idx="264">
                  <c:v>41640</c:v>
                </c:pt>
                <c:pt idx="265">
                  <c:v>41671</c:v>
                </c:pt>
                <c:pt idx="266">
                  <c:v>41699</c:v>
                </c:pt>
                <c:pt idx="267">
                  <c:v>41730</c:v>
                </c:pt>
                <c:pt idx="268">
                  <c:v>41760</c:v>
                </c:pt>
                <c:pt idx="269">
                  <c:v>41791</c:v>
                </c:pt>
                <c:pt idx="270">
                  <c:v>41821</c:v>
                </c:pt>
                <c:pt idx="271">
                  <c:v>41852</c:v>
                </c:pt>
                <c:pt idx="272">
                  <c:v>41883</c:v>
                </c:pt>
                <c:pt idx="273">
                  <c:v>41913</c:v>
                </c:pt>
                <c:pt idx="274">
                  <c:v>41944</c:v>
                </c:pt>
                <c:pt idx="275">
                  <c:v>41974</c:v>
                </c:pt>
                <c:pt idx="276">
                  <c:v>42005</c:v>
                </c:pt>
                <c:pt idx="277">
                  <c:v>42036</c:v>
                </c:pt>
                <c:pt idx="278">
                  <c:v>42064</c:v>
                </c:pt>
                <c:pt idx="279">
                  <c:v>42095</c:v>
                </c:pt>
                <c:pt idx="280">
                  <c:v>42125</c:v>
                </c:pt>
                <c:pt idx="281">
                  <c:v>42156</c:v>
                </c:pt>
                <c:pt idx="282">
                  <c:v>42186</c:v>
                </c:pt>
                <c:pt idx="283">
                  <c:v>42217</c:v>
                </c:pt>
                <c:pt idx="284">
                  <c:v>42248</c:v>
                </c:pt>
                <c:pt idx="285">
                  <c:v>42278</c:v>
                </c:pt>
                <c:pt idx="286">
                  <c:v>42309</c:v>
                </c:pt>
                <c:pt idx="287">
                  <c:v>42339</c:v>
                </c:pt>
                <c:pt idx="288">
                  <c:v>42370</c:v>
                </c:pt>
                <c:pt idx="289">
                  <c:v>42401</c:v>
                </c:pt>
                <c:pt idx="290">
                  <c:v>42430</c:v>
                </c:pt>
                <c:pt idx="291">
                  <c:v>42461</c:v>
                </c:pt>
                <c:pt idx="292">
                  <c:v>42491</c:v>
                </c:pt>
                <c:pt idx="293">
                  <c:v>42522</c:v>
                </c:pt>
                <c:pt idx="294">
                  <c:v>42552</c:v>
                </c:pt>
                <c:pt idx="295">
                  <c:v>42583</c:v>
                </c:pt>
                <c:pt idx="296">
                  <c:v>42614</c:v>
                </c:pt>
                <c:pt idx="297">
                  <c:v>42644</c:v>
                </c:pt>
                <c:pt idx="298">
                  <c:v>42675</c:v>
                </c:pt>
                <c:pt idx="299">
                  <c:v>42705</c:v>
                </c:pt>
                <c:pt idx="300">
                  <c:v>42736</c:v>
                </c:pt>
                <c:pt idx="301">
                  <c:v>42767</c:v>
                </c:pt>
                <c:pt idx="302">
                  <c:v>42795</c:v>
                </c:pt>
                <c:pt idx="303">
                  <c:v>42826</c:v>
                </c:pt>
                <c:pt idx="304">
                  <c:v>42856</c:v>
                </c:pt>
                <c:pt idx="305">
                  <c:v>42887</c:v>
                </c:pt>
                <c:pt idx="306">
                  <c:v>42917</c:v>
                </c:pt>
                <c:pt idx="307">
                  <c:v>42948</c:v>
                </c:pt>
                <c:pt idx="308">
                  <c:v>42979</c:v>
                </c:pt>
                <c:pt idx="309">
                  <c:v>43009</c:v>
                </c:pt>
                <c:pt idx="310">
                  <c:v>43040</c:v>
                </c:pt>
                <c:pt idx="311">
                  <c:v>43070</c:v>
                </c:pt>
                <c:pt idx="312">
                  <c:v>43101</c:v>
                </c:pt>
                <c:pt idx="313">
                  <c:v>43132</c:v>
                </c:pt>
                <c:pt idx="314">
                  <c:v>43160</c:v>
                </c:pt>
                <c:pt idx="315">
                  <c:v>43191</c:v>
                </c:pt>
                <c:pt idx="316">
                  <c:v>43221</c:v>
                </c:pt>
                <c:pt idx="317">
                  <c:v>43252</c:v>
                </c:pt>
                <c:pt idx="318">
                  <c:v>43282</c:v>
                </c:pt>
                <c:pt idx="319">
                  <c:v>43313</c:v>
                </c:pt>
                <c:pt idx="320">
                  <c:v>43344</c:v>
                </c:pt>
                <c:pt idx="321">
                  <c:v>43374</c:v>
                </c:pt>
                <c:pt idx="322">
                  <c:v>43405</c:v>
                </c:pt>
                <c:pt idx="323">
                  <c:v>43435</c:v>
                </c:pt>
                <c:pt idx="324">
                  <c:v>43466</c:v>
                </c:pt>
                <c:pt idx="325">
                  <c:v>43497</c:v>
                </c:pt>
                <c:pt idx="326">
                  <c:v>43525</c:v>
                </c:pt>
                <c:pt idx="327">
                  <c:v>43556</c:v>
                </c:pt>
                <c:pt idx="328">
                  <c:v>43586</c:v>
                </c:pt>
                <c:pt idx="329">
                  <c:v>43617</c:v>
                </c:pt>
                <c:pt idx="330">
                  <c:v>43647</c:v>
                </c:pt>
                <c:pt idx="331">
                  <c:v>43678</c:v>
                </c:pt>
                <c:pt idx="332">
                  <c:v>43709</c:v>
                </c:pt>
                <c:pt idx="333">
                  <c:v>43739</c:v>
                </c:pt>
                <c:pt idx="334">
                  <c:v>43770</c:v>
                </c:pt>
                <c:pt idx="335">
                  <c:v>43800</c:v>
                </c:pt>
                <c:pt idx="336">
                  <c:v>43831</c:v>
                </c:pt>
                <c:pt idx="337">
                  <c:v>43862</c:v>
                </c:pt>
                <c:pt idx="338">
                  <c:v>43891</c:v>
                </c:pt>
                <c:pt idx="339">
                  <c:v>43922</c:v>
                </c:pt>
                <c:pt idx="340">
                  <c:v>43952</c:v>
                </c:pt>
                <c:pt idx="341">
                  <c:v>43983</c:v>
                </c:pt>
                <c:pt idx="342">
                  <c:v>44013</c:v>
                </c:pt>
                <c:pt idx="343">
                  <c:v>44044</c:v>
                </c:pt>
                <c:pt idx="344">
                  <c:v>44075</c:v>
                </c:pt>
                <c:pt idx="345">
                  <c:v>44105</c:v>
                </c:pt>
                <c:pt idx="346">
                  <c:v>44136</c:v>
                </c:pt>
                <c:pt idx="347">
                  <c:v>44166</c:v>
                </c:pt>
                <c:pt idx="348">
                  <c:v>44197</c:v>
                </c:pt>
                <c:pt idx="349">
                  <c:v>44228</c:v>
                </c:pt>
                <c:pt idx="350">
                  <c:v>44256</c:v>
                </c:pt>
                <c:pt idx="351">
                  <c:v>44287</c:v>
                </c:pt>
                <c:pt idx="352">
                  <c:v>44317</c:v>
                </c:pt>
                <c:pt idx="353">
                  <c:v>44348</c:v>
                </c:pt>
                <c:pt idx="354">
                  <c:v>44378</c:v>
                </c:pt>
                <c:pt idx="355">
                  <c:v>44409</c:v>
                </c:pt>
              </c:numCache>
            </c:numRef>
          </c:cat>
          <c:val>
            <c:numRef>
              <c:f>Housing!$B$7:$B$362</c:f>
              <c:numCache>
                <c:formatCode>#,##0</c:formatCode>
                <c:ptCount val="356"/>
                <c:pt idx="0">
                  <c:v>10845</c:v>
                </c:pt>
                <c:pt idx="1">
                  <c:v>10904</c:v>
                </c:pt>
                <c:pt idx="2">
                  <c:v>10986</c:v>
                </c:pt>
                <c:pt idx="3">
                  <c:v>10738</c:v>
                </c:pt>
                <c:pt idx="4">
                  <c:v>10777</c:v>
                </c:pt>
                <c:pt idx="5">
                  <c:v>10790</c:v>
                </c:pt>
                <c:pt idx="6">
                  <c:v>10785</c:v>
                </c:pt>
                <c:pt idx="7">
                  <c:v>10915</c:v>
                </c:pt>
                <c:pt idx="8">
                  <c:v>10980</c:v>
                </c:pt>
                <c:pt idx="9">
                  <c:v>10971</c:v>
                </c:pt>
                <c:pt idx="10">
                  <c:v>10873</c:v>
                </c:pt>
                <c:pt idx="11">
                  <c:v>11082</c:v>
                </c:pt>
                <c:pt idx="12">
                  <c:v>11333</c:v>
                </c:pt>
                <c:pt idx="13">
                  <c:v>11410</c:v>
                </c:pt>
                <c:pt idx="14">
                  <c:v>11184</c:v>
                </c:pt>
                <c:pt idx="15">
                  <c:v>11417</c:v>
                </c:pt>
                <c:pt idx="16">
                  <c:v>11720</c:v>
                </c:pt>
                <c:pt idx="17">
                  <c:v>11669</c:v>
                </c:pt>
                <c:pt idx="18">
                  <c:v>11781</c:v>
                </c:pt>
                <c:pt idx="19">
                  <c:v>11875</c:v>
                </c:pt>
                <c:pt idx="20">
                  <c:v>11786</c:v>
                </c:pt>
                <c:pt idx="21">
                  <c:v>11908</c:v>
                </c:pt>
                <c:pt idx="22">
                  <c:v>12297</c:v>
                </c:pt>
                <c:pt idx="23">
                  <c:v>12583</c:v>
                </c:pt>
                <c:pt idx="24">
                  <c:v>12316</c:v>
                </c:pt>
                <c:pt idx="25">
                  <c:v>12233</c:v>
                </c:pt>
                <c:pt idx="26">
                  <c:v>12767</c:v>
                </c:pt>
                <c:pt idx="27">
                  <c:v>13076</c:v>
                </c:pt>
                <c:pt idx="28">
                  <c:v>13033</c:v>
                </c:pt>
                <c:pt idx="29">
                  <c:v>12987</c:v>
                </c:pt>
                <c:pt idx="30">
                  <c:v>13130</c:v>
                </c:pt>
                <c:pt idx="31">
                  <c:v>13224</c:v>
                </c:pt>
                <c:pt idx="32">
                  <c:v>13375</c:v>
                </c:pt>
                <c:pt idx="33">
                  <c:v>13550</c:v>
                </c:pt>
                <c:pt idx="34">
                  <c:v>13384</c:v>
                </c:pt>
                <c:pt idx="35">
                  <c:v>13981</c:v>
                </c:pt>
                <c:pt idx="36">
                  <c:v>13738</c:v>
                </c:pt>
                <c:pt idx="37">
                  <c:v>13613</c:v>
                </c:pt>
                <c:pt idx="38">
                  <c:v>13587</c:v>
                </c:pt>
                <c:pt idx="39">
                  <c:v>13415</c:v>
                </c:pt>
                <c:pt idx="40">
                  <c:v>13370</c:v>
                </c:pt>
                <c:pt idx="41">
                  <c:v>13548</c:v>
                </c:pt>
                <c:pt idx="42">
                  <c:v>13645</c:v>
                </c:pt>
                <c:pt idx="43">
                  <c:v>13683</c:v>
                </c:pt>
                <c:pt idx="44">
                  <c:v>13837</c:v>
                </c:pt>
                <c:pt idx="45">
                  <c:v>13932</c:v>
                </c:pt>
                <c:pt idx="46">
                  <c:v>14092</c:v>
                </c:pt>
                <c:pt idx="47">
                  <c:v>14683</c:v>
                </c:pt>
                <c:pt idx="48">
                  <c:v>14023</c:v>
                </c:pt>
                <c:pt idx="49">
                  <c:v>14036</c:v>
                </c:pt>
                <c:pt idx="50">
                  <c:v>14153</c:v>
                </c:pt>
                <c:pt idx="51">
                  <c:v>14340</c:v>
                </c:pt>
                <c:pt idx="52">
                  <c:v>14450</c:v>
                </c:pt>
                <c:pt idx="53">
                  <c:v>14902</c:v>
                </c:pt>
                <c:pt idx="54">
                  <c:v>14826</c:v>
                </c:pt>
                <c:pt idx="55">
                  <c:v>14981</c:v>
                </c:pt>
                <c:pt idx="56">
                  <c:v>14989</c:v>
                </c:pt>
                <c:pt idx="57">
                  <c:v>15040</c:v>
                </c:pt>
                <c:pt idx="58">
                  <c:v>15264</c:v>
                </c:pt>
                <c:pt idx="59">
                  <c:v>14980</c:v>
                </c:pt>
                <c:pt idx="60">
                  <c:v>15197</c:v>
                </c:pt>
                <c:pt idx="61">
                  <c:v>15561</c:v>
                </c:pt>
                <c:pt idx="62">
                  <c:v>15862</c:v>
                </c:pt>
                <c:pt idx="63">
                  <c:v>15709</c:v>
                </c:pt>
                <c:pt idx="64">
                  <c:v>15805</c:v>
                </c:pt>
                <c:pt idx="65">
                  <c:v>15918</c:v>
                </c:pt>
                <c:pt idx="66">
                  <c:v>15973</c:v>
                </c:pt>
                <c:pt idx="67">
                  <c:v>16027</c:v>
                </c:pt>
                <c:pt idx="68">
                  <c:v>16283</c:v>
                </c:pt>
                <c:pt idx="69">
                  <c:v>16232</c:v>
                </c:pt>
                <c:pt idx="70">
                  <c:v>16158</c:v>
                </c:pt>
                <c:pt idx="71">
                  <c:v>16356</c:v>
                </c:pt>
                <c:pt idx="72">
                  <c:v>16436</c:v>
                </c:pt>
                <c:pt idx="73">
                  <c:v>16462</c:v>
                </c:pt>
                <c:pt idx="74">
                  <c:v>16511</c:v>
                </c:pt>
                <c:pt idx="75">
                  <c:v>16716</c:v>
                </c:pt>
                <c:pt idx="76">
                  <c:v>16741</c:v>
                </c:pt>
                <c:pt idx="77">
                  <c:v>16662</c:v>
                </c:pt>
                <c:pt idx="78">
                  <c:v>16819</c:v>
                </c:pt>
                <c:pt idx="79">
                  <c:v>16828</c:v>
                </c:pt>
                <c:pt idx="80">
                  <c:v>16972</c:v>
                </c:pt>
                <c:pt idx="81">
                  <c:v>17209</c:v>
                </c:pt>
                <c:pt idx="82">
                  <c:v>17341</c:v>
                </c:pt>
                <c:pt idx="83">
                  <c:v>17702</c:v>
                </c:pt>
                <c:pt idx="84">
                  <c:v>17732</c:v>
                </c:pt>
                <c:pt idx="85">
                  <c:v>17943</c:v>
                </c:pt>
                <c:pt idx="86">
                  <c:v>17760</c:v>
                </c:pt>
                <c:pt idx="87">
                  <c:v>17791</c:v>
                </c:pt>
                <c:pt idx="88">
                  <c:v>17914</c:v>
                </c:pt>
                <c:pt idx="89">
                  <c:v>17969</c:v>
                </c:pt>
                <c:pt idx="90">
                  <c:v>18183</c:v>
                </c:pt>
                <c:pt idx="91">
                  <c:v>18341</c:v>
                </c:pt>
                <c:pt idx="92">
                  <c:v>18175</c:v>
                </c:pt>
                <c:pt idx="93">
                  <c:v>18606</c:v>
                </c:pt>
                <c:pt idx="94">
                  <c:v>18944</c:v>
                </c:pt>
                <c:pt idx="95">
                  <c:v>19125</c:v>
                </c:pt>
                <c:pt idx="96">
                  <c:v>19613</c:v>
                </c:pt>
                <c:pt idx="97">
                  <c:v>19193</c:v>
                </c:pt>
                <c:pt idx="98">
                  <c:v>20175</c:v>
                </c:pt>
                <c:pt idx="99">
                  <c:v>18986</c:v>
                </c:pt>
                <c:pt idx="100">
                  <c:v>18941</c:v>
                </c:pt>
                <c:pt idx="101">
                  <c:v>18878</c:v>
                </c:pt>
                <c:pt idx="102">
                  <c:v>18982</c:v>
                </c:pt>
                <c:pt idx="103">
                  <c:v>18951</c:v>
                </c:pt>
                <c:pt idx="104">
                  <c:v>18926</c:v>
                </c:pt>
                <c:pt idx="105">
                  <c:v>18965</c:v>
                </c:pt>
                <c:pt idx="106">
                  <c:v>18689</c:v>
                </c:pt>
                <c:pt idx="107">
                  <c:v>19356</c:v>
                </c:pt>
                <c:pt idx="108">
                  <c:v>19248</c:v>
                </c:pt>
                <c:pt idx="109">
                  <c:v>19698</c:v>
                </c:pt>
                <c:pt idx="110">
                  <c:v>19562</c:v>
                </c:pt>
                <c:pt idx="111">
                  <c:v>20373</c:v>
                </c:pt>
                <c:pt idx="112">
                  <c:v>20147</c:v>
                </c:pt>
                <c:pt idx="113">
                  <c:v>19900</c:v>
                </c:pt>
                <c:pt idx="114">
                  <c:v>19838</c:v>
                </c:pt>
                <c:pt idx="115">
                  <c:v>19920</c:v>
                </c:pt>
                <c:pt idx="116">
                  <c:v>19664</c:v>
                </c:pt>
                <c:pt idx="117">
                  <c:v>20054</c:v>
                </c:pt>
                <c:pt idx="118">
                  <c:v>19982</c:v>
                </c:pt>
                <c:pt idx="119">
                  <c:v>20120</c:v>
                </c:pt>
                <c:pt idx="120">
                  <c:v>20359</c:v>
                </c:pt>
                <c:pt idx="121">
                  <c:v>20515</c:v>
                </c:pt>
                <c:pt idx="122">
                  <c:v>20370</c:v>
                </c:pt>
                <c:pt idx="123">
                  <c:v>21274</c:v>
                </c:pt>
                <c:pt idx="124">
                  <c:v>20874</c:v>
                </c:pt>
                <c:pt idx="125">
                  <c:v>20725</c:v>
                </c:pt>
                <c:pt idx="126">
                  <c:v>20674</c:v>
                </c:pt>
                <c:pt idx="127">
                  <c:v>20683</c:v>
                </c:pt>
                <c:pt idx="128">
                  <c:v>20732</c:v>
                </c:pt>
                <c:pt idx="129">
                  <c:v>20603</c:v>
                </c:pt>
                <c:pt idx="130">
                  <c:v>20969</c:v>
                </c:pt>
                <c:pt idx="131">
                  <c:v>20415</c:v>
                </c:pt>
                <c:pt idx="132">
                  <c:v>21270</c:v>
                </c:pt>
                <c:pt idx="133">
                  <c:v>20041</c:v>
                </c:pt>
                <c:pt idx="134">
                  <c:v>21326</c:v>
                </c:pt>
                <c:pt idx="135">
                  <c:v>21139</c:v>
                </c:pt>
                <c:pt idx="136">
                  <c:v>21328</c:v>
                </c:pt>
                <c:pt idx="137">
                  <c:v>22003</c:v>
                </c:pt>
                <c:pt idx="138">
                  <c:v>22372</c:v>
                </c:pt>
                <c:pt idx="139">
                  <c:v>22489</c:v>
                </c:pt>
                <c:pt idx="140">
                  <c:v>22630</c:v>
                </c:pt>
                <c:pt idx="141">
                  <c:v>22869</c:v>
                </c:pt>
                <c:pt idx="142">
                  <c:v>22864</c:v>
                </c:pt>
                <c:pt idx="143">
                  <c:v>22748</c:v>
                </c:pt>
                <c:pt idx="144">
                  <c:v>22637</c:v>
                </c:pt>
                <c:pt idx="145">
                  <c:v>22727</c:v>
                </c:pt>
                <c:pt idx="146">
                  <c:v>24992</c:v>
                </c:pt>
                <c:pt idx="147">
                  <c:v>24565</c:v>
                </c:pt>
                <c:pt idx="148">
                  <c:v>24420</c:v>
                </c:pt>
                <c:pt idx="149">
                  <c:v>24622</c:v>
                </c:pt>
                <c:pt idx="150">
                  <c:v>24538</c:v>
                </c:pt>
                <c:pt idx="151">
                  <c:v>24713</c:v>
                </c:pt>
                <c:pt idx="152">
                  <c:v>25045</c:v>
                </c:pt>
                <c:pt idx="153">
                  <c:v>24842</c:v>
                </c:pt>
                <c:pt idx="154">
                  <c:v>24974</c:v>
                </c:pt>
                <c:pt idx="155">
                  <c:v>25679</c:v>
                </c:pt>
                <c:pt idx="156">
                  <c:v>26126</c:v>
                </c:pt>
                <c:pt idx="157">
                  <c:v>25797</c:v>
                </c:pt>
                <c:pt idx="158">
                  <c:v>26219</c:v>
                </c:pt>
                <c:pt idx="159">
                  <c:v>26520</c:v>
                </c:pt>
                <c:pt idx="160">
                  <c:v>26510</c:v>
                </c:pt>
                <c:pt idx="161">
                  <c:v>26569</c:v>
                </c:pt>
                <c:pt idx="162">
                  <c:v>26538</c:v>
                </c:pt>
                <c:pt idx="163">
                  <c:v>26814</c:v>
                </c:pt>
                <c:pt idx="164">
                  <c:v>27111</c:v>
                </c:pt>
                <c:pt idx="165">
                  <c:v>27664</c:v>
                </c:pt>
                <c:pt idx="166">
                  <c:v>27674</c:v>
                </c:pt>
                <c:pt idx="167">
                  <c:v>27324</c:v>
                </c:pt>
                <c:pt idx="168">
                  <c:v>29686</c:v>
                </c:pt>
                <c:pt idx="169">
                  <c:v>29479</c:v>
                </c:pt>
                <c:pt idx="170">
                  <c:v>29289</c:v>
                </c:pt>
                <c:pt idx="171">
                  <c:v>28905</c:v>
                </c:pt>
                <c:pt idx="172">
                  <c:v>27864</c:v>
                </c:pt>
                <c:pt idx="173">
                  <c:v>27339</c:v>
                </c:pt>
                <c:pt idx="174">
                  <c:v>27327</c:v>
                </c:pt>
                <c:pt idx="175">
                  <c:v>27358</c:v>
                </c:pt>
                <c:pt idx="176">
                  <c:v>26994</c:v>
                </c:pt>
                <c:pt idx="177">
                  <c:v>27161</c:v>
                </c:pt>
                <c:pt idx="178">
                  <c:v>26647</c:v>
                </c:pt>
                <c:pt idx="179">
                  <c:v>27100</c:v>
                </c:pt>
                <c:pt idx="180">
                  <c:v>27533</c:v>
                </c:pt>
                <c:pt idx="181">
                  <c:v>27088</c:v>
                </c:pt>
                <c:pt idx="182">
                  <c:v>27506</c:v>
                </c:pt>
                <c:pt idx="183">
                  <c:v>26610</c:v>
                </c:pt>
                <c:pt idx="184">
                  <c:v>27144</c:v>
                </c:pt>
                <c:pt idx="185">
                  <c:v>26638</c:v>
                </c:pt>
                <c:pt idx="186">
                  <c:v>26860</c:v>
                </c:pt>
                <c:pt idx="187">
                  <c:v>26625</c:v>
                </c:pt>
                <c:pt idx="188">
                  <c:v>26412</c:v>
                </c:pt>
                <c:pt idx="189">
                  <c:v>26248</c:v>
                </c:pt>
                <c:pt idx="190">
                  <c:v>26566</c:v>
                </c:pt>
                <c:pt idx="191">
                  <c:v>25634</c:v>
                </c:pt>
                <c:pt idx="192">
                  <c:v>25721</c:v>
                </c:pt>
                <c:pt idx="193">
                  <c:v>25659</c:v>
                </c:pt>
                <c:pt idx="194">
                  <c:v>25456</c:v>
                </c:pt>
                <c:pt idx="195">
                  <c:v>25292</c:v>
                </c:pt>
                <c:pt idx="196">
                  <c:v>25650</c:v>
                </c:pt>
                <c:pt idx="197">
                  <c:v>25700</c:v>
                </c:pt>
                <c:pt idx="198">
                  <c:v>25897</c:v>
                </c:pt>
                <c:pt idx="199">
                  <c:v>25329</c:v>
                </c:pt>
                <c:pt idx="200">
                  <c:v>25217</c:v>
                </c:pt>
                <c:pt idx="201">
                  <c:v>24568</c:v>
                </c:pt>
                <c:pt idx="202">
                  <c:v>23196</c:v>
                </c:pt>
                <c:pt idx="203">
                  <c:v>22909</c:v>
                </c:pt>
                <c:pt idx="204">
                  <c:v>22758</c:v>
                </c:pt>
                <c:pt idx="205">
                  <c:v>22498</c:v>
                </c:pt>
                <c:pt idx="206">
                  <c:v>22149</c:v>
                </c:pt>
                <c:pt idx="207">
                  <c:v>22092</c:v>
                </c:pt>
                <c:pt idx="208">
                  <c:v>22310</c:v>
                </c:pt>
                <c:pt idx="209">
                  <c:v>22332</c:v>
                </c:pt>
                <c:pt idx="210">
                  <c:v>21883</c:v>
                </c:pt>
                <c:pt idx="211">
                  <c:v>21474</c:v>
                </c:pt>
                <c:pt idx="212">
                  <c:v>21363</c:v>
                </c:pt>
                <c:pt idx="213">
                  <c:v>20661</c:v>
                </c:pt>
                <c:pt idx="214">
                  <c:v>20931</c:v>
                </c:pt>
                <c:pt idx="215">
                  <c:v>20849</c:v>
                </c:pt>
                <c:pt idx="216">
                  <c:v>20562</c:v>
                </c:pt>
                <c:pt idx="217">
                  <c:v>20448</c:v>
                </c:pt>
                <c:pt idx="218">
                  <c:v>21872</c:v>
                </c:pt>
                <c:pt idx="219">
                  <c:v>23542</c:v>
                </c:pt>
                <c:pt idx="220">
                  <c:v>21737</c:v>
                </c:pt>
                <c:pt idx="221">
                  <c:v>21522</c:v>
                </c:pt>
                <c:pt idx="222">
                  <c:v>21493</c:v>
                </c:pt>
                <c:pt idx="223">
                  <c:v>21296</c:v>
                </c:pt>
                <c:pt idx="224">
                  <c:v>21336</c:v>
                </c:pt>
                <c:pt idx="225">
                  <c:v>22040</c:v>
                </c:pt>
                <c:pt idx="226">
                  <c:v>21977</c:v>
                </c:pt>
                <c:pt idx="227">
                  <c:v>22112</c:v>
                </c:pt>
                <c:pt idx="228">
                  <c:v>21498</c:v>
                </c:pt>
                <c:pt idx="229">
                  <c:v>21202</c:v>
                </c:pt>
                <c:pt idx="230">
                  <c:v>21865</c:v>
                </c:pt>
                <c:pt idx="231">
                  <c:v>22053</c:v>
                </c:pt>
                <c:pt idx="232">
                  <c:v>22326</c:v>
                </c:pt>
                <c:pt idx="233">
                  <c:v>22709</c:v>
                </c:pt>
                <c:pt idx="234">
                  <c:v>22744</c:v>
                </c:pt>
                <c:pt idx="235">
                  <c:v>22775</c:v>
                </c:pt>
                <c:pt idx="236">
                  <c:v>22644</c:v>
                </c:pt>
                <c:pt idx="237">
                  <c:v>23253</c:v>
                </c:pt>
                <c:pt idx="238">
                  <c:v>22908</c:v>
                </c:pt>
                <c:pt idx="239">
                  <c:v>23443</c:v>
                </c:pt>
                <c:pt idx="240">
                  <c:v>23657</c:v>
                </c:pt>
                <c:pt idx="241">
                  <c:v>23588</c:v>
                </c:pt>
                <c:pt idx="242">
                  <c:v>24587</c:v>
                </c:pt>
                <c:pt idx="243">
                  <c:v>23423</c:v>
                </c:pt>
                <c:pt idx="244">
                  <c:v>22721</c:v>
                </c:pt>
                <c:pt idx="245">
                  <c:v>22516</c:v>
                </c:pt>
                <c:pt idx="246">
                  <c:v>22700</c:v>
                </c:pt>
                <c:pt idx="247">
                  <c:v>23071</c:v>
                </c:pt>
                <c:pt idx="248">
                  <c:v>23652</c:v>
                </c:pt>
                <c:pt idx="249">
                  <c:v>23831</c:v>
                </c:pt>
                <c:pt idx="250">
                  <c:v>24146</c:v>
                </c:pt>
                <c:pt idx="251">
                  <c:v>24126</c:v>
                </c:pt>
                <c:pt idx="252">
                  <c:v>24376</c:v>
                </c:pt>
                <c:pt idx="253">
                  <c:v>24759</c:v>
                </c:pt>
                <c:pt idx="254">
                  <c:v>24692</c:v>
                </c:pt>
                <c:pt idx="255">
                  <c:v>24815</c:v>
                </c:pt>
                <c:pt idx="256">
                  <c:v>25320</c:v>
                </c:pt>
                <c:pt idx="257">
                  <c:v>24799</c:v>
                </c:pt>
                <c:pt idx="258">
                  <c:v>25347</c:v>
                </c:pt>
                <c:pt idx="259">
                  <c:v>25284</c:v>
                </c:pt>
                <c:pt idx="260">
                  <c:v>25259</c:v>
                </c:pt>
                <c:pt idx="261">
                  <c:v>24917</c:v>
                </c:pt>
                <c:pt idx="262">
                  <c:v>24828</c:v>
                </c:pt>
                <c:pt idx="263">
                  <c:v>24956</c:v>
                </c:pt>
                <c:pt idx="264">
                  <c:v>24872</c:v>
                </c:pt>
                <c:pt idx="265">
                  <c:v>24817</c:v>
                </c:pt>
                <c:pt idx="266">
                  <c:v>25282</c:v>
                </c:pt>
                <c:pt idx="267">
                  <c:v>26122</c:v>
                </c:pt>
                <c:pt idx="268">
                  <c:v>26465</c:v>
                </c:pt>
                <c:pt idx="269">
                  <c:v>26620</c:v>
                </c:pt>
                <c:pt idx="270">
                  <c:v>26084</c:v>
                </c:pt>
                <c:pt idx="271">
                  <c:v>26569</c:v>
                </c:pt>
                <c:pt idx="272">
                  <c:v>26494</c:v>
                </c:pt>
                <c:pt idx="273">
                  <c:v>26463</c:v>
                </c:pt>
                <c:pt idx="274">
                  <c:v>26602</c:v>
                </c:pt>
                <c:pt idx="275">
                  <c:v>26268</c:v>
                </c:pt>
                <c:pt idx="276">
                  <c:v>26517</c:v>
                </c:pt>
                <c:pt idx="277">
                  <c:v>25555</c:v>
                </c:pt>
                <c:pt idx="278">
                  <c:v>26534</c:v>
                </c:pt>
                <c:pt idx="279">
                  <c:v>26690</c:v>
                </c:pt>
                <c:pt idx="280">
                  <c:v>26826</c:v>
                </c:pt>
                <c:pt idx="281">
                  <c:v>26570</c:v>
                </c:pt>
                <c:pt idx="282">
                  <c:v>27326</c:v>
                </c:pt>
                <c:pt idx="283">
                  <c:v>27385</c:v>
                </c:pt>
                <c:pt idx="284">
                  <c:v>27138</c:v>
                </c:pt>
                <c:pt idx="285">
                  <c:v>27331</c:v>
                </c:pt>
                <c:pt idx="286">
                  <c:v>27638</c:v>
                </c:pt>
                <c:pt idx="287">
                  <c:v>28165</c:v>
                </c:pt>
                <c:pt idx="288">
                  <c:v>28215</c:v>
                </c:pt>
                <c:pt idx="289">
                  <c:v>28260</c:v>
                </c:pt>
                <c:pt idx="290">
                  <c:v>28956</c:v>
                </c:pt>
                <c:pt idx="291">
                  <c:v>27956</c:v>
                </c:pt>
                <c:pt idx="292">
                  <c:v>27608</c:v>
                </c:pt>
                <c:pt idx="293">
                  <c:v>28271</c:v>
                </c:pt>
                <c:pt idx="294">
                  <c:v>27969</c:v>
                </c:pt>
                <c:pt idx="295">
                  <c:v>27846</c:v>
                </c:pt>
                <c:pt idx="296">
                  <c:v>27876</c:v>
                </c:pt>
                <c:pt idx="297">
                  <c:v>28050</c:v>
                </c:pt>
                <c:pt idx="298">
                  <c:v>28206</c:v>
                </c:pt>
                <c:pt idx="299">
                  <c:v>28155</c:v>
                </c:pt>
                <c:pt idx="300">
                  <c:v>28685</c:v>
                </c:pt>
                <c:pt idx="301">
                  <c:v>28943</c:v>
                </c:pt>
                <c:pt idx="302">
                  <c:v>28755</c:v>
                </c:pt>
                <c:pt idx="303">
                  <c:v>29063</c:v>
                </c:pt>
                <c:pt idx="304">
                  <c:v>28764</c:v>
                </c:pt>
                <c:pt idx="305">
                  <c:v>28720</c:v>
                </c:pt>
                <c:pt idx="306">
                  <c:v>28838</c:v>
                </c:pt>
                <c:pt idx="307">
                  <c:v>28843</c:v>
                </c:pt>
                <c:pt idx="308">
                  <c:v>29763</c:v>
                </c:pt>
                <c:pt idx="309">
                  <c:v>29561</c:v>
                </c:pt>
                <c:pt idx="310">
                  <c:v>29948</c:v>
                </c:pt>
                <c:pt idx="311">
                  <c:v>30044</c:v>
                </c:pt>
                <c:pt idx="312">
                  <c:v>29261</c:v>
                </c:pt>
                <c:pt idx="313">
                  <c:v>30076</c:v>
                </c:pt>
                <c:pt idx="314">
                  <c:v>29792</c:v>
                </c:pt>
                <c:pt idx="315">
                  <c:v>29807</c:v>
                </c:pt>
                <c:pt idx="316">
                  <c:v>30546</c:v>
                </c:pt>
                <c:pt idx="317">
                  <c:v>30974</c:v>
                </c:pt>
                <c:pt idx="318">
                  <c:v>30991</c:v>
                </c:pt>
                <c:pt idx="319">
                  <c:v>30601</c:v>
                </c:pt>
                <c:pt idx="320">
                  <c:v>30735</c:v>
                </c:pt>
                <c:pt idx="321">
                  <c:v>31505</c:v>
                </c:pt>
                <c:pt idx="322">
                  <c:v>30855</c:v>
                </c:pt>
                <c:pt idx="323">
                  <c:v>30971</c:v>
                </c:pt>
                <c:pt idx="324">
                  <c:v>32451</c:v>
                </c:pt>
                <c:pt idx="325">
                  <c:v>30745</c:v>
                </c:pt>
                <c:pt idx="326">
                  <c:v>31106</c:v>
                </c:pt>
                <c:pt idx="327">
                  <c:v>30959</c:v>
                </c:pt>
                <c:pt idx="328">
                  <c:v>30338</c:v>
                </c:pt>
                <c:pt idx="329">
                  <c:v>30385</c:v>
                </c:pt>
                <c:pt idx="330">
                  <c:v>30679</c:v>
                </c:pt>
                <c:pt idx="331">
                  <c:v>31270</c:v>
                </c:pt>
                <c:pt idx="332">
                  <c:v>30806</c:v>
                </c:pt>
                <c:pt idx="333">
                  <c:v>31118</c:v>
                </c:pt>
                <c:pt idx="334">
                  <c:v>31312</c:v>
                </c:pt>
                <c:pt idx="335">
                  <c:v>31952</c:v>
                </c:pt>
                <c:pt idx="336">
                  <c:v>32920</c:v>
                </c:pt>
                <c:pt idx="337">
                  <c:v>32904</c:v>
                </c:pt>
                <c:pt idx="338">
                  <c:v>32810</c:v>
                </c:pt>
                <c:pt idx="339">
                  <c:v>32184</c:v>
                </c:pt>
                <c:pt idx="340">
                  <c:v>35951</c:v>
                </c:pt>
                <c:pt idx="341">
                  <c:v>36366</c:v>
                </c:pt>
                <c:pt idx="342">
                  <c:v>35906</c:v>
                </c:pt>
                <c:pt idx="343">
                  <c:v>36714</c:v>
                </c:pt>
                <c:pt idx="344">
                  <c:v>36676</c:v>
                </c:pt>
                <c:pt idx="345">
                  <c:v>36685</c:v>
                </c:pt>
                <c:pt idx="346">
                  <c:v>37002</c:v>
                </c:pt>
                <c:pt idx="347">
                  <c:v>37099</c:v>
                </c:pt>
                <c:pt idx="348">
                  <c:v>39996</c:v>
                </c:pt>
                <c:pt idx="349">
                  <c:v>38082</c:v>
                </c:pt>
                <c:pt idx="350">
                  <c:v>43458</c:v>
                </c:pt>
                <c:pt idx="351">
                  <c:v>42042</c:v>
                </c:pt>
                <c:pt idx="352">
                  <c:v>39648</c:v>
                </c:pt>
                <c:pt idx="353">
                  <c:v>39095</c:v>
                </c:pt>
                <c:pt idx="354">
                  <c:v>38690</c:v>
                </c:pt>
                <c:pt idx="355">
                  <c:v>39024</c:v>
                </c:pt>
              </c:numCache>
            </c:numRef>
          </c:val>
          <c:smooth val="0"/>
          <c:extLst>
            <c:ext xmlns:c16="http://schemas.microsoft.com/office/drawing/2014/chart" uri="{C3380CC4-5D6E-409C-BE32-E72D297353CC}">
              <c16:uniqueId val="{00000000-5D16-4A6A-8FE6-239C8BD328E6}"/>
            </c:ext>
          </c:extLst>
        </c:ser>
        <c:dLbls>
          <c:showLegendKey val="0"/>
          <c:showVal val="0"/>
          <c:showCatName val="0"/>
          <c:showSerName val="0"/>
          <c:showPercent val="0"/>
          <c:showBubbleSize val="0"/>
        </c:dLbls>
        <c:smooth val="0"/>
        <c:axId val="1001706656"/>
        <c:axId val="1001706000"/>
      </c:lineChart>
      <c:dateAx>
        <c:axId val="1001706656"/>
        <c:scaling>
          <c:orientation val="minMax"/>
        </c:scaling>
        <c:delete val="0"/>
        <c:axPos val="b"/>
        <c:numFmt formatCode="[$-409]mmm\-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01706000"/>
        <c:crosses val="autoZero"/>
        <c:auto val="1"/>
        <c:lblOffset val="100"/>
        <c:baseTimeUnit val="months"/>
      </c:dateAx>
      <c:valAx>
        <c:axId val="1001706000"/>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0170665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Housing!$D$6</c:f>
              <c:strCache>
                <c:ptCount val="1"/>
                <c:pt idx="0">
                  <c:v>Change y/y </c:v>
                </c:pt>
              </c:strCache>
            </c:strRef>
          </c:tx>
          <c:spPr>
            <a:ln w="28575" cap="rnd">
              <a:solidFill>
                <a:sysClr val="windowText" lastClr="000000"/>
              </a:solidFill>
              <a:round/>
            </a:ln>
            <a:effectLst/>
          </c:spPr>
          <c:marker>
            <c:symbol val="none"/>
          </c:marker>
          <c:cat>
            <c:numRef>
              <c:f>Housing!$A$7:$A$362</c:f>
              <c:numCache>
                <c:formatCode>[$-409]mmm\-yy;@</c:formatCode>
                <c:ptCount val="356"/>
                <c:pt idx="0">
                  <c:v>33604</c:v>
                </c:pt>
                <c:pt idx="1">
                  <c:v>33635</c:v>
                </c:pt>
                <c:pt idx="2">
                  <c:v>33664</c:v>
                </c:pt>
                <c:pt idx="3">
                  <c:v>33695</c:v>
                </c:pt>
                <c:pt idx="4">
                  <c:v>33725</c:v>
                </c:pt>
                <c:pt idx="5">
                  <c:v>33756</c:v>
                </c:pt>
                <c:pt idx="6">
                  <c:v>33786</c:v>
                </c:pt>
                <c:pt idx="7">
                  <c:v>33817</c:v>
                </c:pt>
                <c:pt idx="8">
                  <c:v>33848</c:v>
                </c:pt>
                <c:pt idx="9">
                  <c:v>33878</c:v>
                </c:pt>
                <c:pt idx="10">
                  <c:v>33909</c:v>
                </c:pt>
                <c:pt idx="11">
                  <c:v>33939</c:v>
                </c:pt>
                <c:pt idx="12">
                  <c:v>33970</c:v>
                </c:pt>
                <c:pt idx="13">
                  <c:v>34001</c:v>
                </c:pt>
                <c:pt idx="14">
                  <c:v>34029</c:v>
                </c:pt>
                <c:pt idx="15">
                  <c:v>34060</c:v>
                </c:pt>
                <c:pt idx="16">
                  <c:v>34090</c:v>
                </c:pt>
                <c:pt idx="17">
                  <c:v>34121</c:v>
                </c:pt>
                <c:pt idx="18">
                  <c:v>34151</c:v>
                </c:pt>
                <c:pt idx="19">
                  <c:v>34182</c:v>
                </c:pt>
                <c:pt idx="20">
                  <c:v>34213</c:v>
                </c:pt>
                <c:pt idx="21">
                  <c:v>34243</c:v>
                </c:pt>
                <c:pt idx="22">
                  <c:v>34274</c:v>
                </c:pt>
                <c:pt idx="23">
                  <c:v>34304</c:v>
                </c:pt>
                <c:pt idx="24">
                  <c:v>34335</c:v>
                </c:pt>
                <c:pt idx="25">
                  <c:v>34366</c:v>
                </c:pt>
                <c:pt idx="26">
                  <c:v>34394</c:v>
                </c:pt>
                <c:pt idx="27">
                  <c:v>34425</c:v>
                </c:pt>
                <c:pt idx="28">
                  <c:v>34455</c:v>
                </c:pt>
                <c:pt idx="29">
                  <c:v>34486</c:v>
                </c:pt>
                <c:pt idx="30">
                  <c:v>34516</c:v>
                </c:pt>
                <c:pt idx="31">
                  <c:v>34547</c:v>
                </c:pt>
                <c:pt idx="32">
                  <c:v>34578</c:v>
                </c:pt>
                <c:pt idx="33">
                  <c:v>34608</c:v>
                </c:pt>
                <c:pt idx="34">
                  <c:v>34639</c:v>
                </c:pt>
                <c:pt idx="35">
                  <c:v>34669</c:v>
                </c:pt>
                <c:pt idx="36">
                  <c:v>34700</c:v>
                </c:pt>
                <c:pt idx="37">
                  <c:v>34731</c:v>
                </c:pt>
                <c:pt idx="38">
                  <c:v>34759</c:v>
                </c:pt>
                <c:pt idx="39">
                  <c:v>34790</c:v>
                </c:pt>
                <c:pt idx="40">
                  <c:v>34820</c:v>
                </c:pt>
                <c:pt idx="41">
                  <c:v>34851</c:v>
                </c:pt>
                <c:pt idx="42">
                  <c:v>34881</c:v>
                </c:pt>
                <c:pt idx="43">
                  <c:v>34912</c:v>
                </c:pt>
                <c:pt idx="44">
                  <c:v>34943</c:v>
                </c:pt>
                <c:pt idx="45">
                  <c:v>34973</c:v>
                </c:pt>
                <c:pt idx="46">
                  <c:v>35004</c:v>
                </c:pt>
                <c:pt idx="47">
                  <c:v>35034</c:v>
                </c:pt>
                <c:pt idx="48">
                  <c:v>35065</c:v>
                </c:pt>
                <c:pt idx="49">
                  <c:v>35096</c:v>
                </c:pt>
                <c:pt idx="50">
                  <c:v>35125</c:v>
                </c:pt>
                <c:pt idx="51">
                  <c:v>35156</c:v>
                </c:pt>
                <c:pt idx="52">
                  <c:v>35186</c:v>
                </c:pt>
                <c:pt idx="53">
                  <c:v>35217</c:v>
                </c:pt>
                <c:pt idx="54">
                  <c:v>35247</c:v>
                </c:pt>
                <c:pt idx="55">
                  <c:v>35278</c:v>
                </c:pt>
                <c:pt idx="56">
                  <c:v>35309</c:v>
                </c:pt>
                <c:pt idx="57">
                  <c:v>35339</c:v>
                </c:pt>
                <c:pt idx="58">
                  <c:v>35370</c:v>
                </c:pt>
                <c:pt idx="59">
                  <c:v>35400</c:v>
                </c:pt>
                <c:pt idx="60">
                  <c:v>35431</c:v>
                </c:pt>
                <c:pt idx="61">
                  <c:v>35462</c:v>
                </c:pt>
                <c:pt idx="62">
                  <c:v>35490</c:v>
                </c:pt>
                <c:pt idx="63">
                  <c:v>35521</c:v>
                </c:pt>
                <c:pt idx="64">
                  <c:v>35551</c:v>
                </c:pt>
                <c:pt idx="65">
                  <c:v>35582</c:v>
                </c:pt>
                <c:pt idx="66">
                  <c:v>35612</c:v>
                </c:pt>
                <c:pt idx="67">
                  <c:v>35643</c:v>
                </c:pt>
                <c:pt idx="68">
                  <c:v>35674</c:v>
                </c:pt>
                <c:pt idx="69">
                  <c:v>35704</c:v>
                </c:pt>
                <c:pt idx="70">
                  <c:v>35735</c:v>
                </c:pt>
                <c:pt idx="71">
                  <c:v>35765</c:v>
                </c:pt>
                <c:pt idx="72">
                  <c:v>35796</c:v>
                </c:pt>
                <c:pt idx="73">
                  <c:v>35827</c:v>
                </c:pt>
                <c:pt idx="74">
                  <c:v>35855</c:v>
                </c:pt>
                <c:pt idx="75">
                  <c:v>35886</c:v>
                </c:pt>
                <c:pt idx="76">
                  <c:v>35916</c:v>
                </c:pt>
                <c:pt idx="77">
                  <c:v>35947</c:v>
                </c:pt>
                <c:pt idx="78">
                  <c:v>35977</c:v>
                </c:pt>
                <c:pt idx="79">
                  <c:v>36008</c:v>
                </c:pt>
                <c:pt idx="80">
                  <c:v>36039</c:v>
                </c:pt>
                <c:pt idx="81">
                  <c:v>36069</c:v>
                </c:pt>
                <c:pt idx="82">
                  <c:v>36100</c:v>
                </c:pt>
                <c:pt idx="83">
                  <c:v>36130</c:v>
                </c:pt>
                <c:pt idx="84">
                  <c:v>36161</c:v>
                </c:pt>
                <c:pt idx="85">
                  <c:v>36192</c:v>
                </c:pt>
                <c:pt idx="86">
                  <c:v>36220</c:v>
                </c:pt>
                <c:pt idx="87">
                  <c:v>36251</c:v>
                </c:pt>
                <c:pt idx="88">
                  <c:v>36281</c:v>
                </c:pt>
                <c:pt idx="89">
                  <c:v>36312</c:v>
                </c:pt>
                <c:pt idx="90">
                  <c:v>36342</c:v>
                </c:pt>
                <c:pt idx="91">
                  <c:v>36373</c:v>
                </c:pt>
                <c:pt idx="92">
                  <c:v>36404</c:v>
                </c:pt>
                <c:pt idx="93">
                  <c:v>36434</c:v>
                </c:pt>
                <c:pt idx="94">
                  <c:v>36465</c:v>
                </c:pt>
                <c:pt idx="95">
                  <c:v>36495</c:v>
                </c:pt>
                <c:pt idx="96">
                  <c:v>36526</c:v>
                </c:pt>
                <c:pt idx="97">
                  <c:v>36557</c:v>
                </c:pt>
                <c:pt idx="98">
                  <c:v>36586</c:v>
                </c:pt>
                <c:pt idx="99">
                  <c:v>36617</c:v>
                </c:pt>
                <c:pt idx="100">
                  <c:v>36647</c:v>
                </c:pt>
                <c:pt idx="101">
                  <c:v>36678</c:v>
                </c:pt>
                <c:pt idx="102">
                  <c:v>36708</c:v>
                </c:pt>
                <c:pt idx="103">
                  <c:v>36739</c:v>
                </c:pt>
                <c:pt idx="104">
                  <c:v>36770</c:v>
                </c:pt>
                <c:pt idx="105">
                  <c:v>36800</c:v>
                </c:pt>
                <c:pt idx="106">
                  <c:v>36831</c:v>
                </c:pt>
                <c:pt idx="107">
                  <c:v>36861</c:v>
                </c:pt>
                <c:pt idx="108">
                  <c:v>36892</c:v>
                </c:pt>
                <c:pt idx="109">
                  <c:v>36923</c:v>
                </c:pt>
                <c:pt idx="110">
                  <c:v>36951</c:v>
                </c:pt>
                <c:pt idx="111">
                  <c:v>36982</c:v>
                </c:pt>
                <c:pt idx="112">
                  <c:v>37012</c:v>
                </c:pt>
                <c:pt idx="113">
                  <c:v>37043</c:v>
                </c:pt>
                <c:pt idx="114">
                  <c:v>37073</c:v>
                </c:pt>
                <c:pt idx="115">
                  <c:v>37104</c:v>
                </c:pt>
                <c:pt idx="116">
                  <c:v>37135</c:v>
                </c:pt>
                <c:pt idx="117">
                  <c:v>37165</c:v>
                </c:pt>
                <c:pt idx="118">
                  <c:v>37196</c:v>
                </c:pt>
                <c:pt idx="119">
                  <c:v>37226</c:v>
                </c:pt>
                <c:pt idx="120">
                  <c:v>37257</c:v>
                </c:pt>
                <c:pt idx="121">
                  <c:v>37288</c:v>
                </c:pt>
                <c:pt idx="122">
                  <c:v>37316</c:v>
                </c:pt>
                <c:pt idx="123">
                  <c:v>37347</c:v>
                </c:pt>
                <c:pt idx="124">
                  <c:v>37377</c:v>
                </c:pt>
                <c:pt idx="125">
                  <c:v>37408</c:v>
                </c:pt>
                <c:pt idx="126">
                  <c:v>37438</c:v>
                </c:pt>
                <c:pt idx="127">
                  <c:v>37469</c:v>
                </c:pt>
                <c:pt idx="128">
                  <c:v>37500</c:v>
                </c:pt>
                <c:pt idx="129">
                  <c:v>37530</c:v>
                </c:pt>
                <c:pt idx="130">
                  <c:v>37561</c:v>
                </c:pt>
                <c:pt idx="131">
                  <c:v>37591</c:v>
                </c:pt>
                <c:pt idx="132">
                  <c:v>37622</c:v>
                </c:pt>
                <c:pt idx="133">
                  <c:v>37653</c:v>
                </c:pt>
                <c:pt idx="134">
                  <c:v>37681</c:v>
                </c:pt>
                <c:pt idx="135">
                  <c:v>37712</c:v>
                </c:pt>
                <c:pt idx="136">
                  <c:v>37742</c:v>
                </c:pt>
                <c:pt idx="137">
                  <c:v>37773</c:v>
                </c:pt>
                <c:pt idx="138">
                  <c:v>37803</c:v>
                </c:pt>
                <c:pt idx="139">
                  <c:v>37834</c:v>
                </c:pt>
                <c:pt idx="140">
                  <c:v>37865</c:v>
                </c:pt>
                <c:pt idx="141">
                  <c:v>37895</c:v>
                </c:pt>
                <c:pt idx="142">
                  <c:v>37926</c:v>
                </c:pt>
                <c:pt idx="143">
                  <c:v>37956</c:v>
                </c:pt>
                <c:pt idx="144">
                  <c:v>37987</c:v>
                </c:pt>
                <c:pt idx="145">
                  <c:v>38018</c:v>
                </c:pt>
                <c:pt idx="146">
                  <c:v>38047</c:v>
                </c:pt>
                <c:pt idx="147">
                  <c:v>38078</c:v>
                </c:pt>
                <c:pt idx="148">
                  <c:v>38108</c:v>
                </c:pt>
                <c:pt idx="149">
                  <c:v>38139</c:v>
                </c:pt>
                <c:pt idx="150">
                  <c:v>38169</c:v>
                </c:pt>
                <c:pt idx="151">
                  <c:v>38200</c:v>
                </c:pt>
                <c:pt idx="152">
                  <c:v>38231</c:v>
                </c:pt>
                <c:pt idx="153">
                  <c:v>38261</c:v>
                </c:pt>
                <c:pt idx="154">
                  <c:v>38292</c:v>
                </c:pt>
                <c:pt idx="155">
                  <c:v>38322</c:v>
                </c:pt>
                <c:pt idx="156">
                  <c:v>38353</c:v>
                </c:pt>
                <c:pt idx="157">
                  <c:v>38384</c:v>
                </c:pt>
                <c:pt idx="158">
                  <c:v>38412</c:v>
                </c:pt>
                <c:pt idx="159">
                  <c:v>38443</c:v>
                </c:pt>
                <c:pt idx="160">
                  <c:v>38473</c:v>
                </c:pt>
                <c:pt idx="161">
                  <c:v>38504</c:v>
                </c:pt>
                <c:pt idx="162">
                  <c:v>38534</c:v>
                </c:pt>
                <c:pt idx="163">
                  <c:v>38565</c:v>
                </c:pt>
                <c:pt idx="164">
                  <c:v>38596</c:v>
                </c:pt>
                <c:pt idx="165">
                  <c:v>38626</c:v>
                </c:pt>
                <c:pt idx="166">
                  <c:v>38657</c:v>
                </c:pt>
                <c:pt idx="167">
                  <c:v>38687</c:v>
                </c:pt>
                <c:pt idx="168">
                  <c:v>38718</c:v>
                </c:pt>
                <c:pt idx="169">
                  <c:v>38749</c:v>
                </c:pt>
                <c:pt idx="170">
                  <c:v>38777</c:v>
                </c:pt>
                <c:pt idx="171">
                  <c:v>38808</c:v>
                </c:pt>
                <c:pt idx="172">
                  <c:v>38838</c:v>
                </c:pt>
                <c:pt idx="173">
                  <c:v>38869</c:v>
                </c:pt>
                <c:pt idx="174">
                  <c:v>38899</c:v>
                </c:pt>
                <c:pt idx="175">
                  <c:v>38930</c:v>
                </c:pt>
                <c:pt idx="176">
                  <c:v>38961</c:v>
                </c:pt>
                <c:pt idx="177">
                  <c:v>38991</c:v>
                </c:pt>
                <c:pt idx="178">
                  <c:v>39022</c:v>
                </c:pt>
                <c:pt idx="179">
                  <c:v>39052</c:v>
                </c:pt>
                <c:pt idx="180">
                  <c:v>39083</c:v>
                </c:pt>
                <c:pt idx="181">
                  <c:v>39114</c:v>
                </c:pt>
                <c:pt idx="182">
                  <c:v>39142</c:v>
                </c:pt>
                <c:pt idx="183">
                  <c:v>39173</c:v>
                </c:pt>
                <c:pt idx="184">
                  <c:v>39203</c:v>
                </c:pt>
                <c:pt idx="185">
                  <c:v>39234</c:v>
                </c:pt>
                <c:pt idx="186">
                  <c:v>39264</c:v>
                </c:pt>
                <c:pt idx="187">
                  <c:v>39295</c:v>
                </c:pt>
                <c:pt idx="188">
                  <c:v>39326</c:v>
                </c:pt>
                <c:pt idx="189">
                  <c:v>39356</c:v>
                </c:pt>
                <c:pt idx="190">
                  <c:v>39387</c:v>
                </c:pt>
                <c:pt idx="191">
                  <c:v>39417</c:v>
                </c:pt>
                <c:pt idx="192">
                  <c:v>39448</c:v>
                </c:pt>
                <c:pt idx="193">
                  <c:v>39479</c:v>
                </c:pt>
                <c:pt idx="194">
                  <c:v>39508</c:v>
                </c:pt>
                <c:pt idx="195">
                  <c:v>39539</c:v>
                </c:pt>
                <c:pt idx="196">
                  <c:v>39569</c:v>
                </c:pt>
                <c:pt idx="197">
                  <c:v>39600</c:v>
                </c:pt>
                <c:pt idx="198">
                  <c:v>39630</c:v>
                </c:pt>
                <c:pt idx="199">
                  <c:v>39661</c:v>
                </c:pt>
                <c:pt idx="200">
                  <c:v>39692</c:v>
                </c:pt>
                <c:pt idx="201">
                  <c:v>39722</c:v>
                </c:pt>
                <c:pt idx="202">
                  <c:v>39753</c:v>
                </c:pt>
                <c:pt idx="203">
                  <c:v>39783</c:v>
                </c:pt>
                <c:pt idx="204">
                  <c:v>39814</c:v>
                </c:pt>
                <c:pt idx="205">
                  <c:v>39845</c:v>
                </c:pt>
                <c:pt idx="206">
                  <c:v>39873</c:v>
                </c:pt>
                <c:pt idx="207">
                  <c:v>39904</c:v>
                </c:pt>
                <c:pt idx="208">
                  <c:v>39934</c:v>
                </c:pt>
                <c:pt idx="209">
                  <c:v>39965</c:v>
                </c:pt>
                <c:pt idx="210">
                  <c:v>39995</c:v>
                </c:pt>
                <c:pt idx="211">
                  <c:v>40026</c:v>
                </c:pt>
                <c:pt idx="212">
                  <c:v>40057</c:v>
                </c:pt>
                <c:pt idx="213">
                  <c:v>40087</c:v>
                </c:pt>
                <c:pt idx="214">
                  <c:v>40118</c:v>
                </c:pt>
                <c:pt idx="215">
                  <c:v>40148</c:v>
                </c:pt>
                <c:pt idx="216">
                  <c:v>40179</c:v>
                </c:pt>
                <c:pt idx="217">
                  <c:v>40210</c:v>
                </c:pt>
                <c:pt idx="218">
                  <c:v>40238</c:v>
                </c:pt>
                <c:pt idx="219">
                  <c:v>40269</c:v>
                </c:pt>
                <c:pt idx="220">
                  <c:v>40299</c:v>
                </c:pt>
                <c:pt idx="221">
                  <c:v>40330</c:v>
                </c:pt>
                <c:pt idx="222">
                  <c:v>40360</c:v>
                </c:pt>
                <c:pt idx="223">
                  <c:v>40391</c:v>
                </c:pt>
                <c:pt idx="224">
                  <c:v>40422</c:v>
                </c:pt>
                <c:pt idx="225">
                  <c:v>40452</c:v>
                </c:pt>
                <c:pt idx="226">
                  <c:v>40483</c:v>
                </c:pt>
                <c:pt idx="227">
                  <c:v>40513</c:v>
                </c:pt>
                <c:pt idx="228">
                  <c:v>40544</c:v>
                </c:pt>
                <c:pt idx="229">
                  <c:v>40575</c:v>
                </c:pt>
                <c:pt idx="230">
                  <c:v>40603</c:v>
                </c:pt>
                <c:pt idx="231">
                  <c:v>40634</c:v>
                </c:pt>
                <c:pt idx="232">
                  <c:v>40664</c:v>
                </c:pt>
                <c:pt idx="233">
                  <c:v>40695</c:v>
                </c:pt>
                <c:pt idx="234">
                  <c:v>40725</c:v>
                </c:pt>
                <c:pt idx="235">
                  <c:v>40756</c:v>
                </c:pt>
                <c:pt idx="236">
                  <c:v>40787</c:v>
                </c:pt>
                <c:pt idx="237">
                  <c:v>40817</c:v>
                </c:pt>
                <c:pt idx="238">
                  <c:v>40848</c:v>
                </c:pt>
                <c:pt idx="239">
                  <c:v>40878</c:v>
                </c:pt>
                <c:pt idx="240">
                  <c:v>40909</c:v>
                </c:pt>
                <c:pt idx="241">
                  <c:v>40940</c:v>
                </c:pt>
                <c:pt idx="242">
                  <c:v>40969</c:v>
                </c:pt>
                <c:pt idx="243">
                  <c:v>41000</c:v>
                </c:pt>
                <c:pt idx="244">
                  <c:v>41030</c:v>
                </c:pt>
                <c:pt idx="245">
                  <c:v>41061</c:v>
                </c:pt>
                <c:pt idx="246">
                  <c:v>41091</c:v>
                </c:pt>
                <c:pt idx="247">
                  <c:v>41122</c:v>
                </c:pt>
                <c:pt idx="248">
                  <c:v>41153</c:v>
                </c:pt>
                <c:pt idx="249">
                  <c:v>41183</c:v>
                </c:pt>
                <c:pt idx="250">
                  <c:v>41214</c:v>
                </c:pt>
                <c:pt idx="251">
                  <c:v>41244</c:v>
                </c:pt>
                <c:pt idx="252">
                  <c:v>41275</c:v>
                </c:pt>
                <c:pt idx="253">
                  <c:v>41306</c:v>
                </c:pt>
                <c:pt idx="254">
                  <c:v>41334</c:v>
                </c:pt>
                <c:pt idx="255">
                  <c:v>41365</c:v>
                </c:pt>
                <c:pt idx="256">
                  <c:v>41395</c:v>
                </c:pt>
                <c:pt idx="257">
                  <c:v>41426</c:v>
                </c:pt>
                <c:pt idx="258">
                  <c:v>41456</c:v>
                </c:pt>
                <c:pt idx="259">
                  <c:v>41487</c:v>
                </c:pt>
                <c:pt idx="260">
                  <c:v>41518</c:v>
                </c:pt>
                <c:pt idx="261">
                  <c:v>41548</c:v>
                </c:pt>
                <c:pt idx="262">
                  <c:v>41579</c:v>
                </c:pt>
                <c:pt idx="263">
                  <c:v>41609</c:v>
                </c:pt>
                <c:pt idx="264">
                  <c:v>41640</c:v>
                </c:pt>
                <c:pt idx="265">
                  <c:v>41671</c:v>
                </c:pt>
                <c:pt idx="266">
                  <c:v>41699</c:v>
                </c:pt>
                <c:pt idx="267">
                  <c:v>41730</c:v>
                </c:pt>
                <c:pt idx="268">
                  <c:v>41760</c:v>
                </c:pt>
                <c:pt idx="269">
                  <c:v>41791</c:v>
                </c:pt>
                <c:pt idx="270">
                  <c:v>41821</c:v>
                </c:pt>
                <c:pt idx="271">
                  <c:v>41852</c:v>
                </c:pt>
                <c:pt idx="272">
                  <c:v>41883</c:v>
                </c:pt>
                <c:pt idx="273">
                  <c:v>41913</c:v>
                </c:pt>
                <c:pt idx="274">
                  <c:v>41944</c:v>
                </c:pt>
                <c:pt idx="275">
                  <c:v>41974</c:v>
                </c:pt>
                <c:pt idx="276">
                  <c:v>42005</c:v>
                </c:pt>
                <c:pt idx="277">
                  <c:v>42036</c:v>
                </c:pt>
                <c:pt idx="278">
                  <c:v>42064</c:v>
                </c:pt>
                <c:pt idx="279">
                  <c:v>42095</c:v>
                </c:pt>
                <c:pt idx="280">
                  <c:v>42125</c:v>
                </c:pt>
                <c:pt idx="281">
                  <c:v>42156</c:v>
                </c:pt>
                <c:pt idx="282">
                  <c:v>42186</c:v>
                </c:pt>
                <c:pt idx="283">
                  <c:v>42217</c:v>
                </c:pt>
                <c:pt idx="284">
                  <c:v>42248</c:v>
                </c:pt>
                <c:pt idx="285">
                  <c:v>42278</c:v>
                </c:pt>
                <c:pt idx="286">
                  <c:v>42309</c:v>
                </c:pt>
                <c:pt idx="287">
                  <c:v>42339</c:v>
                </c:pt>
                <c:pt idx="288">
                  <c:v>42370</c:v>
                </c:pt>
                <c:pt idx="289">
                  <c:v>42401</c:v>
                </c:pt>
                <c:pt idx="290">
                  <c:v>42430</c:v>
                </c:pt>
                <c:pt idx="291">
                  <c:v>42461</c:v>
                </c:pt>
                <c:pt idx="292">
                  <c:v>42491</c:v>
                </c:pt>
                <c:pt idx="293">
                  <c:v>42522</c:v>
                </c:pt>
                <c:pt idx="294">
                  <c:v>42552</c:v>
                </c:pt>
                <c:pt idx="295">
                  <c:v>42583</c:v>
                </c:pt>
                <c:pt idx="296">
                  <c:v>42614</c:v>
                </c:pt>
                <c:pt idx="297">
                  <c:v>42644</c:v>
                </c:pt>
                <c:pt idx="298">
                  <c:v>42675</c:v>
                </c:pt>
                <c:pt idx="299">
                  <c:v>42705</c:v>
                </c:pt>
                <c:pt idx="300">
                  <c:v>42736</c:v>
                </c:pt>
                <c:pt idx="301">
                  <c:v>42767</c:v>
                </c:pt>
                <c:pt idx="302">
                  <c:v>42795</c:v>
                </c:pt>
                <c:pt idx="303">
                  <c:v>42826</c:v>
                </c:pt>
                <c:pt idx="304">
                  <c:v>42856</c:v>
                </c:pt>
                <c:pt idx="305">
                  <c:v>42887</c:v>
                </c:pt>
                <c:pt idx="306">
                  <c:v>42917</c:v>
                </c:pt>
                <c:pt idx="307">
                  <c:v>42948</c:v>
                </c:pt>
                <c:pt idx="308">
                  <c:v>42979</c:v>
                </c:pt>
                <c:pt idx="309">
                  <c:v>43009</c:v>
                </c:pt>
                <c:pt idx="310">
                  <c:v>43040</c:v>
                </c:pt>
                <c:pt idx="311">
                  <c:v>43070</c:v>
                </c:pt>
                <c:pt idx="312">
                  <c:v>43101</c:v>
                </c:pt>
                <c:pt idx="313">
                  <c:v>43132</c:v>
                </c:pt>
                <c:pt idx="314">
                  <c:v>43160</c:v>
                </c:pt>
                <c:pt idx="315">
                  <c:v>43191</c:v>
                </c:pt>
                <c:pt idx="316">
                  <c:v>43221</c:v>
                </c:pt>
                <c:pt idx="317">
                  <c:v>43252</c:v>
                </c:pt>
                <c:pt idx="318">
                  <c:v>43282</c:v>
                </c:pt>
                <c:pt idx="319">
                  <c:v>43313</c:v>
                </c:pt>
                <c:pt idx="320">
                  <c:v>43344</c:v>
                </c:pt>
                <c:pt idx="321">
                  <c:v>43374</c:v>
                </c:pt>
                <c:pt idx="322">
                  <c:v>43405</c:v>
                </c:pt>
                <c:pt idx="323">
                  <c:v>43435</c:v>
                </c:pt>
                <c:pt idx="324">
                  <c:v>43466</c:v>
                </c:pt>
                <c:pt idx="325">
                  <c:v>43497</c:v>
                </c:pt>
                <c:pt idx="326">
                  <c:v>43525</c:v>
                </c:pt>
                <c:pt idx="327">
                  <c:v>43556</c:v>
                </c:pt>
                <c:pt idx="328">
                  <c:v>43586</c:v>
                </c:pt>
                <c:pt idx="329">
                  <c:v>43617</c:v>
                </c:pt>
                <c:pt idx="330">
                  <c:v>43647</c:v>
                </c:pt>
                <c:pt idx="331">
                  <c:v>43678</c:v>
                </c:pt>
                <c:pt idx="332">
                  <c:v>43709</c:v>
                </c:pt>
                <c:pt idx="333">
                  <c:v>43739</c:v>
                </c:pt>
                <c:pt idx="334">
                  <c:v>43770</c:v>
                </c:pt>
                <c:pt idx="335">
                  <c:v>43800</c:v>
                </c:pt>
                <c:pt idx="336">
                  <c:v>43831</c:v>
                </c:pt>
                <c:pt idx="337">
                  <c:v>43862</c:v>
                </c:pt>
                <c:pt idx="338">
                  <c:v>43891</c:v>
                </c:pt>
                <c:pt idx="339">
                  <c:v>43922</c:v>
                </c:pt>
                <c:pt idx="340">
                  <c:v>43952</c:v>
                </c:pt>
                <c:pt idx="341">
                  <c:v>43983</c:v>
                </c:pt>
                <c:pt idx="342">
                  <c:v>44013</c:v>
                </c:pt>
                <c:pt idx="343">
                  <c:v>44044</c:v>
                </c:pt>
                <c:pt idx="344">
                  <c:v>44075</c:v>
                </c:pt>
                <c:pt idx="345">
                  <c:v>44105</c:v>
                </c:pt>
                <c:pt idx="346">
                  <c:v>44136</c:v>
                </c:pt>
                <c:pt idx="347">
                  <c:v>44166</c:v>
                </c:pt>
                <c:pt idx="348">
                  <c:v>44197</c:v>
                </c:pt>
                <c:pt idx="349">
                  <c:v>44228</c:v>
                </c:pt>
                <c:pt idx="350">
                  <c:v>44256</c:v>
                </c:pt>
                <c:pt idx="351">
                  <c:v>44287</c:v>
                </c:pt>
                <c:pt idx="352">
                  <c:v>44317</c:v>
                </c:pt>
                <c:pt idx="353">
                  <c:v>44348</c:v>
                </c:pt>
                <c:pt idx="354">
                  <c:v>44378</c:v>
                </c:pt>
                <c:pt idx="355">
                  <c:v>44409</c:v>
                </c:pt>
              </c:numCache>
            </c:numRef>
          </c:cat>
          <c:val>
            <c:numRef>
              <c:f>Housing!$D$7:$D$362</c:f>
              <c:numCache>
                <c:formatCode>General</c:formatCode>
                <c:ptCount val="356"/>
                <c:pt idx="12" formatCode="0.00%">
                  <c:v>4.499769479022591E-2</c:v>
                </c:pt>
                <c:pt idx="13" formatCode="0.00%">
                  <c:v>4.6404988994864269E-2</c:v>
                </c:pt>
                <c:pt idx="14" formatCode="0.00%">
                  <c:v>1.8022938285090113E-2</c:v>
                </c:pt>
                <c:pt idx="15" formatCode="0.00%">
                  <c:v>6.3233376792698831E-2</c:v>
                </c:pt>
                <c:pt idx="16" formatCode="0.00%">
                  <c:v>8.7501159877516929E-2</c:v>
                </c:pt>
                <c:pt idx="17" formatCode="0.00%">
                  <c:v>8.1464318813716408E-2</c:v>
                </c:pt>
                <c:pt idx="18" formatCode="0.00%">
                  <c:v>9.235048678720445E-2</c:v>
                </c:pt>
                <c:pt idx="19" formatCode="0.00%">
                  <c:v>8.7952359138799813E-2</c:v>
                </c:pt>
                <c:pt idx="20" formatCode="0.00%">
                  <c:v>7.3406193078324231E-2</c:v>
                </c:pt>
                <c:pt idx="21" formatCode="0.00%">
                  <c:v>8.5406982043569404E-2</c:v>
                </c:pt>
                <c:pt idx="22" formatCode="0.00%">
                  <c:v>0.13096661454980227</c:v>
                </c:pt>
                <c:pt idx="23" formatCode="0.00%">
                  <c:v>0.13544486554773508</c:v>
                </c:pt>
                <c:pt idx="24" formatCode="0.00%">
                  <c:v>8.6737845230742086E-2</c:v>
                </c:pt>
                <c:pt idx="25" formatCode="0.00%">
                  <c:v>7.2129710780017522E-2</c:v>
                </c:pt>
                <c:pt idx="26" formatCode="0.00%">
                  <c:v>0.14154148783977111</c:v>
                </c:pt>
                <c:pt idx="27" formatCode="0.00%">
                  <c:v>0.14530962599632127</c:v>
                </c:pt>
                <c:pt idx="28" formatCode="0.00%">
                  <c:v>0.11203071672354949</c:v>
                </c:pt>
                <c:pt idx="29" formatCode="0.00%">
                  <c:v>0.11294883880366784</c:v>
                </c:pt>
                <c:pt idx="30" formatCode="0.00%">
                  <c:v>0.11450640862405569</c:v>
                </c:pt>
                <c:pt idx="31" formatCode="0.00%">
                  <c:v>0.11360000000000001</c:v>
                </c:pt>
                <c:pt idx="32" formatCode="0.00%">
                  <c:v>0.13482097403699303</c:v>
                </c:pt>
                <c:pt idx="33" formatCode="0.00%">
                  <c:v>0.13789049378569029</c:v>
                </c:pt>
                <c:pt idx="34" formatCode="0.00%">
                  <c:v>8.8395543628527279E-2</c:v>
                </c:pt>
                <c:pt idx="35" formatCode="0.00%">
                  <c:v>0.11110228085512198</c:v>
                </c:pt>
                <c:pt idx="36" formatCode="0.00%">
                  <c:v>0.11545956479376421</c:v>
                </c:pt>
                <c:pt idx="37" formatCode="0.00%">
                  <c:v>0.11280961334096297</c:v>
                </c:pt>
                <c:pt idx="38" formatCode="0.00%">
                  <c:v>6.4228088039476772E-2</c:v>
                </c:pt>
                <c:pt idx="39" formatCode="0.00%">
                  <c:v>2.5925359437136739E-2</c:v>
                </c:pt>
                <c:pt idx="40" formatCode="0.00%">
                  <c:v>2.5857438809176705E-2</c:v>
                </c:pt>
                <c:pt idx="41" formatCode="0.00%">
                  <c:v>4.3197043197043199E-2</c:v>
                </c:pt>
                <c:pt idx="42" formatCode="0.00%">
                  <c:v>3.9223153084539226E-2</c:v>
                </c:pt>
                <c:pt idx="43" formatCode="0.00%">
                  <c:v>3.470961887477314E-2</c:v>
                </c:pt>
                <c:pt idx="44" formatCode="0.00%">
                  <c:v>3.4542056074766354E-2</c:v>
                </c:pt>
                <c:pt idx="45" formatCode="0.00%">
                  <c:v>2.8191881918819189E-2</c:v>
                </c:pt>
                <c:pt idx="46" formatCode="0.00%">
                  <c:v>5.2898983861326958E-2</c:v>
                </c:pt>
                <c:pt idx="47" formatCode="0.00%">
                  <c:v>5.0211000643730776E-2</c:v>
                </c:pt>
                <c:pt idx="48" formatCode="0.00%">
                  <c:v>2.0745377784248072E-2</c:v>
                </c:pt>
                <c:pt idx="49" formatCode="0.00%">
                  <c:v>3.1073238815837803E-2</c:v>
                </c:pt>
                <c:pt idx="50" formatCode="0.00%">
                  <c:v>4.1657466696106572E-2</c:v>
                </c:pt>
                <c:pt idx="51" formatCode="0.00%">
                  <c:v>6.8952664927320162E-2</c:v>
                </c:pt>
                <c:pt idx="52" formatCode="0.00%">
                  <c:v>8.0777860882572924E-2</c:v>
                </c:pt>
                <c:pt idx="53" formatCode="0.00%">
                  <c:v>9.9940950693829342E-2</c:v>
                </c:pt>
                <c:pt idx="54" formatCode="0.00%">
                  <c:v>8.6551850494686694E-2</c:v>
                </c:pt>
                <c:pt idx="55" formatCode="0.00%">
                  <c:v>9.4862237813345032E-2</c:v>
                </c:pt>
                <c:pt idx="56" formatCode="0.00%">
                  <c:v>8.3255040832550406E-2</c:v>
                </c:pt>
                <c:pt idx="57" formatCode="0.00%">
                  <c:v>7.9529141544645424E-2</c:v>
                </c:pt>
                <c:pt idx="58" formatCode="0.00%">
                  <c:v>8.3167754754470621E-2</c:v>
                </c:pt>
                <c:pt idx="59" formatCode="0.00%">
                  <c:v>2.0227473949465367E-2</c:v>
                </c:pt>
                <c:pt idx="60" formatCode="0.00%">
                  <c:v>8.3719603508521714E-2</c:v>
                </c:pt>
                <c:pt idx="61" formatCode="0.00%">
                  <c:v>0.10864918780279281</c:v>
                </c:pt>
                <c:pt idx="62" formatCode="0.00%">
                  <c:v>0.12075178407404791</c:v>
                </c:pt>
                <c:pt idx="63" formatCode="0.00%">
                  <c:v>9.5467224546722448E-2</c:v>
                </c:pt>
                <c:pt idx="64" formatCode="0.00%">
                  <c:v>9.3771626297577848E-2</c:v>
                </c:pt>
                <c:pt idx="65" formatCode="0.00%">
                  <c:v>6.8178767950610661E-2</c:v>
                </c:pt>
                <c:pt idx="66" formatCode="0.00%">
                  <c:v>7.7364090111965461E-2</c:v>
                </c:pt>
                <c:pt idx="67" formatCode="0.00%">
                  <c:v>6.9821774247380008E-2</c:v>
                </c:pt>
                <c:pt idx="68" formatCode="0.00%">
                  <c:v>8.6329975315231164E-2</c:v>
                </c:pt>
                <c:pt idx="69" formatCode="0.00%">
                  <c:v>7.9255319148936174E-2</c:v>
                </c:pt>
                <c:pt idx="70" formatCode="0.00%">
                  <c:v>5.8569182389937108E-2</c:v>
                </c:pt>
                <c:pt idx="71" formatCode="0.00%">
                  <c:v>9.1855807743658216E-2</c:v>
                </c:pt>
                <c:pt idx="72" formatCode="0.00%">
                  <c:v>8.152924919391985E-2</c:v>
                </c:pt>
                <c:pt idx="73" formatCode="0.00%">
                  <c:v>5.7901163164321062E-2</c:v>
                </c:pt>
                <c:pt idx="74" formatCode="0.00%">
                  <c:v>4.0915395284327326E-2</c:v>
                </c:pt>
                <c:pt idx="75" formatCode="0.00%">
                  <c:v>6.4103380227894843E-2</c:v>
                </c:pt>
                <c:pt idx="76" formatCode="0.00%">
                  <c:v>5.9221765264156914E-2</c:v>
                </c:pt>
                <c:pt idx="77" formatCode="0.00%">
                  <c:v>4.6739540143234073E-2</c:v>
                </c:pt>
                <c:pt idx="78" formatCode="0.00%">
                  <c:v>5.2964377386840296E-2</c:v>
                </c:pt>
                <c:pt idx="79" formatCode="0.00%">
                  <c:v>4.997816185187496E-2</c:v>
                </c:pt>
                <c:pt idx="80" formatCode="0.00%">
                  <c:v>4.2314069888841122E-2</c:v>
                </c:pt>
                <c:pt idx="81" formatCode="0.00%">
                  <c:v>6.0189748644652541E-2</c:v>
                </c:pt>
                <c:pt idx="82" formatCode="0.00%">
                  <c:v>7.3214506745884395E-2</c:v>
                </c:pt>
                <c:pt idx="83" formatCode="0.00%">
                  <c:v>8.2293959403277078E-2</c:v>
                </c:pt>
                <c:pt idx="84" formatCode="0.00%">
                  <c:v>7.8851302019956188E-2</c:v>
                </c:pt>
                <c:pt idx="85" formatCode="0.00%">
                  <c:v>8.9964767342971694E-2</c:v>
                </c:pt>
                <c:pt idx="86" formatCode="0.00%">
                  <c:v>7.5646538671188909E-2</c:v>
                </c:pt>
                <c:pt idx="87" formatCode="0.00%">
                  <c:v>6.4309643455372101E-2</c:v>
                </c:pt>
                <c:pt idx="88" formatCode="0.00%">
                  <c:v>7.0067498954662202E-2</c:v>
                </c:pt>
                <c:pt idx="89" formatCode="0.00%">
                  <c:v>7.8441963749849963E-2</c:v>
                </c:pt>
                <c:pt idx="90" formatCode="0.00%">
                  <c:v>8.109875735775017E-2</c:v>
                </c:pt>
                <c:pt idx="91" formatCode="0.00%">
                  <c:v>8.9909674352270028E-2</c:v>
                </c:pt>
                <c:pt idx="92" formatCode="0.00%">
                  <c:v>7.0881451802969592E-2</c:v>
                </c:pt>
                <c:pt idx="93" formatCode="0.00%">
                  <c:v>8.1178453134987505E-2</c:v>
                </c:pt>
                <c:pt idx="94" formatCode="0.00%">
                  <c:v>9.24398823597255E-2</c:v>
                </c:pt>
                <c:pt idx="95" formatCode="0.00%">
                  <c:v>8.0386397017286185E-2</c:v>
                </c:pt>
                <c:pt idx="96" formatCode="0.00%">
                  <c:v>0.10607940446650124</c:v>
                </c:pt>
                <c:pt idx="97" formatCode="0.00%">
                  <c:v>6.9665050437496517E-2</c:v>
                </c:pt>
                <c:pt idx="98" formatCode="0.00%">
                  <c:v>0.13597972972972974</c:v>
                </c:pt>
                <c:pt idx="99" formatCode="0.00%">
                  <c:v>6.7168793210050023E-2</c:v>
                </c:pt>
                <c:pt idx="100" formatCode="0.00%">
                  <c:v>5.7329462989840346E-2</c:v>
                </c:pt>
                <c:pt idx="101" formatCode="0.00%">
                  <c:v>5.0587122266124995E-2</c:v>
                </c:pt>
                <c:pt idx="102" formatCode="0.00%">
                  <c:v>4.3942143760655555E-2</c:v>
                </c:pt>
                <c:pt idx="103" formatCode="0.00%">
                  <c:v>3.3258819039310834E-2</c:v>
                </c:pt>
                <c:pt idx="104" formatCode="0.00%">
                  <c:v>4.1320495185694632E-2</c:v>
                </c:pt>
                <c:pt idx="105" formatCode="0.00%">
                  <c:v>1.9294851123293561E-2</c:v>
                </c:pt>
                <c:pt idx="106" formatCode="0.00%">
                  <c:v>-1.3460726351351352E-2</c:v>
                </c:pt>
                <c:pt idx="107" formatCode="0.00%">
                  <c:v>1.207843137254902E-2</c:v>
                </c:pt>
                <c:pt idx="108" formatCode="0.00%">
                  <c:v>-1.8610105542242392E-2</c:v>
                </c:pt>
                <c:pt idx="109" formatCode="0.00%">
                  <c:v>2.6311676131923097E-2</c:v>
                </c:pt>
                <c:pt idx="110" formatCode="0.00%">
                  <c:v>-3.0384138785625774E-2</c:v>
                </c:pt>
                <c:pt idx="111" formatCode="0.00%">
                  <c:v>7.3053829137259038E-2</c:v>
                </c:pt>
                <c:pt idx="112" formatCode="0.00%">
                  <c:v>6.3671400665223588E-2</c:v>
                </c:pt>
                <c:pt idx="113" formatCode="0.00%">
                  <c:v>5.4137090793516265E-2</c:v>
                </c:pt>
                <c:pt idx="114" formatCode="0.00%">
                  <c:v>4.5095353492782639E-2</c:v>
                </c:pt>
                <c:pt idx="115" formatCode="0.00%">
                  <c:v>5.1131866392274815E-2</c:v>
                </c:pt>
                <c:pt idx="116" formatCode="0.00%">
                  <c:v>3.8993976540209238E-2</c:v>
                </c:pt>
                <c:pt idx="117" formatCode="0.00%">
                  <c:v>5.7421566042710252E-2</c:v>
                </c:pt>
                <c:pt idx="118" formatCode="0.00%">
                  <c:v>6.9185082133875545E-2</c:v>
                </c:pt>
                <c:pt idx="119" formatCode="0.00%">
                  <c:v>3.9470965075428806E-2</c:v>
                </c:pt>
                <c:pt idx="120" formatCode="0.00%">
                  <c:v>5.7720282626766414E-2</c:v>
                </c:pt>
                <c:pt idx="121" formatCode="0.00%">
                  <c:v>4.1476292009341047E-2</c:v>
                </c:pt>
                <c:pt idx="122" formatCode="0.00%">
                  <c:v>4.1304570084858397E-2</c:v>
                </c:pt>
                <c:pt idx="123" formatCode="0.00%">
                  <c:v>4.4225200019633829E-2</c:v>
                </c:pt>
                <c:pt idx="124" formatCode="0.00%">
                  <c:v>3.6084776889859532E-2</c:v>
                </c:pt>
                <c:pt idx="125" formatCode="0.00%">
                  <c:v>4.1457286432160803E-2</c:v>
                </c:pt>
                <c:pt idx="126" formatCode="0.00%">
                  <c:v>4.2141344893638473E-2</c:v>
                </c:pt>
                <c:pt idx="127" formatCode="0.00%">
                  <c:v>3.8303212851405623E-2</c:v>
                </c:pt>
                <c:pt idx="128" formatCode="0.00%">
                  <c:v>5.4312449145646868E-2</c:v>
                </c:pt>
                <c:pt idx="129" formatCode="0.00%">
                  <c:v>2.7376084571656526E-2</c:v>
                </c:pt>
                <c:pt idx="130" formatCode="0.00%">
                  <c:v>4.9394455009508557E-2</c:v>
                </c:pt>
                <c:pt idx="131" formatCode="0.00%">
                  <c:v>1.4662027833001988E-2</c:v>
                </c:pt>
                <c:pt idx="132" formatCode="0.00%">
                  <c:v>4.4746795029225406E-2</c:v>
                </c:pt>
                <c:pt idx="133" formatCode="0.00%">
                  <c:v>-2.3105045088959299E-2</c:v>
                </c:pt>
                <c:pt idx="134" formatCode="0.00%">
                  <c:v>4.6931762395679921E-2</c:v>
                </c:pt>
                <c:pt idx="135" formatCode="0.00%">
                  <c:v>-6.3457741844505028E-3</c:v>
                </c:pt>
                <c:pt idx="136" formatCode="0.00%">
                  <c:v>2.1749544888377888E-2</c:v>
                </c:pt>
                <c:pt idx="137" formatCode="0.00%">
                  <c:v>6.1664656212303978E-2</c:v>
                </c:pt>
                <c:pt idx="138" formatCode="0.00%">
                  <c:v>8.2132146657637614E-2</c:v>
                </c:pt>
                <c:pt idx="139" formatCode="0.00%">
                  <c:v>8.7318087318087323E-2</c:v>
                </c:pt>
                <c:pt idx="140" formatCode="0.00%">
                  <c:v>9.154929577464789E-2</c:v>
                </c:pt>
                <c:pt idx="141" formatCode="0.00%">
                  <c:v>0.10998398291510945</c:v>
                </c:pt>
                <c:pt idx="142" formatCode="0.00%">
                  <c:v>9.0371500786875864E-2</c:v>
                </c:pt>
                <c:pt idx="143" formatCode="0.00%">
                  <c:v>0.11427871662992897</c:v>
                </c:pt>
                <c:pt idx="144" formatCode="0.00%">
                  <c:v>6.4268923366243541E-2</c:v>
                </c:pt>
                <c:pt idx="145" formatCode="0.00%">
                  <c:v>0.13402524824110573</c:v>
                </c:pt>
                <c:pt idx="146" formatCode="0.00%">
                  <c:v>0.17190284160180061</c:v>
                </c:pt>
                <c:pt idx="147" formatCode="0.00%">
                  <c:v>0.16207010738445526</c:v>
                </c:pt>
                <c:pt idx="148" formatCode="0.00%">
                  <c:v>0.14497374343585898</c:v>
                </c:pt>
                <c:pt idx="149" formatCode="0.00%">
                  <c:v>0.11902922328773349</c:v>
                </c:pt>
                <c:pt idx="150" formatCode="0.00%">
                  <c:v>9.6817450384409087E-2</c:v>
                </c:pt>
                <c:pt idx="151" formatCode="0.00%">
                  <c:v>9.8892792031659918E-2</c:v>
                </c:pt>
                <c:pt idx="152" formatCode="0.00%">
                  <c:v>0.10671674768007071</c:v>
                </c:pt>
                <c:pt idx="153" formatCode="0.00%">
                  <c:v>8.627399536490446E-2</c:v>
                </c:pt>
                <c:pt idx="154" formatCode="0.00%">
                  <c:v>9.228481455563331E-2</c:v>
                </c:pt>
                <c:pt idx="155" formatCode="0.00%">
                  <c:v>0.12884649199929665</c:v>
                </c:pt>
                <c:pt idx="156" formatCode="0.00%">
                  <c:v>0.15412819719927554</c:v>
                </c:pt>
                <c:pt idx="157" formatCode="0.00%">
                  <c:v>0.13508162097945176</c:v>
                </c:pt>
                <c:pt idx="158" formatCode="0.00%">
                  <c:v>4.9095710627400771E-2</c:v>
                </c:pt>
                <c:pt idx="159" formatCode="0.00%">
                  <c:v>7.9584775086505188E-2</c:v>
                </c:pt>
                <c:pt idx="160" formatCode="0.00%">
                  <c:v>8.5585585585585586E-2</c:v>
                </c:pt>
                <c:pt idx="161" formatCode="0.00%">
                  <c:v>7.9075623426204208E-2</c:v>
                </c:pt>
                <c:pt idx="162" formatCode="0.00%">
                  <c:v>8.1506235226994864E-2</c:v>
                </c:pt>
                <c:pt idx="163" formatCode="0.00%">
                  <c:v>8.5015983490470598E-2</c:v>
                </c:pt>
                <c:pt idx="164" formatCode="0.00%">
                  <c:v>8.2491515272509489E-2</c:v>
                </c:pt>
                <c:pt idx="165" formatCode="0.00%">
                  <c:v>0.11359793897431769</c:v>
                </c:pt>
                <c:pt idx="166" formatCode="0.00%">
                  <c:v>0.10811243693441179</c:v>
                </c:pt>
                <c:pt idx="167" formatCode="0.00%">
                  <c:v>6.4060126951984112E-2</c:v>
                </c:pt>
                <c:pt idx="168" formatCode="0.00%">
                  <c:v>0.13626272678557758</c:v>
                </c:pt>
                <c:pt idx="169" formatCode="0.00%">
                  <c:v>0.14272977478001317</c:v>
                </c:pt>
                <c:pt idx="170" formatCode="0.00%">
                  <c:v>0.11709065944544032</c:v>
                </c:pt>
                <c:pt idx="171" formatCode="0.00%">
                  <c:v>8.9932126696832579E-2</c:v>
                </c:pt>
                <c:pt idx="172" formatCode="0.00%">
                  <c:v>5.1075066012825347E-2</c:v>
                </c:pt>
                <c:pt idx="173" formatCode="0.00%">
                  <c:v>2.8981143437841094E-2</c:v>
                </c:pt>
                <c:pt idx="174" formatCode="0.00%">
                  <c:v>2.973095184264074E-2</c:v>
                </c:pt>
                <c:pt idx="175" formatCode="0.00%">
                  <c:v>2.0287909301111361E-2</c:v>
                </c:pt>
                <c:pt idx="176" formatCode="0.00%">
                  <c:v>-4.3155914573420381E-3</c:v>
                </c:pt>
                <c:pt idx="177" formatCode="0.00%">
                  <c:v>-1.8182475419317525E-2</c:v>
                </c:pt>
                <c:pt idx="178" formatCode="0.00%">
                  <c:v>-3.7110645371106456E-2</c:v>
                </c:pt>
                <c:pt idx="179" formatCode="0.00%">
                  <c:v>-8.1979212413995015E-3</c:v>
                </c:pt>
                <c:pt idx="180" formatCode="0.00%">
                  <c:v>-7.2525769723101804E-2</c:v>
                </c:pt>
                <c:pt idx="181" formatCode="0.00%">
                  <c:v>-8.1108585772923097E-2</c:v>
                </c:pt>
                <c:pt idx="182" formatCode="0.00%">
                  <c:v>-6.0876096828160746E-2</c:v>
                </c:pt>
                <c:pt idx="183" formatCode="0.00%">
                  <c:v>-7.9398028022833425E-2</c:v>
                </c:pt>
                <c:pt idx="184" formatCode="0.00%">
                  <c:v>-2.5839793281653745E-2</c:v>
                </c:pt>
                <c:pt idx="185" formatCode="0.00%">
                  <c:v>-2.564102564102564E-2</c:v>
                </c:pt>
                <c:pt idx="186" formatCode="0.00%">
                  <c:v>-1.708932557543821E-2</c:v>
                </c:pt>
                <c:pt idx="187" formatCode="0.00%">
                  <c:v>-2.6792894217413554E-2</c:v>
                </c:pt>
                <c:pt idx="188" formatCode="0.00%">
                  <c:v>-2.1560346743720826E-2</c:v>
                </c:pt>
                <c:pt idx="189" formatCode="0.00%">
                  <c:v>-3.3614373550311105E-2</c:v>
                </c:pt>
                <c:pt idx="190" formatCode="0.00%">
                  <c:v>-3.0397418095845685E-3</c:v>
                </c:pt>
                <c:pt idx="191" formatCode="0.00%">
                  <c:v>-5.4095940959409596E-2</c:v>
                </c:pt>
                <c:pt idx="192" formatCode="0.00%">
                  <c:v>-6.5811934769186065E-2</c:v>
                </c:pt>
                <c:pt idx="193" formatCode="0.00%">
                  <c:v>-5.2753987005316007E-2</c:v>
                </c:pt>
                <c:pt idx="194" formatCode="0.00%">
                  <c:v>-7.452919363048062E-2</c:v>
                </c:pt>
                <c:pt idx="195" formatCode="0.00%">
                  <c:v>-4.9530251785043215E-2</c:v>
                </c:pt>
                <c:pt idx="196" formatCode="0.00%">
                  <c:v>-5.5039787798408485E-2</c:v>
                </c:pt>
                <c:pt idx="197" formatCode="0.00%">
                  <c:v>-3.5212853817854196E-2</c:v>
                </c:pt>
                <c:pt idx="198" formatCode="0.00%">
                  <c:v>-3.5852568875651525E-2</c:v>
                </c:pt>
                <c:pt idx="199" formatCode="0.00%">
                  <c:v>-4.867605633802817E-2</c:v>
                </c:pt>
                <c:pt idx="200" formatCode="0.00%">
                  <c:v>-4.5244585794335906E-2</c:v>
                </c:pt>
                <c:pt idx="201" formatCode="0.00%">
                  <c:v>-6.4004876562023777E-2</c:v>
                </c:pt>
                <c:pt idx="202" formatCode="0.00%">
                  <c:v>-0.12685387337197923</c:v>
                </c:pt>
                <c:pt idx="203" formatCode="0.00%">
                  <c:v>-0.10630412733088866</c:v>
                </c:pt>
                <c:pt idx="204" formatCode="0.00%">
                  <c:v>-0.11519769837875665</c:v>
                </c:pt>
                <c:pt idx="205" formatCode="0.00%">
                  <c:v>-0.12319264195798744</c:v>
                </c:pt>
                <c:pt idx="206" formatCode="0.00%">
                  <c:v>-0.12991043368950345</c:v>
                </c:pt>
                <c:pt idx="207" formatCode="0.00%">
                  <c:v>-0.12652222046496917</c:v>
                </c:pt>
                <c:pt idx="208" formatCode="0.00%">
                  <c:v>-0.13021442495126706</c:v>
                </c:pt>
                <c:pt idx="209" formatCode="0.00%">
                  <c:v>-0.13105058365758754</c:v>
                </c:pt>
                <c:pt idx="210" formatCode="0.00%">
                  <c:v>-0.15499864849210332</c:v>
                </c:pt>
                <c:pt idx="211" formatCode="0.00%">
                  <c:v>-0.15219708634371668</c:v>
                </c:pt>
                <c:pt idx="212" formatCode="0.00%">
                  <c:v>-0.15283340603561091</c:v>
                </c:pt>
                <c:pt idx="213" formatCode="0.00%">
                  <c:v>-0.15902800390752198</c:v>
                </c:pt>
                <c:pt idx="214" formatCode="0.00%">
                  <c:v>-9.7646145887221938E-2</c:v>
                </c:pt>
                <c:pt idx="215" formatCode="0.00%">
                  <c:v>-8.9920991749967261E-2</c:v>
                </c:pt>
                <c:pt idx="216" formatCode="0.00%">
                  <c:v>-9.6493540732929081E-2</c:v>
                </c:pt>
                <c:pt idx="217" formatCode="0.00%">
                  <c:v>-9.1119210596497469E-2</c:v>
                </c:pt>
                <c:pt idx="218" formatCode="0.00%">
                  <c:v>-1.2506207955212425E-2</c:v>
                </c:pt>
                <c:pt idx="219" formatCode="0.00%">
                  <c:v>6.5634618866558025E-2</c:v>
                </c:pt>
                <c:pt idx="220" formatCode="0.00%">
                  <c:v>-2.5683549977588524E-2</c:v>
                </c:pt>
                <c:pt idx="221" formatCode="0.00%">
                  <c:v>-3.6270822138635139E-2</c:v>
                </c:pt>
                <c:pt idx="222" formatCode="0.00%">
                  <c:v>-1.7822053648951241E-2</c:v>
                </c:pt>
                <c:pt idx="223" formatCode="0.00%">
                  <c:v>-8.2890937878364532E-3</c:v>
                </c:pt>
                <c:pt idx="224" formatCode="0.00%">
                  <c:v>-1.2638674343491082E-3</c:v>
                </c:pt>
                <c:pt idx="225" formatCode="0.00%">
                  <c:v>6.6744107255215138E-2</c:v>
                </c:pt>
                <c:pt idx="226" formatCode="0.00%">
                  <c:v>4.9973723185705414E-2</c:v>
                </c:pt>
                <c:pt idx="227" formatCode="0.00%">
                  <c:v>6.0578445009352964E-2</c:v>
                </c:pt>
                <c:pt idx="228" formatCode="0.00%">
                  <c:v>4.5520863729209222E-2</c:v>
                </c:pt>
                <c:pt idx="229" formatCode="0.00%">
                  <c:v>3.6874021909233175E-2</c:v>
                </c:pt>
                <c:pt idx="230" formatCode="0.00%">
                  <c:v>-3.2004389173372348E-4</c:v>
                </c:pt>
                <c:pt idx="231" formatCode="0.00%">
                  <c:v>-6.3248661965848274E-2</c:v>
                </c:pt>
                <c:pt idx="232" formatCode="0.00%">
                  <c:v>2.7096655472236279E-2</c:v>
                </c:pt>
                <c:pt idx="233" formatCode="0.00%">
                  <c:v>5.5152866833937365E-2</c:v>
                </c:pt>
                <c:pt idx="234" formatCode="0.00%">
                  <c:v>5.8204996975759551E-2</c:v>
                </c:pt>
                <c:pt idx="235" formatCode="0.00%">
                  <c:v>6.9449661908339594E-2</c:v>
                </c:pt>
                <c:pt idx="236" formatCode="0.00%">
                  <c:v>6.1304836895388078E-2</c:v>
                </c:pt>
                <c:pt idx="237" formatCode="0.00%">
                  <c:v>5.5036297640653355E-2</c:v>
                </c:pt>
                <c:pt idx="238" formatCode="0.00%">
                  <c:v>4.2362469854848248E-2</c:v>
                </c:pt>
                <c:pt idx="239" formatCode="0.00%">
                  <c:v>6.0193560057887119E-2</c:v>
                </c:pt>
                <c:pt idx="240" formatCode="0.00%">
                  <c:v>0.10042794678574751</c:v>
                </c:pt>
                <c:pt idx="241" formatCode="0.00%">
                  <c:v>0.11253655315536271</c:v>
                </c:pt>
                <c:pt idx="242" formatCode="0.00%">
                  <c:v>0.12449119597530299</c:v>
                </c:pt>
                <c:pt idx="243" formatCode="0.00%">
                  <c:v>6.2123067156395956E-2</c:v>
                </c:pt>
                <c:pt idx="244" formatCode="0.00%">
                  <c:v>1.7692376601272059E-2</c:v>
                </c:pt>
                <c:pt idx="245" formatCode="0.00%">
                  <c:v>-8.4988330617816726E-3</c:v>
                </c:pt>
                <c:pt idx="246" formatCode="0.00%">
                  <c:v>-1.9345761519521632E-3</c:v>
                </c:pt>
                <c:pt idx="247" formatCode="0.00%">
                  <c:v>1.2996706915477498E-2</c:v>
                </c:pt>
                <c:pt idx="248" formatCode="0.00%">
                  <c:v>4.4515103338632747E-2</c:v>
                </c:pt>
                <c:pt idx="249" formatCode="0.00%">
                  <c:v>2.4857007697931449E-2</c:v>
                </c:pt>
                <c:pt idx="250" formatCode="0.00%">
                  <c:v>5.4042255980443515E-2</c:v>
                </c:pt>
                <c:pt idx="251" formatCode="0.00%">
                  <c:v>2.9134496438169177E-2</c:v>
                </c:pt>
                <c:pt idx="252" formatCode="0.00%">
                  <c:v>3.0392695608065266E-2</c:v>
                </c:pt>
                <c:pt idx="253" formatCode="0.00%">
                  <c:v>4.9643886722062068E-2</c:v>
                </c:pt>
                <c:pt idx="254" formatCode="0.00%">
                  <c:v>4.2705494773660879E-3</c:v>
                </c:pt>
                <c:pt idx="255" formatCode="0.00%">
                  <c:v>5.9428766596934635E-2</c:v>
                </c:pt>
                <c:pt idx="256" formatCode="0.00%">
                  <c:v>0.11438757096958761</c:v>
                </c:pt>
                <c:pt idx="257" formatCode="0.00%">
                  <c:v>0.10139456386569551</c:v>
                </c:pt>
                <c:pt idx="258" formatCode="0.00%">
                  <c:v>0.1166079295154185</c:v>
                </c:pt>
                <c:pt idx="259" formatCode="0.00%">
                  <c:v>9.5921286463525643E-2</c:v>
                </c:pt>
                <c:pt idx="260" formatCode="0.00%">
                  <c:v>6.794351429054625E-2</c:v>
                </c:pt>
                <c:pt idx="261" formatCode="0.00%">
                  <c:v>4.55708950526625E-2</c:v>
                </c:pt>
                <c:pt idx="262" formatCode="0.00%">
                  <c:v>2.8244843866478919E-2</c:v>
                </c:pt>
                <c:pt idx="263" formatCode="0.00%">
                  <c:v>3.4402719058277374E-2</c:v>
                </c:pt>
                <c:pt idx="264" formatCode="0.00%">
                  <c:v>2.0347883163767639E-2</c:v>
                </c:pt>
                <c:pt idx="265" formatCode="0.00%">
                  <c:v>2.342582495254251E-3</c:v>
                </c:pt>
                <c:pt idx="266" formatCode="0.00%">
                  <c:v>2.3894378746152599E-2</c:v>
                </c:pt>
                <c:pt idx="267" formatCode="0.00%">
                  <c:v>5.2669756195849286E-2</c:v>
                </c:pt>
                <c:pt idx="268" formatCode="0.00%">
                  <c:v>4.5221169036334913E-2</c:v>
                </c:pt>
                <c:pt idx="269" formatCode="0.00%">
                  <c:v>7.3430380257268432E-2</c:v>
                </c:pt>
                <c:pt idx="270" formatCode="0.00%">
                  <c:v>2.9076419300114412E-2</c:v>
                </c:pt>
                <c:pt idx="271" formatCode="0.00%">
                  <c:v>5.0822654643252647E-2</c:v>
                </c:pt>
                <c:pt idx="272" formatCode="0.00%">
                  <c:v>4.8893463715903245E-2</c:v>
                </c:pt>
                <c:pt idx="273" formatCode="0.00%">
                  <c:v>6.2045992695749889E-2</c:v>
                </c:pt>
                <c:pt idx="274" formatCode="0.00%">
                  <c:v>7.1451586917995816E-2</c:v>
                </c:pt>
                <c:pt idx="275" formatCode="0.00%">
                  <c:v>5.2572527648661646E-2</c:v>
                </c:pt>
                <c:pt idx="276" formatCode="0.00%">
                  <c:v>6.6138629784496625E-2</c:v>
                </c:pt>
                <c:pt idx="277" formatCode="0.00%">
                  <c:v>2.9737679816254987E-2</c:v>
                </c:pt>
                <c:pt idx="278" formatCode="0.00%">
                  <c:v>4.952139862352662E-2</c:v>
                </c:pt>
                <c:pt idx="279" formatCode="0.00%">
                  <c:v>2.1744123727126561E-2</c:v>
                </c:pt>
                <c:pt idx="280" formatCode="0.00%">
                  <c:v>1.3640657472133005E-2</c:v>
                </c:pt>
                <c:pt idx="281" formatCode="0.00%">
                  <c:v>-1.8782870022539444E-3</c:v>
                </c:pt>
                <c:pt idx="282" formatCode="0.00%">
                  <c:v>4.7615396411593312E-2</c:v>
                </c:pt>
                <c:pt idx="283" formatCode="0.00%">
                  <c:v>3.0712484474387444E-2</c:v>
                </c:pt>
                <c:pt idx="284" formatCode="0.00%">
                  <c:v>2.4307390352532651E-2</c:v>
                </c:pt>
                <c:pt idx="285" formatCode="0.00%">
                  <c:v>3.2800513925102977E-2</c:v>
                </c:pt>
                <c:pt idx="286" formatCode="0.00%">
                  <c:v>3.8944440267649046E-2</c:v>
                </c:pt>
                <c:pt idx="287" formatCode="0.00%">
                  <c:v>7.2217146337749352E-2</c:v>
                </c:pt>
                <c:pt idx="288" formatCode="0.00%">
                  <c:v>6.4034393030885844E-2</c:v>
                </c:pt>
                <c:pt idx="289" formatCode="0.00%">
                  <c:v>0.10585012717667776</c:v>
                </c:pt>
                <c:pt idx="290" formatCode="0.00%">
                  <c:v>9.1279113590110803E-2</c:v>
                </c:pt>
                <c:pt idx="291" formatCode="0.00%">
                  <c:v>4.7433495691270137E-2</c:v>
                </c:pt>
                <c:pt idx="292" formatCode="0.00%">
                  <c:v>2.9150823827629912E-2</c:v>
                </c:pt>
                <c:pt idx="293" formatCode="0.00%">
                  <c:v>6.4019570944674448E-2</c:v>
                </c:pt>
                <c:pt idx="294" formatCode="0.00%">
                  <c:v>2.35307033594379E-2</c:v>
                </c:pt>
                <c:pt idx="295" formatCode="0.00%">
                  <c:v>1.6834033229870368E-2</c:v>
                </c:pt>
                <c:pt idx="296" formatCode="0.00%">
                  <c:v>2.7194340039796594E-2</c:v>
                </c:pt>
                <c:pt idx="297" formatCode="0.00%">
                  <c:v>2.630712377885917E-2</c:v>
                </c:pt>
                <c:pt idx="298" formatCode="0.00%">
                  <c:v>2.0551414718865329E-2</c:v>
                </c:pt>
                <c:pt idx="299" formatCode="0.00%">
                  <c:v>-3.5505059470974611E-4</c:v>
                </c:pt>
                <c:pt idx="300" formatCode="0.00%">
                  <c:v>1.6657806131490344E-2</c:v>
                </c:pt>
                <c:pt idx="301" formatCode="0.00%">
                  <c:v>2.4168435951875442E-2</c:v>
                </c:pt>
                <c:pt idx="302" formatCode="0.00%">
                  <c:v>-6.9415665147119767E-3</c:v>
                </c:pt>
                <c:pt idx="303" formatCode="0.00%">
                  <c:v>3.9597939619401917E-2</c:v>
                </c:pt>
                <c:pt idx="304" formatCode="0.00%">
                  <c:v>4.1871921182266007E-2</c:v>
                </c:pt>
                <c:pt idx="305" formatCode="0.00%">
                  <c:v>1.5881999221817409E-2</c:v>
                </c:pt>
                <c:pt idx="306" formatCode="0.00%">
                  <c:v>3.1070113339769029E-2</c:v>
                </c:pt>
                <c:pt idx="307" formatCode="0.00%">
                  <c:v>3.5804065215829919E-2</c:v>
                </c:pt>
                <c:pt idx="308" formatCode="0.00%">
                  <c:v>6.7692638829100302E-2</c:v>
                </c:pt>
                <c:pt idx="309" formatCode="0.00%">
                  <c:v>5.3868092691622106E-2</c:v>
                </c:pt>
                <c:pt idx="310" formatCode="0.00%">
                  <c:v>6.1759909239168971E-2</c:v>
                </c:pt>
                <c:pt idx="311" formatCode="0.00%">
                  <c:v>6.7092878707156814E-2</c:v>
                </c:pt>
                <c:pt idx="312" formatCode="0.00%">
                  <c:v>2.0080181279414328E-2</c:v>
                </c:pt>
                <c:pt idx="313" formatCode="0.00%">
                  <c:v>3.9145907473309607E-2</c:v>
                </c:pt>
                <c:pt idx="314" formatCode="0.00%">
                  <c:v>3.6063293340288648E-2</c:v>
                </c:pt>
                <c:pt idx="315" formatCode="0.00%">
                  <c:v>2.5599559577469636E-2</c:v>
                </c:pt>
                <c:pt idx="316" formatCode="0.00%">
                  <c:v>6.195244055068836E-2</c:v>
                </c:pt>
                <c:pt idx="317" formatCode="0.00%">
                  <c:v>7.8481894150417827E-2</c:v>
                </c:pt>
                <c:pt idx="318" formatCode="0.00%">
                  <c:v>7.4658436784797833E-2</c:v>
                </c:pt>
                <c:pt idx="319" formatCode="0.00%">
                  <c:v>6.0950663939257362E-2</c:v>
                </c:pt>
                <c:pt idx="320" formatCode="0.00%">
                  <c:v>3.2657998185666767E-2</c:v>
                </c:pt>
                <c:pt idx="321" formatCode="0.00%">
                  <c:v>6.576232197828219E-2</c:v>
                </c:pt>
                <c:pt idx="322" formatCode="0.00%">
                  <c:v>3.0285828769867771E-2</c:v>
                </c:pt>
                <c:pt idx="323" formatCode="0.00%">
                  <c:v>3.0854746371987752E-2</c:v>
                </c:pt>
                <c:pt idx="324" formatCode="0.00%">
                  <c:v>0.10901883052527254</c:v>
                </c:pt>
                <c:pt idx="325" formatCode="0.00%">
                  <c:v>2.224364942146562E-2</c:v>
                </c:pt>
                <c:pt idx="326" formatCode="0.00%">
                  <c:v>4.4105800214822771E-2</c:v>
                </c:pt>
                <c:pt idx="327" formatCode="0.00%">
                  <c:v>3.8648639581306404E-2</c:v>
                </c:pt>
                <c:pt idx="328" formatCode="0.00%">
                  <c:v>-6.8094022130557189E-3</c:v>
                </c:pt>
                <c:pt idx="329" formatCode="0.00%">
                  <c:v>-1.9015948860334475E-2</c:v>
                </c:pt>
                <c:pt idx="330" formatCode="0.00%">
                  <c:v>-1.0067438933884031E-2</c:v>
                </c:pt>
                <c:pt idx="331" formatCode="0.00%">
                  <c:v>2.1862030652593054E-2</c:v>
                </c:pt>
                <c:pt idx="332" formatCode="0.00%">
                  <c:v>2.310069952822515E-3</c:v>
                </c:pt>
                <c:pt idx="333" formatCode="0.00%">
                  <c:v>-1.2283764481828281E-2</c:v>
                </c:pt>
                <c:pt idx="334" formatCode="0.00%">
                  <c:v>1.4811213741695025E-2</c:v>
                </c:pt>
                <c:pt idx="335" formatCode="0.00%">
                  <c:v>3.1674792547867363E-2</c:v>
                </c:pt>
                <c:pt idx="336" formatCode="0.00%">
                  <c:v>1.4452559243166621E-2</c:v>
                </c:pt>
                <c:pt idx="337" formatCode="0.00%">
                  <c:v>7.02228004553586E-2</c:v>
                </c:pt>
                <c:pt idx="338" formatCode="0.00%">
                  <c:v>5.4780428213206458E-2</c:v>
                </c:pt>
                <c:pt idx="339" formatCode="0.00%">
                  <c:v>3.9568461513614782E-2</c:v>
                </c:pt>
                <c:pt idx="340" formatCode="0.00%">
                  <c:v>0.18501549212209112</c:v>
                </c:pt>
                <c:pt idx="341" formatCode="0.00%">
                  <c:v>0.19684054632219844</c:v>
                </c:pt>
                <c:pt idx="342" formatCode="0.00%">
                  <c:v>0.17037713093647119</c:v>
                </c:pt>
                <c:pt idx="343" formatCode="0.00%">
                  <c:v>0.17409657818995844</c:v>
                </c:pt>
                <c:pt idx="344" formatCode="0.00%">
                  <c:v>0.19054729598130235</c:v>
                </c:pt>
                <c:pt idx="345" formatCode="0.00%">
                  <c:v>0.17889967221543801</c:v>
                </c:pt>
                <c:pt idx="346" formatCode="0.00%">
                  <c:v>0.18171946857434848</c:v>
                </c:pt>
                <c:pt idx="347" formatCode="0.00%">
                  <c:v>0.16108537806710066</c:v>
                </c:pt>
                <c:pt idx="348" formatCode="0.00%">
                  <c:v>0.2149453219927096</c:v>
                </c:pt>
                <c:pt idx="349" formatCode="0.00%">
                  <c:v>0.1573668854850474</c:v>
                </c:pt>
                <c:pt idx="350" formatCode="0.00%">
                  <c:v>0.32453520268210911</c:v>
                </c:pt>
                <c:pt idx="351" formatCode="0.00%">
                  <c:v>0.30630126771066368</c:v>
                </c:pt>
                <c:pt idx="352" formatCode="0.00%">
                  <c:v>0.10283441350727379</c:v>
                </c:pt>
                <c:pt idx="353" formatCode="0.00%">
                  <c:v>7.5042622229555073E-2</c:v>
                </c:pt>
                <c:pt idx="354" formatCode="0.00%">
                  <c:v>7.7535787890603239E-2</c:v>
                </c:pt>
                <c:pt idx="355" formatCode="0.00%">
                  <c:v>6.2918777578035628E-2</c:v>
                </c:pt>
              </c:numCache>
            </c:numRef>
          </c:val>
          <c:smooth val="0"/>
          <c:extLst>
            <c:ext xmlns:c16="http://schemas.microsoft.com/office/drawing/2014/chart" uri="{C3380CC4-5D6E-409C-BE32-E72D297353CC}">
              <c16:uniqueId val="{00000002-113B-4F00-A9C6-09B2B0C7FC85}"/>
            </c:ext>
          </c:extLst>
        </c:ser>
        <c:dLbls>
          <c:showLegendKey val="0"/>
          <c:showVal val="0"/>
          <c:showCatName val="0"/>
          <c:showSerName val="0"/>
          <c:showPercent val="0"/>
          <c:showBubbleSize val="0"/>
        </c:dLbls>
        <c:smooth val="0"/>
        <c:axId val="1001706656"/>
        <c:axId val="1001706000"/>
      </c:lineChart>
      <c:dateAx>
        <c:axId val="1001706656"/>
        <c:scaling>
          <c:orientation val="minMax"/>
        </c:scaling>
        <c:delete val="0"/>
        <c:axPos val="b"/>
        <c:numFmt formatCode="[$-409]mmm\-yy;@" sourceLinked="1"/>
        <c:majorTickMark val="out"/>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01706000"/>
        <c:crosses val="autoZero"/>
        <c:auto val="1"/>
        <c:lblOffset val="100"/>
        <c:baseTimeUnit val="months"/>
      </c:dateAx>
      <c:valAx>
        <c:axId val="10017060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0170665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b="1"/>
              <a:t>mil$</a:t>
            </a:r>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'Furniture Home'!$B$6</c:f>
              <c:strCache>
                <c:ptCount val="1"/>
                <c:pt idx="0">
                  <c:v>Retail Sales mil$</c:v>
                </c:pt>
              </c:strCache>
            </c:strRef>
          </c:tx>
          <c:spPr>
            <a:ln w="28575" cap="rnd">
              <a:solidFill>
                <a:schemeClr val="accent1"/>
              </a:solidFill>
              <a:round/>
            </a:ln>
            <a:effectLst/>
          </c:spPr>
          <c:marker>
            <c:symbol val="none"/>
          </c:marker>
          <c:cat>
            <c:numRef>
              <c:f>'Furniture Home'!$A$7:$A$362</c:f>
              <c:numCache>
                <c:formatCode>[$-409]mmm\-yy;@</c:formatCode>
                <c:ptCount val="356"/>
                <c:pt idx="0">
                  <c:v>33604</c:v>
                </c:pt>
                <c:pt idx="1">
                  <c:v>33635</c:v>
                </c:pt>
                <c:pt idx="2">
                  <c:v>33664</c:v>
                </c:pt>
                <c:pt idx="3">
                  <c:v>33695</c:v>
                </c:pt>
                <c:pt idx="4">
                  <c:v>33725</c:v>
                </c:pt>
                <c:pt idx="5">
                  <c:v>33756</c:v>
                </c:pt>
                <c:pt idx="6">
                  <c:v>33786</c:v>
                </c:pt>
                <c:pt idx="7">
                  <c:v>33817</c:v>
                </c:pt>
                <c:pt idx="8">
                  <c:v>33848</c:v>
                </c:pt>
                <c:pt idx="9">
                  <c:v>33878</c:v>
                </c:pt>
                <c:pt idx="10">
                  <c:v>33909</c:v>
                </c:pt>
                <c:pt idx="11">
                  <c:v>33939</c:v>
                </c:pt>
                <c:pt idx="12">
                  <c:v>33970</c:v>
                </c:pt>
                <c:pt idx="13">
                  <c:v>34001</c:v>
                </c:pt>
                <c:pt idx="14">
                  <c:v>34029</c:v>
                </c:pt>
                <c:pt idx="15">
                  <c:v>34060</c:v>
                </c:pt>
                <c:pt idx="16">
                  <c:v>34090</c:v>
                </c:pt>
                <c:pt idx="17">
                  <c:v>34121</c:v>
                </c:pt>
                <c:pt idx="18">
                  <c:v>34151</c:v>
                </c:pt>
                <c:pt idx="19">
                  <c:v>34182</c:v>
                </c:pt>
                <c:pt idx="20">
                  <c:v>34213</c:v>
                </c:pt>
                <c:pt idx="21">
                  <c:v>34243</c:v>
                </c:pt>
                <c:pt idx="22">
                  <c:v>34274</c:v>
                </c:pt>
                <c:pt idx="23">
                  <c:v>34304</c:v>
                </c:pt>
                <c:pt idx="24">
                  <c:v>34335</c:v>
                </c:pt>
                <c:pt idx="25">
                  <c:v>34366</c:v>
                </c:pt>
                <c:pt idx="26">
                  <c:v>34394</c:v>
                </c:pt>
                <c:pt idx="27">
                  <c:v>34425</c:v>
                </c:pt>
                <c:pt idx="28">
                  <c:v>34455</c:v>
                </c:pt>
                <c:pt idx="29">
                  <c:v>34486</c:v>
                </c:pt>
                <c:pt idx="30">
                  <c:v>34516</c:v>
                </c:pt>
                <c:pt idx="31">
                  <c:v>34547</c:v>
                </c:pt>
                <c:pt idx="32">
                  <c:v>34578</c:v>
                </c:pt>
                <c:pt idx="33">
                  <c:v>34608</c:v>
                </c:pt>
                <c:pt idx="34">
                  <c:v>34639</c:v>
                </c:pt>
                <c:pt idx="35">
                  <c:v>34669</c:v>
                </c:pt>
                <c:pt idx="36">
                  <c:v>34700</c:v>
                </c:pt>
                <c:pt idx="37">
                  <c:v>34731</c:v>
                </c:pt>
                <c:pt idx="38">
                  <c:v>34759</c:v>
                </c:pt>
                <c:pt idx="39">
                  <c:v>34790</c:v>
                </c:pt>
                <c:pt idx="40">
                  <c:v>34820</c:v>
                </c:pt>
                <c:pt idx="41">
                  <c:v>34851</c:v>
                </c:pt>
                <c:pt idx="42">
                  <c:v>34881</c:v>
                </c:pt>
                <c:pt idx="43">
                  <c:v>34912</c:v>
                </c:pt>
                <c:pt idx="44">
                  <c:v>34943</c:v>
                </c:pt>
                <c:pt idx="45">
                  <c:v>34973</c:v>
                </c:pt>
                <c:pt idx="46">
                  <c:v>35004</c:v>
                </c:pt>
                <c:pt idx="47">
                  <c:v>35034</c:v>
                </c:pt>
                <c:pt idx="48">
                  <c:v>35065</c:v>
                </c:pt>
                <c:pt idx="49">
                  <c:v>35096</c:v>
                </c:pt>
                <c:pt idx="50">
                  <c:v>35125</c:v>
                </c:pt>
                <c:pt idx="51">
                  <c:v>35156</c:v>
                </c:pt>
                <c:pt idx="52">
                  <c:v>35186</c:v>
                </c:pt>
                <c:pt idx="53">
                  <c:v>35217</c:v>
                </c:pt>
                <c:pt idx="54">
                  <c:v>35247</c:v>
                </c:pt>
                <c:pt idx="55">
                  <c:v>35278</c:v>
                </c:pt>
                <c:pt idx="56">
                  <c:v>35309</c:v>
                </c:pt>
                <c:pt idx="57">
                  <c:v>35339</c:v>
                </c:pt>
                <c:pt idx="58">
                  <c:v>35370</c:v>
                </c:pt>
                <c:pt idx="59">
                  <c:v>35400</c:v>
                </c:pt>
                <c:pt idx="60">
                  <c:v>35431</c:v>
                </c:pt>
                <c:pt idx="61">
                  <c:v>35462</c:v>
                </c:pt>
                <c:pt idx="62">
                  <c:v>35490</c:v>
                </c:pt>
                <c:pt idx="63">
                  <c:v>35521</c:v>
                </c:pt>
                <c:pt idx="64">
                  <c:v>35551</c:v>
                </c:pt>
                <c:pt idx="65">
                  <c:v>35582</c:v>
                </c:pt>
                <c:pt idx="66">
                  <c:v>35612</c:v>
                </c:pt>
                <c:pt idx="67">
                  <c:v>35643</c:v>
                </c:pt>
                <c:pt idx="68">
                  <c:v>35674</c:v>
                </c:pt>
                <c:pt idx="69">
                  <c:v>35704</c:v>
                </c:pt>
                <c:pt idx="70">
                  <c:v>35735</c:v>
                </c:pt>
                <c:pt idx="71">
                  <c:v>35765</c:v>
                </c:pt>
                <c:pt idx="72">
                  <c:v>35796</c:v>
                </c:pt>
                <c:pt idx="73">
                  <c:v>35827</c:v>
                </c:pt>
                <c:pt idx="74">
                  <c:v>35855</c:v>
                </c:pt>
                <c:pt idx="75">
                  <c:v>35886</c:v>
                </c:pt>
                <c:pt idx="76">
                  <c:v>35916</c:v>
                </c:pt>
                <c:pt idx="77">
                  <c:v>35947</c:v>
                </c:pt>
                <c:pt idx="78">
                  <c:v>35977</c:v>
                </c:pt>
                <c:pt idx="79">
                  <c:v>36008</c:v>
                </c:pt>
                <c:pt idx="80">
                  <c:v>36039</c:v>
                </c:pt>
                <c:pt idx="81">
                  <c:v>36069</c:v>
                </c:pt>
                <c:pt idx="82">
                  <c:v>36100</c:v>
                </c:pt>
                <c:pt idx="83">
                  <c:v>36130</c:v>
                </c:pt>
                <c:pt idx="84">
                  <c:v>36161</c:v>
                </c:pt>
                <c:pt idx="85">
                  <c:v>36192</c:v>
                </c:pt>
                <c:pt idx="86">
                  <c:v>36220</c:v>
                </c:pt>
                <c:pt idx="87">
                  <c:v>36251</c:v>
                </c:pt>
                <c:pt idx="88">
                  <c:v>36281</c:v>
                </c:pt>
                <c:pt idx="89">
                  <c:v>36312</c:v>
                </c:pt>
                <c:pt idx="90">
                  <c:v>36342</c:v>
                </c:pt>
                <c:pt idx="91">
                  <c:v>36373</c:v>
                </c:pt>
                <c:pt idx="92">
                  <c:v>36404</c:v>
                </c:pt>
                <c:pt idx="93">
                  <c:v>36434</c:v>
                </c:pt>
                <c:pt idx="94">
                  <c:v>36465</c:v>
                </c:pt>
                <c:pt idx="95">
                  <c:v>36495</c:v>
                </c:pt>
                <c:pt idx="96">
                  <c:v>36526</c:v>
                </c:pt>
                <c:pt idx="97">
                  <c:v>36557</c:v>
                </c:pt>
                <c:pt idx="98">
                  <c:v>36586</c:v>
                </c:pt>
                <c:pt idx="99">
                  <c:v>36617</c:v>
                </c:pt>
                <c:pt idx="100">
                  <c:v>36647</c:v>
                </c:pt>
                <c:pt idx="101">
                  <c:v>36678</c:v>
                </c:pt>
                <c:pt idx="102">
                  <c:v>36708</c:v>
                </c:pt>
                <c:pt idx="103">
                  <c:v>36739</c:v>
                </c:pt>
                <c:pt idx="104">
                  <c:v>36770</c:v>
                </c:pt>
                <c:pt idx="105">
                  <c:v>36800</c:v>
                </c:pt>
                <c:pt idx="106">
                  <c:v>36831</c:v>
                </c:pt>
                <c:pt idx="107">
                  <c:v>36861</c:v>
                </c:pt>
                <c:pt idx="108">
                  <c:v>36892</c:v>
                </c:pt>
                <c:pt idx="109">
                  <c:v>36923</c:v>
                </c:pt>
                <c:pt idx="110">
                  <c:v>36951</c:v>
                </c:pt>
                <c:pt idx="111">
                  <c:v>36982</c:v>
                </c:pt>
                <c:pt idx="112">
                  <c:v>37012</c:v>
                </c:pt>
                <c:pt idx="113">
                  <c:v>37043</c:v>
                </c:pt>
                <c:pt idx="114">
                  <c:v>37073</c:v>
                </c:pt>
                <c:pt idx="115">
                  <c:v>37104</c:v>
                </c:pt>
                <c:pt idx="116">
                  <c:v>37135</c:v>
                </c:pt>
                <c:pt idx="117">
                  <c:v>37165</c:v>
                </c:pt>
                <c:pt idx="118">
                  <c:v>37196</c:v>
                </c:pt>
                <c:pt idx="119">
                  <c:v>37226</c:v>
                </c:pt>
                <c:pt idx="120">
                  <c:v>37257</c:v>
                </c:pt>
                <c:pt idx="121">
                  <c:v>37288</c:v>
                </c:pt>
                <c:pt idx="122">
                  <c:v>37316</c:v>
                </c:pt>
                <c:pt idx="123">
                  <c:v>37347</c:v>
                </c:pt>
                <c:pt idx="124">
                  <c:v>37377</c:v>
                </c:pt>
                <c:pt idx="125">
                  <c:v>37408</c:v>
                </c:pt>
                <c:pt idx="126">
                  <c:v>37438</c:v>
                </c:pt>
                <c:pt idx="127">
                  <c:v>37469</c:v>
                </c:pt>
                <c:pt idx="128">
                  <c:v>37500</c:v>
                </c:pt>
                <c:pt idx="129">
                  <c:v>37530</c:v>
                </c:pt>
                <c:pt idx="130">
                  <c:v>37561</c:v>
                </c:pt>
                <c:pt idx="131">
                  <c:v>37591</c:v>
                </c:pt>
                <c:pt idx="132">
                  <c:v>37622</c:v>
                </c:pt>
                <c:pt idx="133">
                  <c:v>37653</c:v>
                </c:pt>
                <c:pt idx="134">
                  <c:v>37681</c:v>
                </c:pt>
                <c:pt idx="135">
                  <c:v>37712</c:v>
                </c:pt>
                <c:pt idx="136">
                  <c:v>37742</c:v>
                </c:pt>
                <c:pt idx="137">
                  <c:v>37773</c:v>
                </c:pt>
                <c:pt idx="138">
                  <c:v>37803</c:v>
                </c:pt>
                <c:pt idx="139">
                  <c:v>37834</c:v>
                </c:pt>
                <c:pt idx="140">
                  <c:v>37865</c:v>
                </c:pt>
                <c:pt idx="141">
                  <c:v>37895</c:v>
                </c:pt>
                <c:pt idx="142">
                  <c:v>37926</c:v>
                </c:pt>
                <c:pt idx="143">
                  <c:v>37956</c:v>
                </c:pt>
                <c:pt idx="144">
                  <c:v>37987</c:v>
                </c:pt>
                <c:pt idx="145">
                  <c:v>38018</c:v>
                </c:pt>
                <c:pt idx="146">
                  <c:v>38047</c:v>
                </c:pt>
                <c:pt idx="147">
                  <c:v>38078</c:v>
                </c:pt>
                <c:pt idx="148">
                  <c:v>38108</c:v>
                </c:pt>
                <c:pt idx="149">
                  <c:v>38139</c:v>
                </c:pt>
                <c:pt idx="150">
                  <c:v>38169</c:v>
                </c:pt>
                <c:pt idx="151">
                  <c:v>38200</c:v>
                </c:pt>
                <c:pt idx="152">
                  <c:v>38231</c:v>
                </c:pt>
                <c:pt idx="153">
                  <c:v>38261</c:v>
                </c:pt>
                <c:pt idx="154">
                  <c:v>38292</c:v>
                </c:pt>
                <c:pt idx="155">
                  <c:v>38322</c:v>
                </c:pt>
                <c:pt idx="156">
                  <c:v>38353</c:v>
                </c:pt>
                <c:pt idx="157">
                  <c:v>38384</c:v>
                </c:pt>
                <c:pt idx="158">
                  <c:v>38412</c:v>
                </c:pt>
                <c:pt idx="159">
                  <c:v>38443</c:v>
                </c:pt>
                <c:pt idx="160">
                  <c:v>38473</c:v>
                </c:pt>
                <c:pt idx="161">
                  <c:v>38504</c:v>
                </c:pt>
                <c:pt idx="162">
                  <c:v>38534</c:v>
                </c:pt>
                <c:pt idx="163">
                  <c:v>38565</c:v>
                </c:pt>
                <c:pt idx="164">
                  <c:v>38596</c:v>
                </c:pt>
                <c:pt idx="165">
                  <c:v>38626</c:v>
                </c:pt>
                <c:pt idx="166">
                  <c:v>38657</c:v>
                </c:pt>
                <c:pt idx="167">
                  <c:v>38687</c:v>
                </c:pt>
                <c:pt idx="168">
                  <c:v>38718</c:v>
                </c:pt>
                <c:pt idx="169">
                  <c:v>38749</c:v>
                </c:pt>
                <c:pt idx="170">
                  <c:v>38777</c:v>
                </c:pt>
                <c:pt idx="171">
                  <c:v>38808</c:v>
                </c:pt>
                <c:pt idx="172">
                  <c:v>38838</c:v>
                </c:pt>
                <c:pt idx="173">
                  <c:v>38869</c:v>
                </c:pt>
                <c:pt idx="174">
                  <c:v>38899</c:v>
                </c:pt>
                <c:pt idx="175">
                  <c:v>38930</c:v>
                </c:pt>
                <c:pt idx="176">
                  <c:v>38961</c:v>
                </c:pt>
                <c:pt idx="177">
                  <c:v>38991</c:v>
                </c:pt>
                <c:pt idx="178">
                  <c:v>39022</c:v>
                </c:pt>
                <c:pt idx="179">
                  <c:v>39052</c:v>
                </c:pt>
                <c:pt idx="180">
                  <c:v>39083</c:v>
                </c:pt>
                <c:pt idx="181">
                  <c:v>39114</c:v>
                </c:pt>
                <c:pt idx="182">
                  <c:v>39142</c:v>
                </c:pt>
                <c:pt idx="183">
                  <c:v>39173</c:v>
                </c:pt>
                <c:pt idx="184">
                  <c:v>39203</c:v>
                </c:pt>
                <c:pt idx="185">
                  <c:v>39234</c:v>
                </c:pt>
                <c:pt idx="186">
                  <c:v>39264</c:v>
                </c:pt>
                <c:pt idx="187">
                  <c:v>39295</c:v>
                </c:pt>
                <c:pt idx="188">
                  <c:v>39326</c:v>
                </c:pt>
                <c:pt idx="189">
                  <c:v>39356</c:v>
                </c:pt>
                <c:pt idx="190">
                  <c:v>39387</c:v>
                </c:pt>
                <c:pt idx="191">
                  <c:v>39417</c:v>
                </c:pt>
                <c:pt idx="192">
                  <c:v>39448</c:v>
                </c:pt>
                <c:pt idx="193">
                  <c:v>39479</c:v>
                </c:pt>
                <c:pt idx="194">
                  <c:v>39508</c:v>
                </c:pt>
                <c:pt idx="195">
                  <c:v>39539</c:v>
                </c:pt>
                <c:pt idx="196">
                  <c:v>39569</c:v>
                </c:pt>
                <c:pt idx="197">
                  <c:v>39600</c:v>
                </c:pt>
                <c:pt idx="198">
                  <c:v>39630</c:v>
                </c:pt>
                <c:pt idx="199">
                  <c:v>39661</c:v>
                </c:pt>
                <c:pt idx="200">
                  <c:v>39692</c:v>
                </c:pt>
                <c:pt idx="201">
                  <c:v>39722</c:v>
                </c:pt>
                <c:pt idx="202">
                  <c:v>39753</c:v>
                </c:pt>
                <c:pt idx="203">
                  <c:v>39783</c:v>
                </c:pt>
                <c:pt idx="204">
                  <c:v>39814</c:v>
                </c:pt>
                <c:pt idx="205">
                  <c:v>39845</c:v>
                </c:pt>
                <c:pt idx="206">
                  <c:v>39873</c:v>
                </c:pt>
                <c:pt idx="207">
                  <c:v>39904</c:v>
                </c:pt>
                <c:pt idx="208">
                  <c:v>39934</c:v>
                </c:pt>
                <c:pt idx="209">
                  <c:v>39965</c:v>
                </c:pt>
                <c:pt idx="210">
                  <c:v>39995</c:v>
                </c:pt>
                <c:pt idx="211">
                  <c:v>40026</c:v>
                </c:pt>
                <c:pt idx="212">
                  <c:v>40057</c:v>
                </c:pt>
                <c:pt idx="213">
                  <c:v>40087</c:v>
                </c:pt>
                <c:pt idx="214">
                  <c:v>40118</c:v>
                </c:pt>
                <c:pt idx="215">
                  <c:v>40148</c:v>
                </c:pt>
                <c:pt idx="216">
                  <c:v>40179</c:v>
                </c:pt>
                <c:pt idx="217">
                  <c:v>40210</c:v>
                </c:pt>
                <c:pt idx="218">
                  <c:v>40238</c:v>
                </c:pt>
                <c:pt idx="219">
                  <c:v>40269</c:v>
                </c:pt>
                <c:pt idx="220">
                  <c:v>40299</c:v>
                </c:pt>
                <c:pt idx="221">
                  <c:v>40330</c:v>
                </c:pt>
                <c:pt idx="222">
                  <c:v>40360</c:v>
                </c:pt>
                <c:pt idx="223">
                  <c:v>40391</c:v>
                </c:pt>
                <c:pt idx="224">
                  <c:v>40422</c:v>
                </c:pt>
                <c:pt idx="225">
                  <c:v>40452</c:v>
                </c:pt>
                <c:pt idx="226">
                  <c:v>40483</c:v>
                </c:pt>
                <c:pt idx="227">
                  <c:v>40513</c:v>
                </c:pt>
                <c:pt idx="228">
                  <c:v>40544</c:v>
                </c:pt>
                <c:pt idx="229">
                  <c:v>40575</c:v>
                </c:pt>
                <c:pt idx="230">
                  <c:v>40603</c:v>
                </c:pt>
                <c:pt idx="231">
                  <c:v>40634</c:v>
                </c:pt>
                <c:pt idx="232">
                  <c:v>40664</c:v>
                </c:pt>
                <c:pt idx="233">
                  <c:v>40695</c:v>
                </c:pt>
                <c:pt idx="234">
                  <c:v>40725</c:v>
                </c:pt>
                <c:pt idx="235">
                  <c:v>40756</c:v>
                </c:pt>
                <c:pt idx="236">
                  <c:v>40787</c:v>
                </c:pt>
                <c:pt idx="237">
                  <c:v>40817</c:v>
                </c:pt>
                <c:pt idx="238">
                  <c:v>40848</c:v>
                </c:pt>
                <c:pt idx="239">
                  <c:v>40878</c:v>
                </c:pt>
                <c:pt idx="240">
                  <c:v>40909</c:v>
                </c:pt>
                <c:pt idx="241">
                  <c:v>40940</c:v>
                </c:pt>
                <c:pt idx="242">
                  <c:v>40969</c:v>
                </c:pt>
                <c:pt idx="243">
                  <c:v>41000</c:v>
                </c:pt>
                <c:pt idx="244">
                  <c:v>41030</c:v>
                </c:pt>
                <c:pt idx="245">
                  <c:v>41061</c:v>
                </c:pt>
                <c:pt idx="246">
                  <c:v>41091</c:v>
                </c:pt>
                <c:pt idx="247">
                  <c:v>41122</c:v>
                </c:pt>
                <c:pt idx="248">
                  <c:v>41153</c:v>
                </c:pt>
                <c:pt idx="249">
                  <c:v>41183</c:v>
                </c:pt>
                <c:pt idx="250">
                  <c:v>41214</c:v>
                </c:pt>
                <c:pt idx="251">
                  <c:v>41244</c:v>
                </c:pt>
                <c:pt idx="252">
                  <c:v>41275</c:v>
                </c:pt>
                <c:pt idx="253">
                  <c:v>41306</c:v>
                </c:pt>
                <c:pt idx="254">
                  <c:v>41334</c:v>
                </c:pt>
                <c:pt idx="255">
                  <c:v>41365</c:v>
                </c:pt>
                <c:pt idx="256">
                  <c:v>41395</c:v>
                </c:pt>
                <c:pt idx="257">
                  <c:v>41426</c:v>
                </c:pt>
                <c:pt idx="258">
                  <c:v>41456</c:v>
                </c:pt>
                <c:pt idx="259">
                  <c:v>41487</c:v>
                </c:pt>
                <c:pt idx="260">
                  <c:v>41518</c:v>
                </c:pt>
                <c:pt idx="261">
                  <c:v>41548</c:v>
                </c:pt>
                <c:pt idx="262">
                  <c:v>41579</c:v>
                </c:pt>
                <c:pt idx="263">
                  <c:v>41609</c:v>
                </c:pt>
                <c:pt idx="264">
                  <c:v>41640</c:v>
                </c:pt>
                <c:pt idx="265">
                  <c:v>41671</c:v>
                </c:pt>
                <c:pt idx="266">
                  <c:v>41699</c:v>
                </c:pt>
                <c:pt idx="267">
                  <c:v>41730</c:v>
                </c:pt>
                <c:pt idx="268">
                  <c:v>41760</c:v>
                </c:pt>
                <c:pt idx="269">
                  <c:v>41791</c:v>
                </c:pt>
                <c:pt idx="270">
                  <c:v>41821</c:v>
                </c:pt>
                <c:pt idx="271">
                  <c:v>41852</c:v>
                </c:pt>
                <c:pt idx="272">
                  <c:v>41883</c:v>
                </c:pt>
                <c:pt idx="273">
                  <c:v>41913</c:v>
                </c:pt>
                <c:pt idx="274">
                  <c:v>41944</c:v>
                </c:pt>
                <c:pt idx="275">
                  <c:v>41974</c:v>
                </c:pt>
                <c:pt idx="276">
                  <c:v>42005</c:v>
                </c:pt>
                <c:pt idx="277">
                  <c:v>42036</c:v>
                </c:pt>
                <c:pt idx="278">
                  <c:v>42064</c:v>
                </c:pt>
                <c:pt idx="279">
                  <c:v>42095</c:v>
                </c:pt>
                <c:pt idx="280">
                  <c:v>42125</c:v>
                </c:pt>
                <c:pt idx="281">
                  <c:v>42156</c:v>
                </c:pt>
                <c:pt idx="282">
                  <c:v>42186</c:v>
                </c:pt>
                <c:pt idx="283">
                  <c:v>42217</c:v>
                </c:pt>
                <c:pt idx="284">
                  <c:v>42248</c:v>
                </c:pt>
                <c:pt idx="285">
                  <c:v>42278</c:v>
                </c:pt>
                <c:pt idx="286">
                  <c:v>42309</c:v>
                </c:pt>
                <c:pt idx="287">
                  <c:v>42339</c:v>
                </c:pt>
                <c:pt idx="288">
                  <c:v>42370</c:v>
                </c:pt>
                <c:pt idx="289">
                  <c:v>42401</c:v>
                </c:pt>
                <c:pt idx="290">
                  <c:v>42430</c:v>
                </c:pt>
                <c:pt idx="291">
                  <c:v>42461</c:v>
                </c:pt>
                <c:pt idx="292">
                  <c:v>42491</c:v>
                </c:pt>
                <c:pt idx="293">
                  <c:v>42522</c:v>
                </c:pt>
                <c:pt idx="294">
                  <c:v>42552</c:v>
                </c:pt>
                <c:pt idx="295">
                  <c:v>42583</c:v>
                </c:pt>
                <c:pt idx="296">
                  <c:v>42614</c:v>
                </c:pt>
                <c:pt idx="297">
                  <c:v>42644</c:v>
                </c:pt>
                <c:pt idx="298">
                  <c:v>42675</c:v>
                </c:pt>
                <c:pt idx="299">
                  <c:v>42705</c:v>
                </c:pt>
                <c:pt idx="300">
                  <c:v>42736</c:v>
                </c:pt>
                <c:pt idx="301">
                  <c:v>42767</c:v>
                </c:pt>
                <c:pt idx="302">
                  <c:v>42795</c:v>
                </c:pt>
                <c:pt idx="303">
                  <c:v>42826</c:v>
                </c:pt>
                <c:pt idx="304">
                  <c:v>42856</c:v>
                </c:pt>
                <c:pt idx="305">
                  <c:v>42887</c:v>
                </c:pt>
                <c:pt idx="306">
                  <c:v>42917</c:v>
                </c:pt>
                <c:pt idx="307">
                  <c:v>42948</c:v>
                </c:pt>
                <c:pt idx="308">
                  <c:v>42979</c:v>
                </c:pt>
                <c:pt idx="309">
                  <c:v>43009</c:v>
                </c:pt>
                <c:pt idx="310">
                  <c:v>43040</c:v>
                </c:pt>
                <c:pt idx="311">
                  <c:v>43070</c:v>
                </c:pt>
                <c:pt idx="312">
                  <c:v>43101</c:v>
                </c:pt>
                <c:pt idx="313">
                  <c:v>43132</c:v>
                </c:pt>
                <c:pt idx="314">
                  <c:v>43160</c:v>
                </c:pt>
                <c:pt idx="315">
                  <c:v>43191</c:v>
                </c:pt>
                <c:pt idx="316">
                  <c:v>43221</c:v>
                </c:pt>
                <c:pt idx="317">
                  <c:v>43252</c:v>
                </c:pt>
                <c:pt idx="318">
                  <c:v>43282</c:v>
                </c:pt>
                <c:pt idx="319">
                  <c:v>43313</c:v>
                </c:pt>
                <c:pt idx="320">
                  <c:v>43344</c:v>
                </c:pt>
                <c:pt idx="321">
                  <c:v>43374</c:v>
                </c:pt>
                <c:pt idx="322">
                  <c:v>43405</c:v>
                </c:pt>
                <c:pt idx="323">
                  <c:v>43435</c:v>
                </c:pt>
                <c:pt idx="324">
                  <c:v>43466</c:v>
                </c:pt>
                <c:pt idx="325">
                  <c:v>43497</c:v>
                </c:pt>
                <c:pt idx="326">
                  <c:v>43525</c:v>
                </c:pt>
                <c:pt idx="327">
                  <c:v>43556</c:v>
                </c:pt>
                <c:pt idx="328">
                  <c:v>43586</c:v>
                </c:pt>
                <c:pt idx="329">
                  <c:v>43617</c:v>
                </c:pt>
                <c:pt idx="330">
                  <c:v>43647</c:v>
                </c:pt>
                <c:pt idx="331">
                  <c:v>43678</c:v>
                </c:pt>
                <c:pt idx="332">
                  <c:v>43709</c:v>
                </c:pt>
                <c:pt idx="333">
                  <c:v>43739</c:v>
                </c:pt>
                <c:pt idx="334">
                  <c:v>43770</c:v>
                </c:pt>
                <c:pt idx="335">
                  <c:v>43800</c:v>
                </c:pt>
                <c:pt idx="336">
                  <c:v>43831</c:v>
                </c:pt>
                <c:pt idx="337">
                  <c:v>43862</c:v>
                </c:pt>
                <c:pt idx="338">
                  <c:v>43891</c:v>
                </c:pt>
                <c:pt idx="339">
                  <c:v>43922</c:v>
                </c:pt>
                <c:pt idx="340">
                  <c:v>43952</c:v>
                </c:pt>
                <c:pt idx="341">
                  <c:v>43983</c:v>
                </c:pt>
                <c:pt idx="342">
                  <c:v>44013</c:v>
                </c:pt>
                <c:pt idx="343">
                  <c:v>44044</c:v>
                </c:pt>
                <c:pt idx="344">
                  <c:v>44075</c:v>
                </c:pt>
                <c:pt idx="345">
                  <c:v>44105</c:v>
                </c:pt>
                <c:pt idx="346">
                  <c:v>44136</c:v>
                </c:pt>
                <c:pt idx="347">
                  <c:v>44166</c:v>
                </c:pt>
                <c:pt idx="348">
                  <c:v>44197</c:v>
                </c:pt>
                <c:pt idx="349">
                  <c:v>44228</c:v>
                </c:pt>
                <c:pt idx="350">
                  <c:v>44256</c:v>
                </c:pt>
                <c:pt idx="351">
                  <c:v>44287</c:v>
                </c:pt>
                <c:pt idx="352">
                  <c:v>44317</c:v>
                </c:pt>
                <c:pt idx="353">
                  <c:v>44348</c:v>
                </c:pt>
                <c:pt idx="354">
                  <c:v>44378</c:v>
                </c:pt>
                <c:pt idx="355">
                  <c:v>44409</c:v>
                </c:pt>
              </c:numCache>
            </c:numRef>
          </c:cat>
          <c:val>
            <c:numRef>
              <c:f>'Furniture Home'!$B$7:$B$362</c:f>
              <c:numCache>
                <c:formatCode>#,##0</c:formatCode>
                <c:ptCount val="356"/>
                <c:pt idx="0">
                  <c:v>8128</c:v>
                </c:pt>
                <c:pt idx="1">
                  <c:v>8246</c:v>
                </c:pt>
                <c:pt idx="2">
                  <c:v>8246</c:v>
                </c:pt>
                <c:pt idx="3">
                  <c:v>8317</c:v>
                </c:pt>
                <c:pt idx="4">
                  <c:v>8312</c:v>
                </c:pt>
                <c:pt idx="5">
                  <c:v>8393</c:v>
                </c:pt>
                <c:pt idx="6">
                  <c:v>8449</c:v>
                </c:pt>
                <c:pt idx="7">
                  <c:v>8420</c:v>
                </c:pt>
                <c:pt idx="8">
                  <c:v>8443</c:v>
                </c:pt>
                <c:pt idx="9">
                  <c:v>8485</c:v>
                </c:pt>
                <c:pt idx="10">
                  <c:v>8486</c:v>
                </c:pt>
                <c:pt idx="11">
                  <c:v>8676</c:v>
                </c:pt>
                <c:pt idx="12">
                  <c:v>9032</c:v>
                </c:pt>
                <c:pt idx="13">
                  <c:v>8850</c:v>
                </c:pt>
                <c:pt idx="14">
                  <c:v>8846</c:v>
                </c:pt>
                <c:pt idx="15">
                  <c:v>9024</c:v>
                </c:pt>
                <c:pt idx="16">
                  <c:v>9127</c:v>
                </c:pt>
                <c:pt idx="17">
                  <c:v>9176</c:v>
                </c:pt>
                <c:pt idx="18">
                  <c:v>9282</c:v>
                </c:pt>
                <c:pt idx="19">
                  <c:v>9312</c:v>
                </c:pt>
                <c:pt idx="20">
                  <c:v>9369</c:v>
                </c:pt>
                <c:pt idx="21">
                  <c:v>9373</c:v>
                </c:pt>
                <c:pt idx="22">
                  <c:v>9434</c:v>
                </c:pt>
                <c:pt idx="23">
                  <c:v>9487</c:v>
                </c:pt>
                <c:pt idx="24">
                  <c:v>9408</c:v>
                </c:pt>
                <c:pt idx="25">
                  <c:v>9724</c:v>
                </c:pt>
                <c:pt idx="26">
                  <c:v>9962</c:v>
                </c:pt>
                <c:pt idx="27">
                  <c:v>10006</c:v>
                </c:pt>
                <c:pt idx="28">
                  <c:v>10156</c:v>
                </c:pt>
                <c:pt idx="29">
                  <c:v>10331</c:v>
                </c:pt>
                <c:pt idx="30">
                  <c:v>10376</c:v>
                </c:pt>
                <c:pt idx="31">
                  <c:v>10576</c:v>
                </c:pt>
                <c:pt idx="32">
                  <c:v>10685</c:v>
                </c:pt>
                <c:pt idx="33">
                  <c:v>10895</c:v>
                </c:pt>
                <c:pt idx="34">
                  <c:v>10952</c:v>
                </c:pt>
                <c:pt idx="35">
                  <c:v>11088</c:v>
                </c:pt>
                <c:pt idx="36">
                  <c:v>11157</c:v>
                </c:pt>
                <c:pt idx="37">
                  <c:v>10908</c:v>
                </c:pt>
                <c:pt idx="38">
                  <c:v>10979</c:v>
                </c:pt>
                <c:pt idx="39">
                  <c:v>10914</c:v>
                </c:pt>
                <c:pt idx="40">
                  <c:v>11172</c:v>
                </c:pt>
                <c:pt idx="41">
                  <c:v>11217</c:v>
                </c:pt>
                <c:pt idx="42">
                  <c:v>11283</c:v>
                </c:pt>
                <c:pt idx="43">
                  <c:v>11463</c:v>
                </c:pt>
                <c:pt idx="44">
                  <c:v>11548</c:v>
                </c:pt>
                <c:pt idx="45">
                  <c:v>11641</c:v>
                </c:pt>
                <c:pt idx="46">
                  <c:v>11779</c:v>
                </c:pt>
                <c:pt idx="47">
                  <c:v>11726</c:v>
                </c:pt>
                <c:pt idx="48">
                  <c:v>11493</c:v>
                </c:pt>
                <c:pt idx="49">
                  <c:v>11594</c:v>
                </c:pt>
                <c:pt idx="50">
                  <c:v>11931</c:v>
                </c:pt>
                <c:pt idx="51">
                  <c:v>11968</c:v>
                </c:pt>
                <c:pt idx="52">
                  <c:v>12014</c:v>
                </c:pt>
                <c:pt idx="53">
                  <c:v>12012</c:v>
                </c:pt>
                <c:pt idx="54">
                  <c:v>11930</c:v>
                </c:pt>
                <c:pt idx="55">
                  <c:v>11995</c:v>
                </c:pt>
                <c:pt idx="56">
                  <c:v>12200</c:v>
                </c:pt>
                <c:pt idx="57">
                  <c:v>12207</c:v>
                </c:pt>
                <c:pt idx="58">
                  <c:v>12124</c:v>
                </c:pt>
                <c:pt idx="59">
                  <c:v>12051</c:v>
                </c:pt>
                <c:pt idx="60">
                  <c:v>11951</c:v>
                </c:pt>
                <c:pt idx="61">
                  <c:v>12217</c:v>
                </c:pt>
                <c:pt idx="62">
                  <c:v>12276</c:v>
                </c:pt>
                <c:pt idx="63">
                  <c:v>12424</c:v>
                </c:pt>
                <c:pt idx="64">
                  <c:v>12404</c:v>
                </c:pt>
                <c:pt idx="65">
                  <c:v>12474</c:v>
                </c:pt>
                <c:pt idx="66">
                  <c:v>12564</c:v>
                </c:pt>
                <c:pt idx="67">
                  <c:v>12687</c:v>
                </c:pt>
                <c:pt idx="68">
                  <c:v>12721</c:v>
                </c:pt>
                <c:pt idx="69">
                  <c:v>12726</c:v>
                </c:pt>
                <c:pt idx="70">
                  <c:v>12895</c:v>
                </c:pt>
                <c:pt idx="71">
                  <c:v>12949</c:v>
                </c:pt>
                <c:pt idx="72">
                  <c:v>13153</c:v>
                </c:pt>
                <c:pt idx="73">
                  <c:v>13139</c:v>
                </c:pt>
                <c:pt idx="74">
                  <c:v>13128</c:v>
                </c:pt>
                <c:pt idx="75">
                  <c:v>13135</c:v>
                </c:pt>
                <c:pt idx="76">
                  <c:v>13188</c:v>
                </c:pt>
                <c:pt idx="77">
                  <c:v>13347</c:v>
                </c:pt>
                <c:pt idx="78">
                  <c:v>13407</c:v>
                </c:pt>
                <c:pt idx="79">
                  <c:v>13491</c:v>
                </c:pt>
                <c:pt idx="80">
                  <c:v>13373</c:v>
                </c:pt>
                <c:pt idx="81">
                  <c:v>13444</c:v>
                </c:pt>
                <c:pt idx="82">
                  <c:v>13666</c:v>
                </c:pt>
                <c:pt idx="83">
                  <c:v>13651</c:v>
                </c:pt>
                <c:pt idx="84">
                  <c:v>13617</c:v>
                </c:pt>
                <c:pt idx="85">
                  <c:v>13791</c:v>
                </c:pt>
                <c:pt idx="86">
                  <c:v>13947</c:v>
                </c:pt>
                <c:pt idx="87">
                  <c:v>13989</c:v>
                </c:pt>
                <c:pt idx="88">
                  <c:v>14114</c:v>
                </c:pt>
                <c:pt idx="89">
                  <c:v>14272</c:v>
                </c:pt>
                <c:pt idx="90">
                  <c:v>14332</c:v>
                </c:pt>
                <c:pt idx="91">
                  <c:v>14428</c:v>
                </c:pt>
                <c:pt idx="92">
                  <c:v>14702</c:v>
                </c:pt>
                <c:pt idx="93">
                  <c:v>14724</c:v>
                </c:pt>
                <c:pt idx="94">
                  <c:v>14622</c:v>
                </c:pt>
                <c:pt idx="95">
                  <c:v>14744</c:v>
                </c:pt>
                <c:pt idx="96">
                  <c:v>15089</c:v>
                </c:pt>
                <c:pt idx="97">
                  <c:v>15222</c:v>
                </c:pt>
                <c:pt idx="98">
                  <c:v>15251</c:v>
                </c:pt>
                <c:pt idx="99">
                  <c:v>15542</c:v>
                </c:pt>
                <c:pt idx="100">
                  <c:v>15284</c:v>
                </c:pt>
                <c:pt idx="101">
                  <c:v>15028</c:v>
                </c:pt>
                <c:pt idx="102">
                  <c:v>15145</c:v>
                </c:pt>
                <c:pt idx="103">
                  <c:v>15122</c:v>
                </c:pt>
                <c:pt idx="104">
                  <c:v>15253</c:v>
                </c:pt>
                <c:pt idx="105">
                  <c:v>15153</c:v>
                </c:pt>
                <c:pt idx="106">
                  <c:v>14972</c:v>
                </c:pt>
                <c:pt idx="107">
                  <c:v>14506</c:v>
                </c:pt>
                <c:pt idx="108">
                  <c:v>15140</c:v>
                </c:pt>
                <c:pt idx="109">
                  <c:v>14945</c:v>
                </c:pt>
                <c:pt idx="110">
                  <c:v>14816</c:v>
                </c:pt>
                <c:pt idx="111">
                  <c:v>14772</c:v>
                </c:pt>
                <c:pt idx="112">
                  <c:v>14694</c:v>
                </c:pt>
                <c:pt idx="113">
                  <c:v>14859</c:v>
                </c:pt>
                <c:pt idx="114">
                  <c:v>14969</c:v>
                </c:pt>
                <c:pt idx="115">
                  <c:v>14904</c:v>
                </c:pt>
                <c:pt idx="116">
                  <c:v>14560</c:v>
                </c:pt>
                <c:pt idx="117">
                  <c:v>14780</c:v>
                </c:pt>
                <c:pt idx="118">
                  <c:v>15356</c:v>
                </c:pt>
                <c:pt idx="119">
                  <c:v>15694</c:v>
                </c:pt>
                <c:pt idx="120">
                  <c:v>15451</c:v>
                </c:pt>
                <c:pt idx="121">
                  <c:v>15575</c:v>
                </c:pt>
                <c:pt idx="122">
                  <c:v>15626</c:v>
                </c:pt>
                <c:pt idx="123">
                  <c:v>15490</c:v>
                </c:pt>
                <c:pt idx="124">
                  <c:v>15637</c:v>
                </c:pt>
                <c:pt idx="125">
                  <c:v>15487</c:v>
                </c:pt>
                <c:pt idx="126">
                  <c:v>15284</c:v>
                </c:pt>
                <c:pt idx="127">
                  <c:v>15357</c:v>
                </c:pt>
                <c:pt idx="128">
                  <c:v>15343</c:v>
                </c:pt>
                <c:pt idx="129">
                  <c:v>15311</c:v>
                </c:pt>
                <c:pt idx="130">
                  <c:v>15508</c:v>
                </c:pt>
                <c:pt idx="131">
                  <c:v>15587</c:v>
                </c:pt>
                <c:pt idx="132">
                  <c:v>15263</c:v>
                </c:pt>
                <c:pt idx="133">
                  <c:v>14855</c:v>
                </c:pt>
                <c:pt idx="134">
                  <c:v>15218</c:v>
                </c:pt>
                <c:pt idx="135">
                  <c:v>15335</c:v>
                </c:pt>
                <c:pt idx="136">
                  <c:v>15625</c:v>
                </c:pt>
                <c:pt idx="137">
                  <c:v>15734</c:v>
                </c:pt>
                <c:pt idx="138">
                  <c:v>15846</c:v>
                </c:pt>
                <c:pt idx="139">
                  <c:v>16070</c:v>
                </c:pt>
                <c:pt idx="140">
                  <c:v>16123</c:v>
                </c:pt>
                <c:pt idx="141">
                  <c:v>16228</c:v>
                </c:pt>
                <c:pt idx="142">
                  <c:v>16388</c:v>
                </c:pt>
                <c:pt idx="143">
                  <c:v>16439</c:v>
                </c:pt>
                <c:pt idx="144">
                  <c:v>16411</c:v>
                </c:pt>
                <c:pt idx="145">
                  <c:v>16455</c:v>
                </c:pt>
                <c:pt idx="146">
                  <c:v>16702</c:v>
                </c:pt>
                <c:pt idx="147">
                  <c:v>16737</c:v>
                </c:pt>
                <c:pt idx="148">
                  <c:v>16630</c:v>
                </c:pt>
                <c:pt idx="149">
                  <c:v>16869</c:v>
                </c:pt>
                <c:pt idx="150">
                  <c:v>17205</c:v>
                </c:pt>
                <c:pt idx="151">
                  <c:v>17010</c:v>
                </c:pt>
                <c:pt idx="152">
                  <c:v>17026</c:v>
                </c:pt>
                <c:pt idx="153">
                  <c:v>17300</c:v>
                </c:pt>
                <c:pt idx="154">
                  <c:v>17201</c:v>
                </c:pt>
                <c:pt idx="155">
                  <c:v>17418</c:v>
                </c:pt>
                <c:pt idx="156">
                  <c:v>17411</c:v>
                </c:pt>
                <c:pt idx="157">
                  <c:v>17673</c:v>
                </c:pt>
                <c:pt idx="158">
                  <c:v>17624</c:v>
                </c:pt>
                <c:pt idx="159">
                  <c:v>17814</c:v>
                </c:pt>
                <c:pt idx="160">
                  <c:v>17738</c:v>
                </c:pt>
                <c:pt idx="161">
                  <c:v>17921</c:v>
                </c:pt>
                <c:pt idx="162">
                  <c:v>17961</c:v>
                </c:pt>
                <c:pt idx="163">
                  <c:v>18061</c:v>
                </c:pt>
                <c:pt idx="164">
                  <c:v>18199</c:v>
                </c:pt>
                <c:pt idx="165">
                  <c:v>18362</c:v>
                </c:pt>
                <c:pt idx="166">
                  <c:v>18284</c:v>
                </c:pt>
                <c:pt idx="167">
                  <c:v>18149</c:v>
                </c:pt>
                <c:pt idx="168">
                  <c:v>18956</c:v>
                </c:pt>
                <c:pt idx="169">
                  <c:v>18540</c:v>
                </c:pt>
                <c:pt idx="170">
                  <c:v>18616</c:v>
                </c:pt>
                <c:pt idx="171">
                  <c:v>18567</c:v>
                </c:pt>
                <c:pt idx="172">
                  <c:v>18500</c:v>
                </c:pt>
                <c:pt idx="173">
                  <c:v>18615</c:v>
                </c:pt>
                <c:pt idx="174">
                  <c:v>18568</c:v>
                </c:pt>
                <c:pt idx="175">
                  <c:v>18546</c:v>
                </c:pt>
                <c:pt idx="176">
                  <c:v>18707</c:v>
                </c:pt>
                <c:pt idx="177">
                  <c:v>18328</c:v>
                </c:pt>
                <c:pt idx="178">
                  <c:v>18469</c:v>
                </c:pt>
                <c:pt idx="179">
                  <c:v>18812</c:v>
                </c:pt>
                <c:pt idx="180">
                  <c:v>18838</c:v>
                </c:pt>
                <c:pt idx="181">
                  <c:v>18492</c:v>
                </c:pt>
                <c:pt idx="182">
                  <c:v>18432</c:v>
                </c:pt>
                <c:pt idx="183">
                  <c:v>18438</c:v>
                </c:pt>
                <c:pt idx="184">
                  <c:v>18421</c:v>
                </c:pt>
                <c:pt idx="185">
                  <c:v>18287</c:v>
                </c:pt>
                <c:pt idx="186">
                  <c:v>18403</c:v>
                </c:pt>
                <c:pt idx="187">
                  <c:v>18574</c:v>
                </c:pt>
                <c:pt idx="188">
                  <c:v>18315</c:v>
                </c:pt>
                <c:pt idx="189">
                  <c:v>18435</c:v>
                </c:pt>
                <c:pt idx="190">
                  <c:v>18656</c:v>
                </c:pt>
                <c:pt idx="191">
                  <c:v>18377</c:v>
                </c:pt>
                <c:pt idx="192">
                  <c:v>18048</c:v>
                </c:pt>
                <c:pt idx="193">
                  <c:v>17790</c:v>
                </c:pt>
                <c:pt idx="194">
                  <c:v>17802</c:v>
                </c:pt>
                <c:pt idx="195">
                  <c:v>17892</c:v>
                </c:pt>
                <c:pt idx="196">
                  <c:v>18117</c:v>
                </c:pt>
                <c:pt idx="197">
                  <c:v>17778</c:v>
                </c:pt>
                <c:pt idx="198">
                  <c:v>17698</c:v>
                </c:pt>
                <c:pt idx="199">
                  <c:v>17355</c:v>
                </c:pt>
                <c:pt idx="200">
                  <c:v>16536</c:v>
                </c:pt>
                <c:pt idx="201">
                  <c:v>16467</c:v>
                </c:pt>
                <c:pt idx="202">
                  <c:v>16377</c:v>
                </c:pt>
                <c:pt idx="203">
                  <c:v>15811</c:v>
                </c:pt>
                <c:pt idx="204">
                  <c:v>16247</c:v>
                </c:pt>
                <c:pt idx="205">
                  <c:v>16129</c:v>
                </c:pt>
                <c:pt idx="206">
                  <c:v>15140</c:v>
                </c:pt>
                <c:pt idx="207">
                  <c:v>15116</c:v>
                </c:pt>
                <c:pt idx="208">
                  <c:v>15113</c:v>
                </c:pt>
                <c:pt idx="209">
                  <c:v>15131</c:v>
                </c:pt>
                <c:pt idx="210">
                  <c:v>15004</c:v>
                </c:pt>
                <c:pt idx="211">
                  <c:v>14991</c:v>
                </c:pt>
                <c:pt idx="212">
                  <c:v>14946</c:v>
                </c:pt>
                <c:pt idx="213">
                  <c:v>14835</c:v>
                </c:pt>
                <c:pt idx="214">
                  <c:v>15199</c:v>
                </c:pt>
                <c:pt idx="215">
                  <c:v>15092</c:v>
                </c:pt>
                <c:pt idx="216">
                  <c:v>15234</c:v>
                </c:pt>
                <c:pt idx="217">
                  <c:v>15622</c:v>
                </c:pt>
                <c:pt idx="218">
                  <c:v>15376</c:v>
                </c:pt>
                <c:pt idx="219">
                  <c:v>15410</c:v>
                </c:pt>
                <c:pt idx="220">
                  <c:v>15483</c:v>
                </c:pt>
                <c:pt idx="221">
                  <c:v>15573</c:v>
                </c:pt>
                <c:pt idx="222">
                  <c:v>15455</c:v>
                </c:pt>
                <c:pt idx="223">
                  <c:v>15467</c:v>
                </c:pt>
                <c:pt idx="224">
                  <c:v>15501</c:v>
                </c:pt>
                <c:pt idx="225">
                  <c:v>15249</c:v>
                </c:pt>
                <c:pt idx="226">
                  <c:v>15219</c:v>
                </c:pt>
                <c:pt idx="227">
                  <c:v>15342</c:v>
                </c:pt>
                <c:pt idx="228">
                  <c:v>15210</c:v>
                </c:pt>
                <c:pt idx="229">
                  <c:v>15501</c:v>
                </c:pt>
                <c:pt idx="230">
                  <c:v>15881</c:v>
                </c:pt>
                <c:pt idx="231">
                  <c:v>15842</c:v>
                </c:pt>
                <c:pt idx="232">
                  <c:v>15670</c:v>
                </c:pt>
                <c:pt idx="233">
                  <c:v>15666</c:v>
                </c:pt>
                <c:pt idx="234">
                  <c:v>15820</c:v>
                </c:pt>
                <c:pt idx="235">
                  <c:v>15948</c:v>
                </c:pt>
                <c:pt idx="236">
                  <c:v>15877</c:v>
                </c:pt>
                <c:pt idx="237">
                  <c:v>16040</c:v>
                </c:pt>
                <c:pt idx="238">
                  <c:v>16031</c:v>
                </c:pt>
                <c:pt idx="239">
                  <c:v>15993</c:v>
                </c:pt>
                <c:pt idx="240">
                  <c:v>16168</c:v>
                </c:pt>
                <c:pt idx="241">
                  <c:v>16165</c:v>
                </c:pt>
                <c:pt idx="242">
                  <c:v>16294</c:v>
                </c:pt>
                <c:pt idx="243">
                  <c:v>16071</c:v>
                </c:pt>
                <c:pt idx="244">
                  <c:v>16375</c:v>
                </c:pt>
                <c:pt idx="245">
                  <c:v>16202</c:v>
                </c:pt>
                <c:pt idx="246">
                  <c:v>16409</c:v>
                </c:pt>
                <c:pt idx="247">
                  <c:v>16240</c:v>
                </c:pt>
                <c:pt idx="248">
                  <c:v>16242</c:v>
                </c:pt>
                <c:pt idx="249">
                  <c:v>15730</c:v>
                </c:pt>
                <c:pt idx="250">
                  <c:v>16273</c:v>
                </c:pt>
                <c:pt idx="251">
                  <c:v>16772</c:v>
                </c:pt>
                <c:pt idx="252">
                  <c:v>16723</c:v>
                </c:pt>
                <c:pt idx="253">
                  <c:v>16727</c:v>
                </c:pt>
                <c:pt idx="254">
                  <c:v>16509</c:v>
                </c:pt>
                <c:pt idx="255">
                  <c:v>16502</c:v>
                </c:pt>
                <c:pt idx="256">
                  <c:v>16422</c:v>
                </c:pt>
                <c:pt idx="257">
                  <c:v>16644</c:v>
                </c:pt>
                <c:pt idx="258">
                  <c:v>16571</c:v>
                </c:pt>
                <c:pt idx="259">
                  <c:v>16614</c:v>
                </c:pt>
                <c:pt idx="260">
                  <c:v>16612</c:v>
                </c:pt>
                <c:pt idx="261">
                  <c:v>16807</c:v>
                </c:pt>
                <c:pt idx="262">
                  <c:v>16747</c:v>
                </c:pt>
                <c:pt idx="263">
                  <c:v>16461</c:v>
                </c:pt>
                <c:pt idx="264">
                  <c:v>16309</c:v>
                </c:pt>
                <c:pt idx="265">
                  <c:v>16636</c:v>
                </c:pt>
                <c:pt idx="266">
                  <c:v>16851</c:v>
                </c:pt>
                <c:pt idx="267">
                  <c:v>16915</c:v>
                </c:pt>
                <c:pt idx="268">
                  <c:v>16760</c:v>
                </c:pt>
                <c:pt idx="269">
                  <c:v>16697</c:v>
                </c:pt>
                <c:pt idx="270">
                  <c:v>16799</c:v>
                </c:pt>
                <c:pt idx="271">
                  <c:v>17004</c:v>
                </c:pt>
                <c:pt idx="272">
                  <c:v>17101</c:v>
                </c:pt>
                <c:pt idx="273">
                  <c:v>17094</c:v>
                </c:pt>
                <c:pt idx="274">
                  <c:v>17385</c:v>
                </c:pt>
                <c:pt idx="275">
                  <c:v>17517</c:v>
                </c:pt>
                <c:pt idx="276">
                  <c:v>17315</c:v>
                </c:pt>
                <c:pt idx="277">
                  <c:v>16998</c:v>
                </c:pt>
                <c:pt idx="278">
                  <c:v>17114</c:v>
                </c:pt>
                <c:pt idx="279">
                  <c:v>17264</c:v>
                </c:pt>
                <c:pt idx="280">
                  <c:v>17509</c:v>
                </c:pt>
                <c:pt idx="281">
                  <c:v>17440</c:v>
                </c:pt>
                <c:pt idx="282">
                  <c:v>17435</c:v>
                </c:pt>
                <c:pt idx="283">
                  <c:v>17442</c:v>
                </c:pt>
                <c:pt idx="284">
                  <c:v>17432</c:v>
                </c:pt>
                <c:pt idx="285">
                  <c:v>17455</c:v>
                </c:pt>
                <c:pt idx="286">
                  <c:v>17286</c:v>
                </c:pt>
                <c:pt idx="287">
                  <c:v>17503</c:v>
                </c:pt>
                <c:pt idx="288">
                  <c:v>17206</c:v>
                </c:pt>
                <c:pt idx="289">
                  <c:v>17336</c:v>
                </c:pt>
                <c:pt idx="290">
                  <c:v>17174</c:v>
                </c:pt>
                <c:pt idx="291">
                  <c:v>17084</c:v>
                </c:pt>
                <c:pt idx="292">
                  <c:v>17202</c:v>
                </c:pt>
                <c:pt idx="293">
                  <c:v>17300</c:v>
                </c:pt>
                <c:pt idx="294">
                  <c:v>17295</c:v>
                </c:pt>
                <c:pt idx="295">
                  <c:v>17372</c:v>
                </c:pt>
                <c:pt idx="296">
                  <c:v>17219</c:v>
                </c:pt>
                <c:pt idx="297">
                  <c:v>17003</c:v>
                </c:pt>
                <c:pt idx="298">
                  <c:v>16822</c:v>
                </c:pt>
                <c:pt idx="299">
                  <c:v>16897</c:v>
                </c:pt>
                <c:pt idx="300">
                  <c:v>17195</c:v>
                </c:pt>
                <c:pt idx="301">
                  <c:v>17107</c:v>
                </c:pt>
                <c:pt idx="302">
                  <c:v>17400</c:v>
                </c:pt>
                <c:pt idx="303">
                  <c:v>17285</c:v>
                </c:pt>
                <c:pt idx="304">
                  <c:v>17251</c:v>
                </c:pt>
                <c:pt idx="305">
                  <c:v>17242</c:v>
                </c:pt>
                <c:pt idx="306">
                  <c:v>17108</c:v>
                </c:pt>
                <c:pt idx="307">
                  <c:v>17198</c:v>
                </c:pt>
                <c:pt idx="308">
                  <c:v>17158</c:v>
                </c:pt>
                <c:pt idx="309">
                  <c:v>17512</c:v>
                </c:pt>
                <c:pt idx="310">
                  <c:v>17775</c:v>
                </c:pt>
                <c:pt idx="311">
                  <c:v>17758</c:v>
                </c:pt>
                <c:pt idx="312">
                  <c:v>17722</c:v>
                </c:pt>
                <c:pt idx="313">
                  <c:v>17851</c:v>
                </c:pt>
                <c:pt idx="314">
                  <c:v>17817</c:v>
                </c:pt>
                <c:pt idx="315">
                  <c:v>18107</c:v>
                </c:pt>
                <c:pt idx="316">
                  <c:v>17919</c:v>
                </c:pt>
                <c:pt idx="317">
                  <c:v>17962</c:v>
                </c:pt>
                <c:pt idx="318">
                  <c:v>17922</c:v>
                </c:pt>
                <c:pt idx="319">
                  <c:v>17825</c:v>
                </c:pt>
                <c:pt idx="320">
                  <c:v>17596</c:v>
                </c:pt>
                <c:pt idx="321">
                  <c:v>17677</c:v>
                </c:pt>
                <c:pt idx="322">
                  <c:v>17631</c:v>
                </c:pt>
                <c:pt idx="323">
                  <c:v>17463</c:v>
                </c:pt>
                <c:pt idx="324">
                  <c:v>17406</c:v>
                </c:pt>
                <c:pt idx="325">
                  <c:v>17370</c:v>
                </c:pt>
                <c:pt idx="326">
                  <c:v>17579</c:v>
                </c:pt>
                <c:pt idx="327">
                  <c:v>17592</c:v>
                </c:pt>
                <c:pt idx="328">
                  <c:v>17664</c:v>
                </c:pt>
                <c:pt idx="329">
                  <c:v>17620</c:v>
                </c:pt>
                <c:pt idx="330">
                  <c:v>17719</c:v>
                </c:pt>
                <c:pt idx="331">
                  <c:v>17654</c:v>
                </c:pt>
                <c:pt idx="332">
                  <c:v>17795</c:v>
                </c:pt>
                <c:pt idx="333">
                  <c:v>17566</c:v>
                </c:pt>
                <c:pt idx="334">
                  <c:v>17733</c:v>
                </c:pt>
                <c:pt idx="335">
                  <c:v>17487</c:v>
                </c:pt>
                <c:pt idx="336">
                  <c:v>17942</c:v>
                </c:pt>
                <c:pt idx="337">
                  <c:v>17837</c:v>
                </c:pt>
                <c:pt idx="338">
                  <c:v>14360</c:v>
                </c:pt>
                <c:pt idx="339">
                  <c:v>7687</c:v>
                </c:pt>
                <c:pt idx="340">
                  <c:v>11621</c:v>
                </c:pt>
                <c:pt idx="341">
                  <c:v>16108</c:v>
                </c:pt>
                <c:pt idx="342">
                  <c:v>17327</c:v>
                </c:pt>
                <c:pt idx="343">
                  <c:v>17798</c:v>
                </c:pt>
                <c:pt idx="344">
                  <c:v>17729</c:v>
                </c:pt>
                <c:pt idx="345">
                  <c:v>17978</c:v>
                </c:pt>
                <c:pt idx="346">
                  <c:v>17556</c:v>
                </c:pt>
                <c:pt idx="347">
                  <c:v>17077</c:v>
                </c:pt>
                <c:pt idx="348">
                  <c:v>19623</c:v>
                </c:pt>
                <c:pt idx="349">
                  <c:v>18560</c:v>
                </c:pt>
                <c:pt idx="350">
                  <c:v>20753</c:v>
                </c:pt>
                <c:pt idx="351">
                  <c:v>20997</c:v>
                </c:pt>
                <c:pt idx="352">
                  <c:v>20514</c:v>
                </c:pt>
                <c:pt idx="353">
                  <c:v>20686</c:v>
                </c:pt>
                <c:pt idx="354">
                  <c:v>20560</c:v>
                </c:pt>
                <c:pt idx="355">
                  <c:v>20746</c:v>
                </c:pt>
              </c:numCache>
            </c:numRef>
          </c:val>
          <c:smooth val="0"/>
          <c:extLst>
            <c:ext xmlns:c16="http://schemas.microsoft.com/office/drawing/2014/chart" uri="{C3380CC4-5D6E-409C-BE32-E72D297353CC}">
              <c16:uniqueId val="{00000000-3FAB-455E-9A6D-B1E556E9DF7D}"/>
            </c:ext>
          </c:extLst>
        </c:ser>
        <c:dLbls>
          <c:showLegendKey val="0"/>
          <c:showVal val="0"/>
          <c:showCatName val="0"/>
          <c:showSerName val="0"/>
          <c:showPercent val="0"/>
          <c:showBubbleSize val="0"/>
        </c:dLbls>
        <c:smooth val="0"/>
        <c:axId val="1568390776"/>
        <c:axId val="1568389136"/>
      </c:lineChart>
      <c:dateAx>
        <c:axId val="1568390776"/>
        <c:scaling>
          <c:orientation val="minMax"/>
        </c:scaling>
        <c:delete val="0"/>
        <c:axPos val="b"/>
        <c:numFmt formatCode="[$-409]mmm\-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68389136"/>
        <c:crosses val="autoZero"/>
        <c:auto val="1"/>
        <c:lblOffset val="100"/>
        <c:baseTimeUnit val="months"/>
      </c:dateAx>
      <c:valAx>
        <c:axId val="1568389136"/>
        <c:scaling>
          <c:orientation val="minMax"/>
          <c:min val="8000"/>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6839077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'Furniture Home'!$D$6</c:f>
              <c:strCache>
                <c:ptCount val="1"/>
                <c:pt idx="0">
                  <c:v>yoy</c:v>
                </c:pt>
              </c:strCache>
            </c:strRef>
          </c:tx>
          <c:spPr>
            <a:ln w="28575" cap="rnd">
              <a:solidFill>
                <a:sysClr val="windowText" lastClr="000000"/>
              </a:solidFill>
              <a:round/>
            </a:ln>
            <a:effectLst/>
          </c:spPr>
          <c:marker>
            <c:symbol val="none"/>
          </c:marker>
          <c:cat>
            <c:numRef>
              <c:f>'Furniture Home'!$A$7:$A$362</c:f>
              <c:numCache>
                <c:formatCode>[$-409]mmm\-yy;@</c:formatCode>
                <c:ptCount val="356"/>
                <c:pt idx="0">
                  <c:v>33604</c:v>
                </c:pt>
                <c:pt idx="1">
                  <c:v>33635</c:v>
                </c:pt>
                <c:pt idx="2">
                  <c:v>33664</c:v>
                </c:pt>
                <c:pt idx="3">
                  <c:v>33695</c:v>
                </c:pt>
                <c:pt idx="4">
                  <c:v>33725</c:v>
                </c:pt>
                <c:pt idx="5">
                  <c:v>33756</c:v>
                </c:pt>
                <c:pt idx="6">
                  <c:v>33786</c:v>
                </c:pt>
                <c:pt idx="7">
                  <c:v>33817</c:v>
                </c:pt>
                <c:pt idx="8">
                  <c:v>33848</c:v>
                </c:pt>
                <c:pt idx="9">
                  <c:v>33878</c:v>
                </c:pt>
                <c:pt idx="10">
                  <c:v>33909</c:v>
                </c:pt>
                <c:pt idx="11">
                  <c:v>33939</c:v>
                </c:pt>
                <c:pt idx="12">
                  <c:v>33970</c:v>
                </c:pt>
                <c:pt idx="13">
                  <c:v>34001</c:v>
                </c:pt>
                <c:pt idx="14">
                  <c:v>34029</c:v>
                </c:pt>
                <c:pt idx="15">
                  <c:v>34060</c:v>
                </c:pt>
                <c:pt idx="16">
                  <c:v>34090</c:v>
                </c:pt>
                <c:pt idx="17">
                  <c:v>34121</c:v>
                </c:pt>
                <c:pt idx="18">
                  <c:v>34151</c:v>
                </c:pt>
                <c:pt idx="19">
                  <c:v>34182</c:v>
                </c:pt>
                <c:pt idx="20">
                  <c:v>34213</c:v>
                </c:pt>
                <c:pt idx="21">
                  <c:v>34243</c:v>
                </c:pt>
                <c:pt idx="22">
                  <c:v>34274</c:v>
                </c:pt>
                <c:pt idx="23">
                  <c:v>34304</c:v>
                </c:pt>
                <c:pt idx="24">
                  <c:v>34335</c:v>
                </c:pt>
                <c:pt idx="25">
                  <c:v>34366</c:v>
                </c:pt>
                <c:pt idx="26">
                  <c:v>34394</c:v>
                </c:pt>
                <c:pt idx="27">
                  <c:v>34425</c:v>
                </c:pt>
                <c:pt idx="28">
                  <c:v>34455</c:v>
                </c:pt>
                <c:pt idx="29">
                  <c:v>34486</c:v>
                </c:pt>
                <c:pt idx="30">
                  <c:v>34516</c:v>
                </c:pt>
                <c:pt idx="31">
                  <c:v>34547</c:v>
                </c:pt>
                <c:pt idx="32">
                  <c:v>34578</c:v>
                </c:pt>
                <c:pt idx="33">
                  <c:v>34608</c:v>
                </c:pt>
                <c:pt idx="34">
                  <c:v>34639</c:v>
                </c:pt>
                <c:pt idx="35">
                  <c:v>34669</c:v>
                </c:pt>
                <c:pt idx="36">
                  <c:v>34700</c:v>
                </c:pt>
                <c:pt idx="37">
                  <c:v>34731</c:v>
                </c:pt>
                <c:pt idx="38">
                  <c:v>34759</c:v>
                </c:pt>
                <c:pt idx="39">
                  <c:v>34790</c:v>
                </c:pt>
                <c:pt idx="40">
                  <c:v>34820</c:v>
                </c:pt>
                <c:pt idx="41">
                  <c:v>34851</c:v>
                </c:pt>
                <c:pt idx="42">
                  <c:v>34881</c:v>
                </c:pt>
                <c:pt idx="43">
                  <c:v>34912</c:v>
                </c:pt>
                <c:pt idx="44">
                  <c:v>34943</c:v>
                </c:pt>
                <c:pt idx="45">
                  <c:v>34973</c:v>
                </c:pt>
                <c:pt idx="46">
                  <c:v>35004</c:v>
                </c:pt>
                <c:pt idx="47">
                  <c:v>35034</c:v>
                </c:pt>
                <c:pt idx="48">
                  <c:v>35065</c:v>
                </c:pt>
                <c:pt idx="49">
                  <c:v>35096</c:v>
                </c:pt>
                <c:pt idx="50">
                  <c:v>35125</c:v>
                </c:pt>
                <c:pt idx="51">
                  <c:v>35156</c:v>
                </c:pt>
                <c:pt idx="52">
                  <c:v>35186</c:v>
                </c:pt>
                <c:pt idx="53">
                  <c:v>35217</c:v>
                </c:pt>
                <c:pt idx="54">
                  <c:v>35247</c:v>
                </c:pt>
                <c:pt idx="55">
                  <c:v>35278</c:v>
                </c:pt>
                <c:pt idx="56">
                  <c:v>35309</c:v>
                </c:pt>
                <c:pt idx="57">
                  <c:v>35339</c:v>
                </c:pt>
                <c:pt idx="58">
                  <c:v>35370</c:v>
                </c:pt>
                <c:pt idx="59">
                  <c:v>35400</c:v>
                </c:pt>
                <c:pt idx="60">
                  <c:v>35431</c:v>
                </c:pt>
                <c:pt idx="61">
                  <c:v>35462</c:v>
                </c:pt>
                <c:pt idx="62">
                  <c:v>35490</c:v>
                </c:pt>
                <c:pt idx="63">
                  <c:v>35521</c:v>
                </c:pt>
                <c:pt idx="64">
                  <c:v>35551</c:v>
                </c:pt>
                <c:pt idx="65">
                  <c:v>35582</c:v>
                </c:pt>
                <c:pt idx="66">
                  <c:v>35612</c:v>
                </c:pt>
                <c:pt idx="67">
                  <c:v>35643</c:v>
                </c:pt>
                <c:pt idx="68">
                  <c:v>35674</c:v>
                </c:pt>
                <c:pt idx="69">
                  <c:v>35704</c:v>
                </c:pt>
                <c:pt idx="70">
                  <c:v>35735</c:v>
                </c:pt>
                <c:pt idx="71">
                  <c:v>35765</c:v>
                </c:pt>
                <c:pt idx="72">
                  <c:v>35796</c:v>
                </c:pt>
                <c:pt idx="73">
                  <c:v>35827</c:v>
                </c:pt>
                <c:pt idx="74">
                  <c:v>35855</c:v>
                </c:pt>
                <c:pt idx="75">
                  <c:v>35886</c:v>
                </c:pt>
                <c:pt idx="76">
                  <c:v>35916</c:v>
                </c:pt>
                <c:pt idx="77">
                  <c:v>35947</c:v>
                </c:pt>
                <c:pt idx="78">
                  <c:v>35977</c:v>
                </c:pt>
                <c:pt idx="79">
                  <c:v>36008</c:v>
                </c:pt>
                <c:pt idx="80">
                  <c:v>36039</c:v>
                </c:pt>
                <c:pt idx="81">
                  <c:v>36069</c:v>
                </c:pt>
                <c:pt idx="82">
                  <c:v>36100</c:v>
                </c:pt>
                <c:pt idx="83">
                  <c:v>36130</c:v>
                </c:pt>
                <c:pt idx="84">
                  <c:v>36161</c:v>
                </c:pt>
                <c:pt idx="85">
                  <c:v>36192</c:v>
                </c:pt>
                <c:pt idx="86">
                  <c:v>36220</c:v>
                </c:pt>
                <c:pt idx="87">
                  <c:v>36251</c:v>
                </c:pt>
                <c:pt idx="88">
                  <c:v>36281</c:v>
                </c:pt>
                <c:pt idx="89">
                  <c:v>36312</c:v>
                </c:pt>
                <c:pt idx="90">
                  <c:v>36342</c:v>
                </c:pt>
                <c:pt idx="91">
                  <c:v>36373</c:v>
                </c:pt>
                <c:pt idx="92">
                  <c:v>36404</c:v>
                </c:pt>
                <c:pt idx="93">
                  <c:v>36434</c:v>
                </c:pt>
                <c:pt idx="94">
                  <c:v>36465</c:v>
                </c:pt>
                <c:pt idx="95">
                  <c:v>36495</c:v>
                </c:pt>
                <c:pt idx="96">
                  <c:v>36526</c:v>
                </c:pt>
                <c:pt idx="97">
                  <c:v>36557</c:v>
                </c:pt>
                <c:pt idx="98">
                  <c:v>36586</c:v>
                </c:pt>
                <c:pt idx="99">
                  <c:v>36617</c:v>
                </c:pt>
                <c:pt idx="100">
                  <c:v>36647</c:v>
                </c:pt>
                <c:pt idx="101">
                  <c:v>36678</c:v>
                </c:pt>
                <c:pt idx="102">
                  <c:v>36708</c:v>
                </c:pt>
                <c:pt idx="103">
                  <c:v>36739</c:v>
                </c:pt>
                <c:pt idx="104">
                  <c:v>36770</c:v>
                </c:pt>
                <c:pt idx="105">
                  <c:v>36800</c:v>
                </c:pt>
                <c:pt idx="106">
                  <c:v>36831</c:v>
                </c:pt>
                <c:pt idx="107">
                  <c:v>36861</c:v>
                </c:pt>
                <c:pt idx="108">
                  <c:v>36892</c:v>
                </c:pt>
                <c:pt idx="109">
                  <c:v>36923</c:v>
                </c:pt>
                <c:pt idx="110">
                  <c:v>36951</c:v>
                </c:pt>
                <c:pt idx="111">
                  <c:v>36982</c:v>
                </c:pt>
                <c:pt idx="112">
                  <c:v>37012</c:v>
                </c:pt>
                <c:pt idx="113">
                  <c:v>37043</c:v>
                </c:pt>
                <c:pt idx="114">
                  <c:v>37073</c:v>
                </c:pt>
                <c:pt idx="115">
                  <c:v>37104</c:v>
                </c:pt>
                <c:pt idx="116">
                  <c:v>37135</c:v>
                </c:pt>
                <c:pt idx="117">
                  <c:v>37165</c:v>
                </c:pt>
                <c:pt idx="118">
                  <c:v>37196</c:v>
                </c:pt>
                <c:pt idx="119">
                  <c:v>37226</c:v>
                </c:pt>
                <c:pt idx="120">
                  <c:v>37257</c:v>
                </c:pt>
                <c:pt idx="121">
                  <c:v>37288</c:v>
                </c:pt>
                <c:pt idx="122">
                  <c:v>37316</c:v>
                </c:pt>
                <c:pt idx="123">
                  <c:v>37347</c:v>
                </c:pt>
                <c:pt idx="124">
                  <c:v>37377</c:v>
                </c:pt>
                <c:pt idx="125">
                  <c:v>37408</c:v>
                </c:pt>
                <c:pt idx="126">
                  <c:v>37438</c:v>
                </c:pt>
                <c:pt idx="127">
                  <c:v>37469</c:v>
                </c:pt>
                <c:pt idx="128">
                  <c:v>37500</c:v>
                </c:pt>
                <c:pt idx="129">
                  <c:v>37530</c:v>
                </c:pt>
                <c:pt idx="130">
                  <c:v>37561</c:v>
                </c:pt>
                <c:pt idx="131">
                  <c:v>37591</c:v>
                </c:pt>
                <c:pt idx="132">
                  <c:v>37622</c:v>
                </c:pt>
                <c:pt idx="133">
                  <c:v>37653</c:v>
                </c:pt>
                <c:pt idx="134">
                  <c:v>37681</c:v>
                </c:pt>
                <c:pt idx="135">
                  <c:v>37712</c:v>
                </c:pt>
                <c:pt idx="136">
                  <c:v>37742</c:v>
                </c:pt>
                <c:pt idx="137">
                  <c:v>37773</c:v>
                </c:pt>
                <c:pt idx="138">
                  <c:v>37803</c:v>
                </c:pt>
                <c:pt idx="139">
                  <c:v>37834</c:v>
                </c:pt>
                <c:pt idx="140">
                  <c:v>37865</c:v>
                </c:pt>
                <c:pt idx="141">
                  <c:v>37895</c:v>
                </c:pt>
                <c:pt idx="142">
                  <c:v>37926</c:v>
                </c:pt>
                <c:pt idx="143">
                  <c:v>37956</c:v>
                </c:pt>
                <c:pt idx="144">
                  <c:v>37987</c:v>
                </c:pt>
                <c:pt idx="145">
                  <c:v>38018</c:v>
                </c:pt>
                <c:pt idx="146">
                  <c:v>38047</c:v>
                </c:pt>
                <c:pt idx="147">
                  <c:v>38078</c:v>
                </c:pt>
                <c:pt idx="148">
                  <c:v>38108</c:v>
                </c:pt>
                <c:pt idx="149">
                  <c:v>38139</c:v>
                </c:pt>
                <c:pt idx="150">
                  <c:v>38169</c:v>
                </c:pt>
                <c:pt idx="151">
                  <c:v>38200</c:v>
                </c:pt>
                <c:pt idx="152">
                  <c:v>38231</c:v>
                </c:pt>
                <c:pt idx="153">
                  <c:v>38261</c:v>
                </c:pt>
                <c:pt idx="154">
                  <c:v>38292</c:v>
                </c:pt>
                <c:pt idx="155">
                  <c:v>38322</c:v>
                </c:pt>
                <c:pt idx="156">
                  <c:v>38353</c:v>
                </c:pt>
                <c:pt idx="157">
                  <c:v>38384</c:v>
                </c:pt>
                <c:pt idx="158">
                  <c:v>38412</c:v>
                </c:pt>
                <c:pt idx="159">
                  <c:v>38443</c:v>
                </c:pt>
                <c:pt idx="160">
                  <c:v>38473</c:v>
                </c:pt>
                <c:pt idx="161">
                  <c:v>38504</c:v>
                </c:pt>
                <c:pt idx="162">
                  <c:v>38534</c:v>
                </c:pt>
                <c:pt idx="163">
                  <c:v>38565</c:v>
                </c:pt>
                <c:pt idx="164">
                  <c:v>38596</c:v>
                </c:pt>
                <c:pt idx="165">
                  <c:v>38626</c:v>
                </c:pt>
                <c:pt idx="166">
                  <c:v>38657</c:v>
                </c:pt>
                <c:pt idx="167">
                  <c:v>38687</c:v>
                </c:pt>
                <c:pt idx="168">
                  <c:v>38718</c:v>
                </c:pt>
                <c:pt idx="169">
                  <c:v>38749</c:v>
                </c:pt>
                <c:pt idx="170">
                  <c:v>38777</c:v>
                </c:pt>
                <c:pt idx="171">
                  <c:v>38808</c:v>
                </c:pt>
                <c:pt idx="172">
                  <c:v>38838</c:v>
                </c:pt>
                <c:pt idx="173">
                  <c:v>38869</c:v>
                </c:pt>
                <c:pt idx="174">
                  <c:v>38899</c:v>
                </c:pt>
                <c:pt idx="175">
                  <c:v>38930</c:v>
                </c:pt>
                <c:pt idx="176">
                  <c:v>38961</c:v>
                </c:pt>
                <c:pt idx="177">
                  <c:v>38991</c:v>
                </c:pt>
                <c:pt idx="178">
                  <c:v>39022</c:v>
                </c:pt>
                <c:pt idx="179">
                  <c:v>39052</c:v>
                </c:pt>
                <c:pt idx="180">
                  <c:v>39083</c:v>
                </c:pt>
                <c:pt idx="181">
                  <c:v>39114</c:v>
                </c:pt>
                <c:pt idx="182">
                  <c:v>39142</c:v>
                </c:pt>
                <c:pt idx="183">
                  <c:v>39173</c:v>
                </c:pt>
                <c:pt idx="184">
                  <c:v>39203</c:v>
                </c:pt>
                <c:pt idx="185">
                  <c:v>39234</c:v>
                </c:pt>
                <c:pt idx="186">
                  <c:v>39264</c:v>
                </c:pt>
                <c:pt idx="187">
                  <c:v>39295</c:v>
                </c:pt>
                <c:pt idx="188">
                  <c:v>39326</c:v>
                </c:pt>
                <c:pt idx="189">
                  <c:v>39356</c:v>
                </c:pt>
                <c:pt idx="190">
                  <c:v>39387</c:v>
                </c:pt>
                <c:pt idx="191">
                  <c:v>39417</c:v>
                </c:pt>
                <c:pt idx="192">
                  <c:v>39448</c:v>
                </c:pt>
                <c:pt idx="193">
                  <c:v>39479</c:v>
                </c:pt>
                <c:pt idx="194">
                  <c:v>39508</c:v>
                </c:pt>
                <c:pt idx="195">
                  <c:v>39539</c:v>
                </c:pt>
                <c:pt idx="196">
                  <c:v>39569</c:v>
                </c:pt>
                <c:pt idx="197">
                  <c:v>39600</c:v>
                </c:pt>
                <c:pt idx="198">
                  <c:v>39630</c:v>
                </c:pt>
                <c:pt idx="199">
                  <c:v>39661</c:v>
                </c:pt>
                <c:pt idx="200">
                  <c:v>39692</c:v>
                </c:pt>
                <c:pt idx="201">
                  <c:v>39722</c:v>
                </c:pt>
                <c:pt idx="202">
                  <c:v>39753</c:v>
                </c:pt>
                <c:pt idx="203">
                  <c:v>39783</c:v>
                </c:pt>
                <c:pt idx="204">
                  <c:v>39814</c:v>
                </c:pt>
                <c:pt idx="205">
                  <c:v>39845</c:v>
                </c:pt>
                <c:pt idx="206">
                  <c:v>39873</c:v>
                </c:pt>
                <c:pt idx="207">
                  <c:v>39904</c:v>
                </c:pt>
                <c:pt idx="208">
                  <c:v>39934</c:v>
                </c:pt>
                <c:pt idx="209">
                  <c:v>39965</c:v>
                </c:pt>
                <c:pt idx="210">
                  <c:v>39995</c:v>
                </c:pt>
                <c:pt idx="211">
                  <c:v>40026</c:v>
                </c:pt>
                <c:pt idx="212">
                  <c:v>40057</c:v>
                </c:pt>
                <c:pt idx="213">
                  <c:v>40087</c:v>
                </c:pt>
                <c:pt idx="214">
                  <c:v>40118</c:v>
                </c:pt>
                <c:pt idx="215">
                  <c:v>40148</c:v>
                </c:pt>
                <c:pt idx="216">
                  <c:v>40179</c:v>
                </c:pt>
                <c:pt idx="217">
                  <c:v>40210</c:v>
                </c:pt>
                <c:pt idx="218">
                  <c:v>40238</c:v>
                </c:pt>
                <c:pt idx="219">
                  <c:v>40269</c:v>
                </c:pt>
                <c:pt idx="220">
                  <c:v>40299</c:v>
                </c:pt>
                <c:pt idx="221">
                  <c:v>40330</c:v>
                </c:pt>
                <c:pt idx="222">
                  <c:v>40360</c:v>
                </c:pt>
                <c:pt idx="223">
                  <c:v>40391</c:v>
                </c:pt>
                <c:pt idx="224">
                  <c:v>40422</c:v>
                </c:pt>
                <c:pt idx="225">
                  <c:v>40452</c:v>
                </c:pt>
                <c:pt idx="226">
                  <c:v>40483</c:v>
                </c:pt>
                <c:pt idx="227">
                  <c:v>40513</c:v>
                </c:pt>
                <c:pt idx="228">
                  <c:v>40544</c:v>
                </c:pt>
                <c:pt idx="229">
                  <c:v>40575</c:v>
                </c:pt>
                <c:pt idx="230">
                  <c:v>40603</c:v>
                </c:pt>
                <c:pt idx="231">
                  <c:v>40634</c:v>
                </c:pt>
                <c:pt idx="232">
                  <c:v>40664</c:v>
                </c:pt>
                <c:pt idx="233">
                  <c:v>40695</c:v>
                </c:pt>
                <c:pt idx="234">
                  <c:v>40725</c:v>
                </c:pt>
                <c:pt idx="235">
                  <c:v>40756</c:v>
                </c:pt>
                <c:pt idx="236">
                  <c:v>40787</c:v>
                </c:pt>
                <c:pt idx="237">
                  <c:v>40817</c:v>
                </c:pt>
                <c:pt idx="238">
                  <c:v>40848</c:v>
                </c:pt>
                <c:pt idx="239">
                  <c:v>40878</c:v>
                </c:pt>
                <c:pt idx="240">
                  <c:v>40909</c:v>
                </c:pt>
                <c:pt idx="241">
                  <c:v>40940</c:v>
                </c:pt>
                <c:pt idx="242">
                  <c:v>40969</c:v>
                </c:pt>
                <c:pt idx="243">
                  <c:v>41000</c:v>
                </c:pt>
                <c:pt idx="244">
                  <c:v>41030</c:v>
                </c:pt>
                <c:pt idx="245">
                  <c:v>41061</c:v>
                </c:pt>
                <c:pt idx="246">
                  <c:v>41091</c:v>
                </c:pt>
                <c:pt idx="247">
                  <c:v>41122</c:v>
                </c:pt>
                <c:pt idx="248">
                  <c:v>41153</c:v>
                </c:pt>
                <c:pt idx="249">
                  <c:v>41183</c:v>
                </c:pt>
                <c:pt idx="250">
                  <c:v>41214</c:v>
                </c:pt>
                <c:pt idx="251">
                  <c:v>41244</c:v>
                </c:pt>
                <c:pt idx="252">
                  <c:v>41275</c:v>
                </c:pt>
                <c:pt idx="253">
                  <c:v>41306</c:v>
                </c:pt>
                <c:pt idx="254">
                  <c:v>41334</c:v>
                </c:pt>
                <c:pt idx="255">
                  <c:v>41365</c:v>
                </c:pt>
                <c:pt idx="256">
                  <c:v>41395</c:v>
                </c:pt>
                <c:pt idx="257">
                  <c:v>41426</c:v>
                </c:pt>
                <c:pt idx="258">
                  <c:v>41456</c:v>
                </c:pt>
                <c:pt idx="259">
                  <c:v>41487</c:v>
                </c:pt>
                <c:pt idx="260">
                  <c:v>41518</c:v>
                </c:pt>
                <c:pt idx="261">
                  <c:v>41548</c:v>
                </c:pt>
                <c:pt idx="262">
                  <c:v>41579</c:v>
                </c:pt>
                <c:pt idx="263">
                  <c:v>41609</c:v>
                </c:pt>
                <c:pt idx="264">
                  <c:v>41640</c:v>
                </c:pt>
                <c:pt idx="265">
                  <c:v>41671</c:v>
                </c:pt>
                <c:pt idx="266">
                  <c:v>41699</c:v>
                </c:pt>
                <c:pt idx="267">
                  <c:v>41730</c:v>
                </c:pt>
                <c:pt idx="268">
                  <c:v>41760</c:v>
                </c:pt>
                <c:pt idx="269">
                  <c:v>41791</c:v>
                </c:pt>
                <c:pt idx="270">
                  <c:v>41821</c:v>
                </c:pt>
                <c:pt idx="271">
                  <c:v>41852</c:v>
                </c:pt>
                <c:pt idx="272">
                  <c:v>41883</c:v>
                </c:pt>
                <c:pt idx="273">
                  <c:v>41913</c:v>
                </c:pt>
                <c:pt idx="274">
                  <c:v>41944</c:v>
                </c:pt>
                <c:pt idx="275">
                  <c:v>41974</c:v>
                </c:pt>
                <c:pt idx="276">
                  <c:v>42005</c:v>
                </c:pt>
                <c:pt idx="277">
                  <c:v>42036</c:v>
                </c:pt>
                <c:pt idx="278">
                  <c:v>42064</c:v>
                </c:pt>
                <c:pt idx="279">
                  <c:v>42095</c:v>
                </c:pt>
                <c:pt idx="280">
                  <c:v>42125</c:v>
                </c:pt>
                <c:pt idx="281">
                  <c:v>42156</c:v>
                </c:pt>
                <c:pt idx="282">
                  <c:v>42186</c:v>
                </c:pt>
                <c:pt idx="283">
                  <c:v>42217</c:v>
                </c:pt>
                <c:pt idx="284">
                  <c:v>42248</c:v>
                </c:pt>
                <c:pt idx="285">
                  <c:v>42278</c:v>
                </c:pt>
                <c:pt idx="286">
                  <c:v>42309</c:v>
                </c:pt>
                <c:pt idx="287">
                  <c:v>42339</c:v>
                </c:pt>
                <c:pt idx="288">
                  <c:v>42370</c:v>
                </c:pt>
                <c:pt idx="289">
                  <c:v>42401</c:v>
                </c:pt>
                <c:pt idx="290">
                  <c:v>42430</c:v>
                </c:pt>
                <c:pt idx="291">
                  <c:v>42461</c:v>
                </c:pt>
                <c:pt idx="292">
                  <c:v>42491</c:v>
                </c:pt>
                <c:pt idx="293">
                  <c:v>42522</c:v>
                </c:pt>
                <c:pt idx="294">
                  <c:v>42552</c:v>
                </c:pt>
                <c:pt idx="295">
                  <c:v>42583</c:v>
                </c:pt>
                <c:pt idx="296">
                  <c:v>42614</c:v>
                </c:pt>
                <c:pt idx="297">
                  <c:v>42644</c:v>
                </c:pt>
                <c:pt idx="298">
                  <c:v>42675</c:v>
                </c:pt>
                <c:pt idx="299">
                  <c:v>42705</c:v>
                </c:pt>
                <c:pt idx="300">
                  <c:v>42736</c:v>
                </c:pt>
                <c:pt idx="301">
                  <c:v>42767</c:v>
                </c:pt>
                <c:pt idx="302">
                  <c:v>42795</c:v>
                </c:pt>
                <c:pt idx="303">
                  <c:v>42826</c:v>
                </c:pt>
                <c:pt idx="304">
                  <c:v>42856</c:v>
                </c:pt>
                <c:pt idx="305">
                  <c:v>42887</c:v>
                </c:pt>
                <c:pt idx="306">
                  <c:v>42917</c:v>
                </c:pt>
                <c:pt idx="307">
                  <c:v>42948</c:v>
                </c:pt>
                <c:pt idx="308">
                  <c:v>42979</c:v>
                </c:pt>
                <c:pt idx="309">
                  <c:v>43009</c:v>
                </c:pt>
                <c:pt idx="310">
                  <c:v>43040</c:v>
                </c:pt>
                <c:pt idx="311">
                  <c:v>43070</c:v>
                </c:pt>
                <c:pt idx="312">
                  <c:v>43101</c:v>
                </c:pt>
                <c:pt idx="313">
                  <c:v>43132</c:v>
                </c:pt>
                <c:pt idx="314">
                  <c:v>43160</c:v>
                </c:pt>
                <c:pt idx="315">
                  <c:v>43191</c:v>
                </c:pt>
                <c:pt idx="316">
                  <c:v>43221</c:v>
                </c:pt>
                <c:pt idx="317">
                  <c:v>43252</c:v>
                </c:pt>
                <c:pt idx="318">
                  <c:v>43282</c:v>
                </c:pt>
                <c:pt idx="319">
                  <c:v>43313</c:v>
                </c:pt>
                <c:pt idx="320">
                  <c:v>43344</c:v>
                </c:pt>
                <c:pt idx="321">
                  <c:v>43374</c:v>
                </c:pt>
                <c:pt idx="322">
                  <c:v>43405</c:v>
                </c:pt>
                <c:pt idx="323">
                  <c:v>43435</c:v>
                </c:pt>
                <c:pt idx="324">
                  <c:v>43466</c:v>
                </c:pt>
                <c:pt idx="325">
                  <c:v>43497</c:v>
                </c:pt>
                <c:pt idx="326">
                  <c:v>43525</c:v>
                </c:pt>
                <c:pt idx="327">
                  <c:v>43556</c:v>
                </c:pt>
                <c:pt idx="328">
                  <c:v>43586</c:v>
                </c:pt>
                <c:pt idx="329">
                  <c:v>43617</c:v>
                </c:pt>
                <c:pt idx="330">
                  <c:v>43647</c:v>
                </c:pt>
                <c:pt idx="331">
                  <c:v>43678</c:v>
                </c:pt>
                <c:pt idx="332">
                  <c:v>43709</c:v>
                </c:pt>
                <c:pt idx="333">
                  <c:v>43739</c:v>
                </c:pt>
                <c:pt idx="334">
                  <c:v>43770</c:v>
                </c:pt>
                <c:pt idx="335">
                  <c:v>43800</c:v>
                </c:pt>
                <c:pt idx="336">
                  <c:v>43831</c:v>
                </c:pt>
                <c:pt idx="337">
                  <c:v>43862</c:v>
                </c:pt>
                <c:pt idx="338">
                  <c:v>43891</c:v>
                </c:pt>
                <c:pt idx="339">
                  <c:v>43922</c:v>
                </c:pt>
                <c:pt idx="340">
                  <c:v>43952</c:v>
                </c:pt>
                <c:pt idx="341">
                  <c:v>43983</c:v>
                </c:pt>
                <c:pt idx="342">
                  <c:v>44013</c:v>
                </c:pt>
                <c:pt idx="343">
                  <c:v>44044</c:v>
                </c:pt>
                <c:pt idx="344">
                  <c:v>44075</c:v>
                </c:pt>
                <c:pt idx="345">
                  <c:v>44105</c:v>
                </c:pt>
                <c:pt idx="346">
                  <c:v>44136</c:v>
                </c:pt>
                <c:pt idx="347">
                  <c:v>44166</c:v>
                </c:pt>
                <c:pt idx="348">
                  <c:v>44197</c:v>
                </c:pt>
                <c:pt idx="349">
                  <c:v>44228</c:v>
                </c:pt>
                <c:pt idx="350">
                  <c:v>44256</c:v>
                </c:pt>
                <c:pt idx="351">
                  <c:v>44287</c:v>
                </c:pt>
                <c:pt idx="352">
                  <c:v>44317</c:v>
                </c:pt>
                <c:pt idx="353">
                  <c:v>44348</c:v>
                </c:pt>
                <c:pt idx="354">
                  <c:v>44378</c:v>
                </c:pt>
                <c:pt idx="355">
                  <c:v>44409</c:v>
                </c:pt>
              </c:numCache>
            </c:numRef>
          </c:cat>
          <c:val>
            <c:numRef>
              <c:f>'Furniture Home'!$D$7:$D$362</c:f>
              <c:numCache>
                <c:formatCode>General</c:formatCode>
                <c:ptCount val="356"/>
                <c:pt idx="12" formatCode="0.00%">
                  <c:v>0.11122047244094488</c:v>
                </c:pt>
                <c:pt idx="13" formatCode="0.00%">
                  <c:v>7.3247635217074947E-2</c:v>
                </c:pt>
                <c:pt idx="14" formatCode="0.00%">
                  <c:v>7.2762551540140677E-2</c:v>
                </c:pt>
                <c:pt idx="15" formatCode="0.00%">
                  <c:v>8.5006612961404354E-2</c:v>
                </c:pt>
                <c:pt idx="16" formatCode="0.00%">
                  <c:v>9.8051010587102985E-2</c:v>
                </c:pt>
                <c:pt idx="17" formatCode="0.00%">
                  <c:v>9.3292029071845584E-2</c:v>
                </c:pt>
                <c:pt idx="18" formatCode="0.00%">
                  <c:v>9.8591549295774641E-2</c:v>
                </c:pt>
                <c:pt idx="19" formatCode="0.00%">
                  <c:v>0.10593824228028503</c:v>
                </c:pt>
                <c:pt idx="20" formatCode="0.00%">
                  <c:v>0.10967665521733981</c:v>
                </c:pt>
                <c:pt idx="21" formatCode="0.00%">
                  <c:v>0.10465527401296405</c:v>
                </c:pt>
                <c:pt idx="22" formatCode="0.00%">
                  <c:v>0.11171341032288475</c:v>
                </c:pt>
                <c:pt idx="23" formatCode="0.00%">
                  <c:v>9.347625633932688E-2</c:v>
                </c:pt>
                <c:pt idx="24" formatCode="0.00%">
                  <c:v>4.1629760850310012E-2</c:v>
                </c:pt>
                <c:pt idx="25" formatCode="0.00%">
                  <c:v>9.8757062146892657E-2</c:v>
                </c:pt>
                <c:pt idx="26" formatCode="0.00%">
                  <c:v>0.1261587158037531</c:v>
                </c:pt>
                <c:pt idx="27" formatCode="0.00%">
                  <c:v>0.1088209219858156</c:v>
                </c:pt>
                <c:pt idx="28" formatCode="0.00%">
                  <c:v>0.11274241262189109</c:v>
                </c:pt>
                <c:pt idx="29" formatCode="0.00%">
                  <c:v>0.12587183958151701</c:v>
                </c:pt>
                <c:pt idx="30" formatCode="0.00%">
                  <c:v>0.11786252962723551</c:v>
                </c:pt>
                <c:pt idx="31" formatCode="0.00%">
                  <c:v>0.13573883161512026</c:v>
                </c:pt>
                <c:pt idx="32" formatCode="0.00%">
                  <c:v>0.1404632298004056</c:v>
                </c:pt>
                <c:pt idx="33" formatCode="0.00%">
                  <c:v>0.16238130801237596</c:v>
                </c:pt>
                <c:pt idx="34" formatCode="0.00%">
                  <c:v>0.16090735637057452</c:v>
                </c:pt>
                <c:pt idx="35" formatCode="0.00%">
                  <c:v>0.16875724675872247</c:v>
                </c:pt>
                <c:pt idx="36" formatCode="0.00%">
                  <c:v>0.18590561224489796</c:v>
                </c:pt>
                <c:pt idx="37" formatCode="0.00%">
                  <c:v>0.12176059234882765</c:v>
                </c:pt>
                <c:pt idx="38" formatCode="0.00%">
                  <c:v>0.10208793414976912</c:v>
                </c:pt>
                <c:pt idx="39" formatCode="0.00%">
                  <c:v>9.0745552668398954E-2</c:v>
                </c:pt>
                <c:pt idx="40" formatCode="0.00%">
                  <c:v>0.10003938558487593</c:v>
                </c:pt>
                <c:pt idx="41" formatCode="0.00%">
                  <c:v>8.5761300938921689E-2</c:v>
                </c:pt>
                <c:pt idx="42" formatCode="0.00%">
                  <c:v>8.7413261372397841E-2</c:v>
                </c:pt>
                <c:pt idx="43" formatCode="0.00%">
                  <c:v>8.3869137670196672E-2</c:v>
                </c:pt>
                <c:pt idx="44" formatCode="0.00%">
                  <c:v>8.0767430978006552E-2</c:v>
                </c:pt>
                <c:pt idx="45" formatCode="0.00%">
                  <c:v>6.8471776044056909E-2</c:v>
                </c:pt>
                <c:pt idx="46" formatCode="0.00%">
                  <c:v>7.5511322132943759E-2</c:v>
                </c:pt>
                <c:pt idx="47" formatCode="0.00%">
                  <c:v>5.7539682539682536E-2</c:v>
                </c:pt>
                <c:pt idx="48" formatCode="0.00%">
                  <c:v>3.0115622479161063E-2</c:v>
                </c:pt>
                <c:pt idx="49" formatCode="0.00%">
                  <c:v>6.2889622295562886E-2</c:v>
                </c:pt>
                <c:pt idx="50" formatCode="0.00%">
                  <c:v>8.6710993715274617E-2</c:v>
                </c:pt>
                <c:pt idx="51" formatCode="0.00%">
                  <c:v>9.657320872274143E-2</c:v>
                </c:pt>
                <c:pt idx="52" formatCode="0.00%">
                  <c:v>7.5366988900823481E-2</c:v>
                </c:pt>
                <c:pt idx="53" formatCode="0.00%">
                  <c:v>7.0874565391815997E-2</c:v>
                </c:pt>
                <c:pt idx="54" formatCode="0.00%">
                  <c:v>5.734290525569441E-2</c:v>
                </c:pt>
                <c:pt idx="55" formatCode="0.00%">
                  <c:v>4.6410189304719532E-2</c:v>
                </c:pt>
                <c:pt idx="56" formatCode="0.00%">
                  <c:v>5.6459993072393487E-2</c:v>
                </c:pt>
                <c:pt idx="57" formatCode="0.00%">
                  <c:v>4.8621252469719094E-2</c:v>
                </c:pt>
                <c:pt idx="58" formatCode="0.00%">
                  <c:v>2.9289413362764243E-2</c:v>
                </c:pt>
                <c:pt idx="59" formatCode="0.00%">
                  <c:v>2.771618625277162E-2</c:v>
                </c:pt>
                <c:pt idx="60" formatCode="0.00%">
                  <c:v>3.9850343687461931E-2</c:v>
                </c:pt>
                <c:pt idx="61" formatCode="0.00%">
                  <c:v>5.3734690357081248E-2</c:v>
                </c:pt>
                <c:pt idx="62" formatCode="0.00%">
                  <c:v>2.8916268544128741E-2</c:v>
                </c:pt>
                <c:pt idx="63" formatCode="0.00%">
                  <c:v>3.8101604278074866E-2</c:v>
                </c:pt>
                <c:pt idx="64" formatCode="0.00%">
                  <c:v>3.2462127517895789E-2</c:v>
                </c:pt>
                <c:pt idx="65" formatCode="0.00%">
                  <c:v>3.8461538461538464E-2</c:v>
                </c:pt>
                <c:pt idx="66" formatCode="0.00%">
                  <c:v>5.3143336127409894E-2</c:v>
                </c:pt>
                <c:pt idx="67" formatCode="0.00%">
                  <c:v>5.7690704460191748E-2</c:v>
                </c:pt>
                <c:pt idx="68" formatCode="0.00%">
                  <c:v>4.2704918032786886E-2</c:v>
                </c:pt>
                <c:pt idx="69" formatCode="0.00%">
                  <c:v>4.2516588842467437E-2</c:v>
                </c:pt>
                <c:pt idx="70" formatCode="0.00%">
                  <c:v>6.3592873639063019E-2</c:v>
                </c:pt>
                <c:pt idx="71" formatCode="0.00%">
                  <c:v>7.4516637623433746E-2</c:v>
                </c:pt>
                <c:pt idx="72" formatCode="0.00%">
                  <c:v>0.10057735754330181</c:v>
                </c:pt>
                <c:pt idx="73" formatCode="0.00%">
                  <c:v>7.5468609314889093E-2</c:v>
                </c:pt>
                <c:pt idx="74" formatCode="0.00%">
                  <c:v>6.9403714565004881E-2</c:v>
                </c:pt>
                <c:pt idx="75" formatCode="0.00%">
                  <c:v>5.7227945911139728E-2</c:v>
                </c:pt>
                <c:pt idx="76" formatCode="0.00%">
                  <c:v>6.320541760722348E-2</c:v>
                </c:pt>
                <c:pt idx="77" formatCode="0.00%">
                  <c:v>6.9985569985569984E-2</c:v>
                </c:pt>
                <c:pt idx="78" formatCode="0.00%">
                  <c:v>6.709646609360076E-2</c:v>
                </c:pt>
                <c:pt idx="79" formatCode="0.00%">
                  <c:v>6.3371955545046113E-2</c:v>
                </c:pt>
                <c:pt idx="80" formatCode="0.00%">
                  <c:v>5.1253832245892618E-2</c:v>
                </c:pt>
                <c:pt idx="81" formatCode="0.00%">
                  <c:v>5.6419927707056422E-2</c:v>
                </c:pt>
                <c:pt idx="82" formatCode="0.00%">
                  <c:v>5.9790616518030242E-2</c:v>
                </c:pt>
                <c:pt idx="83" formatCode="0.00%">
                  <c:v>5.421268051586995E-2</c:v>
                </c:pt>
                <c:pt idx="84" formatCode="0.00%">
                  <c:v>3.5277123089789399E-2</c:v>
                </c:pt>
                <c:pt idx="85" formatCode="0.00%">
                  <c:v>4.962325899992389E-2</c:v>
                </c:pt>
                <c:pt idx="86" formatCode="0.00%">
                  <c:v>6.2385740402193787E-2</c:v>
                </c:pt>
                <c:pt idx="87" formatCode="0.00%">
                  <c:v>6.5017129805862203E-2</c:v>
                </c:pt>
                <c:pt idx="88" formatCode="0.00%">
                  <c:v>7.0215347285410984E-2</c:v>
                </c:pt>
                <c:pt idx="89" formatCode="0.00%">
                  <c:v>6.9303963437476593E-2</c:v>
                </c:pt>
                <c:pt idx="90" formatCode="0.00%">
                  <c:v>6.8993809204147091E-2</c:v>
                </c:pt>
                <c:pt idx="91" formatCode="0.00%">
                  <c:v>6.9453709880661185E-2</c:v>
                </c:pt>
                <c:pt idx="92" formatCode="0.00%">
                  <c:v>9.9379346444328123E-2</c:v>
                </c:pt>
                <c:pt idx="93" formatCode="0.00%">
                  <c:v>9.5209759000297531E-2</c:v>
                </c:pt>
                <c:pt idx="94" formatCode="0.00%">
                  <c:v>6.9954631933265038E-2</c:v>
                </c:pt>
                <c:pt idx="95" formatCode="0.00%">
                  <c:v>8.0067394330085709E-2</c:v>
                </c:pt>
                <c:pt idx="96" formatCode="0.00%">
                  <c:v>0.10810016890651392</c:v>
                </c:pt>
                <c:pt idx="97" formatCode="0.00%">
                  <c:v>0.1037633239068958</c:v>
                </c:pt>
                <c:pt idx="98" formatCode="0.00%">
                  <c:v>9.3496809349680937E-2</c:v>
                </c:pt>
                <c:pt idx="99" formatCode="0.00%">
                  <c:v>0.11101579812709986</c:v>
                </c:pt>
                <c:pt idx="100" formatCode="0.00%">
                  <c:v>8.2896414907184357E-2</c:v>
                </c:pt>
                <c:pt idx="101" formatCode="0.00%">
                  <c:v>5.297085201793722E-2</c:v>
                </c:pt>
                <c:pt idx="102" formatCode="0.00%">
                  <c:v>5.672620708903154E-2</c:v>
                </c:pt>
                <c:pt idx="103" formatCode="0.00%">
                  <c:v>4.8100914887718324E-2</c:v>
                </c:pt>
                <c:pt idx="104" formatCode="0.00%">
                  <c:v>3.7477894164059312E-2</c:v>
                </c:pt>
                <c:pt idx="105" formatCode="0.00%">
                  <c:v>2.9136104319478402E-2</c:v>
                </c:pt>
                <c:pt idx="106" formatCode="0.00%">
                  <c:v>2.3936533989878266E-2</c:v>
                </c:pt>
                <c:pt idx="107" formatCode="0.00%">
                  <c:v>-1.6142159522517633E-2</c:v>
                </c:pt>
                <c:pt idx="108" formatCode="0.00%">
                  <c:v>3.3799456557757307E-3</c:v>
                </c:pt>
                <c:pt idx="109" formatCode="0.00%">
                  <c:v>-1.8197345946656156E-2</c:v>
                </c:pt>
                <c:pt idx="110" formatCode="0.00%">
                  <c:v>-2.8522719821651041E-2</c:v>
                </c:pt>
                <c:pt idx="111" formatCode="0.00%">
                  <c:v>-4.9543173336764897E-2</c:v>
                </c:pt>
                <c:pt idx="112" formatCode="0.00%">
                  <c:v>-3.8602460088981945E-2</c:v>
                </c:pt>
                <c:pt idx="113" formatCode="0.00%">
                  <c:v>-1.124567474048443E-2</c:v>
                </c:pt>
                <c:pt idx="114" formatCode="0.00%">
                  <c:v>-1.162099702872235E-2</c:v>
                </c:pt>
                <c:pt idx="115" formatCode="0.00%">
                  <c:v>-1.4416082528766036E-2</c:v>
                </c:pt>
                <c:pt idx="116" formatCode="0.00%">
                  <c:v>-4.5433685176686556E-2</c:v>
                </c:pt>
                <c:pt idx="117" formatCode="0.00%">
                  <c:v>-2.4615587672408103E-2</c:v>
                </c:pt>
                <c:pt idx="118" formatCode="0.00%">
                  <c:v>2.5647876035265828E-2</c:v>
                </c:pt>
                <c:pt idx="119" formatCode="0.00%">
                  <c:v>8.189714600854818E-2</c:v>
                </c:pt>
                <c:pt idx="120" formatCode="0.00%">
                  <c:v>2.0541611624834876E-2</c:v>
                </c:pt>
                <c:pt idx="121" formatCode="0.00%">
                  <c:v>4.2154566744730677E-2</c:v>
                </c:pt>
                <c:pt idx="122" formatCode="0.00%">
                  <c:v>5.4670626349892011E-2</c:v>
                </c:pt>
                <c:pt idx="123" formatCode="0.00%">
                  <c:v>4.8605469807744384E-2</c:v>
                </c:pt>
                <c:pt idx="124" formatCode="0.00%">
                  <c:v>6.4175854090104803E-2</c:v>
                </c:pt>
                <c:pt idx="125" formatCode="0.00%">
                  <c:v>4.2263947775758801E-2</c:v>
                </c:pt>
                <c:pt idx="126" formatCode="0.00%">
                  <c:v>2.104348987908344E-2</c:v>
                </c:pt>
                <c:pt idx="127" formatCode="0.00%">
                  <c:v>3.0394524959742351E-2</c:v>
                </c:pt>
                <c:pt idx="128" formatCode="0.00%">
                  <c:v>5.3777472527472531E-2</c:v>
                </c:pt>
                <c:pt idx="129" formatCode="0.00%">
                  <c:v>3.5926928281461434E-2</c:v>
                </c:pt>
                <c:pt idx="130" formatCode="0.00%">
                  <c:v>9.8984110445428496E-3</c:v>
                </c:pt>
                <c:pt idx="131" formatCode="0.00%">
                  <c:v>-6.8178921880973622E-3</c:v>
                </c:pt>
                <c:pt idx="132" formatCode="0.00%">
                  <c:v>-1.2167497249368973E-2</c:v>
                </c:pt>
                <c:pt idx="133" formatCode="0.00%">
                  <c:v>-4.6227929373996793E-2</c:v>
                </c:pt>
                <c:pt idx="134" formatCode="0.00%">
                  <c:v>-2.6110328938947908E-2</c:v>
                </c:pt>
                <c:pt idx="135" formatCode="0.00%">
                  <c:v>-1.0006455777921239E-2</c:v>
                </c:pt>
                <c:pt idx="136" formatCode="0.00%">
                  <c:v>-7.6741062863720658E-4</c:v>
                </c:pt>
                <c:pt idx="137" formatCode="0.00%">
                  <c:v>1.5948860334474076E-2</c:v>
                </c:pt>
                <c:pt idx="138" formatCode="0.00%">
                  <c:v>3.6770478932216695E-2</c:v>
                </c:pt>
                <c:pt idx="139" formatCode="0.00%">
                  <c:v>4.642833886826854E-2</c:v>
                </c:pt>
                <c:pt idx="140" formatCode="0.00%">
                  <c:v>5.0837515479371702E-2</c:v>
                </c:pt>
                <c:pt idx="141" formatCode="0.00%">
                  <c:v>5.9891581216119129E-2</c:v>
                </c:pt>
                <c:pt idx="142" formatCode="0.00%">
                  <c:v>5.6744905855042556E-2</c:v>
                </c:pt>
                <c:pt idx="143" formatCode="0.00%">
                  <c:v>5.4660935394880351E-2</c:v>
                </c:pt>
                <c:pt idx="144" formatCode="0.00%">
                  <c:v>7.5214571185219153E-2</c:v>
                </c:pt>
                <c:pt idx="145" formatCode="0.00%">
                  <c:v>0.10770784247728038</c:v>
                </c:pt>
                <c:pt idx="146" formatCode="0.00%">
                  <c:v>9.7516099356025759E-2</c:v>
                </c:pt>
                <c:pt idx="147" formatCode="0.00%">
                  <c:v>9.1424845125529827E-2</c:v>
                </c:pt>
                <c:pt idx="148" formatCode="0.00%">
                  <c:v>6.4320000000000002E-2</c:v>
                </c:pt>
                <c:pt idx="149" formatCode="0.00%">
                  <c:v>7.2136773865514175E-2</c:v>
                </c:pt>
                <c:pt idx="150" formatCode="0.00%">
                  <c:v>8.5762968572510409E-2</c:v>
                </c:pt>
                <c:pt idx="151" formatCode="0.00%">
                  <c:v>5.8494088363410079E-2</c:v>
                </c:pt>
                <c:pt idx="152" formatCode="0.00%">
                  <c:v>5.6006946598027664E-2</c:v>
                </c:pt>
                <c:pt idx="153" formatCode="0.00%">
                  <c:v>6.6058664037466103E-2</c:v>
                </c:pt>
                <c:pt idx="154" formatCode="0.00%">
                  <c:v>4.9609470344154256E-2</c:v>
                </c:pt>
                <c:pt idx="155" formatCode="0.00%">
                  <c:v>5.9553500821217839E-2</c:v>
                </c:pt>
                <c:pt idx="156" formatCode="0.00%">
                  <c:v>6.0934738894643833E-2</c:v>
                </c:pt>
                <c:pt idx="157" formatCode="0.00%">
                  <c:v>7.4020054694621695E-2</c:v>
                </c:pt>
                <c:pt idx="158" formatCode="0.00%">
                  <c:v>5.5202969704227035E-2</c:v>
                </c:pt>
                <c:pt idx="159" formatCode="0.00%">
                  <c:v>6.4348449542928843E-2</c:v>
                </c:pt>
                <c:pt idx="160" formatCode="0.00%">
                  <c:v>6.6626578472639808E-2</c:v>
                </c:pt>
                <c:pt idx="161" formatCode="0.00%">
                  <c:v>6.2362914221352775E-2</c:v>
                </c:pt>
                <c:pt idx="162" formatCode="0.00%">
                  <c:v>4.3940714908456843E-2</c:v>
                </c:pt>
                <c:pt idx="163" formatCode="0.00%">
                  <c:v>6.1787184009406235E-2</c:v>
                </c:pt>
                <c:pt idx="164" formatCode="0.00%">
                  <c:v>6.8894631739692236E-2</c:v>
                </c:pt>
                <c:pt idx="165" formatCode="0.00%">
                  <c:v>6.1387283236994217E-2</c:v>
                </c:pt>
                <c:pt idx="166" formatCode="0.00%">
                  <c:v>6.2961455729318064E-2</c:v>
                </c:pt>
                <c:pt idx="167" formatCode="0.00%">
                  <c:v>4.1968078998736939E-2</c:v>
                </c:pt>
                <c:pt idx="168" formatCode="0.00%">
                  <c:v>8.8737005341450806E-2</c:v>
                </c:pt>
                <c:pt idx="169" formatCode="0.00%">
                  <c:v>4.9057884909183502E-2</c:v>
                </c:pt>
                <c:pt idx="170" formatCode="0.00%">
                  <c:v>5.6286881525192921E-2</c:v>
                </c:pt>
                <c:pt idx="171" formatCode="0.00%">
                  <c:v>4.2270124621084537E-2</c:v>
                </c:pt>
                <c:pt idx="172" formatCode="0.00%">
                  <c:v>4.2958619912053221E-2</c:v>
                </c:pt>
                <c:pt idx="173" formatCode="0.00%">
                  <c:v>3.8725517549243901E-2</c:v>
                </c:pt>
                <c:pt idx="174" formatCode="0.00%">
                  <c:v>3.3795445687879296E-2</c:v>
                </c:pt>
                <c:pt idx="175" formatCode="0.00%">
                  <c:v>2.6853441116217264E-2</c:v>
                </c:pt>
                <c:pt idx="176" formatCode="0.00%">
                  <c:v>2.7913621627561953E-2</c:v>
                </c:pt>
                <c:pt idx="177" formatCode="0.00%">
                  <c:v>-1.8516501470428057E-3</c:v>
                </c:pt>
                <c:pt idx="178" formatCode="0.00%">
                  <c:v>1.0118136075257056E-2</c:v>
                </c:pt>
                <c:pt idx="179" formatCode="0.00%">
                  <c:v>3.6530938343710399E-2</c:v>
                </c:pt>
                <c:pt idx="180" formatCode="0.00%">
                  <c:v>-6.2249419708799323E-3</c:v>
                </c:pt>
                <c:pt idx="181" formatCode="0.00%">
                  <c:v>-2.5889967637540453E-3</c:v>
                </c:pt>
                <c:pt idx="182" formatCode="0.00%">
                  <c:v>-9.8839707778255268E-3</c:v>
                </c:pt>
                <c:pt idx="183" formatCode="0.00%">
                  <c:v>-6.9478106317660366E-3</c:v>
                </c:pt>
                <c:pt idx="184" formatCode="0.00%">
                  <c:v>-4.2702702702702702E-3</c:v>
                </c:pt>
                <c:pt idx="185" formatCode="0.00%">
                  <c:v>-1.7620198764437281E-2</c:v>
                </c:pt>
                <c:pt idx="186" formatCode="0.00%">
                  <c:v>-8.8862559241706159E-3</c:v>
                </c:pt>
                <c:pt idx="187" formatCode="0.00%">
                  <c:v>1.5097595168769547E-3</c:v>
                </c:pt>
                <c:pt idx="188" formatCode="0.00%">
                  <c:v>-2.095472283102582E-2</c:v>
                </c:pt>
                <c:pt idx="189" formatCode="0.00%">
                  <c:v>5.8380619816673944E-3</c:v>
                </c:pt>
                <c:pt idx="190" formatCode="0.00%">
                  <c:v>1.0125074449076831E-2</c:v>
                </c:pt>
                <c:pt idx="191" formatCode="0.00%">
                  <c:v>-2.3123538167127367E-2</c:v>
                </c:pt>
                <c:pt idx="192" formatCode="0.00%">
                  <c:v>-4.1936511306932794E-2</c:v>
                </c:pt>
                <c:pt idx="193" formatCode="0.00%">
                  <c:v>-3.7962362102530824E-2</c:v>
                </c:pt>
                <c:pt idx="194" formatCode="0.00%">
                  <c:v>-3.41796875E-2</c:v>
                </c:pt>
                <c:pt idx="195" formatCode="0.00%">
                  <c:v>-2.9612756264236904E-2</c:v>
                </c:pt>
                <c:pt idx="196" formatCode="0.00%">
                  <c:v>-1.6502904294012268E-2</c:v>
                </c:pt>
                <c:pt idx="197" formatCode="0.00%">
                  <c:v>-2.7833980423251491E-2</c:v>
                </c:pt>
                <c:pt idx="198" formatCode="0.00%">
                  <c:v>-3.8308971363364669E-2</c:v>
                </c:pt>
                <c:pt idx="199" formatCode="0.00%">
                  <c:v>-6.5629374394314627E-2</c:v>
                </c:pt>
                <c:pt idx="200" formatCode="0.00%">
                  <c:v>-9.7133497133497129E-2</c:v>
                </c:pt>
                <c:pt idx="201" formatCode="0.00%">
                  <c:v>-0.10675345809601301</c:v>
                </c:pt>
                <c:pt idx="202" formatCode="0.00%">
                  <c:v>-0.12215909090909091</c:v>
                </c:pt>
                <c:pt idx="203" formatCode="0.00%">
                  <c:v>-0.13963106056483648</c:v>
                </c:pt>
                <c:pt idx="204" formatCode="0.00%">
                  <c:v>-9.9789450354609927E-2</c:v>
                </c:pt>
                <c:pt idx="205" formatCode="0.00%">
                  <c:v>-9.3367060146149525E-2</c:v>
                </c:pt>
                <c:pt idx="206" formatCode="0.00%">
                  <c:v>-0.14953376025165713</c:v>
                </c:pt>
                <c:pt idx="207" formatCode="0.00%">
                  <c:v>-0.15515314106863404</c:v>
                </c:pt>
                <c:pt idx="208" formatCode="0.00%">
                  <c:v>-0.16581111663078876</c:v>
                </c:pt>
                <c:pt idx="209" formatCode="0.00%">
                  <c:v>-0.14889188885138935</c:v>
                </c:pt>
                <c:pt idx="210" formatCode="0.00%">
                  <c:v>-0.15222058989716353</c:v>
                </c:pt>
                <c:pt idx="211" formatCode="0.00%">
                  <c:v>-0.1362143474503025</c:v>
                </c:pt>
                <c:pt idx="212" formatCode="0.00%">
                  <c:v>-9.6153846153846159E-2</c:v>
                </c:pt>
                <c:pt idx="213" formatCode="0.00%">
                  <c:v>-9.9107305520131167E-2</c:v>
                </c:pt>
                <c:pt idx="214" formatCode="0.00%">
                  <c:v>-7.1930145936374187E-2</c:v>
                </c:pt>
                <c:pt idx="215" formatCode="0.00%">
                  <c:v>-4.5474669533868826E-2</c:v>
                </c:pt>
                <c:pt idx="216" formatCode="0.00%">
                  <c:v>-6.2349972302578938E-2</c:v>
                </c:pt>
                <c:pt idx="217" formatCode="0.00%">
                  <c:v>-3.1434062868125737E-2</c:v>
                </c:pt>
                <c:pt idx="218" formatCode="0.00%">
                  <c:v>1.5587846763540291E-2</c:v>
                </c:pt>
                <c:pt idx="219" formatCode="0.00%">
                  <c:v>1.9449589838581634E-2</c:v>
                </c:pt>
                <c:pt idx="220" formatCode="0.00%">
                  <c:v>2.4482233838417258E-2</c:v>
                </c:pt>
                <c:pt idx="221" formatCode="0.00%">
                  <c:v>2.9211552442006478E-2</c:v>
                </c:pt>
                <c:pt idx="222" formatCode="0.00%">
                  <c:v>3.0058651026392963E-2</c:v>
                </c:pt>
                <c:pt idx="223" formatCode="0.00%">
                  <c:v>3.175238476419185E-2</c:v>
                </c:pt>
                <c:pt idx="224" formatCode="0.00%">
                  <c:v>3.7133681252509029E-2</c:v>
                </c:pt>
                <c:pt idx="225" formatCode="0.00%">
                  <c:v>2.7906976744186046E-2</c:v>
                </c:pt>
                <c:pt idx="226" formatCode="0.00%">
                  <c:v>1.3158760444766102E-3</c:v>
                </c:pt>
                <c:pt idx="227" formatCode="0.00%">
                  <c:v>1.6565067585475747E-2</c:v>
                </c:pt>
                <c:pt idx="228" formatCode="0.00%">
                  <c:v>-1.5754233950374162E-3</c:v>
                </c:pt>
                <c:pt idx="229" formatCode="0.00%">
                  <c:v>-7.7454871335296376E-3</c:v>
                </c:pt>
                <c:pt idx="230" formatCode="0.00%">
                  <c:v>3.2843392299687822E-2</c:v>
                </c:pt>
                <c:pt idx="231" formatCode="0.00%">
                  <c:v>2.8033744321868916E-2</c:v>
                </c:pt>
                <c:pt idx="232" formatCode="0.00%">
                  <c:v>1.207776270748563E-2</c:v>
                </c:pt>
                <c:pt idx="233" formatCode="0.00%">
                  <c:v>5.9718743979965327E-3</c:v>
                </c:pt>
                <c:pt idx="234" formatCode="0.00%">
                  <c:v>2.361695244257522E-2</c:v>
                </c:pt>
                <c:pt idx="235" formatCode="0.00%">
                  <c:v>3.1098467705437383E-2</c:v>
                </c:pt>
                <c:pt idx="236" formatCode="0.00%">
                  <c:v>2.4256499580672216E-2</c:v>
                </c:pt>
                <c:pt idx="237" formatCode="0.00%">
                  <c:v>5.1872253918289722E-2</c:v>
                </c:pt>
                <c:pt idx="238" formatCode="0.00%">
                  <c:v>5.3354359681976479E-2</c:v>
                </c:pt>
                <c:pt idx="239" formatCode="0.00%">
                  <c:v>4.2432538130621825E-2</c:v>
                </c:pt>
                <c:pt idx="240" formatCode="0.00%">
                  <c:v>6.2984878369493749E-2</c:v>
                </c:pt>
                <c:pt idx="241" formatCode="0.00%">
                  <c:v>4.2835946067995616E-2</c:v>
                </c:pt>
                <c:pt idx="242" formatCode="0.00%">
                  <c:v>2.6005919022731565E-2</c:v>
                </c:pt>
                <c:pt idx="243" formatCode="0.00%">
                  <c:v>1.4455245549804317E-2</c:v>
                </c:pt>
                <c:pt idx="244" formatCode="0.00%">
                  <c:v>4.4990427568602422E-2</c:v>
                </c:pt>
                <c:pt idx="245" formatCode="0.00%">
                  <c:v>3.4214221881782206E-2</c:v>
                </c:pt>
                <c:pt idx="246" formatCode="0.00%">
                  <c:v>3.7231352718078384E-2</c:v>
                </c:pt>
                <c:pt idx="247" formatCode="0.00%">
                  <c:v>1.8309505894156006E-2</c:v>
                </c:pt>
                <c:pt idx="248" formatCode="0.00%">
                  <c:v>2.2989229703344459E-2</c:v>
                </c:pt>
                <c:pt idx="249" formatCode="0.00%">
                  <c:v>-1.9326683291770574E-2</c:v>
                </c:pt>
                <c:pt idx="250" formatCode="0.00%">
                  <c:v>1.5095751980537708E-2</c:v>
                </c:pt>
                <c:pt idx="251" formatCode="0.00%">
                  <c:v>4.8708810104420686E-2</c:v>
                </c:pt>
                <c:pt idx="252" formatCode="0.00%">
                  <c:v>3.4327065809005443E-2</c:v>
                </c:pt>
                <c:pt idx="253" formatCode="0.00%">
                  <c:v>3.4766470770182495E-2</c:v>
                </c:pt>
                <c:pt idx="254" formatCode="0.00%">
                  <c:v>1.3195041119430465E-2</c:v>
                </c:pt>
                <c:pt idx="255" formatCode="0.00%">
                  <c:v>2.6818492937589446E-2</c:v>
                </c:pt>
                <c:pt idx="256" formatCode="0.00%">
                  <c:v>2.870229007633588E-3</c:v>
                </c:pt>
                <c:pt idx="257" formatCode="0.00%">
                  <c:v>2.728058264411801E-2</c:v>
                </c:pt>
                <c:pt idx="258" formatCode="0.00%">
                  <c:v>9.8726308733012372E-3</c:v>
                </c:pt>
                <c:pt idx="259" formatCode="0.00%">
                  <c:v>2.3029556650246304E-2</c:v>
                </c:pt>
                <c:pt idx="260" formatCode="0.00%">
                  <c:v>2.2780445757911588E-2</c:v>
                </c:pt>
                <c:pt idx="261" formatCode="0.00%">
                  <c:v>6.8467895740623008E-2</c:v>
                </c:pt>
                <c:pt idx="262" formatCode="0.00%">
                  <c:v>2.9128003441283107E-2</c:v>
                </c:pt>
                <c:pt idx="263" formatCode="0.00%">
                  <c:v>-1.8542809444311949E-2</c:v>
                </c:pt>
                <c:pt idx="264" formatCode="0.00%">
                  <c:v>-2.4756323626143634E-2</c:v>
                </c:pt>
                <c:pt idx="265" formatCode="0.00%">
                  <c:v>-5.4403060919471511E-3</c:v>
                </c:pt>
                <c:pt idx="266" formatCode="0.00%">
                  <c:v>2.0715973105578774E-2</c:v>
                </c:pt>
                <c:pt idx="267" formatCode="0.00%">
                  <c:v>2.5027269421888255E-2</c:v>
                </c:pt>
                <c:pt idx="268" formatCode="0.00%">
                  <c:v>2.0582145901838995E-2</c:v>
                </c:pt>
                <c:pt idx="269" formatCode="0.00%">
                  <c:v>3.1843306897380436E-3</c:v>
                </c:pt>
                <c:pt idx="270" formatCode="0.00%">
                  <c:v>1.3758976525254964E-2</c:v>
                </c:pt>
                <c:pt idx="271" formatCode="0.00%">
                  <c:v>2.3474178403755867E-2</c:v>
                </c:pt>
                <c:pt idx="272" formatCode="0.00%">
                  <c:v>2.9436551890199857E-2</c:v>
                </c:pt>
                <c:pt idx="273" formatCode="0.00%">
                  <c:v>1.7076218242399001E-2</c:v>
                </c:pt>
                <c:pt idx="274" formatCode="0.00%">
                  <c:v>3.8096375470233472E-2</c:v>
                </c:pt>
                <c:pt idx="275" formatCode="0.00%">
                  <c:v>6.4151631128121014E-2</c:v>
                </c:pt>
                <c:pt idx="276" formatCode="0.00%">
                  <c:v>6.1683732908210193E-2</c:v>
                </c:pt>
                <c:pt idx="277" formatCode="0.00%">
                  <c:v>2.1760038470786246E-2</c:v>
                </c:pt>
                <c:pt idx="278" formatCode="0.00%">
                  <c:v>1.5607382351195775E-2</c:v>
                </c:pt>
                <c:pt idx="279" formatCode="0.00%">
                  <c:v>2.0632574637895359E-2</c:v>
                </c:pt>
                <c:pt idx="280" formatCode="0.00%">
                  <c:v>4.4689737470167065E-2</c:v>
                </c:pt>
                <c:pt idx="281" formatCode="0.00%">
                  <c:v>4.449901179852668E-2</c:v>
                </c:pt>
                <c:pt idx="282" formatCode="0.00%">
                  <c:v>3.7859396392642422E-2</c:v>
                </c:pt>
                <c:pt idx="283" formatCode="0.00%">
                  <c:v>2.5758645024700072E-2</c:v>
                </c:pt>
                <c:pt idx="284" formatCode="0.00%">
                  <c:v>1.9355593240161395E-2</c:v>
                </c:pt>
                <c:pt idx="285" formatCode="0.00%">
                  <c:v>2.1118521118521118E-2</c:v>
                </c:pt>
                <c:pt idx="286" formatCode="0.00%">
                  <c:v>-5.694564279551337E-3</c:v>
                </c:pt>
                <c:pt idx="287" formatCode="0.00%">
                  <c:v>-7.992236113489753E-4</c:v>
                </c:pt>
                <c:pt idx="288" formatCode="0.00%">
                  <c:v>-6.2951198382904996E-3</c:v>
                </c:pt>
                <c:pt idx="289" formatCode="0.00%">
                  <c:v>1.9884692316743145E-2</c:v>
                </c:pt>
                <c:pt idx="290" formatCode="0.00%">
                  <c:v>3.5059016010283977E-3</c:v>
                </c:pt>
                <c:pt idx="291" formatCode="0.00%">
                  <c:v>-1.0426320667284522E-2</c:v>
                </c:pt>
                <c:pt idx="292" formatCode="0.00%">
                  <c:v>-1.7533839739562511E-2</c:v>
                </c:pt>
                <c:pt idx="293" formatCode="0.00%">
                  <c:v>-8.027522935779817E-3</c:v>
                </c:pt>
                <c:pt idx="294" formatCode="0.00%">
                  <c:v>-8.0298250645253807E-3</c:v>
                </c:pt>
                <c:pt idx="295" formatCode="0.00%">
                  <c:v>-4.0133012269235177E-3</c:v>
                </c:pt>
                <c:pt idx="296" formatCode="0.00%">
                  <c:v>-1.2218907755851308E-2</c:v>
                </c:pt>
                <c:pt idx="297" formatCode="0.00%">
                  <c:v>-2.5895158980234891E-2</c:v>
                </c:pt>
                <c:pt idx="298" formatCode="0.00%">
                  <c:v>-2.684253152840449E-2</c:v>
                </c:pt>
                <c:pt idx="299" formatCode="0.00%">
                  <c:v>-3.4622636119522369E-2</c:v>
                </c:pt>
                <c:pt idx="300" formatCode="0.00%">
                  <c:v>-6.3931186795303967E-4</c:v>
                </c:pt>
                <c:pt idx="301" formatCode="0.00%">
                  <c:v>-1.3209506229810798E-2</c:v>
                </c:pt>
                <c:pt idx="302" formatCode="0.00%">
                  <c:v>1.3159427040875742E-2</c:v>
                </c:pt>
                <c:pt idx="303" formatCode="0.00%">
                  <c:v>1.1765394521189416E-2</c:v>
                </c:pt>
                <c:pt idx="304" formatCode="0.00%">
                  <c:v>2.8485059876758516E-3</c:v>
                </c:pt>
                <c:pt idx="305" formatCode="0.00%">
                  <c:v>-3.3526011560693642E-3</c:v>
                </c:pt>
                <c:pt idx="306" formatCode="0.00%">
                  <c:v>-1.0812373518357907E-2</c:v>
                </c:pt>
                <c:pt idx="307" formatCode="0.00%">
                  <c:v>-1.0016117890858853E-2</c:v>
                </c:pt>
                <c:pt idx="308" formatCode="0.00%">
                  <c:v>-3.5425982925837737E-3</c:v>
                </c:pt>
                <c:pt idx="309" formatCode="0.00%">
                  <c:v>2.9935893665823679E-2</c:v>
                </c:pt>
                <c:pt idx="310" formatCode="0.00%">
                  <c:v>5.6652003328973966E-2</c:v>
                </c:pt>
                <c:pt idx="311" formatCode="0.00%">
                  <c:v>5.0955790968811032E-2</c:v>
                </c:pt>
                <c:pt idx="312" formatCode="0.00%">
                  <c:v>3.0648444315207909E-2</c:v>
                </c:pt>
                <c:pt idx="313" formatCode="0.00%">
                  <c:v>4.3490968609341207E-2</c:v>
                </c:pt>
                <c:pt idx="314" formatCode="0.00%">
                  <c:v>2.3965517241379311E-2</c:v>
                </c:pt>
                <c:pt idx="315" formatCode="0.00%">
                  <c:v>4.755568411917848E-2</c:v>
                </c:pt>
                <c:pt idx="316" formatCode="0.00%">
                  <c:v>3.8722392904759144E-2</c:v>
                </c:pt>
                <c:pt idx="317" formatCode="0.00%">
                  <c:v>4.1758496694119011E-2</c:v>
                </c:pt>
                <c:pt idx="318" formatCode="0.00%">
                  <c:v>4.7580079494973115E-2</c:v>
                </c:pt>
                <c:pt idx="319" formatCode="0.00%">
                  <c:v>3.6457727642749155E-2</c:v>
                </c:pt>
                <c:pt idx="320" formatCode="0.00%">
                  <c:v>2.5527450751835878E-2</c:v>
                </c:pt>
                <c:pt idx="321" formatCode="0.00%">
                  <c:v>9.4221105527638183E-3</c:v>
                </c:pt>
                <c:pt idx="322" formatCode="0.00%">
                  <c:v>-8.1012658227848106E-3</c:v>
                </c:pt>
                <c:pt idx="323" formatCode="0.00%">
                  <c:v>-1.6612231107106655E-2</c:v>
                </c:pt>
                <c:pt idx="324" formatCode="0.00%">
                  <c:v>-1.7830944588646879E-2</c:v>
                </c:pt>
                <c:pt idx="325" formatCode="0.00%">
                  <c:v>-2.6945269172595373E-2</c:v>
                </c:pt>
                <c:pt idx="326" formatCode="0.00%">
                  <c:v>-1.335802884885222E-2</c:v>
                </c:pt>
                <c:pt idx="327" formatCode="0.00%">
                  <c:v>-2.8442038990445683E-2</c:v>
                </c:pt>
                <c:pt idx="328" formatCode="0.00%">
                  <c:v>-1.4230704838439644E-2</c:v>
                </c:pt>
                <c:pt idx="329" formatCode="0.00%">
                  <c:v>-1.9040195969268457E-2</c:v>
                </c:pt>
                <c:pt idx="330" formatCode="0.00%">
                  <c:v>-1.1326860841423949E-2</c:v>
                </c:pt>
                <c:pt idx="331" formatCode="0.00%">
                  <c:v>-9.5932678821879381E-3</c:v>
                </c:pt>
                <c:pt idx="332" formatCode="0.00%">
                  <c:v>1.130938849738577E-2</c:v>
                </c:pt>
                <c:pt idx="333" formatCode="0.00%">
                  <c:v>-6.2793460428805792E-3</c:v>
                </c:pt>
                <c:pt idx="334" formatCode="0.00%">
                  <c:v>5.7852645907776074E-3</c:v>
                </c:pt>
                <c:pt idx="335" formatCode="0.00%">
                  <c:v>1.374334306820134E-3</c:v>
                </c:pt>
                <c:pt idx="336" formatCode="0.00%">
                  <c:v>3.0793979087670918E-2</c:v>
                </c:pt>
                <c:pt idx="337" formatCode="0.00%">
                  <c:v>2.6885434657455382E-2</c:v>
                </c:pt>
                <c:pt idx="338" formatCode="0.00%">
                  <c:v>-0.18311621821491553</c:v>
                </c:pt>
                <c:pt idx="339" formatCode="0.00%">
                  <c:v>-0.56304001819008642</c:v>
                </c:pt>
                <c:pt idx="340" formatCode="0.00%">
                  <c:v>-0.34210824275362317</c:v>
                </c:pt>
                <c:pt idx="341" formatCode="0.00%">
                  <c:v>-8.5811577752553922E-2</c:v>
                </c:pt>
                <c:pt idx="342" formatCode="0.00%">
                  <c:v>-2.2123144646989109E-2</c:v>
                </c:pt>
                <c:pt idx="343" formatCode="0.00%">
                  <c:v>8.1567916619463016E-3</c:v>
                </c:pt>
                <c:pt idx="344" formatCode="0.00%">
                  <c:v>-3.7089069963472886E-3</c:v>
                </c:pt>
                <c:pt idx="345" formatCode="0.00%">
                  <c:v>2.3454400546510303E-2</c:v>
                </c:pt>
                <c:pt idx="346" formatCode="0.00%">
                  <c:v>-9.9813906276433762E-3</c:v>
                </c:pt>
                <c:pt idx="347" formatCode="0.00%">
                  <c:v>-2.3445988448561789E-2</c:v>
                </c:pt>
                <c:pt idx="348" formatCode="0.00%">
                  <c:v>9.3690781406755103E-2</c:v>
                </c:pt>
                <c:pt idx="349" formatCode="0.00%">
                  <c:v>4.0533722038459383E-2</c:v>
                </c:pt>
                <c:pt idx="350" formatCode="0.00%">
                  <c:v>0.44519498607242342</c:v>
                </c:pt>
                <c:pt idx="351" formatCode="0.00%">
                  <c:v>1.7314947313646416</c:v>
                </c:pt>
                <c:pt idx="352" formatCode="0.00%">
                  <c:v>0.76525256002065223</c:v>
                </c:pt>
                <c:pt idx="353" formatCode="0.00%">
                  <c:v>0.28420660541345916</c:v>
                </c:pt>
                <c:pt idx="354" formatCode="0.00%">
                  <c:v>0.18658740693715012</c:v>
                </c:pt>
                <c:pt idx="355" formatCode="0.00%">
                  <c:v>0.16563658838071693</c:v>
                </c:pt>
              </c:numCache>
            </c:numRef>
          </c:val>
          <c:smooth val="0"/>
          <c:extLst>
            <c:ext xmlns:c16="http://schemas.microsoft.com/office/drawing/2014/chart" uri="{C3380CC4-5D6E-409C-BE32-E72D297353CC}">
              <c16:uniqueId val="{00000002-FC02-47D3-A5E0-02BDBBB20538}"/>
            </c:ext>
          </c:extLst>
        </c:ser>
        <c:dLbls>
          <c:showLegendKey val="0"/>
          <c:showVal val="0"/>
          <c:showCatName val="0"/>
          <c:showSerName val="0"/>
          <c:showPercent val="0"/>
          <c:showBubbleSize val="0"/>
        </c:dLbls>
        <c:smooth val="0"/>
        <c:axId val="1568390776"/>
        <c:axId val="1568389136"/>
      </c:lineChart>
      <c:dateAx>
        <c:axId val="1568390776"/>
        <c:scaling>
          <c:orientation val="minMax"/>
        </c:scaling>
        <c:delete val="0"/>
        <c:axPos val="b"/>
        <c:numFmt formatCode="[$-409]mmm\-yy;@" sourceLinked="1"/>
        <c:majorTickMark val="out"/>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68389136"/>
        <c:crosses val="autoZero"/>
        <c:auto val="1"/>
        <c:lblOffset val="100"/>
        <c:baseTimeUnit val="months"/>
      </c:dateAx>
      <c:valAx>
        <c:axId val="156838913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6839077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'Miscellaneous stores retailers'!$B$6</c:f>
              <c:strCache>
                <c:ptCount val="1"/>
                <c:pt idx="0">
                  <c:v> Miscellaneous stores retailers, mil$</c:v>
                </c:pt>
              </c:strCache>
            </c:strRef>
          </c:tx>
          <c:spPr>
            <a:ln w="28575" cap="rnd">
              <a:solidFill>
                <a:schemeClr val="accent1"/>
              </a:solidFill>
              <a:round/>
            </a:ln>
            <a:effectLst/>
          </c:spPr>
          <c:marker>
            <c:symbol val="none"/>
          </c:marker>
          <c:cat>
            <c:numRef>
              <c:f>'Miscellaneous stores retailers'!$A$7:$A$362</c:f>
              <c:numCache>
                <c:formatCode>[$-409]mmm\-yy;@</c:formatCode>
                <c:ptCount val="356"/>
                <c:pt idx="0">
                  <c:v>33604</c:v>
                </c:pt>
                <c:pt idx="1">
                  <c:v>33635</c:v>
                </c:pt>
                <c:pt idx="2">
                  <c:v>33664</c:v>
                </c:pt>
                <c:pt idx="3">
                  <c:v>33695</c:v>
                </c:pt>
                <c:pt idx="4">
                  <c:v>33725</c:v>
                </c:pt>
                <c:pt idx="5">
                  <c:v>33756</c:v>
                </c:pt>
                <c:pt idx="6">
                  <c:v>33786</c:v>
                </c:pt>
                <c:pt idx="7">
                  <c:v>33817</c:v>
                </c:pt>
                <c:pt idx="8">
                  <c:v>33848</c:v>
                </c:pt>
                <c:pt idx="9">
                  <c:v>33878</c:v>
                </c:pt>
                <c:pt idx="10">
                  <c:v>33909</c:v>
                </c:pt>
                <c:pt idx="11">
                  <c:v>33939</c:v>
                </c:pt>
                <c:pt idx="12">
                  <c:v>33970</c:v>
                </c:pt>
                <c:pt idx="13">
                  <c:v>34001</c:v>
                </c:pt>
                <c:pt idx="14">
                  <c:v>34029</c:v>
                </c:pt>
                <c:pt idx="15">
                  <c:v>34060</c:v>
                </c:pt>
                <c:pt idx="16">
                  <c:v>34090</c:v>
                </c:pt>
                <c:pt idx="17">
                  <c:v>34121</c:v>
                </c:pt>
                <c:pt idx="18">
                  <c:v>34151</c:v>
                </c:pt>
                <c:pt idx="19">
                  <c:v>34182</c:v>
                </c:pt>
                <c:pt idx="20">
                  <c:v>34213</c:v>
                </c:pt>
                <c:pt idx="21">
                  <c:v>34243</c:v>
                </c:pt>
                <c:pt idx="22">
                  <c:v>34274</c:v>
                </c:pt>
                <c:pt idx="23">
                  <c:v>34304</c:v>
                </c:pt>
                <c:pt idx="24">
                  <c:v>34335</c:v>
                </c:pt>
                <c:pt idx="25">
                  <c:v>34366</c:v>
                </c:pt>
                <c:pt idx="26">
                  <c:v>34394</c:v>
                </c:pt>
                <c:pt idx="27">
                  <c:v>34425</c:v>
                </c:pt>
                <c:pt idx="28">
                  <c:v>34455</c:v>
                </c:pt>
                <c:pt idx="29">
                  <c:v>34486</c:v>
                </c:pt>
                <c:pt idx="30">
                  <c:v>34516</c:v>
                </c:pt>
                <c:pt idx="31">
                  <c:v>34547</c:v>
                </c:pt>
                <c:pt idx="32">
                  <c:v>34578</c:v>
                </c:pt>
                <c:pt idx="33">
                  <c:v>34608</c:v>
                </c:pt>
                <c:pt idx="34">
                  <c:v>34639</c:v>
                </c:pt>
                <c:pt idx="35">
                  <c:v>34669</c:v>
                </c:pt>
                <c:pt idx="36">
                  <c:v>34700</c:v>
                </c:pt>
                <c:pt idx="37">
                  <c:v>34731</c:v>
                </c:pt>
                <c:pt idx="38">
                  <c:v>34759</c:v>
                </c:pt>
                <c:pt idx="39">
                  <c:v>34790</c:v>
                </c:pt>
                <c:pt idx="40">
                  <c:v>34820</c:v>
                </c:pt>
                <c:pt idx="41">
                  <c:v>34851</c:v>
                </c:pt>
                <c:pt idx="42">
                  <c:v>34881</c:v>
                </c:pt>
                <c:pt idx="43">
                  <c:v>34912</c:v>
                </c:pt>
                <c:pt idx="44">
                  <c:v>34943</c:v>
                </c:pt>
                <c:pt idx="45">
                  <c:v>34973</c:v>
                </c:pt>
                <c:pt idx="46">
                  <c:v>35004</c:v>
                </c:pt>
                <c:pt idx="47">
                  <c:v>35034</c:v>
                </c:pt>
                <c:pt idx="48">
                  <c:v>35065</c:v>
                </c:pt>
                <c:pt idx="49">
                  <c:v>35096</c:v>
                </c:pt>
                <c:pt idx="50">
                  <c:v>35125</c:v>
                </c:pt>
                <c:pt idx="51">
                  <c:v>35156</c:v>
                </c:pt>
                <c:pt idx="52">
                  <c:v>35186</c:v>
                </c:pt>
                <c:pt idx="53">
                  <c:v>35217</c:v>
                </c:pt>
                <c:pt idx="54">
                  <c:v>35247</c:v>
                </c:pt>
                <c:pt idx="55">
                  <c:v>35278</c:v>
                </c:pt>
                <c:pt idx="56">
                  <c:v>35309</c:v>
                </c:pt>
                <c:pt idx="57">
                  <c:v>35339</c:v>
                </c:pt>
                <c:pt idx="58">
                  <c:v>35370</c:v>
                </c:pt>
                <c:pt idx="59">
                  <c:v>35400</c:v>
                </c:pt>
                <c:pt idx="60">
                  <c:v>35431</c:v>
                </c:pt>
                <c:pt idx="61">
                  <c:v>35462</c:v>
                </c:pt>
                <c:pt idx="62">
                  <c:v>35490</c:v>
                </c:pt>
                <c:pt idx="63">
                  <c:v>35521</c:v>
                </c:pt>
                <c:pt idx="64">
                  <c:v>35551</c:v>
                </c:pt>
                <c:pt idx="65">
                  <c:v>35582</c:v>
                </c:pt>
                <c:pt idx="66">
                  <c:v>35612</c:v>
                </c:pt>
                <c:pt idx="67">
                  <c:v>35643</c:v>
                </c:pt>
                <c:pt idx="68">
                  <c:v>35674</c:v>
                </c:pt>
                <c:pt idx="69">
                  <c:v>35704</c:v>
                </c:pt>
                <c:pt idx="70">
                  <c:v>35735</c:v>
                </c:pt>
                <c:pt idx="71">
                  <c:v>35765</c:v>
                </c:pt>
                <c:pt idx="72">
                  <c:v>35796</c:v>
                </c:pt>
                <c:pt idx="73">
                  <c:v>35827</c:v>
                </c:pt>
                <c:pt idx="74">
                  <c:v>35855</c:v>
                </c:pt>
                <c:pt idx="75">
                  <c:v>35886</c:v>
                </c:pt>
                <c:pt idx="76">
                  <c:v>35916</c:v>
                </c:pt>
                <c:pt idx="77">
                  <c:v>35947</c:v>
                </c:pt>
                <c:pt idx="78">
                  <c:v>35977</c:v>
                </c:pt>
                <c:pt idx="79">
                  <c:v>36008</c:v>
                </c:pt>
                <c:pt idx="80">
                  <c:v>36039</c:v>
                </c:pt>
                <c:pt idx="81">
                  <c:v>36069</c:v>
                </c:pt>
                <c:pt idx="82">
                  <c:v>36100</c:v>
                </c:pt>
                <c:pt idx="83">
                  <c:v>36130</c:v>
                </c:pt>
                <c:pt idx="84">
                  <c:v>36161</c:v>
                </c:pt>
                <c:pt idx="85">
                  <c:v>36192</c:v>
                </c:pt>
                <c:pt idx="86">
                  <c:v>36220</c:v>
                </c:pt>
                <c:pt idx="87">
                  <c:v>36251</c:v>
                </c:pt>
                <c:pt idx="88">
                  <c:v>36281</c:v>
                </c:pt>
                <c:pt idx="89">
                  <c:v>36312</c:v>
                </c:pt>
                <c:pt idx="90">
                  <c:v>36342</c:v>
                </c:pt>
                <c:pt idx="91">
                  <c:v>36373</c:v>
                </c:pt>
                <c:pt idx="92">
                  <c:v>36404</c:v>
                </c:pt>
                <c:pt idx="93">
                  <c:v>36434</c:v>
                </c:pt>
                <c:pt idx="94">
                  <c:v>36465</c:v>
                </c:pt>
                <c:pt idx="95">
                  <c:v>36495</c:v>
                </c:pt>
                <c:pt idx="96">
                  <c:v>36526</c:v>
                </c:pt>
                <c:pt idx="97">
                  <c:v>36557</c:v>
                </c:pt>
                <c:pt idx="98">
                  <c:v>36586</c:v>
                </c:pt>
                <c:pt idx="99">
                  <c:v>36617</c:v>
                </c:pt>
                <c:pt idx="100">
                  <c:v>36647</c:v>
                </c:pt>
                <c:pt idx="101">
                  <c:v>36678</c:v>
                </c:pt>
                <c:pt idx="102">
                  <c:v>36708</c:v>
                </c:pt>
                <c:pt idx="103">
                  <c:v>36739</c:v>
                </c:pt>
                <c:pt idx="104">
                  <c:v>36770</c:v>
                </c:pt>
                <c:pt idx="105">
                  <c:v>36800</c:v>
                </c:pt>
                <c:pt idx="106">
                  <c:v>36831</c:v>
                </c:pt>
                <c:pt idx="107">
                  <c:v>36861</c:v>
                </c:pt>
                <c:pt idx="108">
                  <c:v>36892</c:v>
                </c:pt>
                <c:pt idx="109">
                  <c:v>36923</c:v>
                </c:pt>
                <c:pt idx="110">
                  <c:v>36951</c:v>
                </c:pt>
                <c:pt idx="111">
                  <c:v>36982</c:v>
                </c:pt>
                <c:pt idx="112">
                  <c:v>37012</c:v>
                </c:pt>
                <c:pt idx="113">
                  <c:v>37043</c:v>
                </c:pt>
                <c:pt idx="114">
                  <c:v>37073</c:v>
                </c:pt>
                <c:pt idx="115">
                  <c:v>37104</c:v>
                </c:pt>
                <c:pt idx="116">
                  <c:v>37135</c:v>
                </c:pt>
                <c:pt idx="117">
                  <c:v>37165</c:v>
                </c:pt>
                <c:pt idx="118">
                  <c:v>37196</c:v>
                </c:pt>
                <c:pt idx="119">
                  <c:v>37226</c:v>
                </c:pt>
                <c:pt idx="120">
                  <c:v>37257</c:v>
                </c:pt>
                <c:pt idx="121">
                  <c:v>37288</c:v>
                </c:pt>
                <c:pt idx="122">
                  <c:v>37316</c:v>
                </c:pt>
                <c:pt idx="123">
                  <c:v>37347</c:v>
                </c:pt>
                <c:pt idx="124">
                  <c:v>37377</c:v>
                </c:pt>
                <c:pt idx="125">
                  <c:v>37408</c:v>
                </c:pt>
                <c:pt idx="126">
                  <c:v>37438</c:v>
                </c:pt>
                <c:pt idx="127">
                  <c:v>37469</c:v>
                </c:pt>
                <c:pt idx="128">
                  <c:v>37500</c:v>
                </c:pt>
                <c:pt idx="129">
                  <c:v>37530</c:v>
                </c:pt>
                <c:pt idx="130">
                  <c:v>37561</c:v>
                </c:pt>
                <c:pt idx="131">
                  <c:v>37591</c:v>
                </c:pt>
                <c:pt idx="132">
                  <c:v>37622</c:v>
                </c:pt>
                <c:pt idx="133">
                  <c:v>37653</c:v>
                </c:pt>
                <c:pt idx="134">
                  <c:v>37681</c:v>
                </c:pt>
                <c:pt idx="135">
                  <c:v>37712</c:v>
                </c:pt>
                <c:pt idx="136">
                  <c:v>37742</c:v>
                </c:pt>
                <c:pt idx="137">
                  <c:v>37773</c:v>
                </c:pt>
                <c:pt idx="138">
                  <c:v>37803</c:v>
                </c:pt>
                <c:pt idx="139">
                  <c:v>37834</c:v>
                </c:pt>
                <c:pt idx="140">
                  <c:v>37865</c:v>
                </c:pt>
                <c:pt idx="141">
                  <c:v>37895</c:v>
                </c:pt>
                <c:pt idx="142">
                  <c:v>37926</c:v>
                </c:pt>
                <c:pt idx="143">
                  <c:v>37956</c:v>
                </c:pt>
                <c:pt idx="144">
                  <c:v>37987</c:v>
                </c:pt>
                <c:pt idx="145">
                  <c:v>38018</c:v>
                </c:pt>
                <c:pt idx="146">
                  <c:v>38047</c:v>
                </c:pt>
                <c:pt idx="147">
                  <c:v>38078</c:v>
                </c:pt>
                <c:pt idx="148">
                  <c:v>38108</c:v>
                </c:pt>
                <c:pt idx="149">
                  <c:v>38139</c:v>
                </c:pt>
                <c:pt idx="150">
                  <c:v>38169</c:v>
                </c:pt>
                <c:pt idx="151">
                  <c:v>38200</c:v>
                </c:pt>
                <c:pt idx="152">
                  <c:v>38231</c:v>
                </c:pt>
                <c:pt idx="153">
                  <c:v>38261</c:v>
                </c:pt>
                <c:pt idx="154">
                  <c:v>38292</c:v>
                </c:pt>
                <c:pt idx="155">
                  <c:v>38322</c:v>
                </c:pt>
                <c:pt idx="156">
                  <c:v>38353</c:v>
                </c:pt>
                <c:pt idx="157">
                  <c:v>38384</c:v>
                </c:pt>
                <c:pt idx="158">
                  <c:v>38412</c:v>
                </c:pt>
                <c:pt idx="159">
                  <c:v>38443</c:v>
                </c:pt>
                <c:pt idx="160">
                  <c:v>38473</c:v>
                </c:pt>
                <c:pt idx="161">
                  <c:v>38504</c:v>
                </c:pt>
                <c:pt idx="162">
                  <c:v>38534</c:v>
                </c:pt>
                <c:pt idx="163">
                  <c:v>38565</c:v>
                </c:pt>
                <c:pt idx="164">
                  <c:v>38596</c:v>
                </c:pt>
                <c:pt idx="165">
                  <c:v>38626</c:v>
                </c:pt>
                <c:pt idx="166">
                  <c:v>38657</c:v>
                </c:pt>
                <c:pt idx="167">
                  <c:v>38687</c:v>
                </c:pt>
                <c:pt idx="168">
                  <c:v>38718</c:v>
                </c:pt>
                <c:pt idx="169">
                  <c:v>38749</c:v>
                </c:pt>
                <c:pt idx="170">
                  <c:v>38777</c:v>
                </c:pt>
                <c:pt idx="171">
                  <c:v>38808</c:v>
                </c:pt>
                <c:pt idx="172">
                  <c:v>38838</c:v>
                </c:pt>
                <c:pt idx="173">
                  <c:v>38869</c:v>
                </c:pt>
                <c:pt idx="174">
                  <c:v>38899</c:v>
                </c:pt>
                <c:pt idx="175">
                  <c:v>38930</c:v>
                </c:pt>
                <c:pt idx="176">
                  <c:v>38961</c:v>
                </c:pt>
                <c:pt idx="177">
                  <c:v>38991</c:v>
                </c:pt>
                <c:pt idx="178">
                  <c:v>39022</c:v>
                </c:pt>
                <c:pt idx="179">
                  <c:v>39052</c:v>
                </c:pt>
                <c:pt idx="180">
                  <c:v>39083</c:v>
                </c:pt>
                <c:pt idx="181">
                  <c:v>39114</c:v>
                </c:pt>
                <c:pt idx="182">
                  <c:v>39142</c:v>
                </c:pt>
                <c:pt idx="183">
                  <c:v>39173</c:v>
                </c:pt>
                <c:pt idx="184">
                  <c:v>39203</c:v>
                </c:pt>
                <c:pt idx="185">
                  <c:v>39234</c:v>
                </c:pt>
                <c:pt idx="186">
                  <c:v>39264</c:v>
                </c:pt>
                <c:pt idx="187">
                  <c:v>39295</c:v>
                </c:pt>
                <c:pt idx="188">
                  <c:v>39326</c:v>
                </c:pt>
                <c:pt idx="189">
                  <c:v>39356</c:v>
                </c:pt>
                <c:pt idx="190">
                  <c:v>39387</c:v>
                </c:pt>
                <c:pt idx="191">
                  <c:v>39417</c:v>
                </c:pt>
                <c:pt idx="192">
                  <c:v>39448</c:v>
                </c:pt>
                <c:pt idx="193">
                  <c:v>39479</c:v>
                </c:pt>
                <c:pt idx="194">
                  <c:v>39508</c:v>
                </c:pt>
                <c:pt idx="195">
                  <c:v>39539</c:v>
                </c:pt>
                <c:pt idx="196">
                  <c:v>39569</c:v>
                </c:pt>
                <c:pt idx="197">
                  <c:v>39600</c:v>
                </c:pt>
                <c:pt idx="198">
                  <c:v>39630</c:v>
                </c:pt>
                <c:pt idx="199">
                  <c:v>39661</c:v>
                </c:pt>
                <c:pt idx="200">
                  <c:v>39692</c:v>
                </c:pt>
                <c:pt idx="201">
                  <c:v>39722</c:v>
                </c:pt>
                <c:pt idx="202">
                  <c:v>39753</c:v>
                </c:pt>
                <c:pt idx="203">
                  <c:v>39783</c:v>
                </c:pt>
                <c:pt idx="204">
                  <c:v>39814</c:v>
                </c:pt>
                <c:pt idx="205">
                  <c:v>39845</c:v>
                </c:pt>
                <c:pt idx="206">
                  <c:v>39873</c:v>
                </c:pt>
                <c:pt idx="207">
                  <c:v>39904</c:v>
                </c:pt>
                <c:pt idx="208">
                  <c:v>39934</c:v>
                </c:pt>
                <c:pt idx="209">
                  <c:v>39965</c:v>
                </c:pt>
                <c:pt idx="210">
                  <c:v>39995</c:v>
                </c:pt>
                <c:pt idx="211">
                  <c:v>40026</c:v>
                </c:pt>
                <c:pt idx="212">
                  <c:v>40057</c:v>
                </c:pt>
                <c:pt idx="213">
                  <c:v>40087</c:v>
                </c:pt>
                <c:pt idx="214">
                  <c:v>40118</c:v>
                </c:pt>
                <c:pt idx="215">
                  <c:v>40148</c:v>
                </c:pt>
                <c:pt idx="216">
                  <c:v>40179</c:v>
                </c:pt>
                <c:pt idx="217">
                  <c:v>40210</c:v>
                </c:pt>
                <c:pt idx="218">
                  <c:v>40238</c:v>
                </c:pt>
                <c:pt idx="219">
                  <c:v>40269</c:v>
                </c:pt>
                <c:pt idx="220">
                  <c:v>40299</c:v>
                </c:pt>
                <c:pt idx="221">
                  <c:v>40330</c:v>
                </c:pt>
                <c:pt idx="222">
                  <c:v>40360</c:v>
                </c:pt>
                <c:pt idx="223">
                  <c:v>40391</c:v>
                </c:pt>
                <c:pt idx="224">
                  <c:v>40422</c:v>
                </c:pt>
                <c:pt idx="225">
                  <c:v>40452</c:v>
                </c:pt>
                <c:pt idx="226">
                  <c:v>40483</c:v>
                </c:pt>
                <c:pt idx="227">
                  <c:v>40513</c:v>
                </c:pt>
                <c:pt idx="228">
                  <c:v>40544</c:v>
                </c:pt>
                <c:pt idx="229">
                  <c:v>40575</c:v>
                </c:pt>
                <c:pt idx="230">
                  <c:v>40603</c:v>
                </c:pt>
                <c:pt idx="231">
                  <c:v>40634</c:v>
                </c:pt>
                <c:pt idx="232">
                  <c:v>40664</c:v>
                </c:pt>
                <c:pt idx="233">
                  <c:v>40695</c:v>
                </c:pt>
                <c:pt idx="234">
                  <c:v>40725</c:v>
                </c:pt>
                <c:pt idx="235">
                  <c:v>40756</c:v>
                </c:pt>
                <c:pt idx="236">
                  <c:v>40787</c:v>
                </c:pt>
                <c:pt idx="237">
                  <c:v>40817</c:v>
                </c:pt>
                <c:pt idx="238">
                  <c:v>40848</c:v>
                </c:pt>
                <c:pt idx="239">
                  <c:v>40878</c:v>
                </c:pt>
                <c:pt idx="240">
                  <c:v>40909</c:v>
                </c:pt>
                <c:pt idx="241">
                  <c:v>40940</c:v>
                </c:pt>
                <c:pt idx="242">
                  <c:v>40969</c:v>
                </c:pt>
                <c:pt idx="243">
                  <c:v>41000</c:v>
                </c:pt>
                <c:pt idx="244">
                  <c:v>41030</c:v>
                </c:pt>
                <c:pt idx="245">
                  <c:v>41061</c:v>
                </c:pt>
                <c:pt idx="246">
                  <c:v>41091</c:v>
                </c:pt>
                <c:pt idx="247">
                  <c:v>41122</c:v>
                </c:pt>
                <c:pt idx="248">
                  <c:v>41153</c:v>
                </c:pt>
                <c:pt idx="249">
                  <c:v>41183</c:v>
                </c:pt>
                <c:pt idx="250">
                  <c:v>41214</c:v>
                </c:pt>
                <c:pt idx="251">
                  <c:v>41244</c:v>
                </c:pt>
                <c:pt idx="252">
                  <c:v>41275</c:v>
                </c:pt>
                <c:pt idx="253">
                  <c:v>41306</c:v>
                </c:pt>
                <c:pt idx="254">
                  <c:v>41334</c:v>
                </c:pt>
                <c:pt idx="255">
                  <c:v>41365</c:v>
                </c:pt>
                <c:pt idx="256">
                  <c:v>41395</c:v>
                </c:pt>
                <c:pt idx="257">
                  <c:v>41426</c:v>
                </c:pt>
                <c:pt idx="258">
                  <c:v>41456</c:v>
                </c:pt>
                <c:pt idx="259">
                  <c:v>41487</c:v>
                </c:pt>
                <c:pt idx="260">
                  <c:v>41518</c:v>
                </c:pt>
                <c:pt idx="261">
                  <c:v>41548</c:v>
                </c:pt>
                <c:pt idx="262">
                  <c:v>41579</c:v>
                </c:pt>
                <c:pt idx="263">
                  <c:v>41609</c:v>
                </c:pt>
                <c:pt idx="264">
                  <c:v>41640</c:v>
                </c:pt>
                <c:pt idx="265">
                  <c:v>41671</c:v>
                </c:pt>
                <c:pt idx="266">
                  <c:v>41699</c:v>
                </c:pt>
                <c:pt idx="267">
                  <c:v>41730</c:v>
                </c:pt>
                <c:pt idx="268">
                  <c:v>41760</c:v>
                </c:pt>
                <c:pt idx="269">
                  <c:v>41791</c:v>
                </c:pt>
                <c:pt idx="270">
                  <c:v>41821</c:v>
                </c:pt>
                <c:pt idx="271">
                  <c:v>41852</c:v>
                </c:pt>
                <c:pt idx="272">
                  <c:v>41883</c:v>
                </c:pt>
                <c:pt idx="273">
                  <c:v>41913</c:v>
                </c:pt>
                <c:pt idx="274">
                  <c:v>41944</c:v>
                </c:pt>
                <c:pt idx="275">
                  <c:v>41974</c:v>
                </c:pt>
                <c:pt idx="276">
                  <c:v>42005</c:v>
                </c:pt>
                <c:pt idx="277">
                  <c:v>42036</c:v>
                </c:pt>
                <c:pt idx="278">
                  <c:v>42064</c:v>
                </c:pt>
                <c:pt idx="279">
                  <c:v>42095</c:v>
                </c:pt>
                <c:pt idx="280">
                  <c:v>42125</c:v>
                </c:pt>
                <c:pt idx="281">
                  <c:v>42156</c:v>
                </c:pt>
                <c:pt idx="282">
                  <c:v>42186</c:v>
                </c:pt>
                <c:pt idx="283">
                  <c:v>42217</c:v>
                </c:pt>
                <c:pt idx="284">
                  <c:v>42248</c:v>
                </c:pt>
                <c:pt idx="285">
                  <c:v>42278</c:v>
                </c:pt>
                <c:pt idx="286">
                  <c:v>42309</c:v>
                </c:pt>
                <c:pt idx="287">
                  <c:v>42339</c:v>
                </c:pt>
                <c:pt idx="288">
                  <c:v>42370</c:v>
                </c:pt>
                <c:pt idx="289">
                  <c:v>42401</c:v>
                </c:pt>
                <c:pt idx="290">
                  <c:v>42430</c:v>
                </c:pt>
                <c:pt idx="291">
                  <c:v>42461</c:v>
                </c:pt>
                <c:pt idx="292">
                  <c:v>42491</c:v>
                </c:pt>
                <c:pt idx="293">
                  <c:v>42522</c:v>
                </c:pt>
                <c:pt idx="294">
                  <c:v>42552</c:v>
                </c:pt>
                <c:pt idx="295">
                  <c:v>42583</c:v>
                </c:pt>
                <c:pt idx="296">
                  <c:v>42614</c:v>
                </c:pt>
                <c:pt idx="297">
                  <c:v>42644</c:v>
                </c:pt>
                <c:pt idx="298">
                  <c:v>42675</c:v>
                </c:pt>
                <c:pt idx="299">
                  <c:v>42705</c:v>
                </c:pt>
                <c:pt idx="300">
                  <c:v>42736</c:v>
                </c:pt>
                <c:pt idx="301">
                  <c:v>42767</c:v>
                </c:pt>
                <c:pt idx="302">
                  <c:v>42795</c:v>
                </c:pt>
                <c:pt idx="303">
                  <c:v>42826</c:v>
                </c:pt>
                <c:pt idx="304">
                  <c:v>42856</c:v>
                </c:pt>
                <c:pt idx="305">
                  <c:v>42887</c:v>
                </c:pt>
                <c:pt idx="306">
                  <c:v>42917</c:v>
                </c:pt>
                <c:pt idx="307">
                  <c:v>42948</c:v>
                </c:pt>
                <c:pt idx="308">
                  <c:v>42979</c:v>
                </c:pt>
                <c:pt idx="309">
                  <c:v>43009</c:v>
                </c:pt>
                <c:pt idx="310">
                  <c:v>43040</c:v>
                </c:pt>
                <c:pt idx="311">
                  <c:v>43070</c:v>
                </c:pt>
                <c:pt idx="312">
                  <c:v>43101</c:v>
                </c:pt>
                <c:pt idx="313">
                  <c:v>43132</c:v>
                </c:pt>
                <c:pt idx="314">
                  <c:v>43160</c:v>
                </c:pt>
                <c:pt idx="315">
                  <c:v>43191</c:v>
                </c:pt>
                <c:pt idx="316">
                  <c:v>43221</c:v>
                </c:pt>
                <c:pt idx="317">
                  <c:v>43252</c:v>
                </c:pt>
                <c:pt idx="318">
                  <c:v>43282</c:v>
                </c:pt>
                <c:pt idx="319">
                  <c:v>43313</c:v>
                </c:pt>
                <c:pt idx="320">
                  <c:v>43344</c:v>
                </c:pt>
                <c:pt idx="321">
                  <c:v>43374</c:v>
                </c:pt>
                <c:pt idx="322">
                  <c:v>43405</c:v>
                </c:pt>
                <c:pt idx="323">
                  <c:v>43435</c:v>
                </c:pt>
                <c:pt idx="324">
                  <c:v>43466</c:v>
                </c:pt>
                <c:pt idx="325">
                  <c:v>43497</c:v>
                </c:pt>
                <c:pt idx="326">
                  <c:v>43525</c:v>
                </c:pt>
                <c:pt idx="327">
                  <c:v>43556</c:v>
                </c:pt>
                <c:pt idx="328">
                  <c:v>43586</c:v>
                </c:pt>
                <c:pt idx="329">
                  <c:v>43617</c:v>
                </c:pt>
                <c:pt idx="330">
                  <c:v>43647</c:v>
                </c:pt>
                <c:pt idx="331">
                  <c:v>43678</c:v>
                </c:pt>
                <c:pt idx="332">
                  <c:v>43709</c:v>
                </c:pt>
                <c:pt idx="333">
                  <c:v>43739</c:v>
                </c:pt>
                <c:pt idx="334">
                  <c:v>43770</c:v>
                </c:pt>
                <c:pt idx="335">
                  <c:v>43800</c:v>
                </c:pt>
                <c:pt idx="336">
                  <c:v>43831</c:v>
                </c:pt>
                <c:pt idx="337">
                  <c:v>43862</c:v>
                </c:pt>
                <c:pt idx="338">
                  <c:v>43891</c:v>
                </c:pt>
                <c:pt idx="339">
                  <c:v>43922</c:v>
                </c:pt>
                <c:pt idx="340">
                  <c:v>43952</c:v>
                </c:pt>
                <c:pt idx="341">
                  <c:v>43983</c:v>
                </c:pt>
                <c:pt idx="342">
                  <c:v>44013</c:v>
                </c:pt>
                <c:pt idx="343">
                  <c:v>44044</c:v>
                </c:pt>
                <c:pt idx="344">
                  <c:v>44075</c:v>
                </c:pt>
                <c:pt idx="345">
                  <c:v>44105</c:v>
                </c:pt>
                <c:pt idx="346">
                  <c:v>44136</c:v>
                </c:pt>
                <c:pt idx="347">
                  <c:v>44166</c:v>
                </c:pt>
                <c:pt idx="348">
                  <c:v>44197</c:v>
                </c:pt>
                <c:pt idx="349">
                  <c:v>44228</c:v>
                </c:pt>
                <c:pt idx="350">
                  <c:v>44256</c:v>
                </c:pt>
                <c:pt idx="351">
                  <c:v>44287</c:v>
                </c:pt>
                <c:pt idx="352">
                  <c:v>44317</c:v>
                </c:pt>
                <c:pt idx="353">
                  <c:v>44348</c:v>
                </c:pt>
                <c:pt idx="354">
                  <c:v>44378</c:v>
                </c:pt>
                <c:pt idx="355">
                  <c:v>44409</c:v>
                </c:pt>
              </c:numCache>
            </c:numRef>
          </c:cat>
          <c:val>
            <c:numRef>
              <c:f>'Miscellaneous stores retailers'!$B$7:$B$362</c:f>
              <c:numCache>
                <c:formatCode>#,##0</c:formatCode>
                <c:ptCount val="356"/>
                <c:pt idx="0">
                  <c:v>4318</c:v>
                </c:pt>
                <c:pt idx="1">
                  <c:v>4308</c:v>
                </c:pt>
                <c:pt idx="2">
                  <c:v>4292</c:v>
                </c:pt>
                <c:pt idx="3">
                  <c:v>4391</c:v>
                </c:pt>
                <c:pt idx="4">
                  <c:v>4356</c:v>
                </c:pt>
                <c:pt idx="5">
                  <c:v>4357</c:v>
                </c:pt>
                <c:pt idx="6">
                  <c:v>4468</c:v>
                </c:pt>
                <c:pt idx="7">
                  <c:v>4494</c:v>
                </c:pt>
                <c:pt idx="8">
                  <c:v>4549</c:v>
                </c:pt>
                <c:pt idx="9">
                  <c:v>4809</c:v>
                </c:pt>
                <c:pt idx="10">
                  <c:v>5059</c:v>
                </c:pt>
                <c:pt idx="11">
                  <c:v>5059</c:v>
                </c:pt>
                <c:pt idx="12">
                  <c:v>5352</c:v>
                </c:pt>
                <c:pt idx="13">
                  <c:v>4896</c:v>
                </c:pt>
                <c:pt idx="14">
                  <c:v>4811</c:v>
                </c:pt>
                <c:pt idx="15">
                  <c:v>5033</c:v>
                </c:pt>
                <c:pt idx="16">
                  <c:v>4967</c:v>
                </c:pt>
                <c:pt idx="17">
                  <c:v>5153</c:v>
                </c:pt>
                <c:pt idx="18">
                  <c:v>5064</c:v>
                </c:pt>
                <c:pt idx="19">
                  <c:v>5115</c:v>
                </c:pt>
                <c:pt idx="20">
                  <c:v>5222</c:v>
                </c:pt>
                <c:pt idx="21">
                  <c:v>5432</c:v>
                </c:pt>
                <c:pt idx="22">
                  <c:v>5159</c:v>
                </c:pt>
                <c:pt idx="23">
                  <c:v>5377</c:v>
                </c:pt>
                <c:pt idx="24">
                  <c:v>5288</c:v>
                </c:pt>
                <c:pt idx="25">
                  <c:v>5282</c:v>
                </c:pt>
                <c:pt idx="26">
                  <c:v>5593</c:v>
                </c:pt>
                <c:pt idx="27">
                  <c:v>5464</c:v>
                </c:pt>
                <c:pt idx="28">
                  <c:v>5756</c:v>
                </c:pt>
                <c:pt idx="29">
                  <c:v>5739</c:v>
                </c:pt>
                <c:pt idx="30">
                  <c:v>5933</c:v>
                </c:pt>
                <c:pt idx="31">
                  <c:v>6012</c:v>
                </c:pt>
                <c:pt idx="32">
                  <c:v>6092</c:v>
                </c:pt>
                <c:pt idx="33">
                  <c:v>6048</c:v>
                </c:pt>
                <c:pt idx="34">
                  <c:v>6074</c:v>
                </c:pt>
                <c:pt idx="35">
                  <c:v>6021</c:v>
                </c:pt>
                <c:pt idx="36">
                  <c:v>5955</c:v>
                </c:pt>
                <c:pt idx="37">
                  <c:v>6097</c:v>
                </c:pt>
                <c:pt idx="38">
                  <c:v>6134</c:v>
                </c:pt>
                <c:pt idx="39">
                  <c:v>6265</c:v>
                </c:pt>
                <c:pt idx="40">
                  <c:v>6372</c:v>
                </c:pt>
                <c:pt idx="41">
                  <c:v>6288</c:v>
                </c:pt>
                <c:pt idx="42">
                  <c:v>6398</c:v>
                </c:pt>
                <c:pt idx="43">
                  <c:v>6502</c:v>
                </c:pt>
                <c:pt idx="44">
                  <c:v>6413</c:v>
                </c:pt>
                <c:pt idx="45">
                  <c:v>6419</c:v>
                </c:pt>
                <c:pt idx="46">
                  <c:v>6520</c:v>
                </c:pt>
                <c:pt idx="47">
                  <c:v>6566</c:v>
                </c:pt>
                <c:pt idx="48">
                  <c:v>6202</c:v>
                </c:pt>
                <c:pt idx="49">
                  <c:v>6339</c:v>
                </c:pt>
                <c:pt idx="50">
                  <c:v>6473</c:v>
                </c:pt>
                <c:pt idx="51">
                  <c:v>6772</c:v>
                </c:pt>
                <c:pt idx="52">
                  <c:v>7128</c:v>
                </c:pt>
                <c:pt idx="53">
                  <c:v>7050</c:v>
                </c:pt>
                <c:pt idx="54">
                  <c:v>7018</c:v>
                </c:pt>
                <c:pt idx="55">
                  <c:v>6918</c:v>
                </c:pt>
                <c:pt idx="56">
                  <c:v>7011</c:v>
                </c:pt>
                <c:pt idx="57">
                  <c:v>7110</c:v>
                </c:pt>
                <c:pt idx="58">
                  <c:v>7154</c:v>
                </c:pt>
                <c:pt idx="59">
                  <c:v>7144</c:v>
                </c:pt>
                <c:pt idx="60">
                  <c:v>7295</c:v>
                </c:pt>
                <c:pt idx="61">
                  <c:v>7539</c:v>
                </c:pt>
                <c:pt idx="62">
                  <c:v>7459</c:v>
                </c:pt>
                <c:pt idx="63">
                  <c:v>7417</c:v>
                </c:pt>
                <c:pt idx="64">
                  <c:v>7181</c:v>
                </c:pt>
                <c:pt idx="65">
                  <c:v>7474</c:v>
                </c:pt>
                <c:pt idx="66">
                  <c:v>7464</c:v>
                </c:pt>
                <c:pt idx="67">
                  <c:v>7562</c:v>
                </c:pt>
                <c:pt idx="68">
                  <c:v>7664</c:v>
                </c:pt>
                <c:pt idx="69">
                  <c:v>7704</c:v>
                </c:pt>
                <c:pt idx="70">
                  <c:v>7707</c:v>
                </c:pt>
                <c:pt idx="71">
                  <c:v>7845</c:v>
                </c:pt>
                <c:pt idx="72">
                  <c:v>8070</c:v>
                </c:pt>
                <c:pt idx="73">
                  <c:v>7948</c:v>
                </c:pt>
                <c:pt idx="74">
                  <c:v>7957</c:v>
                </c:pt>
                <c:pt idx="75">
                  <c:v>7916</c:v>
                </c:pt>
                <c:pt idx="76">
                  <c:v>8037</c:v>
                </c:pt>
                <c:pt idx="77">
                  <c:v>8064</c:v>
                </c:pt>
                <c:pt idx="78">
                  <c:v>8240</c:v>
                </c:pt>
                <c:pt idx="79">
                  <c:v>8334</c:v>
                </c:pt>
                <c:pt idx="80">
                  <c:v>8378</c:v>
                </c:pt>
                <c:pt idx="81">
                  <c:v>8444</c:v>
                </c:pt>
                <c:pt idx="82">
                  <c:v>8448</c:v>
                </c:pt>
                <c:pt idx="83">
                  <c:v>8622</c:v>
                </c:pt>
                <c:pt idx="84">
                  <c:v>8454</c:v>
                </c:pt>
                <c:pt idx="85">
                  <c:v>8615</c:v>
                </c:pt>
                <c:pt idx="86">
                  <c:v>8503</c:v>
                </c:pt>
                <c:pt idx="87">
                  <c:v>8590</c:v>
                </c:pt>
                <c:pt idx="88">
                  <c:v>8585</c:v>
                </c:pt>
                <c:pt idx="89">
                  <c:v>8481</c:v>
                </c:pt>
                <c:pt idx="90">
                  <c:v>8350</c:v>
                </c:pt>
                <c:pt idx="91">
                  <c:v>8519</c:v>
                </c:pt>
                <c:pt idx="92">
                  <c:v>8597</c:v>
                </c:pt>
                <c:pt idx="93">
                  <c:v>8661</c:v>
                </c:pt>
                <c:pt idx="94">
                  <c:v>9058</c:v>
                </c:pt>
                <c:pt idx="95">
                  <c:v>9489</c:v>
                </c:pt>
                <c:pt idx="96">
                  <c:v>9136</c:v>
                </c:pt>
                <c:pt idx="97">
                  <c:v>9163</c:v>
                </c:pt>
                <c:pt idx="98">
                  <c:v>9189</c:v>
                </c:pt>
                <c:pt idx="99">
                  <c:v>9056</c:v>
                </c:pt>
                <c:pt idx="100">
                  <c:v>8760</c:v>
                </c:pt>
                <c:pt idx="101">
                  <c:v>8785</c:v>
                </c:pt>
                <c:pt idx="102">
                  <c:v>8789</c:v>
                </c:pt>
                <c:pt idx="103">
                  <c:v>8666</c:v>
                </c:pt>
                <c:pt idx="104">
                  <c:v>8925</c:v>
                </c:pt>
                <c:pt idx="105">
                  <c:v>8870</c:v>
                </c:pt>
                <c:pt idx="106">
                  <c:v>8829</c:v>
                </c:pt>
                <c:pt idx="107">
                  <c:v>8631</c:v>
                </c:pt>
                <c:pt idx="108">
                  <c:v>8466</c:v>
                </c:pt>
                <c:pt idx="109">
                  <c:v>8665</c:v>
                </c:pt>
                <c:pt idx="110">
                  <c:v>8897</c:v>
                </c:pt>
                <c:pt idx="111">
                  <c:v>8527</c:v>
                </c:pt>
                <c:pt idx="112">
                  <c:v>8752</c:v>
                </c:pt>
                <c:pt idx="113">
                  <c:v>8693</c:v>
                </c:pt>
                <c:pt idx="114">
                  <c:v>8671</c:v>
                </c:pt>
                <c:pt idx="115">
                  <c:v>8691</c:v>
                </c:pt>
                <c:pt idx="116">
                  <c:v>8377</c:v>
                </c:pt>
                <c:pt idx="117">
                  <c:v>8456</c:v>
                </c:pt>
                <c:pt idx="118">
                  <c:v>8548</c:v>
                </c:pt>
                <c:pt idx="119">
                  <c:v>8432</c:v>
                </c:pt>
                <c:pt idx="120">
                  <c:v>8447</c:v>
                </c:pt>
                <c:pt idx="121">
                  <c:v>8616</c:v>
                </c:pt>
                <c:pt idx="122">
                  <c:v>8380</c:v>
                </c:pt>
                <c:pt idx="123">
                  <c:v>8579</c:v>
                </c:pt>
                <c:pt idx="124">
                  <c:v>8539</c:v>
                </c:pt>
                <c:pt idx="125">
                  <c:v>8639</c:v>
                </c:pt>
                <c:pt idx="126">
                  <c:v>8575</c:v>
                </c:pt>
                <c:pt idx="127">
                  <c:v>8740</c:v>
                </c:pt>
                <c:pt idx="128">
                  <c:v>8724</c:v>
                </c:pt>
                <c:pt idx="129">
                  <c:v>8579</c:v>
                </c:pt>
                <c:pt idx="130">
                  <c:v>8362</c:v>
                </c:pt>
                <c:pt idx="131">
                  <c:v>8569</c:v>
                </c:pt>
                <c:pt idx="132">
                  <c:v>8565</c:v>
                </c:pt>
                <c:pt idx="133">
                  <c:v>8372</c:v>
                </c:pt>
                <c:pt idx="134">
                  <c:v>8405</c:v>
                </c:pt>
                <c:pt idx="135">
                  <c:v>8359</c:v>
                </c:pt>
                <c:pt idx="136">
                  <c:v>8525</c:v>
                </c:pt>
                <c:pt idx="137">
                  <c:v>8537</c:v>
                </c:pt>
                <c:pt idx="138">
                  <c:v>8497</c:v>
                </c:pt>
                <c:pt idx="139">
                  <c:v>8618</c:v>
                </c:pt>
                <c:pt idx="140">
                  <c:v>8442</c:v>
                </c:pt>
                <c:pt idx="141">
                  <c:v>8591</c:v>
                </c:pt>
                <c:pt idx="142">
                  <c:v>8530</c:v>
                </c:pt>
                <c:pt idx="143">
                  <c:v>8576</c:v>
                </c:pt>
                <c:pt idx="144">
                  <c:v>8665</c:v>
                </c:pt>
                <c:pt idx="145">
                  <c:v>8481</c:v>
                </c:pt>
                <c:pt idx="146">
                  <c:v>8552</c:v>
                </c:pt>
                <c:pt idx="147">
                  <c:v>8685</c:v>
                </c:pt>
                <c:pt idx="148">
                  <c:v>8869</c:v>
                </c:pt>
                <c:pt idx="149">
                  <c:v>8446</c:v>
                </c:pt>
                <c:pt idx="150">
                  <c:v>8554</c:v>
                </c:pt>
                <c:pt idx="151">
                  <c:v>8567</c:v>
                </c:pt>
                <c:pt idx="152">
                  <c:v>8596</c:v>
                </c:pt>
                <c:pt idx="153">
                  <c:v>8677</c:v>
                </c:pt>
                <c:pt idx="154">
                  <c:v>8877</c:v>
                </c:pt>
                <c:pt idx="155">
                  <c:v>8914</c:v>
                </c:pt>
                <c:pt idx="156">
                  <c:v>8784</c:v>
                </c:pt>
                <c:pt idx="157">
                  <c:v>8949</c:v>
                </c:pt>
                <c:pt idx="158">
                  <c:v>8890</c:v>
                </c:pt>
                <c:pt idx="159">
                  <c:v>8839</c:v>
                </c:pt>
                <c:pt idx="160">
                  <c:v>8932</c:v>
                </c:pt>
                <c:pt idx="161">
                  <c:v>8879</c:v>
                </c:pt>
                <c:pt idx="162">
                  <c:v>8927</c:v>
                </c:pt>
                <c:pt idx="163">
                  <c:v>8881</c:v>
                </c:pt>
                <c:pt idx="164">
                  <c:v>9010</c:v>
                </c:pt>
                <c:pt idx="165">
                  <c:v>9086</c:v>
                </c:pt>
                <c:pt idx="166">
                  <c:v>9151</c:v>
                </c:pt>
                <c:pt idx="167">
                  <c:v>9044</c:v>
                </c:pt>
                <c:pt idx="168">
                  <c:v>9620</c:v>
                </c:pt>
                <c:pt idx="169">
                  <c:v>9512</c:v>
                </c:pt>
                <c:pt idx="170">
                  <c:v>9398</c:v>
                </c:pt>
                <c:pt idx="171">
                  <c:v>9507</c:v>
                </c:pt>
                <c:pt idx="172">
                  <c:v>9475</c:v>
                </c:pt>
                <c:pt idx="173">
                  <c:v>9324</c:v>
                </c:pt>
                <c:pt idx="174">
                  <c:v>9287</c:v>
                </c:pt>
                <c:pt idx="175">
                  <c:v>9305</c:v>
                </c:pt>
                <c:pt idx="176">
                  <c:v>9378</c:v>
                </c:pt>
                <c:pt idx="177">
                  <c:v>9501</c:v>
                </c:pt>
                <c:pt idx="178">
                  <c:v>9563</c:v>
                </c:pt>
                <c:pt idx="179">
                  <c:v>9876</c:v>
                </c:pt>
                <c:pt idx="180">
                  <c:v>9629</c:v>
                </c:pt>
                <c:pt idx="181">
                  <c:v>9489</c:v>
                </c:pt>
                <c:pt idx="182">
                  <c:v>9771</c:v>
                </c:pt>
                <c:pt idx="183">
                  <c:v>9586</c:v>
                </c:pt>
                <c:pt idx="184">
                  <c:v>9843</c:v>
                </c:pt>
                <c:pt idx="185">
                  <c:v>9988</c:v>
                </c:pt>
                <c:pt idx="186">
                  <c:v>9759</c:v>
                </c:pt>
                <c:pt idx="187">
                  <c:v>9740</c:v>
                </c:pt>
                <c:pt idx="188">
                  <c:v>9783</c:v>
                </c:pt>
                <c:pt idx="189">
                  <c:v>9620</c:v>
                </c:pt>
                <c:pt idx="190">
                  <c:v>9632</c:v>
                </c:pt>
                <c:pt idx="191">
                  <c:v>9688</c:v>
                </c:pt>
                <c:pt idx="192">
                  <c:v>10074</c:v>
                </c:pt>
                <c:pt idx="193">
                  <c:v>9380</c:v>
                </c:pt>
                <c:pt idx="194">
                  <c:v>9355</c:v>
                </c:pt>
                <c:pt idx="195">
                  <c:v>9277</c:v>
                </c:pt>
                <c:pt idx="196">
                  <c:v>9310</c:v>
                </c:pt>
                <c:pt idx="197">
                  <c:v>9308</c:v>
                </c:pt>
                <c:pt idx="198">
                  <c:v>9583</c:v>
                </c:pt>
                <c:pt idx="199">
                  <c:v>9163</c:v>
                </c:pt>
                <c:pt idx="200">
                  <c:v>9080</c:v>
                </c:pt>
                <c:pt idx="201">
                  <c:v>8914</c:v>
                </c:pt>
                <c:pt idx="202">
                  <c:v>8630</c:v>
                </c:pt>
                <c:pt idx="203">
                  <c:v>8564</c:v>
                </c:pt>
                <c:pt idx="204">
                  <c:v>8511</c:v>
                </c:pt>
                <c:pt idx="205">
                  <c:v>8746</c:v>
                </c:pt>
                <c:pt idx="206">
                  <c:v>8615</c:v>
                </c:pt>
                <c:pt idx="207">
                  <c:v>8677</c:v>
                </c:pt>
                <c:pt idx="208">
                  <c:v>8426</c:v>
                </c:pt>
                <c:pt idx="209">
                  <c:v>8465</c:v>
                </c:pt>
                <c:pt idx="210">
                  <c:v>8352</c:v>
                </c:pt>
                <c:pt idx="211">
                  <c:v>8313</c:v>
                </c:pt>
                <c:pt idx="212">
                  <c:v>8385</c:v>
                </c:pt>
                <c:pt idx="213">
                  <c:v>8360</c:v>
                </c:pt>
                <c:pt idx="214">
                  <c:v>8406</c:v>
                </c:pt>
                <c:pt idx="215">
                  <c:v>8591</c:v>
                </c:pt>
                <c:pt idx="216">
                  <c:v>8365</c:v>
                </c:pt>
                <c:pt idx="217">
                  <c:v>8247</c:v>
                </c:pt>
                <c:pt idx="218">
                  <c:v>8704</c:v>
                </c:pt>
                <c:pt idx="219">
                  <c:v>8568</c:v>
                </c:pt>
                <c:pt idx="220">
                  <c:v>8628</c:v>
                </c:pt>
                <c:pt idx="221">
                  <c:v>8795</c:v>
                </c:pt>
                <c:pt idx="222">
                  <c:v>8610</c:v>
                </c:pt>
                <c:pt idx="223">
                  <c:v>8655</c:v>
                </c:pt>
                <c:pt idx="224">
                  <c:v>8766</c:v>
                </c:pt>
                <c:pt idx="225">
                  <c:v>8929</c:v>
                </c:pt>
                <c:pt idx="226">
                  <c:v>8905</c:v>
                </c:pt>
                <c:pt idx="227">
                  <c:v>8881</c:v>
                </c:pt>
                <c:pt idx="228">
                  <c:v>8823</c:v>
                </c:pt>
                <c:pt idx="229">
                  <c:v>9116</c:v>
                </c:pt>
                <c:pt idx="230">
                  <c:v>8846</c:v>
                </c:pt>
                <c:pt idx="231">
                  <c:v>9056</c:v>
                </c:pt>
                <c:pt idx="232">
                  <c:v>8975</c:v>
                </c:pt>
                <c:pt idx="233">
                  <c:v>9061</c:v>
                </c:pt>
                <c:pt idx="234">
                  <c:v>9171</c:v>
                </c:pt>
                <c:pt idx="235">
                  <c:v>9229</c:v>
                </c:pt>
                <c:pt idx="236">
                  <c:v>9159</c:v>
                </c:pt>
                <c:pt idx="237">
                  <c:v>9072</c:v>
                </c:pt>
                <c:pt idx="238">
                  <c:v>9045</c:v>
                </c:pt>
                <c:pt idx="239">
                  <c:v>8867</c:v>
                </c:pt>
                <c:pt idx="240">
                  <c:v>9307</c:v>
                </c:pt>
                <c:pt idx="241">
                  <c:v>9411</c:v>
                </c:pt>
                <c:pt idx="242">
                  <c:v>9186</c:v>
                </c:pt>
                <c:pt idx="243">
                  <c:v>9196</c:v>
                </c:pt>
                <c:pt idx="244">
                  <c:v>8890</c:v>
                </c:pt>
                <c:pt idx="245">
                  <c:v>9080</c:v>
                </c:pt>
                <c:pt idx="246">
                  <c:v>9182</c:v>
                </c:pt>
                <c:pt idx="247">
                  <c:v>9086</c:v>
                </c:pt>
                <c:pt idx="248">
                  <c:v>9107</c:v>
                </c:pt>
                <c:pt idx="249">
                  <c:v>9157</c:v>
                </c:pt>
                <c:pt idx="250">
                  <c:v>9088</c:v>
                </c:pt>
                <c:pt idx="251">
                  <c:v>9326</c:v>
                </c:pt>
                <c:pt idx="252">
                  <c:v>9223</c:v>
                </c:pt>
                <c:pt idx="253">
                  <c:v>9276</c:v>
                </c:pt>
                <c:pt idx="254">
                  <c:v>9367</c:v>
                </c:pt>
                <c:pt idx="255">
                  <c:v>9322</c:v>
                </c:pt>
                <c:pt idx="256">
                  <c:v>9319</c:v>
                </c:pt>
                <c:pt idx="257">
                  <c:v>9169</c:v>
                </c:pt>
                <c:pt idx="258">
                  <c:v>9209</c:v>
                </c:pt>
                <c:pt idx="259">
                  <c:v>9304</c:v>
                </c:pt>
                <c:pt idx="260">
                  <c:v>9502</c:v>
                </c:pt>
                <c:pt idx="261">
                  <c:v>9488</c:v>
                </c:pt>
                <c:pt idx="262">
                  <c:v>9555</c:v>
                </c:pt>
                <c:pt idx="263">
                  <c:v>9393</c:v>
                </c:pt>
                <c:pt idx="264">
                  <c:v>9251</c:v>
                </c:pt>
                <c:pt idx="265">
                  <c:v>9387</c:v>
                </c:pt>
                <c:pt idx="266">
                  <c:v>9473</c:v>
                </c:pt>
                <c:pt idx="267">
                  <c:v>9344</c:v>
                </c:pt>
                <c:pt idx="268">
                  <c:v>9535</c:v>
                </c:pt>
                <c:pt idx="269">
                  <c:v>9599</c:v>
                </c:pt>
                <c:pt idx="270">
                  <c:v>9623</c:v>
                </c:pt>
                <c:pt idx="271">
                  <c:v>9743</c:v>
                </c:pt>
                <c:pt idx="272">
                  <c:v>9719</c:v>
                </c:pt>
                <c:pt idx="273">
                  <c:v>9904</c:v>
                </c:pt>
                <c:pt idx="274">
                  <c:v>9828</c:v>
                </c:pt>
                <c:pt idx="275">
                  <c:v>9800</c:v>
                </c:pt>
                <c:pt idx="276">
                  <c:v>9847</c:v>
                </c:pt>
                <c:pt idx="277">
                  <c:v>9760</c:v>
                </c:pt>
                <c:pt idx="278">
                  <c:v>9788</c:v>
                </c:pt>
                <c:pt idx="279">
                  <c:v>9725</c:v>
                </c:pt>
                <c:pt idx="280">
                  <c:v>9997</c:v>
                </c:pt>
                <c:pt idx="281">
                  <c:v>10040</c:v>
                </c:pt>
                <c:pt idx="282">
                  <c:v>10059</c:v>
                </c:pt>
                <c:pt idx="283">
                  <c:v>10158</c:v>
                </c:pt>
                <c:pt idx="284">
                  <c:v>9714</c:v>
                </c:pt>
                <c:pt idx="285">
                  <c:v>9726</c:v>
                </c:pt>
                <c:pt idx="286">
                  <c:v>9863</c:v>
                </c:pt>
                <c:pt idx="287">
                  <c:v>9763</c:v>
                </c:pt>
                <c:pt idx="288">
                  <c:v>9786</c:v>
                </c:pt>
                <c:pt idx="289">
                  <c:v>9770</c:v>
                </c:pt>
                <c:pt idx="290">
                  <c:v>10009</c:v>
                </c:pt>
                <c:pt idx="291">
                  <c:v>10126</c:v>
                </c:pt>
                <c:pt idx="292">
                  <c:v>9996</c:v>
                </c:pt>
                <c:pt idx="293">
                  <c:v>10063</c:v>
                </c:pt>
                <c:pt idx="294">
                  <c:v>9997</c:v>
                </c:pt>
                <c:pt idx="295">
                  <c:v>9933</c:v>
                </c:pt>
                <c:pt idx="296">
                  <c:v>10196</c:v>
                </c:pt>
                <c:pt idx="297">
                  <c:v>10368</c:v>
                </c:pt>
                <c:pt idx="298">
                  <c:v>9962</c:v>
                </c:pt>
                <c:pt idx="299">
                  <c:v>10130</c:v>
                </c:pt>
                <c:pt idx="300">
                  <c:v>10110</c:v>
                </c:pt>
                <c:pt idx="301">
                  <c:v>10280</c:v>
                </c:pt>
                <c:pt idx="302">
                  <c:v>10189</c:v>
                </c:pt>
                <c:pt idx="303">
                  <c:v>10249</c:v>
                </c:pt>
                <c:pt idx="304">
                  <c:v>10043</c:v>
                </c:pt>
                <c:pt idx="305">
                  <c:v>10048</c:v>
                </c:pt>
                <c:pt idx="306">
                  <c:v>10258</c:v>
                </c:pt>
                <c:pt idx="307">
                  <c:v>10235</c:v>
                </c:pt>
                <c:pt idx="308">
                  <c:v>10354</c:v>
                </c:pt>
                <c:pt idx="309">
                  <c:v>10392</c:v>
                </c:pt>
                <c:pt idx="310">
                  <c:v>10590</c:v>
                </c:pt>
                <c:pt idx="311">
                  <c:v>10656</c:v>
                </c:pt>
                <c:pt idx="312">
                  <c:v>10855</c:v>
                </c:pt>
                <c:pt idx="313">
                  <c:v>10807</c:v>
                </c:pt>
                <c:pt idx="314">
                  <c:v>10711</c:v>
                </c:pt>
                <c:pt idx="315">
                  <c:v>10651</c:v>
                </c:pt>
                <c:pt idx="316">
                  <c:v>10810</c:v>
                </c:pt>
                <c:pt idx="317">
                  <c:v>10763</c:v>
                </c:pt>
                <c:pt idx="318">
                  <c:v>10411</c:v>
                </c:pt>
                <c:pt idx="319">
                  <c:v>10625</c:v>
                </c:pt>
                <c:pt idx="320">
                  <c:v>10659</c:v>
                </c:pt>
                <c:pt idx="321">
                  <c:v>10907</c:v>
                </c:pt>
                <c:pt idx="322">
                  <c:v>10779</c:v>
                </c:pt>
                <c:pt idx="323">
                  <c:v>10558</c:v>
                </c:pt>
                <c:pt idx="324">
                  <c:v>10346</c:v>
                </c:pt>
                <c:pt idx="325">
                  <c:v>10455</c:v>
                </c:pt>
                <c:pt idx="326">
                  <c:v>10601</c:v>
                </c:pt>
                <c:pt idx="327">
                  <c:v>10829</c:v>
                </c:pt>
                <c:pt idx="328">
                  <c:v>10885</c:v>
                </c:pt>
                <c:pt idx="329">
                  <c:v>11001</c:v>
                </c:pt>
                <c:pt idx="330">
                  <c:v>10900</c:v>
                </c:pt>
                <c:pt idx="331">
                  <c:v>11199</c:v>
                </c:pt>
                <c:pt idx="332">
                  <c:v>11208</c:v>
                </c:pt>
                <c:pt idx="333">
                  <c:v>11397</c:v>
                </c:pt>
                <c:pt idx="334">
                  <c:v>11445</c:v>
                </c:pt>
                <c:pt idx="335">
                  <c:v>11211</c:v>
                </c:pt>
                <c:pt idx="336">
                  <c:v>11667</c:v>
                </c:pt>
                <c:pt idx="337">
                  <c:v>11706</c:v>
                </c:pt>
                <c:pt idx="338">
                  <c:v>9874</c:v>
                </c:pt>
                <c:pt idx="339">
                  <c:v>7361</c:v>
                </c:pt>
                <c:pt idx="340">
                  <c:v>8897</c:v>
                </c:pt>
                <c:pt idx="341">
                  <c:v>11000</c:v>
                </c:pt>
                <c:pt idx="342">
                  <c:v>11505</c:v>
                </c:pt>
                <c:pt idx="343">
                  <c:v>11744</c:v>
                </c:pt>
                <c:pt idx="344">
                  <c:v>11862</c:v>
                </c:pt>
                <c:pt idx="345">
                  <c:v>11923</c:v>
                </c:pt>
                <c:pt idx="346">
                  <c:v>12017</c:v>
                </c:pt>
                <c:pt idx="347">
                  <c:v>12667</c:v>
                </c:pt>
                <c:pt idx="348">
                  <c:v>12744</c:v>
                </c:pt>
                <c:pt idx="349">
                  <c:v>12394</c:v>
                </c:pt>
                <c:pt idx="350">
                  <c:v>13746</c:v>
                </c:pt>
                <c:pt idx="351">
                  <c:v>13609</c:v>
                </c:pt>
                <c:pt idx="352">
                  <c:v>13169</c:v>
                </c:pt>
                <c:pt idx="353">
                  <c:v>13734</c:v>
                </c:pt>
                <c:pt idx="354">
                  <c:v>13809</c:v>
                </c:pt>
                <c:pt idx="355">
                  <c:v>13998</c:v>
                </c:pt>
              </c:numCache>
            </c:numRef>
          </c:val>
          <c:smooth val="0"/>
          <c:extLst>
            <c:ext xmlns:c16="http://schemas.microsoft.com/office/drawing/2014/chart" uri="{C3380CC4-5D6E-409C-BE32-E72D297353CC}">
              <c16:uniqueId val="{00000000-B6A6-4B7E-8758-86351DA386DC}"/>
            </c:ext>
          </c:extLst>
        </c:ser>
        <c:dLbls>
          <c:showLegendKey val="0"/>
          <c:showVal val="0"/>
          <c:showCatName val="0"/>
          <c:showSerName val="0"/>
          <c:showPercent val="0"/>
          <c:showBubbleSize val="0"/>
        </c:dLbls>
        <c:smooth val="0"/>
        <c:axId val="711785144"/>
        <c:axId val="711780552"/>
      </c:lineChart>
      <c:dateAx>
        <c:axId val="711785144"/>
        <c:scaling>
          <c:orientation val="minMax"/>
        </c:scaling>
        <c:delete val="0"/>
        <c:axPos val="b"/>
        <c:numFmt formatCode="[$-409]mmm\-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11780552"/>
        <c:crosses val="autoZero"/>
        <c:auto val="1"/>
        <c:lblOffset val="100"/>
        <c:baseTimeUnit val="months"/>
      </c:dateAx>
      <c:valAx>
        <c:axId val="711780552"/>
        <c:scaling>
          <c:orientation val="minMax"/>
          <c:min val="4000"/>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1178514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'Miscellaneous stores retailers'!$D$6</c:f>
              <c:strCache>
                <c:ptCount val="1"/>
                <c:pt idx="0">
                  <c:v>yoy</c:v>
                </c:pt>
              </c:strCache>
            </c:strRef>
          </c:tx>
          <c:spPr>
            <a:ln w="28575" cap="rnd">
              <a:solidFill>
                <a:sysClr val="windowText" lastClr="000000"/>
              </a:solidFill>
              <a:round/>
            </a:ln>
            <a:effectLst/>
          </c:spPr>
          <c:marker>
            <c:symbol val="none"/>
          </c:marker>
          <c:cat>
            <c:numRef>
              <c:f>'Miscellaneous stores retailers'!$A$7:$A$362</c:f>
              <c:numCache>
                <c:formatCode>[$-409]mmm\-yy;@</c:formatCode>
                <c:ptCount val="356"/>
                <c:pt idx="0">
                  <c:v>33604</c:v>
                </c:pt>
                <c:pt idx="1">
                  <c:v>33635</c:v>
                </c:pt>
                <c:pt idx="2">
                  <c:v>33664</c:v>
                </c:pt>
                <c:pt idx="3">
                  <c:v>33695</c:v>
                </c:pt>
                <c:pt idx="4">
                  <c:v>33725</c:v>
                </c:pt>
                <c:pt idx="5">
                  <c:v>33756</c:v>
                </c:pt>
                <c:pt idx="6">
                  <c:v>33786</c:v>
                </c:pt>
                <c:pt idx="7">
                  <c:v>33817</c:v>
                </c:pt>
                <c:pt idx="8">
                  <c:v>33848</c:v>
                </c:pt>
                <c:pt idx="9">
                  <c:v>33878</c:v>
                </c:pt>
                <c:pt idx="10">
                  <c:v>33909</c:v>
                </c:pt>
                <c:pt idx="11">
                  <c:v>33939</c:v>
                </c:pt>
                <c:pt idx="12">
                  <c:v>33970</c:v>
                </c:pt>
                <c:pt idx="13">
                  <c:v>34001</c:v>
                </c:pt>
                <c:pt idx="14">
                  <c:v>34029</c:v>
                </c:pt>
                <c:pt idx="15">
                  <c:v>34060</c:v>
                </c:pt>
                <c:pt idx="16">
                  <c:v>34090</c:v>
                </c:pt>
                <c:pt idx="17">
                  <c:v>34121</c:v>
                </c:pt>
                <c:pt idx="18">
                  <c:v>34151</c:v>
                </c:pt>
                <c:pt idx="19">
                  <c:v>34182</c:v>
                </c:pt>
                <c:pt idx="20">
                  <c:v>34213</c:v>
                </c:pt>
                <c:pt idx="21">
                  <c:v>34243</c:v>
                </c:pt>
                <c:pt idx="22">
                  <c:v>34274</c:v>
                </c:pt>
                <c:pt idx="23">
                  <c:v>34304</c:v>
                </c:pt>
                <c:pt idx="24">
                  <c:v>34335</c:v>
                </c:pt>
                <c:pt idx="25">
                  <c:v>34366</c:v>
                </c:pt>
                <c:pt idx="26">
                  <c:v>34394</c:v>
                </c:pt>
                <c:pt idx="27">
                  <c:v>34425</c:v>
                </c:pt>
                <c:pt idx="28">
                  <c:v>34455</c:v>
                </c:pt>
                <c:pt idx="29">
                  <c:v>34486</c:v>
                </c:pt>
                <c:pt idx="30">
                  <c:v>34516</c:v>
                </c:pt>
                <c:pt idx="31">
                  <c:v>34547</c:v>
                </c:pt>
                <c:pt idx="32">
                  <c:v>34578</c:v>
                </c:pt>
                <c:pt idx="33">
                  <c:v>34608</c:v>
                </c:pt>
                <c:pt idx="34">
                  <c:v>34639</c:v>
                </c:pt>
                <c:pt idx="35">
                  <c:v>34669</c:v>
                </c:pt>
                <c:pt idx="36">
                  <c:v>34700</c:v>
                </c:pt>
                <c:pt idx="37">
                  <c:v>34731</c:v>
                </c:pt>
                <c:pt idx="38">
                  <c:v>34759</c:v>
                </c:pt>
                <c:pt idx="39">
                  <c:v>34790</c:v>
                </c:pt>
                <c:pt idx="40">
                  <c:v>34820</c:v>
                </c:pt>
                <c:pt idx="41">
                  <c:v>34851</c:v>
                </c:pt>
                <c:pt idx="42">
                  <c:v>34881</c:v>
                </c:pt>
                <c:pt idx="43">
                  <c:v>34912</c:v>
                </c:pt>
                <c:pt idx="44">
                  <c:v>34943</c:v>
                </c:pt>
                <c:pt idx="45">
                  <c:v>34973</c:v>
                </c:pt>
                <c:pt idx="46">
                  <c:v>35004</c:v>
                </c:pt>
                <c:pt idx="47">
                  <c:v>35034</c:v>
                </c:pt>
                <c:pt idx="48">
                  <c:v>35065</c:v>
                </c:pt>
                <c:pt idx="49">
                  <c:v>35096</c:v>
                </c:pt>
                <c:pt idx="50">
                  <c:v>35125</c:v>
                </c:pt>
                <c:pt idx="51">
                  <c:v>35156</c:v>
                </c:pt>
                <c:pt idx="52">
                  <c:v>35186</c:v>
                </c:pt>
                <c:pt idx="53">
                  <c:v>35217</c:v>
                </c:pt>
                <c:pt idx="54">
                  <c:v>35247</c:v>
                </c:pt>
                <c:pt idx="55">
                  <c:v>35278</c:v>
                </c:pt>
                <c:pt idx="56">
                  <c:v>35309</c:v>
                </c:pt>
                <c:pt idx="57">
                  <c:v>35339</c:v>
                </c:pt>
                <c:pt idx="58">
                  <c:v>35370</c:v>
                </c:pt>
                <c:pt idx="59">
                  <c:v>35400</c:v>
                </c:pt>
                <c:pt idx="60">
                  <c:v>35431</c:v>
                </c:pt>
                <c:pt idx="61">
                  <c:v>35462</c:v>
                </c:pt>
                <c:pt idx="62">
                  <c:v>35490</c:v>
                </c:pt>
                <c:pt idx="63">
                  <c:v>35521</c:v>
                </c:pt>
                <c:pt idx="64">
                  <c:v>35551</c:v>
                </c:pt>
                <c:pt idx="65">
                  <c:v>35582</c:v>
                </c:pt>
                <c:pt idx="66">
                  <c:v>35612</c:v>
                </c:pt>
                <c:pt idx="67">
                  <c:v>35643</c:v>
                </c:pt>
                <c:pt idx="68">
                  <c:v>35674</c:v>
                </c:pt>
                <c:pt idx="69">
                  <c:v>35704</c:v>
                </c:pt>
                <c:pt idx="70">
                  <c:v>35735</c:v>
                </c:pt>
                <c:pt idx="71">
                  <c:v>35765</c:v>
                </c:pt>
                <c:pt idx="72">
                  <c:v>35796</c:v>
                </c:pt>
                <c:pt idx="73">
                  <c:v>35827</c:v>
                </c:pt>
                <c:pt idx="74">
                  <c:v>35855</c:v>
                </c:pt>
                <c:pt idx="75">
                  <c:v>35886</c:v>
                </c:pt>
                <c:pt idx="76">
                  <c:v>35916</c:v>
                </c:pt>
                <c:pt idx="77">
                  <c:v>35947</c:v>
                </c:pt>
                <c:pt idx="78">
                  <c:v>35977</c:v>
                </c:pt>
                <c:pt idx="79">
                  <c:v>36008</c:v>
                </c:pt>
                <c:pt idx="80">
                  <c:v>36039</c:v>
                </c:pt>
                <c:pt idx="81">
                  <c:v>36069</c:v>
                </c:pt>
                <c:pt idx="82">
                  <c:v>36100</c:v>
                </c:pt>
                <c:pt idx="83">
                  <c:v>36130</c:v>
                </c:pt>
                <c:pt idx="84">
                  <c:v>36161</c:v>
                </c:pt>
                <c:pt idx="85">
                  <c:v>36192</c:v>
                </c:pt>
                <c:pt idx="86">
                  <c:v>36220</c:v>
                </c:pt>
                <c:pt idx="87">
                  <c:v>36251</c:v>
                </c:pt>
                <c:pt idx="88">
                  <c:v>36281</c:v>
                </c:pt>
                <c:pt idx="89">
                  <c:v>36312</c:v>
                </c:pt>
                <c:pt idx="90">
                  <c:v>36342</c:v>
                </c:pt>
                <c:pt idx="91">
                  <c:v>36373</c:v>
                </c:pt>
                <c:pt idx="92">
                  <c:v>36404</c:v>
                </c:pt>
                <c:pt idx="93">
                  <c:v>36434</c:v>
                </c:pt>
                <c:pt idx="94">
                  <c:v>36465</c:v>
                </c:pt>
                <c:pt idx="95">
                  <c:v>36495</c:v>
                </c:pt>
                <c:pt idx="96">
                  <c:v>36526</c:v>
                </c:pt>
                <c:pt idx="97">
                  <c:v>36557</c:v>
                </c:pt>
                <c:pt idx="98">
                  <c:v>36586</c:v>
                </c:pt>
                <c:pt idx="99">
                  <c:v>36617</c:v>
                </c:pt>
                <c:pt idx="100">
                  <c:v>36647</c:v>
                </c:pt>
                <c:pt idx="101">
                  <c:v>36678</c:v>
                </c:pt>
                <c:pt idx="102">
                  <c:v>36708</c:v>
                </c:pt>
                <c:pt idx="103">
                  <c:v>36739</c:v>
                </c:pt>
                <c:pt idx="104">
                  <c:v>36770</c:v>
                </c:pt>
                <c:pt idx="105">
                  <c:v>36800</c:v>
                </c:pt>
                <c:pt idx="106">
                  <c:v>36831</c:v>
                </c:pt>
                <c:pt idx="107">
                  <c:v>36861</c:v>
                </c:pt>
                <c:pt idx="108">
                  <c:v>36892</c:v>
                </c:pt>
                <c:pt idx="109">
                  <c:v>36923</c:v>
                </c:pt>
                <c:pt idx="110">
                  <c:v>36951</c:v>
                </c:pt>
                <c:pt idx="111">
                  <c:v>36982</c:v>
                </c:pt>
                <c:pt idx="112">
                  <c:v>37012</c:v>
                </c:pt>
                <c:pt idx="113">
                  <c:v>37043</c:v>
                </c:pt>
                <c:pt idx="114">
                  <c:v>37073</c:v>
                </c:pt>
                <c:pt idx="115">
                  <c:v>37104</c:v>
                </c:pt>
                <c:pt idx="116">
                  <c:v>37135</c:v>
                </c:pt>
                <c:pt idx="117">
                  <c:v>37165</c:v>
                </c:pt>
                <c:pt idx="118">
                  <c:v>37196</c:v>
                </c:pt>
                <c:pt idx="119">
                  <c:v>37226</c:v>
                </c:pt>
                <c:pt idx="120">
                  <c:v>37257</c:v>
                </c:pt>
                <c:pt idx="121">
                  <c:v>37288</c:v>
                </c:pt>
                <c:pt idx="122">
                  <c:v>37316</c:v>
                </c:pt>
                <c:pt idx="123">
                  <c:v>37347</c:v>
                </c:pt>
                <c:pt idx="124">
                  <c:v>37377</c:v>
                </c:pt>
                <c:pt idx="125">
                  <c:v>37408</c:v>
                </c:pt>
                <c:pt idx="126">
                  <c:v>37438</c:v>
                </c:pt>
                <c:pt idx="127">
                  <c:v>37469</c:v>
                </c:pt>
                <c:pt idx="128">
                  <c:v>37500</c:v>
                </c:pt>
                <c:pt idx="129">
                  <c:v>37530</c:v>
                </c:pt>
                <c:pt idx="130">
                  <c:v>37561</c:v>
                </c:pt>
                <c:pt idx="131">
                  <c:v>37591</c:v>
                </c:pt>
                <c:pt idx="132">
                  <c:v>37622</c:v>
                </c:pt>
                <c:pt idx="133">
                  <c:v>37653</c:v>
                </c:pt>
                <c:pt idx="134">
                  <c:v>37681</c:v>
                </c:pt>
                <c:pt idx="135">
                  <c:v>37712</c:v>
                </c:pt>
                <c:pt idx="136">
                  <c:v>37742</c:v>
                </c:pt>
                <c:pt idx="137">
                  <c:v>37773</c:v>
                </c:pt>
                <c:pt idx="138">
                  <c:v>37803</c:v>
                </c:pt>
                <c:pt idx="139">
                  <c:v>37834</c:v>
                </c:pt>
                <c:pt idx="140">
                  <c:v>37865</c:v>
                </c:pt>
                <c:pt idx="141">
                  <c:v>37895</c:v>
                </c:pt>
                <c:pt idx="142">
                  <c:v>37926</c:v>
                </c:pt>
                <c:pt idx="143">
                  <c:v>37956</c:v>
                </c:pt>
                <c:pt idx="144">
                  <c:v>37987</c:v>
                </c:pt>
                <c:pt idx="145">
                  <c:v>38018</c:v>
                </c:pt>
                <c:pt idx="146">
                  <c:v>38047</c:v>
                </c:pt>
                <c:pt idx="147">
                  <c:v>38078</c:v>
                </c:pt>
                <c:pt idx="148">
                  <c:v>38108</c:v>
                </c:pt>
                <c:pt idx="149">
                  <c:v>38139</c:v>
                </c:pt>
                <c:pt idx="150">
                  <c:v>38169</c:v>
                </c:pt>
                <c:pt idx="151">
                  <c:v>38200</c:v>
                </c:pt>
                <c:pt idx="152">
                  <c:v>38231</c:v>
                </c:pt>
                <c:pt idx="153">
                  <c:v>38261</c:v>
                </c:pt>
                <c:pt idx="154">
                  <c:v>38292</c:v>
                </c:pt>
                <c:pt idx="155">
                  <c:v>38322</c:v>
                </c:pt>
                <c:pt idx="156">
                  <c:v>38353</c:v>
                </c:pt>
                <c:pt idx="157">
                  <c:v>38384</c:v>
                </c:pt>
                <c:pt idx="158">
                  <c:v>38412</c:v>
                </c:pt>
                <c:pt idx="159">
                  <c:v>38443</c:v>
                </c:pt>
                <c:pt idx="160">
                  <c:v>38473</c:v>
                </c:pt>
                <c:pt idx="161">
                  <c:v>38504</c:v>
                </c:pt>
                <c:pt idx="162">
                  <c:v>38534</c:v>
                </c:pt>
                <c:pt idx="163">
                  <c:v>38565</c:v>
                </c:pt>
                <c:pt idx="164">
                  <c:v>38596</c:v>
                </c:pt>
                <c:pt idx="165">
                  <c:v>38626</c:v>
                </c:pt>
                <c:pt idx="166">
                  <c:v>38657</c:v>
                </c:pt>
                <c:pt idx="167">
                  <c:v>38687</c:v>
                </c:pt>
                <c:pt idx="168">
                  <c:v>38718</c:v>
                </c:pt>
                <c:pt idx="169">
                  <c:v>38749</c:v>
                </c:pt>
                <c:pt idx="170">
                  <c:v>38777</c:v>
                </c:pt>
                <c:pt idx="171">
                  <c:v>38808</c:v>
                </c:pt>
                <c:pt idx="172">
                  <c:v>38838</c:v>
                </c:pt>
                <c:pt idx="173">
                  <c:v>38869</c:v>
                </c:pt>
                <c:pt idx="174">
                  <c:v>38899</c:v>
                </c:pt>
                <c:pt idx="175">
                  <c:v>38930</c:v>
                </c:pt>
                <c:pt idx="176">
                  <c:v>38961</c:v>
                </c:pt>
                <c:pt idx="177">
                  <c:v>38991</c:v>
                </c:pt>
                <c:pt idx="178">
                  <c:v>39022</c:v>
                </c:pt>
                <c:pt idx="179">
                  <c:v>39052</c:v>
                </c:pt>
                <c:pt idx="180">
                  <c:v>39083</c:v>
                </c:pt>
                <c:pt idx="181">
                  <c:v>39114</c:v>
                </c:pt>
                <c:pt idx="182">
                  <c:v>39142</c:v>
                </c:pt>
                <c:pt idx="183">
                  <c:v>39173</c:v>
                </c:pt>
                <c:pt idx="184">
                  <c:v>39203</c:v>
                </c:pt>
                <c:pt idx="185">
                  <c:v>39234</c:v>
                </c:pt>
                <c:pt idx="186">
                  <c:v>39264</c:v>
                </c:pt>
                <c:pt idx="187">
                  <c:v>39295</c:v>
                </c:pt>
                <c:pt idx="188">
                  <c:v>39326</c:v>
                </c:pt>
                <c:pt idx="189">
                  <c:v>39356</c:v>
                </c:pt>
                <c:pt idx="190">
                  <c:v>39387</c:v>
                </c:pt>
                <c:pt idx="191">
                  <c:v>39417</c:v>
                </c:pt>
                <c:pt idx="192">
                  <c:v>39448</c:v>
                </c:pt>
                <c:pt idx="193">
                  <c:v>39479</c:v>
                </c:pt>
                <c:pt idx="194">
                  <c:v>39508</c:v>
                </c:pt>
                <c:pt idx="195">
                  <c:v>39539</c:v>
                </c:pt>
                <c:pt idx="196">
                  <c:v>39569</c:v>
                </c:pt>
                <c:pt idx="197">
                  <c:v>39600</c:v>
                </c:pt>
                <c:pt idx="198">
                  <c:v>39630</c:v>
                </c:pt>
                <c:pt idx="199">
                  <c:v>39661</c:v>
                </c:pt>
                <c:pt idx="200">
                  <c:v>39692</c:v>
                </c:pt>
                <c:pt idx="201">
                  <c:v>39722</c:v>
                </c:pt>
                <c:pt idx="202">
                  <c:v>39753</c:v>
                </c:pt>
                <c:pt idx="203">
                  <c:v>39783</c:v>
                </c:pt>
                <c:pt idx="204">
                  <c:v>39814</c:v>
                </c:pt>
                <c:pt idx="205">
                  <c:v>39845</c:v>
                </c:pt>
                <c:pt idx="206">
                  <c:v>39873</c:v>
                </c:pt>
                <c:pt idx="207">
                  <c:v>39904</c:v>
                </c:pt>
                <c:pt idx="208">
                  <c:v>39934</c:v>
                </c:pt>
                <c:pt idx="209">
                  <c:v>39965</c:v>
                </c:pt>
                <c:pt idx="210">
                  <c:v>39995</c:v>
                </c:pt>
                <c:pt idx="211">
                  <c:v>40026</c:v>
                </c:pt>
                <c:pt idx="212">
                  <c:v>40057</c:v>
                </c:pt>
                <c:pt idx="213">
                  <c:v>40087</c:v>
                </c:pt>
                <c:pt idx="214">
                  <c:v>40118</c:v>
                </c:pt>
                <c:pt idx="215">
                  <c:v>40148</c:v>
                </c:pt>
                <c:pt idx="216">
                  <c:v>40179</c:v>
                </c:pt>
                <c:pt idx="217">
                  <c:v>40210</c:v>
                </c:pt>
                <c:pt idx="218">
                  <c:v>40238</c:v>
                </c:pt>
                <c:pt idx="219">
                  <c:v>40269</c:v>
                </c:pt>
                <c:pt idx="220">
                  <c:v>40299</c:v>
                </c:pt>
                <c:pt idx="221">
                  <c:v>40330</c:v>
                </c:pt>
                <c:pt idx="222">
                  <c:v>40360</c:v>
                </c:pt>
                <c:pt idx="223">
                  <c:v>40391</c:v>
                </c:pt>
                <c:pt idx="224">
                  <c:v>40422</c:v>
                </c:pt>
                <c:pt idx="225">
                  <c:v>40452</c:v>
                </c:pt>
                <c:pt idx="226">
                  <c:v>40483</c:v>
                </c:pt>
                <c:pt idx="227">
                  <c:v>40513</c:v>
                </c:pt>
                <c:pt idx="228">
                  <c:v>40544</c:v>
                </c:pt>
                <c:pt idx="229">
                  <c:v>40575</c:v>
                </c:pt>
                <c:pt idx="230">
                  <c:v>40603</c:v>
                </c:pt>
                <c:pt idx="231">
                  <c:v>40634</c:v>
                </c:pt>
                <c:pt idx="232">
                  <c:v>40664</c:v>
                </c:pt>
                <c:pt idx="233">
                  <c:v>40695</c:v>
                </c:pt>
                <c:pt idx="234">
                  <c:v>40725</c:v>
                </c:pt>
                <c:pt idx="235">
                  <c:v>40756</c:v>
                </c:pt>
                <c:pt idx="236">
                  <c:v>40787</c:v>
                </c:pt>
                <c:pt idx="237">
                  <c:v>40817</c:v>
                </c:pt>
                <c:pt idx="238">
                  <c:v>40848</c:v>
                </c:pt>
                <c:pt idx="239">
                  <c:v>40878</c:v>
                </c:pt>
                <c:pt idx="240">
                  <c:v>40909</c:v>
                </c:pt>
                <c:pt idx="241">
                  <c:v>40940</c:v>
                </c:pt>
                <c:pt idx="242">
                  <c:v>40969</c:v>
                </c:pt>
                <c:pt idx="243">
                  <c:v>41000</c:v>
                </c:pt>
                <c:pt idx="244">
                  <c:v>41030</c:v>
                </c:pt>
                <c:pt idx="245">
                  <c:v>41061</c:v>
                </c:pt>
                <c:pt idx="246">
                  <c:v>41091</c:v>
                </c:pt>
                <c:pt idx="247">
                  <c:v>41122</c:v>
                </c:pt>
                <c:pt idx="248">
                  <c:v>41153</c:v>
                </c:pt>
                <c:pt idx="249">
                  <c:v>41183</c:v>
                </c:pt>
                <c:pt idx="250">
                  <c:v>41214</c:v>
                </c:pt>
                <c:pt idx="251">
                  <c:v>41244</c:v>
                </c:pt>
                <c:pt idx="252">
                  <c:v>41275</c:v>
                </c:pt>
                <c:pt idx="253">
                  <c:v>41306</c:v>
                </c:pt>
                <c:pt idx="254">
                  <c:v>41334</c:v>
                </c:pt>
                <c:pt idx="255">
                  <c:v>41365</c:v>
                </c:pt>
                <c:pt idx="256">
                  <c:v>41395</c:v>
                </c:pt>
                <c:pt idx="257">
                  <c:v>41426</c:v>
                </c:pt>
                <c:pt idx="258">
                  <c:v>41456</c:v>
                </c:pt>
                <c:pt idx="259">
                  <c:v>41487</c:v>
                </c:pt>
                <c:pt idx="260">
                  <c:v>41518</c:v>
                </c:pt>
                <c:pt idx="261">
                  <c:v>41548</c:v>
                </c:pt>
                <c:pt idx="262">
                  <c:v>41579</c:v>
                </c:pt>
                <c:pt idx="263">
                  <c:v>41609</c:v>
                </c:pt>
                <c:pt idx="264">
                  <c:v>41640</c:v>
                </c:pt>
                <c:pt idx="265">
                  <c:v>41671</c:v>
                </c:pt>
                <c:pt idx="266">
                  <c:v>41699</c:v>
                </c:pt>
                <c:pt idx="267">
                  <c:v>41730</c:v>
                </c:pt>
                <c:pt idx="268">
                  <c:v>41760</c:v>
                </c:pt>
                <c:pt idx="269">
                  <c:v>41791</c:v>
                </c:pt>
                <c:pt idx="270">
                  <c:v>41821</c:v>
                </c:pt>
                <c:pt idx="271">
                  <c:v>41852</c:v>
                </c:pt>
                <c:pt idx="272">
                  <c:v>41883</c:v>
                </c:pt>
                <c:pt idx="273">
                  <c:v>41913</c:v>
                </c:pt>
                <c:pt idx="274">
                  <c:v>41944</c:v>
                </c:pt>
                <c:pt idx="275">
                  <c:v>41974</c:v>
                </c:pt>
                <c:pt idx="276">
                  <c:v>42005</c:v>
                </c:pt>
                <c:pt idx="277">
                  <c:v>42036</c:v>
                </c:pt>
                <c:pt idx="278">
                  <c:v>42064</c:v>
                </c:pt>
                <c:pt idx="279">
                  <c:v>42095</c:v>
                </c:pt>
                <c:pt idx="280">
                  <c:v>42125</c:v>
                </c:pt>
                <c:pt idx="281">
                  <c:v>42156</c:v>
                </c:pt>
                <c:pt idx="282">
                  <c:v>42186</c:v>
                </c:pt>
                <c:pt idx="283">
                  <c:v>42217</c:v>
                </c:pt>
                <c:pt idx="284">
                  <c:v>42248</c:v>
                </c:pt>
                <c:pt idx="285">
                  <c:v>42278</c:v>
                </c:pt>
                <c:pt idx="286">
                  <c:v>42309</c:v>
                </c:pt>
                <c:pt idx="287">
                  <c:v>42339</c:v>
                </c:pt>
                <c:pt idx="288">
                  <c:v>42370</c:v>
                </c:pt>
                <c:pt idx="289">
                  <c:v>42401</c:v>
                </c:pt>
                <c:pt idx="290">
                  <c:v>42430</c:v>
                </c:pt>
                <c:pt idx="291">
                  <c:v>42461</c:v>
                </c:pt>
                <c:pt idx="292">
                  <c:v>42491</c:v>
                </c:pt>
                <c:pt idx="293">
                  <c:v>42522</c:v>
                </c:pt>
                <c:pt idx="294">
                  <c:v>42552</c:v>
                </c:pt>
                <c:pt idx="295">
                  <c:v>42583</c:v>
                </c:pt>
                <c:pt idx="296">
                  <c:v>42614</c:v>
                </c:pt>
                <c:pt idx="297">
                  <c:v>42644</c:v>
                </c:pt>
                <c:pt idx="298">
                  <c:v>42675</c:v>
                </c:pt>
                <c:pt idx="299">
                  <c:v>42705</c:v>
                </c:pt>
                <c:pt idx="300">
                  <c:v>42736</c:v>
                </c:pt>
                <c:pt idx="301">
                  <c:v>42767</c:v>
                </c:pt>
                <c:pt idx="302">
                  <c:v>42795</c:v>
                </c:pt>
                <c:pt idx="303">
                  <c:v>42826</c:v>
                </c:pt>
                <c:pt idx="304">
                  <c:v>42856</c:v>
                </c:pt>
                <c:pt idx="305">
                  <c:v>42887</c:v>
                </c:pt>
                <c:pt idx="306">
                  <c:v>42917</c:v>
                </c:pt>
                <c:pt idx="307">
                  <c:v>42948</c:v>
                </c:pt>
                <c:pt idx="308">
                  <c:v>42979</c:v>
                </c:pt>
                <c:pt idx="309">
                  <c:v>43009</c:v>
                </c:pt>
                <c:pt idx="310">
                  <c:v>43040</c:v>
                </c:pt>
                <c:pt idx="311">
                  <c:v>43070</c:v>
                </c:pt>
                <c:pt idx="312">
                  <c:v>43101</c:v>
                </c:pt>
                <c:pt idx="313">
                  <c:v>43132</c:v>
                </c:pt>
                <c:pt idx="314">
                  <c:v>43160</c:v>
                </c:pt>
                <c:pt idx="315">
                  <c:v>43191</c:v>
                </c:pt>
                <c:pt idx="316">
                  <c:v>43221</c:v>
                </c:pt>
                <c:pt idx="317">
                  <c:v>43252</c:v>
                </c:pt>
                <c:pt idx="318">
                  <c:v>43282</c:v>
                </c:pt>
                <c:pt idx="319">
                  <c:v>43313</c:v>
                </c:pt>
                <c:pt idx="320">
                  <c:v>43344</c:v>
                </c:pt>
                <c:pt idx="321">
                  <c:v>43374</c:v>
                </c:pt>
                <c:pt idx="322">
                  <c:v>43405</c:v>
                </c:pt>
                <c:pt idx="323">
                  <c:v>43435</c:v>
                </c:pt>
                <c:pt idx="324">
                  <c:v>43466</c:v>
                </c:pt>
                <c:pt idx="325">
                  <c:v>43497</c:v>
                </c:pt>
                <c:pt idx="326">
                  <c:v>43525</c:v>
                </c:pt>
                <c:pt idx="327">
                  <c:v>43556</c:v>
                </c:pt>
                <c:pt idx="328">
                  <c:v>43586</c:v>
                </c:pt>
                <c:pt idx="329">
                  <c:v>43617</c:v>
                </c:pt>
                <c:pt idx="330">
                  <c:v>43647</c:v>
                </c:pt>
                <c:pt idx="331">
                  <c:v>43678</c:v>
                </c:pt>
                <c:pt idx="332">
                  <c:v>43709</c:v>
                </c:pt>
                <c:pt idx="333">
                  <c:v>43739</c:v>
                </c:pt>
                <c:pt idx="334">
                  <c:v>43770</c:v>
                </c:pt>
                <c:pt idx="335">
                  <c:v>43800</c:v>
                </c:pt>
                <c:pt idx="336">
                  <c:v>43831</c:v>
                </c:pt>
                <c:pt idx="337">
                  <c:v>43862</c:v>
                </c:pt>
                <c:pt idx="338">
                  <c:v>43891</c:v>
                </c:pt>
                <c:pt idx="339">
                  <c:v>43922</c:v>
                </c:pt>
                <c:pt idx="340">
                  <c:v>43952</c:v>
                </c:pt>
                <c:pt idx="341">
                  <c:v>43983</c:v>
                </c:pt>
                <c:pt idx="342">
                  <c:v>44013</c:v>
                </c:pt>
                <c:pt idx="343">
                  <c:v>44044</c:v>
                </c:pt>
                <c:pt idx="344">
                  <c:v>44075</c:v>
                </c:pt>
                <c:pt idx="345">
                  <c:v>44105</c:v>
                </c:pt>
                <c:pt idx="346">
                  <c:v>44136</c:v>
                </c:pt>
                <c:pt idx="347">
                  <c:v>44166</c:v>
                </c:pt>
                <c:pt idx="348">
                  <c:v>44197</c:v>
                </c:pt>
                <c:pt idx="349">
                  <c:v>44228</c:v>
                </c:pt>
                <c:pt idx="350">
                  <c:v>44256</c:v>
                </c:pt>
                <c:pt idx="351">
                  <c:v>44287</c:v>
                </c:pt>
                <c:pt idx="352">
                  <c:v>44317</c:v>
                </c:pt>
                <c:pt idx="353">
                  <c:v>44348</c:v>
                </c:pt>
                <c:pt idx="354">
                  <c:v>44378</c:v>
                </c:pt>
                <c:pt idx="355">
                  <c:v>44409</c:v>
                </c:pt>
              </c:numCache>
            </c:numRef>
          </c:cat>
          <c:val>
            <c:numRef>
              <c:f>'Miscellaneous stores retailers'!$D$7:$D$362</c:f>
              <c:numCache>
                <c:formatCode>General</c:formatCode>
                <c:ptCount val="356"/>
                <c:pt idx="12" formatCode="0.00%">
                  <c:v>0.2394627142195461</c:v>
                </c:pt>
                <c:pt idx="13" formatCode="0.00%">
                  <c:v>0.13649025069637882</c:v>
                </c:pt>
                <c:pt idx="14" formatCode="0.00%">
                  <c:v>0.12092264678471575</c:v>
                </c:pt>
                <c:pt idx="15" formatCode="0.00%">
                  <c:v>0.14620815304030974</c:v>
                </c:pt>
                <c:pt idx="16" formatCode="0.00%">
                  <c:v>0.14026629935720844</c:v>
                </c:pt>
                <c:pt idx="17" formatCode="0.00%">
                  <c:v>0.18269451457424835</c:v>
                </c:pt>
                <c:pt idx="18" formatCode="0.00%">
                  <c:v>0.13339301700984782</c:v>
                </c:pt>
                <c:pt idx="19" formatCode="0.00%">
                  <c:v>0.13818424566088117</c:v>
                </c:pt>
                <c:pt idx="20" formatCode="0.00%">
                  <c:v>0.14794460320949659</c:v>
                </c:pt>
                <c:pt idx="21" formatCode="0.00%">
                  <c:v>0.12954876273653565</c:v>
                </c:pt>
                <c:pt idx="22" formatCode="0.00%">
                  <c:v>1.9766752322593398E-2</c:v>
                </c:pt>
                <c:pt idx="23" formatCode="0.00%">
                  <c:v>6.2858272385847E-2</c:v>
                </c:pt>
                <c:pt idx="24" formatCode="0.00%">
                  <c:v>-1.195814648729447E-2</c:v>
                </c:pt>
                <c:pt idx="25" formatCode="0.00%">
                  <c:v>7.8839869281045749E-2</c:v>
                </c:pt>
                <c:pt idx="26" formatCode="0.00%">
                  <c:v>0.16254416961130741</c:v>
                </c:pt>
                <c:pt idx="27" formatCode="0.00%">
                  <c:v>8.5634810252334589E-2</c:v>
                </c:pt>
                <c:pt idx="28" formatCode="0.00%">
                  <c:v>0.15884839943627943</c:v>
                </c:pt>
                <c:pt idx="29" formatCode="0.00%">
                  <c:v>0.11372016301183777</c:v>
                </c:pt>
                <c:pt idx="30" formatCode="0.00%">
                  <c:v>0.17160347551342811</c:v>
                </c:pt>
                <c:pt idx="31" formatCode="0.00%">
                  <c:v>0.175366568914956</c:v>
                </c:pt>
                <c:pt idx="32" formatCode="0.00%">
                  <c:v>0.16660283416315588</c:v>
                </c:pt>
                <c:pt idx="33" formatCode="0.00%">
                  <c:v>0.1134020618556701</c:v>
                </c:pt>
                <c:pt idx="34" formatCode="0.00%">
                  <c:v>0.17735995347935646</c:v>
                </c:pt>
                <c:pt idx="35" formatCode="0.00%">
                  <c:v>0.11976938813464758</c:v>
                </c:pt>
                <c:pt idx="36" formatCode="0.00%">
                  <c:v>0.12613464447806355</c:v>
                </c:pt>
                <c:pt idx="37" formatCode="0.00%">
                  <c:v>0.154297614539947</c:v>
                </c:pt>
                <c:pt idx="38" formatCode="0.00%">
                  <c:v>9.6728052923296975E-2</c:v>
                </c:pt>
                <c:pt idx="39" formatCode="0.00%">
                  <c:v>0.14659590043923865</c:v>
                </c:pt>
                <c:pt idx="40" formatCode="0.00%">
                  <c:v>0.10701876302988186</c:v>
                </c:pt>
                <c:pt idx="41" formatCode="0.00%">
                  <c:v>9.566126502875065E-2</c:v>
                </c:pt>
                <c:pt idx="42" formatCode="0.00%">
                  <c:v>7.8375189617394231E-2</c:v>
                </c:pt>
                <c:pt idx="43" formatCode="0.00%">
                  <c:v>8.1503659347970728E-2</c:v>
                </c:pt>
                <c:pt idx="44" formatCode="0.00%">
                  <c:v>5.269205515430072E-2</c:v>
                </c:pt>
                <c:pt idx="45" formatCode="0.00%">
                  <c:v>6.1342592592592594E-2</c:v>
                </c:pt>
                <c:pt idx="46" formatCode="0.00%">
                  <c:v>7.3427724728350352E-2</c:v>
                </c:pt>
                <c:pt idx="47" formatCode="0.00%">
                  <c:v>9.0516525494103967E-2</c:v>
                </c:pt>
                <c:pt idx="48" formatCode="0.00%">
                  <c:v>4.1477749790092361E-2</c:v>
                </c:pt>
                <c:pt idx="49" formatCode="0.00%">
                  <c:v>3.9691651631950139E-2</c:v>
                </c:pt>
                <c:pt idx="50" formatCode="0.00%">
                  <c:v>5.5265731985653731E-2</c:v>
                </c:pt>
                <c:pt idx="51" formatCode="0.00%">
                  <c:v>8.0925778132482043E-2</c:v>
                </c:pt>
                <c:pt idx="52" formatCode="0.00%">
                  <c:v>0.11864406779661017</c:v>
                </c:pt>
                <c:pt idx="53" formatCode="0.00%">
                  <c:v>0.12118320610687022</c:v>
                </c:pt>
                <c:pt idx="54" formatCode="0.00%">
                  <c:v>9.6905282900906539E-2</c:v>
                </c:pt>
                <c:pt idx="55" formatCode="0.00%">
                  <c:v>6.3980313749615506E-2</c:v>
                </c:pt>
                <c:pt idx="56" formatCode="0.00%">
                  <c:v>9.3248089817558083E-2</c:v>
                </c:pt>
                <c:pt idx="57" formatCode="0.00%">
                  <c:v>0.10764916653684374</c:v>
                </c:pt>
                <c:pt idx="58" formatCode="0.00%">
                  <c:v>9.7239263803680975E-2</c:v>
                </c:pt>
                <c:pt idx="59" formatCode="0.00%">
                  <c:v>8.8029241547365217E-2</c:v>
                </c:pt>
                <c:pt idx="60" formatCode="0.00%">
                  <c:v>0.1762334730732022</c:v>
                </c:pt>
                <c:pt idx="61" formatCode="0.00%">
                  <c:v>0.18930430667297682</c:v>
                </c:pt>
                <c:pt idx="62" formatCode="0.00%">
                  <c:v>0.15232504248416498</c:v>
                </c:pt>
                <c:pt idx="63" formatCode="0.00%">
                  <c:v>9.5245126993502655E-2</c:v>
                </c:pt>
                <c:pt idx="64" formatCode="0.00%">
                  <c:v>7.4354657687991021E-3</c:v>
                </c:pt>
                <c:pt idx="65" formatCode="0.00%">
                  <c:v>6.0141843971631206E-2</c:v>
                </c:pt>
                <c:pt idx="66" formatCode="0.00%">
                  <c:v>6.3550869193502418E-2</c:v>
                </c:pt>
                <c:pt idx="67" formatCode="0.00%">
                  <c:v>9.3090488580514594E-2</c:v>
                </c:pt>
                <c:pt idx="68" formatCode="0.00%">
                  <c:v>9.3139352446156037E-2</c:v>
                </c:pt>
                <c:pt idx="69" formatCode="0.00%">
                  <c:v>8.3544303797468356E-2</c:v>
                </c:pt>
                <c:pt idx="70" formatCode="0.00%">
                  <c:v>7.7299412915851268E-2</c:v>
                </c:pt>
                <c:pt idx="71" formatCode="0.00%">
                  <c:v>9.8124300111982088E-2</c:v>
                </c:pt>
                <c:pt idx="72" formatCode="0.00%">
                  <c:v>0.10623714873200822</c:v>
                </c:pt>
                <c:pt idx="73" formatCode="0.00%">
                  <c:v>5.4251226953176815E-2</c:v>
                </c:pt>
                <c:pt idx="74" formatCode="0.00%">
                  <c:v>6.6764981901059117E-2</c:v>
                </c:pt>
                <c:pt idx="75" formatCode="0.00%">
                  <c:v>6.7277875151678573E-2</c:v>
                </c:pt>
                <c:pt idx="76" formatCode="0.00%">
                  <c:v>0.11920345355800027</c:v>
                </c:pt>
                <c:pt idx="77" formatCode="0.00%">
                  <c:v>7.8940326465078939E-2</c:v>
                </c:pt>
                <c:pt idx="78" formatCode="0.00%">
                  <c:v>0.10396570203644159</c:v>
                </c:pt>
                <c:pt idx="79" formatCode="0.00%">
                  <c:v>0.10208939434012167</c:v>
                </c:pt>
                <c:pt idx="80" formatCode="0.00%">
                  <c:v>9.3162839248434243E-2</c:v>
                </c:pt>
                <c:pt idx="81" formatCode="0.00%">
                  <c:v>9.6053997923156803E-2</c:v>
                </c:pt>
                <c:pt idx="82" formatCode="0.00%">
                  <c:v>9.6146360451537558E-2</c:v>
                </c:pt>
                <c:pt idx="83" formatCode="0.00%">
                  <c:v>9.9043977055449331E-2</c:v>
                </c:pt>
                <c:pt idx="84" formatCode="0.00%">
                  <c:v>4.7583643122676579E-2</c:v>
                </c:pt>
                <c:pt idx="85" formatCode="0.00%">
                  <c:v>8.3920483140412686E-2</c:v>
                </c:pt>
                <c:pt idx="86" formatCode="0.00%">
                  <c:v>6.8618826190775417E-2</c:v>
                </c:pt>
                <c:pt idx="87" formatCode="0.00%">
                  <c:v>8.5144012127337035E-2</c:v>
                </c:pt>
                <c:pt idx="88" formatCode="0.00%">
                  <c:v>6.8184646012193609E-2</c:v>
                </c:pt>
                <c:pt idx="89" formatCode="0.00%">
                  <c:v>5.1711309523809521E-2</c:v>
                </c:pt>
                <c:pt idx="90" formatCode="0.00%">
                  <c:v>1.3349514563106795E-2</c:v>
                </c:pt>
                <c:pt idx="91" formatCode="0.00%">
                  <c:v>2.2198224142068634E-2</c:v>
                </c:pt>
                <c:pt idx="92" formatCode="0.00%">
                  <c:v>2.6139890188589161E-2</c:v>
                </c:pt>
                <c:pt idx="93" formatCode="0.00%">
                  <c:v>2.5698720985315015E-2</c:v>
                </c:pt>
                <c:pt idx="94" formatCode="0.00%">
                  <c:v>7.2206439393939392E-2</c:v>
                </c:pt>
                <c:pt idx="95" formatCode="0.00%">
                  <c:v>0.10055671537926235</c:v>
                </c:pt>
                <c:pt idx="96" formatCode="0.00%">
                  <c:v>8.0671871303524961E-2</c:v>
                </c:pt>
                <c:pt idx="97" formatCode="0.00%">
                  <c:v>6.3609982588508418E-2</c:v>
                </c:pt>
                <c:pt idx="98" formatCode="0.00%">
                  <c:v>8.0677407973656357E-2</c:v>
                </c:pt>
                <c:pt idx="99" formatCode="0.00%">
                  <c:v>5.4249126891734577E-2</c:v>
                </c:pt>
                <c:pt idx="100" formatCode="0.00%">
                  <c:v>2.03843913803145E-2</c:v>
                </c:pt>
                <c:pt idx="101" formatCode="0.00%">
                  <c:v>3.5844829619148685E-2</c:v>
                </c:pt>
                <c:pt idx="102" formatCode="0.00%">
                  <c:v>5.2574850299401198E-2</c:v>
                </c:pt>
                <c:pt idx="103" formatCode="0.00%">
                  <c:v>1.7255546425636811E-2</c:v>
                </c:pt>
                <c:pt idx="104" formatCode="0.00%">
                  <c:v>3.8152844015354195E-2</c:v>
                </c:pt>
                <c:pt idx="105" formatCode="0.00%">
                  <c:v>2.4131162683292923E-2</c:v>
                </c:pt>
                <c:pt idx="106" formatCode="0.00%">
                  <c:v>-2.5281519099138883E-2</c:v>
                </c:pt>
                <c:pt idx="107" formatCode="0.00%">
                  <c:v>-9.0420486879544737E-2</c:v>
                </c:pt>
                <c:pt idx="108" formatCode="0.00%">
                  <c:v>-7.333625218914186E-2</c:v>
                </c:pt>
                <c:pt idx="109" formatCode="0.00%">
                  <c:v>-5.4349012332205612E-2</c:v>
                </c:pt>
                <c:pt idx="110" formatCode="0.00%">
                  <c:v>-3.1777124823158122E-2</c:v>
                </c:pt>
                <c:pt idx="111" formatCode="0.00%">
                  <c:v>-5.8414310954063603E-2</c:v>
                </c:pt>
                <c:pt idx="112" formatCode="0.00%">
                  <c:v>-9.1324200913242006E-4</c:v>
                </c:pt>
                <c:pt idx="113" formatCode="0.00%">
                  <c:v>-1.0472396129766647E-2</c:v>
                </c:pt>
                <c:pt idx="114" formatCode="0.00%">
                  <c:v>-1.3425873250654226E-2</c:v>
                </c:pt>
                <c:pt idx="115" formatCode="0.00%">
                  <c:v>2.8848372951765519E-3</c:v>
                </c:pt>
                <c:pt idx="116" formatCode="0.00%">
                  <c:v>-6.1400560224089636E-2</c:v>
                </c:pt>
                <c:pt idx="117" formatCode="0.00%">
                  <c:v>-4.6674182638105972E-2</c:v>
                </c:pt>
                <c:pt idx="118" formatCode="0.00%">
                  <c:v>-3.1826933967606753E-2</c:v>
                </c:pt>
                <c:pt idx="119" formatCode="0.00%">
                  <c:v>-2.3056424516278529E-2</c:v>
                </c:pt>
                <c:pt idx="120" formatCode="0.00%">
                  <c:v>-2.2442712024568863E-3</c:v>
                </c:pt>
                <c:pt idx="121" formatCode="0.00%">
                  <c:v>-5.6549336410848241E-3</c:v>
                </c:pt>
                <c:pt idx="122" formatCode="0.00%">
                  <c:v>-5.8109475103967627E-2</c:v>
                </c:pt>
                <c:pt idx="123" formatCode="0.00%">
                  <c:v>6.0982760642664478E-3</c:v>
                </c:pt>
                <c:pt idx="124" formatCode="0.00%">
                  <c:v>-2.4337294332723948E-2</c:v>
                </c:pt>
                <c:pt idx="125" formatCode="0.00%">
                  <c:v>-6.211894627861498E-3</c:v>
                </c:pt>
                <c:pt idx="126" formatCode="0.00%">
                  <c:v>-1.1071387383231461E-2</c:v>
                </c:pt>
                <c:pt idx="127" formatCode="0.00%">
                  <c:v>5.6380163387412269E-3</c:v>
                </c:pt>
                <c:pt idx="128" formatCode="0.00%">
                  <c:v>4.1422943774620989E-2</c:v>
                </c:pt>
                <c:pt idx="129" formatCode="0.00%">
                  <c:v>1.4545884578997161E-2</c:v>
                </c:pt>
                <c:pt idx="130" formatCode="0.00%">
                  <c:v>-2.1759475900795508E-2</c:v>
                </c:pt>
                <c:pt idx="131" formatCode="0.00%">
                  <c:v>1.624762808349146E-2</c:v>
                </c:pt>
                <c:pt idx="132" formatCode="0.00%">
                  <c:v>1.3969456611814845E-2</c:v>
                </c:pt>
                <c:pt idx="133" formatCode="0.00%">
                  <c:v>-2.8319405756731662E-2</c:v>
                </c:pt>
                <c:pt idx="134" formatCode="0.00%">
                  <c:v>2.9832935560859188E-3</c:v>
                </c:pt>
                <c:pt idx="135" formatCode="0.00%">
                  <c:v>-2.5644014453899057E-2</c:v>
                </c:pt>
                <c:pt idx="136" formatCode="0.00%">
                  <c:v>-1.639536245461998E-3</c:v>
                </c:pt>
                <c:pt idx="137" formatCode="0.00%">
                  <c:v>-1.1806922097464985E-2</c:v>
                </c:pt>
                <c:pt idx="138" formatCode="0.00%">
                  <c:v>-9.0962099125364432E-3</c:v>
                </c:pt>
                <c:pt idx="139" formatCode="0.00%">
                  <c:v>-1.3958810068649886E-2</c:v>
                </c:pt>
                <c:pt idx="140" formatCode="0.00%">
                  <c:v>-3.2324621733149934E-2</c:v>
                </c:pt>
                <c:pt idx="141" formatCode="0.00%">
                  <c:v>1.3987644247581304E-3</c:v>
                </c:pt>
                <c:pt idx="142" formatCode="0.00%">
                  <c:v>2.0090887347524514E-2</c:v>
                </c:pt>
                <c:pt idx="143" formatCode="0.00%">
                  <c:v>8.1689812113432136E-4</c:v>
                </c:pt>
                <c:pt idx="144" formatCode="0.00%">
                  <c:v>1.1675423234092236E-2</c:v>
                </c:pt>
                <c:pt idx="145" formatCode="0.00%">
                  <c:v>1.3019589106545628E-2</c:v>
                </c:pt>
                <c:pt idx="146" formatCode="0.00%">
                  <c:v>1.7489589530041642E-2</c:v>
                </c:pt>
                <c:pt idx="147" formatCode="0.00%">
                  <c:v>3.8999880368465127E-2</c:v>
                </c:pt>
                <c:pt idx="148" formatCode="0.00%">
                  <c:v>4.0351906158357771E-2</c:v>
                </c:pt>
                <c:pt idx="149" formatCode="0.00%">
                  <c:v>-1.0659482253719104E-2</c:v>
                </c:pt>
                <c:pt idx="150" formatCode="0.00%">
                  <c:v>6.7082499705778511E-3</c:v>
                </c:pt>
                <c:pt idx="151" formatCode="0.00%">
                  <c:v>-5.9178463680668366E-3</c:v>
                </c:pt>
                <c:pt idx="152" formatCode="0.00%">
                  <c:v>1.824212271973466E-2</c:v>
                </c:pt>
                <c:pt idx="153" formatCode="0.00%">
                  <c:v>1.0010476079618205E-2</c:v>
                </c:pt>
                <c:pt idx="154" formatCode="0.00%">
                  <c:v>4.06799531066823E-2</c:v>
                </c:pt>
                <c:pt idx="155" formatCode="0.00%">
                  <c:v>3.941231343283582E-2</c:v>
                </c:pt>
                <c:pt idx="156" formatCode="0.00%">
                  <c:v>1.3733410271206002E-2</c:v>
                </c:pt>
                <c:pt idx="157" formatCode="0.00%">
                  <c:v>5.5182171913689425E-2</c:v>
                </c:pt>
                <c:pt idx="158" formatCode="0.00%">
                  <c:v>3.9522918615528528E-2</c:v>
                </c:pt>
                <c:pt idx="159" formatCode="0.00%">
                  <c:v>1.7731721358664364E-2</c:v>
                </c:pt>
                <c:pt idx="160" formatCode="0.00%">
                  <c:v>7.1033938437253356E-3</c:v>
                </c:pt>
                <c:pt idx="161" formatCode="0.00%">
                  <c:v>5.1266871892019894E-2</c:v>
                </c:pt>
                <c:pt idx="162" formatCode="0.00%">
                  <c:v>4.3605330839373395E-2</c:v>
                </c:pt>
                <c:pt idx="163" formatCode="0.00%">
                  <c:v>3.6652270339675497E-2</c:v>
                </c:pt>
                <c:pt idx="164" formatCode="0.00%">
                  <c:v>4.8161935784085619E-2</c:v>
                </c:pt>
                <c:pt idx="165" formatCode="0.00%">
                  <c:v>4.7136106949406474E-2</c:v>
                </c:pt>
                <c:pt idx="166" formatCode="0.00%">
                  <c:v>3.0866283654387743E-2</c:v>
                </c:pt>
                <c:pt idx="167" formatCode="0.00%">
                  <c:v>1.4583800762844963E-2</c:v>
                </c:pt>
                <c:pt idx="168" formatCode="0.00%">
                  <c:v>9.5173041894353369E-2</c:v>
                </c:pt>
                <c:pt idx="169" formatCode="0.00%">
                  <c:v>6.2912057213096437E-2</c:v>
                </c:pt>
                <c:pt idx="170" formatCode="0.00%">
                  <c:v>5.7142857142857141E-2</c:v>
                </c:pt>
                <c:pt idx="171" formatCode="0.00%">
                  <c:v>7.557415997284761E-2</c:v>
                </c:pt>
                <c:pt idx="172" formatCode="0.00%">
                  <c:v>6.0792655620241824E-2</c:v>
                </c:pt>
                <c:pt idx="173" formatCode="0.00%">
                  <c:v>5.0118256560423471E-2</c:v>
                </c:pt>
                <c:pt idx="174" formatCode="0.00%">
                  <c:v>4.0327097569172174E-2</c:v>
                </c:pt>
                <c:pt idx="175" formatCode="0.00%">
                  <c:v>4.7742371354577186E-2</c:v>
                </c:pt>
                <c:pt idx="176" formatCode="0.00%">
                  <c:v>4.0843507214206438E-2</c:v>
                </c:pt>
                <c:pt idx="177" formatCode="0.00%">
                  <c:v>4.5674664318732114E-2</c:v>
                </c:pt>
                <c:pt idx="178" formatCode="0.00%">
                  <c:v>4.5022401923287075E-2</c:v>
                </c:pt>
                <c:pt idx="179" formatCode="0.00%">
                  <c:v>9.1994692613887666E-2</c:v>
                </c:pt>
                <c:pt idx="180" formatCode="0.00%">
                  <c:v>9.355509355509356E-4</c:v>
                </c:pt>
                <c:pt idx="181" formatCode="0.00%">
                  <c:v>-2.4179983179142138E-3</c:v>
                </c:pt>
                <c:pt idx="182" formatCode="0.00%">
                  <c:v>3.9689295594807404E-2</c:v>
                </c:pt>
                <c:pt idx="183" formatCode="0.00%">
                  <c:v>8.3096665614810147E-3</c:v>
                </c:pt>
                <c:pt idx="184" formatCode="0.00%">
                  <c:v>3.8839050131926123E-2</c:v>
                </c:pt>
                <c:pt idx="185" formatCode="0.00%">
                  <c:v>7.1214071214071209E-2</c:v>
                </c:pt>
                <c:pt idx="186" formatCode="0.00%">
                  <c:v>5.0823732098632494E-2</c:v>
                </c:pt>
                <c:pt idx="187" formatCode="0.00%">
                  <c:v>4.6749059645351962E-2</c:v>
                </c:pt>
                <c:pt idx="188" formatCode="0.00%">
                  <c:v>4.3186180422264873E-2</c:v>
                </c:pt>
                <c:pt idx="189" formatCode="0.00%">
                  <c:v>1.2524997368698032E-2</c:v>
                </c:pt>
                <c:pt idx="190" formatCode="0.00%">
                  <c:v>7.2153090034508E-3</c:v>
                </c:pt>
                <c:pt idx="191" formatCode="0.00%">
                  <c:v>-1.9036046982584043E-2</c:v>
                </c:pt>
                <c:pt idx="192" formatCode="0.00%">
                  <c:v>4.6214560182781181E-2</c:v>
                </c:pt>
                <c:pt idx="193" formatCode="0.00%">
                  <c:v>-1.1486984929918854E-2</c:v>
                </c:pt>
                <c:pt idx="194" formatCode="0.00%">
                  <c:v>-4.2574966738307234E-2</c:v>
                </c:pt>
                <c:pt idx="195" formatCode="0.00%">
                  <c:v>-3.2234508658460254E-2</c:v>
                </c:pt>
                <c:pt idx="196" formatCode="0.00%">
                  <c:v>-5.4150157472315351E-2</c:v>
                </c:pt>
                <c:pt idx="197" formatCode="0.00%">
                  <c:v>-6.8081698037645175E-2</c:v>
                </c:pt>
                <c:pt idx="198" formatCode="0.00%">
                  <c:v>-1.8034634696177887E-2</c:v>
                </c:pt>
                <c:pt idx="199" formatCode="0.00%">
                  <c:v>-5.9240246406570843E-2</c:v>
                </c:pt>
                <c:pt idx="200" formatCode="0.00%">
                  <c:v>-7.1859347848308289E-2</c:v>
                </c:pt>
                <c:pt idx="201" formatCode="0.00%">
                  <c:v>-7.3388773388773393E-2</c:v>
                </c:pt>
                <c:pt idx="202" formatCode="0.00%">
                  <c:v>-0.1040282392026578</c:v>
                </c:pt>
                <c:pt idx="203" formatCode="0.00%">
                  <c:v>-0.11601981833195706</c:v>
                </c:pt>
                <c:pt idx="204" formatCode="0.00%">
                  <c:v>-0.15515187611673614</c:v>
                </c:pt>
                <c:pt idx="205" formatCode="0.00%">
                  <c:v>-6.7590618336886996E-2</c:v>
                </c:pt>
                <c:pt idx="206" formatCode="0.00%">
                  <c:v>-7.9102084446819876E-2</c:v>
                </c:pt>
                <c:pt idx="207" formatCode="0.00%">
                  <c:v>-6.4676080629513855E-2</c:v>
                </c:pt>
                <c:pt idx="208" formatCode="0.00%">
                  <c:v>-9.495166487647691E-2</c:v>
                </c:pt>
                <c:pt idx="209" formatCode="0.00%">
                  <c:v>-9.0567253975075201E-2</c:v>
                </c:pt>
                <c:pt idx="210" formatCode="0.00%">
                  <c:v>-0.12845664197015549</c:v>
                </c:pt>
                <c:pt idx="211" formatCode="0.00%">
                  <c:v>-9.2764378478664186E-2</c:v>
                </c:pt>
                <c:pt idx="212" formatCode="0.00%">
                  <c:v>-7.6541850220264315E-2</c:v>
                </c:pt>
                <c:pt idx="213" formatCode="0.00%">
                  <c:v>-6.2149427866277765E-2</c:v>
                </c:pt>
                <c:pt idx="214" formatCode="0.00%">
                  <c:v>-2.5955967555040555E-2</c:v>
                </c:pt>
                <c:pt idx="215" formatCode="0.00%">
                  <c:v>3.1527323680523118E-3</c:v>
                </c:pt>
                <c:pt idx="216" formatCode="0.00%">
                  <c:v>-1.7154270943484901E-2</c:v>
                </c:pt>
                <c:pt idx="217" formatCode="0.00%">
                  <c:v>-5.7054653555911272E-2</c:v>
                </c:pt>
                <c:pt idx="218" formatCode="0.00%">
                  <c:v>1.0330818340104469E-2</c:v>
                </c:pt>
                <c:pt idx="219" formatCode="0.00%">
                  <c:v>-1.2561945372824708E-2</c:v>
                </c:pt>
                <c:pt idx="220" formatCode="0.00%">
                  <c:v>2.3973415618324233E-2</c:v>
                </c:pt>
                <c:pt idx="221" formatCode="0.00%">
                  <c:v>3.8984051978735973E-2</c:v>
                </c:pt>
                <c:pt idx="222" formatCode="0.00%">
                  <c:v>3.089080459770115E-2</c:v>
                </c:pt>
                <c:pt idx="223" formatCode="0.00%">
                  <c:v>4.1140382533381453E-2</c:v>
                </c:pt>
                <c:pt idx="224" formatCode="0.00%">
                  <c:v>4.5438282647584975E-2</c:v>
                </c:pt>
                <c:pt idx="225" formatCode="0.00%">
                  <c:v>6.8062200956937796E-2</c:v>
                </c:pt>
                <c:pt idx="226" formatCode="0.00%">
                  <c:v>5.9362360218891269E-2</c:v>
                </c:pt>
                <c:pt idx="227" formatCode="0.00%">
                  <c:v>3.3756256547549761E-2</c:v>
                </c:pt>
                <c:pt idx="228" formatCode="0.00%">
                  <c:v>5.4751942618051407E-2</c:v>
                </c:pt>
                <c:pt idx="229" formatCode="0.00%">
                  <c:v>0.10537165029707772</c:v>
                </c:pt>
                <c:pt idx="230" formatCode="0.00%">
                  <c:v>1.6314338235294119E-2</c:v>
                </c:pt>
                <c:pt idx="231" formatCode="0.00%">
                  <c:v>5.695611577964519E-2</c:v>
                </c:pt>
                <c:pt idx="232" formatCode="0.00%">
                  <c:v>4.021789522484933E-2</c:v>
                </c:pt>
                <c:pt idx="233" formatCode="0.00%">
                  <c:v>3.0244457077885162E-2</c:v>
                </c:pt>
                <c:pt idx="234" formatCode="0.00%">
                  <c:v>6.5156794425087108E-2</c:v>
                </c:pt>
                <c:pt idx="235" formatCode="0.00%">
                  <c:v>6.632004621606008E-2</c:v>
                </c:pt>
                <c:pt idx="236" formatCode="0.00%">
                  <c:v>4.4832306639288159E-2</c:v>
                </c:pt>
                <c:pt idx="237" formatCode="0.00%">
                  <c:v>1.6015231268899092E-2</c:v>
                </c:pt>
                <c:pt idx="238" formatCode="0.00%">
                  <c:v>1.5721504772599662E-2</c:v>
                </c:pt>
                <c:pt idx="239" formatCode="0.00%">
                  <c:v>-1.5763990541605676E-3</c:v>
                </c:pt>
                <c:pt idx="240" formatCode="0.00%">
                  <c:v>5.4856624730817184E-2</c:v>
                </c:pt>
                <c:pt idx="241" formatCode="0.00%">
                  <c:v>3.2360684510750332E-2</c:v>
                </c:pt>
                <c:pt idx="242" formatCode="0.00%">
                  <c:v>3.8435451051322629E-2</c:v>
                </c:pt>
                <c:pt idx="243" formatCode="0.00%">
                  <c:v>1.5459363957597174E-2</c:v>
                </c:pt>
                <c:pt idx="244" formatCode="0.00%">
                  <c:v>-9.4707520891364905E-3</c:v>
                </c:pt>
                <c:pt idx="245" formatCode="0.00%">
                  <c:v>2.0968987970422692E-3</c:v>
                </c:pt>
                <c:pt idx="246" formatCode="0.00%">
                  <c:v>1.1994329953113074E-3</c:v>
                </c:pt>
                <c:pt idx="247" formatCode="0.00%">
                  <c:v>-1.5494636471990465E-2</c:v>
                </c:pt>
                <c:pt idx="248" formatCode="0.00%">
                  <c:v>-5.6774757069549073E-3</c:v>
                </c:pt>
                <c:pt idx="249" formatCode="0.00%">
                  <c:v>9.3694885361552023E-3</c:v>
                </c:pt>
                <c:pt idx="250" formatCode="0.00%">
                  <c:v>4.7540077390823658E-3</c:v>
                </c:pt>
                <c:pt idx="251" formatCode="0.00%">
                  <c:v>5.1764971241682646E-2</c:v>
                </c:pt>
                <c:pt idx="252" formatCode="0.00%">
                  <c:v>-9.0254647039862464E-3</c:v>
                </c:pt>
                <c:pt idx="253" formatCode="0.00%">
                  <c:v>-1.4344915524386357E-2</c:v>
                </c:pt>
                <c:pt idx="254" formatCode="0.00%">
                  <c:v>1.9703897234922708E-2</c:v>
                </c:pt>
                <c:pt idx="255" formatCode="0.00%">
                  <c:v>1.3701609395389299E-2</c:v>
                </c:pt>
                <c:pt idx="256" formatCode="0.00%">
                  <c:v>4.8256467941507314E-2</c:v>
                </c:pt>
                <c:pt idx="257" formatCode="0.00%">
                  <c:v>9.8017621145374441E-3</c:v>
                </c:pt>
                <c:pt idx="258" formatCode="0.00%">
                  <c:v>2.9405358309736443E-3</c:v>
                </c:pt>
                <c:pt idx="259" formatCode="0.00%">
                  <c:v>2.3992956196346026E-2</c:v>
                </c:pt>
                <c:pt idx="260" formatCode="0.00%">
                  <c:v>4.3373229383990339E-2</c:v>
                </c:pt>
                <c:pt idx="261" formatCode="0.00%">
                  <c:v>3.6147209784864041E-2</c:v>
                </c:pt>
                <c:pt idx="262" formatCode="0.00%">
                  <c:v>5.1386443661971828E-2</c:v>
                </c:pt>
                <c:pt idx="263" formatCode="0.00%">
                  <c:v>7.1842161698477376E-3</c:v>
                </c:pt>
                <c:pt idx="264" formatCode="0.00%">
                  <c:v>3.0358885395207632E-3</c:v>
                </c:pt>
                <c:pt idx="265" formatCode="0.00%">
                  <c:v>1.1966364812419146E-2</c:v>
                </c:pt>
                <c:pt idx="266" formatCode="0.00%">
                  <c:v>1.1316323262517348E-2</c:v>
                </c:pt>
                <c:pt idx="267" formatCode="0.00%">
                  <c:v>2.3600085818493884E-3</c:v>
                </c:pt>
                <c:pt idx="268" formatCode="0.00%">
                  <c:v>2.3178452623672068E-2</c:v>
                </c:pt>
                <c:pt idx="269" formatCode="0.00%">
                  <c:v>4.6897153451848618E-2</c:v>
                </c:pt>
                <c:pt idx="270" formatCode="0.00%">
                  <c:v>4.4956021283526985E-2</c:v>
                </c:pt>
                <c:pt idx="271" formatCode="0.00%">
                  <c:v>4.7184006878761821E-2</c:v>
                </c:pt>
                <c:pt idx="272" formatCode="0.00%">
                  <c:v>2.2837297411071353E-2</c:v>
                </c:pt>
                <c:pt idx="273" formatCode="0.00%">
                  <c:v>4.3844856661045532E-2</c:v>
                </c:pt>
                <c:pt idx="274" formatCode="0.00%">
                  <c:v>2.8571428571428571E-2</c:v>
                </c:pt>
                <c:pt idx="275" formatCode="0.00%">
                  <c:v>4.3330139465559456E-2</c:v>
                </c:pt>
                <c:pt idx="276" formatCode="0.00%">
                  <c:v>6.4425467517025187E-2</c:v>
                </c:pt>
                <c:pt idx="277" formatCode="0.00%">
                  <c:v>3.9735804836475978E-2</c:v>
                </c:pt>
                <c:pt idx="278" formatCode="0.00%">
                  <c:v>3.3252401562335054E-2</c:v>
                </c:pt>
                <c:pt idx="279" formatCode="0.00%">
                  <c:v>4.0774828767123288E-2</c:v>
                </c:pt>
                <c:pt idx="280" formatCode="0.00%">
                  <c:v>4.8453067645516518E-2</c:v>
                </c:pt>
                <c:pt idx="281" formatCode="0.00%">
                  <c:v>4.59422856547557E-2</c:v>
                </c:pt>
                <c:pt idx="282" formatCode="0.00%">
                  <c:v>4.5308115972150058E-2</c:v>
                </c:pt>
                <c:pt idx="283" formatCode="0.00%">
                  <c:v>4.2594683362414038E-2</c:v>
                </c:pt>
                <c:pt idx="284" formatCode="0.00%">
                  <c:v>-5.1445621977569704E-4</c:v>
                </c:pt>
                <c:pt idx="285" formatCode="0.00%">
                  <c:v>-1.7972536348949918E-2</c:v>
                </c:pt>
                <c:pt idx="286" formatCode="0.00%">
                  <c:v>3.5612535612535613E-3</c:v>
                </c:pt>
                <c:pt idx="287" formatCode="0.00%">
                  <c:v>-3.7755102040816328E-3</c:v>
                </c:pt>
                <c:pt idx="288" formatCode="0.00%">
                  <c:v>-6.1947801360820558E-3</c:v>
                </c:pt>
                <c:pt idx="289" formatCode="0.00%">
                  <c:v>1.0245901639344263E-3</c:v>
                </c:pt>
                <c:pt idx="290" formatCode="0.00%">
                  <c:v>2.2578667756436452E-2</c:v>
                </c:pt>
                <c:pt idx="291" formatCode="0.00%">
                  <c:v>4.1233933161953729E-2</c:v>
                </c:pt>
                <c:pt idx="292" formatCode="0.00%">
                  <c:v>-1.0003000900270081E-4</c:v>
                </c:pt>
                <c:pt idx="293" formatCode="0.00%">
                  <c:v>2.290836653386454E-3</c:v>
                </c:pt>
                <c:pt idx="294" formatCode="0.00%">
                  <c:v>-6.1636345561188986E-3</c:v>
                </c:pt>
                <c:pt idx="295" formatCode="0.00%">
                  <c:v>-2.2150029533372712E-2</c:v>
                </c:pt>
                <c:pt idx="296" formatCode="0.00%">
                  <c:v>4.9619106444307184E-2</c:v>
                </c:pt>
                <c:pt idx="297" formatCode="0.00%">
                  <c:v>6.6008636644046881E-2</c:v>
                </c:pt>
                <c:pt idx="298" formatCode="0.00%">
                  <c:v>1.0037513940991585E-2</c:v>
                </c:pt>
                <c:pt idx="299" formatCode="0.00%">
                  <c:v>3.7590904435112156E-2</c:v>
                </c:pt>
                <c:pt idx="300" formatCode="0.00%">
                  <c:v>3.3108522378908642E-2</c:v>
                </c:pt>
                <c:pt idx="301" formatCode="0.00%">
                  <c:v>5.2200614124872056E-2</c:v>
                </c:pt>
                <c:pt idx="302" formatCode="0.00%">
                  <c:v>1.79838145668898E-2</c:v>
                </c:pt>
                <c:pt idx="303" formatCode="0.00%">
                  <c:v>1.2146948449535849E-2</c:v>
                </c:pt>
                <c:pt idx="304" formatCode="0.00%">
                  <c:v>4.7018807523009206E-3</c:v>
                </c:pt>
                <c:pt idx="305" formatCode="0.00%">
                  <c:v>-1.4906091622776509E-3</c:v>
                </c:pt>
                <c:pt idx="306" formatCode="0.00%">
                  <c:v>2.6107832349704912E-2</c:v>
                </c:pt>
                <c:pt idx="307" formatCode="0.00%">
                  <c:v>3.0403704822309474E-2</c:v>
                </c:pt>
                <c:pt idx="308" formatCode="0.00%">
                  <c:v>1.5496273048254218E-2</c:v>
                </c:pt>
                <c:pt idx="309" formatCode="0.00%">
                  <c:v>2.3148148148148147E-3</c:v>
                </c:pt>
                <c:pt idx="310" formatCode="0.00%">
                  <c:v>6.3039550291106208E-2</c:v>
                </c:pt>
                <c:pt idx="311" formatCode="0.00%">
                  <c:v>5.1924975320829223E-2</c:v>
                </c:pt>
                <c:pt idx="312" formatCode="0.00%">
                  <c:v>7.3689416419386741E-2</c:v>
                </c:pt>
                <c:pt idx="313" formatCode="0.00%">
                  <c:v>5.1264591439688714E-2</c:v>
                </c:pt>
                <c:pt idx="314" formatCode="0.00%">
                  <c:v>5.1231720482873687E-2</c:v>
                </c:pt>
                <c:pt idx="315" formatCode="0.00%">
                  <c:v>3.9223338862328032E-2</c:v>
                </c:pt>
                <c:pt idx="316" formatCode="0.00%">
                  <c:v>7.6371602110923031E-2</c:v>
                </c:pt>
                <c:pt idx="317" formatCode="0.00%">
                  <c:v>7.1158439490445854E-2</c:v>
                </c:pt>
                <c:pt idx="318" formatCode="0.00%">
                  <c:v>1.4915188145837395E-2</c:v>
                </c:pt>
                <c:pt idx="319" formatCode="0.00%">
                  <c:v>3.8104543234000976E-2</c:v>
                </c:pt>
                <c:pt idx="320" formatCode="0.00%">
                  <c:v>2.9457214603051961E-2</c:v>
                </c:pt>
                <c:pt idx="321" formatCode="0.00%">
                  <c:v>4.955735180908391E-2</c:v>
                </c:pt>
                <c:pt idx="322" formatCode="0.00%">
                  <c:v>1.7847025495750707E-2</c:v>
                </c:pt>
                <c:pt idx="323" formatCode="0.00%">
                  <c:v>-9.1966966966966959E-3</c:v>
                </c:pt>
                <c:pt idx="324" formatCode="0.00%">
                  <c:v>-4.6890833717181023E-2</c:v>
                </c:pt>
                <c:pt idx="325" formatCode="0.00%">
                  <c:v>-3.2571481447210143E-2</c:v>
                </c:pt>
                <c:pt idx="326" formatCode="0.00%">
                  <c:v>-1.0269816076930258E-2</c:v>
                </c:pt>
                <c:pt idx="327" formatCode="0.00%">
                  <c:v>1.6712045817294151E-2</c:v>
                </c:pt>
                <c:pt idx="328" formatCode="0.00%">
                  <c:v>6.938020351526364E-3</c:v>
                </c:pt>
                <c:pt idx="329" formatCode="0.00%">
                  <c:v>2.2112793830716342E-2</c:v>
                </c:pt>
                <c:pt idx="330" formatCode="0.00%">
                  <c:v>4.6969551435981173E-2</c:v>
                </c:pt>
                <c:pt idx="331" formatCode="0.00%">
                  <c:v>5.4023529411764706E-2</c:v>
                </c:pt>
                <c:pt idx="332" formatCode="0.00%">
                  <c:v>5.1505769772023639E-2</c:v>
                </c:pt>
                <c:pt idx="333" formatCode="0.00%">
                  <c:v>4.4925277344824426E-2</c:v>
                </c:pt>
                <c:pt idx="334" formatCode="0.00%">
                  <c:v>6.178680768160312E-2</c:v>
                </c:pt>
                <c:pt idx="335" formatCode="0.00%">
                  <c:v>6.1848835006630042E-2</c:v>
                </c:pt>
                <c:pt idx="336" formatCode="0.00%">
                  <c:v>0.12768219601778466</c:v>
                </c:pt>
                <c:pt idx="337" formatCode="0.00%">
                  <c:v>0.11965566714490675</c:v>
                </c:pt>
                <c:pt idx="338" formatCode="0.00%">
                  <c:v>-6.8578435996604098E-2</c:v>
                </c:pt>
                <c:pt idx="339" formatCode="0.00%">
                  <c:v>-0.32025117739403453</c:v>
                </c:pt>
                <c:pt idx="340" formatCode="0.00%">
                  <c:v>-0.18263665594855305</c:v>
                </c:pt>
                <c:pt idx="341" formatCode="0.00%">
                  <c:v>-9.0900827197527503E-5</c:v>
                </c:pt>
                <c:pt idx="342" formatCode="0.00%">
                  <c:v>5.5504587155963306E-2</c:v>
                </c:pt>
                <c:pt idx="343" formatCode="0.00%">
                  <c:v>4.8665059380301814E-2</c:v>
                </c:pt>
                <c:pt idx="344" formatCode="0.00%">
                  <c:v>5.8351177730192723E-2</c:v>
                </c:pt>
                <c:pt idx="345" formatCode="0.00%">
                  <c:v>4.6152496270948494E-2</c:v>
                </c:pt>
                <c:pt idx="346" formatCode="0.00%">
                  <c:v>4.997815640017475E-2</c:v>
                </c:pt>
                <c:pt idx="347" formatCode="0.00%">
                  <c:v>0.12987244670412987</c:v>
                </c:pt>
                <c:pt idx="348" formatCode="0.00%">
                  <c:v>9.2311648238621757E-2</c:v>
                </c:pt>
                <c:pt idx="349" formatCode="0.00%">
                  <c:v>5.8773278660515973E-2</c:v>
                </c:pt>
                <c:pt idx="350" formatCode="0.00%">
                  <c:v>0.3921409763013976</c:v>
                </c:pt>
                <c:pt idx="351" formatCode="0.00%">
                  <c:v>0.84879771770139922</c:v>
                </c:pt>
                <c:pt idx="352" formatCode="0.00%">
                  <c:v>0.48016185230976732</c:v>
                </c:pt>
                <c:pt idx="353" formatCode="0.00%">
                  <c:v>0.24854545454545454</c:v>
                </c:pt>
                <c:pt idx="354" formatCode="0.00%">
                  <c:v>0.20026075619295958</c:v>
                </c:pt>
                <c:pt idx="355" formatCode="0.00%">
                  <c:v>0.19192779291553133</c:v>
                </c:pt>
              </c:numCache>
            </c:numRef>
          </c:val>
          <c:smooth val="0"/>
          <c:extLst>
            <c:ext xmlns:c16="http://schemas.microsoft.com/office/drawing/2014/chart" uri="{C3380CC4-5D6E-409C-BE32-E72D297353CC}">
              <c16:uniqueId val="{00000002-6292-4CF4-89EE-80C827CE7AF7}"/>
            </c:ext>
          </c:extLst>
        </c:ser>
        <c:dLbls>
          <c:showLegendKey val="0"/>
          <c:showVal val="0"/>
          <c:showCatName val="0"/>
          <c:showSerName val="0"/>
          <c:showPercent val="0"/>
          <c:showBubbleSize val="0"/>
        </c:dLbls>
        <c:smooth val="0"/>
        <c:axId val="711785144"/>
        <c:axId val="711780552"/>
      </c:lineChart>
      <c:dateAx>
        <c:axId val="711785144"/>
        <c:scaling>
          <c:orientation val="minMax"/>
        </c:scaling>
        <c:delete val="0"/>
        <c:axPos val="b"/>
        <c:numFmt formatCode="[$-409]mmm\-yy;@" sourceLinked="1"/>
        <c:majorTickMark val="out"/>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11780552"/>
        <c:crosses val="autoZero"/>
        <c:auto val="1"/>
        <c:lblOffset val="100"/>
        <c:baseTimeUnit val="months"/>
      </c:dateAx>
      <c:valAx>
        <c:axId val="7117805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1178514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'Clothing and clothing access'!$B$6</c:f>
              <c:strCache>
                <c:ptCount val="1"/>
                <c:pt idx="0">
                  <c:v>Clothing and clothing access. Stores, mil$</c:v>
                </c:pt>
              </c:strCache>
            </c:strRef>
          </c:tx>
          <c:spPr>
            <a:ln w="28575" cap="rnd">
              <a:solidFill>
                <a:schemeClr val="accent1"/>
              </a:solidFill>
              <a:round/>
            </a:ln>
            <a:effectLst/>
          </c:spPr>
          <c:marker>
            <c:symbol val="none"/>
          </c:marker>
          <c:cat>
            <c:numRef>
              <c:f>'Clothing and clothing access'!$A$7:$A$362</c:f>
              <c:numCache>
                <c:formatCode>[$-409]mmm\-yy;@</c:formatCode>
                <c:ptCount val="356"/>
                <c:pt idx="0">
                  <c:v>33604</c:v>
                </c:pt>
                <c:pt idx="1">
                  <c:v>33635</c:v>
                </c:pt>
                <c:pt idx="2">
                  <c:v>33664</c:v>
                </c:pt>
                <c:pt idx="3">
                  <c:v>33695</c:v>
                </c:pt>
                <c:pt idx="4">
                  <c:v>33725</c:v>
                </c:pt>
                <c:pt idx="5">
                  <c:v>33756</c:v>
                </c:pt>
                <c:pt idx="6">
                  <c:v>33786</c:v>
                </c:pt>
                <c:pt idx="7">
                  <c:v>33817</c:v>
                </c:pt>
                <c:pt idx="8">
                  <c:v>33848</c:v>
                </c:pt>
                <c:pt idx="9">
                  <c:v>33878</c:v>
                </c:pt>
                <c:pt idx="10">
                  <c:v>33909</c:v>
                </c:pt>
                <c:pt idx="11">
                  <c:v>33939</c:v>
                </c:pt>
                <c:pt idx="12">
                  <c:v>33970</c:v>
                </c:pt>
                <c:pt idx="13">
                  <c:v>34001</c:v>
                </c:pt>
                <c:pt idx="14">
                  <c:v>34029</c:v>
                </c:pt>
                <c:pt idx="15">
                  <c:v>34060</c:v>
                </c:pt>
                <c:pt idx="16">
                  <c:v>34090</c:v>
                </c:pt>
                <c:pt idx="17">
                  <c:v>34121</c:v>
                </c:pt>
                <c:pt idx="18">
                  <c:v>34151</c:v>
                </c:pt>
                <c:pt idx="19">
                  <c:v>34182</c:v>
                </c:pt>
                <c:pt idx="20">
                  <c:v>34213</c:v>
                </c:pt>
                <c:pt idx="21">
                  <c:v>34243</c:v>
                </c:pt>
                <c:pt idx="22">
                  <c:v>34274</c:v>
                </c:pt>
                <c:pt idx="23">
                  <c:v>34304</c:v>
                </c:pt>
                <c:pt idx="24">
                  <c:v>34335</c:v>
                </c:pt>
                <c:pt idx="25">
                  <c:v>34366</c:v>
                </c:pt>
                <c:pt idx="26">
                  <c:v>34394</c:v>
                </c:pt>
                <c:pt idx="27">
                  <c:v>34425</c:v>
                </c:pt>
                <c:pt idx="28">
                  <c:v>34455</c:v>
                </c:pt>
                <c:pt idx="29">
                  <c:v>34486</c:v>
                </c:pt>
                <c:pt idx="30">
                  <c:v>34516</c:v>
                </c:pt>
                <c:pt idx="31">
                  <c:v>34547</c:v>
                </c:pt>
                <c:pt idx="32">
                  <c:v>34578</c:v>
                </c:pt>
                <c:pt idx="33">
                  <c:v>34608</c:v>
                </c:pt>
                <c:pt idx="34">
                  <c:v>34639</c:v>
                </c:pt>
                <c:pt idx="35">
                  <c:v>34669</c:v>
                </c:pt>
                <c:pt idx="36">
                  <c:v>34700</c:v>
                </c:pt>
                <c:pt idx="37">
                  <c:v>34731</c:v>
                </c:pt>
                <c:pt idx="38">
                  <c:v>34759</c:v>
                </c:pt>
                <c:pt idx="39">
                  <c:v>34790</c:v>
                </c:pt>
                <c:pt idx="40">
                  <c:v>34820</c:v>
                </c:pt>
                <c:pt idx="41">
                  <c:v>34851</c:v>
                </c:pt>
                <c:pt idx="42">
                  <c:v>34881</c:v>
                </c:pt>
                <c:pt idx="43">
                  <c:v>34912</c:v>
                </c:pt>
                <c:pt idx="44">
                  <c:v>34943</c:v>
                </c:pt>
                <c:pt idx="45">
                  <c:v>34973</c:v>
                </c:pt>
                <c:pt idx="46">
                  <c:v>35004</c:v>
                </c:pt>
                <c:pt idx="47">
                  <c:v>35034</c:v>
                </c:pt>
                <c:pt idx="48">
                  <c:v>35065</c:v>
                </c:pt>
                <c:pt idx="49">
                  <c:v>35096</c:v>
                </c:pt>
                <c:pt idx="50">
                  <c:v>35125</c:v>
                </c:pt>
                <c:pt idx="51">
                  <c:v>35156</c:v>
                </c:pt>
                <c:pt idx="52">
                  <c:v>35186</c:v>
                </c:pt>
                <c:pt idx="53">
                  <c:v>35217</c:v>
                </c:pt>
                <c:pt idx="54">
                  <c:v>35247</c:v>
                </c:pt>
                <c:pt idx="55">
                  <c:v>35278</c:v>
                </c:pt>
                <c:pt idx="56">
                  <c:v>35309</c:v>
                </c:pt>
                <c:pt idx="57">
                  <c:v>35339</c:v>
                </c:pt>
                <c:pt idx="58">
                  <c:v>35370</c:v>
                </c:pt>
                <c:pt idx="59">
                  <c:v>35400</c:v>
                </c:pt>
                <c:pt idx="60">
                  <c:v>35431</c:v>
                </c:pt>
                <c:pt idx="61">
                  <c:v>35462</c:v>
                </c:pt>
                <c:pt idx="62">
                  <c:v>35490</c:v>
                </c:pt>
                <c:pt idx="63">
                  <c:v>35521</c:v>
                </c:pt>
                <c:pt idx="64">
                  <c:v>35551</c:v>
                </c:pt>
                <c:pt idx="65">
                  <c:v>35582</c:v>
                </c:pt>
                <c:pt idx="66">
                  <c:v>35612</c:v>
                </c:pt>
                <c:pt idx="67">
                  <c:v>35643</c:v>
                </c:pt>
                <c:pt idx="68">
                  <c:v>35674</c:v>
                </c:pt>
                <c:pt idx="69">
                  <c:v>35704</c:v>
                </c:pt>
                <c:pt idx="70">
                  <c:v>35735</c:v>
                </c:pt>
                <c:pt idx="71">
                  <c:v>35765</c:v>
                </c:pt>
                <c:pt idx="72">
                  <c:v>35796</c:v>
                </c:pt>
                <c:pt idx="73">
                  <c:v>35827</c:v>
                </c:pt>
                <c:pt idx="74">
                  <c:v>35855</c:v>
                </c:pt>
                <c:pt idx="75">
                  <c:v>35886</c:v>
                </c:pt>
                <c:pt idx="76">
                  <c:v>35916</c:v>
                </c:pt>
                <c:pt idx="77">
                  <c:v>35947</c:v>
                </c:pt>
                <c:pt idx="78">
                  <c:v>35977</c:v>
                </c:pt>
                <c:pt idx="79">
                  <c:v>36008</c:v>
                </c:pt>
                <c:pt idx="80">
                  <c:v>36039</c:v>
                </c:pt>
                <c:pt idx="81">
                  <c:v>36069</c:v>
                </c:pt>
                <c:pt idx="82">
                  <c:v>36100</c:v>
                </c:pt>
                <c:pt idx="83">
                  <c:v>36130</c:v>
                </c:pt>
                <c:pt idx="84">
                  <c:v>36161</c:v>
                </c:pt>
                <c:pt idx="85">
                  <c:v>36192</c:v>
                </c:pt>
                <c:pt idx="86">
                  <c:v>36220</c:v>
                </c:pt>
                <c:pt idx="87">
                  <c:v>36251</c:v>
                </c:pt>
                <c:pt idx="88">
                  <c:v>36281</c:v>
                </c:pt>
                <c:pt idx="89">
                  <c:v>36312</c:v>
                </c:pt>
                <c:pt idx="90">
                  <c:v>36342</c:v>
                </c:pt>
                <c:pt idx="91">
                  <c:v>36373</c:v>
                </c:pt>
                <c:pt idx="92">
                  <c:v>36404</c:v>
                </c:pt>
                <c:pt idx="93">
                  <c:v>36434</c:v>
                </c:pt>
                <c:pt idx="94">
                  <c:v>36465</c:v>
                </c:pt>
                <c:pt idx="95">
                  <c:v>36495</c:v>
                </c:pt>
                <c:pt idx="96">
                  <c:v>36526</c:v>
                </c:pt>
                <c:pt idx="97">
                  <c:v>36557</c:v>
                </c:pt>
                <c:pt idx="98">
                  <c:v>36586</c:v>
                </c:pt>
                <c:pt idx="99">
                  <c:v>36617</c:v>
                </c:pt>
                <c:pt idx="100">
                  <c:v>36647</c:v>
                </c:pt>
                <c:pt idx="101">
                  <c:v>36678</c:v>
                </c:pt>
                <c:pt idx="102">
                  <c:v>36708</c:v>
                </c:pt>
                <c:pt idx="103">
                  <c:v>36739</c:v>
                </c:pt>
                <c:pt idx="104">
                  <c:v>36770</c:v>
                </c:pt>
                <c:pt idx="105">
                  <c:v>36800</c:v>
                </c:pt>
                <c:pt idx="106">
                  <c:v>36831</c:v>
                </c:pt>
                <c:pt idx="107">
                  <c:v>36861</c:v>
                </c:pt>
                <c:pt idx="108">
                  <c:v>36892</c:v>
                </c:pt>
                <c:pt idx="109">
                  <c:v>36923</c:v>
                </c:pt>
                <c:pt idx="110">
                  <c:v>36951</c:v>
                </c:pt>
                <c:pt idx="111">
                  <c:v>36982</c:v>
                </c:pt>
                <c:pt idx="112">
                  <c:v>37012</c:v>
                </c:pt>
                <c:pt idx="113">
                  <c:v>37043</c:v>
                </c:pt>
                <c:pt idx="114">
                  <c:v>37073</c:v>
                </c:pt>
                <c:pt idx="115">
                  <c:v>37104</c:v>
                </c:pt>
                <c:pt idx="116">
                  <c:v>37135</c:v>
                </c:pt>
                <c:pt idx="117">
                  <c:v>37165</c:v>
                </c:pt>
                <c:pt idx="118">
                  <c:v>37196</c:v>
                </c:pt>
                <c:pt idx="119">
                  <c:v>37226</c:v>
                </c:pt>
                <c:pt idx="120">
                  <c:v>37257</c:v>
                </c:pt>
                <c:pt idx="121">
                  <c:v>37288</c:v>
                </c:pt>
                <c:pt idx="122">
                  <c:v>37316</c:v>
                </c:pt>
                <c:pt idx="123">
                  <c:v>37347</c:v>
                </c:pt>
                <c:pt idx="124">
                  <c:v>37377</c:v>
                </c:pt>
                <c:pt idx="125">
                  <c:v>37408</c:v>
                </c:pt>
                <c:pt idx="126">
                  <c:v>37438</c:v>
                </c:pt>
                <c:pt idx="127">
                  <c:v>37469</c:v>
                </c:pt>
                <c:pt idx="128">
                  <c:v>37500</c:v>
                </c:pt>
                <c:pt idx="129">
                  <c:v>37530</c:v>
                </c:pt>
                <c:pt idx="130">
                  <c:v>37561</c:v>
                </c:pt>
                <c:pt idx="131">
                  <c:v>37591</c:v>
                </c:pt>
                <c:pt idx="132">
                  <c:v>37622</c:v>
                </c:pt>
                <c:pt idx="133">
                  <c:v>37653</c:v>
                </c:pt>
                <c:pt idx="134">
                  <c:v>37681</c:v>
                </c:pt>
                <c:pt idx="135">
                  <c:v>37712</c:v>
                </c:pt>
                <c:pt idx="136">
                  <c:v>37742</c:v>
                </c:pt>
                <c:pt idx="137">
                  <c:v>37773</c:v>
                </c:pt>
                <c:pt idx="138">
                  <c:v>37803</c:v>
                </c:pt>
                <c:pt idx="139">
                  <c:v>37834</c:v>
                </c:pt>
                <c:pt idx="140">
                  <c:v>37865</c:v>
                </c:pt>
                <c:pt idx="141">
                  <c:v>37895</c:v>
                </c:pt>
                <c:pt idx="142">
                  <c:v>37926</c:v>
                </c:pt>
                <c:pt idx="143">
                  <c:v>37956</c:v>
                </c:pt>
                <c:pt idx="144">
                  <c:v>37987</c:v>
                </c:pt>
                <c:pt idx="145">
                  <c:v>38018</c:v>
                </c:pt>
                <c:pt idx="146">
                  <c:v>38047</c:v>
                </c:pt>
                <c:pt idx="147">
                  <c:v>38078</c:v>
                </c:pt>
                <c:pt idx="148">
                  <c:v>38108</c:v>
                </c:pt>
                <c:pt idx="149">
                  <c:v>38139</c:v>
                </c:pt>
                <c:pt idx="150">
                  <c:v>38169</c:v>
                </c:pt>
                <c:pt idx="151">
                  <c:v>38200</c:v>
                </c:pt>
                <c:pt idx="152">
                  <c:v>38231</c:v>
                </c:pt>
                <c:pt idx="153">
                  <c:v>38261</c:v>
                </c:pt>
                <c:pt idx="154">
                  <c:v>38292</c:v>
                </c:pt>
                <c:pt idx="155">
                  <c:v>38322</c:v>
                </c:pt>
                <c:pt idx="156">
                  <c:v>38353</c:v>
                </c:pt>
                <c:pt idx="157">
                  <c:v>38384</c:v>
                </c:pt>
                <c:pt idx="158">
                  <c:v>38412</c:v>
                </c:pt>
                <c:pt idx="159">
                  <c:v>38443</c:v>
                </c:pt>
                <c:pt idx="160">
                  <c:v>38473</c:v>
                </c:pt>
                <c:pt idx="161">
                  <c:v>38504</c:v>
                </c:pt>
                <c:pt idx="162">
                  <c:v>38534</c:v>
                </c:pt>
                <c:pt idx="163">
                  <c:v>38565</c:v>
                </c:pt>
                <c:pt idx="164">
                  <c:v>38596</c:v>
                </c:pt>
                <c:pt idx="165">
                  <c:v>38626</c:v>
                </c:pt>
                <c:pt idx="166">
                  <c:v>38657</c:v>
                </c:pt>
                <c:pt idx="167">
                  <c:v>38687</c:v>
                </c:pt>
                <c:pt idx="168">
                  <c:v>38718</c:v>
                </c:pt>
                <c:pt idx="169">
                  <c:v>38749</c:v>
                </c:pt>
                <c:pt idx="170">
                  <c:v>38777</c:v>
                </c:pt>
                <c:pt idx="171">
                  <c:v>38808</c:v>
                </c:pt>
                <c:pt idx="172">
                  <c:v>38838</c:v>
                </c:pt>
                <c:pt idx="173">
                  <c:v>38869</c:v>
                </c:pt>
                <c:pt idx="174">
                  <c:v>38899</c:v>
                </c:pt>
                <c:pt idx="175">
                  <c:v>38930</c:v>
                </c:pt>
                <c:pt idx="176">
                  <c:v>38961</c:v>
                </c:pt>
                <c:pt idx="177">
                  <c:v>38991</c:v>
                </c:pt>
                <c:pt idx="178">
                  <c:v>39022</c:v>
                </c:pt>
                <c:pt idx="179">
                  <c:v>39052</c:v>
                </c:pt>
                <c:pt idx="180">
                  <c:v>39083</c:v>
                </c:pt>
                <c:pt idx="181">
                  <c:v>39114</c:v>
                </c:pt>
                <c:pt idx="182">
                  <c:v>39142</c:v>
                </c:pt>
                <c:pt idx="183">
                  <c:v>39173</c:v>
                </c:pt>
                <c:pt idx="184">
                  <c:v>39203</c:v>
                </c:pt>
                <c:pt idx="185">
                  <c:v>39234</c:v>
                </c:pt>
                <c:pt idx="186">
                  <c:v>39264</c:v>
                </c:pt>
                <c:pt idx="187">
                  <c:v>39295</c:v>
                </c:pt>
                <c:pt idx="188">
                  <c:v>39326</c:v>
                </c:pt>
                <c:pt idx="189">
                  <c:v>39356</c:v>
                </c:pt>
                <c:pt idx="190">
                  <c:v>39387</c:v>
                </c:pt>
                <c:pt idx="191">
                  <c:v>39417</c:v>
                </c:pt>
                <c:pt idx="192">
                  <c:v>39448</c:v>
                </c:pt>
                <c:pt idx="193">
                  <c:v>39479</c:v>
                </c:pt>
                <c:pt idx="194">
                  <c:v>39508</c:v>
                </c:pt>
                <c:pt idx="195">
                  <c:v>39539</c:v>
                </c:pt>
                <c:pt idx="196">
                  <c:v>39569</c:v>
                </c:pt>
                <c:pt idx="197">
                  <c:v>39600</c:v>
                </c:pt>
                <c:pt idx="198">
                  <c:v>39630</c:v>
                </c:pt>
                <c:pt idx="199">
                  <c:v>39661</c:v>
                </c:pt>
                <c:pt idx="200">
                  <c:v>39692</c:v>
                </c:pt>
                <c:pt idx="201">
                  <c:v>39722</c:v>
                </c:pt>
                <c:pt idx="202">
                  <c:v>39753</c:v>
                </c:pt>
                <c:pt idx="203">
                  <c:v>39783</c:v>
                </c:pt>
                <c:pt idx="204">
                  <c:v>39814</c:v>
                </c:pt>
                <c:pt idx="205">
                  <c:v>39845</c:v>
                </c:pt>
                <c:pt idx="206">
                  <c:v>39873</c:v>
                </c:pt>
                <c:pt idx="207">
                  <c:v>39904</c:v>
                </c:pt>
                <c:pt idx="208">
                  <c:v>39934</c:v>
                </c:pt>
                <c:pt idx="209">
                  <c:v>39965</c:v>
                </c:pt>
                <c:pt idx="210">
                  <c:v>39995</c:v>
                </c:pt>
                <c:pt idx="211">
                  <c:v>40026</c:v>
                </c:pt>
                <c:pt idx="212">
                  <c:v>40057</c:v>
                </c:pt>
                <c:pt idx="213">
                  <c:v>40087</c:v>
                </c:pt>
                <c:pt idx="214">
                  <c:v>40118</c:v>
                </c:pt>
                <c:pt idx="215">
                  <c:v>40148</c:v>
                </c:pt>
                <c:pt idx="216">
                  <c:v>40179</c:v>
                </c:pt>
                <c:pt idx="217">
                  <c:v>40210</c:v>
                </c:pt>
                <c:pt idx="218">
                  <c:v>40238</c:v>
                </c:pt>
                <c:pt idx="219">
                  <c:v>40269</c:v>
                </c:pt>
                <c:pt idx="220">
                  <c:v>40299</c:v>
                </c:pt>
                <c:pt idx="221">
                  <c:v>40330</c:v>
                </c:pt>
                <c:pt idx="222">
                  <c:v>40360</c:v>
                </c:pt>
                <c:pt idx="223">
                  <c:v>40391</c:v>
                </c:pt>
                <c:pt idx="224">
                  <c:v>40422</c:v>
                </c:pt>
                <c:pt idx="225">
                  <c:v>40452</c:v>
                </c:pt>
                <c:pt idx="226">
                  <c:v>40483</c:v>
                </c:pt>
                <c:pt idx="227">
                  <c:v>40513</c:v>
                </c:pt>
                <c:pt idx="228">
                  <c:v>40544</c:v>
                </c:pt>
                <c:pt idx="229">
                  <c:v>40575</c:v>
                </c:pt>
                <c:pt idx="230">
                  <c:v>40603</c:v>
                </c:pt>
                <c:pt idx="231">
                  <c:v>40634</c:v>
                </c:pt>
                <c:pt idx="232">
                  <c:v>40664</c:v>
                </c:pt>
                <c:pt idx="233">
                  <c:v>40695</c:v>
                </c:pt>
                <c:pt idx="234">
                  <c:v>40725</c:v>
                </c:pt>
                <c:pt idx="235">
                  <c:v>40756</c:v>
                </c:pt>
                <c:pt idx="236">
                  <c:v>40787</c:v>
                </c:pt>
                <c:pt idx="237">
                  <c:v>40817</c:v>
                </c:pt>
                <c:pt idx="238">
                  <c:v>40848</c:v>
                </c:pt>
                <c:pt idx="239">
                  <c:v>40878</c:v>
                </c:pt>
                <c:pt idx="240">
                  <c:v>40909</c:v>
                </c:pt>
                <c:pt idx="241">
                  <c:v>40940</c:v>
                </c:pt>
                <c:pt idx="242">
                  <c:v>40969</c:v>
                </c:pt>
                <c:pt idx="243">
                  <c:v>41000</c:v>
                </c:pt>
                <c:pt idx="244">
                  <c:v>41030</c:v>
                </c:pt>
                <c:pt idx="245">
                  <c:v>41061</c:v>
                </c:pt>
                <c:pt idx="246">
                  <c:v>41091</c:v>
                </c:pt>
                <c:pt idx="247">
                  <c:v>41122</c:v>
                </c:pt>
                <c:pt idx="248">
                  <c:v>41153</c:v>
                </c:pt>
                <c:pt idx="249">
                  <c:v>41183</c:v>
                </c:pt>
                <c:pt idx="250">
                  <c:v>41214</c:v>
                </c:pt>
                <c:pt idx="251">
                  <c:v>41244</c:v>
                </c:pt>
                <c:pt idx="252">
                  <c:v>41275</c:v>
                </c:pt>
                <c:pt idx="253">
                  <c:v>41306</c:v>
                </c:pt>
                <c:pt idx="254">
                  <c:v>41334</c:v>
                </c:pt>
                <c:pt idx="255">
                  <c:v>41365</c:v>
                </c:pt>
                <c:pt idx="256">
                  <c:v>41395</c:v>
                </c:pt>
                <c:pt idx="257">
                  <c:v>41426</c:v>
                </c:pt>
                <c:pt idx="258">
                  <c:v>41456</c:v>
                </c:pt>
                <c:pt idx="259">
                  <c:v>41487</c:v>
                </c:pt>
                <c:pt idx="260">
                  <c:v>41518</c:v>
                </c:pt>
                <c:pt idx="261">
                  <c:v>41548</c:v>
                </c:pt>
                <c:pt idx="262">
                  <c:v>41579</c:v>
                </c:pt>
                <c:pt idx="263">
                  <c:v>41609</c:v>
                </c:pt>
                <c:pt idx="264">
                  <c:v>41640</c:v>
                </c:pt>
                <c:pt idx="265">
                  <c:v>41671</c:v>
                </c:pt>
                <c:pt idx="266">
                  <c:v>41699</c:v>
                </c:pt>
                <c:pt idx="267">
                  <c:v>41730</c:v>
                </c:pt>
                <c:pt idx="268">
                  <c:v>41760</c:v>
                </c:pt>
                <c:pt idx="269">
                  <c:v>41791</c:v>
                </c:pt>
                <c:pt idx="270">
                  <c:v>41821</c:v>
                </c:pt>
                <c:pt idx="271">
                  <c:v>41852</c:v>
                </c:pt>
                <c:pt idx="272">
                  <c:v>41883</c:v>
                </c:pt>
                <c:pt idx="273">
                  <c:v>41913</c:v>
                </c:pt>
                <c:pt idx="274">
                  <c:v>41944</c:v>
                </c:pt>
                <c:pt idx="275">
                  <c:v>41974</c:v>
                </c:pt>
                <c:pt idx="276">
                  <c:v>42005</c:v>
                </c:pt>
                <c:pt idx="277">
                  <c:v>42036</c:v>
                </c:pt>
                <c:pt idx="278">
                  <c:v>42064</c:v>
                </c:pt>
                <c:pt idx="279">
                  <c:v>42095</c:v>
                </c:pt>
                <c:pt idx="280">
                  <c:v>42125</c:v>
                </c:pt>
                <c:pt idx="281">
                  <c:v>42156</c:v>
                </c:pt>
                <c:pt idx="282">
                  <c:v>42186</c:v>
                </c:pt>
                <c:pt idx="283">
                  <c:v>42217</c:v>
                </c:pt>
                <c:pt idx="284">
                  <c:v>42248</c:v>
                </c:pt>
                <c:pt idx="285">
                  <c:v>42278</c:v>
                </c:pt>
                <c:pt idx="286">
                  <c:v>42309</c:v>
                </c:pt>
                <c:pt idx="287">
                  <c:v>42339</c:v>
                </c:pt>
                <c:pt idx="288">
                  <c:v>42370</c:v>
                </c:pt>
                <c:pt idx="289">
                  <c:v>42401</c:v>
                </c:pt>
                <c:pt idx="290">
                  <c:v>42430</c:v>
                </c:pt>
                <c:pt idx="291">
                  <c:v>42461</c:v>
                </c:pt>
                <c:pt idx="292">
                  <c:v>42491</c:v>
                </c:pt>
                <c:pt idx="293">
                  <c:v>42522</c:v>
                </c:pt>
                <c:pt idx="294">
                  <c:v>42552</c:v>
                </c:pt>
                <c:pt idx="295">
                  <c:v>42583</c:v>
                </c:pt>
                <c:pt idx="296">
                  <c:v>42614</c:v>
                </c:pt>
                <c:pt idx="297">
                  <c:v>42644</c:v>
                </c:pt>
                <c:pt idx="298">
                  <c:v>42675</c:v>
                </c:pt>
                <c:pt idx="299">
                  <c:v>42705</c:v>
                </c:pt>
                <c:pt idx="300">
                  <c:v>42736</c:v>
                </c:pt>
                <c:pt idx="301">
                  <c:v>42767</c:v>
                </c:pt>
                <c:pt idx="302">
                  <c:v>42795</c:v>
                </c:pt>
                <c:pt idx="303">
                  <c:v>42826</c:v>
                </c:pt>
                <c:pt idx="304">
                  <c:v>42856</c:v>
                </c:pt>
                <c:pt idx="305">
                  <c:v>42887</c:v>
                </c:pt>
                <c:pt idx="306">
                  <c:v>42917</c:v>
                </c:pt>
                <c:pt idx="307">
                  <c:v>42948</c:v>
                </c:pt>
                <c:pt idx="308">
                  <c:v>42979</c:v>
                </c:pt>
                <c:pt idx="309">
                  <c:v>43009</c:v>
                </c:pt>
                <c:pt idx="310">
                  <c:v>43040</c:v>
                </c:pt>
                <c:pt idx="311">
                  <c:v>43070</c:v>
                </c:pt>
                <c:pt idx="312">
                  <c:v>43101</c:v>
                </c:pt>
                <c:pt idx="313">
                  <c:v>43132</c:v>
                </c:pt>
                <c:pt idx="314">
                  <c:v>43160</c:v>
                </c:pt>
                <c:pt idx="315">
                  <c:v>43191</c:v>
                </c:pt>
                <c:pt idx="316">
                  <c:v>43221</c:v>
                </c:pt>
                <c:pt idx="317">
                  <c:v>43252</c:v>
                </c:pt>
                <c:pt idx="318">
                  <c:v>43282</c:v>
                </c:pt>
                <c:pt idx="319">
                  <c:v>43313</c:v>
                </c:pt>
                <c:pt idx="320">
                  <c:v>43344</c:v>
                </c:pt>
                <c:pt idx="321">
                  <c:v>43374</c:v>
                </c:pt>
                <c:pt idx="322">
                  <c:v>43405</c:v>
                </c:pt>
                <c:pt idx="323">
                  <c:v>43435</c:v>
                </c:pt>
                <c:pt idx="324">
                  <c:v>43466</c:v>
                </c:pt>
                <c:pt idx="325">
                  <c:v>43497</c:v>
                </c:pt>
                <c:pt idx="326">
                  <c:v>43525</c:v>
                </c:pt>
                <c:pt idx="327">
                  <c:v>43556</c:v>
                </c:pt>
                <c:pt idx="328">
                  <c:v>43586</c:v>
                </c:pt>
                <c:pt idx="329">
                  <c:v>43617</c:v>
                </c:pt>
                <c:pt idx="330">
                  <c:v>43647</c:v>
                </c:pt>
                <c:pt idx="331">
                  <c:v>43678</c:v>
                </c:pt>
                <c:pt idx="332">
                  <c:v>43709</c:v>
                </c:pt>
                <c:pt idx="333">
                  <c:v>43739</c:v>
                </c:pt>
                <c:pt idx="334">
                  <c:v>43770</c:v>
                </c:pt>
                <c:pt idx="335">
                  <c:v>43800</c:v>
                </c:pt>
                <c:pt idx="336">
                  <c:v>43831</c:v>
                </c:pt>
                <c:pt idx="337">
                  <c:v>43862</c:v>
                </c:pt>
                <c:pt idx="338">
                  <c:v>43891</c:v>
                </c:pt>
                <c:pt idx="339">
                  <c:v>43922</c:v>
                </c:pt>
                <c:pt idx="340">
                  <c:v>43952</c:v>
                </c:pt>
                <c:pt idx="341">
                  <c:v>43983</c:v>
                </c:pt>
                <c:pt idx="342">
                  <c:v>44013</c:v>
                </c:pt>
                <c:pt idx="343">
                  <c:v>44044</c:v>
                </c:pt>
                <c:pt idx="344">
                  <c:v>44075</c:v>
                </c:pt>
                <c:pt idx="345">
                  <c:v>44105</c:v>
                </c:pt>
                <c:pt idx="346">
                  <c:v>44136</c:v>
                </c:pt>
                <c:pt idx="347">
                  <c:v>44166</c:v>
                </c:pt>
                <c:pt idx="348">
                  <c:v>44197</c:v>
                </c:pt>
                <c:pt idx="349">
                  <c:v>44228</c:v>
                </c:pt>
                <c:pt idx="350">
                  <c:v>44256</c:v>
                </c:pt>
                <c:pt idx="351">
                  <c:v>44287</c:v>
                </c:pt>
                <c:pt idx="352">
                  <c:v>44317</c:v>
                </c:pt>
                <c:pt idx="353">
                  <c:v>44348</c:v>
                </c:pt>
                <c:pt idx="354">
                  <c:v>44378</c:v>
                </c:pt>
                <c:pt idx="355">
                  <c:v>44409</c:v>
                </c:pt>
              </c:numCache>
            </c:numRef>
          </c:cat>
          <c:val>
            <c:numRef>
              <c:f>'Clothing and clothing access'!$B$7:$B$362</c:f>
              <c:numCache>
                <c:formatCode>#,##0</c:formatCode>
                <c:ptCount val="356"/>
                <c:pt idx="0">
                  <c:v>9716</c:v>
                </c:pt>
                <c:pt idx="1">
                  <c:v>9712</c:v>
                </c:pt>
                <c:pt idx="2">
                  <c:v>9669</c:v>
                </c:pt>
                <c:pt idx="3">
                  <c:v>9862</c:v>
                </c:pt>
                <c:pt idx="4">
                  <c:v>9755</c:v>
                </c:pt>
                <c:pt idx="5">
                  <c:v>9915</c:v>
                </c:pt>
                <c:pt idx="6">
                  <c:v>9957</c:v>
                </c:pt>
                <c:pt idx="7">
                  <c:v>10141</c:v>
                </c:pt>
                <c:pt idx="8">
                  <c:v>10154</c:v>
                </c:pt>
                <c:pt idx="9">
                  <c:v>10174</c:v>
                </c:pt>
                <c:pt idx="10">
                  <c:v>10076</c:v>
                </c:pt>
                <c:pt idx="11">
                  <c:v>10318</c:v>
                </c:pt>
                <c:pt idx="12">
                  <c:v>10581</c:v>
                </c:pt>
                <c:pt idx="13">
                  <c:v>10150</c:v>
                </c:pt>
                <c:pt idx="14">
                  <c:v>9916</c:v>
                </c:pt>
                <c:pt idx="15">
                  <c:v>10257</c:v>
                </c:pt>
                <c:pt idx="16">
                  <c:v>10386</c:v>
                </c:pt>
                <c:pt idx="17">
                  <c:v>10411</c:v>
                </c:pt>
                <c:pt idx="18">
                  <c:v>10593</c:v>
                </c:pt>
                <c:pt idx="19">
                  <c:v>10406</c:v>
                </c:pt>
                <c:pt idx="20">
                  <c:v>10549</c:v>
                </c:pt>
                <c:pt idx="21">
                  <c:v>10449</c:v>
                </c:pt>
                <c:pt idx="22">
                  <c:v>10475</c:v>
                </c:pt>
                <c:pt idx="23">
                  <c:v>10442</c:v>
                </c:pt>
                <c:pt idx="24">
                  <c:v>10450</c:v>
                </c:pt>
                <c:pt idx="25">
                  <c:v>10587</c:v>
                </c:pt>
                <c:pt idx="26">
                  <c:v>10806</c:v>
                </c:pt>
                <c:pt idx="27">
                  <c:v>10554</c:v>
                </c:pt>
                <c:pt idx="28">
                  <c:v>10451</c:v>
                </c:pt>
                <c:pt idx="29">
                  <c:v>10612</c:v>
                </c:pt>
                <c:pt idx="30">
                  <c:v>10672</c:v>
                </c:pt>
                <c:pt idx="31">
                  <c:v>10839</c:v>
                </c:pt>
                <c:pt idx="32">
                  <c:v>10674</c:v>
                </c:pt>
                <c:pt idx="33">
                  <c:v>11000</c:v>
                </c:pt>
                <c:pt idx="34">
                  <c:v>10983</c:v>
                </c:pt>
                <c:pt idx="35">
                  <c:v>10952</c:v>
                </c:pt>
                <c:pt idx="36">
                  <c:v>10939</c:v>
                </c:pt>
                <c:pt idx="37">
                  <c:v>10582</c:v>
                </c:pt>
                <c:pt idx="38">
                  <c:v>10850</c:v>
                </c:pt>
                <c:pt idx="39">
                  <c:v>10796</c:v>
                </c:pt>
                <c:pt idx="40">
                  <c:v>10976</c:v>
                </c:pt>
                <c:pt idx="41">
                  <c:v>10948</c:v>
                </c:pt>
                <c:pt idx="42">
                  <c:v>10824</c:v>
                </c:pt>
                <c:pt idx="43">
                  <c:v>10813</c:v>
                </c:pt>
                <c:pt idx="44">
                  <c:v>11198</c:v>
                </c:pt>
                <c:pt idx="45">
                  <c:v>10882</c:v>
                </c:pt>
                <c:pt idx="46">
                  <c:v>11269</c:v>
                </c:pt>
                <c:pt idx="47">
                  <c:v>11124</c:v>
                </c:pt>
                <c:pt idx="48">
                  <c:v>11105</c:v>
                </c:pt>
                <c:pt idx="49">
                  <c:v>11341</c:v>
                </c:pt>
                <c:pt idx="50">
                  <c:v>11376</c:v>
                </c:pt>
                <c:pt idx="51">
                  <c:v>11422</c:v>
                </c:pt>
                <c:pt idx="52">
                  <c:v>11504</c:v>
                </c:pt>
                <c:pt idx="53">
                  <c:v>11365</c:v>
                </c:pt>
                <c:pt idx="54">
                  <c:v>11316</c:v>
                </c:pt>
                <c:pt idx="55">
                  <c:v>11360</c:v>
                </c:pt>
                <c:pt idx="56">
                  <c:v>11534</c:v>
                </c:pt>
                <c:pt idx="57">
                  <c:v>11577</c:v>
                </c:pt>
                <c:pt idx="58">
                  <c:v>11318</c:v>
                </c:pt>
                <c:pt idx="59">
                  <c:v>11435</c:v>
                </c:pt>
                <c:pt idx="60">
                  <c:v>11513</c:v>
                </c:pt>
                <c:pt idx="61">
                  <c:v>11468</c:v>
                </c:pt>
                <c:pt idx="62">
                  <c:v>11623</c:v>
                </c:pt>
                <c:pt idx="63">
                  <c:v>11195</c:v>
                </c:pt>
                <c:pt idx="64">
                  <c:v>11413</c:v>
                </c:pt>
                <c:pt idx="65">
                  <c:v>11643</c:v>
                </c:pt>
                <c:pt idx="66">
                  <c:v>11735</c:v>
                </c:pt>
                <c:pt idx="67">
                  <c:v>11828</c:v>
                </c:pt>
                <c:pt idx="68">
                  <c:v>11845</c:v>
                </c:pt>
                <c:pt idx="69">
                  <c:v>11881</c:v>
                </c:pt>
                <c:pt idx="70">
                  <c:v>11936</c:v>
                </c:pt>
                <c:pt idx="71">
                  <c:v>12110</c:v>
                </c:pt>
                <c:pt idx="72">
                  <c:v>12154</c:v>
                </c:pt>
                <c:pt idx="73">
                  <c:v>12199</c:v>
                </c:pt>
                <c:pt idx="74">
                  <c:v>12164</c:v>
                </c:pt>
                <c:pt idx="75">
                  <c:v>12459</c:v>
                </c:pt>
                <c:pt idx="76">
                  <c:v>12304</c:v>
                </c:pt>
                <c:pt idx="77">
                  <c:v>12447</c:v>
                </c:pt>
                <c:pt idx="78">
                  <c:v>12559</c:v>
                </c:pt>
                <c:pt idx="79">
                  <c:v>12460</c:v>
                </c:pt>
                <c:pt idx="80">
                  <c:v>12180</c:v>
                </c:pt>
                <c:pt idx="81">
                  <c:v>12540</c:v>
                </c:pt>
                <c:pt idx="82">
                  <c:v>12736</c:v>
                </c:pt>
                <c:pt idx="83">
                  <c:v>12746</c:v>
                </c:pt>
                <c:pt idx="84">
                  <c:v>12897</c:v>
                </c:pt>
                <c:pt idx="85">
                  <c:v>12920</c:v>
                </c:pt>
                <c:pt idx="86">
                  <c:v>13075</c:v>
                </c:pt>
                <c:pt idx="87">
                  <c:v>13139</c:v>
                </c:pt>
                <c:pt idx="88">
                  <c:v>13373</c:v>
                </c:pt>
                <c:pt idx="89">
                  <c:v>13373</c:v>
                </c:pt>
                <c:pt idx="90">
                  <c:v>13270</c:v>
                </c:pt>
                <c:pt idx="91">
                  <c:v>13404</c:v>
                </c:pt>
                <c:pt idx="92">
                  <c:v>13381</c:v>
                </c:pt>
                <c:pt idx="93">
                  <c:v>13400</c:v>
                </c:pt>
                <c:pt idx="94">
                  <c:v>13416</c:v>
                </c:pt>
                <c:pt idx="95">
                  <c:v>13573</c:v>
                </c:pt>
                <c:pt idx="96">
                  <c:v>13301</c:v>
                </c:pt>
                <c:pt idx="97">
                  <c:v>13532</c:v>
                </c:pt>
                <c:pt idx="98">
                  <c:v>13818</c:v>
                </c:pt>
                <c:pt idx="99">
                  <c:v>13801</c:v>
                </c:pt>
                <c:pt idx="100">
                  <c:v>14027</c:v>
                </c:pt>
                <c:pt idx="101">
                  <c:v>13864</c:v>
                </c:pt>
                <c:pt idx="102">
                  <c:v>13722</c:v>
                </c:pt>
                <c:pt idx="103">
                  <c:v>14072</c:v>
                </c:pt>
                <c:pt idx="104">
                  <c:v>14366</c:v>
                </c:pt>
                <c:pt idx="105">
                  <c:v>14231</c:v>
                </c:pt>
                <c:pt idx="106">
                  <c:v>14294</c:v>
                </c:pt>
                <c:pt idx="107">
                  <c:v>14084</c:v>
                </c:pt>
                <c:pt idx="108">
                  <c:v>14135</c:v>
                </c:pt>
                <c:pt idx="109">
                  <c:v>14166</c:v>
                </c:pt>
                <c:pt idx="110">
                  <c:v>13801</c:v>
                </c:pt>
                <c:pt idx="111">
                  <c:v>14217</c:v>
                </c:pt>
                <c:pt idx="112">
                  <c:v>13950</c:v>
                </c:pt>
                <c:pt idx="113">
                  <c:v>13804</c:v>
                </c:pt>
                <c:pt idx="114">
                  <c:v>13994</c:v>
                </c:pt>
                <c:pt idx="115">
                  <c:v>14171</c:v>
                </c:pt>
                <c:pt idx="116">
                  <c:v>13286</c:v>
                </c:pt>
                <c:pt idx="117">
                  <c:v>13973</c:v>
                </c:pt>
                <c:pt idx="118">
                  <c:v>13970</c:v>
                </c:pt>
                <c:pt idx="119">
                  <c:v>14126</c:v>
                </c:pt>
                <c:pt idx="120">
                  <c:v>14220</c:v>
                </c:pt>
                <c:pt idx="121">
                  <c:v>14357</c:v>
                </c:pt>
                <c:pt idx="122">
                  <c:v>14436</c:v>
                </c:pt>
                <c:pt idx="123">
                  <c:v>14410</c:v>
                </c:pt>
                <c:pt idx="124">
                  <c:v>14220</c:v>
                </c:pt>
                <c:pt idx="125">
                  <c:v>14366</c:v>
                </c:pt>
                <c:pt idx="126">
                  <c:v>14200</c:v>
                </c:pt>
                <c:pt idx="127">
                  <c:v>14338</c:v>
                </c:pt>
                <c:pt idx="128">
                  <c:v>13966</c:v>
                </c:pt>
                <c:pt idx="129">
                  <c:v>14625</c:v>
                </c:pt>
                <c:pt idx="130">
                  <c:v>14456</c:v>
                </c:pt>
                <c:pt idx="131">
                  <c:v>14714</c:v>
                </c:pt>
                <c:pt idx="132">
                  <c:v>14565</c:v>
                </c:pt>
                <c:pt idx="133">
                  <c:v>14142</c:v>
                </c:pt>
                <c:pt idx="134">
                  <c:v>14465</c:v>
                </c:pt>
                <c:pt idx="135">
                  <c:v>14434</c:v>
                </c:pt>
                <c:pt idx="136">
                  <c:v>14651</c:v>
                </c:pt>
                <c:pt idx="137">
                  <c:v>14894</c:v>
                </c:pt>
                <c:pt idx="138">
                  <c:v>15141</c:v>
                </c:pt>
                <c:pt idx="139">
                  <c:v>15089</c:v>
                </c:pt>
                <c:pt idx="140">
                  <c:v>15175</c:v>
                </c:pt>
                <c:pt idx="141">
                  <c:v>15067</c:v>
                </c:pt>
                <c:pt idx="142">
                  <c:v>15338</c:v>
                </c:pt>
                <c:pt idx="143">
                  <c:v>15456</c:v>
                </c:pt>
                <c:pt idx="144">
                  <c:v>15513</c:v>
                </c:pt>
                <c:pt idx="145">
                  <c:v>15687</c:v>
                </c:pt>
                <c:pt idx="146">
                  <c:v>15984</c:v>
                </c:pt>
                <c:pt idx="147">
                  <c:v>15567</c:v>
                </c:pt>
                <c:pt idx="148">
                  <c:v>15736</c:v>
                </c:pt>
                <c:pt idx="149">
                  <c:v>15555</c:v>
                </c:pt>
                <c:pt idx="150">
                  <c:v>15645</c:v>
                </c:pt>
                <c:pt idx="151">
                  <c:v>15660</c:v>
                </c:pt>
                <c:pt idx="152">
                  <c:v>15764</c:v>
                </c:pt>
                <c:pt idx="153">
                  <c:v>16055</c:v>
                </c:pt>
                <c:pt idx="154">
                  <c:v>16044</c:v>
                </c:pt>
                <c:pt idx="155">
                  <c:v>16183</c:v>
                </c:pt>
                <c:pt idx="156">
                  <c:v>16125</c:v>
                </c:pt>
                <c:pt idx="157">
                  <c:v>16674</c:v>
                </c:pt>
                <c:pt idx="158">
                  <c:v>16293</c:v>
                </c:pt>
                <c:pt idx="159">
                  <c:v>16636</c:v>
                </c:pt>
                <c:pt idx="160">
                  <c:v>16514</c:v>
                </c:pt>
                <c:pt idx="161">
                  <c:v>16824</c:v>
                </c:pt>
                <c:pt idx="162">
                  <c:v>16450</c:v>
                </c:pt>
                <c:pt idx="163">
                  <c:v>16759</c:v>
                </c:pt>
                <c:pt idx="164">
                  <c:v>16450</c:v>
                </c:pt>
                <c:pt idx="165">
                  <c:v>17120</c:v>
                </c:pt>
                <c:pt idx="166">
                  <c:v>17142</c:v>
                </c:pt>
                <c:pt idx="167">
                  <c:v>17207</c:v>
                </c:pt>
                <c:pt idx="168">
                  <c:v>17331</c:v>
                </c:pt>
                <c:pt idx="169">
                  <c:v>17384</c:v>
                </c:pt>
                <c:pt idx="170">
                  <c:v>17385</c:v>
                </c:pt>
                <c:pt idx="171">
                  <c:v>17542</c:v>
                </c:pt>
                <c:pt idx="172">
                  <c:v>17492</c:v>
                </c:pt>
                <c:pt idx="173">
                  <c:v>17701</c:v>
                </c:pt>
                <c:pt idx="174">
                  <c:v>17691</c:v>
                </c:pt>
                <c:pt idx="175">
                  <c:v>17635</c:v>
                </c:pt>
                <c:pt idx="176">
                  <c:v>18256</c:v>
                </c:pt>
                <c:pt idx="177">
                  <c:v>18126</c:v>
                </c:pt>
                <c:pt idx="178">
                  <c:v>17910</c:v>
                </c:pt>
                <c:pt idx="179">
                  <c:v>18497</c:v>
                </c:pt>
                <c:pt idx="180">
                  <c:v>18493</c:v>
                </c:pt>
                <c:pt idx="181">
                  <c:v>18144</c:v>
                </c:pt>
                <c:pt idx="182">
                  <c:v>18643</c:v>
                </c:pt>
                <c:pt idx="183">
                  <c:v>18189</c:v>
                </c:pt>
                <c:pt idx="184">
                  <c:v>18545</c:v>
                </c:pt>
                <c:pt idx="185">
                  <c:v>18388</c:v>
                </c:pt>
                <c:pt idx="186">
                  <c:v>18522</c:v>
                </c:pt>
                <c:pt idx="187">
                  <c:v>18491</c:v>
                </c:pt>
                <c:pt idx="188">
                  <c:v>18412</c:v>
                </c:pt>
                <c:pt idx="189">
                  <c:v>18431</c:v>
                </c:pt>
                <c:pt idx="190">
                  <c:v>18759</c:v>
                </c:pt>
                <c:pt idx="191">
                  <c:v>18570</c:v>
                </c:pt>
                <c:pt idx="192">
                  <c:v>18542</c:v>
                </c:pt>
                <c:pt idx="193">
                  <c:v>18280</c:v>
                </c:pt>
                <c:pt idx="194">
                  <c:v>18338</c:v>
                </c:pt>
                <c:pt idx="195">
                  <c:v>18384</c:v>
                </c:pt>
                <c:pt idx="196">
                  <c:v>18642</c:v>
                </c:pt>
                <c:pt idx="197">
                  <c:v>18708</c:v>
                </c:pt>
                <c:pt idx="198">
                  <c:v>18635</c:v>
                </c:pt>
                <c:pt idx="199">
                  <c:v>18524</c:v>
                </c:pt>
                <c:pt idx="200">
                  <c:v>17560</c:v>
                </c:pt>
                <c:pt idx="201">
                  <c:v>17317</c:v>
                </c:pt>
                <c:pt idx="202">
                  <c:v>17173</c:v>
                </c:pt>
                <c:pt idx="203">
                  <c:v>16868</c:v>
                </c:pt>
                <c:pt idx="204">
                  <c:v>17159</c:v>
                </c:pt>
                <c:pt idx="205">
                  <c:v>17401</c:v>
                </c:pt>
                <c:pt idx="206">
                  <c:v>16510</c:v>
                </c:pt>
                <c:pt idx="207">
                  <c:v>16900</c:v>
                </c:pt>
                <c:pt idx="208">
                  <c:v>17038</c:v>
                </c:pt>
                <c:pt idx="209">
                  <c:v>16817</c:v>
                </c:pt>
                <c:pt idx="210">
                  <c:v>17015</c:v>
                </c:pt>
                <c:pt idx="211">
                  <c:v>17233</c:v>
                </c:pt>
                <c:pt idx="212">
                  <c:v>17172</c:v>
                </c:pt>
                <c:pt idx="213">
                  <c:v>17296</c:v>
                </c:pt>
                <c:pt idx="214">
                  <c:v>17105</c:v>
                </c:pt>
                <c:pt idx="215">
                  <c:v>17127</c:v>
                </c:pt>
                <c:pt idx="216">
                  <c:v>17346</c:v>
                </c:pt>
                <c:pt idx="217">
                  <c:v>17404</c:v>
                </c:pt>
                <c:pt idx="218">
                  <c:v>17918</c:v>
                </c:pt>
                <c:pt idx="219">
                  <c:v>17705</c:v>
                </c:pt>
                <c:pt idx="220">
                  <c:v>17653</c:v>
                </c:pt>
                <c:pt idx="221">
                  <c:v>17522</c:v>
                </c:pt>
                <c:pt idx="222">
                  <c:v>17578</c:v>
                </c:pt>
                <c:pt idx="223">
                  <c:v>17662</c:v>
                </c:pt>
                <c:pt idx="224">
                  <c:v>17687</c:v>
                </c:pt>
                <c:pt idx="225">
                  <c:v>18000</c:v>
                </c:pt>
                <c:pt idx="226">
                  <c:v>18435</c:v>
                </c:pt>
                <c:pt idx="227">
                  <c:v>18178</c:v>
                </c:pt>
                <c:pt idx="228">
                  <c:v>18363</c:v>
                </c:pt>
                <c:pt idx="229">
                  <c:v>18592</c:v>
                </c:pt>
                <c:pt idx="230">
                  <c:v>18718</c:v>
                </c:pt>
                <c:pt idx="231">
                  <c:v>18957</c:v>
                </c:pt>
                <c:pt idx="232">
                  <c:v>18846</c:v>
                </c:pt>
                <c:pt idx="233">
                  <c:v>19182</c:v>
                </c:pt>
                <c:pt idx="234">
                  <c:v>18998</c:v>
                </c:pt>
                <c:pt idx="235">
                  <c:v>18922</c:v>
                </c:pt>
                <c:pt idx="236">
                  <c:v>19489</c:v>
                </c:pt>
                <c:pt idx="237">
                  <c:v>19136</c:v>
                </c:pt>
                <c:pt idx="238">
                  <c:v>19311</c:v>
                </c:pt>
                <c:pt idx="239">
                  <c:v>19494</c:v>
                </c:pt>
                <c:pt idx="240">
                  <c:v>19588</c:v>
                </c:pt>
                <c:pt idx="241">
                  <c:v>20269</c:v>
                </c:pt>
                <c:pt idx="242">
                  <c:v>20058</c:v>
                </c:pt>
                <c:pt idx="243">
                  <c:v>19533</c:v>
                </c:pt>
                <c:pt idx="244">
                  <c:v>19657</c:v>
                </c:pt>
                <c:pt idx="245">
                  <c:v>19878</c:v>
                </c:pt>
                <c:pt idx="246">
                  <c:v>19724</c:v>
                </c:pt>
                <c:pt idx="247">
                  <c:v>19931</c:v>
                </c:pt>
                <c:pt idx="248">
                  <c:v>20119</c:v>
                </c:pt>
                <c:pt idx="249">
                  <c:v>19939</c:v>
                </c:pt>
                <c:pt idx="250">
                  <c:v>19972</c:v>
                </c:pt>
                <c:pt idx="251">
                  <c:v>20162</c:v>
                </c:pt>
                <c:pt idx="252">
                  <c:v>20434</c:v>
                </c:pt>
                <c:pt idx="253">
                  <c:v>20305</c:v>
                </c:pt>
                <c:pt idx="254">
                  <c:v>20316</c:v>
                </c:pt>
                <c:pt idx="255">
                  <c:v>20498</c:v>
                </c:pt>
                <c:pt idx="256">
                  <c:v>20376</c:v>
                </c:pt>
                <c:pt idx="257">
                  <c:v>20368</c:v>
                </c:pt>
                <c:pt idx="258">
                  <c:v>20578</c:v>
                </c:pt>
                <c:pt idx="259">
                  <c:v>20315</c:v>
                </c:pt>
                <c:pt idx="260">
                  <c:v>20305</c:v>
                </c:pt>
                <c:pt idx="261">
                  <c:v>20790</c:v>
                </c:pt>
                <c:pt idx="262">
                  <c:v>20279</c:v>
                </c:pt>
                <c:pt idx="263">
                  <c:v>20565</c:v>
                </c:pt>
                <c:pt idx="264">
                  <c:v>20517</c:v>
                </c:pt>
                <c:pt idx="265">
                  <c:v>20543</c:v>
                </c:pt>
                <c:pt idx="266">
                  <c:v>20667</c:v>
                </c:pt>
                <c:pt idx="267">
                  <c:v>21161</c:v>
                </c:pt>
                <c:pt idx="268">
                  <c:v>20765</c:v>
                </c:pt>
                <c:pt idx="269">
                  <c:v>20799</c:v>
                </c:pt>
                <c:pt idx="270">
                  <c:v>20918</c:v>
                </c:pt>
                <c:pt idx="271">
                  <c:v>21035</c:v>
                </c:pt>
                <c:pt idx="272">
                  <c:v>20830</c:v>
                </c:pt>
                <c:pt idx="273">
                  <c:v>21121</c:v>
                </c:pt>
                <c:pt idx="274">
                  <c:v>21394</c:v>
                </c:pt>
                <c:pt idx="275">
                  <c:v>21296</c:v>
                </c:pt>
                <c:pt idx="276">
                  <c:v>21039</c:v>
                </c:pt>
                <c:pt idx="277">
                  <c:v>21326</c:v>
                </c:pt>
                <c:pt idx="278">
                  <c:v>21381</c:v>
                </c:pt>
                <c:pt idx="279">
                  <c:v>21444</c:v>
                </c:pt>
                <c:pt idx="280">
                  <c:v>21626</c:v>
                </c:pt>
                <c:pt idx="281">
                  <c:v>21391</c:v>
                </c:pt>
                <c:pt idx="282">
                  <c:v>21548</c:v>
                </c:pt>
                <c:pt idx="283">
                  <c:v>21587</c:v>
                </c:pt>
                <c:pt idx="284">
                  <c:v>21446</c:v>
                </c:pt>
                <c:pt idx="285">
                  <c:v>21239</c:v>
                </c:pt>
                <c:pt idx="286">
                  <c:v>21348</c:v>
                </c:pt>
                <c:pt idx="287">
                  <c:v>21506</c:v>
                </c:pt>
                <c:pt idx="288">
                  <c:v>21289</c:v>
                </c:pt>
                <c:pt idx="289">
                  <c:v>21962</c:v>
                </c:pt>
                <c:pt idx="290">
                  <c:v>21491</c:v>
                </c:pt>
                <c:pt idx="291">
                  <c:v>21407</c:v>
                </c:pt>
                <c:pt idx="292">
                  <c:v>21579</c:v>
                </c:pt>
                <c:pt idx="293">
                  <c:v>21673</c:v>
                </c:pt>
                <c:pt idx="294">
                  <c:v>21431</c:v>
                </c:pt>
                <c:pt idx="295">
                  <c:v>21787</c:v>
                </c:pt>
                <c:pt idx="296">
                  <c:v>21906</c:v>
                </c:pt>
                <c:pt idx="297">
                  <c:v>21696</c:v>
                </c:pt>
                <c:pt idx="298">
                  <c:v>21629</c:v>
                </c:pt>
                <c:pt idx="299">
                  <c:v>21951</c:v>
                </c:pt>
                <c:pt idx="300">
                  <c:v>22025</c:v>
                </c:pt>
                <c:pt idx="301">
                  <c:v>21654</c:v>
                </c:pt>
                <c:pt idx="302">
                  <c:v>21760</c:v>
                </c:pt>
                <c:pt idx="303">
                  <c:v>21777</c:v>
                </c:pt>
                <c:pt idx="304">
                  <c:v>21648</c:v>
                </c:pt>
                <c:pt idx="305">
                  <c:v>21791</c:v>
                </c:pt>
                <c:pt idx="306">
                  <c:v>21619</c:v>
                </c:pt>
                <c:pt idx="307">
                  <c:v>21779</c:v>
                </c:pt>
                <c:pt idx="308">
                  <c:v>21897</c:v>
                </c:pt>
                <c:pt idx="309">
                  <c:v>21796</c:v>
                </c:pt>
                <c:pt idx="310">
                  <c:v>22068</c:v>
                </c:pt>
                <c:pt idx="311">
                  <c:v>21760</c:v>
                </c:pt>
                <c:pt idx="312">
                  <c:v>21848</c:v>
                </c:pt>
                <c:pt idx="313">
                  <c:v>22365</c:v>
                </c:pt>
                <c:pt idx="314">
                  <c:v>21697</c:v>
                </c:pt>
                <c:pt idx="315">
                  <c:v>22045</c:v>
                </c:pt>
                <c:pt idx="316">
                  <c:v>22855</c:v>
                </c:pt>
                <c:pt idx="317">
                  <c:v>22343</c:v>
                </c:pt>
                <c:pt idx="318">
                  <c:v>22698</c:v>
                </c:pt>
                <c:pt idx="319">
                  <c:v>22101</c:v>
                </c:pt>
                <c:pt idx="320">
                  <c:v>22112</c:v>
                </c:pt>
                <c:pt idx="321">
                  <c:v>22506</c:v>
                </c:pt>
                <c:pt idx="322">
                  <c:v>22535</c:v>
                </c:pt>
                <c:pt idx="323">
                  <c:v>22028</c:v>
                </c:pt>
                <c:pt idx="324">
                  <c:v>22040</c:v>
                </c:pt>
                <c:pt idx="325">
                  <c:v>22012</c:v>
                </c:pt>
                <c:pt idx="326">
                  <c:v>22431</c:v>
                </c:pt>
                <c:pt idx="327">
                  <c:v>22360</c:v>
                </c:pt>
                <c:pt idx="328">
                  <c:v>22246</c:v>
                </c:pt>
                <c:pt idx="329">
                  <c:v>22374</c:v>
                </c:pt>
                <c:pt idx="330">
                  <c:v>22548</c:v>
                </c:pt>
                <c:pt idx="331">
                  <c:v>22432</c:v>
                </c:pt>
                <c:pt idx="332">
                  <c:v>22415</c:v>
                </c:pt>
                <c:pt idx="333">
                  <c:v>22400</c:v>
                </c:pt>
                <c:pt idx="334">
                  <c:v>22272</c:v>
                </c:pt>
                <c:pt idx="335">
                  <c:v>22941</c:v>
                </c:pt>
                <c:pt idx="336">
                  <c:v>22914</c:v>
                </c:pt>
                <c:pt idx="337">
                  <c:v>22560</c:v>
                </c:pt>
                <c:pt idx="338">
                  <c:v>11494</c:v>
                </c:pt>
                <c:pt idx="339">
                  <c:v>2836</c:v>
                </c:pt>
                <c:pt idx="340">
                  <c:v>8394</c:v>
                </c:pt>
                <c:pt idx="341">
                  <c:v>17361</c:v>
                </c:pt>
                <c:pt idx="342">
                  <c:v>18067</c:v>
                </c:pt>
                <c:pt idx="343">
                  <c:v>18578</c:v>
                </c:pt>
                <c:pt idx="344">
                  <c:v>21411</c:v>
                </c:pt>
                <c:pt idx="345">
                  <c:v>20766</c:v>
                </c:pt>
                <c:pt idx="346">
                  <c:v>19609</c:v>
                </c:pt>
                <c:pt idx="347">
                  <c:v>20095</c:v>
                </c:pt>
                <c:pt idx="348">
                  <c:v>21351</c:v>
                </c:pt>
                <c:pt idx="349">
                  <c:v>20180</c:v>
                </c:pt>
                <c:pt idx="350">
                  <c:v>25012</c:v>
                </c:pt>
                <c:pt idx="351">
                  <c:v>24660</c:v>
                </c:pt>
                <c:pt idx="352">
                  <c:v>25586</c:v>
                </c:pt>
                <c:pt idx="353">
                  <c:v>26464</c:v>
                </c:pt>
                <c:pt idx="354">
                  <c:v>25761</c:v>
                </c:pt>
                <c:pt idx="355">
                  <c:v>25795</c:v>
                </c:pt>
              </c:numCache>
            </c:numRef>
          </c:val>
          <c:smooth val="0"/>
          <c:extLst>
            <c:ext xmlns:c16="http://schemas.microsoft.com/office/drawing/2014/chart" uri="{C3380CC4-5D6E-409C-BE32-E72D297353CC}">
              <c16:uniqueId val="{00000000-A7DE-458F-9D18-E93A7751EDCD}"/>
            </c:ext>
          </c:extLst>
        </c:ser>
        <c:dLbls>
          <c:showLegendKey val="0"/>
          <c:showVal val="0"/>
          <c:showCatName val="0"/>
          <c:showSerName val="0"/>
          <c:showPercent val="0"/>
          <c:showBubbleSize val="0"/>
        </c:dLbls>
        <c:smooth val="0"/>
        <c:axId val="1153239463"/>
        <c:axId val="1153239135"/>
      </c:lineChart>
      <c:dateAx>
        <c:axId val="1153239463"/>
        <c:scaling>
          <c:orientation val="minMax"/>
        </c:scaling>
        <c:delete val="0"/>
        <c:axPos val="b"/>
        <c:numFmt formatCode="[$-409]mmm\-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53239135"/>
        <c:crosses val="autoZero"/>
        <c:auto val="1"/>
        <c:lblOffset val="100"/>
        <c:baseTimeUnit val="months"/>
      </c:dateAx>
      <c:valAx>
        <c:axId val="1153239135"/>
        <c:scaling>
          <c:orientation val="minMax"/>
          <c:min val="9000"/>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53239463"/>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'Clothing and clothing access'!$D$6</c:f>
              <c:strCache>
                <c:ptCount val="1"/>
                <c:pt idx="0">
                  <c:v>yoy</c:v>
                </c:pt>
              </c:strCache>
            </c:strRef>
          </c:tx>
          <c:spPr>
            <a:ln w="28575" cap="rnd">
              <a:solidFill>
                <a:sysClr val="windowText" lastClr="000000"/>
              </a:solidFill>
              <a:round/>
            </a:ln>
            <a:effectLst/>
          </c:spPr>
          <c:marker>
            <c:symbol val="none"/>
          </c:marker>
          <c:cat>
            <c:numRef>
              <c:f>'Clothing and clothing access'!$A$7:$A$362</c:f>
              <c:numCache>
                <c:formatCode>[$-409]mmm\-yy;@</c:formatCode>
                <c:ptCount val="356"/>
                <c:pt idx="0">
                  <c:v>33604</c:v>
                </c:pt>
                <c:pt idx="1">
                  <c:v>33635</c:v>
                </c:pt>
                <c:pt idx="2">
                  <c:v>33664</c:v>
                </c:pt>
                <c:pt idx="3">
                  <c:v>33695</c:v>
                </c:pt>
                <c:pt idx="4">
                  <c:v>33725</c:v>
                </c:pt>
                <c:pt idx="5">
                  <c:v>33756</c:v>
                </c:pt>
                <c:pt idx="6">
                  <c:v>33786</c:v>
                </c:pt>
                <c:pt idx="7">
                  <c:v>33817</c:v>
                </c:pt>
                <c:pt idx="8">
                  <c:v>33848</c:v>
                </c:pt>
                <c:pt idx="9">
                  <c:v>33878</c:v>
                </c:pt>
                <c:pt idx="10">
                  <c:v>33909</c:v>
                </c:pt>
                <c:pt idx="11">
                  <c:v>33939</c:v>
                </c:pt>
                <c:pt idx="12">
                  <c:v>33970</c:v>
                </c:pt>
                <c:pt idx="13">
                  <c:v>34001</c:v>
                </c:pt>
                <c:pt idx="14">
                  <c:v>34029</c:v>
                </c:pt>
                <c:pt idx="15">
                  <c:v>34060</c:v>
                </c:pt>
                <c:pt idx="16">
                  <c:v>34090</c:v>
                </c:pt>
                <c:pt idx="17">
                  <c:v>34121</c:v>
                </c:pt>
                <c:pt idx="18">
                  <c:v>34151</c:v>
                </c:pt>
                <c:pt idx="19">
                  <c:v>34182</c:v>
                </c:pt>
                <c:pt idx="20">
                  <c:v>34213</c:v>
                </c:pt>
                <c:pt idx="21">
                  <c:v>34243</c:v>
                </c:pt>
                <c:pt idx="22">
                  <c:v>34274</c:v>
                </c:pt>
                <c:pt idx="23">
                  <c:v>34304</c:v>
                </c:pt>
                <c:pt idx="24">
                  <c:v>34335</c:v>
                </c:pt>
                <c:pt idx="25">
                  <c:v>34366</c:v>
                </c:pt>
                <c:pt idx="26">
                  <c:v>34394</c:v>
                </c:pt>
                <c:pt idx="27">
                  <c:v>34425</c:v>
                </c:pt>
                <c:pt idx="28">
                  <c:v>34455</c:v>
                </c:pt>
                <c:pt idx="29">
                  <c:v>34486</c:v>
                </c:pt>
                <c:pt idx="30">
                  <c:v>34516</c:v>
                </c:pt>
                <c:pt idx="31">
                  <c:v>34547</c:v>
                </c:pt>
                <c:pt idx="32">
                  <c:v>34578</c:v>
                </c:pt>
                <c:pt idx="33">
                  <c:v>34608</c:v>
                </c:pt>
                <c:pt idx="34">
                  <c:v>34639</c:v>
                </c:pt>
                <c:pt idx="35">
                  <c:v>34669</c:v>
                </c:pt>
                <c:pt idx="36">
                  <c:v>34700</c:v>
                </c:pt>
                <c:pt idx="37">
                  <c:v>34731</c:v>
                </c:pt>
                <c:pt idx="38">
                  <c:v>34759</c:v>
                </c:pt>
                <c:pt idx="39">
                  <c:v>34790</c:v>
                </c:pt>
                <c:pt idx="40">
                  <c:v>34820</c:v>
                </c:pt>
                <c:pt idx="41">
                  <c:v>34851</c:v>
                </c:pt>
                <c:pt idx="42">
                  <c:v>34881</c:v>
                </c:pt>
                <c:pt idx="43">
                  <c:v>34912</c:v>
                </c:pt>
                <c:pt idx="44">
                  <c:v>34943</c:v>
                </c:pt>
                <c:pt idx="45">
                  <c:v>34973</c:v>
                </c:pt>
                <c:pt idx="46">
                  <c:v>35004</c:v>
                </c:pt>
                <c:pt idx="47">
                  <c:v>35034</c:v>
                </c:pt>
                <c:pt idx="48">
                  <c:v>35065</c:v>
                </c:pt>
                <c:pt idx="49">
                  <c:v>35096</c:v>
                </c:pt>
                <c:pt idx="50">
                  <c:v>35125</c:v>
                </c:pt>
                <c:pt idx="51">
                  <c:v>35156</c:v>
                </c:pt>
                <c:pt idx="52">
                  <c:v>35186</c:v>
                </c:pt>
                <c:pt idx="53">
                  <c:v>35217</c:v>
                </c:pt>
                <c:pt idx="54">
                  <c:v>35247</c:v>
                </c:pt>
                <c:pt idx="55">
                  <c:v>35278</c:v>
                </c:pt>
                <c:pt idx="56">
                  <c:v>35309</c:v>
                </c:pt>
                <c:pt idx="57">
                  <c:v>35339</c:v>
                </c:pt>
                <c:pt idx="58">
                  <c:v>35370</c:v>
                </c:pt>
                <c:pt idx="59">
                  <c:v>35400</c:v>
                </c:pt>
                <c:pt idx="60">
                  <c:v>35431</c:v>
                </c:pt>
                <c:pt idx="61">
                  <c:v>35462</c:v>
                </c:pt>
                <c:pt idx="62">
                  <c:v>35490</c:v>
                </c:pt>
                <c:pt idx="63">
                  <c:v>35521</c:v>
                </c:pt>
                <c:pt idx="64">
                  <c:v>35551</c:v>
                </c:pt>
                <c:pt idx="65">
                  <c:v>35582</c:v>
                </c:pt>
                <c:pt idx="66">
                  <c:v>35612</c:v>
                </c:pt>
                <c:pt idx="67">
                  <c:v>35643</c:v>
                </c:pt>
                <c:pt idx="68">
                  <c:v>35674</c:v>
                </c:pt>
                <c:pt idx="69">
                  <c:v>35704</c:v>
                </c:pt>
                <c:pt idx="70">
                  <c:v>35735</c:v>
                </c:pt>
                <c:pt idx="71">
                  <c:v>35765</c:v>
                </c:pt>
                <c:pt idx="72">
                  <c:v>35796</c:v>
                </c:pt>
                <c:pt idx="73">
                  <c:v>35827</c:v>
                </c:pt>
                <c:pt idx="74">
                  <c:v>35855</c:v>
                </c:pt>
                <c:pt idx="75">
                  <c:v>35886</c:v>
                </c:pt>
                <c:pt idx="76">
                  <c:v>35916</c:v>
                </c:pt>
                <c:pt idx="77">
                  <c:v>35947</c:v>
                </c:pt>
                <c:pt idx="78">
                  <c:v>35977</c:v>
                </c:pt>
                <c:pt idx="79">
                  <c:v>36008</c:v>
                </c:pt>
                <c:pt idx="80">
                  <c:v>36039</c:v>
                </c:pt>
                <c:pt idx="81">
                  <c:v>36069</c:v>
                </c:pt>
                <c:pt idx="82">
                  <c:v>36100</c:v>
                </c:pt>
                <c:pt idx="83">
                  <c:v>36130</c:v>
                </c:pt>
                <c:pt idx="84">
                  <c:v>36161</c:v>
                </c:pt>
                <c:pt idx="85">
                  <c:v>36192</c:v>
                </c:pt>
                <c:pt idx="86">
                  <c:v>36220</c:v>
                </c:pt>
                <c:pt idx="87">
                  <c:v>36251</c:v>
                </c:pt>
                <c:pt idx="88">
                  <c:v>36281</c:v>
                </c:pt>
                <c:pt idx="89">
                  <c:v>36312</c:v>
                </c:pt>
                <c:pt idx="90">
                  <c:v>36342</c:v>
                </c:pt>
                <c:pt idx="91">
                  <c:v>36373</c:v>
                </c:pt>
                <c:pt idx="92">
                  <c:v>36404</c:v>
                </c:pt>
                <c:pt idx="93">
                  <c:v>36434</c:v>
                </c:pt>
                <c:pt idx="94">
                  <c:v>36465</c:v>
                </c:pt>
                <c:pt idx="95">
                  <c:v>36495</c:v>
                </c:pt>
                <c:pt idx="96">
                  <c:v>36526</c:v>
                </c:pt>
                <c:pt idx="97">
                  <c:v>36557</c:v>
                </c:pt>
                <c:pt idx="98">
                  <c:v>36586</c:v>
                </c:pt>
                <c:pt idx="99">
                  <c:v>36617</c:v>
                </c:pt>
                <c:pt idx="100">
                  <c:v>36647</c:v>
                </c:pt>
                <c:pt idx="101">
                  <c:v>36678</c:v>
                </c:pt>
                <c:pt idx="102">
                  <c:v>36708</c:v>
                </c:pt>
                <c:pt idx="103">
                  <c:v>36739</c:v>
                </c:pt>
                <c:pt idx="104">
                  <c:v>36770</c:v>
                </c:pt>
                <c:pt idx="105">
                  <c:v>36800</c:v>
                </c:pt>
                <c:pt idx="106">
                  <c:v>36831</c:v>
                </c:pt>
                <c:pt idx="107">
                  <c:v>36861</c:v>
                </c:pt>
                <c:pt idx="108">
                  <c:v>36892</c:v>
                </c:pt>
                <c:pt idx="109">
                  <c:v>36923</c:v>
                </c:pt>
                <c:pt idx="110">
                  <c:v>36951</c:v>
                </c:pt>
                <c:pt idx="111">
                  <c:v>36982</c:v>
                </c:pt>
                <c:pt idx="112">
                  <c:v>37012</c:v>
                </c:pt>
                <c:pt idx="113">
                  <c:v>37043</c:v>
                </c:pt>
                <c:pt idx="114">
                  <c:v>37073</c:v>
                </c:pt>
                <c:pt idx="115">
                  <c:v>37104</c:v>
                </c:pt>
                <c:pt idx="116">
                  <c:v>37135</c:v>
                </c:pt>
                <c:pt idx="117">
                  <c:v>37165</c:v>
                </c:pt>
                <c:pt idx="118">
                  <c:v>37196</c:v>
                </c:pt>
                <c:pt idx="119">
                  <c:v>37226</c:v>
                </c:pt>
                <c:pt idx="120">
                  <c:v>37257</c:v>
                </c:pt>
                <c:pt idx="121">
                  <c:v>37288</c:v>
                </c:pt>
                <c:pt idx="122">
                  <c:v>37316</c:v>
                </c:pt>
                <c:pt idx="123">
                  <c:v>37347</c:v>
                </c:pt>
                <c:pt idx="124">
                  <c:v>37377</c:v>
                </c:pt>
                <c:pt idx="125">
                  <c:v>37408</c:v>
                </c:pt>
                <c:pt idx="126">
                  <c:v>37438</c:v>
                </c:pt>
                <c:pt idx="127">
                  <c:v>37469</c:v>
                </c:pt>
                <c:pt idx="128">
                  <c:v>37500</c:v>
                </c:pt>
                <c:pt idx="129">
                  <c:v>37530</c:v>
                </c:pt>
                <c:pt idx="130">
                  <c:v>37561</c:v>
                </c:pt>
                <c:pt idx="131">
                  <c:v>37591</c:v>
                </c:pt>
                <c:pt idx="132">
                  <c:v>37622</c:v>
                </c:pt>
                <c:pt idx="133">
                  <c:v>37653</c:v>
                </c:pt>
                <c:pt idx="134">
                  <c:v>37681</c:v>
                </c:pt>
                <c:pt idx="135">
                  <c:v>37712</c:v>
                </c:pt>
                <c:pt idx="136">
                  <c:v>37742</c:v>
                </c:pt>
                <c:pt idx="137">
                  <c:v>37773</c:v>
                </c:pt>
                <c:pt idx="138">
                  <c:v>37803</c:v>
                </c:pt>
                <c:pt idx="139">
                  <c:v>37834</c:v>
                </c:pt>
                <c:pt idx="140">
                  <c:v>37865</c:v>
                </c:pt>
                <c:pt idx="141">
                  <c:v>37895</c:v>
                </c:pt>
                <c:pt idx="142">
                  <c:v>37926</c:v>
                </c:pt>
                <c:pt idx="143">
                  <c:v>37956</c:v>
                </c:pt>
                <c:pt idx="144">
                  <c:v>37987</c:v>
                </c:pt>
                <c:pt idx="145">
                  <c:v>38018</c:v>
                </c:pt>
                <c:pt idx="146">
                  <c:v>38047</c:v>
                </c:pt>
                <c:pt idx="147">
                  <c:v>38078</c:v>
                </c:pt>
                <c:pt idx="148">
                  <c:v>38108</c:v>
                </c:pt>
                <c:pt idx="149">
                  <c:v>38139</c:v>
                </c:pt>
                <c:pt idx="150">
                  <c:v>38169</c:v>
                </c:pt>
                <c:pt idx="151">
                  <c:v>38200</c:v>
                </c:pt>
                <c:pt idx="152">
                  <c:v>38231</c:v>
                </c:pt>
                <c:pt idx="153">
                  <c:v>38261</c:v>
                </c:pt>
                <c:pt idx="154">
                  <c:v>38292</c:v>
                </c:pt>
                <c:pt idx="155">
                  <c:v>38322</c:v>
                </c:pt>
                <c:pt idx="156">
                  <c:v>38353</c:v>
                </c:pt>
                <c:pt idx="157">
                  <c:v>38384</c:v>
                </c:pt>
                <c:pt idx="158">
                  <c:v>38412</c:v>
                </c:pt>
                <c:pt idx="159">
                  <c:v>38443</c:v>
                </c:pt>
                <c:pt idx="160">
                  <c:v>38473</c:v>
                </c:pt>
                <c:pt idx="161">
                  <c:v>38504</c:v>
                </c:pt>
                <c:pt idx="162">
                  <c:v>38534</c:v>
                </c:pt>
                <c:pt idx="163">
                  <c:v>38565</c:v>
                </c:pt>
                <c:pt idx="164">
                  <c:v>38596</c:v>
                </c:pt>
                <c:pt idx="165">
                  <c:v>38626</c:v>
                </c:pt>
                <c:pt idx="166">
                  <c:v>38657</c:v>
                </c:pt>
                <c:pt idx="167">
                  <c:v>38687</c:v>
                </c:pt>
                <c:pt idx="168">
                  <c:v>38718</c:v>
                </c:pt>
                <c:pt idx="169">
                  <c:v>38749</c:v>
                </c:pt>
                <c:pt idx="170">
                  <c:v>38777</c:v>
                </c:pt>
                <c:pt idx="171">
                  <c:v>38808</c:v>
                </c:pt>
                <c:pt idx="172">
                  <c:v>38838</c:v>
                </c:pt>
                <c:pt idx="173">
                  <c:v>38869</c:v>
                </c:pt>
                <c:pt idx="174">
                  <c:v>38899</c:v>
                </c:pt>
                <c:pt idx="175">
                  <c:v>38930</c:v>
                </c:pt>
                <c:pt idx="176">
                  <c:v>38961</c:v>
                </c:pt>
                <c:pt idx="177">
                  <c:v>38991</c:v>
                </c:pt>
                <c:pt idx="178">
                  <c:v>39022</c:v>
                </c:pt>
                <c:pt idx="179">
                  <c:v>39052</c:v>
                </c:pt>
                <c:pt idx="180">
                  <c:v>39083</c:v>
                </c:pt>
                <c:pt idx="181">
                  <c:v>39114</c:v>
                </c:pt>
                <c:pt idx="182">
                  <c:v>39142</c:v>
                </c:pt>
                <c:pt idx="183">
                  <c:v>39173</c:v>
                </c:pt>
                <c:pt idx="184">
                  <c:v>39203</c:v>
                </c:pt>
                <c:pt idx="185">
                  <c:v>39234</c:v>
                </c:pt>
                <c:pt idx="186">
                  <c:v>39264</c:v>
                </c:pt>
                <c:pt idx="187">
                  <c:v>39295</c:v>
                </c:pt>
                <c:pt idx="188">
                  <c:v>39326</c:v>
                </c:pt>
                <c:pt idx="189">
                  <c:v>39356</c:v>
                </c:pt>
                <c:pt idx="190">
                  <c:v>39387</c:v>
                </c:pt>
                <c:pt idx="191">
                  <c:v>39417</c:v>
                </c:pt>
                <c:pt idx="192">
                  <c:v>39448</c:v>
                </c:pt>
                <c:pt idx="193">
                  <c:v>39479</c:v>
                </c:pt>
                <c:pt idx="194">
                  <c:v>39508</c:v>
                </c:pt>
                <c:pt idx="195">
                  <c:v>39539</c:v>
                </c:pt>
                <c:pt idx="196">
                  <c:v>39569</c:v>
                </c:pt>
                <c:pt idx="197">
                  <c:v>39600</c:v>
                </c:pt>
                <c:pt idx="198">
                  <c:v>39630</c:v>
                </c:pt>
                <c:pt idx="199">
                  <c:v>39661</c:v>
                </c:pt>
                <c:pt idx="200">
                  <c:v>39692</c:v>
                </c:pt>
                <c:pt idx="201">
                  <c:v>39722</c:v>
                </c:pt>
                <c:pt idx="202">
                  <c:v>39753</c:v>
                </c:pt>
                <c:pt idx="203">
                  <c:v>39783</c:v>
                </c:pt>
                <c:pt idx="204">
                  <c:v>39814</c:v>
                </c:pt>
                <c:pt idx="205">
                  <c:v>39845</c:v>
                </c:pt>
                <c:pt idx="206">
                  <c:v>39873</c:v>
                </c:pt>
                <c:pt idx="207">
                  <c:v>39904</c:v>
                </c:pt>
                <c:pt idx="208">
                  <c:v>39934</c:v>
                </c:pt>
                <c:pt idx="209">
                  <c:v>39965</c:v>
                </c:pt>
                <c:pt idx="210">
                  <c:v>39995</c:v>
                </c:pt>
                <c:pt idx="211">
                  <c:v>40026</c:v>
                </c:pt>
                <c:pt idx="212">
                  <c:v>40057</c:v>
                </c:pt>
                <c:pt idx="213">
                  <c:v>40087</c:v>
                </c:pt>
                <c:pt idx="214">
                  <c:v>40118</c:v>
                </c:pt>
                <c:pt idx="215">
                  <c:v>40148</c:v>
                </c:pt>
                <c:pt idx="216">
                  <c:v>40179</c:v>
                </c:pt>
                <c:pt idx="217">
                  <c:v>40210</c:v>
                </c:pt>
                <c:pt idx="218">
                  <c:v>40238</c:v>
                </c:pt>
                <c:pt idx="219">
                  <c:v>40269</c:v>
                </c:pt>
                <c:pt idx="220">
                  <c:v>40299</c:v>
                </c:pt>
                <c:pt idx="221">
                  <c:v>40330</c:v>
                </c:pt>
                <c:pt idx="222">
                  <c:v>40360</c:v>
                </c:pt>
                <c:pt idx="223">
                  <c:v>40391</c:v>
                </c:pt>
                <c:pt idx="224">
                  <c:v>40422</c:v>
                </c:pt>
                <c:pt idx="225">
                  <c:v>40452</c:v>
                </c:pt>
                <c:pt idx="226">
                  <c:v>40483</c:v>
                </c:pt>
                <c:pt idx="227">
                  <c:v>40513</c:v>
                </c:pt>
                <c:pt idx="228">
                  <c:v>40544</c:v>
                </c:pt>
                <c:pt idx="229">
                  <c:v>40575</c:v>
                </c:pt>
                <c:pt idx="230">
                  <c:v>40603</c:v>
                </c:pt>
                <c:pt idx="231">
                  <c:v>40634</c:v>
                </c:pt>
                <c:pt idx="232">
                  <c:v>40664</c:v>
                </c:pt>
                <c:pt idx="233">
                  <c:v>40695</c:v>
                </c:pt>
                <c:pt idx="234">
                  <c:v>40725</c:v>
                </c:pt>
                <c:pt idx="235">
                  <c:v>40756</c:v>
                </c:pt>
                <c:pt idx="236">
                  <c:v>40787</c:v>
                </c:pt>
                <c:pt idx="237">
                  <c:v>40817</c:v>
                </c:pt>
                <c:pt idx="238">
                  <c:v>40848</c:v>
                </c:pt>
                <c:pt idx="239">
                  <c:v>40878</c:v>
                </c:pt>
                <c:pt idx="240">
                  <c:v>40909</c:v>
                </c:pt>
                <c:pt idx="241">
                  <c:v>40940</c:v>
                </c:pt>
                <c:pt idx="242">
                  <c:v>40969</c:v>
                </c:pt>
                <c:pt idx="243">
                  <c:v>41000</c:v>
                </c:pt>
                <c:pt idx="244">
                  <c:v>41030</c:v>
                </c:pt>
                <c:pt idx="245">
                  <c:v>41061</c:v>
                </c:pt>
                <c:pt idx="246">
                  <c:v>41091</c:v>
                </c:pt>
                <c:pt idx="247">
                  <c:v>41122</c:v>
                </c:pt>
                <c:pt idx="248">
                  <c:v>41153</c:v>
                </c:pt>
                <c:pt idx="249">
                  <c:v>41183</c:v>
                </c:pt>
                <c:pt idx="250">
                  <c:v>41214</c:v>
                </c:pt>
                <c:pt idx="251">
                  <c:v>41244</c:v>
                </c:pt>
                <c:pt idx="252">
                  <c:v>41275</c:v>
                </c:pt>
                <c:pt idx="253">
                  <c:v>41306</c:v>
                </c:pt>
                <c:pt idx="254">
                  <c:v>41334</c:v>
                </c:pt>
                <c:pt idx="255">
                  <c:v>41365</c:v>
                </c:pt>
                <c:pt idx="256">
                  <c:v>41395</c:v>
                </c:pt>
                <c:pt idx="257">
                  <c:v>41426</c:v>
                </c:pt>
                <c:pt idx="258">
                  <c:v>41456</c:v>
                </c:pt>
                <c:pt idx="259">
                  <c:v>41487</c:v>
                </c:pt>
                <c:pt idx="260">
                  <c:v>41518</c:v>
                </c:pt>
                <c:pt idx="261">
                  <c:v>41548</c:v>
                </c:pt>
                <c:pt idx="262">
                  <c:v>41579</c:v>
                </c:pt>
                <c:pt idx="263">
                  <c:v>41609</c:v>
                </c:pt>
                <c:pt idx="264">
                  <c:v>41640</c:v>
                </c:pt>
                <c:pt idx="265">
                  <c:v>41671</c:v>
                </c:pt>
                <c:pt idx="266">
                  <c:v>41699</c:v>
                </c:pt>
                <c:pt idx="267">
                  <c:v>41730</c:v>
                </c:pt>
                <c:pt idx="268">
                  <c:v>41760</c:v>
                </c:pt>
                <c:pt idx="269">
                  <c:v>41791</c:v>
                </c:pt>
                <c:pt idx="270">
                  <c:v>41821</c:v>
                </c:pt>
                <c:pt idx="271">
                  <c:v>41852</c:v>
                </c:pt>
                <c:pt idx="272">
                  <c:v>41883</c:v>
                </c:pt>
                <c:pt idx="273">
                  <c:v>41913</c:v>
                </c:pt>
                <c:pt idx="274">
                  <c:v>41944</c:v>
                </c:pt>
                <c:pt idx="275">
                  <c:v>41974</c:v>
                </c:pt>
                <c:pt idx="276">
                  <c:v>42005</c:v>
                </c:pt>
                <c:pt idx="277">
                  <c:v>42036</c:v>
                </c:pt>
                <c:pt idx="278">
                  <c:v>42064</c:v>
                </c:pt>
                <c:pt idx="279">
                  <c:v>42095</c:v>
                </c:pt>
                <c:pt idx="280">
                  <c:v>42125</c:v>
                </c:pt>
                <c:pt idx="281">
                  <c:v>42156</c:v>
                </c:pt>
                <c:pt idx="282">
                  <c:v>42186</c:v>
                </c:pt>
                <c:pt idx="283">
                  <c:v>42217</c:v>
                </c:pt>
                <c:pt idx="284">
                  <c:v>42248</c:v>
                </c:pt>
                <c:pt idx="285">
                  <c:v>42278</c:v>
                </c:pt>
                <c:pt idx="286">
                  <c:v>42309</c:v>
                </c:pt>
                <c:pt idx="287">
                  <c:v>42339</c:v>
                </c:pt>
                <c:pt idx="288">
                  <c:v>42370</c:v>
                </c:pt>
                <c:pt idx="289">
                  <c:v>42401</c:v>
                </c:pt>
                <c:pt idx="290">
                  <c:v>42430</c:v>
                </c:pt>
                <c:pt idx="291">
                  <c:v>42461</c:v>
                </c:pt>
                <c:pt idx="292">
                  <c:v>42491</c:v>
                </c:pt>
                <c:pt idx="293">
                  <c:v>42522</c:v>
                </c:pt>
                <c:pt idx="294">
                  <c:v>42552</c:v>
                </c:pt>
                <c:pt idx="295">
                  <c:v>42583</c:v>
                </c:pt>
                <c:pt idx="296">
                  <c:v>42614</c:v>
                </c:pt>
                <c:pt idx="297">
                  <c:v>42644</c:v>
                </c:pt>
                <c:pt idx="298">
                  <c:v>42675</c:v>
                </c:pt>
                <c:pt idx="299">
                  <c:v>42705</c:v>
                </c:pt>
                <c:pt idx="300">
                  <c:v>42736</c:v>
                </c:pt>
                <c:pt idx="301">
                  <c:v>42767</c:v>
                </c:pt>
                <c:pt idx="302">
                  <c:v>42795</c:v>
                </c:pt>
                <c:pt idx="303">
                  <c:v>42826</c:v>
                </c:pt>
                <c:pt idx="304">
                  <c:v>42856</c:v>
                </c:pt>
                <c:pt idx="305">
                  <c:v>42887</c:v>
                </c:pt>
                <c:pt idx="306">
                  <c:v>42917</c:v>
                </c:pt>
                <c:pt idx="307">
                  <c:v>42948</c:v>
                </c:pt>
                <c:pt idx="308">
                  <c:v>42979</c:v>
                </c:pt>
                <c:pt idx="309">
                  <c:v>43009</c:v>
                </c:pt>
                <c:pt idx="310">
                  <c:v>43040</c:v>
                </c:pt>
                <c:pt idx="311">
                  <c:v>43070</c:v>
                </c:pt>
                <c:pt idx="312">
                  <c:v>43101</c:v>
                </c:pt>
                <c:pt idx="313">
                  <c:v>43132</c:v>
                </c:pt>
                <c:pt idx="314">
                  <c:v>43160</c:v>
                </c:pt>
                <c:pt idx="315">
                  <c:v>43191</c:v>
                </c:pt>
                <c:pt idx="316">
                  <c:v>43221</c:v>
                </c:pt>
                <c:pt idx="317">
                  <c:v>43252</c:v>
                </c:pt>
                <c:pt idx="318">
                  <c:v>43282</c:v>
                </c:pt>
                <c:pt idx="319">
                  <c:v>43313</c:v>
                </c:pt>
                <c:pt idx="320">
                  <c:v>43344</c:v>
                </c:pt>
                <c:pt idx="321">
                  <c:v>43374</c:v>
                </c:pt>
                <c:pt idx="322">
                  <c:v>43405</c:v>
                </c:pt>
                <c:pt idx="323">
                  <c:v>43435</c:v>
                </c:pt>
                <c:pt idx="324">
                  <c:v>43466</c:v>
                </c:pt>
                <c:pt idx="325">
                  <c:v>43497</c:v>
                </c:pt>
                <c:pt idx="326">
                  <c:v>43525</c:v>
                </c:pt>
                <c:pt idx="327">
                  <c:v>43556</c:v>
                </c:pt>
                <c:pt idx="328">
                  <c:v>43586</c:v>
                </c:pt>
                <c:pt idx="329">
                  <c:v>43617</c:v>
                </c:pt>
                <c:pt idx="330">
                  <c:v>43647</c:v>
                </c:pt>
                <c:pt idx="331">
                  <c:v>43678</c:v>
                </c:pt>
                <c:pt idx="332">
                  <c:v>43709</c:v>
                </c:pt>
                <c:pt idx="333">
                  <c:v>43739</c:v>
                </c:pt>
                <c:pt idx="334">
                  <c:v>43770</c:v>
                </c:pt>
                <c:pt idx="335">
                  <c:v>43800</c:v>
                </c:pt>
                <c:pt idx="336">
                  <c:v>43831</c:v>
                </c:pt>
                <c:pt idx="337">
                  <c:v>43862</c:v>
                </c:pt>
                <c:pt idx="338">
                  <c:v>43891</c:v>
                </c:pt>
                <c:pt idx="339">
                  <c:v>43922</c:v>
                </c:pt>
                <c:pt idx="340">
                  <c:v>43952</c:v>
                </c:pt>
                <c:pt idx="341">
                  <c:v>43983</c:v>
                </c:pt>
                <c:pt idx="342">
                  <c:v>44013</c:v>
                </c:pt>
                <c:pt idx="343">
                  <c:v>44044</c:v>
                </c:pt>
                <c:pt idx="344">
                  <c:v>44075</c:v>
                </c:pt>
                <c:pt idx="345">
                  <c:v>44105</c:v>
                </c:pt>
                <c:pt idx="346">
                  <c:v>44136</c:v>
                </c:pt>
                <c:pt idx="347">
                  <c:v>44166</c:v>
                </c:pt>
                <c:pt idx="348">
                  <c:v>44197</c:v>
                </c:pt>
                <c:pt idx="349">
                  <c:v>44228</c:v>
                </c:pt>
                <c:pt idx="350">
                  <c:v>44256</c:v>
                </c:pt>
                <c:pt idx="351">
                  <c:v>44287</c:v>
                </c:pt>
                <c:pt idx="352">
                  <c:v>44317</c:v>
                </c:pt>
                <c:pt idx="353">
                  <c:v>44348</c:v>
                </c:pt>
                <c:pt idx="354">
                  <c:v>44378</c:v>
                </c:pt>
                <c:pt idx="355">
                  <c:v>44409</c:v>
                </c:pt>
              </c:numCache>
            </c:numRef>
          </c:cat>
          <c:val>
            <c:numRef>
              <c:f>'Clothing and clothing access'!$D$7:$D$362</c:f>
              <c:numCache>
                <c:formatCode>General</c:formatCode>
                <c:ptCount val="356"/>
                <c:pt idx="12" formatCode="0.00%">
                  <c:v>8.9028406751749695E-2</c:v>
                </c:pt>
                <c:pt idx="13" formatCode="0.00%">
                  <c:v>4.5098846787479406E-2</c:v>
                </c:pt>
                <c:pt idx="14" formatCode="0.00%">
                  <c:v>2.5545557968766161E-2</c:v>
                </c:pt>
                <c:pt idx="15" formatCode="0.00%">
                  <c:v>4.0052727641452041E-2</c:v>
                </c:pt>
                <c:pt idx="16" formatCode="0.00%">
                  <c:v>6.4684777037416707E-2</c:v>
                </c:pt>
                <c:pt idx="17" formatCode="0.00%">
                  <c:v>5.0025214321734748E-2</c:v>
                </c:pt>
                <c:pt idx="18" formatCode="0.00%">
                  <c:v>6.3874661042482669E-2</c:v>
                </c:pt>
                <c:pt idx="19" formatCode="0.00%">
                  <c:v>2.6131545212503698E-2</c:v>
                </c:pt>
                <c:pt idx="20" formatCode="0.00%">
                  <c:v>3.8900925743549343E-2</c:v>
                </c:pt>
                <c:pt idx="21" formatCode="0.00%">
                  <c:v>2.7029683506978572E-2</c:v>
                </c:pt>
                <c:pt idx="22" formatCode="0.00%">
                  <c:v>3.9599047240968639E-2</c:v>
                </c:pt>
                <c:pt idx="23" formatCode="0.00%">
                  <c:v>1.2017832913355302E-2</c:v>
                </c:pt>
                <c:pt idx="24" formatCode="0.00%">
                  <c:v>-1.2380682355164919E-2</c:v>
                </c:pt>
                <c:pt idx="25" formatCode="0.00%">
                  <c:v>4.3054187192118225E-2</c:v>
                </c:pt>
                <c:pt idx="26" formatCode="0.00%">
                  <c:v>8.9753933037515124E-2</c:v>
                </c:pt>
                <c:pt idx="27" formatCode="0.00%">
                  <c:v>2.895583503948523E-2</c:v>
                </c:pt>
                <c:pt idx="28" formatCode="0.00%">
                  <c:v>6.25842480261891E-3</c:v>
                </c:pt>
                <c:pt idx="29" formatCode="0.00%">
                  <c:v>1.9306502737489194E-2</c:v>
                </c:pt>
                <c:pt idx="30" formatCode="0.00%">
                  <c:v>7.4577551213065229E-3</c:v>
                </c:pt>
                <c:pt idx="31" formatCode="0.00%">
                  <c:v>4.1610609263886218E-2</c:v>
                </c:pt>
                <c:pt idx="32" formatCode="0.00%">
                  <c:v>1.1849464404208929E-2</c:v>
                </c:pt>
                <c:pt idx="33" formatCode="0.00%">
                  <c:v>5.2732318882189683E-2</c:v>
                </c:pt>
                <c:pt idx="34" formatCode="0.00%">
                  <c:v>4.8496420047732698E-2</c:v>
                </c:pt>
                <c:pt idx="35" formatCode="0.00%">
                  <c:v>4.8841218157441101E-2</c:v>
                </c:pt>
                <c:pt idx="36" formatCode="0.00%">
                  <c:v>4.6794258373205742E-2</c:v>
                </c:pt>
                <c:pt idx="37" formatCode="0.00%">
                  <c:v>-4.7227732124303391E-4</c:v>
                </c:pt>
                <c:pt idx="38" formatCode="0.00%">
                  <c:v>4.0718119563205625E-3</c:v>
                </c:pt>
                <c:pt idx="39" formatCode="0.00%">
                  <c:v>2.2929694902406671E-2</c:v>
                </c:pt>
                <c:pt idx="40" formatCode="0.00%">
                  <c:v>5.0234427327528468E-2</c:v>
                </c:pt>
                <c:pt idx="41" formatCode="0.00%">
                  <c:v>3.1662269129287601E-2</c:v>
                </c:pt>
                <c:pt idx="42" formatCode="0.00%">
                  <c:v>1.424287856071964E-2</c:v>
                </c:pt>
                <c:pt idx="43" formatCode="0.00%">
                  <c:v>-2.3987452717040315E-3</c:v>
                </c:pt>
                <c:pt idx="44" formatCode="0.00%">
                  <c:v>4.9091249765786021E-2</c:v>
                </c:pt>
                <c:pt idx="45" formatCode="0.00%">
                  <c:v>-1.0727272727272728E-2</c:v>
                </c:pt>
                <c:pt idx="46" formatCode="0.00%">
                  <c:v>2.6040244013475371E-2</c:v>
                </c:pt>
                <c:pt idx="47" formatCode="0.00%">
                  <c:v>1.5704894083272462E-2</c:v>
                </c:pt>
                <c:pt idx="48" formatCode="0.00%">
                  <c:v>1.5175061705823202E-2</c:v>
                </c:pt>
                <c:pt idx="49" formatCode="0.00%">
                  <c:v>7.172557172557173E-2</c:v>
                </c:pt>
                <c:pt idx="50" formatCode="0.00%">
                  <c:v>4.8479262672811059E-2</c:v>
                </c:pt>
                <c:pt idx="51" formatCode="0.00%">
                  <c:v>5.7984438680992963E-2</c:v>
                </c:pt>
                <c:pt idx="52" formatCode="0.00%">
                  <c:v>4.8104956268221574E-2</c:v>
                </c:pt>
                <c:pt idx="53" formatCode="0.00%">
                  <c:v>3.8089148702959444E-2</c:v>
                </c:pt>
                <c:pt idx="54" formatCode="0.00%">
                  <c:v>4.5454545454545456E-2</c:v>
                </c:pt>
                <c:pt idx="55" formatCode="0.00%">
                  <c:v>5.0587256080643669E-2</c:v>
                </c:pt>
                <c:pt idx="56" formatCode="0.00%">
                  <c:v>3.0005358099660654E-2</c:v>
                </c:pt>
                <c:pt idx="57" formatCode="0.00%">
                  <c:v>6.3866936224958648E-2</c:v>
                </c:pt>
                <c:pt idx="58" formatCode="0.00%">
                  <c:v>4.3482119087762889E-3</c:v>
                </c:pt>
                <c:pt idx="59" formatCode="0.00%">
                  <c:v>2.7957569219705141E-2</c:v>
                </c:pt>
                <c:pt idx="60" formatCode="0.00%">
                  <c:v>3.6740207113912654E-2</c:v>
                </c:pt>
                <c:pt idx="61" formatCode="0.00%">
                  <c:v>1.1198307027598978E-2</c:v>
                </c:pt>
                <c:pt idx="62" formatCode="0.00%">
                  <c:v>2.1712376933895921E-2</c:v>
                </c:pt>
                <c:pt idx="63" formatCode="0.00%">
                  <c:v>-1.9873927508317284E-2</c:v>
                </c:pt>
                <c:pt idx="64" formatCode="0.00%">
                  <c:v>-7.9102920723226697E-3</c:v>
                </c:pt>
                <c:pt idx="65" formatCode="0.00%">
                  <c:v>2.4461064672239331E-2</c:v>
                </c:pt>
                <c:pt idx="66" formatCode="0.00%">
                  <c:v>3.7027218098267936E-2</c:v>
                </c:pt>
                <c:pt idx="67" formatCode="0.00%">
                  <c:v>4.119718309859155E-2</c:v>
                </c:pt>
                <c:pt idx="68" formatCode="0.00%">
                  <c:v>2.6963759320270505E-2</c:v>
                </c:pt>
                <c:pt idx="69" formatCode="0.00%">
                  <c:v>2.6258961734473524E-2</c:v>
                </c:pt>
                <c:pt idx="70" formatCode="0.00%">
                  <c:v>5.4603286799787945E-2</c:v>
                </c:pt>
                <c:pt idx="71" formatCode="0.00%">
                  <c:v>5.9029296020988192E-2</c:v>
                </c:pt>
                <c:pt idx="72" formatCode="0.00%">
                  <c:v>5.5676192130634933E-2</c:v>
                </c:pt>
                <c:pt idx="73" formatCode="0.00%">
                  <c:v>6.3742588071154516E-2</c:v>
                </c:pt>
                <c:pt idx="74" formatCode="0.00%">
                  <c:v>4.6545642261034158E-2</c:v>
                </c:pt>
                <c:pt idx="75" formatCode="0.00%">
                  <c:v>0.11290754801250558</c:v>
                </c:pt>
                <c:pt idx="76" formatCode="0.00%">
                  <c:v>7.806886883378604E-2</c:v>
                </c:pt>
                <c:pt idx="77" formatCode="0.00%">
                  <c:v>6.9054367431074459E-2</c:v>
                </c:pt>
                <c:pt idx="78" formatCode="0.00%">
                  <c:v>7.0217298679164888E-2</c:v>
                </c:pt>
                <c:pt idx="79" formatCode="0.00%">
                  <c:v>5.3432532972607374E-2</c:v>
                </c:pt>
                <c:pt idx="80" formatCode="0.00%">
                  <c:v>2.8281975517095822E-2</c:v>
                </c:pt>
                <c:pt idx="81" formatCode="0.00%">
                  <c:v>5.5466711556266306E-2</c:v>
                </c:pt>
                <c:pt idx="82" formatCode="0.00%">
                  <c:v>6.7024128686327081E-2</c:v>
                </c:pt>
                <c:pt idx="83" formatCode="0.00%">
                  <c:v>5.2518579686209745E-2</c:v>
                </c:pt>
                <c:pt idx="84" formatCode="0.00%">
                  <c:v>6.1132137567878886E-2</c:v>
                </c:pt>
                <c:pt idx="85" formatCode="0.00%">
                  <c:v>5.9103205180752523E-2</c:v>
                </c:pt>
                <c:pt idx="86" formatCode="0.00%">
                  <c:v>7.4893127260769479E-2</c:v>
                </c:pt>
                <c:pt idx="87" formatCode="0.00%">
                  <c:v>5.4579019182919977E-2</c:v>
                </c:pt>
                <c:pt idx="88" formatCode="0.00%">
                  <c:v>8.6882314694408325E-2</c:v>
                </c:pt>
                <c:pt idx="89" formatCode="0.00%">
                  <c:v>7.4395436651401942E-2</c:v>
                </c:pt>
                <c:pt idx="90" formatCode="0.00%">
                  <c:v>5.6612787642328209E-2</c:v>
                </c:pt>
                <c:pt idx="91" formatCode="0.00%">
                  <c:v>7.5762439807383633E-2</c:v>
                </c:pt>
                <c:pt idx="92" formatCode="0.00%">
                  <c:v>9.8604269293924462E-2</c:v>
                </c:pt>
                <c:pt idx="93" formatCode="0.00%">
                  <c:v>6.8580542264752797E-2</c:v>
                </c:pt>
                <c:pt idx="94" formatCode="0.00%">
                  <c:v>5.3391959798994977E-2</c:v>
                </c:pt>
                <c:pt idx="95" formatCode="0.00%">
                  <c:v>6.4883100580574296E-2</c:v>
                </c:pt>
                <c:pt idx="96" formatCode="0.00%">
                  <c:v>3.1325114367682406E-2</c:v>
                </c:pt>
                <c:pt idx="97" formatCode="0.00%">
                  <c:v>4.736842105263158E-2</c:v>
                </c:pt>
                <c:pt idx="98" formatCode="0.00%">
                  <c:v>5.6826003824091781E-2</c:v>
                </c:pt>
                <c:pt idx="99" formatCode="0.00%">
                  <c:v>5.0384351929370574E-2</c:v>
                </c:pt>
                <c:pt idx="100" formatCode="0.00%">
                  <c:v>4.8904509085470727E-2</c:v>
                </c:pt>
                <c:pt idx="101" formatCode="0.00%">
                  <c:v>3.6715770582517009E-2</c:v>
                </c:pt>
                <c:pt idx="102" formatCode="0.00%">
                  <c:v>3.4061793519216274E-2</c:v>
                </c:pt>
                <c:pt idx="103" formatCode="0.00%">
                  <c:v>4.9835869889585195E-2</c:v>
                </c:pt>
                <c:pt idx="104" formatCode="0.00%">
                  <c:v>7.3611837680292946E-2</c:v>
                </c:pt>
                <c:pt idx="105" formatCode="0.00%">
                  <c:v>6.2014925373134328E-2</c:v>
                </c:pt>
                <c:pt idx="106" formatCode="0.00%">
                  <c:v>6.5444245676803819E-2</c:v>
                </c:pt>
                <c:pt idx="107" formatCode="0.00%">
                  <c:v>3.7648272305312015E-2</c:v>
                </c:pt>
                <c:pt idx="108" formatCode="0.00%">
                  <c:v>6.2702052477257353E-2</c:v>
                </c:pt>
                <c:pt idx="109" formatCode="0.00%">
                  <c:v>4.6851906591782441E-2</c:v>
                </c:pt>
                <c:pt idx="110" formatCode="0.00%">
                  <c:v>-1.2302793457808655E-3</c:v>
                </c:pt>
                <c:pt idx="111" formatCode="0.00%">
                  <c:v>3.01427432794725E-2</c:v>
                </c:pt>
                <c:pt idx="112" formatCode="0.00%">
                  <c:v>-5.4894132743993724E-3</c:v>
                </c:pt>
                <c:pt idx="113" formatCode="0.00%">
                  <c:v>-4.3277553375649161E-3</c:v>
                </c:pt>
                <c:pt idx="114" formatCode="0.00%">
                  <c:v>1.9822183355196036E-2</c:v>
                </c:pt>
                <c:pt idx="115" formatCode="0.00%">
                  <c:v>7.0352472996020468E-3</c:v>
                </c:pt>
                <c:pt idx="116" formatCode="0.00%">
                  <c:v>-7.5177502436307955E-2</c:v>
                </c:pt>
                <c:pt idx="117" formatCode="0.00%">
                  <c:v>-1.8129435738879911E-2</c:v>
                </c:pt>
                <c:pt idx="118" formatCode="0.00%">
                  <c:v>-2.2666853225129426E-2</c:v>
                </c:pt>
                <c:pt idx="119" formatCode="0.00%">
                  <c:v>2.982107355864811E-3</c:v>
                </c:pt>
                <c:pt idx="120" formatCode="0.00%">
                  <c:v>6.013441811107181E-3</c:v>
                </c:pt>
                <c:pt idx="121" formatCode="0.00%">
                  <c:v>1.348298743470281E-2</c:v>
                </c:pt>
                <c:pt idx="122" formatCode="0.00%">
                  <c:v>4.6011158611694802E-2</c:v>
                </c:pt>
                <c:pt idx="123" formatCode="0.00%">
                  <c:v>1.3575297179433073E-2</c:v>
                </c:pt>
                <c:pt idx="124" formatCode="0.00%">
                  <c:v>1.935483870967742E-2</c:v>
                </c:pt>
                <c:pt idx="125" formatCode="0.00%">
                  <c:v>4.0712836858881482E-2</c:v>
                </c:pt>
                <c:pt idx="126" formatCode="0.00%">
                  <c:v>1.4720594540517365E-2</c:v>
                </c:pt>
                <c:pt idx="127" formatCode="0.00%">
                  <c:v>1.1784630583586198E-2</c:v>
                </c:pt>
                <c:pt idx="128" formatCode="0.00%">
                  <c:v>5.1181695017311457E-2</c:v>
                </c:pt>
                <c:pt idx="129" formatCode="0.00%">
                  <c:v>4.6661418449867605E-2</c:v>
                </c:pt>
                <c:pt idx="130" formatCode="0.00%">
                  <c:v>3.4788833214030063E-2</c:v>
                </c:pt>
                <c:pt idx="131" formatCode="0.00%">
                  <c:v>4.1625371655104063E-2</c:v>
                </c:pt>
                <c:pt idx="132" formatCode="0.00%">
                  <c:v>2.4261603375527425E-2</c:v>
                </c:pt>
                <c:pt idx="133" formatCode="0.00%">
                  <c:v>-1.4975273385804833E-2</c:v>
                </c:pt>
                <c:pt idx="134" formatCode="0.00%">
                  <c:v>2.0088667220836795E-3</c:v>
                </c:pt>
                <c:pt idx="135" formatCode="0.00%">
                  <c:v>1.6655100624566274E-3</c:v>
                </c:pt>
                <c:pt idx="136" formatCode="0.00%">
                  <c:v>3.0309423347398032E-2</c:v>
                </c:pt>
                <c:pt idx="137" formatCode="0.00%">
                  <c:v>3.6753445635528334E-2</c:v>
                </c:pt>
                <c:pt idx="138" formatCode="0.00%">
                  <c:v>6.6267605633802823E-2</c:v>
                </c:pt>
                <c:pt idx="139" formatCode="0.00%">
                  <c:v>5.2378295438694378E-2</c:v>
                </c:pt>
                <c:pt idx="140" formatCode="0.00%">
                  <c:v>8.6567377917800378E-2</c:v>
                </c:pt>
                <c:pt idx="141" formatCode="0.00%">
                  <c:v>3.0222222222222223E-2</c:v>
                </c:pt>
                <c:pt idx="142" formatCode="0.00%">
                  <c:v>6.1012728278915331E-2</c:v>
                </c:pt>
                <c:pt idx="143" formatCode="0.00%">
                  <c:v>5.0428163653663177E-2</c:v>
                </c:pt>
                <c:pt idx="144" formatCode="0.00%">
                  <c:v>6.5087538619979401E-2</c:v>
                </c:pt>
                <c:pt idx="145" formatCode="0.00%">
                  <c:v>0.10924904539669071</c:v>
                </c:pt>
                <c:pt idx="146" formatCode="0.00%">
                  <c:v>0.1050120981679917</c:v>
                </c:pt>
                <c:pt idx="147" formatCode="0.00%">
                  <c:v>7.8495219620340867E-2</c:v>
                </c:pt>
                <c:pt idx="148" formatCode="0.00%">
                  <c:v>7.4056378404204495E-2</c:v>
                </c:pt>
                <c:pt idx="149" formatCode="0.00%">
                  <c:v>4.4380287364039213E-2</c:v>
                </c:pt>
                <c:pt idx="150" formatCode="0.00%">
                  <c:v>3.3287101248266296E-2</c:v>
                </c:pt>
                <c:pt idx="151" formatCode="0.00%">
                  <c:v>3.7842136655842004E-2</c:v>
                </c:pt>
                <c:pt idx="152" formatCode="0.00%">
                  <c:v>3.8813838550247115E-2</c:v>
                </c:pt>
                <c:pt idx="153" formatCode="0.00%">
                  <c:v>6.5573770491803282E-2</c:v>
                </c:pt>
                <c:pt idx="154" formatCode="0.00%">
                  <c:v>4.6029469291954624E-2</c:v>
                </c:pt>
                <c:pt idx="155" formatCode="0.00%">
                  <c:v>4.7036749482401656E-2</c:v>
                </c:pt>
                <c:pt idx="156" formatCode="0.00%">
                  <c:v>3.9450783214078515E-2</c:v>
                </c:pt>
                <c:pt idx="157" formatCode="0.00%">
                  <c:v>6.2918340026773767E-2</c:v>
                </c:pt>
                <c:pt idx="158" formatCode="0.00%">
                  <c:v>1.9331831831831833E-2</c:v>
                </c:pt>
                <c:pt idx="159" formatCode="0.00%">
                  <c:v>6.8670906404573781E-2</c:v>
                </c:pt>
                <c:pt idx="160" formatCode="0.00%">
                  <c:v>4.9440772750381293E-2</c:v>
                </c:pt>
                <c:pt idx="161" formatCode="0.00%">
                  <c:v>8.1581485053037611E-2</c:v>
                </c:pt>
                <c:pt idx="162" formatCode="0.00%">
                  <c:v>5.145413870246085E-2</c:v>
                </c:pt>
                <c:pt idx="163" formatCode="0.00%">
                  <c:v>7.0178799489144322E-2</c:v>
                </c:pt>
                <c:pt idx="164" formatCode="0.00%">
                  <c:v>4.3516873889875664E-2</c:v>
                </c:pt>
                <c:pt idx="165" formatCode="0.00%">
                  <c:v>6.6334475241357826E-2</c:v>
                </c:pt>
                <c:pt idx="166" formatCode="0.00%">
                  <c:v>6.8436798803290955E-2</c:v>
                </c:pt>
                <c:pt idx="167" formatCode="0.00%">
                  <c:v>6.327627757523327E-2</c:v>
                </c:pt>
                <c:pt idx="168" formatCode="0.00%">
                  <c:v>7.4790697674418607E-2</c:v>
                </c:pt>
                <c:pt idx="169" formatCode="0.00%">
                  <c:v>4.2581264243732757E-2</c:v>
                </c:pt>
                <c:pt idx="170" formatCode="0.00%">
                  <c:v>6.7022647762842932E-2</c:v>
                </c:pt>
                <c:pt idx="171" formatCode="0.00%">
                  <c:v>5.4460206780476077E-2</c:v>
                </c:pt>
                <c:pt idx="172" formatCode="0.00%">
                  <c:v>5.9222477897541481E-2</c:v>
                </c:pt>
                <c:pt idx="173" formatCode="0.00%">
                  <c:v>5.2127912505943889E-2</c:v>
                </c:pt>
                <c:pt idx="174" formatCode="0.00%">
                  <c:v>7.5440729483282676E-2</c:v>
                </c:pt>
                <c:pt idx="175" formatCode="0.00%">
                  <c:v>5.2270421862879647E-2</c:v>
                </c:pt>
                <c:pt idx="176" formatCode="0.00%">
                  <c:v>0.10978723404255319</c:v>
                </c:pt>
                <c:pt idx="177" formatCode="0.00%">
                  <c:v>5.8761682242990651E-2</c:v>
                </c:pt>
                <c:pt idx="178" formatCode="0.00%">
                  <c:v>4.4802240112005599E-2</c:v>
                </c:pt>
                <c:pt idx="179" formatCode="0.00%">
                  <c:v>7.4969489161387806E-2</c:v>
                </c:pt>
                <c:pt idx="180" formatCode="0.00%">
                  <c:v>6.704748716173331E-2</c:v>
                </c:pt>
                <c:pt idx="181" formatCode="0.00%">
                  <c:v>4.3718361711919007E-2</c:v>
                </c:pt>
                <c:pt idx="182" formatCode="0.00%">
                  <c:v>7.2361230946218005E-2</c:v>
                </c:pt>
                <c:pt idx="183" formatCode="0.00%">
                  <c:v>3.688290958841637E-2</c:v>
                </c:pt>
                <c:pt idx="184" formatCode="0.00%">
                  <c:v>6.0198948090555683E-2</c:v>
                </c:pt>
                <c:pt idx="185" formatCode="0.00%">
                  <c:v>3.8811366589458225E-2</c:v>
                </c:pt>
                <c:pt idx="186" formatCode="0.00%">
                  <c:v>4.6973037137527554E-2</c:v>
                </c:pt>
                <c:pt idx="187" formatCode="0.00%">
                  <c:v>4.8539835554295432E-2</c:v>
                </c:pt>
                <c:pt idx="188" formatCode="0.00%">
                  <c:v>8.5451358457493427E-3</c:v>
                </c:pt>
                <c:pt idx="189" formatCode="0.00%">
                  <c:v>1.6826657839567473E-2</c:v>
                </c:pt>
                <c:pt idx="190" formatCode="0.00%">
                  <c:v>4.74036850921273E-2</c:v>
                </c:pt>
                <c:pt idx="191" formatCode="0.00%">
                  <c:v>3.9465859328539762E-3</c:v>
                </c:pt>
                <c:pt idx="192" formatCode="0.00%">
                  <c:v>2.6496512193803059E-3</c:v>
                </c:pt>
                <c:pt idx="193" formatCode="0.00%">
                  <c:v>7.4955908289241618E-3</c:v>
                </c:pt>
                <c:pt idx="194" formatCode="0.00%">
                  <c:v>-1.6360027892506571E-2</c:v>
                </c:pt>
                <c:pt idx="195" formatCode="0.00%">
                  <c:v>1.0720765297707406E-2</c:v>
                </c:pt>
                <c:pt idx="196" formatCode="0.00%">
                  <c:v>5.2305203558910759E-3</c:v>
                </c:pt>
                <c:pt idx="197" formatCode="0.00%">
                  <c:v>1.7402653904720469E-2</c:v>
                </c:pt>
                <c:pt idx="198" formatCode="0.00%">
                  <c:v>6.1008530396285494E-3</c:v>
                </c:pt>
                <c:pt idx="199" formatCode="0.00%">
                  <c:v>1.784651992861392E-3</c:v>
                </c:pt>
                <c:pt idx="200" formatCode="0.00%">
                  <c:v>-4.6274169020204217E-2</c:v>
                </c:pt>
                <c:pt idx="201" formatCode="0.00%">
                  <c:v>-6.0441647224784331E-2</c:v>
                </c:pt>
                <c:pt idx="202" formatCode="0.00%">
                  <c:v>-8.4546084546084546E-2</c:v>
                </c:pt>
                <c:pt idx="203" formatCode="0.00%">
                  <c:v>-9.1653204092622509E-2</c:v>
                </c:pt>
                <c:pt idx="204" formatCode="0.00%">
                  <c:v>-7.4587423147449039E-2</c:v>
                </c:pt>
                <c:pt idx="205" formatCode="0.00%">
                  <c:v>-4.808533916849015E-2</c:v>
                </c:pt>
                <c:pt idx="206" formatCode="0.00%">
                  <c:v>-9.9683716872068923E-2</c:v>
                </c:pt>
                <c:pt idx="207" formatCode="0.00%">
                  <c:v>-8.0722367275892076E-2</c:v>
                </c:pt>
                <c:pt idx="208" formatCode="0.00%">
                  <c:v>-8.6042270142688559E-2</c:v>
                </c:pt>
                <c:pt idx="209" formatCode="0.00%">
                  <c:v>-0.10107975197776352</c:v>
                </c:pt>
                <c:pt idx="210" formatCode="0.00%">
                  <c:v>-8.6933190233431712E-2</c:v>
                </c:pt>
                <c:pt idx="211" formatCode="0.00%">
                  <c:v>-6.9693370762254375E-2</c:v>
                </c:pt>
                <c:pt idx="212" formatCode="0.00%">
                  <c:v>-2.2095671981776765E-2</c:v>
                </c:pt>
                <c:pt idx="213" formatCode="0.00%">
                  <c:v>-1.2126811803430154E-3</c:v>
                </c:pt>
                <c:pt idx="214" formatCode="0.00%">
                  <c:v>-3.9597041868048681E-3</c:v>
                </c:pt>
                <c:pt idx="215" formatCode="0.00%">
                  <c:v>1.5354517429452217E-2</c:v>
                </c:pt>
                <c:pt idx="216" formatCode="0.00%">
                  <c:v>1.0898070983157527E-2</c:v>
                </c:pt>
                <c:pt idx="217" formatCode="0.00%">
                  <c:v>1.7240388483420494E-4</c:v>
                </c:pt>
                <c:pt idx="218" formatCode="0.00%">
                  <c:v>8.5281647486371889E-2</c:v>
                </c:pt>
                <c:pt idx="219" formatCode="0.00%">
                  <c:v>4.7633136094674559E-2</c:v>
                </c:pt>
                <c:pt idx="220" formatCode="0.00%">
                  <c:v>3.6095785890362719E-2</c:v>
                </c:pt>
                <c:pt idx="221" formatCode="0.00%">
                  <c:v>4.1921864779687221E-2</c:v>
                </c:pt>
                <c:pt idx="222" formatCode="0.00%">
                  <c:v>3.3088451366441375E-2</c:v>
                </c:pt>
                <c:pt idx="223" formatCode="0.00%">
                  <c:v>2.4894098531886497E-2</c:v>
                </c:pt>
                <c:pt idx="224" formatCode="0.00%">
                  <c:v>2.9990682506405776E-2</c:v>
                </c:pt>
                <c:pt idx="225" formatCode="0.00%">
                  <c:v>4.0703052728954671E-2</c:v>
                </c:pt>
                <c:pt idx="226" formatCode="0.00%">
                  <c:v>7.7755042385267467E-2</c:v>
                </c:pt>
                <c:pt idx="227" formatCode="0.00%">
                  <c:v>6.1365096047176972E-2</c:v>
                </c:pt>
                <c:pt idx="228" formatCode="0.00%">
                  <c:v>5.863023175371844E-2</c:v>
                </c:pt>
                <c:pt idx="229" formatCode="0.00%">
                  <c:v>6.8260170075844631E-2</c:v>
                </c:pt>
                <c:pt idx="230" formatCode="0.00%">
                  <c:v>4.4647840160732227E-2</c:v>
                </c:pt>
                <c:pt idx="231" formatCode="0.00%">
                  <c:v>7.0714487432928547E-2</c:v>
                </c:pt>
                <c:pt idx="232" formatCode="0.00%">
                  <c:v>6.7580581204327875E-2</c:v>
                </c:pt>
                <c:pt idx="233" formatCode="0.00%">
                  <c:v>9.4738043602328501E-2</c:v>
                </c:pt>
                <c:pt idx="234" formatCode="0.00%">
                  <c:v>8.0782796677665261E-2</c:v>
                </c:pt>
                <c:pt idx="235" formatCode="0.00%">
                  <c:v>7.1339599139395318E-2</c:v>
                </c:pt>
                <c:pt idx="236" formatCode="0.00%">
                  <c:v>0.10188273873466387</c:v>
                </c:pt>
                <c:pt idx="237" formatCode="0.00%">
                  <c:v>6.3111111111111118E-2</c:v>
                </c:pt>
                <c:pt idx="238" formatCode="0.00%">
                  <c:v>4.7518307567127743E-2</c:v>
                </c:pt>
                <c:pt idx="239" formatCode="0.00%">
                  <c:v>7.2395202992628457E-2</c:v>
                </c:pt>
                <c:pt idx="240" formatCode="0.00%">
                  <c:v>6.671023253281054E-2</c:v>
                </c:pt>
                <c:pt idx="241" formatCode="0.00%">
                  <c:v>9.0200086058519799E-2</c:v>
                </c:pt>
                <c:pt idx="242" formatCode="0.00%">
                  <c:v>7.158884496206859E-2</c:v>
                </c:pt>
                <c:pt idx="243" formatCode="0.00%">
                  <c:v>3.0384554518119954E-2</c:v>
                </c:pt>
                <c:pt idx="244" formatCode="0.00%">
                  <c:v>4.3033004351055927E-2</c:v>
                </c:pt>
                <c:pt idx="245" formatCode="0.00%">
                  <c:v>3.6284016265248673E-2</c:v>
                </c:pt>
                <c:pt idx="246" formatCode="0.00%">
                  <c:v>3.8214548899884196E-2</c:v>
                </c:pt>
                <c:pt idx="247" formatCode="0.00%">
                  <c:v>5.3324172920410105E-2</c:v>
                </c:pt>
                <c:pt idx="248" formatCode="0.00%">
                  <c:v>3.2325927446251734E-2</c:v>
                </c:pt>
                <c:pt idx="249" formatCode="0.00%">
                  <c:v>4.1962792642140471E-2</c:v>
                </c:pt>
                <c:pt idx="250" formatCode="0.00%">
                  <c:v>3.4229195795142664E-2</c:v>
                </c:pt>
                <c:pt idx="251" formatCode="0.00%">
                  <c:v>3.4266953934543959E-2</c:v>
                </c:pt>
                <c:pt idx="252" formatCode="0.00%">
                  <c:v>4.3189707984480297E-2</c:v>
                </c:pt>
                <c:pt idx="253" formatCode="0.00%">
                  <c:v>1.7761113029749864E-3</c:v>
                </c:pt>
                <c:pt idx="254" formatCode="0.00%">
                  <c:v>1.2862698175291655E-2</c:v>
                </c:pt>
                <c:pt idx="255" formatCode="0.00%">
                  <c:v>4.9403573439819791E-2</c:v>
                </c:pt>
                <c:pt idx="256" formatCode="0.00%">
                  <c:v>3.6577300707127232E-2</c:v>
                </c:pt>
                <c:pt idx="257" formatCode="0.00%">
                  <c:v>2.4650367240165005E-2</c:v>
                </c:pt>
                <c:pt idx="258" formatCode="0.00%">
                  <c:v>4.3297505576962075E-2</c:v>
                </c:pt>
                <c:pt idx="259" formatCode="0.00%">
                  <c:v>1.9266469319151071E-2</c:v>
                </c:pt>
                <c:pt idx="260" formatCode="0.00%">
                  <c:v>9.2449922958397542E-3</c:v>
                </c:pt>
                <c:pt idx="261" formatCode="0.00%">
                  <c:v>4.2680174532323589E-2</c:v>
                </c:pt>
                <c:pt idx="262" formatCode="0.00%">
                  <c:v>1.5371520128179451E-2</c:v>
                </c:pt>
                <c:pt idx="263" formatCode="0.00%">
                  <c:v>1.9988096419006052E-2</c:v>
                </c:pt>
                <c:pt idx="264" formatCode="0.00%">
                  <c:v>4.0618576881667808E-3</c:v>
                </c:pt>
                <c:pt idx="265" formatCode="0.00%">
                  <c:v>1.1721250923417878E-2</c:v>
                </c:pt>
                <c:pt idx="266" formatCode="0.00%">
                  <c:v>1.7277023036030716E-2</c:v>
                </c:pt>
                <c:pt idx="267" formatCode="0.00%">
                  <c:v>3.2344618987218264E-2</c:v>
                </c:pt>
                <c:pt idx="268" formatCode="0.00%">
                  <c:v>1.909108755398508E-2</c:v>
                </c:pt>
                <c:pt idx="269" formatCode="0.00%">
                  <c:v>2.116064414768264E-2</c:v>
                </c:pt>
                <c:pt idx="270" formatCode="0.00%">
                  <c:v>1.6522499757022063E-2</c:v>
                </c:pt>
                <c:pt idx="271" formatCode="0.00%">
                  <c:v>3.5441791779473299E-2</c:v>
                </c:pt>
                <c:pt idx="272" formatCode="0.00%">
                  <c:v>2.5855700566362966E-2</c:v>
                </c:pt>
                <c:pt idx="273" formatCode="0.00%">
                  <c:v>1.5921115921115923E-2</c:v>
                </c:pt>
                <c:pt idx="274" formatCode="0.00%">
                  <c:v>5.4982987326791265E-2</c:v>
                </c:pt>
                <c:pt idx="275" formatCode="0.00%">
                  <c:v>3.554583029418916E-2</c:v>
                </c:pt>
                <c:pt idx="276" formatCode="0.00%">
                  <c:v>2.5442316128088904E-2</c:v>
                </c:pt>
                <c:pt idx="277" formatCode="0.00%">
                  <c:v>3.8115173051647765E-2</c:v>
                </c:pt>
                <c:pt idx="278" formatCode="0.00%">
                  <c:v>3.4547829873711716E-2</c:v>
                </c:pt>
                <c:pt idx="279" formatCode="0.00%">
                  <c:v>1.3373659089835075E-2</c:v>
                </c:pt>
                <c:pt idx="280" formatCode="0.00%">
                  <c:v>4.1464001926318321E-2</c:v>
                </c:pt>
                <c:pt idx="281" formatCode="0.00%">
                  <c:v>2.8462906870522622E-2</c:v>
                </c:pt>
                <c:pt idx="282" formatCode="0.00%">
                  <c:v>3.0117602065207E-2</c:v>
                </c:pt>
                <c:pt idx="283" formatCode="0.00%">
                  <c:v>2.6241977656287139E-2</c:v>
                </c:pt>
                <c:pt idx="284" formatCode="0.00%">
                  <c:v>2.9572731637061929E-2</c:v>
                </c:pt>
                <c:pt idx="285" formatCode="0.00%">
                  <c:v>5.5868566829222104E-3</c:v>
                </c:pt>
                <c:pt idx="286" formatCode="0.00%">
                  <c:v>-2.1501355520239318E-3</c:v>
                </c:pt>
                <c:pt idx="287" formatCode="0.00%">
                  <c:v>9.8610067618332079E-3</c:v>
                </c:pt>
                <c:pt idx="288" formatCode="0.00%">
                  <c:v>1.1882694044393745E-2</c:v>
                </c:pt>
                <c:pt idx="289" formatCode="0.00%">
                  <c:v>2.9822751570852481E-2</c:v>
                </c:pt>
                <c:pt idx="290" formatCode="0.00%">
                  <c:v>5.1447546887423415E-3</c:v>
                </c:pt>
                <c:pt idx="291" formatCode="0.00%">
                  <c:v>-1.7254243611266554E-3</c:v>
                </c:pt>
                <c:pt idx="292" formatCode="0.00%">
                  <c:v>-2.1733099047442895E-3</c:v>
                </c:pt>
                <c:pt idx="293" formatCode="0.00%">
                  <c:v>1.3183114393903978E-2</c:v>
                </c:pt>
                <c:pt idx="294" formatCode="0.00%">
                  <c:v>-5.4297382587711156E-3</c:v>
                </c:pt>
                <c:pt idx="295" formatCode="0.00%">
                  <c:v>9.2648353175522301E-3</c:v>
                </c:pt>
                <c:pt idx="296" formatCode="0.00%">
                  <c:v>2.1449221300009327E-2</c:v>
                </c:pt>
                <c:pt idx="297" formatCode="0.00%">
                  <c:v>2.1517020575356656E-2</c:v>
                </c:pt>
                <c:pt idx="298" formatCode="0.00%">
                  <c:v>1.3162825557429267E-2</c:v>
                </c:pt>
                <c:pt idx="299" formatCode="0.00%">
                  <c:v>2.0691899934901888E-2</c:v>
                </c:pt>
                <c:pt idx="300" formatCode="0.00%">
                  <c:v>3.4571844614589696E-2</c:v>
                </c:pt>
                <c:pt idx="301" formatCode="0.00%">
                  <c:v>-1.4024223659047446E-2</c:v>
                </c:pt>
                <c:pt idx="302" formatCode="0.00%">
                  <c:v>1.2516867525941092E-2</c:v>
                </c:pt>
                <c:pt idx="303" formatCode="0.00%">
                  <c:v>1.7284065959732798E-2</c:v>
                </c:pt>
                <c:pt idx="304" formatCode="0.00%">
                  <c:v>3.1975531766995692E-3</c:v>
                </c:pt>
                <c:pt idx="305" formatCode="0.00%">
                  <c:v>5.4445623586951509E-3</c:v>
                </c:pt>
                <c:pt idx="306" formatCode="0.00%">
                  <c:v>8.7723391348980446E-3</c:v>
                </c:pt>
                <c:pt idx="307" formatCode="0.00%">
                  <c:v>-3.6719144443934454E-4</c:v>
                </c:pt>
                <c:pt idx="308" formatCode="0.00%">
                  <c:v>-4.1084634346754312E-4</c:v>
                </c:pt>
                <c:pt idx="309" formatCode="0.00%">
                  <c:v>4.6091445427728613E-3</c:v>
                </c:pt>
                <c:pt idx="310" formatCode="0.00%">
                  <c:v>2.0296823708909336E-2</c:v>
                </c:pt>
                <c:pt idx="311" formatCode="0.00%">
                  <c:v>-8.7011981230923421E-3</c:v>
                </c:pt>
                <c:pt idx="312" formatCode="0.00%">
                  <c:v>-8.0363223609534618E-3</c:v>
                </c:pt>
                <c:pt idx="313" formatCode="0.00%">
                  <c:v>3.2834580216126348E-2</c:v>
                </c:pt>
                <c:pt idx="314" formatCode="0.00%">
                  <c:v>-2.8952205882352942E-3</c:v>
                </c:pt>
                <c:pt idx="315" formatCode="0.00%">
                  <c:v>1.2306561969049916E-2</c:v>
                </c:pt>
                <c:pt idx="316" formatCode="0.00%">
                  <c:v>5.5755728011825573E-2</c:v>
                </c:pt>
                <c:pt idx="317" formatCode="0.00%">
                  <c:v>2.5331558900463493E-2</c:v>
                </c:pt>
                <c:pt idx="318" formatCode="0.00%">
                  <c:v>4.9909801563439569E-2</c:v>
                </c:pt>
                <c:pt idx="319" formatCode="0.00%">
                  <c:v>1.4784884521787042E-2</c:v>
                </c:pt>
                <c:pt idx="320" formatCode="0.00%">
                  <c:v>9.8186966251084615E-3</c:v>
                </c:pt>
                <c:pt idx="321" formatCode="0.00%">
                  <c:v>3.2574784364103507E-2</c:v>
                </c:pt>
                <c:pt idx="322" formatCode="0.00%">
                  <c:v>2.1161863331520755E-2</c:v>
                </c:pt>
                <c:pt idx="323" formatCode="0.00%">
                  <c:v>1.2316176470588235E-2</c:v>
                </c:pt>
                <c:pt idx="324" formatCode="0.00%">
                  <c:v>8.7879897473452945E-3</c:v>
                </c:pt>
                <c:pt idx="325" formatCode="0.00%">
                  <c:v>-1.5783590431477756E-2</c:v>
                </c:pt>
                <c:pt idx="326" formatCode="0.00%">
                  <c:v>3.3829561690556301E-2</c:v>
                </c:pt>
                <c:pt idx="327" formatCode="0.00%">
                  <c:v>1.4288954411431163E-2</c:v>
                </c:pt>
                <c:pt idx="328" formatCode="0.00%">
                  <c:v>-2.664624808575804E-2</c:v>
                </c:pt>
                <c:pt idx="329" formatCode="0.00%">
                  <c:v>1.3874591594682899E-3</c:v>
                </c:pt>
                <c:pt idx="330" formatCode="0.00%">
                  <c:v>-6.6085117631509383E-3</c:v>
                </c:pt>
                <c:pt idx="331" formatCode="0.00%">
                  <c:v>1.497669788697344E-2</c:v>
                </c:pt>
                <c:pt idx="332" formatCode="0.00%">
                  <c:v>1.3702966714905934E-2</c:v>
                </c:pt>
                <c:pt idx="333" formatCode="0.00%">
                  <c:v>-4.7098551497378478E-3</c:v>
                </c:pt>
                <c:pt idx="334" formatCode="0.00%">
                  <c:v>-1.1670734413135124E-2</c:v>
                </c:pt>
                <c:pt idx="335" formatCode="0.00%">
                  <c:v>4.1447248955874344E-2</c:v>
                </c:pt>
                <c:pt idx="336" formatCode="0.00%">
                  <c:v>3.9655172413793106E-2</c:v>
                </c:pt>
                <c:pt idx="337" formatCode="0.00%">
                  <c:v>2.4895511539160458E-2</c:v>
                </c:pt>
                <c:pt idx="338" formatCode="0.00%">
                  <c:v>-0.48758414693950336</c:v>
                </c:pt>
                <c:pt idx="339" formatCode="0.00%">
                  <c:v>-0.87316636851520568</c:v>
                </c:pt>
                <c:pt idx="340" formatCode="0.00%">
                  <c:v>-0.6226737390991639</c:v>
                </c:pt>
                <c:pt idx="341" formatCode="0.00%">
                  <c:v>-0.2240547063555913</c:v>
                </c:pt>
                <c:pt idx="342" formatCode="0.00%">
                  <c:v>-0.19873159481993968</c:v>
                </c:pt>
                <c:pt idx="343" formatCode="0.00%">
                  <c:v>-0.17180813124108416</c:v>
                </c:pt>
                <c:pt idx="344" formatCode="0.00%">
                  <c:v>-4.479143430738345E-2</c:v>
                </c:pt>
                <c:pt idx="345" formatCode="0.00%">
                  <c:v>-7.2946428571428565E-2</c:v>
                </c:pt>
                <c:pt idx="346" formatCode="0.00%">
                  <c:v>-0.11956716954022989</c:v>
                </c:pt>
                <c:pt idx="347" formatCode="0.00%">
                  <c:v>-0.12405736454382982</c:v>
                </c:pt>
                <c:pt idx="348" formatCode="0.00%">
                  <c:v>-6.8211573710395393E-2</c:v>
                </c:pt>
                <c:pt idx="349" formatCode="0.00%">
                  <c:v>-0.10549645390070922</c:v>
                </c:pt>
                <c:pt idx="350" formatCode="0.00%">
                  <c:v>1.1760918740212285</c:v>
                </c:pt>
                <c:pt idx="351" formatCode="0.00%">
                  <c:v>7.6953455571227076</c:v>
                </c:pt>
                <c:pt idx="352" formatCode="0.00%">
                  <c:v>2.0481296163926612</c:v>
                </c:pt>
                <c:pt idx="353" formatCode="0.00%">
                  <c:v>0.5243361557513968</c:v>
                </c:pt>
                <c:pt idx="354" formatCode="0.00%">
                  <c:v>0.42585930148890244</c:v>
                </c:pt>
                <c:pt idx="355" formatCode="0.00%">
                  <c:v>0.38847023360964583</c:v>
                </c:pt>
              </c:numCache>
            </c:numRef>
          </c:val>
          <c:smooth val="0"/>
          <c:extLst>
            <c:ext xmlns:c16="http://schemas.microsoft.com/office/drawing/2014/chart" uri="{C3380CC4-5D6E-409C-BE32-E72D297353CC}">
              <c16:uniqueId val="{00000002-2E25-4CBE-8694-9ADB6981A2B6}"/>
            </c:ext>
          </c:extLst>
        </c:ser>
        <c:dLbls>
          <c:showLegendKey val="0"/>
          <c:showVal val="0"/>
          <c:showCatName val="0"/>
          <c:showSerName val="0"/>
          <c:showPercent val="0"/>
          <c:showBubbleSize val="0"/>
        </c:dLbls>
        <c:smooth val="0"/>
        <c:axId val="1153239463"/>
        <c:axId val="1153239135"/>
      </c:lineChart>
      <c:dateAx>
        <c:axId val="1153239463"/>
        <c:scaling>
          <c:orientation val="minMax"/>
        </c:scaling>
        <c:delete val="0"/>
        <c:axPos val="b"/>
        <c:numFmt formatCode="[$-409]mmm\-yy;@" sourceLinked="1"/>
        <c:majorTickMark val="out"/>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53239135"/>
        <c:crosses val="autoZero"/>
        <c:auto val="1"/>
        <c:lblOffset val="100"/>
        <c:baseTimeUnit val="months"/>
      </c:dateAx>
      <c:valAx>
        <c:axId val="1153239135"/>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53239463"/>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3" Type="http://schemas.openxmlformats.org/officeDocument/2006/relationships/chart" Target="../charts/chart4.xml"/><Relationship Id="rId2" Type="http://schemas.openxmlformats.org/officeDocument/2006/relationships/chart" Target="../charts/chart3.xml"/><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2" Type="http://schemas.openxmlformats.org/officeDocument/2006/relationships/chart" Target="../charts/chart6.xml"/><Relationship Id="rId1" Type="http://schemas.openxmlformats.org/officeDocument/2006/relationships/chart" Target="../charts/chart5.xml"/></Relationships>
</file>

<file path=xl/drawings/_rels/drawing4.xml.rels><?xml version="1.0" encoding="UTF-8" standalone="yes"?>
<Relationships xmlns="http://schemas.openxmlformats.org/package/2006/relationships"><Relationship Id="rId3" Type="http://schemas.openxmlformats.org/officeDocument/2006/relationships/chart" Target="../charts/chart9.xml"/><Relationship Id="rId2" Type="http://schemas.openxmlformats.org/officeDocument/2006/relationships/chart" Target="../charts/chart8.xml"/><Relationship Id="rId1" Type="http://schemas.openxmlformats.org/officeDocument/2006/relationships/chart" Target="../charts/chart7.xml"/></Relationships>
</file>

<file path=xl/drawings/_rels/drawing5.xml.rels><?xml version="1.0" encoding="UTF-8" standalone="yes"?>
<Relationships xmlns="http://schemas.openxmlformats.org/package/2006/relationships"><Relationship Id="rId1" Type="http://schemas.openxmlformats.org/officeDocument/2006/relationships/chart" Target="../charts/chart10.xml"/></Relationships>
</file>

<file path=xl/drawings/_rels/drawing6.xml.rels><?xml version="1.0" encoding="UTF-8" standalone="yes"?>
<Relationships xmlns="http://schemas.openxmlformats.org/package/2006/relationships"><Relationship Id="rId2" Type="http://schemas.openxmlformats.org/officeDocument/2006/relationships/chart" Target="../charts/chart12.xml"/><Relationship Id="rId1" Type="http://schemas.openxmlformats.org/officeDocument/2006/relationships/chart" Target="../charts/chart11.xml"/></Relationships>
</file>

<file path=xl/drawings/_rels/drawing7.xml.rels><?xml version="1.0" encoding="UTF-8" standalone="yes"?>
<Relationships xmlns="http://schemas.openxmlformats.org/package/2006/relationships"><Relationship Id="rId2" Type="http://schemas.openxmlformats.org/officeDocument/2006/relationships/chart" Target="../charts/chart14.xml"/><Relationship Id="rId1" Type="http://schemas.openxmlformats.org/officeDocument/2006/relationships/chart" Target="../charts/chart13.xml"/></Relationships>
</file>

<file path=xl/drawings/_rels/drawing8.xml.rels><?xml version="1.0" encoding="UTF-8" standalone="yes"?>
<Relationships xmlns="http://schemas.openxmlformats.org/package/2006/relationships"><Relationship Id="rId2" Type="http://schemas.openxmlformats.org/officeDocument/2006/relationships/chart" Target="../charts/chart16.xml"/><Relationship Id="rId1" Type="http://schemas.openxmlformats.org/officeDocument/2006/relationships/chart" Target="../charts/chart15.xml"/></Relationships>
</file>

<file path=xl/drawings/_rels/drawing9.xml.rels><?xml version="1.0" encoding="UTF-8" standalone="yes"?>
<Relationships xmlns="http://schemas.openxmlformats.org/package/2006/relationships"><Relationship Id="rId2" Type="http://schemas.openxmlformats.org/officeDocument/2006/relationships/chart" Target="../charts/chart18.xml"/><Relationship Id="rId1" Type="http://schemas.openxmlformats.org/officeDocument/2006/relationships/chart" Target="../charts/chart17.xml"/></Relationships>
</file>

<file path=xl/drawings/_rels/drawing10.xml.rels><?xml version="1.0" encoding="UTF-8" standalone="yes"?>
<Relationships xmlns="http://schemas.openxmlformats.org/package/2006/relationships"><Relationship Id="rId2" Type="http://schemas.openxmlformats.org/officeDocument/2006/relationships/chart" Target="../charts/chart20.xml"/><Relationship Id="rId1" Type="http://schemas.openxmlformats.org/officeDocument/2006/relationships/chart" Target="../charts/chart19.xml"/></Relationships>
</file>

<file path=xl/drawings/_rels/drawing11.xml.rels><?xml version="1.0" encoding="UTF-8" standalone="yes"?>
<Relationships xmlns="http://schemas.openxmlformats.org/package/2006/relationships"><Relationship Id="rId2" Type="http://schemas.openxmlformats.org/officeDocument/2006/relationships/chart" Target="../charts/chart22.xml"/><Relationship Id="rId1" Type="http://schemas.openxmlformats.org/officeDocument/2006/relationships/chart" Target="../charts/chart21.xml"/></Relationships>
</file>

<file path=xl/drawings/_rels/drawing12.xml.rels><?xml version="1.0" encoding="UTF-8" standalone="yes"?>
<Relationships xmlns="http://schemas.openxmlformats.org/package/2006/relationships"><Relationship Id="rId2" Type="http://schemas.openxmlformats.org/officeDocument/2006/relationships/chart" Target="../charts/chart24.xml"/><Relationship Id="rId1" Type="http://schemas.openxmlformats.org/officeDocument/2006/relationships/chart" Target="../charts/chart23.xml"/></Relationships>
</file>

<file path=xl/drawings/_rels/drawing13.xml.rels><?xml version="1.0" encoding="UTF-8" standalone="yes"?>
<Relationships xmlns="http://schemas.openxmlformats.org/package/2006/relationships"><Relationship Id="rId2" Type="http://schemas.openxmlformats.org/officeDocument/2006/relationships/chart" Target="../charts/chart26.xml"/><Relationship Id="rId1" Type="http://schemas.openxmlformats.org/officeDocument/2006/relationships/chart" Target="../charts/chart25.xml"/></Relationships>
</file>

<file path=xl/drawings/_rels/drawing14.xml.rels><?xml version="1.0" encoding="UTF-8" standalone="yes"?>
<Relationships xmlns="http://schemas.openxmlformats.org/package/2006/relationships"><Relationship Id="rId2" Type="http://schemas.openxmlformats.org/officeDocument/2006/relationships/chart" Target="../charts/chart28.xml"/><Relationship Id="rId1" Type="http://schemas.openxmlformats.org/officeDocument/2006/relationships/chart" Target="../charts/chart27.xml"/></Relationships>
</file>

<file path=xl/drawings/_rels/drawing15.xml.rels><?xml version="1.0" encoding="UTF-8" standalone="yes"?>
<Relationships xmlns="http://schemas.openxmlformats.org/package/2006/relationships"><Relationship Id="rId2" Type="http://schemas.openxmlformats.org/officeDocument/2006/relationships/chart" Target="../charts/chart30.xml"/><Relationship Id="rId1" Type="http://schemas.openxmlformats.org/officeDocument/2006/relationships/chart" Target="../charts/chart29.xml"/></Relationships>
</file>

<file path=xl/drawings/_rels/drawing16.xml.rels><?xml version="1.0" encoding="UTF-8" standalone="yes"?>
<Relationships xmlns="http://schemas.openxmlformats.org/package/2006/relationships"><Relationship Id="rId2" Type="http://schemas.openxmlformats.org/officeDocument/2006/relationships/chart" Target="../charts/chart32.xml"/><Relationship Id="rId1" Type="http://schemas.openxmlformats.org/officeDocument/2006/relationships/chart" Target="../charts/chart31.xml"/></Relationships>
</file>

<file path=xl/drawings/drawing1.xml><?xml version="1.0" encoding="utf-8"?>
<xdr:wsDr xmlns:xdr="http://schemas.openxmlformats.org/drawingml/2006/spreadsheetDrawing" xmlns:a="http://schemas.openxmlformats.org/drawingml/2006/main">
  <xdr:twoCellAnchor>
    <xdr:from>
      <xdr:col>13</xdr:col>
      <xdr:colOff>19050</xdr:colOff>
      <xdr:row>1</xdr:row>
      <xdr:rowOff>66675</xdr:rowOff>
    </xdr:from>
    <xdr:to>
      <xdr:col>16</xdr:col>
      <xdr:colOff>790575</xdr:colOff>
      <xdr:row>8</xdr:row>
      <xdr:rowOff>9525</xdr:rowOff>
    </xdr:to>
    <xdr:graphicFrame macro="">
      <xdr:nvGraphicFramePr>
        <xdr:cNvPr id="3" name="Chart 2">
          <a:extLst>
            <a:ext uri="{FF2B5EF4-FFF2-40B4-BE49-F238E27FC236}">
              <a16:creationId xmlns:a16="http://schemas.microsoft.com/office/drawing/2014/main" id="{69316003-5E30-4775-8C58-444F346640E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5</xdr:col>
      <xdr:colOff>38100</xdr:colOff>
      <xdr:row>297</xdr:row>
      <xdr:rowOff>180975</xdr:rowOff>
    </xdr:from>
    <xdr:to>
      <xdr:col>12</xdr:col>
      <xdr:colOff>295276</xdr:colOff>
      <xdr:row>314</xdr:row>
      <xdr:rowOff>161925</xdr:rowOff>
    </xdr:to>
    <xdr:graphicFrame macro="">
      <xdr:nvGraphicFramePr>
        <xdr:cNvPr id="2" name="Chart 1">
          <a:extLst>
            <a:ext uri="{FF2B5EF4-FFF2-40B4-BE49-F238E27FC236}">
              <a16:creationId xmlns:a16="http://schemas.microsoft.com/office/drawing/2014/main" id="{646D5DD1-480B-4675-8099-2243AA84DB9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33337</xdr:colOff>
      <xdr:row>314</xdr:row>
      <xdr:rowOff>180975</xdr:rowOff>
    </xdr:from>
    <xdr:to>
      <xdr:col>12</xdr:col>
      <xdr:colOff>304800</xdr:colOff>
      <xdr:row>331</xdr:row>
      <xdr:rowOff>76200</xdr:rowOff>
    </xdr:to>
    <xdr:graphicFrame macro="">
      <xdr:nvGraphicFramePr>
        <xdr:cNvPr id="3" name="Chart 2">
          <a:extLst>
            <a:ext uri="{FF2B5EF4-FFF2-40B4-BE49-F238E27FC236}">
              <a16:creationId xmlns:a16="http://schemas.microsoft.com/office/drawing/2014/main" id="{252A214D-4222-46F3-8DD0-DEFA151FFBA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12</xdr:col>
      <xdr:colOff>371475</xdr:colOff>
      <xdr:row>305</xdr:row>
      <xdr:rowOff>76200</xdr:rowOff>
    </xdr:from>
    <xdr:to>
      <xdr:col>20</xdr:col>
      <xdr:colOff>66675</xdr:colOff>
      <xdr:row>319</xdr:row>
      <xdr:rowOff>152400</xdr:rowOff>
    </xdr:to>
    <xdr:graphicFrame macro="">
      <xdr:nvGraphicFramePr>
        <xdr:cNvPr id="4" name="Chart 3">
          <a:extLst>
            <a:ext uri="{FF2B5EF4-FFF2-40B4-BE49-F238E27FC236}">
              <a16:creationId xmlns:a16="http://schemas.microsoft.com/office/drawing/2014/main" id="{A36D7A6F-A42A-4B44-A2D4-B2996225D0B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5</xdr:col>
      <xdr:colOff>314326</xdr:colOff>
      <xdr:row>322</xdr:row>
      <xdr:rowOff>57150</xdr:rowOff>
    </xdr:from>
    <xdr:to>
      <xdr:col>12</xdr:col>
      <xdr:colOff>409575</xdr:colOff>
      <xdr:row>340</xdr:row>
      <xdr:rowOff>38100</xdr:rowOff>
    </xdr:to>
    <xdr:graphicFrame macro="">
      <xdr:nvGraphicFramePr>
        <xdr:cNvPr id="2" name="Chart 1">
          <a:extLst>
            <a:ext uri="{FF2B5EF4-FFF2-40B4-BE49-F238E27FC236}">
              <a16:creationId xmlns:a16="http://schemas.microsoft.com/office/drawing/2014/main" i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266700</xdr:colOff>
      <xdr:row>303</xdr:row>
      <xdr:rowOff>180975</xdr:rowOff>
    </xdr:from>
    <xdr:to>
      <xdr:col>12</xdr:col>
      <xdr:colOff>571500</xdr:colOff>
      <xdr:row>318</xdr:row>
      <xdr:rowOff>66675</xdr:rowOff>
    </xdr:to>
    <xdr:graphicFrame macro="">
      <xdr:nvGraphicFramePr>
        <xdr:cNvPr id="3" name="Chart 2">
          <a:extLst>
            <a:ext uri="{FF2B5EF4-FFF2-40B4-BE49-F238E27FC236}">
              <a16:creationId xmlns:a16="http://schemas.microsoft.com/office/drawing/2014/main" id="{A497E027-CD2E-4195-994C-6DF9ACA00FB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4</xdr:col>
      <xdr:colOff>547687</xdr:colOff>
      <xdr:row>296</xdr:row>
      <xdr:rowOff>133349</xdr:rowOff>
    </xdr:from>
    <xdr:to>
      <xdr:col>12</xdr:col>
      <xdr:colOff>542925</xdr:colOff>
      <xdr:row>312</xdr:row>
      <xdr:rowOff>133350</xdr:rowOff>
    </xdr:to>
    <xdr:graphicFrame macro="">
      <xdr:nvGraphicFramePr>
        <xdr:cNvPr id="2" name="Chart 1">
          <a:extLst>
            <a:ext uri="{FF2B5EF4-FFF2-40B4-BE49-F238E27FC236}">
              <a16:creationId xmlns:a16="http://schemas.microsoft.com/office/drawing/2014/main" id="{843420D6-FAFD-4196-9D0B-75820B41280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628650</xdr:colOff>
      <xdr:row>313</xdr:row>
      <xdr:rowOff>47625</xdr:rowOff>
    </xdr:from>
    <xdr:to>
      <xdr:col>11</xdr:col>
      <xdr:colOff>600075</xdr:colOff>
      <xdr:row>327</xdr:row>
      <xdr:rowOff>123825</xdr:rowOff>
    </xdr:to>
    <xdr:graphicFrame macro="">
      <xdr:nvGraphicFramePr>
        <xdr:cNvPr id="4" name="Chart 3">
          <a:extLst>
            <a:ext uri="{FF2B5EF4-FFF2-40B4-BE49-F238E27FC236}">
              <a16:creationId xmlns:a16="http://schemas.microsoft.com/office/drawing/2014/main" id="{50B478AC-DA8A-4056-BF06-E2F93370ADB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676275</xdr:colOff>
      <xdr:row>328</xdr:row>
      <xdr:rowOff>19050</xdr:rowOff>
    </xdr:from>
    <xdr:to>
      <xdr:col>12</xdr:col>
      <xdr:colOff>38100</xdr:colOff>
      <xdr:row>342</xdr:row>
      <xdr:rowOff>95250</xdr:rowOff>
    </xdr:to>
    <xdr:graphicFrame macro="">
      <xdr:nvGraphicFramePr>
        <xdr:cNvPr id="5" name="Chart 4">
          <a:extLst>
            <a:ext uri="{FF2B5EF4-FFF2-40B4-BE49-F238E27FC236}">
              <a16:creationId xmlns:a16="http://schemas.microsoft.com/office/drawing/2014/main" id="{52A20EF8-7FF5-4256-89F0-7808CE88238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4</xdr:col>
      <xdr:colOff>552450</xdr:colOff>
      <xdr:row>324</xdr:row>
      <xdr:rowOff>0</xdr:rowOff>
    </xdr:from>
    <xdr:to>
      <xdr:col>13</xdr:col>
      <xdr:colOff>152400</xdr:colOff>
      <xdr:row>341</xdr:row>
      <xdr:rowOff>90487</xdr:rowOff>
    </xdr:to>
    <xdr:graphicFrame macro="">
      <xdr:nvGraphicFramePr>
        <xdr:cNvPr id="2" name="Chart 1">
          <a:extLst>
            <a:ext uri="{FF2B5EF4-FFF2-40B4-BE49-F238E27FC236}">
              <a16:creationId xmlns:a16="http://schemas.microsoft.com/office/drawing/2014/main" id="{DBB69126-7489-4F01-B187-08BAC1B6F93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5</xdr:col>
      <xdr:colOff>257174</xdr:colOff>
      <xdr:row>305</xdr:row>
      <xdr:rowOff>114300</xdr:rowOff>
    </xdr:from>
    <xdr:to>
      <xdr:col>13</xdr:col>
      <xdr:colOff>95249</xdr:colOff>
      <xdr:row>322</xdr:row>
      <xdr:rowOff>161925</xdr:rowOff>
    </xdr:to>
    <xdr:graphicFrame macro="">
      <xdr:nvGraphicFramePr>
        <xdr:cNvPr id="3" name="Chart 2">
          <a:extLst>
            <a:ext uri="{FF2B5EF4-FFF2-40B4-BE49-F238E27FC236}">
              <a16:creationId xmlns:a16="http://schemas.microsoft.com/office/drawing/2014/main" id="{15CFAECA-3FDC-471D-AA67-149EB5450C1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257174</xdr:colOff>
      <xdr:row>322</xdr:row>
      <xdr:rowOff>171450</xdr:rowOff>
    </xdr:from>
    <xdr:to>
      <xdr:col>13</xdr:col>
      <xdr:colOff>76199</xdr:colOff>
      <xdr:row>337</xdr:row>
      <xdr:rowOff>57150</xdr:rowOff>
    </xdr:to>
    <xdr:graphicFrame macro="">
      <xdr:nvGraphicFramePr>
        <xdr:cNvPr id="4" name="Chart 3">
          <a:extLst>
            <a:ext uri="{FF2B5EF4-FFF2-40B4-BE49-F238E27FC236}">
              <a16:creationId xmlns:a16="http://schemas.microsoft.com/office/drawing/2014/main" id="{D589D818-484A-4A88-9448-F01D7EDDE47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5</xdr:col>
      <xdr:colOff>128587</xdr:colOff>
      <xdr:row>314</xdr:row>
      <xdr:rowOff>142875</xdr:rowOff>
    </xdr:from>
    <xdr:to>
      <xdr:col>12</xdr:col>
      <xdr:colOff>433387</xdr:colOff>
      <xdr:row>329</xdr:row>
      <xdr:rowOff>28575</xdr:rowOff>
    </xdr:to>
    <xdr:graphicFrame macro="">
      <xdr:nvGraphicFramePr>
        <xdr:cNvPr id="2" name="Chart 1">
          <a:extLst>
            <a:ext uri="{FF2B5EF4-FFF2-40B4-BE49-F238E27FC236}">
              <a16:creationId xmlns:a16="http://schemas.microsoft.com/office/drawing/2014/main" id="{672C7E87-B49B-41B6-8526-C38C92C4327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133350</xdr:colOff>
      <xdr:row>329</xdr:row>
      <xdr:rowOff>76200</xdr:rowOff>
    </xdr:from>
    <xdr:to>
      <xdr:col>12</xdr:col>
      <xdr:colOff>438150</xdr:colOff>
      <xdr:row>343</xdr:row>
      <xdr:rowOff>152400</xdr:rowOff>
    </xdr:to>
    <xdr:graphicFrame macro="">
      <xdr:nvGraphicFramePr>
        <xdr:cNvPr id="3" name="Chart 2">
          <a:extLst>
            <a:ext uri="{FF2B5EF4-FFF2-40B4-BE49-F238E27FC236}">
              <a16:creationId xmlns:a16="http://schemas.microsoft.com/office/drawing/2014/main" id="{2D55CC46-8973-4DF1-B364-750ECDC0C07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5</xdr:col>
      <xdr:colOff>228600</xdr:colOff>
      <xdr:row>310</xdr:row>
      <xdr:rowOff>66675</xdr:rowOff>
    </xdr:from>
    <xdr:to>
      <xdr:col>13</xdr:col>
      <xdr:colOff>304800</xdr:colOff>
      <xdr:row>326</xdr:row>
      <xdr:rowOff>76200</xdr:rowOff>
    </xdr:to>
    <xdr:graphicFrame macro="">
      <xdr:nvGraphicFramePr>
        <xdr:cNvPr id="3" name="Chart 2">
          <a:extLst>
            <a:ext uri="{FF2B5EF4-FFF2-40B4-BE49-F238E27FC236}">
              <a16:creationId xmlns:a16="http://schemas.microsoft.com/office/drawing/2014/main" id="{B84CC947-828F-47D0-A7FF-A63BA04D23D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247650</xdr:colOff>
      <xdr:row>326</xdr:row>
      <xdr:rowOff>114300</xdr:rowOff>
    </xdr:from>
    <xdr:to>
      <xdr:col>13</xdr:col>
      <xdr:colOff>285750</xdr:colOff>
      <xdr:row>341</xdr:row>
      <xdr:rowOff>38100</xdr:rowOff>
    </xdr:to>
    <xdr:graphicFrame macro="">
      <xdr:nvGraphicFramePr>
        <xdr:cNvPr id="5" name="Chart 4">
          <a:extLst>
            <a:ext uri="{FF2B5EF4-FFF2-40B4-BE49-F238E27FC236}">
              <a16:creationId xmlns:a16="http://schemas.microsoft.com/office/drawing/2014/main" id="{6860C4B8-5C26-4E51-B08F-C4B9E8A4474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5</xdr:col>
      <xdr:colOff>0</xdr:colOff>
      <xdr:row>307</xdr:row>
      <xdr:rowOff>0</xdr:rowOff>
    </xdr:from>
    <xdr:to>
      <xdr:col>12</xdr:col>
      <xdr:colOff>304800</xdr:colOff>
      <xdr:row>321</xdr:row>
      <xdr:rowOff>76200</xdr:rowOff>
    </xdr:to>
    <xdr:graphicFrame macro="">
      <xdr:nvGraphicFramePr>
        <xdr:cNvPr id="3" name="Chart 2">
          <a:extLst>
            <a:ext uri="{FF2B5EF4-FFF2-40B4-BE49-F238E27FC236}">
              <a16:creationId xmlns:a16="http://schemas.microsoft.com/office/drawing/2014/main" id="{853943C4-2514-4FA0-81B8-A26714ACDAC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0</xdr:colOff>
      <xdr:row>322</xdr:row>
      <xdr:rowOff>0</xdr:rowOff>
    </xdr:from>
    <xdr:to>
      <xdr:col>12</xdr:col>
      <xdr:colOff>304800</xdr:colOff>
      <xdr:row>336</xdr:row>
      <xdr:rowOff>76200</xdr:rowOff>
    </xdr:to>
    <xdr:graphicFrame macro="">
      <xdr:nvGraphicFramePr>
        <xdr:cNvPr id="4" name="Chart 3">
          <a:extLst>
            <a:ext uri="{FF2B5EF4-FFF2-40B4-BE49-F238E27FC236}">
              <a16:creationId xmlns:a16="http://schemas.microsoft.com/office/drawing/2014/main" id="{5C02ABBE-4185-48DA-811D-1DB153153EB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5</xdr:col>
      <xdr:colOff>0</xdr:colOff>
      <xdr:row>311</xdr:row>
      <xdr:rowOff>0</xdr:rowOff>
    </xdr:from>
    <xdr:to>
      <xdr:col>12</xdr:col>
      <xdr:colOff>304800</xdr:colOff>
      <xdr:row>325</xdr:row>
      <xdr:rowOff>76200</xdr:rowOff>
    </xdr:to>
    <xdr:graphicFrame macro="">
      <xdr:nvGraphicFramePr>
        <xdr:cNvPr id="3" name="Chart 2">
          <a:extLst>
            <a:ext uri="{FF2B5EF4-FFF2-40B4-BE49-F238E27FC236}">
              <a16:creationId xmlns:a16="http://schemas.microsoft.com/office/drawing/2014/main" id="{7C2FA286-697A-49EC-B537-F2514988415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0</xdr:colOff>
      <xdr:row>325</xdr:row>
      <xdr:rowOff>104775</xdr:rowOff>
    </xdr:from>
    <xdr:to>
      <xdr:col>12</xdr:col>
      <xdr:colOff>304800</xdr:colOff>
      <xdr:row>339</xdr:row>
      <xdr:rowOff>180975</xdr:rowOff>
    </xdr:to>
    <xdr:graphicFrame macro="">
      <xdr:nvGraphicFramePr>
        <xdr:cNvPr id="4" name="Chart 3">
          <a:extLst>
            <a:ext uri="{FF2B5EF4-FFF2-40B4-BE49-F238E27FC236}">
              <a16:creationId xmlns:a16="http://schemas.microsoft.com/office/drawing/2014/main" id="{B40E1F02-A497-4F26-9D4B-14871D381BB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5</xdr:col>
      <xdr:colOff>219075</xdr:colOff>
      <xdr:row>307</xdr:row>
      <xdr:rowOff>123825</xdr:rowOff>
    </xdr:from>
    <xdr:to>
      <xdr:col>12</xdr:col>
      <xdr:colOff>523875</xdr:colOff>
      <xdr:row>322</xdr:row>
      <xdr:rowOff>9525</xdr:rowOff>
    </xdr:to>
    <xdr:graphicFrame macro="">
      <xdr:nvGraphicFramePr>
        <xdr:cNvPr id="3" name="Chart 2">
          <a:extLst>
            <a:ext uri="{FF2B5EF4-FFF2-40B4-BE49-F238E27FC236}">
              <a16:creationId xmlns:a16="http://schemas.microsoft.com/office/drawing/2014/main" id="{03B31CA0-FDBB-4AF7-B855-2117C278248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228600</xdr:colOff>
      <xdr:row>322</xdr:row>
      <xdr:rowOff>95250</xdr:rowOff>
    </xdr:from>
    <xdr:to>
      <xdr:col>12</xdr:col>
      <xdr:colOff>533400</xdr:colOff>
      <xdr:row>336</xdr:row>
      <xdr:rowOff>171450</xdr:rowOff>
    </xdr:to>
    <xdr:graphicFrame macro="">
      <xdr:nvGraphicFramePr>
        <xdr:cNvPr id="4" name="Chart 3">
          <a:extLst>
            <a:ext uri="{FF2B5EF4-FFF2-40B4-BE49-F238E27FC236}">
              <a16:creationId xmlns:a16="http://schemas.microsoft.com/office/drawing/2014/main" id="{72668D4A-CB37-475D-8EE4-DE7C4BC0464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5</xdr:col>
      <xdr:colOff>161925</xdr:colOff>
      <xdr:row>305</xdr:row>
      <xdr:rowOff>180975</xdr:rowOff>
    </xdr:from>
    <xdr:to>
      <xdr:col>12</xdr:col>
      <xdr:colOff>466725</xdr:colOff>
      <xdr:row>320</xdr:row>
      <xdr:rowOff>66675</xdr:rowOff>
    </xdr:to>
    <xdr:graphicFrame macro="">
      <xdr:nvGraphicFramePr>
        <xdr:cNvPr id="4" name="Chart 3">
          <a:extLst>
            <a:ext uri="{FF2B5EF4-FFF2-40B4-BE49-F238E27FC236}">
              <a16:creationId xmlns:a16="http://schemas.microsoft.com/office/drawing/2014/main" id="{90F07C88-08C9-4EE1-8055-95A1D87B995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152400</xdr:colOff>
      <xdr:row>320</xdr:row>
      <xdr:rowOff>161925</xdr:rowOff>
    </xdr:from>
    <xdr:to>
      <xdr:col>12</xdr:col>
      <xdr:colOff>457200</xdr:colOff>
      <xdr:row>335</xdr:row>
      <xdr:rowOff>47625</xdr:rowOff>
    </xdr:to>
    <xdr:graphicFrame macro="">
      <xdr:nvGraphicFramePr>
        <xdr:cNvPr id="5" name="Chart 4">
          <a:extLst>
            <a:ext uri="{FF2B5EF4-FFF2-40B4-BE49-F238E27FC236}">
              <a16:creationId xmlns:a16="http://schemas.microsoft.com/office/drawing/2014/main" id="{2E2AF30D-21A3-4E58-BB88-A5BB92C0167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xdr:from>
      <xdr:col>6</xdr:col>
      <xdr:colOff>0</xdr:colOff>
      <xdr:row>312</xdr:row>
      <xdr:rowOff>0</xdr:rowOff>
    </xdr:from>
    <xdr:to>
      <xdr:col>13</xdr:col>
      <xdr:colOff>304800</xdr:colOff>
      <xdr:row>326</xdr:row>
      <xdr:rowOff>76200</xdr:rowOff>
    </xdr:to>
    <xdr:graphicFrame macro="">
      <xdr:nvGraphicFramePr>
        <xdr:cNvPr id="3" name="Chart 2">
          <a:extLst>
            <a:ext uri="{FF2B5EF4-FFF2-40B4-BE49-F238E27FC236}">
              <a16:creationId xmlns:a16="http://schemas.microsoft.com/office/drawing/2014/main" id="{CC4E65AC-FCA5-4F17-8CB7-40A841E2B89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0</xdr:colOff>
      <xdr:row>327</xdr:row>
      <xdr:rowOff>0</xdr:rowOff>
    </xdr:from>
    <xdr:to>
      <xdr:col>13</xdr:col>
      <xdr:colOff>304800</xdr:colOff>
      <xdr:row>341</xdr:row>
      <xdr:rowOff>76200</xdr:rowOff>
    </xdr:to>
    <xdr:graphicFrame macro="">
      <xdr:nvGraphicFramePr>
        <xdr:cNvPr id="4" name="Chart 3">
          <a:extLst>
            <a:ext uri="{FF2B5EF4-FFF2-40B4-BE49-F238E27FC236}">
              <a16:creationId xmlns:a16="http://schemas.microsoft.com/office/drawing/2014/main" id="{A9F2BFCF-7D4A-488E-B20D-96B2A951F7C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4.xml><?xml version="1.0" encoding="utf-8"?>
<xdr:wsDr xmlns:xdr="http://schemas.openxmlformats.org/drawingml/2006/spreadsheetDrawing" xmlns:a="http://schemas.openxmlformats.org/drawingml/2006/main">
  <xdr:twoCellAnchor>
    <xdr:from>
      <xdr:col>4</xdr:col>
      <xdr:colOff>461962</xdr:colOff>
      <xdr:row>304</xdr:row>
      <xdr:rowOff>123825</xdr:rowOff>
    </xdr:from>
    <xdr:to>
      <xdr:col>12</xdr:col>
      <xdr:colOff>157162</xdr:colOff>
      <xdr:row>319</xdr:row>
      <xdr:rowOff>9525</xdr:rowOff>
    </xdr:to>
    <xdr:graphicFrame macro="">
      <xdr:nvGraphicFramePr>
        <xdr:cNvPr id="2" name="Chart 1">
          <a:extLst>
            <a:ext uri="{FF2B5EF4-FFF2-40B4-BE49-F238E27FC236}">
              <a16:creationId xmlns:a16="http://schemas.microsoft.com/office/drawing/2014/main" id="{9CF24238-1172-4190-AAF8-669A320B9E1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447675</xdr:colOff>
      <xdr:row>320</xdr:row>
      <xdr:rowOff>133350</xdr:rowOff>
    </xdr:from>
    <xdr:to>
      <xdr:col>12</xdr:col>
      <xdr:colOff>142875</xdr:colOff>
      <xdr:row>335</xdr:row>
      <xdr:rowOff>19050</xdr:rowOff>
    </xdr:to>
    <xdr:graphicFrame macro="">
      <xdr:nvGraphicFramePr>
        <xdr:cNvPr id="3" name="Chart 2">
          <a:extLst>
            <a:ext uri="{FF2B5EF4-FFF2-40B4-BE49-F238E27FC236}">
              <a16:creationId xmlns:a16="http://schemas.microsoft.com/office/drawing/2014/main" id="{2BBDA72B-821E-4F26-87FB-0EC94A513DC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5.xml><?xml version="1.0" encoding="utf-8"?>
<xdr:wsDr xmlns:xdr="http://schemas.openxmlformats.org/drawingml/2006/spreadsheetDrawing" xmlns:a="http://schemas.openxmlformats.org/drawingml/2006/main">
  <xdr:twoCellAnchor>
    <xdr:from>
      <xdr:col>4</xdr:col>
      <xdr:colOff>533400</xdr:colOff>
      <xdr:row>307</xdr:row>
      <xdr:rowOff>133350</xdr:rowOff>
    </xdr:from>
    <xdr:to>
      <xdr:col>12</xdr:col>
      <xdr:colOff>228600</xdr:colOff>
      <xdr:row>322</xdr:row>
      <xdr:rowOff>19050</xdr:rowOff>
    </xdr:to>
    <xdr:graphicFrame macro="">
      <xdr:nvGraphicFramePr>
        <xdr:cNvPr id="3" name="Chart 2">
          <a:extLst>
            <a:ext uri="{FF2B5EF4-FFF2-40B4-BE49-F238E27FC236}">
              <a16:creationId xmlns:a16="http://schemas.microsoft.com/office/drawing/2014/main" id="{9E587387-F067-4E6F-B2F5-C67F4C7DF62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552450</xdr:colOff>
      <xdr:row>322</xdr:row>
      <xdr:rowOff>142875</xdr:rowOff>
    </xdr:from>
    <xdr:to>
      <xdr:col>12</xdr:col>
      <xdr:colOff>247650</xdr:colOff>
      <xdr:row>337</xdr:row>
      <xdr:rowOff>28575</xdr:rowOff>
    </xdr:to>
    <xdr:graphicFrame macro="">
      <xdr:nvGraphicFramePr>
        <xdr:cNvPr id="4" name="Chart 3">
          <a:extLst>
            <a:ext uri="{FF2B5EF4-FFF2-40B4-BE49-F238E27FC236}">
              <a16:creationId xmlns:a16="http://schemas.microsoft.com/office/drawing/2014/main" id="{5FCC3D72-1D51-4CE4-886C-9E54439E44D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xdr:from>
      <xdr:col>4</xdr:col>
      <xdr:colOff>557212</xdr:colOff>
      <xdr:row>307</xdr:row>
      <xdr:rowOff>142875</xdr:rowOff>
    </xdr:from>
    <xdr:to>
      <xdr:col>12</xdr:col>
      <xdr:colOff>252412</xdr:colOff>
      <xdr:row>322</xdr:row>
      <xdr:rowOff>28575</xdr:rowOff>
    </xdr:to>
    <xdr:graphicFrame macro="">
      <xdr:nvGraphicFramePr>
        <xdr:cNvPr id="2" name="Chart 1">
          <a:extLst>
            <a:ext uri="{FF2B5EF4-FFF2-40B4-BE49-F238E27FC236}">
              <a16:creationId xmlns:a16="http://schemas.microsoft.com/office/drawing/2014/main" id="{C052ED06-8BDB-4155-AB62-D89B82E59BD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0</xdr:colOff>
      <xdr:row>323</xdr:row>
      <xdr:rowOff>0</xdr:rowOff>
    </xdr:from>
    <xdr:to>
      <xdr:col>12</xdr:col>
      <xdr:colOff>304800</xdr:colOff>
      <xdr:row>337</xdr:row>
      <xdr:rowOff>76200</xdr:rowOff>
    </xdr:to>
    <xdr:graphicFrame macro="">
      <xdr:nvGraphicFramePr>
        <xdr:cNvPr id="3" name="Chart 2">
          <a:extLst>
            <a:ext uri="{FF2B5EF4-FFF2-40B4-BE49-F238E27FC236}">
              <a16:creationId xmlns:a16="http://schemas.microsoft.com/office/drawing/2014/main" id="{F41CA9E2-9AA9-4EDE-BCFB-BB99DEB4379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DECCDA88-5E52-4571-8B70-C19831E70824}" name="Table2" displayName="Table2" ref="A6:D362" totalsRowShown="0" headerRowDxfId="50" dataDxfId="48" headerRowBorderDxfId="49" tableBorderDxfId="47">
  <autoFilter ref="A6:D362" xr:uid="{D0489BC3-4770-456B-A867-1674DAEA7AE7}"/>
  <tableColumns count="4">
    <tableColumn id="1" xr3:uid="{634D8F5E-1FA7-48B1-B569-ABA7F3D0354A}" name="Date" dataDxfId="46"/>
    <tableColumn id="2" xr3:uid="{53875DCA-C562-4DC9-8158-9773DC17C406}" name="Retail Sales mil$" dataDxfId="45" dataCellStyle="Normal 2">
      <calculatedColumnFormula>VLOOKUP(A7,Database!A:M,MATCH($A$1,Database!$A$1:$M$1,),)</calculatedColumnFormula>
    </tableColumn>
    <tableColumn id="3" xr3:uid="{26BEAD6B-3546-44D7-B67B-E88352DBFAF3}" name="mom" dataDxfId="44">
      <calculatedColumnFormula>(B7-B6)/B6</calculatedColumnFormula>
    </tableColumn>
    <tableColumn id="4" xr3:uid="{24E9BF9C-CE0A-44D2-A552-BDB09850A18D}" name="yoy" dataDxfId="43"/>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26C38C80-2E65-4212-8E4F-AEB50F755A49}" name="Table5" displayName="Table5" ref="A6:D362" totalsRowShown="0" headerRowDxfId="42" dataDxfId="40" headerRowBorderDxfId="41" tableBorderDxfId="39">
  <autoFilter ref="A6:D362" xr:uid="{D1ED3869-8C16-40A0-BB5E-5510EA63DC19}"/>
  <tableColumns count="4">
    <tableColumn id="1" xr3:uid="{52E19686-5533-487D-86DE-0CC0DB71C2E3}" name="Date" dataDxfId="38"/>
    <tableColumn id="2" xr3:uid="{853A6A6C-D165-4CA1-9676-C9DDA3ADB43A}" name="Retail Sales (RSAFS), Millions of Dollars" dataDxfId="37" dataCellStyle="Normal 2">
      <calculatedColumnFormula>VLOOKUP(A7,Database!A:K,MATCH('Retail Sales'!$A$1,Database!$A$1:$K$1,),)</calculatedColumnFormula>
    </tableColumn>
    <tableColumn id="3" xr3:uid="{B60F9AAA-1F26-4B04-8B3E-B06B39956EEA}" name="mom %" dataDxfId="36">
      <calculatedColumnFormula>(B7-B6)/B6</calculatedColumnFormula>
    </tableColumn>
    <tableColumn id="4" xr3:uid="{5C6D8466-FF3C-406A-A468-8D90B2B303CE}" name="yoy %" dataDxfId="35"/>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B9D03A94-3C82-45F5-A224-63081E31FFA0}" name="Table7" displayName="Table7" ref="A6:D362" totalsRowShown="0" headerRowDxfId="34" dataDxfId="32" headerRowBorderDxfId="33" tableBorderDxfId="31">
  <autoFilter ref="A6:D362" xr:uid="{FEE2C3E9-3D64-4867-AEF9-630AD0997251}"/>
  <tableColumns count="4">
    <tableColumn id="1" xr3:uid="{EA51A457-75BF-44B2-8555-7ACD5252EE56}" name="Date" dataDxfId="30"/>
    <tableColumn id="2" xr3:uid="{1BB6A872-425B-46DD-9C9C-9CAB81CF2E5F}" name="Retail and Food Services Excluding Motor Vehicles and Parts Dealers, Retail Sales mil$" dataDxfId="29" dataCellStyle="Normal 2">
      <calculatedColumnFormula>VLOOKUP(A7,Database!A:M,MATCH($A$1,Database!$A$1:$M$1,),)</calculatedColumnFormula>
    </tableColumn>
    <tableColumn id="3" xr3:uid="{CDAE1D7C-B352-4CED-A745-23AD97F7C9FC}" name="mom %" dataDxfId="28">
      <calculatedColumnFormula>(B7-B6)/B6</calculatedColumnFormula>
    </tableColumn>
    <tableColumn id="4" xr3:uid="{CCF40308-8CFD-4546-9C6F-3E8E2C8EEDAC}" name="yoy %" dataDxfId="27"/>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1F936380-65B3-4871-A811-07D2B7519842}" name="Table6" displayName="Table6" ref="A6:D362" totalsRowShown="0" headerRowDxfId="26" headerRowBorderDxfId="25" tableBorderDxfId="24">
  <autoFilter ref="A6:D362" xr:uid="{62E3F974-D87E-4C5B-A0C9-D2074CF8774A}"/>
  <tableColumns count="4">
    <tableColumn id="1" xr3:uid="{DCD54D3D-6C2B-4498-BA10-0F9E780A43C5}" name="Date" dataDxfId="23"/>
    <tableColumn id="2" xr3:uid="{98324DA2-092E-4D9F-8709-882BFA5FF4A7}" name="Building Materials. mil$" dataDxfId="22" dataCellStyle="Normal 2">
      <calculatedColumnFormula>VLOOKUP(A7,Database!A:K,MATCH($A$1,Database!$A$1:$K$1,),)</calculatedColumnFormula>
    </tableColumn>
    <tableColumn id="3" xr3:uid="{3A6053B1-4305-4905-A81A-E3F7BA614FE6}" name="Change m/m" dataDxfId="21">
      <calculatedColumnFormula>(B7-B6)/B6</calculatedColumnFormula>
    </tableColumn>
    <tableColumn id="4" xr3:uid="{29AE8078-3729-44B5-8784-571861C98206}" name="Change y/y " dataDxfId="20"/>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AB4E7A09-3E0A-4F18-85E1-45E5233A6380}" name="Table1" displayName="Table1" ref="A6:D362" totalsRowShown="0" headerRowDxfId="19" tableBorderDxfId="18">
  <autoFilter ref="A6:D362" xr:uid="{C66FEF21-7B0F-40B8-BFB3-0A3DCDF300EC}"/>
  <tableColumns count="4">
    <tableColumn id="1" xr3:uid="{30E603F3-A5E7-43BE-8CEA-7969605B1D64}" name="Date" dataDxfId="17"/>
    <tableColumn id="2" xr3:uid="{80AE9CA6-4727-4039-8A66-65594A58BF7D}" name="Retail Sales mil$" dataDxfId="16" dataCellStyle="Normal 2">
      <calculatedColumnFormula>VLOOKUP(A7,Database!A:K,MATCH($A$1,Database!$A$1:$K$1,),)+VLOOKUP(A7,Database!A:K,MATCH($B$1,Database!$A$1:$K$1,),)</calculatedColumnFormula>
    </tableColumn>
    <tableColumn id="3" xr3:uid="{A2346BD6-DE22-4528-85BF-B2231155AB98}" name="mom" dataDxfId="15">
      <calculatedColumnFormula>(B7-B6)/B6</calculatedColumnFormula>
    </tableColumn>
    <tableColumn id="4" xr3:uid="{6CBE9FA7-C4B7-49C2-BAD4-7D79E61AE71B}" name="yoy" dataDxfId="14"/>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1412AEC8-4E23-4A1D-9FA4-E3D706B1F5E5}" name="Table3" displayName="Table3" ref="A6:D362" totalsRowShown="0" headerRowDxfId="13" headerRowBorderDxfId="12" tableBorderDxfId="11">
  <autoFilter ref="A6:D362" xr:uid="{46733F5C-CA5B-441F-9CA7-90199440D555}"/>
  <tableColumns count="4">
    <tableColumn id="1" xr3:uid="{BD7554A8-3253-48BE-B5E9-3E84E620200E}" name="Date" dataDxfId="10"/>
    <tableColumn id="2" xr3:uid="{D14F0FDF-F56D-45F3-BF6E-AB3B0B5B5D26}" name=" Miscellaneous stores retailers, mil$" dataDxfId="9" dataCellStyle="Normal 2">
      <calculatedColumnFormula>VLOOKUP(A7,Database!A:Q,MATCH($A$1,Database!$A$1:$Q$1,),)</calculatedColumnFormula>
    </tableColumn>
    <tableColumn id="3" xr3:uid="{F9F472DF-B665-44CE-A899-5DBE5D96DE58}" name="mom" dataDxfId="8">
      <calculatedColumnFormula>(B7-B6)/B6</calculatedColumnFormula>
    </tableColumn>
    <tableColumn id="4" xr3:uid="{9C79DB21-87C7-40DA-869B-6E31C3E13072}" name="yoy" dataDxfId="7"/>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9F9811E5-BA94-4186-B953-29367FDDC9A7}" name="Table35" displayName="Table35" ref="A6:D362" totalsRowShown="0" headerRowDxfId="6" headerRowBorderDxfId="5" tableBorderDxfId="4">
  <autoFilter ref="A6:D362" xr:uid="{B04D7F68-226E-4136-ACD5-09DD7A625CFF}"/>
  <tableColumns count="4">
    <tableColumn id="1" xr3:uid="{572CF6B8-5B87-4066-83F7-D003B55C859E}" name="Date" dataDxfId="3"/>
    <tableColumn id="2" xr3:uid="{8E82F281-5254-4CE9-A8D9-E6B5A0DF1F67}" name="Clothing and clothing access. Stores, mil$" dataDxfId="2" dataCellStyle="Normal 2">
      <calculatedColumnFormula>VLOOKUP(A7,Database!A:Q,MATCH($A$1,Database!$A$1:$Q$1,),)</calculatedColumnFormula>
    </tableColumn>
    <tableColumn id="3" xr3:uid="{39C866FC-7836-45BC-A088-8227DEF02869}" name="mom" dataDxfId="1">
      <calculatedColumnFormula>(B7-B6)/B6</calculatedColumnFormula>
    </tableColumn>
    <tableColumn id="4" xr3:uid="{AB3BDF45-6D25-472F-8DEC-BE937F0C6107}" name="yoy"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hyperlink" Target="http://www.duponttrading.com/" TargetMode="External"/><Relationship Id="rId1" Type="http://schemas.openxmlformats.org/officeDocument/2006/relationships/hyperlink" Target="https://www.census.gov/retail/index.html" TargetMode="External"/></Relationships>
</file>

<file path=xl/worksheets/_rels/sheet3.xml.rels><?xml version="1.0" encoding="UTF-8" standalone="yes"?>
<Relationships xmlns="http://schemas.openxmlformats.org/package/2006/relationships"><Relationship Id="rId8" Type="http://schemas.openxmlformats.org/officeDocument/2006/relationships/hyperlink" Target="https://fred.stlouisfed.org/series/RSGASs" TargetMode="External"/><Relationship Id="rId13" Type="http://schemas.openxmlformats.org/officeDocument/2006/relationships/hyperlink" Target="https://fred.stlouisfed.org/series/RSFSXMV" TargetMode="External"/><Relationship Id="rId3" Type="http://schemas.openxmlformats.org/officeDocument/2006/relationships/hyperlink" Target="https://fred.stlouisfed.org/series/RSNSr" TargetMode="External"/><Relationship Id="rId7" Type="http://schemas.openxmlformats.org/officeDocument/2006/relationships/hyperlink" Target="https://fred.stlouisfed.org/series/RSFSDp" TargetMode="External"/><Relationship Id="rId12" Type="http://schemas.openxmlformats.org/officeDocument/2006/relationships/hyperlink" Target="https://fred.stlouisfed.org/series/RSMSR" TargetMode="External"/><Relationship Id="rId2" Type="http://schemas.openxmlformats.org/officeDocument/2006/relationships/hyperlink" Target="https://fred.stlouisfed.org/series/RSDBs" TargetMode="External"/><Relationship Id="rId1" Type="http://schemas.openxmlformats.org/officeDocument/2006/relationships/hyperlink" Target="https://fred.stlouisfed.org/series/RSAFs" TargetMode="External"/><Relationship Id="rId6" Type="http://schemas.openxmlformats.org/officeDocument/2006/relationships/hyperlink" Target="https://fred.stlouisfed.org/series/RSGMs" TargetMode="External"/><Relationship Id="rId11" Type="http://schemas.openxmlformats.org/officeDocument/2006/relationships/hyperlink" Target="https://fred.stlouisfed.org/series/RSFHFS" TargetMode="External"/><Relationship Id="rId5" Type="http://schemas.openxmlformats.org/officeDocument/2006/relationships/hyperlink" Target="https://fred.stlouisfed.org/series/RSSGHBMs" TargetMode="External"/><Relationship Id="rId15" Type="http://schemas.openxmlformats.org/officeDocument/2006/relationships/hyperlink" Target="https://fred.stlouisfed.org/series/RSCCAS" TargetMode="External"/><Relationship Id="rId10" Type="http://schemas.openxmlformats.org/officeDocument/2006/relationships/hyperlink" Target="https://fred.stlouisfed.org/series/RSBMGESD" TargetMode="External"/><Relationship Id="rId4" Type="http://schemas.openxmlformats.org/officeDocument/2006/relationships/hyperlink" Target="https://fred.stlouisfed.org/series/RSHPCs" TargetMode="External"/><Relationship Id="rId9" Type="http://schemas.openxmlformats.org/officeDocument/2006/relationships/hyperlink" Target="https://fred.stlouisfed.org/series/RSMVPd" TargetMode="External"/><Relationship Id="rId14" Type="http://schemas.openxmlformats.org/officeDocument/2006/relationships/hyperlink" Target="https://fred.stlouisfed.org/series/MARTSSM44W72USS" TargetMode="External"/></Relationships>
</file>

<file path=xl/worksheets/_rels/sheet5.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2.xml"/></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1.bin"/><Relationship Id="rId1" Type="http://schemas.openxmlformats.org/officeDocument/2006/relationships/hyperlink" Target="https://fred.stlouisfed.org/series/RSAFS" TargetMode="External"/><Relationship Id="rId4" Type="http://schemas.openxmlformats.org/officeDocument/2006/relationships/table" Target="../tables/table2.xml"/></Relationships>
</file>

<file path=xl/worksheets/_rels/sheet7.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drawing" Target="../drawings/drawing4.xml"/><Relationship Id="rId1" Type="http://schemas.openxmlformats.org/officeDocument/2006/relationships/printerSettings" Target="../printerSettings/printerSettings2.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hyperlink" Target="https://fred.stlouisfed.org/series/RSDBS" TargetMode="Externa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hyperlink" Target="https://fred.stlouisfed.org/series/RSNSR" TargetMode="Externa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hyperlink" Target="https://fred.stlouisfed.org/series/RSHPCS" TargetMode="Externa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hyperlink" Target="https://fred.stlouisfed.org/series/RSSGHBMS" TargetMode="External"/></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hyperlink" Target="https://fred.stlouisfed.org/series/RSGMS" TargetMode="Externa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hyperlink" Target="https://fred.stlouisfed.org/series/RSGASS" TargetMode="External"/></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hyperlink" Target="https://fred.stlouisfed.org/series/RSMVPD" TargetMode="External"/></Relationships>
</file>

<file path=xl/worksheets/_rels/sheet16.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drawing" Target="../drawings/drawing13.xml"/><Relationship Id="rId1" Type="http://schemas.openxmlformats.org/officeDocument/2006/relationships/hyperlink" Target="https://fred.stlouisfed.org/series/RSBMGESD" TargetMode="External"/></Relationships>
</file>

<file path=xl/worksheets/_rels/sheet17.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drawing" Target="../drawings/drawing14.xml"/></Relationships>
</file>

<file path=xl/worksheets/_rels/sheet18.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drawing" Target="../drawings/drawing15.xml"/></Relationships>
</file>

<file path=xl/worksheets/_rels/sheet19.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drawing" Target="../drawings/drawing1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FB16AD-F971-4870-99CB-1E790AF4B7B0}">
  <sheetPr>
    <tabColor rgb="FFFFFF00"/>
  </sheetPr>
  <dimension ref="B1:S36"/>
  <sheetViews>
    <sheetView tabSelected="1" zoomScale="140" zoomScaleNormal="140" workbookViewId="0">
      <selection activeCell="O37" sqref="O37"/>
    </sheetView>
  </sheetViews>
  <sheetFormatPr baseColWidth="10" defaultColWidth="9.1640625" defaultRowHeight="15" x14ac:dyDescent="0.2"/>
  <cols>
    <col min="1" max="1" width="9.1640625" style="1"/>
    <col min="2" max="10" width="12.83203125" style="1" customWidth="1"/>
    <col min="11" max="13" width="3.33203125" style="1" customWidth="1"/>
    <col min="14" max="14" width="18.6640625" style="78" customWidth="1"/>
    <col min="15" max="15" width="30.33203125" style="78" customWidth="1"/>
    <col min="16" max="19" width="12.33203125" style="78" customWidth="1"/>
    <col min="20" max="16384" width="9.1640625" style="1"/>
  </cols>
  <sheetData>
    <row r="1" spans="2:19" x14ac:dyDescent="0.2">
      <c r="B1" s="132"/>
      <c r="C1" s="132"/>
      <c r="D1" s="132"/>
      <c r="E1" s="132"/>
      <c r="F1" s="132"/>
      <c r="G1" s="132"/>
      <c r="H1" s="132"/>
      <c r="I1" s="132"/>
      <c r="J1" s="132"/>
    </row>
    <row r="2" spans="2:19" ht="16" thickBot="1" x14ac:dyDescent="0.25">
      <c r="B2" s="133"/>
      <c r="C2" s="133"/>
      <c r="D2" s="133"/>
      <c r="E2" s="133"/>
      <c r="F2" s="133"/>
      <c r="G2" s="133"/>
      <c r="H2" s="133"/>
      <c r="I2" s="133"/>
      <c r="J2" s="133"/>
    </row>
    <row r="3" spans="2:19" ht="16" thickBot="1" x14ac:dyDescent="0.25">
      <c r="B3" s="134" t="s">
        <v>16</v>
      </c>
      <c r="C3" s="135"/>
      <c r="D3" s="135"/>
      <c r="E3" s="135"/>
      <c r="F3" s="135"/>
      <c r="G3" s="135"/>
      <c r="H3" s="135"/>
      <c r="I3" s="135"/>
      <c r="J3" s="136"/>
    </row>
    <row r="5" spans="2:19" x14ac:dyDescent="0.2">
      <c r="B5" s="125" t="s">
        <v>113</v>
      </c>
      <c r="C5" s="126"/>
      <c r="D5" s="126"/>
      <c r="E5" s="126"/>
      <c r="F5" s="126"/>
      <c r="G5" s="126"/>
      <c r="H5" s="126"/>
      <c r="I5" s="126"/>
      <c r="J5" s="127"/>
    </row>
    <row r="7" spans="2:19" ht="147.75" customHeight="1" x14ac:dyDescent="0.2">
      <c r="B7" s="137" t="s">
        <v>117</v>
      </c>
      <c r="C7" s="138"/>
      <c r="D7" s="138"/>
      <c r="E7" s="138"/>
      <c r="F7" s="138"/>
      <c r="G7" s="138"/>
      <c r="H7" s="138"/>
      <c r="I7" s="138"/>
      <c r="J7" s="138"/>
    </row>
    <row r="8" spans="2:19" ht="33.75" customHeight="1" x14ac:dyDescent="0.2">
      <c r="B8" s="139" t="s">
        <v>118</v>
      </c>
      <c r="C8" s="140"/>
      <c r="D8" s="140"/>
      <c r="E8" s="140"/>
      <c r="F8" s="140"/>
      <c r="G8" s="140"/>
      <c r="H8" s="140"/>
      <c r="I8" s="140"/>
      <c r="J8" s="140"/>
    </row>
    <row r="9" spans="2:19" x14ac:dyDescent="0.2">
      <c r="B9" s="77"/>
      <c r="C9" s="77"/>
      <c r="D9" s="77"/>
      <c r="E9" s="77"/>
    </row>
    <row r="10" spans="2:19" x14ac:dyDescent="0.2">
      <c r="B10" s="125" t="s">
        <v>114</v>
      </c>
      <c r="C10" s="128"/>
      <c r="D10" s="128"/>
      <c r="E10" s="128"/>
      <c r="F10" s="128"/>
      <c r="G10" s="128"/>
      <c r="H10" s="128"/>
      <c r="I10" s="128"/>
      <c r="J10" s="129"/>
      <c r="N10" s="125" t="s">
        <v>119</v>
      </c>
      <c r="O10" s="126"/>
      <c r="P10" s="126"/>
      <c r="Q10" s="127"/>
    </row>
    <row r="12" spans="2:19" x14ac:dyDescent="0.2">
      <c r="B12" s="125" t="s">
        <v>115</v>
      </c>
      <c r="C12" s="145"/>
      <c r="D12" s="145"/>
      <c r="E12" s="145"/>
      <c r="F12" s="146"/>
      <c r="G12" s="125" t="s">
        <v>116</v>
      </c>
      <c r="H12" s="145"/>
      <c r="I12" s="145"/>
      <c r="J12" s="146"/>
      <c r="N12" s="10" t="s">
        <v>120</v>
      </c>
    </row>
    <row r="13" spans="2:19" ht="16" thickBot="1" x14ac:dyDescent="0.25"/>
    <row r="14" spans="2:19" x14ac:dyDescent="0.2">
      <c r="B14" s="1" t="s">
        <v>84</v>
      </c>
      <c r="G14" s="147"/>
      <c r="H14" s="140"/>
      <c r="I14" s="140"/>
      <c r="J14" s="140"/>
      <c r="P14" s="83">
        <v>44409</v>
      </c>
      <c r="Q14" s="84"/>
    </row>
    <row r="15" spans="2:19" ht="16" thickBot="1" x14ac:dyDescent="0.25">
      <c r="B15" s="1" t="s">
        <v>85</v>
      </c>
      <c r="G15" s="147"/>
      <c r="H15" s="147"/>
      <c r="I15" s="147"/>
      <c r="J15" s="147"/>
      <c r="N15" s="118" t="s">
        <v>123</v>
      </c>
      <c r="P15" s="85" t="s">
        <v>82</v>
      </c>
      <c r="Q15" s="85" t="s">
        <v>83</v>
      </c>
    </row>
    <row r="16" spans="2:19" ht="15.75" customHeight="1" x14ac:dyDescent="0.2">
      <c r="B16" s="1" t="s">
        <v>86</v>
      </c>
      <c r="G16" s="143"/>
      <c r="H16" s="144"/>
      <c r="I16" s="144"/>
      <c r="J16" s="144"/>
      <c r="N16" s="130" t="s">
        <v>16</v>
      </c>
      <c r="O16" s="131"/>
      <c r="P16" s="112">
        <f>Recap!F7</f>
        <v>7.1022426678256853E-3</v>
      </c>
      <c r="Q16" s="113">
        <f>Recap!G7</f>
        <v>0.15055419177266979</v>
      </c>
      <c r="S16" s="86"/>
    </row>
    <row r="17" spans="2:19" ht="15.75" customHeight="1" x14ac:dyDescent="0.2">
      <c r="G17" s="143"/>
      <c r="H17" s="144"/>
      <c r="I17" s="144"/>
      <c r="J17" s="144"/>
      <c r="N17" s="121" t="s">
        <v>64</v>
      </c>
      <c r="O17" s="122"/>
      <c r="P17" s="114">
        <f>Recap!F8</f>
        <v>1.8131404559268028E-2</v>
      </c>
      <c r="Q17" s="115">
        <f>Recap!G8</f>
        <v>0.16161998485995457</v>
      </c>
      <c r="S17" s="86"/>
    </row>
    <row r="18" spans="2:19" ht="15.75" customHeight="1" x14ac:dyDescent="0.2">
      <c r="B18" s="1" t="s">
        <v>7</v>
      </c>
      <c r="G18" s="80" t="s">
        <v>16</v>
      </c>
      <c r="H18" s="82"/>
      <c r="I18" s="82"/>
      <c r="J18" s="82"/>
      <c r="N18" s="121" t="s">
        <v>63</v>
      </c>
      <c r="O18" s="122"/>
      <c r="P18" s="114">
        <f>Recap!F9</f>
        <v>1.996788557242259E-2</v>
      </c>
      <c r="Q18" s="115">
        <f>Recap!G9</f>
        <v>0.1434590106169473</v>
      </c>
      <c r="S18" s="86"/>
    </row>
    <row r="19" spans="2:19" ht="15.75" customHeight="1" x14ac:dyDescent="0.2">
      <c r="B19" s="1" t="s">
        <v>60</v>
      </c>
      <c r="G19" s="80" t="s">
        <v>64</v>
      </c>
      <c r="H19" s="82"/>
      <c r="I19" s="82"/>
      <c r="J19" s="82"/>
      <c r="N19" s="121" t="s">
        <v>26</v>
      </c>
      <c r="O19" s="122"/>
      <c r="P19" s="114">
        <f>Recap!F10</f>
        <v>-3.5645969092539823E-2</v>
      </c>
      <c r="Q19" s="115">
        <f>Recap!G10</f>
        <v>0.10738634292172518</v>
      </c>
      <c r="S19" s="86"/>
    </row>
    <row r="20" spans="2:19" ht="15.75" customHeight="1" x14ac:dyDescent="0.2">
      <c r="B20" s="1" t="s">
        <v>75</v>
      </c>
      <c r="G20" s="80" t="s">
        <v>63</v>
      </c>
      <c r="H20" s="82"/>
      <c r="I20" s="82"/>
      <c r="J20" s="82"/>
      <c r="N20" s="121" t="s">
        <v>104</v>
      </c>
      <c r="O20" s="122"/>
      <c r="P20" s="114">
        <f>Recap!F11</f>
        <v>5.3082477420584799E-2</v>
      </c>
      <c r="Q20" s="115">
        <f>Recap!G11</f>
        <v>7.5403971575975864E-2</v>
      </c>
    </row>
    <row r="21" spans="2:19" ht="15.75" customHeight="1" x14ac:dyDescent="0.2">
      <c r="B21" s="1" t="s">
        <v>41</v>
      </c>
      <c r="G21" s="80" t="s">
        <v>19</v>
      </c>
      <c r="H21" s="82"/>
      <c r="I21" s="82"/>
      <c r="J21" s="82"/>
      <c r="N21" s="121" t="s">
        <v>105</v>
      </c>
      <c r="O21" s="122"/>
      <c r="P21" s="114">
        <f>Recap!F12</f>
        <v>1.8494392586125848E-2</v>
      </c>
      <c r="Q21" s="115">
        <f>Recap!G12</f>
        <v>5.656802095524717E-2</v>
      </c>
    </row>
    <row r="22" spans="2:19" ht="15.75" customHeight="1" x14ac:dyDescent="0.2">
      <c r="B22" s="1" t="s">
        <v>42</v>
      </c>
      <c r="G22" s="80" t="s">
        <v>20</v>
      </c>
      <c r="H22" s="82"/>
      <c r="I22" s="82"/>
      <c r="J22" s="82"/>
      <c r="N22" s="121" t="s">
        <v>106</v>
      </c>
      <c r="O22" s="122"/>
      <c r="P22" s="114">
        <f>Recap!F13</f>
        <v>3.057169061449098E-4</v>
      </c>
      <c r="Q22" s="115">
        <f>Recap!G13</f>
        <v>0.31940320392976285</v>
      </c>
    </row>
    <row r="23" spans="2:19" ht="15.75" customHeight="1" x14ac:dyDescent="0.2">
      <c r="B23" s="1" t="s">
        <v>43</v>
      </c>
      <c r="G23" s="80" t="s">
        <v>21</v>
      </c>
      <c r="H23" s="82"/>
      <c r="I23" s="82"/>
      <c r="J23" s="82"/>
      <c r="N23" s="121" t="s">
        <v>107</v>
      </c>
      <c r="O23" s="122"/>
      <c r="P23" s="114">
        <f>Recap!F14</f>
        <v>3.4533237692318954E-2</v>
      </c>
      <c r="Q23" s="115">
        <f>Recap!G14</f>
        <v>0.15539932968200768</v>
      </c>
    </row>
    <row r="24" spans="2:19" ht="15.75" customHeight="1" x14ac:dyDescent="0.2">
      <c r="B24" s="1" t="s">
        <v>44</v>
      </c>
      <c r="G24" s="80" t="s">
        <v>22</v>
      </c>
      <c r="H24" s="82"/>
      <c r="I24" s="82"/>
      <c r="J24" s="82"/>
      <c r="N24" s="121" t="s">
        <v>108</v>
      </c>
      <c r="O24" s="122"/>
      <c r="P24" s="114">
        <f>Recap!F15</f>
        <v>1.7658162333313036E-3</v>
      </c>
      <c r="Q24" s="115">
        <f>Recap!G15</f>
        <v>0.3572017818841775</v>
      </c>
    </row>
    <row r="25" spans="2:19" ht="15.75" customHeight="1" x14ac:dyDescent="0.2">
      <c r="B25" s="1" t="s">
        <v>45</v>
      </c>
      <c r="G25" s="80" t="s">
        <v>23</v>
      </c>
      <c r="H25" s="82"/>
      <c r="I25" s="82"/>
      <c r="J25" s="82"/>
      <c r="N25" s="121" t="s">
        <v>27</v>
      </c>
      <c r="O25" s="122"/>
      <c r="P25" s="114">
        <f>Recap!F16</f>
        <v>8.6327216334970269E-3</v>
      </c>
      <c r="Q25" s="115">
        <f>Recap!G16</f>
        <v>6.2918777578035628E-2</v>
      </c>
    </row>
    <row r="26" spans="2:19" ht="15.75" customHeight="1" x14ac:dyDescent="0.2">
      <c r="B26" s="1" t="s">
        <v>46</v>
      </c>
      <c r="G26" s="81" t="s">
        <v>24</v>
      </c>
      <c r="H26" s="82"/>
      <c r="I26" s="82"/>
      <c r="J26" s="82"/>
      <c r="N26" s="121" t="s">
        <v>21</v>
      </c>
      <c r="O26" s="122"/>
      <c r="P26" s="114">
        <f>Recap!F17</f>
        <v>1.9187917801435999E-3</v>
      </c>
      <c r="Q26" s="115">
        <f>Recap!G17</f>
        <v>9.3753167336734347E-2</v>
      </c>
    </row>
    <row r="27" spans="2:19" ht="15.75" customHeight="1" x14ac:dyDescent="0.2">
      <c r="B27" s="1" t="s">
        <v>47</v>
      </c>
      <c r="G27" s="80" t="s">
        <v>25</v>
      </c>
      <c r="H27" s="82"/>
      <c r="I27" s="82"/>
      <c r="J27" s="82"/>
      <c r="N27" s="121" t="s">
        <v>66</v>
      </c>
      <c r="O27" s="122"/>
      <c r="P27" s="114">
        <f>Recap!F18</f>
        <v>1.3198245409727883E-3</v>
      </c>
      <c r="Q27" s="115">
        <f>Recap!G18</f>
        <v>0.38847023360964583</v>
      </c>
    </row>
    <row r="28" spans="2:19" ht="15.75" customHeight="1" x14ac:dyDescent="0.2">
      <c r="B28" s="1" t="s">
        <v>48</v>
      </c>
      <c r="G28" s="80" t="s">
        <v>26</v>
      </c>
      <c r="H28" s="82"/>
      <c r="I28" s="82"/>
      <c r="J28" s="82"/>
      <c r="N28" s="121" t="s">
        <v>65</v>
      </c>
      <c r="O28" s="122"/>
      <c r="P28" s="114">
        <f>Recap!F19</f>
        <v>9.0466926070038919E-3</v>
      </c>
      <c r="Q28" s="115">
        <f>Recap!G19</f>
        <v>0.16563658838071693</v>
      </c>
    </row>
    <row r="29" spans="2:19" ht="15.75" customHeight="1" x14ac:dyDescent="0.2">
      <c r="B29" s="1" t="s">
        <v>40</v>
      </c>
      <c r="G29" s="80" t="s">
        <v>27</v>
      </c>
      <c r="H29" s="82"/>
      <c r="I29" s="82"/>
      <c r="J29" s="82"/>
      <c r="N29" s="121" t="s">
        <v>67</v>
      </c>
      <c r="O29" s="122"/>
      <c r="P29" s="114">
        <f>Recap!F20</f>
        <v>1.3686726048229415E-2</v>
      </c>
      <c r="Q29" s="115">
        <f>Recap!G20</f>
        <v>0.19192779291553133</v>
      </c>
    </row>
    <row r="30" spans="2:19" ht="15.75" customHeight="1" thickBot="1" x14ac:dyDescent="0.25">
      <c r="B30" s="1" t="s">
        <v>69</v>
      </c>
      <c r="G30" s="80" t="s">
        <v>65</v>
      </c>
      <c r="H30" s="82"/>
      <c r="I30" s="82"/>
      <c r="J30" s="82"/>
      <c r="N30" s="123" t="s">
        <v>22</v>
      </c>
      <c r="O30" s="124"/>
      <c r="P30" s="116">
        <f>Recap!F21</f>
        <v>-2.7079512353004639E-2</v>
      </c>
      <c r="Q30" s="117">
        <f>Recap!G21</f>
        <v>0.19824608025511559</v>
      </c>
    </row>
    <row r="31" spans="2:19" ht="15.75" customHeight="1" x14ac:dyDescent="0.2">
      <c r="B31" s="1" t="s">
        <v>76</v>
      </c>
      <c r="G31" s="80" t="s">
        <v>66</v>
      </c>
      <c r="H31" s="82"/>
      <c r="I31" s="82"/>
      <c r="J31" s="82"/>
    </row>
    <row r="32" spans="2:19" ht="15.75" customHeight="1" x14ac:dyDescent="0.2">
      <c r="B32" s="1" t="s">
        <v>72</v>
      </c>
      <c r="G32" s="80" t="s">
        <v>67</v>
      </c>
      <c r="H32" s="82"/>
      <c r="I32" s="82"/>
      <c r="J32" s="82"/>
    </row>
    <row r="33" spans="2:14" ht="14.25" customHeight="1" thickBot="1" x14ac:dyDescent="0.25">
      <c r="B33" s="142"/>
      <c r="C33" s="141"/>
      <c r="D33" s="141"/>
      <c r="E33" s="141"/>
      <c r="F33" s="141"/>
      <c r="G33" s="143"/>
      <c r="H33" s="144"/>
      <c r="I33" s="144"/>
      <c r="J33" s="144"/>
    </row>
    <row r="34" spans="2:14" ht="16" thickBot="1" x14ac:dyDescent="0.25">
      <c r="B34" s="31"/>
      <c r="N34" s="84">
        <f>DATE(YEAR($P$14),MONTH($P$14)-1,DAY($P$14))</f>
        <v>44378</v>
      </c>
    </row>
    <row r="35" spans="2:14" ht="33.75" customHeight="1" thickBot="1" x14ac:dyDescent="0.25">
      <c r="B35" s="141"/>
      <c r="C35" s="140"/>
      <c r="D35" s="140"/>
      <c r="E35" s="140"/>
      <c r="F35" s="140"/>
      <c r="G35" s="140"/>
      <c r="H35" s="140"/>
      <c r="I35" s="140"/>
      <c r="J35" s="140"/>
      <c r="N35" s="87">
        <f>DATE(YEAR($P$14)-1,MONTH($P$14),DAY($P$14))</f>
        <v>44044</v>
      </c>
    </row>
    <row r="36" spans="2:14" x14ac:dyDescent="0.2">
      <c r="B36" s="79"/>
    </row>
  </sheetData>
  <mergeCells count="31">
    <mergeCell ref="B35:J35"/>
    <mergeCell ref="B33:F33"/>
    <mergeCell ref="G33:J33"/>
    <mergeCell ref="B12:F12"/>
    <mergeCell ref="G12:J12"/>
    <mergeCell ref="G14:J14"/>
    <mergeCell ref="G15:J15"/>
    <mergeCell ref="G16:J16"/>
    <mergeCell ref="G17:J17"/>
    <mergeCell ref="B10:J10"/>
    <mergeCell ref="N16:O16"/>
    <mergeCell ref="N17:O17"/>
    <mergeCell ref="N18:O18"/>
    <mergeCell ref="B1:J2"/>
    <mergeCell ref="B3:J3"/>
    <mergeCell ref="B5:J5"/>
    <mergeCell ref="B7:J7"/>
    <mergeCell ref="B8:J8"/>
    <mergeCell ref="N29:O29"/>
    <mergeCell ref="N30:O30"/>
    <mergeCell ref="N10:Q10"/>
    <mergeCell ref="N24:O24"/>
    <mergeCell ref="N25:O25"/>
    <mergeCell ref="N26:O26"/>
    <mergeCell ref="N27:O27"/>
    <mergeCell ref="N28:O28"/>
    <mergeCell ref="N19:O19"/>
    <mergeCell ref="N20:O20"/>
    <mergeCell ref="N21:O21"/>
    <mergeCell ref="N22:O22"/>
    <mergeCell ref="N23:O23"/>
  </mergeCells>
  <conditionalFormatting sqref="P16:Q30">
    <cfRule type="cellIs" dxfId="64" priority="1" operator="lessThan">
      <formula>0</formula>
    </cfRule>
    <cfRule type="cellIs" dxfId="63" priority="2" operator="greaterThan">
      <formula>0</formula>
    </cfRule>
  </conditionalFormatting>
  <hyperlinks>
    <hyperlink ref="B8" r:id="rId1" xr:uid="{ADE5B23D-7F5A-4577-8995-E58B21195FC1}"/>
    <hyperlink ref="N15" r:id="rId2" xr:uid="{862E8E5C-D9D8-427A-986F-0533C778CFA4}"/>
  </hyperlinks>
  <pageMargins left="0.7" right="0.7" top="0.75" bottom="0.75" header="0.3" footer="0.3"/>
  <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theme="1" tint="0.499984740745262"/>
  </sheetPr>
  <dimension ref="A1:Q357"/>
  <sheetViews>
    <sheetView topLeftCell="A350" zoomScale="150" zoomScaleNormal="150" workbookViewId="0">
      <selection activeCell="V55" sqref="V55"/>
    </sheetView>
  </sheetViews>
  <sheetFormatPr baseColWidth="10" defaultColWidth="8.83203125" defaultRowHeight="15" x14ac:dyDescent="0.2"/>
  <cols>
    <col min="1" max="1" width="12.6640625" style="120" customWidth="1"/>
    <col min="2" max="2" width="15.6640625" style="120" customWidth="1"/>
    <col min="3" max="3" width="9.6640625" style="120" customWidth="1"/>
    <col min="4" max="6" width="8.6640625" style="120" customWidth="1"/>
    <col min="7" max="7" width="7.6640625" style="120" customWidth="1"/>
    <col min="8" max="9" width="8.6640625" style="120" customWidth="1"/>
    <col min="10" max="10" width="9.6640625" style="120" customWidth="1"/>
    <col min="11" max="14" width="8.6640625" style="120" customWidth="1"/>
    <col min="15" max="15" width="9.6640625" style="120" customWidth="1"/>
    <col min="16" max="17" width="8.6640625" style="120" customWidth="1"/>
    <col min="18" max="256" width="9.1640625" style="119"/>
    <col min="257" max="257" width="12.6640625" style="119" customWidth="1"/>
    <col min="258" max="258" width="15.6640625" style="119" customWidth="1"/>
    <col min="259" max="259" width="9.6640625" style="119" customWidth="1"/>
    <col min="260" max="262" width="8.6640625" style="119" customWidth="1"/>
    <col min="263" max="263" width="7.6640625" style="119" customWidth="1"/>
    <col min="264" max="265" width="8.6640625" style="119" customWidth="1"/>
    <col min="266" max="266" width="9.6640625" style="119" customWidth="1"/>
    <col min="267" max="270" width="8.6640625" style="119" customWidth="1"/>
    <col min="271" max="271" width="9.6640625" style="119" customWidth="1"/>
    <col min="272" max="273" width="8.6640625" style="119" customWidth="1"/>
    <col min="274" max="512" width="9.1640625" style="119"/>
    <col min="513" max="513" width="12.6640625" style="119" customWidth="1"/>
    <col min="514" max="514" width="15.6640625" style="119" customWidth="1"/>
    <col min="515" max="515" width="9.6640625" style="119" customWidth="1"/>
    <col min="516" max="518" width="8.6640625" style="119" customWidth="1"/>
    <col min="519" max="519" width="7.6640625" style="119" customWidth="1"/>
    <col min="520" max="521" width="8.6640625" style="119" customWidth="1"/>
    <col min="522" max="522" width="9.6640625" style="119" customWidth="1"/>
    <col min="523" max="526" width="8.6640625" style="119" customWidth="1"/>
    <col min="527" max="527" width="9.6640625" style="119" customWidth="1"/>
    <col min="528" max="529" width="8.6640625" style="119" customWidth="1"/>
    <col min="530" max="768" width="9.1640625" style="119"/>
    <col min="769" max="769" width="12.6640625" style="119" customWidth="1"/>
    <col min="770" max="770" width="15.6640625" style="119" customWidth="1"/>
    <col min="771" max="771" width="9.6640625" style="119" customWidth="1"/>
    <col min="772" max="774" width="8.6640625" style="119" customWidth="1"/>
    <col min="775" max="775" width="7.6640625" style="119" customWidth="1"/>
    <col min="776" max="777" width="8.6640625" style="119" customWidth="1"/>
    <col min="778" max="778" width="9.6640625" style="119" customWidth="1"/>
    <col min="779" max="782" width="8.6640625" style="119" customWidth="1"/>
    <col min="783" max="783" width="9.6640625" style="119" customWidth="1"/>
    <col min="784" max="785" width="8.6640625" style="119" customWidth="1"/>
    <col min="786" max="1024" width="9.1640625" style="119"/>
    <col min="1025" max="1025" width="12.6640625" style="119" customWidth="1"/>
    <col min="1026" max="1026" width="15.6640625" style="119" customWidth="1"/>
    <col min="1027" max="1027" width="9.6640625" style="119" customWidth="1"/>
    <col min="1028" max="1030" width="8.6640625" style="119" customWidth="1"/>
    <col min="1031" max="1031" width="7.6640625" style="119" customWidth="1"/>
    <col min="1032" max="1033" width="8.6640625" style="119" customWidth="1"/>
    <col min="1034" max="1034" width="9.6640625" style="119" customWidth="1"/>
    <col min="1035" max="1038" width="8.6640625" style="119" customWidth="1"/>
    <col min="1039" max="1039" width="9.6640625" style="119" customWidth="1"/>
    <col min="1040" max="1041" width="8.6640625" style="119" customWidth="1"/>
    <col min="1042" max="1280" width="9.1640625" style="119"/>
    <col min="1281" max="1281" width="12.6640625" style="119" customWidth="1"/>
    <col min="1282" max="1282" width="15.6640625" style="119" customWidth="1"/>
    <col min="1283" max="1283" width="9.6640625" style="119" customWidth="1"/>
    <col min="1284" max="1286" width="8.6640625" style="119" customWidth="1"/>
    <col min="1287" max="1287" width="7.6640625" style="119" customWidth="1"/>
    <col min="1288" max="1289" width="8.6640625" style="119" customWidth="1"/>
    <col min="1290" max="1290" width="9.6640625" style="119" customWidth="1"/>
    <col min="1291" max="1294" width="8.6640625" style="119" customWidth="1"/>
    <col min="1295" max="1295" width="9.6640625" style="119" customWidth="1"/>
    <col min="1296" max="1297" width="8.6640625" style="119" customWidth="1"/>
    <col min="1298" max="1536" width="9.1640625" style="119"/>
    <col min="1537" max="1537" width="12.6640625" style="119" customWidth="1"/>
    <col min="1538" max="1538" width="15.6640625" style="119" customWidth="1"/>
    <col min="1539" max="1539" width="9.6640625" style="119" customWidth="1"/>
    <col min="1540" max="1542" width="8.6640625" style="119" customWidth="1"/>
    <col min="1543" max="1543" width="7.6640625" style="119" customWidth="1"/>
    <col min="1544" max="1545" width="8.6640625" style="119" customWidth="1"/>
    <col min="1546" max="1546" width="9.6640625" style="119" customWidth="1"/>
    <col min="1547" max="1550" width="8.6640625" style="119" customWidth="1"/>
    <col min="1551" max="1551" width="9.6640625" style="119" customWidth="1"/>
    <col min="1552" max="1553" width="8.6640625" style="119" customWidth="1"/>
    <col min="1554" max="1792" width="9.1640625" style="119"/>
    <col min="1793" max="1793" width="12.6640625" style="119" customWidth="1"/>
    <col min="1794" max="1794" width="15.6640625" style="119" customWidth="1"/>
    <col min="1795" max="1795" width="9.6640625" style="119" customWidth="1"/>
    <col min="1796" max="1798" width="8.6640625" style="119" customWidth="1"/>
    <col min="1799" max="1799" width="7.6640625" style="119" customWidth="1"/>
    <col min="1800" max="1801" width="8.6640625" style="119" customWidth="1"/>
    <col min="1802" max="1802" width="9.6640625" style="119" customWidth="1"/>
    <col min="1803" max="1806" width="8.6640625" style="119" customWidth="1"/>
    <col min="1807" max="1807" width="9.6640625" style="119" customWidth="1"/>
    <col min="1808" max="1809" width="8.6640625" style="119" customWidth="1"/>
    <col min="1810" max="2048" width="9.1640625" style="119"/>
    <col min="2049" max="2049" width="12.6640625" style="119" customWidth="1"/>
    <col min="2050" max="2050" width="15.6640625" style="119" customWidth="1"/>
    <col min="2051" max="2051" width="9.6640625" style="119" customWidth="1"/>
    <col min="2052" max="2054" width="8.6640625" style="119" customWidth="1"/>
    <col min="2055" max="2055" width="7.6640625" style="119" customWidth="1"/>
    <col min="2056" max="2057" width="8.6640625" style="119" customWidth="1"/>
    <col min="2058" max="2058" width="9.6640625" style="119" customWidth="1"/>
    <col min="2059" max="2062" width="8.6640625" style="119" customWidth="1"/>
    <col min="2063" max="2063" width="9.6640625" style="119" customWidth="1"/>
    <col min="2064" max="2065" width="8.6640625" style="119" customWidth="1"/>
    <col min="2066" max="2304" width="9.1640625" style="119"/>
    <col min="2305" max="2305" width="12.6640625" style="119" customWidth="1"/>
    <col min="2306" max="2306" width="15.6640625" style="119" customWidth="1"/>
    <col min="2307" max="2307" width="9.6640625" style="119" customWidth="1"/>
    <col min="2308" max="2310" width="8.6640625" style="119" customWidth="1"/>
    <col min="2311" max="2311" width="7.6640625" style="119" customWidth="1"/>
    <col min="2312" max="2313" width="8.6640625" style="119" customWidth="1"/>
    <col min="2314" max="2314" width="9.6640625" style="119" customWidth="1"/>
    <col min="2315" max="2318" width="8.6640625" style="119" customWidth="1"/>
    <col min="2319" max="2319" width="9.6640625" style="119" customWidth="1"/>
    <col min="2320" max="2321" width="8.6640625" style="119" customWidth="1"/>
    <col min="2322" max="2560" width="9.1640625" style="119"/>
    <col min="2561" max="2561" width="12.6640625" style="119" customWidth="1"/>
    <col min="2562" max="2562" width="15.6640625" style="119" customWidth="1"/>
    <col min="2563" max="2563" width="9.6640625" style="119" customWidth="1"/>
    <col min="2564" max="2566" width="8.6640625" style="119" customWidth="1"/>
    <col min="2567" max="2567" width="7.6640625" style="119" customWidth="1"/>
    <col min="2568" max="2569" width="8.6640625" style="119" customWidth="1"/>
    <col min="2570" max="2570" width="9.6640625" style="119" customWidth="1"/>
    <col min="2571" max="2574" width="8.6640625" style="119" customWidth="1"/>
    <col min="2575" max="2575" width="9.6640625" style="119" customWidth="1"/>
    <col min="2576" max="2577" width="8.6640625" style="119" customWidth="1"/>
    <col min="2578" max="2816" width="9.1640625" style="119"/>
    <col min="2817" max="2817" width="12.6640625" style="119" customWidth="1"/>
    <col min="2818" max="2818" width="15.6640625" style="119" customWidth="1"/>
    <col min="2819" max="2819" width="9.6640625" style="119" customWidth="1"/>
    <col min="2820" max="2822" width="8.6640625" style="119" customWidth="1"/>
    <col min="2823" max="2823" width="7.6640625" style="119" customWidth="1"/>
    <col min="2824" max="2825" width="8.6640625" style="119" customWidth="1"/>
    <col min="2826" max="2826" width="9.6640625" style="119" customWidth="1"/>
    <col min="2827" max="2830" width="8.6640625" style="119" customWidth="1"/>
    <col min="2831" max="2831" width="9.6640625" style="119" customWidth="1"/>
    <col min="2832" max="2833" width="8.6640625" style="119" customWidth="1"/>
    <col min="2834" max="3072" width="9.1640625" style="119"/>
    <col min="3073" max="3073" width="12.6640625" style="119" customWidth="1"/>
    <col min="3074" max="3074" width="15.6640625" style="119" customWidth="1"/>
    <col min="3075" max="3075" width="9.6640625" style="119" customWidth="1"/>
    <col min="3076" max="3078" width="8.6640625" style="119" customWidth="1"/>
    <col min="3079" max="3079" width="7.6640625" style="119" customWidth="1"/>
    <col min="3080" max="3081" width="8.6640625" style="119" customWidth="1"/>
    <col min="3082" max="3082" width="9.6640625" style="119" customWidth="1"/>
    <col min="3083" max="3086" width="8.6640625" style="119" customWidth="1"/>
    <col min="3087" max="3087" width="9.6640625" style="119" customWidth="1"/>
    <col min="3088" max="3089" width="8.6640625" style="119" customWidth="1"/>
    <col min="3090" max="3328" width="9.1640625" style="119"/>
    <col min="3329" max="3329" width="12.6640625" style="119" customWidth="1"/>
    <col min="3330" max="3330" width="15.6640625" style="119" customWidth="1"/>
    <col min="3331" max="3331" width="9.6640625" style="119" customWidth="1"/>
    <col min="3332" max="3334" width="8.6640625" style="119" customWidth="1"/>
    <col min="3335" max="3335" width="7.6640625" style="119" customWidth="1"/>
    <col min="3336" max="3337" width="8.6640625" style="119" customWidth="1"/>
    <col min="3338" max="3338" width="9.6640625" style="119" customWidth="1"/>
    <col min="3339" max="3342" width="8.6640625" style="119" customWidth="1"/>
    <col min="3343" max="3343" width="9.6640625" style="119" customWidth="1"/>
    <col min="3344" max="3345" width="8.6640625" style="119" customWidth="1"/>
    <col min="3346" max="3584" width="9.1640625" style="119"/>
    <col min="3585" max="3585" width="12.6640625" style="119" customWidth="1"/>
    <col min="3586" max="3586" width="15.6640625" style="119" customWidth="1"/>
    <col min="3587" max="3587" width="9.6640625" style="119" customWidth="1"/>
    <col min="3588" max="3590" width="8.6640625" style="119" customWidth="1"/>
    <col min="3591" max="3591" width="7.6640625" style="119" customWidth="1"/>
    <col min="3592" max="3593" width="8.6640625" style="119" customWidth="1"/>
    <col min="3594" max="3594" width="9.6640625" style="119" customWidth="1"/>
    <col min="3595" max="3598" width="8.6640625" style="119" customWidth="1"/>
    <col min="3599" max="3599" width="9.6640625" style="119" customWidth="1"/>
    <col min="3600" max="3601" width="8.6640625" style="119" customWidth="1"/>
    <col min="3602" max="3840" width="9.1640625" style="119"/>
    <col min="3841" max="3841" width="12.6640625" style="119" customWidth="1"/>
    <col min="3842" max="3842" width="15.6640625" style="119" customWidth="1"/>
    <col min="3843" max="3843" width="9.6640625" style="119" customWidth="1"/>
    <col min="3844" max="3846" width="8.6640625" style="119" customWidth="1"/>
    <col min="3847" max="3847" width="7.6640625" style="119" customWidth="1"/>
    <col min="3848" max="3849" width="8.6640625" style="119" customWidth="1"/>
    <col min="3850" max="3850" width="9.6640625" style="119" customWidth="1"/>
    <col min="3851" max="3854" width="8.6640625" style="119" customWidth="1"/>
    <col min="3855" max="3855" width="9.6640625" style="119" customWidth="1"/>
    <col min="3856" max="3857" width="8.6640625" style="119" customWidth="1"/>
    <col min="3858" max="4096" width="9.1640625" style="119"/>
    <col min="4097" max="4097" width="12.6640625" style="119" customWidth="1"/>
    <col min="4098" max="4098" width="15.6640625" style="119" customWidth="1"/>
    <col min="4099" max="4099" width="9.6640625" style="119" customWidth="1"/>
    <col min="4100" max="4102" width="8.6640625" style="119" customWidth="1"/>
    <col min="4103" max="4103" width="7.6640625" style="119" customWidth="1"/>
    <col min="4104" max="4105" width="8.6640625" style="119" customWidth="1"/>
    <col min="4106" max="4106" width="9.6640625" style="119" customWidth="1"/>
    <col min="4107" max="4110" width="8.6640625" style="119" customWidth="1"/>
    <col min="4111" max="4111" width="9.6640625" style="119" customWidth="1"/>
    <col min="4112" max="4113" width="8.6640625" style="119" customWidth="1"/>
    <col min="4114" max="4352" width="9.1640625" style="119"/>
    <col min="4353" max="4353" width="12.6640625" style="119" customWidth="1"/>
    <col min="4354" max="4354" width="15.6640625" style="119" customWidth="1"/>
    <col min="4355" max="4355" width="9.6640625" style="119" customWidth="1"/>
    <col min="4356" max="4358" width="8.6640625" style="119" customWidth="1"/>
    <col min="4359" max="4359" width="7.6640625" style="119" customWidth="1"/>
    <col min="4360" max="4361" width="8.6640625" style="119" customWidth="1"/>
    <col min="4362" max="4362" width="9.6640625" style="119" customWidth="1"/>
    <col min="4363" max="4366" width="8.6640625" style="119" customWidth="1"/>
    <col min="4367" max="4367" width="9.6640625" style="119" customWidth="1"/>
    <col min="4368" max="4369" width="8.6640625" style="119" customWidth="1"/>
    <col min="4370" max="4608" width="9.1640625" style="119"/>
    <col min="4609" max="4609" width="12.6640625" style="119" customWidth="1"/>
    <col min="4610" max="4610" width="15.6640625" style="119" customWidth="1"/>
    <col min="4611" max="4611" width="9.6640625" style="119" customWidth="1"/>
    <col min="4612" max="4614" width="8.6640625" style="119" customWidth="1"/>
    <col min="4615" max="4615" width="7.6640625" style="119" customWidth="1"/>
    <col min="4616" max="4617" width="8.6640625" style="119" customWidth="1"/>
    <col min="4618" max="4618" width="9.6640625" style="119" customWidth="1"/>
    <col min="4619" max="4622" width="8.6640625" style="119" customWidth="1"/>
    <col min="4623" max="4623" width="9.6640625" style="119" customWidth="1"/>
    <col min="4624" max="4625" width="8.6640625" style="119" customWidth="1"/>
    <col min="4626" max="4864" width="9.1640625" style="119"/>
    <col min="4865" max="4865" width="12.6640625" style="119" customWidth="1"/>
    <col min="4866" max="4866" width="15.6640625" style="119" customWidth="1"/>
    <col min="4867" max="4867" width="9.6640625" style="119" customWidth="1"/>
    <col min="4868" max="4870" width="8.6640625" style="119" customWidth="1"/>
    <col min="4871" max="4871" width="7.6640625" style="119" customWidth="1"/>
    <col min="4872" max="4873" width="8.6640625" style="119" customWidth="1"/>
    <col min="4874" max="4874" width="9.6640625" style="119" customWidth="1"/>
    <col min="4875" max="4878" width="8.6640625" style="119" customWidth="1"/>
    <col min="4879" max="4879" width="9.6640625" style="119" customWidth="1"/>
    <col min="4880" max="4881" width="8.6640625" style="119" customWidth="1"/>
    <col min="4882" max="5120" width="9.1640625" style="119"/>
    <col min="5121" max="5121" width="12.6640625" style="119" customWidth="1"/>
    <col min="5122" max="5122" width="15.6640625" style="119" customWidth="1"/>
    <col min="5123" max="5123" width="9.6640625" style="119" customWidth="1"/>
    <col min="5124" max="5126" width="8.6640625" style="119" customWidth="1"/>
    <col min="5127" max="5127" width="7.6640625" style="119" customWidth="1"/>
    <col min="5128" max="5129" width="8.6640625" style="119" customWidth="1"/>
    <col min="5130" max="5130" width="9.6640625" style="119" customWidth="1"/>
    <col min="5131" max="5134" width="8.6640625" style="119" customWidth="1"/>
    <col min="5135" max="5135" width="9.6640625" style="119" customWidth="1"/>
    <col min="5136" max="5137" width="8.6640625" style="119" customWidth="1"/>
    <col min="5138" max="5376" width="9.1640625" style="119"/>
    <col min="5377" max="5377" width="12.6640625" style="119" customWidth="1"/>
    <col min="5378" max="5378" width="15.6640625" style="119" customWidth="1"/>
    <col min="5379" max="5379" width="9.6640625" style="119" customWidth="1"/>
    <col min="5380" max="5382" width="8.6640625" style="119" customWidth="1"/>
    <col min="5383" max="5383" width="7.6640625" style="119" customWidth="1"/>
    <col min="5384" max="5385" width="8.6640625" style="119" customWidth="1"/>
    <col min="5386" max="5386" width="9.6640625" style="119" customWidth="1"/>
    <col min="5387" max="5390" width="8.6640625" style="119" customWidth="1"/>
    <col min="5391" max="5391" width="9.6640625" style="119" customWidth="1"/>
    <col min="5392" max="5393" width="8.6640625" style="119" customWidth="1"/>
    <col min="5394" max="5632" width="9.1640625" style="119"/>
    <col min="5633" max="5633" width="12.6640625" style="119" customWidth="1"/>
    <col min="5634" max="5634" width="15.6640625" style="119" customWidth="1"/>
    <col min="5635" max="5635" width="9.6640625" style="119" customWidth="1"/>
    <col min="5636" max="5638" width="8.6640625" style="119" customWidth="1"/>
    <col min="5639" max="5639" width="7.6640625" style="119" customWidth="1"/>
    <col min="5640" max="5641" width="8.6640625" style="119" customWidth="1"/>
    <col min="5642" max="5642" width="9.6640625" style="119" customWidth="1"/>
    <col min="5643" max="5646" width="8.6640625" style="119" customWidth="1"/>
    <col min="5647" max="5647" width="9.6640625" style="119" customWidth="1"/>
    <col min="5648" max="5649" width="8.6640625" style="119" customWidth="1"/>
    <col min="5650" max="5888" width="9.1640625" style="119"/>
    <col min="5889" max="5889" width="12.6640625" style="119" customWidth="1"/>
    <col min="5890" max="5890" width="15.6640625" style="119" customWidth="1"/>
    <col min="5891" max="5891" width="9.6640625" style="119" customWidth="1"/>
    <col min="5892" max="5894" width="8.6640625" style="119" customWidth="1"/>
    <col min="5895" max="5895" width="7.6640625" style="119" customWidth="1"/>
    <col min="5896" max="5897" width="8.6640625" style="119" customWidth="1"/>
    <col min="5898" max="5898" width="9.6640625" style="119" customWidth="1"/>
    <col min="5899" max="5902" width="8.6640625" style="119" customWidth="1"/>
    <col min="5903" max="5903" width="9.6640625" style="119" customWidth="1"/>
    <col min="5904" max="5905" width="8.6640625" style="119" customWidth="1"/>
    <col min="5906" max="6144" width="9.1640625" style="119"/>
    <col min="6145" max="6145" width="12.6640625" style="119" customWidth="1"/>
    <col min="6146" max="6146" width="15.6640625" style="119" customWidth="1"/>
    <col min="6147" max="6147" width="9.6640625" style="119" customWidth="1"/>
    <col min="6148" max="6150" width="8.6640625" style="119" customWidth="1"/>
    <col min="6151" max="6151" width="7.6640625" style="119" customWidth="1"/>
    <col min="6152" max="6153" width="8.6640625" style="119" customWidth="1"/>
    <col min="6154" max="6154" width="9.6640625" style="119" customWidth="1"/>
    <col min="6155" max="6158" width="8.6640625" style="119" customWidth="1"/>
    <col min="6159" max="6159" width="9.6640625" style="119" customWidth="1"/>
    <col min="6160" max="6161" width="8.6640625" style="119" customWidth="1"/>
    <col min="6162" max="6400" width="9.1640625" style="119"/>
    <col min="6401" max="6401" width="12.6640625" style="119" customWidth="1"/>
    <col min="6402" max="6402" width="15.6640625" style="119" customWidth="1"/>
    <col min="6403" max="6403" width="9.6640625" style="119" customWidth="1"/>
    <col min="6404" max="6406" width="8.6640625" style="119" customWidth="1"/>
    <col min="6407" max="6407" width="7.6640625" style="119" customWidth="1"/>
    <col min="6408" max="6409" width="8.6640625" style="119" customWidth="1"/>
    <col min="6410" max="6410" width="9.6640625" style="119" customWidth="1"/>
    <col min="6411" max="6414" width="8.6640625" style="119" customWidth="1"/>
    <col min="6415" max="6415" width="9.6640625" style="119" customWidth="1"/>
    <col min="6416" max="6417" width="8.6640625" style="119" customWidth="1"/>
    <col min="6418" max="6656" width="9.1640625" style="119"/>
    <col min="6657" max="6657" width="12.6640625" style="119" customWidth="1"/>
    <col min="6658" max="6658" width="15.6640625" style="119" customWidth="1"/>
    <col min="6659" max="6659" width="9.6640625" style="119" customWidth="1"/>
    <col min="6660" max="6662" width="8.6640625" style="119" customWidth="1"/>
    <col min="6663" max="6663" width="7.6640625" style="119" customWidth="1"/>
    <col min="6664" max="6665" width="8.6640625" style="119" customWidth="1"/>
    <col min="6666" max="6666" width="9.6640625" style="119" customWidth="1"/>
    <col min="6667" max="6670" width="8.6640625" style="119" customWidth="1"/>
    <col min="6671" max="6671" width="9.6640625" style="119" customWidth="1"/>
    <col min="6672" max="6673" width="8.6640625" style="119" customWidth="1"/>
    <col min="6674" max="6912" width="9.1640625" style="119"/>
    <col min="6913" max="6913" width="12.6640625" style="119" customWidth="1"/>
    <col min="6914" max="6914" width="15.6640625" style="119" customWidth="1"/>
    <col min="6915" max="6915" width="9.6640625" style="119" customWidth="1"/>
    <col min="6916" max="6918" width="8.6640625" style="119" customWidth="1"/>
    <col min="6919" max="6919" width="7.6640625" style="119" customWidth="1"/>
    <col min="6920" max="6921" width="8.6640625" style="119" customWidth="1"/>
    <col min="6922" max="6922" width="9.6640625" style="119" customWidth="1"/>
    <col min="6923" max="6926" width="8.6640625" style="119" customWidth="1"/>
    <col min="6927" max="6927" width="9.6640625" style="119" customWidth="1"/>
    <col min="6928" max="6929" width="8.6640625" style="119" customWidth="1"/>
    <col min="6930" max="7168" width="9.1640625" style="119"/>
    <col min="7169" max="7169" width="12.6640625" style="119" customWidth="1"/>
    <col min="7170" max="7170" width="15.6640625" style="119" customWidth="1"/>
    <col min="7171" max="7171" width="9.6640625" style="119" customWidth="1"/>
    <col min="7172" max="7174" width="8.6640625" style="119" customWidth="1"/>
    <col min="7175" max="7175" width="7.6640625" style="119" customWidth="1"/>
    <col min="7176" max="7177" width="8.6640625" style="119" customWidth="1"/>
    <col min="7178" max="7178" width="9.6640625" style="119" customWidth="1"/>
    <col min="7179" max="7182" width="8.6640625" style="119" customWidth="1"/>
    <col min="7183" max="7183" width="9.6640625" style="119" customWidth="1"/>
    <col min="7184" max="7185" width="8.6640625" style="119" customWidth="1"/>
    <col min="7186" max="7424" width="9.1640625" style="119"/>
    <col min="7425" max="7425" width="12.6640625" style="119" customWidth="1"/>
    <col min="7426" max="7426" width="15.6640625" style="119" customWidth="1"/>
    <col min="7427" max="7427" width="9.6640625" style="119" customWidth="1"/>
    <col min="7428" max="7430" width="8.6640625" style="119" customWidth="1"/>
    <col min="7431" max="7431" width="7.6640625" style="119" customWidth="1"/>
    <col min="7432" max="7433" width="8.6640625" style="119" customWidth="1"/>
    <col min="7434" max="7434" width="9.6640625" style="119" customWidth="1"/>
    <col min="7435" max="7438" width="8.6640625" style="119" customWidth="1"/>
    <col min="7439" max="7439" width="9.6640625" style="119" customWidth="1"/>
    <col min="7440" max="7441" width="8.6640625" style="119" customWidth="1"/>
    <col min="7442" max="7680" width="9.1640625" style="119"/>
    <col min="7681" max="7681" width="12.6640625" style="119" customWidth="1"/>
    <col min="7682" max="7682" width="15.6640625" style="119" customWidth="1"/>
    <col min="7683" max="7683" width="9.6640625" style="119" customWidth="1"/>
    <col min="7684" max="7686" width="8.6640625" style="119" customWidth="1"/>
    <col min="7687" max="7687" width="7.6640625" style="119" customWidth="1"/>
    <col min="7688" max="7689" width="8.6640625" style="119" customWidth="1"/>
    <col min="7690" max="7690" width="9.6640625" style="119" customWidth="1"/>
    <col min="7691" max="7694" width="8.6640625" style="119" customWidth="1"/>
    <col min="7695" max="7695" width="9.6640625" style="119" customWidth="1"/>
    <col min="7696" max="7697" width="8.6640625" style="119" customWidth="1"/>
    <col min="7698" max="7936" width="9.1640625" style="119"/>
    <col min="7937" max="7937" width="12.6640625" style="119" customWidth="1"/>
    <col min="7938" max="7938" width="15.6640625" style="119" customWidth="1"/>
    <col min="7939" max="7939" width="9.6640625" style="119" customWidth="1"/>
    <col min="7940" max="7942" width="8.6640625" style="119" customWidth="1"/>
    <col min="7943" max="7943" width="7.6640625" style="119" customWidth="1"/>
    <col min="7944" max="7945" width="8.6640625" style="119" customWidth="1"/>
    <col min="7946" max="7946" width="9.6640625" style="119" customWidth="1"/>
    <col min="7947" max="7950" width="8.6640625" style="119" customWidth="1"/>
    <col min="7951" max="7951" width="9.6640625" style="119" customWidth="1"/>
    <col min="7952" max="7953" width="8.6640625" style="119" customWidth="1"/>
    <col min="7954" max="8192" width="9.1640625" style="119"/>
    <col min="8193" max="8193" width="12.6640625" style="119" customWidth="1"/>
    <col min="8194" max="8194" width="15.6640625" style="119" customWidth="1"/>
    <col min="8195" max="8195" width="9.6640625" style="119" customWidth="1"/>
    <col min="8196" max="8198" width="8.6640625" style="119" customWidth="1"/>
    <col min="8199" max="8199" width="7.6640625" style="119" customWidth="1"/>
    <col min="8200" max="8201" width="8.6640625" style="119" customWidth="1"/>
    <col min="8202" max="8202" width="9.6640625" style="119" customWidth="1"/>
    <col min="8203" max="8206" width="8.6640625" style="119" customWidth="1"/>
    <col min="8207" max="8207" width="9.6640625" style="119" customWidth="1"/>
    <col min="8208" max="8209" width="8.6640625" style="119" customWidth="1"/>
    <col min="8210" max="8448" width="9.1640625" style="119"/>
    <col min="8449" max="8449" width="12.6640625" style="119" customWidth="1"/>
    <col min="8450" max="8450" width="15.6640625" style="119" customWidth="1"/>
    <col min="8451" max="8451" width="9.6640625" style="119" customWidth="1"/>
    <col min="8452" max="8454" width="8.6640625" style="119" customWidth="1"/>
    <col min="8455" max="8455" width="7.6640625" style="119" customWidth="1"/>
    <col min="8456" max="8457" width="8.6640625" style="119" customWidth="1"/>
    <col min="8458" max="8458" width="9.6640625" style="119" customWidth="1"/>
    <col min="8459" max="8462" width="8.6640625" style="119" customWidth="1"/>
    <col min="8463" max="8463" width="9.6640625" style="119" customWidth="1"/>
    <col min="8464" max="8465" width="8.6640625" style="119" customWidth="1"/>
    <col min="8466" max="8704" width="9.1640625" style="119"/>
    <col min="8705" max="8705" width="12.6640625" style="119" customWidth="1"/>
    <col min="8706" max="8706" width="15.6640625" style="119" customWidth="1"/>
    <col min="8707" max="8707" width="9.6640625" style="119" customWidth="1"/>
    <col min="8708" max="8710" width="8.6640625" style="119" customWidth="1"/>
    <col min="8711" max="8711" width="7.6640625" style="119" customWidth="1"/>
    <col min="8712" max="8713" width="8.6640625" style="119" customWidth="1"/>
    <col min="8714" max="8714" width="9.6640625" style="119" customWidth="1"/>
    <col min="8715" max="8718" width="8.6640625" style="119" customWidth="1"/>
    <col min="8719" max="8719" width="9.6640625" style="119" customWidth="1"/>
    <col min="8720" max="8721" width="8.6640625" style="119" customWidth="1"/>
    <col min="8722" max="8960" width="9.1640625" style="119"/>
    <col min="8961" max="8961" width="12.6640625" style="119" customWidth="1"/>
    <col min="8962" max="8962" width="15.6640625" style="119" customWidth="1"/>
    <col min="8963" max="8963" width="9.6640625" style="119" customWidth="1"/>
    <col min="8964" max="8966" width="8.6640625" style="119" customWidth="1"/>
    <col min="8967" max="8967" width="7.6640625" style="119" customWidth="1"/>
    <col min="8968" max="8969" width="8.6640625" style="119" customWidth="1"/>
    <col min="8970" max="8970" width="9.6640625" style="119" customWidth="1"/>
    <col min="8971" max="8974" width="8.6640625" style="119" customWidth="1"/>
    <col min="8975" max="8975" width="9.6640625" style="119" customWidth="1"/>
    <col min="8976" max="8977" width="8.6640625" style="119" customWidth="1"/>
    <col min="8978" max="9216" width="9.1640625" style="119"/>
    <col min="9217" max="9217" width="12.6640625" style="119" customWidth="1"/>
    <col min="9218" max="9218" width="15.6640625" style="119" customWidth="1"/>
    <col min="9219" max="9219" width="9.6640625" style="119" customWidth="1"/>
    <col min="9220" max="9222" width="8.6640625" style="119" customWidth="1"/>
    <col min="9223" max="9223" width="7.6640625" style="119" customWidth="1"/>
    <col min="9224" max="9225" width="8.6640625" style="119" customWidth="1"/>
    <col min="9226" max="9226" width="9.6640625" style="119" customWidth="1"/>
    <col min="9227" max="9230" width="8.6640625" style="119" customWidth="1"/>
    <col min="9231" max="9231" width="9.6640625" style="119" customWidth="1"/>
    <col min="9232" max="9233" width="8.6640625" style="119" customWidth="1"/>
    <col min="9234" max="9472" width="9.1640625" style="119"/>
    <col min="9473" max="9473" width="12.6640625" style="119" customWidth="1"/>
    <col min="9474" max="9474" width="15.6640625" style="119" customWidth="1"/>
    <col min="9475" max="9475" width="9.6640625" style="119" customWidth="1"/>
    <col min="9476" max="9478" width="8.6640625" style="119" customWidth="1"/>
    <col min="9479" max="9479" width="7.6640625" style="119" customWidth="1"/>
    <col min="9480" max="9481" width="8.6640625" style="119" customWidth="1"/>
    <col min="9482" max="9482" width="9.6640625" style="119" customWidth="1"/>
    <col min="9483" max="9486" width="8.6640625" style="119" customWidth="1"/>
    <col min="9487" max="9487" width="9.6640625" style="119" customWidth="1"/>
    <col min="9488" max="9489" width="8.6640625" style="119" customWidth="1"/>
    <col min="9490" max="9728" width="9.1640625" style="119"/>
    <col min="9729" max="9729" width="12.6640625" style="119" customWidth="1"/>
    <col min="9730" max="9730" width="15.6640625" style="119" customWidth="1"/>
    <col min="9731" max="9731" width="9.6640625" style="119" customWidth="1"/>
    <col min="9732" max="9734" width="8.6640625" style="119" customWidth="1"/>
    <col min="9735" max="9735" width="7.6640625" style="119" customWidth="1"/>
    <col min="9736" max="9737" width="8.6640625" style="119" customWidth="1"/>
    <col min="9738" max="9738" width="9.6640625" style="119" customWidth="1"/>
    <col min="9739" max="9742" width="8.6640625" style="119" customWidth="1"/>
    <col min="9743" max="9743" width="9.6640625" style="119" customWidth="1"/>
    <col min="9744" max="9745" width="8.6640625" style="119" customWidth="1"/>
    <col min="9746" max="9984" width="9.1640625" style="119"/>
    <col min="9985" max="9985" width="12.6640625" style="119" customWidth="1"/>
    <col min="9986" max="9986" width="15.6640625" style="119" customWidth="1"/>
    <col min="9987" max="9987" width="9.6640625" style="119" customWidth="1"/>
    <col min="9988" max="9990" width="8.6640625" style="119" customWidth="1"/>
    <col min="9991" max="9991" width="7.6640625" style="119" customWidth="1"/>
    <col min="9992" max="9993" width="8.6640625" style="119" customWidth="1"/>
    <col min="9994" max="9994" width="9.6640625" style="119" customWidth="1"/>
    <col min="9995" max="9998" width="8.6640625" style="119" customWidth="1"/>
    <col min="9999" max="9999" width="9.6640625" style="119" customWidth="1"/>
    <col min="10000" max="10001" width="8.6640625" style="119" customWidth="1"/>
    <col min="10002" max="10240" width="9.1640625" style="119"/>
    <col min="10241" max="10241" width="12.6640625" style="119" customWidth="1"/>
    <col min="10242" max="10242" width="15.6640625" style="119" customWidth="1"/>
    <col min="10243" max="10243" width="9.6640625" style="119" customWidth="1"/>
    <col min="10244" max="10246" width="8.6640625" style="119" customWidth="1"/>
    <col min="10247" max="10247" width="7.6640625" style="119" customWidth="1"/>
    <col min="10248" max="10249" width="8.6640625" style="119" customWidth="1"/>
    <col min="10250" max="10250" width="9.6640625" style="119" customWidth="1"/>
    <col min="10251" max="10254" width="8.6640625" style="119" customWidth="1"/>
    <col min="10255" max="10255" width="9.6640625" style="119" customWidth="1"/>
    <col min="10256" max="10257" width="8.6640625" style="119" customWidth="1"/>
    <col min="10258" max="10496" width="9.1640625" style="119"/>
    <col min="10497" max="10497" width="12.6640625" style="119" customWidth="1"/>
    <col min="10498" max="10498" width="15.6640625" style="119" customWidth="1"/>
    <col min="10499" max="10499" width="9.6640625" style="119" customWidth="1"/>
    <col min="10500" max="10502" width="8.6640625" style="119" customWidth="1"/>
    <col min="10503" max="10503" width="7.6640625" style="119" customWidth="1"/>
    <col min="10504" max="10505" width="8.6640625" style="119" customWidth="1"/>
    <col min="10506" max="10506" width="9.6640625" style="119" customWidth="1"/>
    <col min="10507" max="10510" width="8.6640625" style="119" customWidth="1"/>
    <col min="10511" max="10511" width="9.6640625" style="119" customWidth="1"/>
    <col min="10512" max="10513" width="8.6640625" style="119" customWidth="1"/>
    <col min="10514" max="10752" width="9.1640625" style="119"/>
    <col min="10753" max="10753" width="12.6640625" style="119" customWidth="1"/>
    <col min="10754" max="10754" width="15.6640625" style="119" customWidth="1"/>
    <col min="10755" max="10755" width="9.6640625" style="119" customWidth="1"/>
    <col min="10756" max="10758" width="8.6640625" style="119" customWidth="1"/>
    <col min="10759" max="10759" width="7.6640625" style="119" customWidth="1"/>
    <col min="10760" max="10761" width="8.6640625" style="119" customWidth="1"/>
    <col min="10762" max="10762" width="9.6640625" style="119" customWidth="1"/>
    <col min="10763" max="10766" width="8.6640625" style="119" customWidth="1"/>
    <col min="10767" max="10767" width="9.6640625" style="119" customWidth="1"/>
    <col min="10768" max="10769" width="8.6640625" style="119" customWidth="1"/>
    <col min="10770" max="11008" width="9.1640625" style="119"/>
    <col min="11009" max="11009" width="12.6640625" style="119" customWidth="1"/>
    <col min="11010" max="11010" width="15.6640625" style="119" customWidth="1"/>
    <col min="11011" max="11011" width="9.6640625" style="119" customWidth="1"/>
    <col min="11012" max="11014" width="8.6640625" style="119" customWidth="1"/>
    <col min="11015" max="11015" width="7.6640625" style="119" customWidth="1"/>
    <col min="11016" max="11017" width="8.6640625" style="119" customWidth="1"/>
    <col min="11018" max="11018" width="9.6640625" style="119" customWidth="1"/>
    <col min="11019" max="11022" width="8.6640625" style="119" customWidth="1"/>
    <col min="11023" max="11023" width="9.6640625" style="119" customWidth="1"/>
    <col min="11024" max="11025" width="8.6640625" style="119" customWidth="1"/>
    <col min="11026" max="11264" width="9.1640625" style="119"/>
    <col min="11265" max="11265" width="12.6640625" style="119" customWidth="1"/>
    <col min="11266" max="11266" width="15.6640625" style="119" customWidth="1"/>
    <col min="11267" max="11267" width="9.6640625" style="119" customWidth="1"/>
    <col min="11268" max="11270" width="8.6640625" style="119" customWidth="1"/>
    <col min="11271" max="11271" width="7.6640625" style="119" customWidth="1"/>
    <col min="11272" max="11273" width="8.6640625" style="119" customWidth="1"/>
    <col min="11274" max="11274" width="9.6640625" style="119" customWidth="1"/>
    <col min="11275" max="11278" width="8.6640625" style="119" customWidth="1"/>
    <col min="11279" max="11279" width="9.6640625" style="119" customWidth="1"/>
    <col min="11280" max="11281" width="8.6640625" style="119" customWidth="1"/>
    <col min="11282" max="11520" width="9.1640625" style="119"/>
    <col min="11521" max="11521" width="12.6640625" style="119" customWidth="1"/>
    <col min="11522" max="11522" width="15.6640625" style="119" customWidth="1"/>
    <col min="11523" max="11523" width="9.6640625" style="119" customWidth="1"/>
    <col min="11524" max="11526" width="8.6640625" style="119" customWidth="1"/>
    <col min="11527" max="11527" width="7.6640625" style="119" customWidth="1"/>
    <col min="11528" max="11529" width="8.6640625" style="119" customWidth="1"/>
    <col min="11530" max="11530" width="9.6640625" style="119" customWidth="1"/>
    <col min="11531" max="11534" width="8.6640625" style="119" customWidth="1"/>
    <col min="11535" max="11535" width="9.6640625" style="119" customWidth="1"/>
    <col min="11536" max="11537" width="8.6640625" style="119" customWidth="1"/>
    <col min="11538" max="11776" width="9.1640625" style="119"/>
    <col min="11777" max="11777" width="12.6640625" style="119" customWidth="1"/>
    <col min="11778" max="11778" width="15.6640625" style="119" customWidth="1"/>
    <col min="11779" max="11779" width="9.6640625" style="119" customWidth="1"/>
    <col min="11780" max="11782" width="8.6640625" style="119" customWidth="1"/>
    <col min="11783" max="11783" width="7.6640625" style="119" customWidth="1"/>
    <col min="11784" max="11785" width="8.6640625" style="119" customWidth="1"/>
    <col min="11786" max="11786" width="9.6640625" style="119" customWidth="1"/>
    <col min="11787" max="11790" width="8.6640625" style="119" customWidth="1"/>
    <col min="11791" max="11791" width="9.6640625" style="119" customWidth="1"/>
    <col min="11792" max="11793" width="8.6640625" style="119" customWidth="1"/>
    <col min="11794" max="12032" width="9.1640625" style="119"/>
    <col min="12033" max="12033" width="12.6640625" style="119" customWidth="1"/>
    <col min="12034" max="12034" width="15.6640625" style="119" customWidth="1"/>
    <col min="12035" max="12035" width="9.6640625" style="119" customWidth="1"/>
    <col min="12036" max="12038" width="8.6640625" style="119" customWidth="1"/>
    <col min="12039" max="12039" width="7.6640625" style="119" customWidth="1"/>
    <col min="12040" max="12041" width="8.6640625" style="119" customWidth="1"/>
    <col min="12042" max="12042" width="9.6640625" style="119" customWidth="1"/>
    <col min="12043" max="12046" width="8.6640625" style="119" customWidth="1"/>
    <col min="12047" max="12047" width="9.6640625" style="119" customWidth="1"/>
    <col min="12048" max="12049" width="8.6640625" style="119" customWidth="1"/>
    <col min="12050" max="12288" width="9.1640625" style="119"/>
    <col min="12289" max="12289" width="12.6640625" style="119" customWidth="1"/>
    <col min="12290" max="12290" width="15.6640625" style="119" customWidth="1"/>
    <col min="12291" max="12291" width="9.6640625" style="119" customWidth="1"/>
    <col min="12292" max="12294" width="8.6640625" style="119" customWidth="1"/>
    <col min="12295" max="12295" width="7.6640625" style="119" customWidth="1"/>
    <col min="12296" max="12297" width="8.6640625" style="119" customWidth="1"/>
    <col min="12298" max="12298" width="9.6640625" style="119" customWidth="1"/>
    <col min="12299" max="12302" width="8.6640625" style="119" customWidth="1"/>
    <col min="12303" max="12303" width="9.6640625" style="119" customWidth="1"/>
    <col min="12304" max="12305" width="8.6640625" style="119" customWidth="1"/>
    <col min="12306" max="12544" width="9.1640625" style="119"/>
    <col min="12545" max="12545" width="12.6640625" style="119" customWidth="1"/>
    <col min="12546" max="12546" width="15.6640625" style="119" customWidth="1"/>
    <col min="12547" max="12547" width="9.6640625" style="119" customWidth="1"/>
    <col min="12548" max="12550" width="8.6640625" style="119" customWidth="1"/>
    <col min="12551" max="12551" width="7.6640625" style="119" customWidth="1"/>
    <col min="12552" max="12553" width="8.6640625" style="119" customWidth="1"/>
    <col min="12554" max="12554" width="9.6640625" style="119" customWidth="1"/>
    <col min="12555" max="12558" width="8.6640625" style="119" customWidth="1"/>
    <col min="12559" max="12559" width="9.6640625" style="119" customWidth="1"/>
    <col min="12560" max="12561" width="8.6640625" style="119" customWidth="1"/>
    <col min="12562" max="12800" width="9.1640625" style="119"/>
    <col min="12801" max="12801" width="12.6640625" style="119" customWidth="1"/>
    <col min="12802" max="12802" width="15.6640625" style="119" customWidth="1"/>
    <col min="12803" max="12803" width="9.6640625" style="119" customWidth="1"/>
    <col min="12804" max="12806" width="8.6640625" style="119" customWidth="1"/>
    <col min="12807" max="12807" width="7.6640625" style="119" customWidth="1"/>
    <col min="12808" max="12809" width="8.6640625" style="119" customWidth="1"/>
    <col min="12810" max="12810" width="9.6640625" style="119" customWidth="1"/>
    <col min="12811" max="12814" width="8.6640625" style="119" customWidth="1"/>
    <col min="12815" max="12815" width="9.6640625" style="119" customWidth="1"/>
    <col min="12816" max="12817" width="8.6640625" style="119" customWidth="1"/>
    <col min="12818" max="13056" width="9.1640625" style="119"/>
    <col min="13057" max="13057" width="12.6640625" style="119" customWidth="1"/>
    <col min="13058" max="13058" width="15.6640625" style="119" customWidth="1"/>
    <col min="13059" max="13059" width="9.6640625" style="119" customWidth="1"/>
    <col min="13060" max="13062" width="8.6640625" style="119" customWidth="1"/>
    <col min="13063" max="13063" width="7.6640625" style="119" customWidth="1"/>
    <col min="13064" max="13065" width="8.6640625" style="119" customWidth="1"/>
    <col min="13066" max="13066" width="9.6640625" style="119" customWidth="1"/>
    <col min="13067" max="13070" width="8.6640625" style="119" customWidth="1"/>
    <col min="13071" max="13071" width="9.6640625" style="119" customWidth="1"/>
    <col min="13072" max="13073" width="8.6640625" style="119" customWidth="1"/>
    <col min="13074" max="13312" width="9.1640625" style="119"/>
    <col min="13313" max="13313" width="12.6640625" style="119" customWidth="1"/>
    <col min="13314" max="13314" width="15.6640625" style="119" customWidth="1"/>
    <col min="13315" max="13315" width="9.6640625" style="119" customWidth="1"/>
    <col min="13316" max="13318" width="8.6640625" style="119" customWidth="1"/>
    <col min="13319" max="13319" width="7.6640625" style="119" customWidth="1"/>
    <col min="13320" max="13321" width="8.6640625" style="119" customWidth="1"/>
    <col min="13322" max="13322" width="9.6640625" style="119" customWidth="1"/>
    <col min="13323" max="13326" width="8.6640625" style="119" customWidth="1"/>
    <col min="13327" max="13327" width="9.6640625" style="119" customWidth="1"/>
    <col min="13328" max="13329" width="8.6640625" style="119" customWidth="1"/>
    <col min="13330" max="13568" width="9.1640625" style="119"/>
    <col min="13569" max="13569" width="12.6640625" style="119" customWidth="1"/>
    <col min="13570" max="13570" width="15.6640625" style="119" customWidth="1"/>
    <col min="13571" max="13571" width="9.6640625" style="119" customWidth="1"/>
    <col min="13572" max="13574" width="8.6640625" style="119" customWidth="1"/>
    <col min="13575" max="13575" width="7.6640625" style="119" customWidth="1"/>
    <col min="13576" max="13577" width="8.6640625" style="119" customWidth="1"/>
    <col min="13578" max="13578" width="9.6640625" style="119" customWidth="1"/>
    <col min="13579" max="13582" width="8.6640625" style="119" customWidth="1"/>
    <col min="13583" max="13583" width="9.6640625" style="119" customWidth="1"/>
    <col min="13584" max="13585" width="8.6640625" style="119" customWidth="1"/>
    <col min="13586" max="13824" width="9.1640625" style="119"/>
    <col min="13825" max="13825" width="12.6640625" style="119" customWidth="1"/>
    <col min="13826" max="13826" width="15.6640625" style="119" customWidth="1"/>
    <col min="13827" max="13827" width="9.6640625" style="119" customWidth="1"/>
    <col min="13828" max="13830" width="8.6640625" style="119" customWidth="1"/>
    <col min="13831" max="13831" width="7.6640625" style="119" customWidth="1"/>
    <col min="13832" max="13833" width="8.6640625" style="119" customWidth="1"/>
    <col min="13834" max="13834" width="9.6640625" style="119" customWidth="1"/>
    <col min="13835" max="13838" width="8.6640625" style="119" customWidth="1"/>
    <col min="13839" max="13839" width="9.6640625" style="119" customWidth="1"/>
    <col min="13840" max="13841" width="8.6640625" style="119" customWidth="1"/>
    <col min="13842" max="14080" width="9.1640625" style="119"/>
    <col min="14081" max="14081" width="12.6640625" style="119" customWidth="1"/>
    <col min="14082" max="14082" width="15.6640625" style="119" customWidth="1"/>
    <col min="14083" max="14083" width="9.6640625" style="119" customWidth="1"/>
    <col min="14084" max="14086" width="8.6640625" style="119" customWidth="1"/>
    <col min="14087" max="14087" width="7.6640625" style="119" customWidth="1"/>
    <col min="14088" max="14089" width="8.6640625" style="119" customWidth="1"/>
    <col min="14090" max="14090" width="9.6640625" style="119" customWidth="1"/>
    <col min="14091" max="14094" width="8.6640625" style="119" customWidth="1"/>
    <col min="14095" max="14095" width="9.6640625" style="119" customWidth="1"/>
    <col min="14096" max="14097" width="8.6640625" style="119" customWidth="1"/>
    <col min="14098" max="14336" width="9.1640625" style="119"/>
    <col min="14337" max="14337" width="12.6640625" style="119" customWidth="1"/>
    <col min="14338" max="14338" width="15.6640625" style="119" customWidth="1"/>
    <col min="14339" max="14339" width="9.6640625" style="119" customWidth="1"/>
    <col min="14340" max="14342" width="8.6640625" style="119" customWidth="1"/>
    <col min="14343" max="14343" width="7.6640625" style="119" customWidth="1"/>
    <col min="14344" max="14345" width="8.6640625" style="119" customWidth="1"/>
    <col min="14346" max="14346" width="9.6640625" style="119" customWidth="1"/>
    <col min="14347" max="14350" width="8.6640625" style="119" customWidth="1"/>
    <col min="14351" max="14351" width="9.6640625" style="119" customWidth="1"/>
    <col min="14352" max="14353" width="8.6640625" style="119" customWidth="1"/>
    <col min="14354" max="14592" width="9.1640625" style="119"/>
    <col min="14593" max="14593" width="12.6640625" style="119" customWidth="1"/>
    <col min="14594" max="14594" width="15.6640625" style="119" customWidth="1"/>
    <col min="14595" max="14595" width="9.6640625" style="119" customWidth="1"/>
    <col min="14596" max="14598" width="8.6640625" style="119" customWidth="1"/>
    <col min="14599" max="14599" width="7.6640625" style="119" customWidth="1"/>
    <col min="14600" max="14601" width="8.6640625" style="119" customWidth="1"/>
    <col min="14602" max="14602" width="9.6640625" style="119" customWidth="1"/>
    <col min="14603" max="14606" width="8.6640625" style="119" customWidth="1"/>
    <col min="14607" max="14607" width="9.6640625" style="119" customWidth="1"/>
    <col min="14608" max="14609" width="8.6640625" style="119" customWidth="1"/>
    <col min="14610" max="14848" width="9.1640625" style="119"/>
    <col min="14849" max="14849" width="12.6640625" style="119" customWidth="1"/>
    <col min="14850" max="14850" width="15.6640625" style="119" customWidth="1"/>
    <col min="14851" max="14851" width="9.6640625" style="119" customWidth="1"/>
    <col min="14852" max="14854" width="8.6640625" style="119" customWidth="1"/>
    <col min="14855" max="14855" width="7.6640625" style="119" customWidth="1"/>
    <col min="14856" max="14857" width="8.6640625" style="119" customWidth="1"/>
    <col min="14858" max="14858" width="9.6640625" style="119" customWidth="1"/>
    <col min="14859" max="14862" width="8.6640625" style="119" customWidth="1"/>
    <col min="14863" max="14863" width="9.6640625" style="119" customWidth="1"/>
    <col min="14864" max="14865" width="8.6640625" style="119" customWidth="1"/>
    <col min="14866" max="15104" width="9.1640625" style="119"/>
    <col min="15105" max="15105" width="12.6640625" style="119" customWidth="1"/>
    <col min="15106" max="15106" width="15.6640625" style="119" customWidth="1"/>
    <col min="15107" max="15107" width="9.6640625" style="119" customWidth="1"/>
    <col min="15108" max="15110" width="8.6640625" style="119" customWidth="1"/>
    <col min="15111" max="15111" width="7.6640625" style="119" customWidth="1"/>
    <col min="15112" max="15113" width="8.6640625" style="119" customWidth="1"/>
    <col min="15114" max="15114" width="9.6640625" style="119" customWidth="1"/>
    <col min="15115" max="15118" width="8.6640625" style="119" customWidth="1"/>
    <col min="15119" max="15119" width="9.6640625" style="119" customWidth="1"/>
    <col min="15120" max="15121" width="8.6640625" style="119" customWidth="1"/>
    <col min="15122" max="15360" width="9.1640625" style="119"/>
    <col min="15361" max="15361" width="12.6640625" style="119" customWidth="1"/>
    <col min="15362" max="15362" width="15.6640625" style="119" customWidth="1"/>
    <col min="15363" max="15363" width="9.6640625" style="119" customWidth="1"/>
    <col min="15364" max="15366" width="8.6640625" style="119" customWidth="1"/>
    <col min="15367" max="15367" width="7.6640625" style="119" customWidth="1"/>
    <col min="15368" max="15369" width="8.6640625" style="119" customWidth="1"/>
    <col min="15370" max="15370" width="9.6640625" style="119" customWidth="1"/>
    <col min="15371" max="15374" width="8.6640625" style="119" customWidth="1"/>
    <col min="15375" max="15375" width="9.6640625" style="119" customWidth="1"/>
    <col min="15376" max="15377" width="8.6640625" style="119" customWidth="1"/>
    <col min="15378" max="15616" width="9.1640625" style="119"/>
    <col min="15617" max="15617" width="12.6640625" style="119" customWidth="1"/>
    <col min="15618" max="15618" width="15.6640625" style="119" customWidth="1"/>
    <col min="15619" max="15619" width="9.6640625" style="119" customWidth="1"/>
    <col min="15620" max="15622" width="8.6640625" style="119" customWidth="1"/>
    <col min="15623" max="15623" width="7.6640625" style="119" customWidth="1"/>
    <col min="15624" max="15625" width="8.6640625" style="119" customWidth="1"/>
    <col min="15626" max="15626" width="9.6640625" style="119" customWidth="1"/>
    <col min="15627" max="15630" width="8.6640625" style="119" customWidth="1"/>
    <col min="15631" max="15631" width="9.6640625" style="119" customWidth="1"/>
    <col min="15632" max="15633" width="8.6640625" style="119" customWidth="1"/>
    <col min="15634" max="15872" width="9.1640625" style="119"/>
    <col min="15873" max="15873" width="12.6640625" style="119" customWidth="1"/>
    <col min="15874" max="15874" width="15.6640625" style="119" customWidth="1"/>
    <col min="15875" max="15875" width="9.6640625" style="119" customWidth="1"/>
    <col min="15876" max="15878" width="8.6640625" style="119" customWidth="1"/>
    <col min="15879" max="15879" width="7.6640625" style="119" customWidth="1"/>
    <col min="15880" max="15881" width="8.6640625" style="119" customWidth="1"/>
    <col min="15882" max="15882" width="9.6640625" style="119" customWidth="1"/>
    <col min="15883" max="15886" width="8.6640625" style="119" customWidth="1"/>
    <col min="15887" max="15887" width="9.6640625" style="119" customWidth="1"/>
    <col min="15888" max="15889" width="8.6640625" style="119" customWidth="1"/>
    <col min="15890" max="16128" width="9.1640625" style="119"/>
    <col min="16129" max="16129" width="12.6640625" style="119" customWidth="1"/>
    <col min="16130" max="16130" width="15.6640625" style="119" customWidth="1"/>
    <col min="16131" max="16131" width="9.6640625" style="119" customWidth="1"/>
    <col min="16132" max="16134" width="8.6640625" style="119" customWidth="1"/>
    <col min="16135" max="16135" width="7.6640625" style="119" customWidth="1"/>
    <col min="16136" max="16137" width="8.6640625" style="119" customWidth="1"/>
    <col min="16138" max="16138" width="9.6640625" style="119" customWidth="1"/>
    <col min="16139" max="16142" width="8.6640625" style="119" customWidth="1"/>
    <col min="16143" max="16143" width="9.6640625" style="119" customWidth="1"/>
    <col min="16144" max="16145" width="8.6640625" style="119" customWidth="1"/>
    <col min="16146" max="16384" width="9.1640625" style="119"/>
  </cols>
  <sheetData>
    <row r="1" spans="1:17" x14ac:dyDescent="0.2">
      <c r="A1" s="120" t="s">
        <v>55</v>
      </c>
      <c r="B1" s="120" t="s">
        <v>57</v>
      </c>
      <c r="C1" s="120" t="s">
        <v>0</v>
      </c>
      <c r="D1" s="120" t="s">
        <v>34</v>
      </c>
      <c r="E1" s="120" t="s">
        <v>70</v>
      </c>
      <c r="F1" s="120" t="s">
        <v>11</v>
      </c>
      <c r="G1" s="120" t="s">
        <v>73</v>
      </c>
      <c r="H1" s="120" t="s">
        <v>74</v>
      </c>
      <c r="I1" s="120" t="s">
        <v>31</v>
      </c>
      <c r="J1" s="120" t="s">
        <v>58</v>
      </c>
      <c r="K1" s="120" t="s">
        <v>32</v>
      </c>
      <c r="L1" s="120" t="s">
        <v>30</v>
      </c>
      <c r="M1" s="120" t="s">
        <v>28</v>
      </c>
      <c r="N1" s="120" t="s">
        <v>71</v>
      </c>
      <c r="O1" s="120" t="s">
        <v>33</v>
      </c>
      <c r="P1" s="120" t="s">
        <v>13</v>
      </c>
      <c r="Q1" s="120" t="s">
        <v>29</v>
      </c>
    </row>
    <row r="2" spans="1:17" x14ac:dyDescent="0.2">
      <c r="A2" s="110">
        <v>33604</v>
      </c>
      <c r="B2" s="111">
        <v>117814</v>
      </c>
      <c r="C2" s="111">
        <v>164095</v>
      </c>
      <c r="D2" s="111">
        <v>10845</v>
      </c>
      <c r="E2" s="111">
        <v>9716</v>
      </c>
      <c r="F2" s="111">
        <v>30437</v>
      </c>
      <c r="G2" s="111">
        <v>3874</v>
      </c>
      <c r="H2" s="111">
        <v>4254</v>
      </c>
      <c r="I2" s="111">
        <v>17170</v>
      </c>
      <c r="J2" s="111">
        <v>130617</v>
      </c>
      <c r="K2" s="111">
        <v>12803</v>
      </c>
      <c r="L2" s="111">
        <v>19879</v>
      </c>
      <c r="M2" s="111">
        <v>7421</v>
      </c>
      <c r="N2" s="111">
        <v>4318</v>
      </c>
      <c r="O2" s="111">
        <v>33478</v>
      </c>
      <c r="P2" s="111">
        <v>6515</v>
      </c>
      <c r="Q2" s="111">
        <v>3385</v>
      </c>
    </row>
    <row r="3" spans="1:17" x14ac:dyDescent="0.2">
      <c r="A3" s="110">
        <v>33635</v>
      </c>
      <c r="B3" s="111">
        <v>117795</v>
      </c>
      <c r="C3" s="111">
        <v>164213</v>
      </c>
      <c r="D3" s="111">
        <v>10904</v>
      </c>
      <c r="E3" s="111">
        <v>9712</v>
      </c>
      <c r="F3" s="111">
        <v>30382</v>
      </c>
      <c r="G3" s="111">
        <v>3904</v>
      </c>
      <c r="H3" s="111">
        <v>4342</v>
      </c>
      <c r="I3" s="111">
        <v>16990</v>
      </c>
      <c r="J3" s="111">
        <v>130396</v>
      </c>
      <c r="K3" s="111">
        <v>12601</v>
      </c>
      <c r="L3" s="111">
        <v>20202</v>
      </c>
      <c r="M3" s="111">
        <v>7425</v>
      </c>
      <c r="N3" s="111">
        <v>4308</v>
      </c>
      <c r="O3" s="111">
        <v>33817</v>
      </c>
      <c r="P3" s="111">
        <v>6110</v>
      </c>
      <c r="Q3" s="111">
        <v>3516</v>
      </c>
    </row>
    <row r="4" spans="1:17" x14ac:dyDescent="0.2">
      <c r="A4" s="110">
        <v>33664</v>
      </c>
      <c r="B4" s="111">
        <v>117746</v>
      </c>
      <c r="C4" s="111">
        <v>163721</v>
      </c>
      <c r="D4" s="111">
        <v>10986</v>
      </c>
      <c r="E4" s="111">
        <v>9669</v>
      </c>
      <c r="F4" s="111">
        <v>30526</v>
      </c>
      <c r="G4" s="111">
        <v>3916</v>
      </c>
      <c r="H4" s="111">
        <v>4330</v>
      </c>
      <c r="I4" s="111">
        <v>16916</v>
      </c>
      <c r="J4" s="111">
        <v>130385</v>
      </c>
      <c r="K4" s="111">
        <v>12639</v>
      </c>
      <c r="L4" s="111">
        <v>20168</v>
      </c>
      <c r="M4" s="111">
        <v>7443</v>
      </c>
      <c r="N4" s="111">
        <v>4292</v>
      </c>
      <c r="O4" s="111">
        <v>33336</v>
      </c>
      <c r="P4" s="111">
        <v>6018</v>
      </c>
      <c r="Q4" s="111">
        <v>3482</v>
      </c>
    </row>
    <row r="5" spans="1:17" x14ac:dyDescent="0.2">
      <c r="A5" s="110">
        <v>33695</v>
      </c>
      <c r="B5" s="111">
        <v>118223</v>
      </c>
      <c r="C5" s="111">
        <v>164709</v>
      </c>
      <c r="D5" s="111">
        <v>10738</v>
      </c>
      <c r="E5" s="111">
        <v>9862</v>
      </c>
      <c r="F5" s="111">
        <v>30602</v>
      </c>
      <c r="G5" s="111">
        <v>3958</v>
      </c>
      <c r="H5" s="111">
        <v>4359</v>
      </c>
      <c r="I5" s="111">
        <v>16677</v>
      </c>
      <c r="J5" s="111">
        <v>130933</v>
      </c>
      <c r="K5" s="111">
        <v>12710</v>
      </c>
      <c r="L5" s="111">
        <v>20258</v>
      </c>
      <c r="M5" s="111">
        <v>7516</v>
      </c>
      <c r="N5" s="111">
        <v>4391</v>
      </c>
      <c r="O5" s="111">
        <v>33776</v>
      </c>
      <c r="P5" s="111">
        <v>6327</v>
      </c>
      <c r="Q5" s="111">
        <v>3535</v>
      </c>
    </row>
    <row r="6" spans="1:17" x14ac:dyDescent="0.2">
      <c r="A6" s="110">
        <v>33725</v>
      </c>
      <c r="B6" s="111">
        <v>118385</v>
      </c>
      <c r="C6" s="111">
        <v>165612</v>
      </c>
      <c r="D6" s="111">
        <v>10777</v>
      </c>
      <c r="E6" s="111">
        <v>9755</v>
      </c>
      <c r="F6" s="111">
        <v>30718</v>
      </c>
      <c r="G6" s="111">
        <v>3981</v>
      </c>
      <c r="H6" s="111">
        <v>4331</v>
      </c>
      <c r="I6" s="111">
        <v>16602</v>
      </c>
      <c r="J6" s="111">
        <v>131255</v>
      </c>
      <c r="K6" s="111">
        <v>12870</v>
      </c>
      <c r="L6" s="111">
        <v>20345</v>
      </c>
      <c r="M6" s="111">
        <v>7458</v>
      </c>
      <c r="N6" s="111">
        <v>4356</v>
      </c>
      <c r="O6" s="111">
        <v>34357</v>
      </c>
      <c r="P6" s="111">
        <v>6550</v>
      </c>
      <c r="Q6" s="111">
        <v>3512</v>
      </c>
    </row>
    <row r="7" spans="1:17" x14ac:dyDescent="0.2">
      <c r="A7" s="110">
        <v>33756</v>
      </c>
      <c r="B7" s="111">
        <v>118410</v>
      </c>
      <c r="C7" s="111">
        <v>166077</v>
      </c>
      <c r="D7" s="111">
        <v>10790</v>
      </c>
      <c r="E7" s="111">
        <v>9915</v>
      </c>
      <c r="F7" s="111">
        <v>30761</v>
      </c>
      <c r="G7" s="111">
        <v>3992</v>
      </c>
      <c r="H7" s="111">
        <v>4401</v>
      </c>
      <c r="I7" s="111">
        <v>16277</v>
      </c>
      <c r="J7" s="111">
        <v>131296</v>
      </c>
      <c r="K7" s="111">
        <v>12886</v>
      </c>
      <c r="L7" s="111">
        <v>20298</v>
      </c>
      <c r="M7" s="111">
        <v>7417</v>
      </c>
      <c r="N7" s="111">
        <v>4357</v>
      </c>
      <c r="O7" s="111">
        <v>34781</v>
      </c>
      <c r="P7" s="111">
        <v>6653</v>
      </c>
      <c r="Q7" s="111">
        <v>3549</v>
      </c>
    </row>
    <row r="8" spans="1:17" x14ac:dyDescent="0.2">
      <c r="A8" s="110">
        <v>33786</v>
      </c>
      <c r="B8" s="111">
        <v>119092</v>
      </c>
      <c r="C8" s="111">
        <v>167257</v>
      </c>
      <c r="D8" s="111">
        <v>10785</v>
      </c>
      <c r="E8" s="111">
        <v>9957</v>
      </c>
      <c r="F8" s="111">
        <v>30963</v>
      </c>
      <c r="G8" s="111">
        <v>4081</v>
      </c>
      <c r="H8" s="111">
        <v>4368</v>
      </c>
      <c r="I8" s="111">
        <v>16496</v>
      </c>
      <c r="J8" s="111">
        <v>132058</v>
      </c>
      <c r="K8" s="111">
        <v>12966</v>
      </c>
      <c r="L8" s="111">
        <v>20205</v>
      </c>
      <c r="M8" s="111">
        <v>7292</v>
      </c>
      <c r="N8" s="111">
        <v>4468</v>
      </c>
      <c r="O8" s="111">
        <v>35199</v>
      </c>
      <c r="P8" s="111">
        <v>6891</v>
      </c>
      <c r="Q8" s="111">
        <v>3586</v>
      </c>
    </row>
    <row r="9" spans="1:17" x14ac:dyDescent="0.2">
      <c r="A9" s="110">
        <v>33817</v>
      </c>
      <c r="B9" s="111">
        <v>120123</v>
      </c>
      <c r="C9" s="111">
        <v>167800</v>
      </c>
      <c r="D9" s="111">
        <v>10915</v>
      </c>
      <c r="E9" s="111">
        <v>10141</v>
      </c>
      <c r="F9" s="111">
        <v>31041</v>
      </c>
      <c r="G9" s="111">
        <v>4048</v>
      </c>
      <c r="H9" s="111">
        <v>4372</v>
      </c>
      <c r="I9" s="111">
        <v>16733</v>
      </c>
      <c r="J9" s="111">
        <v>133215</v>
      </c>
      <c r="K9" s="111">
        <v>13092</v>
      </c>
      <c r="L9" s="111">
        <v>20593</v>
      </c>
      <c r="M9" s="111">
        <v>7508</v>
      </c>
      <c r="N9" s="111">
        <v>4494</v>
      </c>
      <c r="O9" s="111">
        <v>34585</v>
      </c>
      <c r="P9" s="111">
        <v>6766</v>
      </c>
      <c r="Q9" s="111">
        <v>3512</v>
      </c>
    </row>
    <row r="10" spans="1:17" x14ac:dyDescent="0.2">
      <c r="A10" s="110">
        <v>33848</v>
      </c>
      <c r="B10" s="111">
        <v>120264</v>
      </c>
      <c r="C10" s="111">
        <v>169400</v>
      </c>
      <c r="D10" s="111">
        <v>10980</v>
      </c>
      <c r="E10" s="111">
        <v>10154</v>
      </c>
      <c r="F10" s="111">
        <v>30942</v>
      </c>
      <c r="G10" s="111">
        <v>4098</v>
      </c>
      <c r="H10" s="111">
        <v>4345</v>
      </c>
      <c r="I10" s="111">
        <v>16812</v>
      </c>
      <c r="J10" s="111">
        <v>133510</v>
      </c>
      <c r="K10" s="111">
        <v>13246</v>
      </c>
      <c r="L10" s="111">
        <v>20684</v>
      </c>
      <c r="M10" s="111">
        <v>7420</v>
      </c>
      <c r="N10" s="111">
        <v>4549</v>
      </c>
      <c r="O10" s="111">
        <v>35890</v>
      </c>
      <c r="P10" s="111">
        <v>6714</v>
      </c>
      <c r="Q10" s="111">
        <v>3566</v>
      </c>
    </row>
    <row r="11" spans="1:17" x14ac:dyDescent="0.2">
      <c r="A11" s="110">
        <v>33878</v>
      </c>
      <c r="B11" s="111">
        <v>121349</v>
      </c>
      <c r="C11" s="111">
        <v>170625</v>
      </c>
      <c r="D11" s="111">
        <v>10971</v>
      </c>
      <c r="E11" s="111">
        <v>10174</v>
      </c>
      <c r="F11" s="111">
        <v>31148</v>
      </c>
      <c r="G11" s="111">
        <v>4186</v>
      </c>
      <c r="H11" s="111">
        <v>4299</v>
      </c>
      <c r="I11" s="111">
        <v>17104</v>
      </c>
      <c r="J11" s="111">
        <v>134653</v>
      </c>
      <c r="K11" s="111">
        <v>13304</v>
      </c>
      <c r="L11" s="111">
        <v>20851</v>
      </c>
      <c r="M11" s="111">
        <v>7535</v>
      </c>
      <c r="N11" s="111">
        <v>4809</v>
      </c>
      <c r="O11" s="111">
        <v>35972</v>
      </c>
      <c r="P11" s="111">
        <v>6665</v>
      </c>
      <c r="Q11" s="111">
        <v>3607</v>
      </c>
    </row>
    <row r="12" spans="1:17" x14ac:dyDescent="0.2">
      <c r="A12" s="110">
        <v>33909</v>
      </c>
      <c r="B12" s="111">
        <v>121717</v>
      </c>
      <c r="C12" s="111">
        <v>171003</v>
      </c>
      <c r="D12" s="111">
        <v>10873</v>
      </c>
      <c r="E12" s="111">
        <v>10076</v>
      </c>
      <c r="F12" s="111">
        <v>30992</v>
      </c>
      <c r="G12" s="111">
        <v>4118</v>
      </c>
      <c r="H12" s="111">
        <v>4368</v>
      </c>
      <c r="I12" s="111">
        <v>17420</v>
      </c>
      <c r="J12" s="111">
        <v>135075</v>
      </c>
      <c r="K12" s="111">
        <v>13358</v>
      </c>
      <c r="L12" s="111">
        <v>21078</v>
      </c>
      <c r="M12" s="111">
        <v>7497</v>
      </c>
      <c r="N12" s="111">
        <v>5059</v>
      </c>
      <c r="O12" s="111">
        <v>35928</v>
      </c>
      <c r="P12" s="111">
        <v>6610</v>
      </c>
      <c r="Q12" s="111">
        <v>3626</v>
      </c>
    </row>
    <row r="13" spans="1:17" x14ac:dyDescent="0.2">
      <c r="A13" s="110">
        <v>33939</v>
      </c>
      <c r="B13" s="111">
        <v>123358</v>
      </c>
      <c r="C13" s="111">
        <v>173105</v>
      </c>
      <c r="D13" s="111">
        <v>11082</v>
      </c>
      <c r="E13" s="111">
        <v>10318</v>
      </c>
      <c r="F13" s="111">
        <v>31057</v>
      </c>
      <c r="G13" s="111">
        <v>4248</v>
      </c>
      <c r="H13" s="111">
        <v>4428</v>
      </c>
      <c r="I13" s="111">
        <v>17491</v>
      </c>
      <c r="J13" s="111">
        <v>136833</v>
      </c>
      <c r="K13" s="111">
        <v>13475</v>
      </c>
      <c r="L13" s="111">
        <v>21752</v>
      </c>
      <c r="M13" s="111">
        <v>7526</v>
      </c>
      <c r="N13" s="111">
        <v>5059</v>
      </c>
      <c r="O13" s="111">
        <v>36272</v>
      </c>
      <c r="P13" s="111">
        <v>6597</v>
      </c>
      <c r="Q13" s="111">
        <v>3800</v>
      </c>
    </row>
    <row r="14" spans="1:17" x14ac:dyDescent="0.2">
      <c r="A14" s="110">
        <v>33970</v>
      </c>
      <c r="B14" s="111">
        <v>124089</v>
      </c>
      <c r="C14" s="111">
        <v>175108</v>
      </c>
      <c r="D14" s="111">
        <v>11333</v>
      </c>
      <c r="E14" s="111">
        <v>10581</v>
      </c>
      <c r="F14" s="111">
        <v>31045</v>
      </c>
      <c r="G14" s="111">
        <v>4395</v>
      </c>
      <c r="H14" s="111">
        <v>4637</v>
      </c>
      <c r="I14" s="111">
        <v>17553</v>
      </c>
      <c r="J14" s="111">
        <v>137487</v>
      </c>
      <c r="K14" s="111">
        <v>13398</v>
      </c>
      <c r="L14" s="111">
        <v>21383</v>
      </c>
      <c r="M14" s="111">
        <v>7518</v>
      </c>
      <c r="N14" s="111">
        <v>5352</v>
      </c>
      <c r="O14" s="111">
        <v>37621</v>
      </c>
      <c r="P14" s="111">
        <v>6644</v>
      </c>
      <c r="Q14" s="111">
        <v>3648</v>
      </c>
    </row>
    <row r="15" spans="1:17" x14ac:dyDescent="0.2">
      <c r="A15" s="110">
        <v>34001</v>
      </c>
      <c r="B15" s="111">
        <v>123425</v>
      </c>
      <c r="C15" s="111">
        <v>173744</v>
      </c>
      <c r="D15" s="111">
        <v>11410</v>
      </c>
      <c r="E15" s="111">
        <v>10150</v>
      </c>
      <c r="F15" s="111">
        <v>31233</v>
      </c>
      <c r="G15" s="111">
        <v>4343</v>
      </c>
      <c r="H15" s="111">
        <v>4507</v>
      </c>
      <c r="I15" s="111">
        <v>17478</v>
      </c>
      <c r="J15" s="111">
        <v>137021</v>
      </c>
      <c r="K15" s="111">
        <v>13596</v>
      </c>
      <c r="L15" s="111">
        <v>21392</v>
      </c>
      <c r="M15" s="111">
        <v>7651</v>
      </c>
      <c r="N15" s="111">
        <v>4896</v>
      </c>
      <c r="O15" s="111">
        <v>36723</v>
      </c>
      <c r="P15" s="111">
        <v>6780</v>
      </c>
      <c r="Q15" s="111">
        <v>3585</v>
      </c>
    </row>
    <row r="16" spans="1:17" x14ac:dyDescent="0.2">
      <c r="A16" s="110">
        <v>34029</v>
      </c>
      <c r="B16" s="111">
        <v>122864</v>
      </c>
      <c r="C16" s="111">
        <v>172306</v>
      </c>
      <c r="D16" s="111">
        <v>11184</v>
      </c>
      <c r="E16" s="111">
        <v>9916</v>
      </c>
      <c r="F16" s="111">
        <v>31058</v>
      </c>
      <c r="G16" s="111">
        <v>4383</v>
      </c>
      <c r="H16" s="111">
        <v>4463</v>
      </c>
      <c r="I16" s="111">
        <v>17554</v>
      </c>
      <c r="J16" s="111">
        <v>136351</v>
      </c>
      <c r="K16" s="111">
        <v>13487</v>
      </c>
      <c r="L16" s="111">
        <v>21273</v>
      </c>
      <c r="M16" s="111">
        <v>7605</v>
      </c>
      <c r="N16" s="111">
        <v>4811</v>
      </c>
      <c r="O16" s="111">
        <v>35955</v>
      </c>
      <c r="P16" s="111">
        <v>7009</v>
      </c>
      <c r="Q16" s="111">
        <v>3608</v>
      </c>
    </row>
    <row r="17" spans="1:17" x14ac:dyDescent="0.2">
      <c r="A17" s="110">
        <v>34060</v>
      </c>
      <c r="B17" s="111">
        <v>124689</v>
      </c>
      <c r="C17" s="111">
        <v>176749</v>
      </c>
      <c r="D17" s="111">
        <v>11417</v>
      </c>
      <c r="E17" s="111">
        <v>10257</v>
      </c>
      <c r="F17" s="111">
        <v>31129</v>
      </c>
      <c r="G17" s="111">
        <v>4460</v>
      </c>
      <c r="H17" s="111">
        <v>4564</v>
      </c>
      <c r="I17" s="111">
        <v>17770</v>
      </c>
      <c r="J17" s="111">
        <v>138228</v>
      </c>
      <c r="K17" s="111">
        <v>13539</v>
      </c>
      <c r="L17" s="111">
        <v>21759</v>
      </c>
      <c r="M17" s="111">
        <v>7683</v>
      </c>
      <c r="N17" s="111">
        <v>5033</v>
      </c>
      <c r="O17" s="111">
        <v>38521</v>
      </c>
      <c r="P17" s="111">
        <v>6868</v>
      </c>
      <c r="Q17" s="111">
        <v>3749</v>
      </c>
    </row>
    <row r="18" spans="1:17" x14ac:dyDescent="0.2">
      <c r="A18" s="110">
        <v>34090</v>
      </c>
      <c r="B18" s="111">
        <v>125899</v>
      </c>
      <c r="C18" s="111">
        <v>178426</v>
      </c>
      <c r="D18" s="111">
        <v>11720</v>
      </c>
      <c r="E18" s="111">
        <v>10386</v>
      </c>
      <c r="F18" s="111">
        <v>31164</v>
      </c>
      <c r="G18" s="111">
        <v>4485</v>
      </c>
      <c r="H18" s="111">
        <v>4642</v>
      </c>
      <c r="I18" s="111">
        <v>17821</v>
      </c>
      <c r="J18" s="111">
        <v>139420</v>
      </c>
      <c r="K18" s="111">
        <v>13521</v>
      </c>
      <c r="L18" s="111">
        <v>21993</v>
      </c>
      <c r="M18" s="111">
        <v>7666</v>
      </c>
      <c r="N18" s="111">
        <v>4967</v>
      </c>
      <c r="O18" s="111">
        <v>39006</v>
      </c>
      <c r="P18" s="111">
        <v>7309</v>
      </c>
      <c r="Q18" s="111">
        <v>3746</v>
      </c>
    </row>
    <row r="19" spans="1:17" x14ac:dyDescent="0.2">
      <c r="A19" s="110">
        <v>34121</v>
      </c>
      <c r="B19" s="111">
        <v>125804</v>
      </c>
      <c r="C19" s="111">
        <v>178157</v>
      </c>
      <c r="D19" s="111">
        <v>11669</v>
      </c>
      <c r="E19" s="111">
        <v>10411</v>
      </c>
      <c r="F19" s="111">
        <v>31168</v>
      </c>
      <c r="G19" s="111">
        <v>4567</v>
      </c>
      <c r="H19" s="111">
        <v>4609</v>
      </c>
      <c r="I19" s="111">
        <v>18030</v>
      </c>
      <c r="J19" s="111">
        <v>139265</v>
      </c>
      <c r="K19" s="111">
        <v>13461</v>
      </c>
      <c r="L19" s="111">
        <v>21957</v>
      </c>
      <c r="M19" s="111">
        <v>7680</v>
      </c>
      <c r="N19" s="111">
        <v>5153</v>
      </c>
      <c r="O19" s="111">
        <v>38892</v>
      </c>
      <c r="P19" s="111">
        <v>6858</v>
      </c>
      <c r="Q19" s="111">
        <v>3702</v>
      </c>
    </row>
    <row r="20" spans="1:17" x14ac:dyDescent="0.2">
      <c r="A20" s="110">
        <v>34151</v>
      </c>
      <c r="B20" s="111">
        <v>126951</v>
      </c>
      <c r="C20" s="111">
        <v>180743</v>
      </c>
      <c r="D20" s="111">
        <v>11781</v>
      </c>
      <c r="E20" s="111">
        <v>10593</v>
      </c>
      <c r="F20" s="111">
        <v>31349</v>
      </c>
      <c r="G20" s="111">
        <v>4642</v>
      </c>
      <c r="H20" s="111">
        <v>4640</v>
      </c>
      <c r="I20" s="111">
        <v>17927</v>
      </c>
      <c r="J20" s="111">
        <v>140453</v>
      </c>
      <c r="K20" s="111">
        <v>13502</v>
      </c>
      <c r="L20" s="111">
        <v>22343</v>
      </c>
      <c r="M20" s="111">
        <v>7756</v>
      </c>
      <c r="N20" s="111">
        <v>5064</v>
      </c>
      <c r="O20" s="111">
        <v>40290</v>
      </c>
      <c r="P20" s="111">
        <v>7046</v>
      </c>
      <c r="Q20" s="111">
        <v>3810</v>
      </c>
    </row>
    <row r="21" spans="1:17" x14ac:dyDescent="0.2">
      <c r="A21" s="110">
        <v>34182</v>
      </c>
      <c r="B21" s="111">
        <v>126831</v>
      </c>
      <c r="C21" s="111">
        <v>180707</v>
      </c>
      <c r="D21" s="111">
        <v>11875</v>
      </c>
      <c r="E21" s="111">
        <v>10406</v>
      </c>
      <c r="F21" s="111">
        <v>31126</v>
      </c>
      <c r="G21" s="111">
        <v>4667</v>
      </c>
      <c r="H21" s="111">
        <v>4645</v>
      </c>
      <c r="I21" s="111">
        <v>18201</v>
      </c>
      <c r="J21" s="111">
        <v>140203</v>
      </c>
      <c r="K21" s="111">
        <v>13372</v>
      </c>
      <c r="L21" s="111">
        <v>22315</v>
      </c>
      <c r="M21" s="111">
        <v>7678</v>
      </c>
      <c r="N21" s="111">
        <v>5115</v>
      </c>
      <c r="O21" s="111">
        <v>40504</v>
      </c>
      <c r="P21" s="111">
        <v>6999</v>
      </c>
      <c r="Q21" s="111">
        <v>3804</v>
      </c>
    </row>
    <row r="22" spans="1:17" x14ac:dyDescent="0.2">
      <c r="A22" s="110">
        <v>34213</v>
      </c>
      <c r="B22" s="111">
        <v>128154</v>
      </c>
      <c r="C22" s="111">
        <v>181773</v>
      </c>
      <c r="D22" s="111">
        <v>11786</v>
      </c>
      <c r="E22" s="111">
        <v>10549</v>
      </c>
      <c r="F22" s="111">
        <v>31201</v>
      </c>
      <c r="G22" s="111">
        <v>4729</v>
      </c>
      <c r="H22" s="111">
        <v>4640</v>
      </c>
      <c r="I22" s="111">
        <v>18515</v>
      </c>
      <c r="J22" s="111">
        <v>141570</v>
      </c>
      <c r="K22" s="111">
        <v>13416</v>
      </c>
      <c r="L22" s="111">
        <v>22429</v>
      </c>
      <c r="M22" s="111">
        <v>7772</v>
      </c>
      <c r="N22" s="111">
        <v>5222</v>
      </c>
      <c r="O22" s="111">
        <v>40203</v>
      </c>
      <c r="P22" s="111">
        <v>7486</v>
      </c>
      <c r="Q22" s="111">
        <v>3825</v>
      </c>
    </row>
    <row r="23" spans="1:17" x14ac:dyDescent="0.2">
      <c r="A23" s="110">
        <v>34243</v>
      </c>
      <c r="B23" s="111">
        <v>128272</v>
      </c>
      <c r="C23" s="111">
        <v>182884</v>
      </c>
      <c r="D23" s="111">
        <v>11908</v>
      </c>
      <c r="E23" s="111">
        <v>10449</v>
      </c>
      <c r="F23" s="111">
        <v>31346</v>
      </c>
      <c r="G23" s="111">
        <v>4710</v>
      </c>
      <c r="H23" s="111">
        <v>4663</v>
      </c>
      <c r="I23" s="111">
        <v>18199</v>
      </c>
      <c r="J23" s="111">
        <v>142027</v>
      </c>
      <c r="K23" s="111">
        <v>13755</v>
      </c>
      <c r="L23" s="111">
        <v>22647</v>
      </c>
      <c r="M23" s="111">
        <v>7758</v>
      </c>
      <c r="N23" s="111">
        <v>5432</v>
      </c>
      <c r="O23" s="111">
        <v>40857</v>
      </c>
      <c r="P23" s="111">
        <v>7343</v>
      </c>
      <c r="Q23" s="111">
        <v>3817</v>
      </c>
    </row>
    <row r="24" spans="1:17" x14ac:dyDescent="0.2">
      <c r="A24" s="110">
        <v>34274</v>
      </c>
      <c r="B24" s="111">
        <v>128916</v>
      </c>
      <c r="C24" s="111">
        <v>184747</v>
      </c>
      <c r="D24" s="111">
        <v>12297</v>
      </c>
      <c r="E24" s="111">
        <v>10475</v>
      </c>
      <c r="F24" s="111">
        <v>31363</v>
      </c>
      <c r="G24" s="111">
        <v>4741</v>
      </c>
      <c r="H24" s="111">
        <v>4693</v>
      </c>
      <c r="I24" s="111">
        <v>18153</v>
      </c>
      <c r="J24" s="111">
        <v>142670</v>
      </c>
      <c r="K24" s="111">
        <v>13754</v>
      </c>
      <c r="L24" s="111">
        <v>22760</v>
      </c>
      <c r="M24" s="111">
        <v>7784</v>
      </c>
      <c r="N24" s="111">
        <v>5159</v>
      </c>
      <c r="O24" s="111">
        <v>42077</v>
      </c>
      <c r="P24" s="111">
        <v>7561</v>
      </c>
      <c r="Q24" s="111">
        <v>3930</v>
      </c>
    </row>
    <row r="25" spans="1:17" x14ac:dyDescent="0.2">
      <c r="A25" s="110">
        <v>34304</v>
      </c>
      <c r="B25" s="111">
        <v>129976</v>
      </c>
      <c r="C25" s="111">
        <v>186399</v>
      </c>
      <c r="D25" s="111">
        <v>12583</v>
      </c>
      <c r="E25" s="111">
        <v>10442</v>
      </c>
      <c r="F25" s="111">
        <v>31499</v>
      </c>
      <c r="G25" s="111">
        <v>4794</v>
      </c>
      <c r="H25" s="111">
        <v>4693</v>
      </c>
      <c r="I25" s="111">
        <v>18238</v>
      </c>
      <c r="J25" s="111">
        <v>143603</v>
      </c>
      <c r="K25" s="111">
        <v>13627</v>
      </c>
      <c r="L25" s="111">
        <v>22905</v>
      </c>
      <c r="M25" s="111">
        <v>7989</v>
      </c>
      <c r="N25" s="111">
        <v>5377</v>
      </c>
      <c r="O25" s="111">
        <v>42796</v>
      </c>
      <c r="P25" s="111">
        <v>7438</v>
      </c>
      <c r="Q25" s="111">
        <v>4018</v>
      </c>
    </row>
    <row r="26" spans="1:17" x14ac:dyDescent="0.2">
      <c r="A26" s="110">
        <v>34335</v>
      </c>
      <c r="B26" s="111">
        <v>128826</v>
      </c>
      <c r="C26" s="111">
        <v>185142</v>
      </c>
      <c r="D26" s="111">
        <v>12316</v>
      </c>
      <c r="E26" s="111">
        <v>10450</v>
      </c>
      <c r="F26" s="111">
        <v>31468</v>
      </c>
      <c r="G26" s="111">
        <v>4837</v>
      </c>
      <c r="H26" s="111">
        <v>4571</v>
      </c>
      <c r="I26" s="111">
        <v>17624</v>
      </c>
      <c r="J26" s="111">
        <v>142482</v>
      </c>
      <c r="K26" s="111">
        <v>13656</v>
      </c>
      <c r="L26" s="111">
        <v>22706</v>
      </c>
      <c r="M26" s="111">
        <v>7865</v>
      </c>
      <c r="N26" s="111">
        <v>5288</v>
      </c>
      <c r="O26" s="111">
        <v>42660</v>
      </c>
      <c r="P26" s="111">
        <v>7720</v>
      </c>
      <c r="Q26" s="111">
        <v>3981</v>
      </c>
    </row>
    <row r="27" spans="1:17" x14ac:dyDescent="0.2">
      <c r="A27" s="110">
        <v>34366</v>
      </c>
      <c r="B27" s="111">
        <v>130514</v>
      </c>
      <c r="C27" s="111">
        <v>188074</v>
      </c>
      <c r="D27" s="111">
        <v>12233</v>
      </c>
      <c r="E27" s="111">
        <v>10587</v>
      </c>
      <c r="F27" s="111">
        <v>31688</v>
      </c>
      <c r="G27" s="111">
        <v>4949</v>
      </c>
      <c r="H27" s="111">
        <v>4775</v>
      </c>
      <c r="I27" s="111">
        <v>18425</v>
      </c>
      <c r="J27" s="111">
        <v>144389</v>
      </c>
      <c r="K27" s="111">
        <v>13875</v>
      </c>
      <c r="L27" s="111">
        <v>23070</v>
      </c>
      <c r="M27" s="111">
        <v>7729</v>
      </c>
      <c r="N27" s="111">
        <v>5282</v>
      </c>
      <c r="O27" s="111">
        <v>43685</v>
      </c>
      <c r="P27" s="111">
        <v>7681</v>
      </c>
      <c r="Q27" s="111">
        <v>4095</v>
      </c>
    </row>
    <row r="28" spans="1:17" x14ac:dyDescent="0.2">
      <c r="A28" s="110">
        <v>34394</v>
      </c>
      <c r="B28" s="111">
        <v>133193</v>
      </c>
      <c r="C28" s="111">
        <v>191579</v>
      </c>
      <c r="D28" s="111">
        <v>12767</v>
      </c>
      <c r="E28" s="111">
        <v>10806</v>
      </c>
      <c r="F28" s="111">
        <v>31700</v>
      </c>
      <c r="G28" s="111">
        <v>5052</v>
      </c>
      <c r="H28" s="111">
        <v>4910</v>
      </c>
      <c r="I28" s="111">
        <v>18813</v>
      </c>
      <c r="J28" s="111">
        <v>147104</v>
      </c>
      <c r="K28" s="111">
        <v>13911</v>
      </c>
      <c r="L28" s="111">
        <v>23657</v>
      </c>
      <c r="M28" s="111">
        <v>7911</v>
      </c>
      <c r="N28" s="111">
        <v>5593</v>
      </c>
      <c r="O28" s="111">
        <v>44475</v>
      </c>
      <c r="P28" s="111">
        <v>7853</v>
      </c>
      <c r="Q28" s="111">
        <v>4131</v>
      </c>
    </row>
    <row r="29" spans="1:17" x14ac:dyDescent="0.2">
      <c r="A29" s="110">
        <v>34425</v>
      </c>
      <c r="B29" s="111">
        <v>132700</v>
      </c>
      <c r="C29" s="111">
        <v>191639</v>
      </c>
      <c r="D29" s="111">
        <v>13076</v>
      </c>
      <c r="E29" s="111">
        <v>10554</v>
      </c>
      <c r="F29" s="111">
        <v>31899</v>
      </c>
      <c r="G29" s="111">
        <v>5090</v>
      </c>
      <c r="H29" s="111">
        <v>4916</v>
      </c>
      <c r="I29" s="111">
        <v>18533</v>
      </c>
      <c r="J29" s="111">
        <v>146567</v>
      </c>
      <c r="K29" s="111">
        <v>13867</v>
      </c>
      <c r="L29" s="111">
        <v>23354</v>
      </c>
      <c r="M29" s="111">
        <v>7838</v>
      </c>
      <c r="N29" s="111">
        <v>5464</v>
      </c>
      <c r="O29" s="111">
        <v>45072</v>
      </c>
      <c r="P29" s="111">
        <v>7941</v>
      </c>
      <c r="Q29" s="111">
        <v>4035</v>
      </c>
    </row>
    <row r="30" spans="1:17" x14ac:dyDescent="0.2">
      <c r="A30" s="110">
        <v>34455</v>
      </c>
      <c r="B30" s="111">
        <v>133058</v>
      </c>
      <c r="C30" s="111">
        <v>190929</v>
      </c>
      <c r="D30" s="111">
        <v>13033</v>
      </c>
      <c r="E30" s="111">
        <v>10451</v>
      </c>
      <c r="F30" s="111">
        <v>31858</v>
      </c>
      <c r="G30" s="111">
        <v>5185</v>
      </c>
      <c r="H30" s="111">
        <v>4971</v>
      </c>
      <c r="I30" s="111">
        <v>18600</v>
      </c>
      <c r="J30" s="111">
        <v>146831</v>
      </c>
      <c r="K30" s="111">
        <v>13773</v>
      </c>
      <c r="L30" s="111">
        <v>23271</v>
      </c>
      <c r="M30" s="111">
        <v>7955</v>
      </c>
      <c r="N30" s="111">
        <v>5756</v>
      </c>
      <c r="O30" s="111">
        <v>44098</v>
      </c>
      <c r="P30" s="111">
        <v>7859</v>
      </c>
      <c r="Q30" s="111">
        <v>4119</v>
      </c>
    </row>
    <row r="31" spans="1:17" x14ac:dyDescent="0.2">
      <c r="A31" s="110">
        <v>34486</v>
      </c>
      <c r="B31" s="111">
        <v>134530</v>
      </c>
      <c r="C31" s="111">
        <v>193130</v>
      </c>
      <c r="D31" s="111">
        <v>12987</v>
      </c>
      <c r="E31" s="111">
        <v>10612</v>
      </c>
      <c r="F31" s="111">
        <v>32123</v>
      </c>
      <c r="G31" s="111">
        <v>5313</v>
      </c>
      <c r="H31" s="111">
        <v>5018</v>
      </c>
      <c r="I31" s="111">
        <v>18889</v>
      </c>
      <c r="J31" s="111">
        <v>148589</v>
      </c>
      <c r="K31" s="111">
        <v>14059</v>
      </c>
      <c r="L31" s="111">
        <v>23626</v>
      </c>
      <c r="M31" s="111">
        <v>8014</v>
      </c>
      <c r="N31" s="111">
        <v>5739</v>
      </c>
      <c r="O31" s="111">
        <v>44541</v>
      </c>
      <c r="P31" s="111">
        <v>8074</v>
      </c>
      <c r="Q31" s="111">
        <v>4135</v>
      </c>
    </row>
    <row r="32" spans="1:17" x14ac:dyDescent="0.2">
      <c r="A32" s="110">
        <v>34516</v>
      </c>
      <c r="B32" s="111">
        <v>134944</v>
      </c>
      <c r="C32" s="111">
        <v>193743</v>
      </c>
      <c r="D32" s="111">
        <v>13130</v>
      </c>
      <c r="E32" s="111">
        <v>10672</v>
      </c>
      <c r="F32" s="111">
        <v>31964</v>
      </c>
      <c r="G32" s="111">
        <v>5330</v>
      </c>
      <c r="H32" s="111">
        <v>5046</v>
      </c>
      <c r="I32" s="111">
        <v>18962</v>
      </c>
      <c r="J32" s="111">
        <v>149266</v>
      </c>
      <c r="K32" s="111">
        <v>14322</v>
      </c>
      <c r="L32" s="111">
        <v>23635</v>
      </c>
      <c r="M32" s="111">
        <v>8084</v>
      </c>
      <c r="N32" s="111">
        <v>5933</v>
      </c>
      <c r="O32" s="111">
        <v>44477</v>
      </c>
      <c r="P32" s="111">
        <v>8077</v>
      </c>
      <c r="Q32" s="111">
        <v>4111</v>
      </c>
    </row>
    <row r="33" spans="1:17" x14ac:dyDescent="0.2">
      <c r="A33" s="110">
        <v>34547</v>
      </c>
      <c r="B33" s="111">
        <v>136246</v>
      </c>
      <c r="C33" s="111">
        <v>196163</v>
      </c>
      <c r="D33" s="111">
        <v>13224</v>
      </c>
      <c r="E33" s="111">
        <v>10839</v>
      </c>
      <c r="F33" s="111">
        <v>32222</v>
      </c>
      <c r="G33" s="111">
        <v>5411</v>
      </c>
      <c r="H33" s="111">
        <v>5165</v>
      </c>
      <c r="I33" s="111">
        <v>18868</v>
      </c>
      <c r="J33" s="111">
        <v>150931</v>
      </c>
      <c r="K33" s="111">
        <v>14685</v>
      </c>
      <c r="L33" s="111">
        <v>23889</v>
      </c>
      <c r="M33" s="111">
        <v>8126</v>
      </c>
      <c r="N33" s="111">
        <v>6012</v>
      </c>
      <c r="O33" s="111">
        <v>45232</v>
      </c>
      <c r="P33" s="111">
        <v>8241</v>
      </c>
      <c r="Q33" s="111">
        <v>4249</v>
      </c>
    </row>
    <row r="34" spans="1:17" x14ac:dyDescent="0.2">
      <c r="A34" s="110">
        <v>34578</v>
      </c>
      <c r="B34" s="111">
        <v>136802</v>
      </c>
      <c r="C34" s="111">
        <v>197765</v>
      </c>
      <c r="D34" s="111">
        <v>13375</v>
      </c>
      <c r="E34" s="111">
        <v>10674</v>
      </c>
      <c r="F34" s="111">
        <v>32401</v>
      </c>
      <c r="G34" s="111">
        <v>5508</v>
      </c>
      <c r="H34" s="111">
        <v>5177</v>
      </c>
      <c r="I34" s="111">
        <v>18978</v>
      </c>
      <c r="J34" s="111">
        <v>151451</v>
      </c>
      <c r="K34" s="111">
        <v>14649</v>
      </c>
      <c r="L34" s="111">
        <v>23995</v>
      </c>
      <c r="M34" s="111">
        <v>8190</v>
      </c>
      <c r="N34" s="111">
        <v>6092</v>
      </c>
      <c r="O34" s="111">
        <v>46314</v>
      </c>
      <c r="P34" s="111">
        <v>8106</v>
      </c>
      <c r="Q34" s="111">
        <v>4306</v>
      </c>
    </row>
    <row r="35" spans="1:17" x14ac:dyDescent="0.2">
      <c r="A35" s="110">
        <v>34608</v>
      </c>
      <c r="B35" s="111">
        <v>137821</v>
      </c>
      <c r="C35" s="111">
        <v>199571</v>
      </c>
      <c r="D35" s="111">
        <v>13550</v>
      </c>
      <c r="E35" s="111">
        <v>11000</v>
      </c>
      <c r="F35" s="111">
        <v>32196</v>
      </c>
      <c r="G35" s="111">
        <v>5635</v>
      </c>
      <c r="H35" s="111">
        <v>5260</v>
      </c>
      <c r="I35" s="111">
        <v>19010</v>
      </c>
      <c r="J35" s="111">
        <v>152530</v>
      </c>
      <c r="K35" s="111">
        <v>14709</v>
      </c>
      <c r="L35" s="111">
        <v>24255</v>
      </c>
      <c r="M35" s="111">
        <v>8214</v>
      </c>
      <c r="N35" s="111">
        <v>6048</v>
      </c>
      <c r="O35" s="111">
        <v>47041</v>
      </c>
      <c r="P35" s="111">
        <v>8306</v>
      </c>
      <c r="Q35" s="111">
        <v>4347</v>
      </c>
    </row>
    <row r="36" spans="1:17" x14ac:dyDescent="0.2">
      <c r="A36" s="110">
        <v>34639</v>
      </c>
      <c r="B36" s="111">
        <v>137650</v>
      </c>
      <c r="C36" s="111">
        <v>199731</v>
      </c>
      <c r="D36" s="111">
        <v>13384</v>
      </c>
      <c r="E36" s="111">
        <v>10983</v>
      </c>
      <c r="F36" s="111">
        <v>32370</v>
      </c>
      <c r="G36" s="111">
        <v>5753</v>
      </c>
      <c r="H36" s="111">
        <v>5199</v>
      </c>
      <c r="I36" s="111">
        <v>19028</v>
      </c>
      <c r="J36" s="111">
        <v>152528</v>
      </c>
      <c r="K36" s="111">
        <v>14878</v>
      </c>
      <c r="L36" s="111">
        <v>24356</v>
      </c>
      <c r="M36" s="111">
        <v>8190</v>
      </c>
      <c r="N36" s="111">
        <v>6074</v>
      </c>
      <c r="O36" s="111">
        <v>47203</v>
      </c>
      <c r="P36" s="111">
        <v>8092</v>
      </c>
      <c r="Q36" s="111">
        <v>4221</v>
      </c>
    </row>
    <row r="37" spans="1:17" x14ac:dyDescent="0.2">
      <c r="A37" s="110">
        <v>34669</v>
      </c>
      <c r="B37" s="111">
        <v>138876</v>
      </c>
      <c r="C37" s="111">
        <v>200702</v>
      </c>
      <c r="D37" s="111">
        <v>13981</v>
      </c>
      <c r="E37" s="111">
        <v>10952</v>
      </c>
      <c r="F37" s="111">
        <v>32294</v>
      </c>
      <c r="G37" s="111">
        <v>5834</v>
      </c>
      <c r="H37" s="111">
        <v>5254</v>
      </c>
      <c r="I37" s="111">
        <v>19178</v>
      </c>
      <c r="J37" s="111">
        <v>153761</v>
      </c>
      <c r="K37" s="111">
        <v>14885</v>
      </c>
      <c r="L37" s="111">
        <v>24583</v>
      </c>
      <c r="M37" s="111">
        <v>8287</v>
      </c>
      <c r="N37" s="111">
        <v>6021</v>
      </c>
      <c r="O37" s="111">
        <v>46941</v>
      </c>
      <c r="P37" s="111">
        <v>8237</v>
      </c>
      <c r="Q37" s="111">
        <v>4255</v>
      </c>
    </row>
    <row r="38" spans="1:17" x14ac:dyDescent="0.2">
      <c r="A38" s="110">
        <v>34700</v>
      </c>
      <c r="B38" s="111">
        <v>139434</v>
      </c>
      <c r="C38" s="111">
        <v>201573</v>
      </c>
      <c r="D38" s="111">
        <v>13738</v>
      </c>
      <c r="E38" s="111">
        <v>10939</v>
      </c>
      <c r="F38" s="111">
        <v>32625</v>
      </c>
      <c r="G38" s="111">
        <v>5892</v>
      </c>
      <c r="H38" s="111">
        <v>5265</v>
      </c>
      <c r="I38" s="111">
        <v>19160</v>
      </c>
      <c r="J38" s="111">
        <v>154349</v>
      </c>
      <c r="K38" s="111">
        <v>14915</v>
      </c>
      <c r="L38" s="111">
        <v>24936</v>
      </c>
      <c r="M38" s="111">
        <v>8306</v>
      </c>
      <c r="N38" s="111">
        <v>5955</v>
      </c>
      <c r="O38" s="111">
        <v>47224</v>
      </c>
      <c r="P38" s="111">
        <v>8182</v>
      </c>
      <c r="Q38" s="111">
        <v>4436</v>
      </c>
    </row>
    <row r="39" spans="1:17" x14ac:dyDescent="0.2">
      <c r="A39" s="110">
        <v>34731</v>
      </c>
      <c r="B39" s="111">
        <v>137534</v>
      </c>
      <c r="C39" s="111">
        <v>198399</v>
      </c>
      <c r="D39" s="111">
        <v>13613</v>
      </c>
      <c r="E39" s="111">
        <v>10582</v>
      </c>
      <c r="F39" s="111">
        <v>32399</v>
      </c>
      <c r="G39" s="111">
        <v>5827</v>
      </c>
      <c r="H39" s="111">
        <v>5081</v>
      </c>
      <c r="I39" s="111">
        <v>18911</v>
      </c>
      <c r="J39" s="111">
        <v>152497</v>
      </c>
      <c r="K39" s="111">
        <v>14963</v>
      </c>
      <c r="L39" s="111">
        <v>24115</v>
      </c>
      <c r="M39" s="111">
        <v>8304</v>
      </c>
      <c r="N39" s="111">
        <v>6097</v>
      </c>
      <c r="O39" s="111">
        <v>45902</v>
      </c>
      <c r="P39" s="111">
        <v>8307</v>
      </c>
      <c r="Q39" s="111">
        <v>4298</v>
      </c>
    </row>
    <row r="40" spans="1:17" x14ac:dyDescent="0.2">
      <c r="A40" s="110">
        <v>34759</v>
      </c>
      <c r="B40" s="111">
        <v>138645</v>
      </c>
      <c r="C40" s="111">
        <v>200247</v>
      </c>
      <c r="D40" s="111">
        <v>13587</v>
      </c>
      <c r="E40" s="111">
        <v>10850</v>
      </c>
      <c r="F40" s="111">
        <v>32415</v>
      </c>
      <c r="G40" s="111">
        <v>5849</v>
      </c>
      <c r="H40" s="111">
        <v>5130</v>
      </c>
      <c r="I40" s="111">
        <v>19234</v>
      </c>
      <c r="J40" s="111">
        <v>153566</v>
      </c>
      <c r="K40" s="111">
        <v>14921</v>
      </c>
      <c r="L40" s="111">
        <v>24579</v>
      </c>
      <c r="M40" s="111">
        <v>8304</v>
      </c>
      <c r="N40" s="111">
        <v>6134</v>
      </c>
      <c r="O40" s="111">
        <v>46681</v>
      </c>
      <c r="P40" s="111">
        <v>8216</v>
      </c>
      <c r="Q40" s="111">
        <v>4347</v>
      </c>
    </row>
    <row r="41" spans="1:17" x14ac:dyDescent="0.2">
      <c r="A41" s="110">
        <v>34790</v>
      </c>
      <c r="B41" s="111">
        <v>138955</v>
      </c>
      <c r="C41" s="111">
        <v>201032</v>
      </c>
      <c r="D41" s="111">
        <v>13415</v>
      </c>
      <c r="E41" s="111">
        <v>10796</v>
      </c>
      <c r="F41" s="111">
        <v>32312</v>
      </c>
      <c r="G41" s="111">
        <v>5733</v>
      </c>
      <c r="H41" s="111">
        <v>5181</v>
      </c>
      <c r="I41" s="111">
        <v>19346</v>
      </c>
      <c r="J41" s="111">
        <v>153976</v>
      </c>
      <c r="K41" s="111">
        <v>15021</v>
      </c>
      <c r="L41" s="111">
        <v>24747</v>
      </c>
      <c r="M41" s="111">
        <v>8450</v>
      </c>
      <c r="N41" s="111">
        <v>6265</v>
      </c>
      <c r="O41" s="111">
        <v>47056</v>
      </c>
      <c r="P41" s="111">
        <v>8365</v>
      </c>
      <c r="Q41" s="111">
        <v>4345</v>
      </c>
    </row>
    <row r="42" spans="1:17" x14ac:dyDescent="0.2">
      <c r="A42" s="110">
        <v>34820</v>
      </c>
      <c r="B42" s="111">
        <v>140053</v>
      </c>
      <c r="C42" s="111">
        <v>202986</v>
      </c>
      <c r="D42" s="111">
        <v>13370</v>
      </c>
      <c r="E42" s="111">
        <v>10976</v>
      </c>
      <c r="F42" s="111">
        <v>32540</v>
      </c>
      <c r="G42" s="111">
        <v>5956</v>
      </c>
      <c r="H42" s="111">
        <v>5216</v>
      </c>
      <c r="I42" s="111">
        <v>19450</v>
      </c>
      <c r="J42" s="111">
        <v>155268</v>
      </c>
      <c r="K42" s="111">
        <v>15215</v>
      </c>
      <c r="L42" s="111">
        <v>24851</v>
      </c>
      <c r="M42" s="111">
        <v>8424</v>
      </c>
      <c r="N42" s="111">
        <v>6372</v>
      </c>
      <c r="O42" s="111">
        <v>47718</v>
      </c>
      <c r="P42" s="111">
        <v>8518</v>
      </c>
      <c r="Q42" s="111">
        <v>4380</v>
      </c>
    </row>
    <row r="43" spans="1:17" x14ac:dyDescent="0.2">
      <c r="A43" s="110">
        <v>34851</v>
      </c>
      <c r="B43" s="111">
        <v>140515</v>
      </c>
      <c r="C43" s="111">
        <v>205500</v>
      </c>
      <c r="D43" s="111">
        <v>13548</v>
      </c>
      <c r="E43" s="111">
        <v>10948</v>
      </c>
      <c r="F43" s="111">
        <v>32597</v>
      </c>
      <c r="G43" s="111">
        <v>6000</v>
      </c>
      <c r="H43" s="111">
        <v>5217</v>
      </c>
      <c r="I43" s="111">
        <v>19419</v>
      </c>
      <c r="J43" s="111">
        <v>155848</v>
      </c>
      <c r="K43" s="111">
        <v>15333</v>
      </c>
      <c r="L43" s="111">
        <v>25166</v>
      </c>
      <c r="M43" s="111">
        <v>8482</v>
      </c>
      <c r="N43" s="111">
        <v>6288</v>
      </c>
      <c r="O43" s="111">
        <v>49652</v>
      </c>
      <c r="P43" s="111">
        <v>8429</v>
      </c>
      <c r="Q43" s="111">
        <v>4421</v>
      </c>
    </row>
    <row r="44" spans="1:17" x14ac:dyDescent="0.2">
      <c r="A44" s="110">
        <v>34881</v>
      </c>
      <c r="B44" s="111">
        <v>140839</v>
      </c>
      <c r="C44" s="111">
        <v>204920</v>
      </c>
      <c r="D44" s="111">
        <v>13645</v>
      </c>
      <c r="E44" s="111">
        <v>10824</v>
      </c>
      <c r="F44" s="111">
        <v>32466</v>
      </c>
      <c r="G44" s="111">
        <v>5965</v>
      </c>
      <c r="H44" s="111">
        <v>5318</v>
      </c>
      <c r="I44" s="111">
        <v>19489</v>
      </c>
      <c r="J44" s="111">
        <v>156088</v>
      </c>
      <c r="K44" s="111">
        <v>15249</v>
      </c>
      <c r="L44" s="111">
        <v>25375</v>
      </c>
      <c r="M44" s="111">
        <v>8431</v>
      </c>
      <c r="N44" s="111">
        <v>6398</v>
      </c>
      <c r="O44" s="111">
        <v>48832</v>
      </c>
      <c r="P44" s="111">
        <v>8499</v>
      </c>
      <c r="Q44" s="111">
        <v>4429</v>
      </c>
    </row>
    <row r="45" spans="1:17" x14ac:dyDescent="0.2">
      <c r="A45" s="110">
        <v>34912</v>
      </c>
      <c r="B45" s="111">
        <v>141546</v>
      </c>
      <c r="C45" s="111">
        <v>206521</v>
      </c>
      <c r="D45" s="111">
        <v>13683</v>
      </c>
      <c r="E45" s="111">
        <v>10813</v>
      </c>
      <c r="F45" s="111">
        <v>32547</v>
      </c>
      <c r="G45" s="111">
        <v>6159</v>
      </c>
      <c r="H45" s="111">
        <v>5304</v>
      </c>
      <c r="I45" s="111">
        <v>19715</v>
      </c>
      <c r="J45" s="111">
        <v>156773</v>
      </c>
      <c r="K45" s="111">
        <v>15227</v>
      </c>
      <c r="L45" s="111">
        <v>25174</v>
      </c>
      <c r="M45" s="111">
        <v>8488</v>
      </c>
      <c r="N45" s="111">
        <v>6502</v>
      </c>
      <c r="O45" s="111">
        <v>49748</v>
      </c>
      <c r="P45" s="111">
        <v>8699</v>
      </c>
      <c r="Q45" s="111">
        <v>4462</v>
      </c>
    </row>
    <row r="46" spans="1:17" x14ac:dyDescent="0.2">
      <c r="A46" s="110">
        <v>34943</v>
      </c>
      <c r="B46" s="111">
        <v>142624</v>
      </c>
      <c r="C46" s="111">
        <v>207006</v>
      </c>
      <c r="D46" s="111">
        <v>13837</v>
      </c>
      <c r="E46" s="111">
        <v>11198</v>
      </c>
      <c r="F46" s="111">
        <v>32625</v>
      </c>
      <c r="G46" s="111">
        <v>6141</v>
      </c>
      <c r="H46" s="111">
        <v>5407</v>
      </c>
      <c r="I46" s="111">
        <v>19640</v>
      </c>
      <c r="J46" s="111">
        <v>157818</v>
      </c>
      <c r="K46" s="111">
        <v>15194</v>
      </c>
      <c r="L46" s="111">
        <v>25469</v>
      </c>
      <c r="M46" s="111">
        <v>8611</v>
      </c>
      <c r="N46" s="111">
        <v>6413</v>
      </c>
      <c r="O46" s="111">
        <v>49188</v>
      </c>
      <c r="P46" s="111">
        <v>8842</v>
      </c>
      <c r="Q46" s="111">
        <v>4441</v>
      </c>
    </row>
    <row r="47" spans="1:17" x14ac:dyDescent="0.2">
      <c r="A47" s="110">
        <v>34973</v>
      </c>
      <c r="B47" s="111">
        <v>141898</v>
      </c>
      <c r="C47" s="111">
        <v>206176</v>
      </c>
      <c r="D47" s="111">
        <v>13932</v>
      </c>
      <c r="E47" s="111">
        <v>10882</v>
      </c>
      <c r="F47" s="111">
        <v>32578</v>
      </c>
      <c r="G47" s="111">
        <v>6212</v>
      </c>
      <c r="H47" s="111">
        <v>5429</v>
      </c>
      <c r="I47" s="111">
        <v>19611</v>
      </c>
      <c r="J47" s="111">
        <v>156905</v>
      </c>
      <c r="K47" s="111">
        <v>15007</v>
      </c>
      <c r="L47" s="111">
        <v>25135</v>
      </c>
      <c r="M47" s="111">
        <v>8584</v>
      </c>
      <c r="N47" s="111">
        <v>6419</v>
      </c>
      <c r="O47" s="111">
        <v>49271</v>
      </c>
      <c r="P47" s="111">
        <v>8702</v>
      </c>
      <c r="Q47" s="111">
        <v>4414</v>
      </c>
    </row>
    <row r="48" spans="1:17" x14ac:dyDescent="0.2">
      <c r="A48" s="110">
        <v>35004</v>
      </c>
      <c r="B48" s="111">
        <v>143820</v>
      </c>
      <c r="C48" s="111">
        <v>208664</v>
      </c>
      <c r="D48" s="111">
        <v>14092</v>
      </c>
      <c r="E48" s="111">
        <v>11269</v>
      </c>
      <c r="F48" s="111">
        <v>32744</v>
      </c>
      <c r="G48" s="111">
        <v>6263</v>
      </c>
      <c r="H48" s="111">
        <v>5516</v>
      </c>
      <c r="I48" s="111">
        <v>19609</v>
      </c>
      <c r="J48" s="111">
        <v>158801</v>
      </c>
      <c r="K48" s="111">
        <v>14981</v>
      </c>
      <c r="L48" s="111">
        <v>25414</v>
      </c>
      <c r="M48" s="111">
        <v>8691</v>
      </c>
      <c r="N48" s="111">
        <v>6520</v>
      </c>
      <c r="O48" s="111">
        <v>49863</v>
      </c>
      <c r="P48" s="111">
        <v>9170</v>
      </c>
      <c r="Q48" s="111">
        <v>4532</v>
      </c>
    </row>
    <row r="49" spans="1:17" x14ac:dyDescent="0.2">
      <c r="A49" s="110">
        <v>35034</v>
      </c>
      <c r="B49" s="111">
        <v>144990</v>
      </c>
      <c r="C49" s="111">
        <v>210399</v>
      </c>
      <c r="D49" s="111">
        <v>14683</v>
      </c>
      <c r="E49" s="111">
        <v>11124</v>
      </c>
      <c r="F49" s="111">
        <v>32903</v>
      </c>
      <c r="G49" s="111">
        <v>6281</v>
      </c>
      <c r="H49" s="111">
        <v>5445</v>
      </c>
      <c r="I49" s="111">
        <v>19625</v>
      </c>
      <c r="J49" s="111">
        <v>160236</v>
      </c>
      <c r="K49" s="111">
        <v>15246</v>
      </c>
      <c r="L49" s="111">
        <v>25554</v>
      </c>
      <c r="M49" s="111">
        <v>8761</v>
      </c>
      <c r="N49" s="111">
        <v>6566</v>
      </c>
      <c r="O49" s="111">
        <v>50163</v>
      </c>
      <c r="P49" s="111">
        <v>9543</v>
      </c>
      <c r="Q49" s="111">
        <v>4505</v>
      </c>
    </row>
    <row r="50" spans="1:17" x14ac:dyDescent="0.2">
      <c r="A50" s="110">
        <v>35065</v>
      </c>
      <c r="B50" s="111">
        <v>142871</v>
      </c>
      <c r="C50" s="111">
        <v>208699</v>
      </c>
      <c r="D50" s="111">
        <v>14023</v>
      </c>
      <c r="E50" s="111">
        <v>11105</v>
      </c>
      <c r="F50" s="111">
        <v>33085</v>
      </c>
      <c r="G50" s="111">
        <v>6191</v>
      </c>
      <c r="H50" s="111">
        <v>5302</v>
      </c>
      <c r="I50" s="111">
        <v>19564</v>
      </c>
      <c r="J50" s="111">
        <v>158350</v>
      </c>
      <c r="K50" s="111">
        <v>15479</v>
      </c>
      <c r="L50" s="111">
        <v>25215</v>
      </c>
      <c r="M50" s="111">
        <v>8546</v>
      </c>
      <c r="N50" s="111">
        <v>6202</v>
      </c>
      <c r="O50" s="111">
        <v>50349</v>
      </c>
      <c r="P50" s="111">
        <v>9038</v>
      </c>
      <c r="Q50" s="111">
        <v>4600</v>
      </c>
    </row>
    <row r="51" spans="1:17" x14ac:dyDescent="0.2">
      <c r="A51" s="110">
        <v>35096</v>
      </c>
      <c r="B51" s="111">
        <v>144263</v>
      </c>
      <c r="C51" s="111">
        <v>212008</v>
      </c>
      <c r="D51" s="111">
        <v>14036</v>
      </c>
      <c r="E51" s="111">
        <v>11341</v>
      </c>
      <c r="F51" s="111">
        <v>32928</v>
      </c>
      <c r="G51" s="111">
        <v>6248</v>
      </c>
      <c r="H51" s="111">
        <v>5346</v>
      </c>
      <c r="I51" s="111">
        <v>19742</v>
      </c>
      <c r="J51" s="111">
        <v>159720</v>
      </c>
      <c r="K51" s="111">
        <v>15457</v>
      </c>
      <c r="L51" s="111">
        <v>25616</v>
      </c>
      <c r="M51" s="111">
        <v>8782</v>
      </c>
      <c r="N51" s="111">
        <v>6339</v>
      </c>
      <c r="O51" s="111">
        <v>52288</v>
      </c>
      <c r="P51" s="111">
        <v>9400</v>
      </c>
      <c r="Q51" s="111">
        <v>4485</v>
      </c>
    </row>
    <row r="52" spans="1:17" x14ac:dyDescent="0.2">
      <c r="A52" s="110">
        <v>35125</v>
      </c>
      <c r="B52" s="111">
        <v>145592</v>
      </c>
      <c r="C52" s="111">
        <v>213891</v>
      </c>
      <c r="D52" s="111">
        <v>14153</v>
      </c>
      <c r="E52" s="111">
        <v>11376</v>
      </c>
      <c r="F52" s="111">
        <v>33076</v>
      </c>
      <c r="G52" s="111">
        <v>6365</v>
      </c>
      <c r="H52" s="111">
        <v>5566</v>
      </c>
      <c r="I52" s="111">
        <v>19862</v>
      </c>
      <c r="J52" s="111">
        <v>161543</v>
      </c>
      <c r="K52" s="111">
        <v>15951</v>
      </c>
      <c r="L52" s="111">
        <v>25576</v>
      </c>
      <c r="M52" s="111">
        <v>8991</v>
      </c>
      <c r="N52" s="111">
        <v>6473</v>
      </c>
      <c r="O52" s="111">
        <v>52348</v>
      </c>
      <c r="P52" s="111">
        <v>9606</v>
      </c>
      <c r="Q52" s="111">
        <v>4548</v>
      </c>
    </row>
    <row r="53" spans="1:17" x14ac:dyDescent="0.2">
      <c r="A53" s="110">
        <v>35156</v>
      </c>
      <c r="B53" s="111">
        <v>146893</v>
      </c>
      <c r="C53" s="111">
        <v>214676</v>
      </c>
      <c r="D53" s="111">
        <v>14340</v>
      </c>
      <c r="E53" s="111">
        <v>11422</v>
      </c>
      <c r="F53" s="111">
        <v>33174</v>
      </c>
      <c r="G53" s="111">
        <v>6373</v>
      </c>
      <c r="H53" s="111">
        <v>5595</v>
      </c>
      <c r="I53" s="111">
        <v>19932</v>
      </c>
      <c r="J53" s="111">
        <v>163145</v>
      </c>
      <c r="K53" s="111">
        <v>16252</v>
      </c>
      <c r="L53" s="111">
        <v>26103</v>
      </c>
      <c r="M53" s="111">
        <v>8922</v>
      </c>
      <c r="N53" s="111">
        <v>6772</v>
      </c>
      <c r="O53" s="111">
        <v>51531</v>
      </c>
      <c r="P53" s="111">
        <v>9632</v>
      </c>
      <c r="Q53" s="111">
        <v>4628</v>
      </c>
    </row>
    <row r="54" spans="1:17" x14ac:dyDescent="0.2">
      <c r="A54" s="110">
        <v>35186</v>
      </c>
      <c r="B54" s="111">
        <v>147611</v>
      </c>
      <c r="C54" s="111">
        <v>216299</v>
      </c>
      <c r="D54" s="111">
        <v>14450</v>
      </c>
      <c r="E54" s="111">
        <v>11504</v>
      </c>
      <c r="F54" s="111">
        <v>33178</v>
      </c>
      <c r="G54" s="111">
        <v>6428</v>
      </c>
      <c r="H54" s="111">
        <v>5586</v>
      </c>
      <c r="I54" s="111">
        <v>20094</v>
      </c>
      <c r="J54" s="111">
        <v>164099</v>
      </c>
      <c r="K54" s="111">
        <v>16488</v>
      </c>
      <c r="L54" s="111">
        <v>26216</v>
      </c>
      <c r="M54" s="111">
        <v>9076</v>
      </c>
      <c r="N54" s="111">
        <v>7128</v>
      </c>
      <c r="O54" s="111">
        <v>52200</v>
      </c>
      <c r="P54" s="111">
        <v>9519</v>
      </c>
      <c r="Q54" s="111">
        <v>4432</v>
      </c>
    </row>
    <row r="55" spans="1:17" x14ac:dyDescent="0.2">
      <c r="A55" s="110">
        <v>35217</v>
      </c>
      <c r="B55" s="111">
        <v>147918</v>
      </c>
      <c r="C55" s="111">
        <v>216068</v>
      </c>
      <c r="D55" s="111">
        <v>14902</v>
      </c>
      <c r="E55" s="111">
        <v>11365</v>
      </c>
      <c r="F55" s="111">
        <v>33281</v>
      </c>
      <c r="G55" s="111">
        <v>6334</v>
      </c>
      <c r="H55" s="111">
        <v>5678</v>
      </c>
      <c r="I55" s="111">
        <v>19932</v>
      </c>
      <c r="J55" s="111">
        <v>164270</v>
      </c>
      <c r="K55" s="111">
        <v>16352</v>
      </c>
      <c r="L55" s="111">
        <v>26085</v>
      </c>
      <c r="M55" s="111">
        <v>9072</v>
      </c>
      <c r="N55" s="111">
        <v>7050</v>
      </c>
      <c r="O55" s="111">
        <v>51798</v>
      </c>
      <c r="P55" s="111">
        <v>9610</v>
      </c>
      <c r="Q55" s="111">
        <v>4609</v>
      </c>
    </row>
    <row r="56" spans="1:17" x14ac:dyDescent="0.2">
      <c r="A56" s="110">
        <v>35247</v>
      </c>
      <c r="B56" s="111">
        <v>148253</v>
      </c>
      <c r="C56" s="111">
        <v>216332</v>
      </c>
      <c r="D56" s="111">
        <v>14826</v>
      </c>
      <c r="E56" s="111">
        <v>11316</v>
      </c>
      <c r="F56" s="111">
        <v>33470</v>
      </c>
      <c r="G56" s="111">
        <v>6234</v>
      </c>
      <c r="H56" s="111">
        <v>5696</v>
      </c>
      <c r="I56" s="111">
        <v>20145</v>
      </c>
      <c r="J56" s="111">
        <v>164328</v>
      </c>
      <c r="K56" s="111">
        <v>16075</v>
      </c>
      <c r="L56" s="111">
        <v>26209</v>
      </c>
      <c r="M56" s="111">
        <v>9134</v>
      </c>
      <c r="N56" s="111">
        <v>7018</v>
      </c>
      <c r="O56" s="111">
        <v>52004</v>
      </c>
      <c r="P56" s="111">
        <v>9550</v>
      </c>
      <c r="Q56" s="111">
        <v>4655</v>
      </c>
    </row>
    <row r="57" spans="1:17" x14ac:dyDescent="0.2">
      <c r="A57" s="110">
        <v>35278</v>
      </c>
      <c r="B57" s="111">
        <v>148820</v>
      </c>
      <c r="C57" s="111">
        <v>216358</v>
      </c>
      <c r="D57" s="111">
        <v>14981</v>
      </c>
      <c r="E57" s="111">
        <v>11360</v>
      </c>
      <c r="F57" s="111">
        <v>33542</v>
      </c>
      <c r="G57" s="111">
        <v>6340</v>
      </c>
      <c r="H57" s="111">
        <v>5655</v>
      </c>
      <c r="I57" s="111">
        <v>20140</v>
      </c>
      <c r="J57" s="111">
        <v>164886</v>
      </c>
      <c r="K57" s="111">
        <v>16066</v>
      </c>
      <c r="L57" s="111">
        <v>26441</v>
      </c>
      <c r="M57" s="111">
        <v>9237</v>
      </c>
      <c r="N57" s="111">
        <v>6918</v>
      </c>
      <c r="O57" s="111">
        <v>51472</v>
      </c>
      <c r="P57" s="111">
        <v>9468</v>
      </c>
      <c r="Q57" s="111">
        <v>4738</v>
      </c>
    </row>
    <row r="58" spans="1:17" x14ac:dyDescent="0.2">
      <c r="A58" s="110">
        <v>35309</v>
      </c>
      <c r="B58" s="111">
        <v>149984</v>
      </c>
      <c r="C58" s="111">
        <v>219256</v>
      </c>
      <c r="D58" s="111">
        <v>14989</v>
      </c>
      <c r="E58" s="111">
        <v>11534</v>
      </c>
      <c r="F58" s="111">
        <v>33494</v>
      </c>
      <c r="G58" s="111">
        <v>6438</v>
      </c>
      <c r="H58" s="111">
        <v>5762</v>
      </c>
      <c r="I58" s="111">
        <v>20397</v>
      </c>
      <c r="J58" s="111">
        <v>166072</v>
      </c>
      <c r="K58" s="111">
        <v>16088</v>
      </c>
      <c r="L58" s="111">
        <v>26590</v>
      </c>
      <c r="M58" s="111">
        <v>9190</v>
      </c>
      <c r="N58" s="111">
        <v>7011</v>
      </c>
      <c r="O58" s="111">
        <v>53184</v>
      </c>
      <c r="P58" s="111">
        <v>9889</v>
      </c>
      <c r="Q58" s="111">
        <v>4690</v>
      </c>
    </row>
    <row r="59" spans="1:17" x14ac:dyDescent="0.2">
      <c r="A59" s="110">
        <v>35339</v>
      </c>
      <c r="B59" s="111">
        <v>151250</v>
      </c>
      <c r="C59" s="111">
        <v>221060</v>
      </c>
      <c r="D59" s="111">
        <v>15040</v>
      </c>
      <c r="E59" s="111">
        <v>11577</v>
      </c>
      <c r="F59" s="111">
        <v>33704</v>
      </c>
      <c r="G59" s="111">
        <v>6428</v>
      </c>
      <c r="H59" s="111">
        <v>5779</v>
      </c>
      <c r="I59" s="111">
        <v>20551</v>
      </c>
      <c r="J59" s="111">
        <v>167610</v>
      </c>
      <c r="K59" s="111">
        <v>16360</v>
      </c>
      <c r="L59" s="111">
        <v>26904</v>
      </c>
      <c r="M59" s="111">
        <v>9363</v>
      </c>
      <c r="N59" s="111">
        <v>7110</v>
      </c>
      <c r="O59" s="111">
        <v>53450</v>
      </c>
      <c r="P59" s="111">
        <v>10025</v>
      </c>
      <c r="Q59" s="111">
        <v>4769</v>
      </c>
    </row>
    <row r="60" spans="1:17" x14ac:dyDescent="0.2">
      <c r="A60" s="110">
        <v>35370</v>
      </c>
      <c r="B60" s="111">
        <v>151651</v>
      </c>
      <c r="C60" s="111">
        <v>220963</v>
      </c>
      <c r="D60" s="111">
        <v>15264</v>
      </c>
      <c r="E60" s="111">
        <v>11318</v>
      </c>
      <c r="F60" s="111">
        <v>33734</v>
      </c>
      <c r="G60" s="111">
        <v>6356</v>
      </c>
      <c r="H60" s="111">
        <v>5768</v>
      </c>
      <c r="I60" s="111">
        <v>20789</v>
      </c>
      <c r="J60" s="111">
        <v>168253</v>
      </c>
      <c r="K60" s="111">
        <v>16602</v>
      </c>
      <c r="L60" s="111">
        <v>26772</v>
      </c>
      <c r="M60" s="111">
        <v>9414</v>
      </c>
      <c r="N60" s="111">
        <v>7154</v>
      </c>
      <c r="O60" s="111">
        <v>52710</v>
      </c>
      <c r="P60" s="111">
        <v>10390</v>
      </c>
      <c r="Q60" s="111">
        <v>4692</v>
      </c>
    </row>
    <row r="61" spans="1:17" x14ac:dyDescent="0.2">
      <c r="A61" s="110">
        <v>35400</v>
      </c>
      <c r="B61" s="111">
        <v>152397</v>
      </c>
      <c r="C61" s="111">
        <v>221991</v>
      </c>
      <c r="D61" s="111">
        <v>14980</v>
      </c>
      <c r="E61" s="111">
        <v>11435</v>
      </c>
      <c r="F61" s="111">
        <v>33819</v>
      </c>
      <c r="G61" s="111">
        <v>6305</v>
      </c>
      <c r="H61" s="111">
        <v>5746</v>
      </c>
      <c r="I61" s="111">
        <v>20707</v>
      </c>
      <c r="J61" s="111">
        <v>169156</v>
      </c>
      <c r="K61" s="111">
        <v>16759</v>
      </c>
      <c r="L61" s="111">
        <v>27051</v>
      </c>
      <c r="M61" s="111">
        <v>9505</v>
      </c>
      <c r="N61" s="111">
        <v>7144</v>
      </c>
      <c r="O61" s="111">
        <v>52835</v>
      </c>
      <c r="P61" s="111">
        <v>10765</v>
      </c>
      <c r="Q61" s="111">
        <v>4940</v>
      </c>
    </row>
    <row r="62" spans="1:17" x14ac:dyDescent="0.2">
      <c r="A62" s="110">
        <v>35431</v>
      </c>
      <c r="B62" s="111">
        <v>152533</v>
      </c>
      <c r="C62" s="111">
        <v>223481</v>
      </c>
      <c r="D62" s="111">
        <v>15197</v>
      </c>
      <c r="E62" s="111">
        <v>11513</v>
      </c>
      <c r="F62" s="111">
        <v>34049</v>
      </c>
      <c r="G62" s="111">
        <v>6128</v>
      </c>
      <c r="H62" s="111">
        <v>5823</v>
      </c>
      <c r="I62" s="111">
        <v>21110</v>
      </c>
      <c r="J62" s="111">
        <v>169471</v>
      </c>
      <c r="K62" s="111">
        <v>16938</v>
      </c>
      <c r="L62" s="111">
        <v>27216</v>
      </c>
      <c r="M62" s="111">
        <v>9448</v>
      </c>
      <c r="N62" s="111">
        <v>7295</v>
      </c>
      <c r="O62" s="111">
        <v>54010</v>
      </c>
      <c r="P62" s="111">
        <v>10006</v>
      </c>
      <c r="Q62" s="111">
        <v>4748</v>
      </c>
    </row>
    <row r="63" spans="1:17" x14ac:dyDescent="0.2">
      <c r="A63" s="110">
        <v>35462</v>
      </c>
      <c r="B63" s="111">
        <v>153837</v>
      </c>
      <c r="C63" s="111">
        <v>225422</v>
      </c>
      <c r="D63" s="111">
        <v>15561</v>
      </c>
      <c r="E63" s="111">
        <v>11468</v>
      </c>
      <c r="F63" s="111">
        <v>33989</v>
      </c>
      <c r="G63" s="111">
        <v>6370</v>
      </c>
      <c r="H63" s="111">
        <v>5847</v>
      </c>
      <c r="I63" s="111">
        <v>21136</v>
      </c>
      <c r="J63" s="111">
        <v>170821</v>
      </c>
      <c r="K63" s="111">
        <v>16984</v>
      </c>
      <c r="L63" s="111">
        <v>27262</v>
      </c>
      <c r="M63" s="111">
        <v>9649</v>
      </c>
      <c r="N63" s="111">
        <v>7539</v>
      </c>
      <c r="O63" s="111">
        <v>54601</v>
      </c>
      <c r="P63" s="111">
        <v>10350</v>
      </c>
      <c r="Q63" s="111">
        <v>4666</v>
      </c>
    </row>
    <row r="64" spans="1:17" x14ac:dyDescent="0.2">
      <c r="A64" s="110">
        <v>35490</v>
      </c>
      <c r="B64" s="111">
        <v>154959</v>
      </c>
      <c r="C64" s="111">
        <v>226161</v>
      </c>
      <c r="D64" s="111">
        <v>15862</v>
      </c>
      <c r="E64" s="111">
        <v>11623</v>
      </c>
      <c r="F64" s="111">
        <v>34156</v>
      </c>
      <c r="G64" s="111">
        <v>6360</v>
      </c>
      <c r="H64" s="111">
        <v>5916</v>
      </c>
      <c r="I64" s="111">
        <v>21171</v>
      </c>
      <c r="J64" s="111">
        <v>171928</v>
      </c>
      <c r="K64" s="111">
        <v>16969</v>
      </c>
      <c r="L64" s="111">
        <v>27304</v>
      </c>
      <c r="M64" s="111">
        <v>9922</v>
      </c>
      <c r="N64" s="111">
        <v>7459</v>
      </c>
      <c r="O64" s="111">
        <v>54233</v>
      </c>
      <c r="P64" s="111">
        <v>10488</v>
      </c>
      <c r="Q64" s="111">
        <v>4698</v>
      </c>
    </row>
    <row r="65" spans="1:17" x14ac:dyDescent="0.2">
      <c r="A65" s="110">
        <v>35521</v>
      </c>
      <c r="B65" s="111">
        <v>154141</v>
      </c>
      <c r="C65" s="111">
        <v>224615</v>
      </c>
      <c r="D65" s="111">
        <v>15709</v>
      </c>
      <c r="E65" s="111">
        <v>11195</v>
      </c>
      <c r="F65" s="111">
        <v>34056</v>
      </c>
      <c r="G65" s="111">
        <v>6456</v>
      </c>
      <c r="H65" s="111">
        <v>5968</v>
      </c>
      <c r="I65" s="111">
        <v>21216</v>
      </c>
      <c r="J65" s="111">
        <v>170754</v>
      </c>
      <c r="K65" s="111">
        <v>16613</v>
      </c>
      <c r="L65" s="111">
        <v>27179</v>
      </c>
      <c r="M65" s="111">
        <v>9578</v>
      </c>
      <c r="N65" s="111">
        <v>7417</v>
      </c>
      <c r="O65" s="111">
        <v>53861</v>
      </c>
      <c r="P65" s="111">
        <v>10642</v>
      </c>
      <c r="Q65" s="111">
        <v>4725</v>
      </c>
    </row>
    <row r="66" spans="1:17" x14ac:dyDescent="0.2">
      <c r="A66" s="110">
        <v>35551</v>
      </c>
      <c r="B66" s="111">
        <v>154371</v>
      </c>
      <c r="C66" s="111">
        <v>222929</v>
      </c>
      <c r="D66" s="111">
        <v>15805</v>
      </c>
      <c r="E66" s="111">
        <v>11413</v>
      </c>
      <c r="F66" s="111">
        <v>33978</v>
      </c>
      <c r="G66" s="111">
        <v>6400</v>
      </c>
      <c r="H66" s="111">
        <v>6004</v>
      </c>
      <c r="I66" s="111">
        <v>21230</v>
      </c>
      <c r="J66" s="111">
        <v>170738</v>
      </c>
      <c r="K66" s="111">
        <v>16367</v>
      </c>
      <c r="L66" s="111">
        <v>27328</v>
      </c>
      <c r="M66" s="111">
        <v>9722</v>
      </c>
      <c r="N66" s="111">
        <v>7181</v>
      </c>
      <c r="O66" s="111">
        <v>52191</v>
      </c>
      <c r="P66" s="111">
        <v>10547</v>
      </c>
      <c r="Q66" s="111">
        <v>4763</v>
      </c>
    </row>
    <row r="67" spans="1:17" x14ac:dyDescent="0.2">
      <c r="A67" s="110">
        <v>35582</v>
      </c>
      <c r="B67" s="111">
        <v>155613</v>
      </c>
      <c r="C67" s="111">
        <v>226057</v>
      </c>
      <c r="D67" s="111">
        <v>15918</v>
      </c>
      <c r="E67" s="111">
        <v>11643</v>
      </c>
      <c r="F67" s="111">
        <v>33892</v>
      </c>
      <c r="G67" s="111">
        <v>6440</v>
      </c>
      <c r="H67" s="111">
        <v>6034</v>
      </c>
      <c r="I67" s="111">
        <v>21382</v>
      </c>
      <c r="J67" s="111">
        <v>171991</v>
      </c>
      <c r="K67" s="111">
        <v>16378</v>
      </c>
      <c r="L67" s="111">
        <v>27433</v>
      </c>
      <c r="M67" s="111">
        <v>9916</v>
      </c>
      <c r="N67" s="111">
        <v>7474</v>
      </c>
      <c r="O67" s="111">
        <v>54066</v>
      </c>
      <c r="P67" s="111">
        <v>10643</v>
      </c>
      <c r="Q67" s="111">
        <v>4838</v>
      </c>
    </row>
    <row r="68" spans="1:17" x14ac:dyDescent="0.2">
      <c r="A68" s="110">
        <v>35612</v>
      </c>
      <c r="B68" s="111">
        <v>157052</v>
      </c>
      <c r="C68" s="111">
        <v>228703</v>
      </c>
      <c r="D68" s="111">
        <v>15973</v>
      </c>
      <c r="E68" s="111">
        <v>11735</v>
      </c>
      <c r="F68" s="111">
        <v>34106</v>
      </c>
      <c r="G68" s="111">
        <v>6525</v>
      </c>
      <c r="H68" s="111">
        <v>6039</v>
      </c>
      <c r="I68" s="111">
        <v>21689</v>
      </c>
      <c r="J68" s="111">
        <v>173448</v>
      </c>
      <c r="K68" s="111">
        <v>16396</v>
      </c>
      <c r="L68" s="111">
        <v>27949</v>
      </c>
      <c r="M68" s="111">
        <v>9950</v>
      </c>
      <c r="N68" s="111">
        <v>7464</v>
      </c>
      <c r="O68" s="111">
        <v>55255</v>
      </c>
      <c r="P68" s="111">
        <v>10836</v>
      </c>
      <c r="Q68" s="111">
        <v>4786</v>
      </c>
    </row>
    <row r="69" spans="1:17" x14ac:dyDescent="0.2">
      <c r="A69" s="110">
        <v>35643</v>
      </c>
      <c r="B69" s="111">
        <v>157139</v>
      </c>
      <c r="C69" s="111">
        <v>229309</v>
      </c>
      <c r="D69" s="111">
        <v>16027</v>
      </c>
      <c r="E69" s="111">
        <v>11828</v>
      </c>
      <c r="F69" s="111">
        <v>34256</v>
      </c>
      <c r="G69" s="111">
        <v>6541</v>
      </c>
      <c r="H69" s="111">
        <v>6146</v>
      </c>
      <c r="I69" s="111">
        <v>21674</v>
      </c>
      <c r="J69" s="111">
        <v>173821</v>
      </c>
      <c r="K69" s="111">
        <v>16682</v>
      </c>
      <c r="L69" s="111">
        <v>27939</v>
      </c>
      <c r="M69" s="111">
        <v>9989</v>
      </c>
      <c r="N69" s="111">
        <v>7562</v>
      </c>
      <c r="O69" s="111">
        <v>55488</v>
      </c>
      <c r="P69" s="111">
        <v>10432</v>
      </c>
      <c r="Q69" s="111">
        <v>4745</v>
      </c>
    </row>
    <row r="70" spans="1:17" x14ac:dyDescent="0.2">
      <c r="A70" s="110">
        <v>35674</v>
      </c>
      <c r="B70" s="111">
        <v>158221</v>
      </c>
      <c r="C70" s="111">
        <v>230312</v>
      </c>
      <c r="D70" s="111">
        <v>16283</v>
      </c>
      <c r="E70" s="111">
        <v>11845</v>
      </c>
      <c r="F70" s="111">
        <v>34281</v>
      </c>
      <c r="G70" s="111">
        <v>6559</v>
      </c>
      <c r="H70" s="111">
        <v>6162</v>
      </c>
      <c r="I70" s="111">
        <v>21986</v>
      </c>
      <c r="J70" s="111">
        <v>174978</v>
      </c>
      <c r="K70" s="111">
        <v>16757</v>
      </c>
      <c r="L70" s="111">
        <v>27868</v>
      </c>
      <c r="M70" s="111">
        <v>10077</v>
      </c>
      <c r="N70" s="111">
        <v>7664</v>
      </c>
      <c r="O70" s="111">
        <v>55334</v>
      </c>
      <c r="P70" s="111">
        <v>10669</v>
      </c>
      <c r="Q70" s="111">
        <v>4827</v>
      </c>
    </row>
    <row r="71" spans="1:17" x14ac:dyDescent="0.2">
      <c r="A71" s="110">
        <v>35704</v>
      </c>
      <c r="B71" s="111">
        <v>158269</v>
      </c>
      <c r="C71" s="111">
        <v>229836</v>
      </c>
      <c r="D71" s="111">
        <v>16232</v>
      </c>
      <c r="E71" s="111">
        <v>11881</v>
      </c>
      <c r="F71" s="111">
        <v>34348</v>
      </c>
      <c r="G71" s="111">
        <v>6572</v>
      </c>
      <c r="H71" s="111">
        <v>6154</v>
      </c>
      <c r="I71" s="111">
        <v>21758</v>
      </c>
      <c r="J71" s="111">
        <v>174980</v>
      </c>
      <c r="K71" s="111">
        <v>16711</v>
      </c>
      <c r="L71" s="111">
        <v>28155</v>
      </c>
      <c r="M71" s="111">
        <v>10058</v>
      </c>
      <c r="N71" s="111">
        <v>7704</v>
      </c>
      <c r="O71" s="111">
        <v>54856</v>
      </c>
      <c r="P71" s="111">
        <v>10529</v>
      </c>
      <c r="Q71" s="111">
        <v>4878</v>
      </c>
    </row>
    <row r="72" spans="1:17" x14ac:dyDescent="0.2">
      <c r="A72" s="110">
        <v>35735</v>
      </c>
      <c r="B72" s="111">
        <v>158488</v>
      </c>
      <c r="C72" s="111">
        <v>230440</v>
      </c>
      <c r="D72" s="111">
        <v>16158</v>
      </c>
      <c r="E72" s="111">
        <v>11936</v>
      </c>
      <c r="F72" s="111">
        <v>34230</v>
      </c>
      <c r="G72" s="111">
        <v>6628</v>
      </c>
      <c r="H72" s="111">
        <v>6267</v>
      </c>
      <c r="I72" s="111">
        <v>21504</v>
      </c>
      <c r="J72" s="111">
        <v>175126</v>
      </c>
      <c r="K72" s="111">
        <v>16638</v>
      </c>
      <c r="L72" s="111">
        <v>28151</v>
      </c>
      <c r="M72" s="111">
        <v>10217</v>
      </c>
      <c r="N72" s="111">
        <v>7707</v>
      </c>
      <c r="O72" s="111">
        <v>55314</v>
      </c>
      <c r="P72" s="111">
        <v>10675</v>
      </c>
      <c r="Q72" s="111">
        <v>5015</v>
      </c>
    </row>
    <row r="73" spans="1:17" x14ac:dyDescent="0.2">
      <c r="A73" s="110">
        <v>35765</v>
      </c>
      <c r="B73" s="111">
        <v>158882</v>
      </c>
      <c r="C73" s="111">
        <v>231181</v>
      </c>
      <c r="D73" s="111">
        <v>16356</v>
      </c>
      <c r="E73" s="111">
        <v>12110</v>
      </c>
      <c r="F73" s="111">
        <v>34190</v>
      </c>
      <c r="G73" s="111">
        <v>6659</v>
      </c>
      <c r="H73" s="111">
        <v>6290</v>
      </c>
      <c r="I73" s="111">
        <v>21818</v>
      </c>
      <c r="J73" s="111">
        <v>175418</v>
      </c>
      <c r="K73" s="111">
        <v>16536</v>
      </c>
      <c r="L73" s="111">
        <v>28008</v>
      </c>
      <c r="M73" s="111">
        <v>10201</v>
      </c>
      <c r="N73" s="111">
        <v>7845</v>
      </c>
      <c r="O73" s="111">
        <v>55763</v>
      </c>
      <c r="P73" s="111">
        <v>10490</v>
      </c>
      <c r="Q73" s="111">
        <v>4915</v>
      </c>
    </row>
    <row r="74" spans="1:17" x14ac:dyDescent="0.2">
      <c r="A74" s="110">
        <v>35796</v>
      </c>
      <c r="B74" s="111">
        <v>159868</v>
      </c>
      <c r="C74" s="111">
        <v>231587</v>
      </c>
      <c r="D74" s="111">
        <v>16436</v>
      </c>
      <c r="E74" s="111">
        <v>12154</v>
      </c>
      <c r="F74" s="111">
        <v>34126</v>
      </c>
      <c r="G74" s="111">
        <v>6776</v>
      </c>
      <c r="H74" s="111">
        <v>6377</v>
      </c>
      <c r="I74" s="111">
        <v>21921</v>
      </c>
      <c r="J74" s="111">
        <v>176093</v>
      </c>
      <c r="K74" s="111">
        <v>16225</v>
      </c>
      <c r="L74" s="111">
        <v>28402</v>
      </c>
      <c r="M74" s="111">
        <v>10382</v>
      </c>
      <c r="N74" s="111">
        <v>8070</v>
      </c>
      <c r="O74" s="111">
        <v>55494</v>
      </c>
      <c r="P74" s="111">
        <v>10390</v>
      </c>
      <c r="Q74" s="111">
        <v>4834</v>
      </c>
    </row>
    <row r="75" spans="1:17" x14ac:dyDescent="0.2">
      <c r="A75" s="110">
        <v>35827</v>
      </c>
      <c r="B75" s="111">
        <v>160789</v>
      </c>
      <c r="C75" s="111">
        <v>231684</v>
      </c>
      <c r="D75" s="111">
        <v>16462</v>
      </c>
      <c r="E75" s="111">
        <v>12199</v>
      </c>
      <c r="F75" s="111">
        <v>34102</v>
      </c>
      <c r="G75" s="111">
        <v>6797</v>
      </c>
      <c r="H75" s="111">
        <v>6342</v>
      </c>
      <c r="I75" s="111">
        <v>22132</v>
      </c>
      <c r="J75" s="111">
        <v>176843</v>
      </c>
      <c r="K75" s="111">
        <v>16054</v>
      </c>
      <c r="L75" s="111">
        <v>28748</v>
      </c>
      <c r="M75" s="111">
        <v>10406</v>
      </c>
      <c r="N75" s="111">
        <v>7948</v>
      </c>
      <c r="O75" s="111">
        <v>54841</v>
      </c>
      <c r="P75" s="111">
        <v>10626</v>
      </c>
      <c r="Q75" s="111">
        <v>5027</v>
      </c>
    </row>
    <row r="76" spans="1:17" x14ac:dyDescent="0.2">
      <c r="A76" s="110">
        <v>35855</v>
      </c>
      <c r="B76" s="111">
        <v>161245</v>
      </c>
      <c r="C76" s="111">
        <v>233083</v>
      </c>
      <c r="D76" s="111">
        <v>16511</v>
      </c>
      <c r="E76" s="111">
        <v>12164</v>
      </c>
      <c r="F76" s="111">
        <v>34275</v>
      </c>
      <c r="G76" s="111">
        <v>6788</v>
      </c>
      <c r="H76" s="111">
        <v>6340</v>
      </c>
      <c r="I76" s="111">
        <v>22251</v>
      </c>
      <c r="J76" s="111">
        <v>176948</v>
      </c>
      <c r="K76" s="111">
        <v>15703</v>
      </c>
      <c r="L76" s="111">
        <v>28714</v>
      </c>
      <c r="M76" s="111">
        <v>10393</v>
      </c>
      <c r="N76" s="111">
        <v>7957</v>
      </c>
      <c r="O76" s="111">
        <v>56135</v>
      </c>
      <c r="P76" s="111">
        <v>10844</v>
      </c>
      <c r="Q76" s="111">
        <v>5008</v>
      </c>
    </row>
    <row r="77" spans="1:17" x14ac:dyDescent="0.2">
      <c r="A77" s="110">
        <v>35886</v>
      </c>
      <c r="B77" s="111">
        <v>162724</v>
      </c>
      <c r="C77" s="111">
        <v>235986</v>
      </c>
      <c r="D77" s="111">
        <v>16716</v>
      </c>
      <c r="E77" s="111">
        <v>12459</v>
      </c>
      <c r="F77" s="111">
        <v>34374</v>
      </c>
      <c r="G77" s="111">
        <v>6766</v>
      </c>
      <c r="H77" s="111">
        <v>6369</v>
      </c>
      <c r="I77" s="111">
        <v>22353</v>
      </c>
      <c r="J77" s="111">
        <v>178522</v>
      </c>
      <c r="K77" s="111">
        <v>15798</v>
      </c>
      <c r="L77" s="111">
        <v>29123</v>
      </c>
      <c r="M77" s="111">
        <v>10620</v>
      </c>
      <c r="N77" s="111">
        <v>7916</v>
      </c>
      <c r="O77" s="111">
        <v>57464</v>
      </c>
      <c r="P77" s="111">
        <v>10992</v>
      </c>
      <c r="Q77" s="111">
        <v>5036</v>
      </c>
    </row>
    <row r="78" spans="1:17" x14ac:dyDescent="0.2">
      <c r="A78" s="110">
        <v>35916</v>
      </c>
      <c r="B78" s="111">
        <v>163136</v>
      </c>
      <c r="C78" s="111">
        <v>237075</v>
      </c>
      <c r="D78" s="111">
        <v>16741</v>
      </c>
      <c r="E78" s="111">
        <v>12304</v>
      </c>
      <c r="F78" s="111">
        <v>34534</v>
      </c>
      <c r="G78" s="111">
        <v>6829</v>
      </c>
      <c r="H78" s="111">
        <v>6359</v>
      </c>
      <c r="I78" s="111">
        <v>22436</v>
      </c>
      <c r="J78" s="111">
        <v>179193</v>
      </c>
      <c r="K78" s="111">
        <v>16057</v>
      </c>
      <c r="L78" s="111">
        <v>29076</v>
      </c>
      <c r="M78" s="111">
        <v>10645</v>
      </c>
      <c r="N78" s="111">
        <v>8037</v>
      </c>
      <c r="O78" s="111">
        <v>57882</v>
      </c>
      <c r="P78" s="111">
        <v>11189</v>
      </c>
      <c r="Q78" s="111">
        <v>4986</v>
      </c>
    </row>
    <row r="79" spans="1:17" x14ac:dyDescent="0.2">
      <c r="A79" s="110">
        <v>35947</v>
      </c>
      <c r="B79" s="111">
        <v>163774</v>
      </c>
      <c r="C79" s="111">
        <v>238971</v>
      </c>
      <c r="D79" s="111">
        <v>16662</v>
      </c>
      <c r="E79" s="111">
        <v>12447</v>
      </c>
      <c r="F79" s="111">
        <v>34592</v>
      </c>
      <c r="G79" s="111">
        <v>6921</v>
      </c>
      <c r="H79" s="111">
        <v>6426</v>
      </c>
      <c r="I79" s="111">
        <v>22634</v>
      </c>
      <c r="J79" s="111">
        <v>179707</v>
      </c>
      <c r="K79" s="111">
        <v>15933</v>
      </c>
      <c r="L79" s="111">
        <v>29170</v>
      </c>
      <c r="M79" s="111">
        <v>10672</v>
      </c>
      <c r="N79" s="111">
        <v>8064</v>
      </c>
      <c r="O79" s="111">
        <v>59264</v>
      </c>
      <c r="P79" s="111">
        <v>11103</v>
      </c>
      <c r="Q79" s="111">
        <v>5083</v>
      </c>
    </row>
    <row r="80" spans="1:17" x14ac:dyDescent="0.2">
      <c r="A80" s="110">
        <v>35977</v>
      </c>
      <c r="B80" s="111">
        <v>165004</v>
      </c>
      <c r="C80" s="111">
        <v>237411</v>
      </c>
      <c r="D80" s="111">
        <v>16819</v>
      </c>
      <c r="E80" s="111">
        <v>12559</v>
      </c>
      <c r="F80" s="111">
        <v>34856</v>
      </c>
      <c r="G80" s="111">
        <v>6960</v>
      </c>
      <c r="H80" s="111">
        <v>6447</v>
      </c>
      <c r="I80" s="111">
        <v>22570</v>
      </c>
      <c r="J80" s="111">
        <v>181091</v>
      </c>
      <c r="K80" s="111">
        <v>16087</v>
      </c>
      <c r="L80" s="111">
        <v>29113</v>
      </c>
      <c r="M80" s="111">
        <v>10828</v>
      </c>
      <c r="N80" s="111">
        <v>8240</v>
      </c>
      <c r="O80" s="111">
        <v>56320</v>
      </c>
      <c r="P80" s="111">
        <v>11580</v>
      </c>
      <c r="Q80" s="111">
        <v>5032</v>
      </c>
    </row>
    <row r="81" spans="1:17" x14ac:dyDescent="0.2">
      <c r="A81" s="110">
        <v>36008</v>
      </c>
      <c r="B81" s="111">
        <v>165531</v>
      </c>
      <c r="C81" s="111">
        <v>236379</v>
      </c>
      <c r="D81" s="111">
        <v>16828</v>
      </c>
      <c r="E81" s="111">
        <v>12460</v>
      </c>
      <c r="F81" s="111">
        <v>34950</v>
      </c>
      <c r="G81" s="111">
        <v>7047</v>
      </c>
      <c r="H81" s="111">
        <v>6444</v>
      </c>
      <c r="I81" s="111">
        <v>22743</v>
      </c>
      <c r="J81" s="111">
        <v>181382</v>
      </c>
      <c r="K81" s="111">
        <v>15851</v>
      </c>
      <c r="L81" s="111">
        <v>29274</v>
      </c>
      <c r="M81" s="111">
        <v>11019</v>
      </c>
      <c r="N81" s="111">
        <v>8334</v>
      </c>
      <c r="O81" s="111">
        <v>54997</v>
      </c>
      <c r="P81" s="111">
        <v>11375</v>
      </c>
      <c r="Q81" s="111">
        <v>5057</v>
      </c>
    </row>
    <row r="82" spans="1:17" x14ac:dyDescent="0.2">
      <c r="A82" s="110">
        <v>36039</v>
      </c>
      <c r="B82" s="111">
        <v>165542</v>
      </c>
      <c r="C82" s="111">
        <v>238550</v>
      </c>
      <c r="D82" s="111">
        <v>16972</v>
      </c>
      <c r="E82" s="111">
        <v>12180</v>
      </c>
      <c r="F82" s="111">
        <v>34916</v>
      </c>
      <c r="G82" s="111">
        <v>6954</v>
      </c>
      <c r="H82" s="111">
        <v>6419</v>
      </c>
      <c r="I82" s="111">
        <v>22830</v>
      </c>
      <c r="J82" s="111">
        <v>181354</v>
      </c>
      <c r="K82" s="111">
        <v>15812</v>
      </c>
      <c r="L82" s="111">
        <v>29559</v>
      </c>
      <c r="M82" s="111">
        <v>10985</v>
      </c>
      <c r="N82" s="111">
        <v>8378</v>
      </c>
      <c r="O82" s="111">
        <v>57196</v>
      </c>
      <c r="P82" s="111">
        <v>11302</v>
      </c>
      <c r="Q82" s="111">
        <v>5047</v>
      </c>
    </row>
    <row r="83" spans="1:17" x14ac:dyDescent="0.2">
      <c r="A83" s="110">
        <v>36069</v>
      </c>
      <c r="B83" s="111">
        <v>167307</v>
      </c>
      <c r="C83" s="111">
        <v>242549</v>
      </c>
      <c r="D83" s="111">
        <v>17209</v>
      </c>
      <c r="E83" s="111">
        <v>12540</v>
      </c>
      <c r="F83" s="111">
        <v>35093</v>
      </c>
      <c r="G83" s="111">
        <v>6940</v>
      </c>
      <c r="H83" s="111">
        <v>6504</v>
      </c>
      <c r="I83" s="111">
        <v>23066</v>
      </c>
      <c r="J83" s="111">
        <v>183255</v>
      </c>
      <c r="K83" s="111">
        <v>15948</v>
      </c>
      <c r="L83" s="111">
        <v>29720</v>
      </c>
      <c r="M83" s="111">
        <v>11106</v>
      </c>
      <c r="N83" s="111">
        <v>8444</v>
      </c>
      <c r="O83" s="111">
        <v>59294</v>
      </c>
      <c r="P83" s="111">
        <v>11577</v>
      </c>
      <c r="Q83" s="111">
        <v>5108</v>
      </c>
    </row>
    <row r="84" spans="1:17" x14ac:dyDescent="0.2">
      <c r="A84" s="110">
        <v>36100</v>
      </c>
      <c r="B84" s="111">
        <v>168460</v>
      </c>
      <c r="C84" s="111">
        <v>244291</v>
      </c>
      <c r="D84" s="111">
        <v>17341</v>
      </c>
      <c r="E84" s="111">
        <v>12736</v>
      </c>
      <c r="F84" s="111">
        <v>35140</v>
      </c>
      <c r="G84" s="111">
        <v>7000</v>
      </c>
      <c r="H84" s="111">
        <v>6666</v>
      </c>
      <c r="I84" s="111">
        <v>23157</v>
      </c>
      <c r="J84" s="111">
        <v>184474</v>
      </c>
      <c r="K84" s="111">
        <v>16014</v>
      </c>
      <c r="L84" s="111">
        <v>30094</v>
      </c>
      <c r="M84" s="111">
        <v>11232</v>
      </c>
      <c r="N84" s="111">
        <v>8448</v>
      </c>
      <c r="O84" s="111">
        <v>59817</v>
      </c>
      <c r="P84" s="111">
        <v>11553</v>
      </c>
      <c r="Q84" s="111">
        <v>5093</v>
      </c>
    </row>
    <row r="85" spans="1:17" x14ac:dyDescent="0.2">
      <c r="A85" s="110">
        <v>36130</v>
      </c>
      <c r="B85" s="111">
        <v>169658</v>
      </c>
      <c r="C85" s="111">
        <v>246530</v>
      </c>
      <c r="D85" s="111">
        <v>17702</v>
      </c>
      <c r="E85" s="111">
        <v>12746</v>
      </c>
      <c r="F85" s="111">
        <v>35533</v>
      </c>
      <c r="G85" s="111">
        <v>6964</v>
      </c>
      <c r="H85" s="111">
        <v>6687</v>
      </c>
      <c r="I85" s="111">
        <v>23351</v>
      </c>
      <c r="J85" s="111">
        <v>186057</v>
      </c>
      <c r="K85" s="111">
        <v>16399</v>
      </c>
      <c r="L85" s="111">
        <v>30129</v>
      </c>
      <c r="M85" s="111">
        <v>11311</v>
      </c>
      <c r="N85" s="111">
        <v>8622</v>
      </c>
      <c r="O85" s="111">
        <v>60473</v>
      </c>
      <c r="P85" s="111">
        <v>11459</v>
      </c>
      <c r="Q85" s="111">
        <v>5154</v>
      </c>
    </row>
    <row r="86" spans="1:17" x14ac:dyDescent="0.2">
      <c r="A86" s="110">
        <v>36161</v>
      </c>
      <c r="B86" s="111">
        <v>169939</v>
      </c>
      <c r="C86" s="111">
        <v>246868</v>
      </c>
      <c r="D86" s="111">
        <v>17732</v>
      </c>
      <c r="E86" s="111">
        <v>12897</v>
      </c>
      <c r="F86" s="111">
        <v>35447</v>
      </c>
      <c r="G86" s="111">
        <v>7000</v>
      </c>
      <c r="H86" s="111">
        <v>6617</v>
      </c>
      <c r="I86" s="111">
        <v>22871</v>
      </c>
      <c r="J86" s="111">
        <v>186333</v>
      </c>
      <c r="K86" s="111">
        <v>16394</v>
      </c>
      <c r="L86" s="111">
        <v>30664</v>
      </c>
      <c r="M86" s="111">
        <v>11415</v>
      </c>
      <c r="N86" s="111">
        <v>8454</v>
      </c>
      <c r="O86" s="111">
        <v>60535</v>
      </c>
      <c r="P86" s="111">
        <v>11720</v>
      </c>
      <c r="Q86" s="111">
        <v>5122</v>
      </c>
    </row>
    <row r="87" spans="1:17" x14ac:dyDescent="0.2">
      <c r="A87" s="110">
        <v>36192</v>
      </c>
      <c r="B87" s="111">
        <v>171951</v>
      </c>
      <c r="C87" s="111">
        <v>249520</v>
      </c>
      <c r="D87" s="111">
        <v>17943</v>
      </c>
      <c r="E87" s="111">
        <v>12920</v>
      </c>
      <c r="F87" s="111">
        <v>35707</v>
      </c>
      <c r="G87" s="111">
        <v>7024</v>
      </c>
      <c r="H87" s="111">
        <v>6767</v>
      </c>
      <c r="I87" s="111">
        <v>23270</v>
      </c>
      <c r="J87" s="111">
        <v>188260</v>
      </c>
      <c r="K87" s="111">
        <v>16309</v>
      </c>
      <c r="L87" s="111">
        <v>31094</v>
      </c>
      <c r="M87" s="111">
        <v>11498</v>
      </c>
      <c r="N87" s="111">
        <v>8615</v>
      </c>
      <c r="O87" s="111">
        <v>61260</v>
      </c>
      <c r="P87" s="111">
        <v>11821</v>
      </c>
      <c r="Q87" s="111">
        <v>5292</v>
      </c>
    </row>
    <row r="88" spans="1:17" x14ac:dyDescent="0.2">
      <c r="A88" s="110">
        <v>36220</v>
      </c>
      <c r="B88" s="111">
        <v>172497</v>
      </c>
      <c r="C88" s="111">
        <v>250667</v>
      </c>
      <c r="D88" s="111">
        <v>17760</v>
      </c>
      <c r="E88" s="111">
        <v>13075</v>
      </c>
      <c r="F88" s="111">
        <v>35652</v>
      </c>
      <c r="G88" s="111">
        <v>7116</v>
      </c>
      <c r="H88" s="111">
        <v>6831</v>
      </c>
      <c r="I88" s="111">
        <v>23250</v>
      </c>
      <c r="J88" s="111">
        <v>189026</v>
      </c>
      <c r="K88" s="111">
        <v>16529</v>
      </c>
      <c r="L88" s="111">
        <v>31390</v>
      </c>
      <c r="M88" s="111">
        <v>11595</v>
      </c>
      <c r="N88" s="111">
        <v>8503</v>
      </c>
      <c r="O88" s="111">
        <v>61641</v>
      </c>
      <c r="P88" s="111">
        <v>12052</v>
      </c>
      <c r="Q88" s="111">
        <v>5273</v>
      </c>
    </row>
    <row r="89" spans="1:17" x14ac:dyDescent="0.2">
      <c r="A89" s="110">
        <v>36251</v>
      </c>
      <c r="B89" s="111">
        <v>173212</v>
      </c>
      <c r="C89" s="111">
        <v>252477</v>
      </c>
      <c r="D89" s="111">
        <v>17791</v>
      </c>
      <c r="E89" s="111">
        <v>13139</v>
      </c>
      <c r="F89" s="111">
        <v>36013</v>
      </c>
      <c r="G89" s="111">
        <v>7195</v>
      </c>
      <c r="H89" s="111">
        <v>6794</v>
      </c>
      <c r="I89" s="111">
        <v>23440</v>
      </c>
      <c r="J89" s="111">
        <v>190327</v>
      </c>
      <c r="K89" s="111">
        <v>17115</v>
      </c>
      <c r="L89" s="111">
        <v>31009</v>
      </c>
      <c r="M89" s="111">
        <v>11619</v>
      </c>
      <c r="N89" s="111">
        <v>8590</v>
      </c>
      <c r="O89" s="111">
        <v>62150</v>
      </c>
      <c r="P89" s="111">
        <v>12345</v>
      </c>
      <c r="Q89" s="111">
        <v>5277</v>
      </c>
    </row>
    <row r="90" spans="1:17" x14ac:dyDescent="0.2">
      <c r="A90" s="110">
        <v>36281</v>
      </c>
      <c r="B90" s="111">
        <v>174338</v>
      </c>
      <c r="C90" s="111">
        <v>254735</v>
      </c>
      <c r="D90" s="111">
        <v>17914</v>
      </c>
      <c r="E90" s="111">
        <v>13373</v>
      </c>
      <c r="F90" s="111">
        <v>36060</v>
      </c>
      <c r="G90" s="111">
        <v>7230</v>
      </c>
      <c r="H90" s="111">
        <v>6884</v>
      </c>
      <c r="I90" s="111">
        <v>23500</v>
      </c>
      <c r="J90" s="111">
        <v>191524</v>
      </c>
      <c r="K90" s="111">
        <v>17186</v>
      </c>
      <c r="L90" s="111">
        <v>31165</v>
      </c>
      <c r="M90" s="111">
        <v>11741</v>
      </c>
      <c r="N90" s="111">
        <v>8585</v>
      </c>
      <c r="O90" s="111">
        <v>63211</v>
      </c>
      <c r="P90" s="111">
        <v>12558</v>
      </c>
      <c r="Q90" s="111">
        <v>5328</v>
      </c>
    </row>
    <row r="91" spans="1:17" x14ac:dyDescent="0.2">
      <c r="A91" s="110">
        <v>36312</v>
      </c>
      <c r="B91" s="111">
        <v>174927</v>
      </c>
      <c r="C91" s="111">
        <v>255449</v>
      </c>
      <c r="D91" s="111">
        <v>17969</v>
      </c>
      <c r="E91" s="111">
        <v>13373</v>
      </c>
      <c r="F91" s="111">
        <v>35872</v>
      </c>
      <c r="G91" s="111">
        <v>7286</v>
      </c>
      <c r="H91" s="111">
        <v>6986</v>
      </c>
      <c r="I91" s="111">
        <v>23546</v>
      </c>
      <c r="J91" s="111">
        <v>191997</v>
      </c>
      <c r="K91" s="111">
        <v>17070</v>
      </c>
      <c r="L91" s="111">
        <v>31652</v>
      </c>
      <c r="M91" s="111">
        <v>11837</v>
      </c>
      <c r="N91" s="111">
        <v>8481</v>
      </c>
      <c r="O91" s="111">
        <v>63452</v>
      </c>
      <c r="P91" s="111">
        <v>12558</v>
      </c>
      <c r="Q91" s="111">
        <v>5367</v>
      </c>
    </row>
    <row r="92" spans="1:17" x14ac:dyDescent="0.2">
      <c r="A92" s="110">
        <v>36342</v>
      </c>
      <c r="B92" s="111">
        <v>175243</v>
      </c>
      <c r="C92" s="111">
        <v>257456</v>
      </c>
      <c r="D92" s="111">
        <v>18183</v>
      </c>
      <c r="E92" s="111">
        <v>13270</v>
      </c>
      <c r="F92" s="111">
        <v>36126</v>
      </c>
      <c r="G92" s="111">
        <v>7378</v>
      </c>
      <c r="H92" s="111">
        <v>6954</v>
      </c>
      <c r="I92" s="111">
        <v>23508</v>
      </c>
      <c r="J92" s="111">
        <v>192947</v>
      </c>
      <c r="K92" s="111">
        <v>17704</v>
      </c>
      <c r="L92" s="111">
        <v>31549</v>
      </c>
      <c r="M92" s="111">
        <v>11857</v>
      </c>
      <c r="N92" s="111">
        <v>8350</v>
      </c>
      <c r="O92" s="111">
        <v>64509</v>
      </c>
      <c r="P92" s="111">
        <v>12742</v>
      </c>
      <c r="Q92" s="111">
        <v>5326</v>
      </c>
    </row>
    <row r="93" spans="1:17" x14ac:dyDescent="0.2">
      <c r="A93" s="110">
        <v>36373</v>
      </c>
      <c r="B93" s="111">
        <v>176382</v>
      </c>
      <c r="C93" s="111">
        <v>260230</v>
      </c>
      <c r="D93" s="111">
        <v>18341</v>
      </c>
      <c r="E93" s="111">
        <v>13404</v>
      </c>
      <c r="F93" s="111">
        <v>36117</v>
      </c>
      <c r="G93" s="111">
        <v>7281</v>
      </c>
      <c r="H93" s="111">
        <v>7147</v>
      </c>
      <c r="I93" s="111">
        <v>23664</v>
      </c>
      <c r="J93" s="111">
        <v>194517</v>
      </c>
      <c r="K93" s="111">
        <v>18135</v>
      </c>
      <c r="L93" s="111">
        <v>31806</v>
      </c>
      <c r="M93" s="111">
        <v>11848</v>
      </c>
      <c r="N93" s="111">
        <v>8519</v>
      </c>
      <c r="O93" s="111">
        <v>65713</v>
      </c>
      <c r="P93" s="111">
        <v>12965</v>
      </c>
      <c r="Q93" s="111">
        <v>5290</v>
      </c>
    </row>
    <row r="94" spans="1:17" x14ac:dyDescent="0.2">
      <c r="A94" s="110">
        <v>36404</v>
      </c>
      <c r="B94" s="111">
        <v>177828</v>
      </c>
      <c r="C94" s="111">
        <v>261317</v>
      </c>
      <c r="D94" s="111">
        <v>18175</v>
      </c>
      <c r="E94" s="111">
        <v>13381</v>
      </c>
      <c r="F94" s="111">
        <v>36411</v>
      </c>
      <c r="G94" s="111">
        <v>7410</v>
      </c>
      <c r="H94" s="111">
        <v>7292</v>
      </c>
      <c r="I94" s="111">
        <v>23836</v>
      </c>
      <c r="J94" s="111">
        <v>196167</v>
      </c>
      <c r="K94" s="111">
        <v>18339</v>
      </c>
      <c r="L94" s="111">
        <v>32152</v>
      </c>
      <c r="M94" s="111">
        <v>11993</v>
      </c>
      <c r="N94" s="111">
        <v>8597</v>
      </c>
      <c r="O94" s="111">
        <v>65150</v>
      </c>
      <c r="P94" s="111">
        <v>13196</v>
      </c>
      <c r="Q94" s="111">
        <v>5385</v>
      </c>
    </row>
    <row r="95" spans="1:17" x14ac:dyDescent="0.2">
      <c r="A95" s="110">
        <v>36434</v>
      </c>
      <c r="B95" s="111">
        <v>178667</v>
      </c>
      <c r="C95" s="111">
        <v>261818</v>
      </c>
      <c r="D95" s="111">
        <v>18606</v>
      </c>
      <c r="E95" s="111">
        <v>13400</v>
      </c>
      <c r="F95" s="111">
        <v>36271</v>
      </c>
      <c r="G95" s="111">
        <v>7400</v>
      </c>
      <c r="H95" s="111">
        <v>7324</v>
      </c>
      <c r="I95" s="111">
        <v>24265</v>
      </c>
      <c r="J95" s="111">
        <v>197299</v>
      </c>
      <c r="K95" s="111">
        <v>18632</v>
      </c>
      <c r="L95" s="111">
        <v>32085</v>
      </c>
      <c r="M95" s="111">
        <v>12155</v>
      </c>
      <c r="N95" s="111">
        <v>8661</v>
      </c>
      <c r="O95" s="111">
        <v>64519</v>
      </c>
      <c r="P95" s="111">
        <v>13127</v>
      </c>
      <c r="Q95" s="111">
        <v>5373</v>
      </c>
    </row>
    <row r="96" spans="1:17" x14ac:dyDescent="0.2">
      <c r="A96" s="110">
        <v>36465</v>
      </c>
      <c r="B96" s="111">
        <v>179704</v>
      </c>
      <c r="C96" s="111">
        <v>264965</v>
      </c>
      <c r="D96" s="111">
        <v>18944</v>
      </c>
      <c r="E96" s="111">
        <v>13416</v>
      </c>
      <c r="F96" s="111">
        <v>36300</v>
      </c>
      <c r="G96" s="111">
        <v>7350</v>
      </c>
      <c r="H96" s="111">
        <v>7272</v>
      </c>
      <c r="I96" s="111">
        <v>24421</v>
      </c>
      <c r="J96" s="111">
        <v>198696</v>
      </c>
      <c r="K96" s="111">
        <v>18992</v>
      </c>
      <c r="L96" s="111">
        <v>32161</v>
      </c>
      <c r="M96" s="111">
        <v>12258</v>
      </c>
      <c r="N96" s="111">
        <v>9058</v>
      </c>
      <c r="O96" s="111">
        <v>66269</v>
      </c>
      <c r="P96" s="111">
        <v>13110</v>
      </c>
      <c r="Q96" s="111">
        <v>5414</v>
      </c>
    </row>
    <row r="97" spans="1:17" x14ac:dyDescent="0.2">
      <c r="A97" s="110">
        <v>36495</v>
      </c>
      <c r="B97" s="111">
        <v>183859</v>
      </c>
      <c r="C97" s="111">
        <v>269863</v>
      </c>
      <c r="D97" s="111">
        <v>19125</v>
      </c>
      <c r="E97" s="111">
        <v>13573</v>
      </c>
      <c r="F97" s="111">
        <v>37665</v>
      </c>
      <c r="G97" s="111">
        <v>7498</v>
      </c>
      <c r="H97" s="111">
        <v>7246</v>
      </c>
      <c r="I97" s="111">
        <v>24378</v>
      </c>
      <c r="J97" s="111">
        <v>203954</v>
      </c>
      <c r="K97" s="111">
        <v>20095</v>
      </c>
      <c r="L97" s="111">
        <v>33101</v>
      </c>
      <c r="M97" s="111">
        <v>12801</v>
      </c>
      <c r="N97" s="111">
        <v>9489</v>
      </c>
      <c r="O97" s="111">
        <v>65909</v>
      </c>
      <c r="P97" s="111">
        <v>13528</v>
      </c>
      <c r="Q97" s="111">
        <v>5455</v>
      </c>
    </row>
    <row r="98" spans="1:17" x14ac:dyDescent="0.2">
      <c r="A98" s="110">
        <v>36526</v>
      </c>
      <c r="B98" s="111">
        <v>181007</v>
      </c>
      <c r="C98" s="111">
        <v>268044</v>
      </c>
      <c r="D98" s="111">
        <v>19613</v>
      </c>
      <c r="E98" s="111">
        <v>13301</v>
      </c>
      <c r="F98" s="111">
        <v>35613</v>
      </c>
      <c r="G98" s="111">
        <v>7605</v>
      </c>
      <c r="H98" s="111">
        <v>7484</v>
      </c>
      <c r="I98" s="111">
        <v>24608</v>
      </c>
      <c r="J98" s="111">
        <v>200365</v>
      </c>
      <c r="K98" s="111">
        <v>19358</v>
      </c>
      <c r="L98" s="111">
        <v>32179</v>
      </c>
      <c r="M98" s="111">
        <v>12381</v>
      </c>
      <c r="N98" s="111">
        <v>9136</v>
      </c>
      <c r="O98" s="111">
        <v>67679</v>
      </c>
      <c r="P98" s="111">
        <v>13855</v>
      </c>
      <c r="Q98" s="111">
        <v>5232</v>
      </c>
    </row>
    <row r="99" spans="1:17" x14ac:dyDescent="0.2">
      <c r="A99" s="110">
        <v>36557</v>
      </c>
      <c r="B99" s="111">
        <v>182721</v>
      </c>
      <c r="C99" s="111">
        <v>272020</v>
      </c>
      <c r="D99" s="111">
        <v>19193</v>
      </c>
      <c r="E99" s="111">
        <v>13532</v>
      </c>
      <c r="F99" s="111">
        <v>35980</v>
      </c>
      <c r="G99" s="111">
        <v>7674</v>
      </c>
      <c r="H99" s="111">
        <v>7548</v>
      </c>
      <c r="I99" s="111">
        <v>24887</v>
      </c>
      <c r="J99" s="111">
        <v>202935</v>
      </c>
      <c r="K99" s="111">
        <v>20214</v>
      </c>
      <c r="L99" s="111">
        <v>32576</v>
      </c>
      <c r="M99" s="111">
        <v>12386</v>
      </c>
      <c r="N99" s="111">
        <v>9163</v>
      </c>
      <c r="O99" s="111">
        <v>69085</v>
      </c>
      <c r="P99" s="111">
        <v>14241</v>
      </c>
      <c r="Q99" s="111">
        <v>5541</v>
      </c>
    </row>
    <row r="100" spans="1:17" x14ac:dyDescent="0.2">
      <c r="A100" s="110">
        <v>36586</v>
      </c>
      <c r="B100" s="111">
        <v>185940</v>
      </c>
      <c r="C100" s="111">
        <v>275192</v>
      </c>
      <c r="D100" s="111">
        <v>20175</v>
      </c>
      <c r="E100" s="111">
        <v>13818</v>
      </c>
      <c r="F100" s="111">
        <v>36559</v>
      </c>
      <c r="G100" s="111">
        <v>7652</v>
      </c>
      <c r="H100" s="111">
        <v>7599</v>
      </c>
      <c r="I100" s="111">
        <v>25367</v>
      </c>
      <c r="J100" s="111">
        <v>206759</v>
      </c>
      <c r="K100" s="111">
        <v>20819</v>
      </c>
      <c r="L100" s="111">
        <v>33105</v>
      </c>
      <c r="M100" s="111">
        <v>12580</v>
      </c>
      <c r="N100" s="111">
        <v>9189</v>
      </c>
      <c r="O100" s="111">
        <v>68433</v>
      </c>
      <c r="P100" s="111">
        <v>14261</v>
      </c>
      <c r="Q100" s="111">
        <v>5635</v>
      </c>
    </row>
    <row r="101" spans="1:17" x14ac:dyDescent="0.2">
      <c r="A101" s="110">
        <v>36617</v>
      </c>
      <c r="B101" s="111">
        <v>185327</v>
      </c>
      <c r="C101" s="111">
        <v>271046</v>
      </c>
      <c r="D101" s="111">
        <v>18986</v>
      </c>
      <c r="E101" s="111">
        <v>13801</v>
      </c>
      <c r="F101" s="111">
        <v>37008</v>
      </c>
      <c r="G101" s="111">
        <v>7813</v>
      </c>
      <c r="H101" s="111">
        <v>7729</v>
      </c>
      <c r="I101" s="111">
        <v>25215</v>
      </c>
      <c r="J101" s="111">
        <v>205234</v>
      </c>
      <c r="K101" s="111">
        <v>19907</v>
      </c>
      <c r="L101" s="111">
        <v>32879</v>
      </c>
      <c r="M101" s="111">
        <v>12733</v>
      </c>
      <c r="N101" s="111">
        <v>9056</v>
      </c>
      <c r="O101" s="111">
        <v>65812</v>
      </c>
      <c r="P101" s="111">
        <v>14458</v>
      </c>
      <c r="Q101" s="111">
        <v>5649</v>
      </c>
    </row>
    <row r="102" spans="1:17" x14ac:dyDescent="0.2">
      <c r="A102" s="110">
        <v>36647</v>
      </c>
      <c r="B102" s="111">
        <v>185371</v>
      </c>
      <c r="C102" s="111">
        <v>271394</v>
      </c>
      <c r="D102" s="111">
        <v>18941</v>
      </c>
      <c r="E102" s="111">
        <v>14027</v>
      </c>
      <c r="F102" s="111">
        <v>36717</v>
      </c>
      <c r="G102" s="111">
        <v>7611</v>
      </c>
      <c r="H102" s="111">
        <v>7673</v>
      </c>
      <c r="I102" s="111">
        <v>25193</v>
      </c>
      <c r="J102" s="111">
        <v>205613</v>
      </c>
      <c r="K102" s="111">
        <v>20242</v>
      </c>
      <c r="L102" s="111">
        <v>33339</v>
      </c>
      <c r="M102" s="111">
        <v>12814</v>
      </c>
      <c r="N102" s="111">
        <v>8760</v>
      </c>
      <c r="O102" s="111">
        <v>65781</v>
      </c>
      <c r="P102" s="111">
        <v>14539</v>
      </c>
      <c r="Q102" s="111">
        <v>5757</v>
      </c>
    </row>
    <row r="103" spans="1:17" x14ac:dyDescent="0.2">
      <c r="A103" s="110">
        <v>36678</v>
      </c>
      <c r="B103" s="111">
        <v>185899</v>
      </c>
      <c r="C103" s="111">
        <v>273422</v>
      </c>
      <c r="D103" s="111">
        <v>18878</v>
      </c>
      <c r="E103" s="111">
        <v>13864</v>
      </c>
      <c r="F103" s="111">
        <v>37175</v>
      </c>
      <c r="G103" s="111">
        <v>7435</v>
      </c>
      <c r="H103" s="111">
        <v>7593</v>
      </c>
      <c r="I103" s="111">
        <v>25262</v>
      </c>
      <c r="J103" s="111">
        <v>206784</v>
      </c>
      <c r="K103" s="111">
        <v>20885</v>
      </c>
      <c r="L103" s="111">
        <v>33408</v>
      </c>
      <c r="M103" s="111">
        <v>12864</v>
      </c>
      <c r="N103" s="111">
        <v>8785</v>
      </c>
      <c r="O103" s="111">
        <v>66638</v>
      </c>
      <c r="P103" s="111">
        <v>14949</v>
      </c>
      <c r="Q103" s="111">
        <v>5686</v>
      </c>
    </row>
    <row r="104" spans="1:17" x14ac:dyDescent="0.2">
      <c r="A104" s="110">
        <v>36708</v>
      </c>
      <c r="B104" s="111">
        <v>186520</v>
      </c>
      <c r="C104" s="111">
        <v>272630</v>
      </c>
      <c r="D104" s="111">
        <v>18982</v>
      </c>
      <c r="E104" s="111">
        <v>13722</v>
      </c>
      <c r="F104" s="111">
        <v>37038</v>
      </c>
      <c r="G104" s="111">
        <v>7397</v>
      </c>
      <c r="H104" s="111">
        <v>7748</v>
      </c>
      <c r="I104" s="111">
        <v>25454</v>
      </c>
      <c r="J104" s="111">
        <v>207425</v>
      </c>
      <c r="K104" s="111">
        <v>20905</v>
      </c>
      <c r="L104" s="111">
        <v>33586</v>
      </c>
      <c r="M104" s="111">
        <v>12967</v>
      </c>
      <c r="N104" s="111">
        <v>8789</v>
      </c>
      <c r="O104" s="111">
        <v>65205</v>
      </c>
      <c r="P104" s="111">
        <v>15037</v>
      </c>
      <c r="Q104" s="111">
        <v>5800</v>
      </c>
    </row>
    <row r="105" spans="1:17" x14ac:dyDescent="0.2">
      <c r="A105" s="110">
        <v>36739</v>
      </c>
      <c r="B105" s="111">
        <v>187033</v>
      </c>
      <c r="C105" s="111">
        <v>272918</v>
      </c>
      <c r="D105" s="111">
        <v>18951</v>
      </c>
      <c r="E105" s="111">
        <v>14072</v>
      </c>
      <c r="F105" s="111">
        <v>37110</v>
      </c>
      <c r="G105" s="111">
        <v>7440</v>
      </c>
      <c r="H105" s="111">
        <v>7682</v>
      </c>
      <c r="I105" s="111">
        <v>25342</v>
      </c>
      <c r="J105" s="111">
        <v>207607</v>
      </c>
      <c r="K105" s="111">
        <v>20574</v>
      </c>
      <c r="L105" s="111">
        <v>33823</v>
      </c>
      <c r="M105" s="111">
        <v>13034</v>
      </c>
      <c r="N105" s="111">
        <v>8666</v>
      </c>
      <c r="O105" s="111">
        <v>65311</v>
      </c>
      <c r="P105" s="111">
        <v>15280</v>
      </c>
      <c r="Q105" s="111">
        <v>5633</v>
      </c>
    </row>
    <row r="106" spans="1:17" x14ac:dyDescent="0.2">
      <c r="A106" s="110">
        <v>36770</v>
      </c>
      <c r="B106" s="111">
        <v>189371</v>
      </c>
      <c r="C106" s="111">
        <v>277548</v>
      </c>
      <c r="D106" s="111">
        <v>18926</v>
      </c>
      <c r="E106" s="111">
        <v>14366</v>
      </c>
      <c r="F106" s="111">
        <v>37308</v>
      </c>
      <c r="G106" s="111">
        <v>7588</v>
      </c>
      <c r="H106" s="111">
        <v>7665</v>
      </c>
      <c r="I106" s="111">
        <v>25711</v>
      </c>
      <c r="J106" s="111">
        <v>210698</v>
      </c>
      <c r="K106" s="111">
        <v>21327</v>
      </c>
      <c r="L106" s="111">
        <v>34146</v>
      </c>
      <c r="M106" s="111">
        <v>13233</v>
      </c>
      <c r="N106" s="111">
        <v>8925</v>
      </c>
      <c r="O106" s="111">
        <v>66850</v>
      </c>
      <c r="P106" s="111">
        <v>15775</v>
      </c>
      <c r="Q106" s="111">
        <v>5728</v>
      </c>
    </row>
    <row r="107" spans="1:17" x14ac:dyDescent="0.2">
      <c r="A107" s="110">
        <v>36800</v>
      </c>
      <c r="B107" s="111">
        <v>189307</v>
      </c>
      <c r="C107" s="111">
        <v>276927</v>
      </c>
      <c r="D107" s="111">
        <v>18965</v>
      </c>
      <c r="E107" s="111">
        <v>14231</v>
      </c>
      <c r="F107" s="111">
        <v>37476</v>
      </c>
      <c r="G107" s="111">
        <v>7416</v>
      </c>
      <c r="H107" s="111">
        <v>7737</v>
      </c>
      <c r="I107" s="111">
        <v>25706</v>
      </c>
      <c r="J107" s="111">
        <v>210719</v>
      </c>
      <c r="K107" s="111">
        <v>21412</v>
      </c>
      <c r="L107" s="111">
        <v>34280</v>
      </c>
      <c r="M107" s="111">
        <v>13302</v>
      </c>
      <c r="N107" s="111">
        <v>8870</v>
      </c>
      <c r="O107" s="111">
        <v>66208</v>
      </c>
      <c r="P107" s="111">
        <v>15698</v>
      </c>
      <c r="Q107" s="111">
        <v>5626</v>
      </c>
    </row>
    <row r="108" spans="1:17" x14ac:dyDescent="0.2">
      <c r="A108" s="110">
        <v>36831</v>
      </c>
      <c r="B108" s="111">
        <v>189478</v>
      </c>
      <c r="C108" s="111">
        <v>276029</v>
      </c>
      <c r="D108" s="111">
        <v>18689</v>
      </c>
      <c r="E108" s="111">
        <v>14294</v>
      </c>
      <c r="F108" s="111">
        <v>37700</v>
      </c>
      <c r="G108" s="111">
        <v>7392</v>
      </c>
      <c r="H108" s="111">
        <v>7580</v>
      </c>
      <c r="I108" s="111">
        <v>25698</v>
      </c>
      <c r="J108" s="111">
        <v>211384</v>
      </c>
      <c r="K108" s="111">
        <v>21906</v>
      </c>
      <c r="L108" s="111">
        <v>34458</v>
      </c>
      <c r="M108" s="111">
        <v>13340</v>
      </c>
      <c r="N108" s="111">
        <v>8829</v>
      </c>
      <c r="O108" s="111">
        <v>64645</v>
      </c>
      <c r="P108" s="111">
        <v>15883</v>
      </c>
      <c r="Q108" s="111">
        <v>5615</v>
      </c>
    </row>
    <row r="109" spans="1:17" x14ac:dyDescent="0.2">
      <c r="A109" s="110">
        <v>36861</v>
      </c>
      <c r="B109" s="111">
        <v>190143</v>
      </c>
      <c r="C109" s="111">
        <v>275791</v>
      </c>
      <c r="D109" s="111">
        <v>19356</v>
      </c>
      <c r="E109" s="111">
        <v>14084</v>
      </c>
      <c r="F109" s="111">
        <v>38033</v>
      </c>
      <c r="G109" s="111">
        <v>7346</v>
      </c>
      <c r="H109" s="111">
        <v>7160</v>
      </c>
      <c r="I109" s="111">
        <v>25133</v>
      </c>
      <c r="J109" s="111">
        <v>212267</v>
      </c>
      <c r="K109" s="111">
        <v>22124</v>
      </c>
      <c r="L109" s="111">
        <v>34734</v>
      </c>
      <c r="M109" s="111">
        <v>13527</v>
      </c>
      <c r="N109" s="111">
        <v>8631</v>
      </c>
      <c r="O109" s="111">
        <v>63524</v>
      </c>
      <c r="P109" s="111">
        <v>16538</v>
      </c>
      <c r="Q109" s="111">
        <v>5601</v>
      </c>
    </row>
    <row r="110" spans="1:17" x14ac:dyDescent="0.2">
      <c r="A110" s="110">
        <v>36892</v>
      </c>
      <c r="B110" s="111">
        <v>190977</v>
      </c>
      <c r="C110" s="111">
        <v>278834</v>
      </c>
      <c r="D110" s="111">
        <v>19248</v>
      </c>
      <c r="E110" s="111">
        <v>14135</v>
      </c>
      <c r="F110" s="111">
        <v>37903</v>
      </c>
      <c r="G110" s="111">
        <v>7376</v>
      </c>
      <c r="H110" s="111">
        <v>7764</v>
      </c>
      <c r="I110" s="111">
        <v>26180</v>
      </c>
      <c r="J110" s="111">
        <v>212908</v>
      </c>
      <c r="K110" s="111">
        <v>21931</v>
      </c>
      <c r="L110" s="111">
        <v>35601</v>
      </c>
      <c r="M110" s="111">
        <v>13413</v>
      </c>
      <c r="N110" s="111">
        <v>8466</v>
      </c>
      <c r="O110" s="111">
        <v>65926</v>
      </c>
      <c r="P110" s="111">
        <v>15505</v>
      </c>
      <c r="Q110" s="111">
        <v>5386</v>
      </c>
    </row>
    <row r="111" spans="1:17" x14ac:dyDescent="0.2">
      <c r="A111" s="110">
        <v>36923</v>
      </c>
      <c r="B111" s="111">
        <v>190970</v>
      </c>
      <c r="C111" s="111">
        <v>278773</v>
      </c>
      <c r="D111" s="111">
        <v>19698</v>
      </c>
      <c r="E111" s="111">
        <v>14166</v>
      </c>
      <c r="F111" s="111">
        <v>38252</v>
      </c>
      <c r="G111" s="111">
        <v>7334</v>
      </c>
      <c r="H111" s="111">
        <v>7611</v>
      </c>
      <c r="I111" s="111">
        <v>26069</v>
      </c>
      <c r="J111" s="111">
        <v>212585</v>
      </c>
      <c r="K111" s="111">
        <v>21615</v>
      </c>
      <c r="L111" s="111">
        <v>34655</v>
      </c>
      <c r="M111" s="111">
        <v>13582</v>
      </c>
      <c r="N111" s="111">
        <v>8665</v>
      </c>
      <c r="O111" s="111">
        <v>66188</v>
      </c>
      <c r="P111" s="111">
        <v>15223</v>
      </c>
      <c r="Q111" s="111">
        <v>5715</v>
      </c>
    </row>
    <row r="112" spans="1:17" x14ac:dyDescent="0.2">
      <c r="A112" s="110">
        <v>36951</v>
      </c>
      <c r="B112" s="111">
        <v>190127</v>
      </c>
      <c r="C112" s="111">
        <v>276450</v>
      </c>
      <c r="D112" s="111">
        <v>19562</v>
      </c>
      <c r="E112" s="111">
        <v>13801</v>
      </c>
      <c r="F112" s="111">
        <v>38133</v>
      </c>
      <c r="G112" s="111">
        <v>7267</v>
      </c>
      <c r="H112" s="111">
        <v>7549</v>
      </c>
      <c r="I112" s="111">
        <v>26122</v>
      </c>
      <c r="J112" s="111">
        <v>210779</v>
      </c>
      <c r="K112" s="111">
        <v>20652</v>
      </c>
      <c r="L112" s="111">
        <v>34069</v>
      </c>
      <c r="M112" s="111">
        <v>13650</v>
      </c>
      <c r="N112" s="111">
        <v>8897</v>
      </c>
      <c r="O112" s="111">
        <v>65671</v>
      </c>
      <c r="P112" s="111">
        <v>15354</v>
      </c>
      <c r="Q112" s="111">
        <v>5723</v>
      </c>
    </row>
    <row r="113" spans="1:17" x14ac:dyDescent="0.2">
      <c r="A113" s="110">
        <v>36982</v>
      </c>
      <c r="B113" s="111">
        <v>192257</v>
      </c>
      <c r="C113" s="111">
        <v>280808</v>
      </c>
      <c r="D113" s="111">
        <v>20373</v>
      </c>
      <c r="E113" s="111">
        <v>14217</v>
      </c>
      <c r="F113" s="111">
        <v>38369</v>
      </c>
      <c r="G113" s="111">
        <v>7212</v>
      </c>
      <c r="H113" s="111">
        <v>7560</v>
      </c>
      <c r="I113" s="111">
        <v>26045</v>
      </c>
      <c r="J113" s="111">
        <v>213875</v>
      </c>
      <c r="K113" s="111">
        <v>21618</v>
      </c>
      <c r="L113" s="111">
        <v>35364</v>
      </c>
      <c r="M113" s="111">
        <v>13643</v>
      </c>
      <c r="N113" s="111">
        <v>8527</v>
      </c>
      <c r="O113" s="111">
        <v>66933</v>
      </c>
      <c r="P113" s="111">
        <v>15289</v>
      </c>
      <c r="Q113" s="111">
        <v>5658</v>
      </c>
    </row>
    <row r="114" spans="1:17" x14ac:dyDescent="0.2">
      <c r="A114" s="110">
        <v>37012</v>
      </c>
      <c r="B114" s="111">
        <v>191829</v>
      </c>
      <c r="C114" s="111">
        <v>281496</v>
      </c>
      <c r="D114" s="111">
        <v>20147</v>
      </c>
      <c r="E114" s="111">
        <v>13950</v>
      </c>
      <c r="F114" s="111">
        <v>38439</v>
      </c>
      <c r="G114" s="111">
        <v>7135</v>
      </c>
      <c r="H114" s="111">
        <v>7559</v>
      </c>
      <c r="I114" s="111">
        <v>26278</v>
      </c>
      <c r="J114" s="111">
        <v>214457</v>
      </c>
      <c r="K114" s="111">
        <v>22628</v>
      </c>
      <c r="L114" s="111">
        <v>35202</v>
      </c>
      <c r="M114" s="111">
        <v>13812</v>
      </c>
      <c r="N114" s="111">
        <v>8752</v>
      </c>
      <c r="O114" s="111">
        <v>67039</v>
      </c>
      <c r="P114" s="111">
        <v>14876</v>
      </c>
      <c r="Q114" s="111">
        <v>5679</v>
      </c>
    </row>
    <row r="115" spans="1:17" x14ac:dyDescent="0.2">
      <c r="A115" s="110">
        <v>37043</v>
      </c>
      <c r="B115" s="111">
        <v>191763</v>
      </c>
      <c r="C115" s="111">
        <v>280401</v>
      </c>
      <c r="D115" s="111">
        <v>19900</v>
      </c>
      <c r="E115" s="111">
        <v>13804</v>
      </c>
      <c r="F115" s="111">
        <v>38569</v>
      </c>
      <c r="G115" s="111">
        <v>7246</v>
      </c>
      <c r="H115" s="111">
        <v>7613</v>
      </c>
      <c r="I115" s="111">
        <v>26379</v>
      </c>
      <c r="J115" s="111">
        <v>213691</v>
      </c>
      <c r="K115" s="111">
        <v>21928</v>
      </c>
      <c r="L115" s="111">
        <v>35114</v>
      </c>
      <c r="M115" s="111">
        <v>13843</v>
      </c>
      <c r="N115" s="111">
        <v>8693</v>
      </c>
      <c r="O115" s="111">
        <v>66710</v>
      </c>
      <c r="P115" s="111">
        <v>14981</v>
      </c>
      <c r="Q115" s="111">
        <v>5621</v>
      </c>
    </row>
    <row r="116" spans="1:17" x14ac:dyDescent="0.2">
      <c r="A116" s="110">
        <v>37073</v>
      </c>
      <c r="B116" s="111">
        <v>192751</v>
      </c>
      <c r="C116" s="111">
        <v>279504</v>
      </c>
      <c r="D116" s="111">
        <v>19838</v>
      </c>
      <c r="E116" s="111">
        <v>13994</v>
      </c>
      <c r="F116" s="111">
        <v>38506</v>
      </c>
      <c r="G116" s="111">
        <v>7298</v>
      </c>
      <c r="H116" s="111">
        <v>7671</v>
      </c>
      <c r="I116" s="111">
        <v>26507</v>
      </c>
      <c r="J116" s="111">
        <v>213437</v>
      </c>
      <c r="K116" s="111">
        <v>20686</v>
      </c>
      <c r="L116" s="111">
        <v>35720</v>
      </c>
      <c r="M116" s="111">
        <v>13879</v>
      </c>
      <c r="N116" s="111">
        <v>8671</v>
      </c>
      <c r="O116" s="111">
        <v>66067</v>
      </c>
      <c r="P116" s="111">
        <v>14964</v>
      </c>
      <c r="Q116" s="111">
        <v>5703</v>
      </c>
    </row>
    <row r="117" spans="1:17" x14ac:dyDescent="0.2">
      <c r="A117" s="110">
        <v>37104</v>
      </c>
      <c r="B117" s="111">
        <v>194185</v>
      </c>
      <c r="C117" s="111">
        <v>281413</v>
      </c>
      <c r="D117" s="111">
        <v>19920</v>
      </c>
      <c r="E117" s="111">
        <v>14171</v>
      </c>
      <c r="F117" s="111">
        <v>38738</v>
      </c>
      <c r="G117" s="111">
        <v>7276</v>
      </c>
      <c r="H117" s="111">
        <v>7628</v>
      </c>
      <c r="I117" s="111">
        <v>26853</v>
      </c>
      <c r="J117" s="111">
        <v>215063</v>
      </c>
      <c r="K117" s="111">
        <v>20878</v>
      </c>
      <c r="L117" s="111">
        <v>35915</v>
      </c>
      <c r="M117" s="111">
        <v>14004</v>
      </c>
      <c r="N117" s="111">
        <v>8691</v>
      </c>
      <c r="O117" s="111">
        <v>66350</v>
      </c>
      <c r="P117" s="111">
        <v>15214</v>
      </c>
      <c r="Q117" s="111">
        <v>5775</v>
      </c>
    </row>
    <row r="118" spans="1:17" x14ac:dyDescent="0.2">
      <c r="A118" s="110">
        <v>37135</v>
      </c>
      <c r="B118" s="111">
        <v>190819</v>
      </c>
      <c r="C118" s="111">
        <v>276084</v>
      </c>
      <c r="D118" s="111">
        <v>19664</v>
      </c>
      <c r="E118" s="111">
        <v>13286</v>
      </c>
      <c r="F118" s="111">
        <v>38832</v>
      </c>
      <c r="G118" s="111">
        <v>7141</v>
      </c>
      <c r="H118" s="111">
        <v>7419</v>
      </c>
      <c r="I118" s="111">
        <v>26239</v>
      </c>
      <c r="J118" s="111">
        <v>212155</v>
      </c>
      <c r="K118" s="111">
        <v>21336</v>
      </c>
      <c r="L118" s="111">
        <v>35822</v>
      </c>
      <c r="M118" s="111">
        <v>13894</v>
      </c>
      <c r="N118" s="111">
        <v>8377</v>
      </c>
      <c r="O118" s="111">
        <v>63929</v>
      </c>
      <c r="P118" s="111">
        <v>14473</v>
      </c>
      <c r="Q118" s="111">
        <v>5672</v>
      </c>
    </row>
    <row r="119" spans="1:17" x14ac:dyDescent="0.2">
      <c r="A119" s="110">
        <v>37165</v>
      </c>
      <c r="B119" s="111">
        <v>194052</v>
      </c>
      <c r="C119" s="111">
        <v>294540</v>
      </c>
      <c r="D119" s="111">
        <v>20054</v>
      </c>
      <c r="E119" s="111">
        <v>13973</v>
      </c>
      <c r="F119" s="111">
        <v>38944</v>
      </c>
      <c r="G119" s="111">
        <v>7237</v>
      </c>
      <c r="H119" s="111">
        <v>7543</v>
      </c>
      <c r="I119" s="111">
        <v>26541</v>
      </c>
      <c r="J119" s="111">
        <v>214085</v>
      </c>
      <c r="K119" s="111">
        <v>20033</v>
      </c>
      <c r="L119" s="111">
        <v>36229</v>
      </c>
      <c r="M119" s="111">
        <v>14298</v>
      </c>
      <c r="N119" s="111">
        <v>8456</v>
      </c>
      <c r="O119" s="111">
        <v>80455</v>
      </c>
      <c r="P119" s="111">
        <v>14979</v>
      </c>
      <c r="Q119" s="111">
        <v>5798</v>
      </c>
    </row>
    <row r="120" spans="1:17" x14ac:dyDescent="0.2">
      <c r="A120" s="110">
        <v>37196</v>
      </c>
      <c r="B120" s="111">
        <v>195453</v>
      </c>
      <c r="C120" s="111">
        <v>287111</v>
      </c>
      <c r="D120" s="111">
        <v>19982</v>
      </c>
      <c r="E120" s="111">
        <v>13970</v>
      </c>
      <c r="F120" s="111">
        <v>39161</v>
      </c>
      <c r="G120" s="111">
        <v>7662</v>
      </c>
      <c r="H120" s="111">
        <v>7694</v>
      </c>
      <c r="I120" s="111">
        <v>26597</v>
      </c>
      <c r="J120" s="111">
        <v>214698</v>
      </c>
      <c r="K120" s="111">
        <v>19245</v>
      </c>
      <c r="L120" s="111">
        <v>36656</v>
      </c>
      <c r="M120" s="111">
        <v>14280</v>
      </c>
      <c r="N120" s="111">
        <v>8548</v>
      </c>
      <c r="O120" s="111">
        <v>72413</v>
      </c>
      <c r="P120" s="111">
        <v>14837</v>
      </c>
      <c r="Q120" s="111">
        <v>6066</v>
      </c>
    </row>
    <row r="121" spans="1:17" x14ac:dyDescent="0.2">
      <c r="A121" s="110">
        <v>37226</v>
      </c>
      <c r="B121" s="111">
        <v>196535</v>
      </c>
      <c r="C121" s="111">
        <v>283705</v>
      </c>
      <c r="D121" s="111">
        <v>20120</v>
      </c>
      <c r="E121" s="111">
        <v>14126</v>
      </c>
      <c r="F121" s="111">
        <v>38996</v>
      </c>
      <c r="G121" s="111">
        <v>7825</v>
      </c>
      <c r="H121" s="111">
        <v>7869</v>
      </c>
      <c r="I121" s="111">
        <v>27156</v>
      </c>
      <c r="J121" s="111">
        <v>215485</v>
      </c>
      <c r="K121" s="111">
        <v>18950</v>
      </c>
      <c r="L121" s="111">
        <v>37054</v>
      </c>
      <c r="M121" s="111">
        <v>14350</v>
      </c>
      <c r="N121" s="111">
        <v>8432</v>
      </c>
      <c r="O121" s="111">
        <v>68220</v>
      </c>
      <c r="P121" s="111">
        <v>14810</v>
      </c>
      <c r="Q121" s="111">
        <v>5797</v>
      </c>
    </row>
    <row r="122" spans="1:17" x14ac:dyDescent="0.2">
      <c r="A122" s="110">
        <v>37257</v>
      </c>
      <c r="B122" s="111">
        <v>196713</v>
      </c>
      <c r="C122" s="111">
        <v>283508</v>
      </c>
      <c r="D122" s="111">
        <v>20359</v>
      </c>
      <c r="E122" s="111">
        <v>14220</v>
      </c>
      <c r="F122" s="111">
        <v>38833</v>
      </c>
      <c r="G122" s="111">
        <v>7604</v>
      </c>
      <c r="H122" s="111">
        <v>7847</v>
      </c>
      <c r="I122" s="111">
        <v>27201</v>
      </c>
      <c r="J122" s="111">
        <v>215843</v>
      </c>
      <c r="K122" s="111">
        <v>19130</v>
      </c>
      <c r="L122" s="111">
        <v>36811</v>
      </c>
      <c r="M122" s="111">
        <v>14525</v>
      </c>
      <c r="N122" s="111">
        <v>8447</v>
      </c>
      <c r="O122" s="111">
        <v>67665</v>
      </c>
      <c r="P122" s="111">
        <v>15091</v>
      </c>
      <c r="Q122" s="111">
        <v>5775</v>
      </c>
    </row>
    <row r="123" spans="1:17" x14ac:dyDescent="0.2">
      <c r="A123" s="110">
        <v>37288</v>
      </c>
      <c r="B123" s="111">
        <v>197818</v>
      </c>
      <c r="C123" s="111">
        <v>285054</v>
      </c>
      <c r="D123" s="111">
        <v>20515</v>
      </c>
      <c r="E123" s="111">
        <v>14357</v>
      </c>
      <c r="F123" s="111">
        <v>38885</v>
      </c>
      <c r="G123" s="111">
        <v>7643</v>
      </c>
      <c r="H123" s="111">
        <v>7932</v>
      </c>
      <c r="I123" s="111">
        <v>27384</v>
      </c>
      <c r="J123" s="111">
        <v>216886</v>
      </c>
      <c r="K123" s="111">
        <v>19068</v>
      </c>
      <c r="L123" s="111">
        <v>36974</v>
      </c>
      <c r="M123" s="111">
        <v>14747</v>
      </c>
      <c r="N123" s="111">
        <v>8616</v>
      </c>
      <c r="O123" s="111">
        <v>68168</v>
      </c>
      <c r="P123" s="111">
        <v>15054</v>
      </c>
      <c r="Q123" s="111">
        <v>5711</v>
      </c>
    </row>
    <row r="124" spans="1:17" x14ac:dyDescent="0.2">
      <c r="A124" s="110">
        <v>37316</v>
      </c>
      <c r="B124" s="111">
        <v>197879</v>
      </c>
      <c r="C124" s="111">
        <v>284262</v>
      </c>
      <c r="D124" s="111">
        <v>20370</v>
      </c>
      <c r="E124" s="111">
        <v>14436</v>
      </c>
      <c r="F124" s="111">
        <v>38913</v>
      </c>
      <c r="G124" s="111">
        <v>7690</v>
      </c>
      <c r="H124" s="111">
        <v>7936</v>
      </c>
      <c r="I124" s="111">
        <v>27203</v>
      </c>
      <c r="J124" s="111">
        <v>217692</v>
      </c>
      <c r="K124" s="111">
        <v>19813</v>
      </c>
      <c r="L124" s="111">
        <v>37144</v>
      </c>
      <c r="M124" s="111">
        <v>14745</v>
      </c>
      <c r="N124" s="111">
        <v>8380</v>
      </c>
      <c r="O124" s="111">
        <v>66570</v>
      </c>
      <c r="P124" s="111">
        <v>15345</v>
      </c>
      <c r="Q124" s="111">
        <v>5717</v>
      </c>
    </row>
    <row r="125" spans="1:17" x14ac:dyDescent="0.2">
      <c r="A125" s="110">
        <v>37347</v>
      </c>
      <c r="B125" s="111">
        <v>199726</v>
      </c>
      <c r="C125" s="111">
        <v>288833</v>
      </c>
      <c r="D125" s="111">
        <v>21274</v>
      </c>
      <c r="E125" s="111">
        <v>14410</v>
      </c>
      <c r="F125" s="111">
        <v>38568</v>
      </c>
      <c r="G125" s="111">
        <v>7616</v>
      </c>
      <c r="H125" s="111">
        <v>7874</v>
      </c>
      <c r="I125" s="111">
        <v>27500</v>
      </c>
      <c r="J125" s="111">
        <v>220582</v>
      </c>
      <c r="K125" s="111">
        <v>20856</v>
      </c>
      <c r="L125" s="111">
        <v>37491</v>
      </c>
      <c r="M125" s="111">
        <v>14940</v>
      </c>
      <c r="N125" s="111">
        <v>8579</v>
      </c>
      <c r="O125" s="111">
        <v>68251</v>
      </c>
      <c r="P125" s="111">
        <v>15675</v>
      </c>
      <c r="Q125" s="111">
        <v>5799</v>
      </c>
    </row>
    <row r="126" spans="1:17" x14ac:dyDescent="0.2">
      <c r="A126" s="110">
        <v>37377</v>
      </c>
      <c r="B126" s="111">
        <v>198959</v>
      </c>
      <c r="C126" s="111">
        <v>284951</v>
      </c>
      <c r="D126" s="111">
        <v>20874</v>
      </c>
      <c r="E126" s="111">
        <v>14220</v>
      </c>
      <c r="F126" s="111">
        <v>38713</v>
      </c>
      <c r="G126" s="111">
        <v>7678</v>
      </c>
      <c r="H126" s="111">
        <v>7959</v>
      </c>
      <c r="I126" s="111">
        <v>27378</v>
      </c>
      <c r="J126" s="111">
        <v>219889</v>
      </c>
      <c r="K126" s="111">
        <v>20930</v>
      </c>
      <c r="L126" s="111">
        <v>37114</v>
      </c>
      <c r="M126" s="111">
        <v>14903</v>
      </c>
      <c r="N126" s="111">
        <v>8539</v>
      </c>
      <c r="O126" s="111">
        <v>65062</v>
      </c>
      <c r="P126" s="111">
        <v>15850</v>
      </c>
      <c r="Q126" s="111">
        <v>5731</v>
      </c>
    </row>
    <row r="127" spans="1:17" x14ac:dyDescent="0.2">
      <c r="A127" s="110">
        <v>37408</v>
      </c>
      <c r="B127" s="111">
        <v>199285</v>
      </c>
      <c r="C127" s="111">
        <v>287372</v>
      </c>
      <c r="D127" s="111">
        <v>20725</v>
      </c>
      <c r="E127" s="111">
        <v>14366</v>
      </c>
      <c r="F127" s="111">
        <v>38723</v>
      </c>
      <c r="G127" s="111">
        <v>7656</v>
      </c>
      <c r="H127" s="111">
        <v>7831</v>
      </c>
      <c r="I127" s="111">
        <v>27586</v>
      </c>
      <c r="J127" s="111">
        <v>220018</v>
      </c>
      <c r="K127" s="111">
        <v>20733</v>
      </c>
      <c r="L127" s="111">
        <v>37417</v>
      </c>
      <c r="M127" s="111">
        <v>14947</v>
      </c>
      <c r="N127" s="111">
        <v>8639</v>
      </c>
      <c r="O127" s="111">
        <v>67354</v>
      </c>
      <c r="P127" s="111">
        <v>15725</v>
      </c>
      <c r="Q127" s="111">
        <v>5670</v>
      </c>
    </row>
    <row r="128" spans="1:17" x14ac:dyDescent="0.2">
      <c r="A128" s="110">
        <v>37438</v>
      </c>
      <c r="B128" s="111">
        <v>199003</v>
      </c>
      <c r="C128" s="111">
        <v>290385</v>
      </c>
      <c r="D128" s="111">
        <v>20674</v>
      </c>
      <c r="E128" s="111">
        <v>14200</v>
      </c>
      <c r="F128" s="111">
        <v>38834</v>
      </c>
      <c r="G128" s="111">
        <v>7543</v>
      </c>
      <c r="H128" s="111">
        <v>7741</v>
      </c>
      <c r="I128" s="111">
        <v>27616</v>
      </c>
      <c r="J128" s="111">
        <v>220441</v>
      </c>
      <c r="K128" s="111">
        <v>21438</v>
      </c>
      <c r="L128" s="111">
        <v>37132</v>
      </c>
      <c r="M128" s="111">
        <v>15004</v>
      </c>
      <c r="N128" s="111">
        <v>8575</v>
      </c>
      <c r="O128" s="111">
        <v>69944</v>
      </c>
      <c r="P128" s="111">
        <v>16018</v>
      </c>
      <c r="Q128" s="111">
        <v>5666</v>
      </c>
    </row>
    <row r="129" spans="1:17" x14ac:dyDescent="0.2">
      <c r="A129" s="110">
        <v>37469</v>
      </c>
      <c r="B129" s="111">
        <v>199264</v>
      </c>
      <c r="C129" s="111">
        <v>292650</v>
      </c>
      <c r="D129" s="111">
        <v>20683</v>
      </c>
      <c r="E129" s="111">
        <v>14338</v>
      </c>
      <c r="F129" s="111">
        <v>38647</v>
      </c>
      <c r="G129" s="111">
        <v>7520</v>
      </c>
      <c r="H129" s="111">
        <v>7837</v>
      </c>
      <c r="I129" s="111">
        <v>27607</v>
      </c>
      <c r="J129" s="111">
        <v>220446</v>
      </c>
      <c r="K129" s="111">
        <v>21182</v>
      </c>
      <c r="L129" s="111">
        <v>37202</v>
      </c>
      <c r="M129" s="111">
        <v>15120</v>
      </c>
      <c r="N129" s="111">
        <v>8740</v>
      </c>
      <c r="O129" s="111">
        <v>72204</v>
      </c>
      <c r="P129" s="111">
        <v>15881</v>
      </c>
      <c r="Q129" s="111">
        <v>5689</v>
      </c>
    </row>
    <row r="130" spans="1:17" x14ac:dyDescent="0.2">
      <c r="A130" s="110">
        <v>37500</v>
      </c>
      <c r="B130" s="111">
        <v>199072</v>
      </c>
      <c r="C130" s="111">
        <v>288410</v>
      </c>
      <c r="D130" s="111">
        <v>20732</v>
      </c>
      <c r="E130" s="111">
        <v>13966</v>
      </c>
      <c r="F130" s="111">
        <v>38599</v>
      </c>
      <c r="G130" s="111">
        <v>7511</v>
      </c>
      <c r="H130" s="111">
        <v>7832</v>
      </c>
      <c r="I130" s="111">
        <v>27784</v>
      </c>
      <c r="J130" s="111">
        <v>220344</v>
      </c>
      <c r="K130" s="111">
        <v>21272</v>
      </c>
      <c r="L130" s="111">
        <v>37059</v>
      </c>
      <c r="M130" s="111">
        <v>15288</v>
      </c>
      <c r="N130" s="111">
        <v>8724</v>
      </c>
      <c r="O130" s="111">
        <v>68066</v>
      </c>
      <c r="P130" s="111">
        <v>15725</v>
      </c>
      <c r="Q130" s="111">
        <v>5852</v>
      </c>
    </row>
    <row r="131" spans="1:17" x14ac:dyDescent="0.2">
      <c r="A131" s="110">
        <v>37530</v>
      </c>
      <c r="B131" s="111">
        <v>200364</v>
      </c>
      <c r="C131" s="111">
        <v>289576</v>
      </c>
      <c r="D131" s="111">
        <v>20603</v>
      </c>
      <c r="E131" s="111">
        <v>14625</v>
      </c>
      <c r="F131" s="111">
        <v>38693</v>
      </c>
      <c r="G131" s="111">
        <v>7522</v>
      </c>
      <c r="H131" s="111">
        <v>7789</v>
      </c>
      <c r="I131" s="111">
        <v>27623</v>
      </c>
      <c r="J131" s="111">
        <v>222023</v>
      </c>
      <c r="K131" s="111">
        <v>21659</v>
      </c>
      <c r="L131" s="111">
        <v>37816</v>
      </c>
      <c r="M131" s="111">
        <v>15298</v>
      </c>
      <c r="N131" s="111">
        <v>8579</v>
      </c>
      <c r="O131" s="111">
        <v>67553</v>
      </c>
      <c r="P131" s="111">
        <v>15977</v>
      </c>
      <c r="Q131" s="111">
        <v>5839</v>
      </c>
    </row>
    <row r="132" spans="1:17" x14ac:dyDescent="0.2">
      <c r="A132" s="110">
        <v>37561</v>
      </c>
      <c r="B132" s="111">
        <v>201544</v>
      </c>
      <c r="C132" s="111">
        <v>291484</v>
      </c>
      <c r="D132" s="111">
        <v>20969</v>
      </c>
      <c r="E132" s="111">
        <v>14456</v>
      </c>
      <c r="F132" s="111">
        <v>38886</v>
      </c>
      <c r="G132" s="111">
        <v>7545</v>
      </c>
      <c r="H132" s="111">
        <v>7963</v>
      </c>
      <c r="I132" s="111">
        <v>27916</v>
      </c>
      <c r="J132" s="111">
        <v>223553</v>
      </c>
      <c r="K132" s="111">
        <v>22009</v>
      </c>
      <c r="L132" s="111">
        <v>37698</v>
      </c>
      <c r="M132" s="111">
        <v>15348</v>
      </c>
      <c r="N132" s="111">
        <v>8362</v>
      </c>
      <c r="O132" s="111">
        <v>67931</v>
      </c>
      <c r="P132" s="111">
        <v>16416</v>
      </c>
      <c r="Q132" s="111">
        <v>5985</v>
      </c>
    </row>
    <row r="133" spans="1:17" x14ac:dyDescent="0.2">
      <c r="A133" s="110">
        <v>37591</v>
      </c>
      <c r="B133" s="111">
        <v>201689</v>
      </c>
      <c r="C133" s="111">
        <v>293947</v>
      </c>
      <c r="D133" s="111">
        <v>20415</v>
      </c>
      <c r="E133" s="111">
        <v>14714</v>
      </c>
      <c r="F133" s="111">
        <v>39072</v>
      </c>
      <c r="G133" s="111">
        <v>7660</v>
      </c>
      <c r="H133" s="111">
        <v>7927</v>
      </c>
      <c r="I133" s="111">
        <v>28017</v>
      </c>
      <c r="J133" s="111">
        <v>224153</v>
      </c>
      <c r="K133" s="111">
        <v>22464</v>
      </c>
      <c r="L133" s="111">
        <v>37716</v>
      </c>
      <c r="M133" s="111">
        <v>15293</v>
      </c>
      <c r="N133" s="111">
        <v>8569</v>
      </c>
      <c r="O133" s="111">
        <v>69794</v>
      </c>
      <c r="P133" s="111">
        <v>16497</v>
      </c>
      <c r="Q133" s="111">
        <v>5809</v>
      </c>
    </row>
    <row r="134" spans="1:17" x14ac:dyDescent="0.2">
      <c r="A134" s="110">
        <v>37622</v>
      </c>
      <c r="B134" s="111">
        <v>202502</v>
      </c>
      <c r="C134" s="111">
        <v>295248</v>
      </c>
      <c r="D134" s="111">
        <v>21270</v>
      </c>
      <c r="E134" s="111">
        <v>14565</v>
      </c>
      <c r="F134" s="111">
        <v>39412</v>
      </c>
      <c r="G134" s="111">
        <v>7439</v>
      </c>
      <c r="H134" s="111">
        <v>7824</v>
      </c>
      <c r="I134" s="111">
        <v>28018</v>
      </c>
      <c r="J134" s="111">
        <v>225575</v>
      </c>
      <c r="K134" s="111">
        <v>23073</v>
      </c>
      <c r="L134" s="111">
        <v>37740</v>
      </c>
      <c r="M134" s="111">
        <v>15441</v>
      </c>
      <c r="N134" s="111">
        <v>8565</v>
      </c>
      <c r="O134" s="111">
        <v>69673</v>
      </c>
      <c r="P134" s="111">
        <v>16434</v>
      </c>
      <c r="Q134" s="111">
        <v>5794</v>
      </c>
    </row>
    <row r="135" spans="1:17" x14ac:dyDescent="0.2">
      <c r="A135" s="110">
        <v>37653</v>
      </c>
      <c r="B135" s="111">
        <v>200747</v>
      </c>
      <c r="C135" s="111">
        <v>291167</v>
      </c>
      <c r="D135" s="111">
        <v>20041</v>
      </c>
      <c r="E135" s="111">
        <v>14142</v>
      </c>
      <c r="F135" s="111">
        <v>39285</v>
      </c>
      <c r="G135" s="111">
        <v>7354</v>
      </c>
      <c r="H135" s="111">
        <v>7501</v>
      </c>
      <c r="I135" s="111">
        <v>27979</v>
      </c>
      <c r="J135" s="111">
        <v>224632</v>
      </c>
      <c r="K135" s="111">
        <v>23885</v>
      </c>
      <c r="L135" s="111">
        <v>38030</v>
      </c>
      <c r="M135" s="111">
        <v>15534</v>
      </c>
      <c r="N135" s="111">
        <v>8372</v>
      </c>
      <c r="O135" s="111">
        <v>66535</v>
      </c>
      <c r="P135" s="111">
        <v>16933</v>
      </c>
      <c r="Q135" s="111">
        <v>5576</v>
      </c>
    </row>
    <row r="136" spans="1:17" x14ac:dyDescent="0.2">
      <c r="A136" s="110">
        <v>37681</v>
      </c>
      <c r="B136" s="111">
        <v>203729</v>
      </c>
      <c r="C136" s="111">
        <v>296325</v>
      </c>
      <c r="D136" s="111">
        <v>21326</v>
      </c>
      <c r="E136" s="111">
        <v>14465</v>
      </c>
      <c r="F136" s="111">
        <v>39318</v>
      </c>
      <c r="G136" s="111">
        <v>7364</v>
      </c>
      <c r="H136" s="111">
        <v>7854</v>
      </c>
      <c r="I136" s="111">
        <v>28505</v>
      </c>
      <c r="J136" s="111">
        <v>227697</v>
      </c>
      <c r="K136" s="111">
        <v>23968</v>
      </c>
      <c r="L136" s="111">
        <v>38391</v>
      </c>
      <c r="M136" s="111">
        <v>15677</v>
      </c>
      <c r="N136" s="111">
        <v>8405</v>
      </c>
      <c r="O136" s="111">
        <v>68628</v>
      </c>
      <c r="P136" s="111">
        <v>16764</v>
      </c>
      <c r="Q136" s="111">
        <v>5660</v>
      </c>
    </row>
    <row r="137" spans="1:17" x14ac:dyDescent="0.2">
      <c r="A137" s="110">
        <v>37712</v>
      </c>
      <c r="B137" s="111">
        <v>203439</v>
      </c>
      <c r="C137" s="111">
        <v>295600</v>
      </c>
      <c r="D137" s="111">
        <v>21139</v>
      </c>
      <c r="E137" s="111">
        <v>14434</v>
      </c>
      <c r="F137" s="111">
        <v>39441</v>
      </c>
      <c r="G137" s="111">
        <v>7440</v>
      </c>
      <c r="H137" s="111">
        <v>7895</v>
      </c>
      <c r="I137" s="111">
        <v>28403</v>
      </c>
      <c r="J137" s="111">
        <v>226020</v>
      </c>
      <c r="K137" s="111">
        <v>22581</v>
      </c>
      <c r="L137" s="111">
        <v>38321</v>
      </c>
      <c r="M137" s="111">
        <v>15705</v>
      </c>
      <c r="N137" s="111">
        <v>8359</v>
      </c>
      <c r="O137" s="111">
        <v>69580</v>
      </c>
      <c r="P137" s="111">
        <v>16593</v>
      </c>
      <c r="Q137" s="111">
        <v>5709</v>
      </c>
    </row>
    <row r="138" spans="1:17" x14ac:dyDescent="0.2">
      <c r="A138" s="110">
        <v>37742</v>
      </c>
      <c r="B138" s="111">
        <v>204940</v>
      </c>
      <c r="C138" s="111">
        <v>296410</v>
      </c>
      <c r="D138" s="111">
        <v>21328</v>
      </c>
      <c r="E138" s="111">
        <v>14651</v>
      </c>
      <c r="F138" s="111">
        <v>39019</v>
      </c>
      <c r="G138" s="111">
        <v>7563</v>
      </c>
      <c r="H138" s="111">
        <v>8062</v>
      </c>
      <c r="I138" s="111">
        <v>29048</v>
      </c>
      <c r="J138" s="111">
        <v>226750</v>
      </c>
      <c r="K138" s="111">
        <v>21810</v>
      </c>
      <c r="L138" s="111">
        <v>38483</v>
      </c>
      <c r="M138" s="111">
        <v>15791</v>
      </c>
      <c r="N138" s="111">
        <v>8525</v>
      </c>
      <c r="O138" s="111">
        <v>69660</v>
      </c>
      <c r="P138" s="111">
        <v>16722</v>
      </c>
      <c r="Q138" s="111">
        <v>5748</v>
      </c>
    </row>
    <row r="139" spans="1:17" x14ac:dyDescent="0.2">
      <c r="A139" s="110">
        <v>37773</v>
      </c>
      <c r="B139" s="111">
        <v>207524</v>
      </c>
      <c r="C139" s="111">
        <v>299626</v>
      </c>
      <c r="D139" s="111">
        <v>22003</v>
      </c>
      <c r="E139" s="111">
        <v>14894</v>
      </c>
      <c r="F139" s="111">
        <v>39480</v>
      </c>
      <c r="G139" s="111">
        <v>7650</v>
      </c>
      <c r="H139" s="111">
        <v>8084</v>
      </c>
      <c r="I139" s="111">
        <v>29230</v>
      </c>
      <c r="J139" s="111">
        <v>229301</v>
      </c>
      <c r="K139" s="111">
        <v>21777</v>
      </c>
      <c r="L139" s="111">
        <v>38866</v>
      </c>
      <c r="M139" s="111">
        <v>15934</v>
      </c>
      <c r="N139" s="111">
        <v>8537</v>
      </c>
      <c r="O139" s="111">
        <v>70325</v>
      </c>
      <c r="P139" s="111">
        <v>16938</v>
      </c>
      <c r="Q139" s="111">
        <v>5908</v>
      </c>
    </row>
    <row r="140" spans="1:17" x14ac:dyDescent="0.2">
      <c r="A140" s="110">
        <v>37803</v>
      </c>
      <c r="B140" s="111">
        <v>209502</v>
      </c>
      <c r="C140" s="111">
        <v>302747</v>
      </c>
      <c r="D140" s="111">
        <v>22372</v>
      </c>
      <c r="E140" s="111">
        <v>15141</v>
      </c>
      <c r="F140" s="111">
        <v>39808</v>
      </c>
      <c r="G140" s="111">
        <v>7731</v>
      </c>
      <c r="H140" s="111">
        <v>8115</v>
      </c>
      <c r="I140" s="111">
        <v>29395</v>
      </c>
      <c r="J140" s="111">
        <v>231698</v>
      </c>
      <c r="K140" s="111">
        <v>22196</v>
      </c>
      <c r="L140" s="111">
        <v>39404</v>
      </c>
      <c r="M140" s="111">
        <v>16182</v>
      </c>
      <c r="N140" s="111">
        <v>8497</v>
      </c>
      <c r="O140" s="111">
        <v>71049</v>
      </c>
      <c r="P140" s="111">
        <v>17049</v>
      </c>
      <c r="Q140" s="111">
        <v>5808</v>
      </c>
    </row>
    <row r="141" spans="1:17" x14ac:dyDescent="0.2">
      <c r="A141" s="110">
        <v>37834</v>
      </c>
      <c r="B141" s="111">
        <v>211817</v>
      </c>
      <c r="C141" s="111">
        <v>307809</v>
      </c>
      <c r="D141" s="111">
        <v>22489</v>
      </c>
      <c r="E141" s="111">
        <v>15089</v>
      </c>
      <c r="F141" s="111">
        <v>39833</v>
      </c>
      <c r="G141" s="111">
        <v>7914</v>
      </c>
      <c r="H141" s="111">
        <v>8156</v>
      </c>
      <c r="I141" s="111">
        <v>29844</v>
      </c>
      <c r="J141" s="111">
        <v>234890</v>
      </c>
      <c r="K141" s="111">
        <v>23073</v>
      </c>
      <c r="L141" s="111">
        <v>40085</v>
      </c>
      <c r="M141" s="111">
        <v>16345</v>
      </c>
      <c r="N141" s="111">
        <v>8618</v>
      </c>
      <c r="O141" s="111">
        <v>72919</v>
      </c>
      <c r="P141" s="111">
        <v>17312</v>
      </c>
      <c r="Q141" s="111">
        <v>6132</v>
      </c>
    </row>
    <row r="142" spans="1:17" x14ac:dyDescent="0.2">
      <c r="A142" s="110">
        <v>37865</v>
      </c>
      <c r="B142" s="111">
        <v>211535</v>
      </c>
      <c r="C142" s="111">
        <v>305933</v>
      </c>
      <c r="D142" s="111">
        <v>22630</v>
      </c>
      <c r="E142" s="111">
        <v>15175</v>
      </c>
      <c r="F142" s="111">
        <v>39878</v>
      </c>
      <c r="G142" s="111">
        <v>7909</v>
      </c>
      <c r="H142" s="111">
        <v>8214</v>
      </c>
      <c r="I142" s="111">
        <v>29503</v>
      </c>
      <c r="J142" s="111">
        <v>234749</v>
      </c>
      <c r="K142" s="111">
        <v>23214</v>
      </c>
      <c r="L142" s="111">
        <v>39896</v>
      </c>
      <c r="M142" s="111">
        <v>16339</v>
      </c>
      <c r="N142" s="111">
        <v>8442</v>
      </c>
      <c r="O142" s="111">
        <v>71184</v>
      </c>
      <c r="P142" s="111">
        <v>17595</v>
      </c>
      <c r="Q142" s="111">
        <v>5954</v>
      </c>
    </row>
    <row r="143" spans="1:17" x14ac:dyDescent="0.2">
      <c r="A143" s="110">
        <v>37895</v>
      </c>
      <c r="B143" s="111">
        <v>212278</v>
      </c>
      <c r="C143" s="111">
        <v>304809</v>
      </c>
      <c r="D143" s="111">
        <v>22869</v>
      </c>
      <c r="E143" s="111">
        <v>15067</v>
      </c>
      <c r="F143" s="111">
        <v>39776</v>
      </c>
      <c r="G143" s="111">
        <v>7984</v>
      </c>
      <c r="H143" s="111">
        <v>8244</v>
      </c>
      <c r="I143" s="111">
        <v>30045</v>
      </c>
      <c r="J143" s="111">
        <v>234992</v>
      </c>
      <c r="K143" s="111">
        <v>22714</v>
      </c>
      <c r="L143" s="111">
        <v>39649</v>
      </c>
      <c r="M143" s="111">
        <v>16434</v>
      </c>
      <c r="N143" s="111">
        <v>8591</v>
      </c>
      <c r="O143" s="111">
        <v>69817</v>
      </c>
      <c r="P143" s="111">
        <v>17778</v>
      </c>
      <c r="Q143" s="111">
        <v>5841</v>
      </c>
    </row>
    <row r="144" spans="1:17" x14ac:dyDescent="0.2">
      <c r="A144" s="110">
        <v>37926</v>
      </c>
      <c r="B144" s="111">
        <v>213317</v>
      </c>
      <c r="C144" s="111">
        <v>308527</v>
      </c>
      <c r="D144" s="111">
        <v>22864</v>
      </c>
      <c r="E144" s="111">
        <v>15338</v>
      </c>
      <c r="F144" s="111">
        <v>39631</v>
      </c>
      <c r="G144" s="111">
        <v>8030</v>
      </c>
      <c r="H144" s="111">
        <v>8358</v>
      </c>
      <c r="I144" s="111">
        <v>30229</v>
      </c>
      <c r="J144" s="111">
        <v>236789</v>
      </c>
      <c r="K144" s="111">
        <v>23472</v>
      </c>
      <c r="L144" s="111">
        <v>39945</v>
      </c>
      <c r="M144" s="111">
        <v>16500</v>
      </c>
      <c r="N144" s="111">
        <v>8530</v>
      </c>
      <c r="O144" s="111">
        <v>71738</v>
      </c>
      <c r="P144" s="111">
        <v>17881</v>
      </c>
      <c r="Q144" s="111">
        <v>6011</v>
      </c>
    </row>
    <row r="145" spans="1:17" x14ac:dyDescent="0.2">
      <c r="A145" s="110">
        <v>37956</v>
      </c>
      <c r="B145" s="111">
        <v>213310</v>
      </c>
      <c r="C145" s="111">
        <v>307407</v>
      </c>
      <c r="D145" s="111">
        <v>22748</v>
      </c>
      <c r="E145" s="111">
        <v>15456</v>
      </c>
      <c r="F145" s="111">
        <v>39809</v>
      </c>
      <c r="G145" s="111">
        <v>8127</v>
      </c>
      <c r="H145" s="111">
        <v>8312</v>
      </c>
      <c r="I145" s="111">
        <v>29795</v>
      </c>
      <c r="J145" s="111">
        <v>237304</v>
      </c>
      <c r="K145" s="111">
        <v>23994</v>
      </c>
      <c r="L145" s="111">
        <v>40084</v>
      </c>
      <c r="M145" s="111">
        <v>16648</v>
      </c>
      <c r="N145" s="111">
        <v>8576</v>
      </c>
      <c r="O145" s="111">
        <v>70103</v>
      </c>
      <c r="P145" s="111">
        <v>17742</v>
      </c>
      <c r="Q145" s="111">
        <v>6013</v>
      </c>
    </row>
    <row r="146" spans="1:17" x14ac:dyDescent="0.2">
      <c r="A146" s="110">
        <v>37987</v>
      </c>
      <c r="B146" s="111">
        <v>215095</v>
      </c>
      <c r="C146" s="111">
        <v>309254</v>
      </c>
      <c r="D146" s="111">
        <v>22637</v>
      </c>
      <c r="E146" s="111">
        <v>15513</v>
      </c>
      <c r="F146" s="111">
        <v>40443</v>
      </c>
      <c r="G146" s="111">
        <v>8104</v>
      </c>
      <c r="H146" s="111">
        <v>8307</v>
      </c>
      <c r="I146" s="111">
        <v>30341</v>
      </c>
      <c r="J146" s="111">
        <v>239984</v>
      </c>
      <c r="K146" s="111">
        <v>24889</v>
      </c>
      <c r="L146" s="111">
        <v>40436</v>
      </c>
      <c r="M146" s="111">
        <v>16287</v>
      </c>
      <c r="N146" s="111">
        <v>8665</v>
      </c>
      <c r="O146" s="111">
        <v>69270</v>
      </c>
      <c r="P146" s="111">
        <v>18275</v>
      </c>
      <c r="Q146" s="111">
        <v>6087</v>
      </c>
    </row>
    <row r="147" spans="1:17" x14ac:dyDescent="0.2">
      <c r="A147" s="110">
        <v>38018</v>
      </c>
      <c r="B147" s="111">
        <v>215044</v>
      </c>
      <c r="C147" s="111">
        <v>311393</v>
      </c>
      <c r="D147" s="111">
        <v>22727</v>
      </c>
      <c r="E147" s="111">
        <v>15687</v>
      </c>
      <c r="F147" s="111">
        <v>39922</v>
      </c>
      <c r="G147" s="111">
        <v>8080</v>
      </c>
      <c r="H147" s="111">
        <v>8375</v>
      </c>
      <c r="I147" s="111">
        <v>30461</v>
      </c>
      <c r="J147" s="111">
        <v>240300</v>
      </c>
      <c r="K147" s="111">
        <v>25256</v>
      </c>
      <c r="L147" s="111">
        <v>40519</v>
      </c>
      <c r="M147" s="111">
        <v>16133</v>
      </c>
      <c r="N147" s="111">
        <v>8481</v>
      </c>
      <c r="O147" s="111">
        <v>71093</v>
      </c>
      <c r="P147" s="111">
        <v>18566</v>
      </c>
      <c r="Q147" s="111">
        <v>6093</v>
      </c>
    </row>
    <row r="148" spans="1:17" x14ac:dyDescent="0.2">
      <c r="A148" s="110">
        <v>38047</v>
      </c>
      <c r="B148" s="111">
        <v>219096</v>
      </c>
      <c r="C148" s="111">
        <v>316912</v>
      </c>
      <c r="D148" s="111">
        <v>24992</v>
      </c>
      <c r="E148" s="111">
        <v>15984</v>
      </c>
      <c r="F148" s="111">
        <v>40419</v>
      </c>
      <c r="G148" s="111">
        <v>8117</v>
      </c>
      <c r="H148" s="111">
        <v>8585</v>
      </c>
      <c r="I148" s="111">
        <v>30703</v>
      </c>
      <c r="J148" s="111">
        <v>244775</v>
      </c>
      <c r="K148" s="111">
        <v>25679</v>
      </c>
      <c r="L148" s="111">
        <v>41079</v>
      </c>
      <c r="M148" s="111">
        <v>16526</v>
      </c>
      <c r="N148" s="111">
        <v>8552</v>
      </c>
      <c r="O148" s="111">
        <v>72137</v>
      </c>
      <c r="P148" s="111">
        <v>18072</v>
      </c>
      <c r="Q148" s="111">
        <v>6067</v>
      </c>
    </row>
    <row r="149" spans="1:17" x14ac:dyDescent="0.2">
      <c r="A149" s="110">
        <v>38078</v>
      </c>
      <c r="B149" s="111">
        <v>218034</v>
      </c>
      <c r="C149" s="111">
        <v>313512</v>
      </c>
      <c r="D149" s="111">
        <v>24565</v>
      </c>
      <c r="E149" s="111">
        <v>15567</v>
      </c>
      <c r="F149" s="111">
        <v>40399</v>
      </c>
      <c r="G149" s="111">
        <v>8218</v>
      </c>
      <c r="H149" s="111">
        <v>8519</v>
      </c>
      <c r="I149" s="111">
        <v>30560</v>
      </c>
      <c r="J149" s="111">
        <v>243552</v>
      </c>
      <c r="K149" s="111">
        <v>25518</v>
      </c>
      <c r="L149" s="111">
        <v>40662</v>
      </c>
      <c r="M149" s="111">
        <v>16476</v>
      </c>
      <c r="N149" s="111">
        <v>8685</v>
      </c>
      <c r="O149" s="111">
        <v>69960</v>
      </c>
      <c r="P149" s="111">
        <v>18442</v>
      </c>
      <c r="Q149" s="111">
        <v>5941</v>
      </c>
    </row>
    <row r="150" spans="1:17" x14ac:dyDescent="0.2">
      <c r="A150" s="110">
        <v>38108</v>
      </c>
      <c r="B150" s="111">
        <v>219132</v>
      </c>
      <c r="C150" s="111">
        <v>318964</v>
      </c>
      <c r="D150" s="111">
        <v>24420</v>
      </c>
      <c r="E150" s="111">
        <v>15736</v>
      </c>
      <c r="F150" s="111">
        <v>40635</v>
      </c>
      <c r="G150" s="111">
        <v>8241</v>
      </c>
      <c r="H150" s="111">
        <v>8389</v>
      </c>
      <c r="I150" s="111">
        <v>30712</v>
      </c>
      <c r="J150" s="111">
        <v>246143</v>
      </c>
      <c r="K150" s="111">
        <v>27011</v>
      </c>
      <c r="L150" s="111">
        <v>41332</v>
      </c>
      <c r="M150" s="111">
        <v>16462</v>
      </c>
      <c r="N150" s="111">
        <v>8869</v>
      </c>
      <c r="O150" s="111">
        <v>72821</v>
      </c>
      <c r="P150" s="111">
        <v>18351</v>
      </c>
      <c r="Q150" s="111">
        <v>5985</v>
      </c>
    </row>
    <row r="151" spans="1:17" x14ac:dyDescent="0.2">
      <c r="A151" s="110">
        <v>38139</v>
      </c>
      <c r="B151" s="111">
        <v>218917</v>
      </c>
      <c r="C151" s="111">
        <v>314958</v>
      </c>
      <c r="D151" s="111">
        <v>24622</v>
      </c>
      <c r="E151" s="111">
        <v>15555</v>
      </c>
      <c r="F151" s="111">
        <v>40608</v>
      </c>
      <c r="G151" s="111">
        <v>8297</v>
      </c>
      <c r="H151" s="111">
        <v>8572</v>
      </c>
      <c r="I151" s="111">
        <v>30825</v>
      </c>
      <c r="J151" s="111">
        <v>245967</v>
      </c>
      <c r="K151" s="111">
        <v>27050</v>
      </c>
      <c r="L151" s="111">
        <v>40756</v>
      </c>
      <c r="M151" s="111">
        <v>16570</v>
      </c>
      <c r="N151" s="111">
        <v>8446</v>
      </c>
      <c r="O151" s="111">
        <v>68991</v>
      </c>
      <c r="P151" s="111">
        <v>18649</v>
      </c>
      <c r="Q151" s="111">
        <v>6017</v>
      </c>
    </row>
    <row r="152" spans="1:17" x14ac:dyDescent="0.2">
      <c r="A152" s="110">
        <v>38169</v>
      </c>
      <c r="B152" s="111">
        <v>220566</v>
      </c>
      <c r="C152" s="111">
        <v>318549</v>
      </c>
      <c r="D152" s="111">
        <v>24538</v>
      </c>
      <c r="E152" s="111">
        <v>15645</v>
      </c>
      <c r="F152" s="111">
        <v>40631</v>
      </c>
      <c r="G152" s="111">
        <v>8337</v>
      </c>
      <c r="H152" s="111">
        <v>8868</v>
      </c>
      <c r="I152" s="111">
        <v>31191</v>
      </c>
      <c r="J152" s="111">
        <v>247311</v>
      </c>
      <c r="K152" s="111">
        <v>26745</v>
      </c>
      <c r="L152" s="111">
        <v>41197</v>
      </c>
      <c r="M152" s="111">
        <v>16554</v>
      </c>
      <c r="N152" s="111">
        <v>8554</v>
      </c>
      <c r="O152" s="111">
        <v>71238</v>
      </c>
      <c r="P152" s="111">
        <v>18927</v>
      </c>
      <c r="Q152" s="111">
        <v>6124</v>
      </c>
    </row>
    <row r="153" spans="1:17" x14ac:dyDescent="0.2">
      <c r="A153" s="110">
        <v>38200</v>
      </c>
      <c r="B153" s="111">
        <v>221060</v>
      </c>
      <c r="C153" s="111">
        <v>318977</v>
      </c>
      <c r="D153" s="111">
        <v>24713</v>
      </c>
      <c r="E153" s="111">
        <v>15660</v>
      </c>
      <c r="F153" s="111">
        <v>40771</v>
      </c>
      <c r="G153" s="111">
        <v>8335</v>
      </c>
      <c r="H153" s="111">
        <v>8675</v>
      </c>
      <c r="I153" s="111">
        <v>31036</v>
      </c>
      <c r="J153" s="111">
        <v>247612</v>
      </c>
      <c r="K153" s="111">
        <v>26552</v>
      </c>
      <c r="L153" s="111">
        <v>41323</v>
      </c>
      <c r="M153" s="111">
        <v>16610</v>
      </c>
      <c r="N153" s="111">
        <v>8567</v>
      </c>
      <c r="O153" s="111">
        <v>71365</v>
      </c>
      <c r="P153" s="111">
        <v>19178</v>
      </c>
      <c r="Q153" s="111">
        <v>6192</v>
      </c>
    </row>
    <row r="154" spans="1:17" x14ac:dyDescent="0.2">
      <c r="A154" s="110">
        <v>38231</v>
      </c>
      <c r="B154" s="111">
        <v>222679</v>
      </c>
      <c r="C154" s="111">
        <v>324569</v>
      </c>
      <c r="D154" s="111">
        <v>25045</v>
      </c>
      <c r="E154" s="111">
        <v>15764</v>
      </c>
      <c r="F154" s="111">
        <v>41045</v>
      </c>
      <c r="G154" s="111">
        <v>8422</v>
      </c>
      <c r="H154" s="111">
        <v>8604</v>
      </c>
      <c r="I154" s="111">
        <v>31430</v>
      </c>
      <c r="J154" s="111">
        <v>249840</v>
      </c>
      <c r="K154" s="111">
        <v>27161</v>
      </c>
      <c r="L154" s="111">
        <v>41555</v>
      </c>
      <c r="M154" s="111">
        <v>16635</v>
      </c>
      <c r="N154" s="111">
        <v>8596</v>
      </c>
      <c r="O154" s="111">
        <v>74729</v>
      </c>
      <c r="P154" s="111">
        <v>19472</v>
      </c>
      <c r="Q154" s="111">
        <v>6111</v>
      </c>
    </row>
    <row r="155" spans="1:17" x14ac:dyDescent="0.2">
      <c r="A155" s="110">
        <v>38261</v>
      </c>
      <c r="B155" s="111">
        <v>224226</v>
      </c>
      <c r="C155" s="111">
        <v>326740</v>
      </c>
      <c r="D155" s="111">
        <v>24842</v>
      </c>
      <c r="E155" s="111">
        <v>16055</v>
      </c>
      <c r="F155" s="111">
        <v>41177</v>
      </c>
      <c r="G155" s="111">
        <v>8494</v>
      </c>
      <c r="H155" s="111">
        <v>8806</v>
      </c>
      <c r="I155" s="111">
        <v>31625</v>
      </c>
      <c r="J155" s="111">
        <v>252882</v>
      </c>
      <c r="K155" s="111">
        <v>28656</v>
      </c>
      <c r="L155" s="111">
        <v>42042</v>
      </c>
      <c r="M155" s="111">
        <v>16739</v>
      </c>
      <c r="N155" s="111">
        <v>8677</v>
      </c>
      <c r="O155" s="111">
        <v>73858</v>
      </c>
      <c r="P155" s="111">
        <v>19675</v>
      </c>
      <c r="Q155" s="111">
        <v>6094</v>
      </c>
    </row>
    <row r="156" spans="1:17" x14ac:dyDescent="0.2">
      <c r="A156" s="110">
        <v>38292</v>
      </c>
      <c r="B156" s="111">
        <v>225080</v>
      </c>
      <c r="C156" s="111">
        <v>327836</v>
      </c>
      <c r="D156" s="111">
        <v>24974</v>
      </c>
      <c r="E156" s="111">
        <v>16044</v>
      </c>
      <c r="F156" s="111">
        <v>41404</v>
      </c>
      <c r="G156" s="111">
        <v>8479</v>
      </c>
      <c r="H156" s="111">
        <v>8722</v>
      </c>
      <c r="I156" s="111">
        <v>31659</v>
      </c>
      <c r="J156" s="111">
        <v>254429</v>
      </c>
      <c r="K156" s="111">
        <v>29349</v>
      </c>
      <c r="L156" s="111">
        <v>42179</v>
      </c>
      <c r="M156" s="111">
        <v>16813</v>
      </c>
      <c r="N156" s="111">
        <v>8877</v>
      </c>
      <c r="O156" s="111">
        <v>73407</v>
      </c>
      <c r="P156" s="111">
        <v>19789</v>
      </c>
      <c r="Q156" s="111">
        <v>6140</v>
      </c>
    </row>
    <row r="157" spans="1:17" x14ac:dyDescent="0.2">
      <c r="A157" s="110">
        <v>38322</v>
      </c>
      <c r="B157" s="111">
        <v>227441</v>
      </c>
      <c r="C157" s="111">
        <v>331874</v>
      </c>
      <c r="D157" s="111">
        <v>25679</v>
      </c>
      <c r="E157" s="111">
        <v>16183</v>
      </c>
      <c r="F157" s="111">
        <v>41534</v>
      </c>
      <c r="G157" s="111">
        <v>8513</v>
      </c>
      <c r="H157" s="111">
        <v>8905</v>
      </c>
      <c r="I157" s="111">
        <v>32111</v>
      </c>
      <c r="J157" s="111">
        <v>256487</v>
      </c>
      <c r="K157" s="111">
        <v>29046</v>
      </c>
      <c r="L157" s="111">
        <v>42656</v>
      </c>
      <c r="M157" s="111">
        <v>16882</v>
      </c>
      <c r="N157" s="111">
        <v>8914</v>
      </c>
      <c r="O157" s="111">
        <v>75387</v>
      </c>
      <c r="P157" s="111">
        <v>19942</v>
      </c>
      <c r="Q157" s="111">
        <v>6122</v>
      </c>
    </row>
    <row r="158" spans="1:17" x14ac:dyDescent="0.2">
      <c r="A158" s="110">
        <v>38353</v>
      </c>
      <c r="B158" s="111">
        <v>228238</v>
      </c>
      <c r="C158" s="111">
        <v>328696</v>
      </c>
      <c r="D158" s="111">
        <v>26126</v>
      </c>
      <c r="E158" s="111">
        <v>16125</v>
      </c>
      <c r="F158" s="111">
        <v>41691</v>
      </c>
      <c r="G158" s="111">
        <v>8555</v>
      </c>
      <c r="H158" s="111">
        <v>8856</v>
      </c>
      <c r="I158" s="111">
        <v>32000</v>
      </c>
      <c r="J158" s="111">
        <v>256613</v>
      </c>
      <c r="K158" s="111">
        <v>28375</v>
      </c>
      <c r="L158" s="111">
        <v>42556</v>
      </c>
      <c r="M158" s="111">
        <v>17116</v>
      </c>
      <c r="N158" s="111">
        <v>8784</v>
      </c>
      <c r="O158" s="111">
        <v>72083</v>
      </c>
      <c r="P158" s="111">
        <v>20237</v>
      </c>
      <c r="Q158" s="111">
        <v>6192</v>
      </c>
    </row>
    <row r="159" spans="1:17" x14ac:dyDescent="0.2">
      <c r="A159" s="110">
        <v>38384</v>
      </c>
      <c r="B159" s="111">
        <v>230238</v>
      </c>
      <c r="C159" s="111">
        <v>333026</v>
      </c>
      <c r="D159" s="111">
        <v>25797</v>
      </c>
      <c r="E159" s="111">
        <v>16674</v>
      </c>
      <c r="F159" s="111">
        <v>41757</v>
      </c>
      <c r="G159" s="111">
        <v>8765</v>
      </c>
      <c r="H159" s="111">
        <v>8908</v>
      </c>
      <c r="I159" s="111">
        <v>32469</v>
      </c>
      <c r="J159" s="111">
        <v>259253</v>
      </c>
      <c r="K159" s="111">
        <v>29015</v>
      </c>
      <c r="L159" s="111">
        <v>43183</v>
      </c>
      <c r="M159" s="111">
        <v>17292</v>
      </c>
      <c r="N159" s="111">
        <v>8949</v>
      </c>
      <c r="O159" s="111">
        <v>73773</v>
      </c>
      <c r="P159" s="111">
        <v>20175</v>
      </c>
      <c r="Q159" s="111">
        <v>6269</v>
      </c>
    </row>
    <row r="160" spans="1:17" x14ac:dyDescent="0.2">
      <c r="A160" s="110">
        <v>38412</v>
      </c>
      <c r="B160" s="111">
        <v>229936</v>
      </c>
      <c r="C160" s="111">
        <v>333581</v>
      </c>
      <c r="D160" s="111">
        <v>26219</v>
      </c>
      <c r="E160" s="111">
        <v>16293</v>
      </c>
      <c r="F160" s="111">
        <v>41800</v>
      </c>
      <c r="G160" s="111">
        <v>8784</v>
      </c>
      <c r="H160" s="111">
        <v>8840</v>
      </c>
      <c r="I160" s="111">
        <v>32273</v>
      </c>
      <c r="J160" s="111">
        <v>259434</v>
      </c>
      <c r="K160" s="111">
        <v>29498</v>
      </c>
      <c r="L160" s="111">
        <v>42949</v>
      </c>
      <c r="M160" s="111">
        <v>17245</v>
      </c>
      <c r="N160" s="111">
        <v>8890</v>
      </c>
      <c r="O160" s="111">
        <v>74147</v>
      </c>
      <c r="P160" s="111">
        <v>20506</v>
      </c>
      <c r="Q160" s="111">
        <v>6137</v>
      </c>
    </row>
    <row r="161" spans="1:17" x14ac:dyDescent="0.2">
      <c r="A161" s="110">
        <v>38443</v>
      </c>
      <c r="B161" s="111">
        <v>232925</v>
      </c>
      <c r="C161" s="111">
        <v>336583</v>
      </c>
      <c r="D161" s="111">
        <v>26520</v>
      </c>
      <c r="E161" s="111">
        <v>16636</v>
      </c>
      <c r="F161" s="111">
        <v>42283</v>
      </c>
      <c r="G161" s="111">
        <v>8820</v>
      </c>
      <c r="H161" s="111">
        <v>8994</v>
      </c>
      <c r="I161" s="111">
        <v>32823</v>
      </c>
      <c r="J161" s="111">
        <v>262934</v>
      </c>
      <c r="K161" s="111">
        <v>30009</v>
      </c>
      <c r="L161" s="111">
        <v>43601</v>
      </c>
      <c r="M161" s="111">
        <v>17350</v>
      </c>
      <c r="N161" s="111">
        <v>8839</v>
      </c>
      <c r="O161" s="111">
        <v>73649</v>
      </c>
      <c r="P161" s="111">
        <v>20741</v>
      </c>
      <c r="Q161" s="111">
        <v>6318</v>
      </c>
    </row>
    <row r="162" spans="1:17" x14ac:dyDescent="0.2">
      <c r="A162" s="110">
        <v>38473</v>
      </c>
      <c r="B162" s="111">
        <v>232157</v>
      </c>
      <c r="C162" s="111">
        <v>334522</v>
      </c>
      <c r="D162" s="111">
        <v>26510</v>
      </c>
      <c r="E162" s="111">
        <v>16514</v>
      </c>
      <c r="F162" s="111">
        <v>42081</v>
      </c>
      <c r="G162" s="111">
        <v>8775</v>
      </c>
      <c r="H162" s="111">
        <v>8963</v>
      </c>
      <c r="I162" s="111">
        <v>32746</v>
      </c>
      <c r="J162" s="111">
        <v>261297</v>
      </c>
      <c r="K162" s="111">
        <v>29140</v>
      </c>
      <c r="L162" s="111">
        <v>43423</v>
      </c>
      <c r="M162" s="111">
        <v>17413</v>
      </c>
      <c r="N162" s="111">
        <v>8932</v>
      </c>
      <c r="O162" s="111">
        <v>73225</v>
      </c>
      <c r="P162" s="111">
        <v>20568</v>
      </c>
      <c r="Q162" s="111">
        <v>6232</v>
      </c>
    </row>
    <row r="163" spans="1:17" x14ac:dyDescent="0.2">
      <c r="A163" s="110">
        <v>38504</v>
      </c>
      <c r="B163" s="111">
        <v>234470</v>
      </c>
      <c r="C163" s="111">
        <v>343998</v>
      </c>
      <c r="D163" s="111">
        <v>26569</v>
      </c>
      <c r="E163" s="111">
        <v>16824</v>
      </c>
      <c r="F163" s="111">
        <v>42363</v>
      </c>
      <c r="G163" s="111">
        <v>8828</v>
      </c>
      <c r="H163" s="111">
        <v>9093</v>
      </c>
      <c r="I163" s="111">
        <v>33009</v>
      </c>
      <c r="J163" s="111">
        <v>264359</v>
      </c>
      <c r="K163" s="111">
        <v>29889</v>
      </c>
      <c r="L163" s="111">
        <v>44354</v>
      </c>
      <c r="M163" s="111">
        <v>17392</v>
      </c>
      <c r="N163" s="111">
        <v>8879</v>
      </c>
      <c r="O163" s="111">
        <v>79639</v>
      </c>
      <c r="P163" s="111">
        <v>21024</v>
      </c>
      <c r="Q163" s="111">
        <v>6135</v>
      </c>
    </row>
    <row r="164" spans="1:17" x14ac:dyDescent="0.2">
      <c r="A164" s="110">
        <v>38534</v>
      </c>
      <c r="B164" s="111">
        <v>233995</v>
      </c>
      <c r="C164" s="111">
        <v>346576</v>
      </c>
      <c r="D164" s="111">
        <v>26538</v>
      </c>
      <c r="E164" s="111">
        <v>16450</v>
      </c>
      <c r="F164" s="111">
        <v>42184</v>
      </c>
      <c r="G164" s="111">
        <v>8877</v>
      </c>
      <c r="H164" s="111">
        <v>9084</v>
      </c>
      <c r="I164" s="111">
        <v>33056</v>
      </c>
      <c r="J164" s="111">
        <v>264971</v>
      </c>
      <c r="K164" s="111">
        <v>30976</v>
      </c>
      <c r="L164" s="111">
        <v>44017</v>
      </c>
      <c r="M164" s="111">
        <v>17635</v>
      </c>
      <c r="N164" s="111">
        <v>8927</v>
      </c>
      <c r="O164" s="111">
        <v>81605</v>
      </c>
      <c r="P164" s="111">
        <v>20988</v>
      </c>
      <c r="Q164" s="111">
        <v>6239</v>
      </c>
    </row>
    <row r="165" spans="1:17" x14ac:dyDescent="0.2">
      <c r="A165" s="110">
        <v>38565</v>
      </c>
      <c r="B165" s="111">
        <v>236121</v>
      </c>
      <c r="C165" s="111">
        <v>343307</v>
      </c>
      <c r="D165" s="111">
        <v>26814</v>
      </c>
      <c r="E165" s="111">
        <v>16759</v>
      </c>
      <c r="F165" s="111">
        <v>42542</v>
      </c>
      <c r="G165" s="111">
        <v>8868</v>
      </c>
      <c r="H165" s="111">
        <v>9193</v>
      </c>
      <c r="I165" s="111">
        <v>33261</v>
      </c>
      <c r="J165" s="111">
        <v>269520</v>
      </c>
      <c r="K165" s="111">
        <v>33399</v>
      </c>
      <c r="L165" s="111">
        <v>44214</v>
      </c>
      <c r="M165" s="111">
        <v>17548</v>
      </c>
      <c r="N165" s="111">
        <v>8881</v>
      </c>
      <c r="O165" s="111">
        <v>73787</v>
      </c>
      <c r="P165" s="111">
        <v>21767</v>
      </c>
      <c r="Q165" s="111">
        <v>6274</v>
      </c>
    </row>
    <row r="166" spans="1:17" x14ac:dyDescent="0.2">
      <c r="A166" s="110">
        <v>38596</v>
      </c>
      <c r="B166" s="111">
        <v>237213</v>
      </c>
      <c r="C166" s="111">
        <v>343956</v>
      </c>
      <c r="D166" s="111">
        <v>27111</v>
      </c>
      <c r="E166" s="111">
        <v>16450</v>
      </c>
      <c r="F166" s="111">
        <v>42845</v>
      </c>
      <c r="G166" s="111">
        <v>8955</v>
      </c>
      <c r="H166" s="111">
        <v>9244</v>
      </c>
      <c r="I166" s="111">
        <v>33283</v>
      </c>
      <c r="J166" s="111">
        <v>273329</v>
      </c>
      <c r="K166" s="111">
        <v>36116</v>
      </c>
      <c r="L166" s="111">
        <v>44502</v>
      </c>
      <c r="M166" s="111">
        <v>17707</v>
      </c>
      <c r="N166" s="111">
        <v>9010</v>
      </c>
      <c r="O166" s="111">
        <v>70627</v>
      </c>
      <c r="P166" s="111">
        <v>21951</v>
      </c>
      <c r="Q166" s="111">
        <v>6155</v>
      </c>
    </row>
    <row r="167" spans="1:17" x14ac:dyDescent="0.2">
      <c r="A167" s="110">
        <v>38626</v>
      </c>
      <c r="B167" s="111">
        <v>240333</v>
      </c>
      <c r="C167" s="111">
        <v>344097</v>
      </c>
      <c r="D167" s="111">
        <v>27664</v>
      </c>
      <c r="E167" s="111">
        <v>17120</v>
      </c>
      <c r="F167" s="111">
        <v>42842</v>
      </c>
      <c r="G167" s="111">
        <v>9047</v>
      </c>
      <c r="H167" s="111">
        <v>9315</v>
      </c>
      <c r="I167" s="111">
        <v>33618</v>
      </c>
      <c r="J167" s="111">
        <v>276244</v>
      </c>
      <c r="K167" s="111">
        <v>35911</v>
      </c>
      <c r="L167" s="111">
        <v>45267</v>
      </c>
      <c r="M167" s="111">
        <v>17742</v>
      </c>
      <c r="N167" s="111">
        <v>9086</v>
      </c>
      <c r="O167" s="111">
        <v>67853</v>
      </c>
      <c r="P167" s="111">
        <v>22255</v>
      </c>
      <c r="Q167" s="111">
        <v>6377</v>
      </c>
    </row>
    <row r="168" spans="1:17" x14ac:dyDescent="0.2">
      <c r="A168" s="110">
        <v>38657</v>
      </c>
      <c r="B168" s="111">
        <v>240929</v>
      </c>
      <c r="C168" s="111">
        <v>347325</v>
      </c>
      <c r="D168" s="111">
        <v>27674</v>
      </c>
      <c r="E168" s="111">
        <v>17142</v>
      </c>
      <c r="F168" s="111">
        <v>42823</v>
      </c>
      <c r="G168" s="111">
        <v>8965</v>
      </c>
      <c r="H168" s="111">
        <v>9319</v>
      </c>
      <c r="I168" s="111">
        <v>34022</v>
      </c>
      <c r="J168" s="111">
        <v>274114</v>
      </c>
      <c r="K168" s="111">
        <v>33185</v>
      </c>
      <c r="L168" s="111">
        <v>45226</v>
      </c>
      <c r="M168" s="111">
        <v>17859</v>
      </c>
      <c r="N168" s="111">
        <v>9151</v>
      </c>
      <c r="O168" s="111">
        <v>73211</v>
      </c>
      <c r="P168" s="111">
        <v>22461</v>
      </c>
      <c r="Q168" s="111">
        <v>6287</v>
      </c>
    </row>
    <row r="169" spans="1:17" x14ac:dyDescent="0.2">
      <c r="A169" s="110">
        <v>38687</v>
      </c>
      <c r="B169" s="111">
        <v>240919</v>
      </c>
      <c r="C169" s="111">
        <v>347405</v>
      </c>
      <c r="D169" s="111">
        <v>27324</v>
      </c>
      <c r="E169" s="111">
        <v>17207</v>
      </c>
      <c r="F169" s="111">
        <v>43191</v>
      </c>
      <c r="G169" s="111">
        <v>8889</v>
      </c>
      <c r="H169" s="111">
        <v>9260</v>
      </c>
      <c r="I169" s="111">
        <v>33932</v>
      </c>
      <c r="J169" s="111">
        <v>274073</v>
      </c>
      <c r="K169" s="111">
        <v>33154</v>
      </c>
      <c r="L169" s="111">
        <v>44778</v>
      </c>
      <c r="M169" s="111">
        <v>18005</v>
      </c>
      <c r="N169" s="111">
        <v>9044</v>
      </c>
      <c r="O169" s="111">
        <v>73332</v>
      </c>
      <c r="P169" s="111">
        <v>22827</v>
      </c>
      <c r="Q169" s="111">
        <v>6462</v>
      </c>
    </row>
    <row r="170" spans="1:17" x14ac:dyDescent="0.2">
      <c r="A170" s="110">
        <v>38718</v>
      </c>
      <c r="B170" s="111">
        <v>246276</v>
      </c>
      <c r="C170" s="111">
        <v>357331</v>
      </c>
      <c r="D170" s="111">
        <v>29686</v>
      </c>
      <c r="E170" s="111">
        <v>17331</v>
      </c>
      <c r="F170" s="111">
        <v>42681</v>
      </c>
      <c r="G170" s="111">
        <v>9395</v>
      </c>
      <c r="H170" s="111">
        <v>9561</v>
      </c>
      <c r="I170" s="111">
        <v>34983</v>
      </c>
      <c r="J170" s="111">
        <v>280574</v>
      </c>
      <c r="K170" s="111">
        <v>34298</v>
      </c>
      <c r="L170" s="111">
        <v>45710</v>
      </c>
      <c r="M170" s="111">
        <v>18000</v>
      </c>
      <c r="N170" s="111">
        <v>9620</v>
      </c>
      <c r="O170" s="111">
        <v>76757</v>
      </c>
      <c r="P170" s="111">
        <v>22574</v>
      </c>
      <c r="Q170" s="111">
        <v>6735</v>
      </c>
    </row>
    <row r="171" spans="1:17" x14ac:dyDescent="0.2">
      <c r="A171" s="110">
        <v>38749</v>
      </c>
      <c r="B171" s="111">
        <v>246424</v>
      </c>
      <c r="C171" s="111">
        <v>354706</v>
      </c>
      <c r="D171" s="111">
        <v>29479</v>
      </c>
      <c r="E171" s="111">
        <v>17384</v>
      </c>
      <c r="F171" s="111">
        <v>43379</v>
      </c>
      <c r="G171" s="111">
        <v>9101</v>
      </c>
      <c r="H171" s="111">
        <v>9439</v>
      </c>
      <c r="I171" s="111">
        <v>34535</v>
      </c>
      <c r="J171" s="111">
        <v>280598</v>
      </c>
      <c r="K171" s="111">
        <v>34174</v>
      </c>
      <c r="L171" s="111">
        <v>45774</v>
      </c>
      <c r="M171" s="111">
        <v>18124</v>
      </c>
      <c r="N171" s="111">
        <v>9512</v>
      </c>
      <c r="O171" s="111">
        <v>74108</v>
      </c>
      <c r="P171" s="111">
        <v>23068</v>
      </c>
      <c r="Q171" s="111">
        <v>6629</v>
      </c>
    </row>
    <row r="172" spans="1:17" x14ac:dyDescent="0.2">
      <c r="A172" s="110">
        <v>38777</v>
      </c>
      <c r="B172" s="111">
        <v>246861</v>
      </c>
      <c r="C172" s="111">
        <v>355665</v>
      </c>
      <c r="D172" s="111">
        <v>29289</v>
      </c>
      <c r="E172" s="111">
        <v>17385</v>
      </c>
      <c r="F172" s="111">
        <v>43233</v>
      </c>
      <c r="G172" s="111">
        <v>9185</v>
      </c>
      <c r="H172" s="111">
        <v>9431</v>
      </c>
      <c r="I172" s="111">
        <v>34796</v>
      </c>
      <c r="J172" s="111">
        <v>281056</v>
      </c>
      <c r="K172" s="111">
        <v>34195</v>
      </c>
      <c r="L172" s="111">
        <v>45635</v>
      </c>
      <c r="M172" s="111">
        <v>18222</v>
      </c>
      <c r="N172" s="111">
        <v>9398</v>
      </c>
      <c r="O172" s="111">
        <v>74609</v>
      </c>
      <c r="P172" s="111">
        <v>23677</v>
      </c>
      <c r="Q172" s="111">
        <v>6610</v>
      </c>
    </row>
    <row r="173" spans="1:17" x14ac:dyDescent="0.2">
      <c r="A173" s="110">
        <v>38808</v>
      </c>
      <c r="B173" s="111">
        <v>246879</v>
      </c>
      <c r="C173" s="111">
        <v>357423</v>
      </c>
      <c r="D173" s="111">
        <v>28905</v>
      </c>
      <c r="E173" s="111">
        <v>17542</v>
      </c>
      <c r="F173" s="111">
        <v>43269</v>
      </c>
      <c r="G173" s="111">
        <v>9165</v>
      </c>
      <c r="H173" s="111">
        <v>9402</v>
      </c>
      <c r="I173" s="111">
        <v>34862</v>
      </c>
      <c r="J173" s="111">
        <v>282525</v>
      </c>
      <c r="K173" s="111">
        <v>35646</v>
      </c>
      <c r="L173" s="111">
        <v>46048</v>
      </c>
      <c r="M173" s="111">
        <v>18294</v>
      </c>
      <c r="N173" s="111">
        <v>9507</v>
      </c>
      <c r="O173" s="111">
        <v>74898</v>
      </c>
      <c r="P173" s="111">
        <v>23305</v>
      </c>
      <c r="Q173" s="111">
        <v>6580</v>
      </c>
    </row>
    <row r="174" spans="1:17" x14ac:dyDescent="0.2">
      <c r="A174" s="110">
        <v>38838</v>
      </c>
      <c r="B174" s="111">
        <v>246464</v>
      </c>
      <c r="C174" s="111">
        <v>356704</v>
      </c>
      <c r="D174" s="111">
        <v>27864</v>
      </c>
      <c r="E174" s="111">
        <v>17492</v>
      </c>
      <c r="F174" s="111">
        <v>43654</v>
      </c>
      <c r="G174" s="111">
        <v>9132</v>
      </c>
      <c r="H174" s="111">
        <v>9368</v>
      </c>
      <c r="I174" s="111">
        <v>34910</v>
      </c>
      <c r="J174" s="111">
        <v>282623</v>
      </c>
      <c r="K174" s="111">
        <v>36159</v>
      </c>
      <c r="L174" s="111">
        <v>45806</v>
      </c>
      <c r="M174" s="111">
        <v>18466</v>
      </c>
      <c r="N174" s="111">
        <v>9475</v>
      </c>
      <c r="O174" s="111">
        <v>74081</v>
      </c>
      <c r="P174" s="111">
        <v>23794</v>
      </c>
      <c r="Q174" s="111">
        <v>6503</v>
      </c>
    </row>
    <row r="175" spans="1:17" x14ac:dyDescent="0.2">
      <c r="A175" s="110">
        <v>38869</v>
      </c>
      <c r="B175" s="111">
        <v>246282</v>
      </c>
      <c r="C175" s="111">
        <v>357879</v>
      </c>
      <c r="D175" s="111">
        <v>27339</v>
      </c>
      <c r="E175" s="111">
        <v>17701</v>
      </c>
      <c r="F175" s="111">
        <v>43782</v>
      </c>
      <c r="G175" s="111">
        <v>9130</v>
      </c>
      <c r="H175" s="111">
        <v>9485</v>
      </c>
      <c r="I175" s="111">
        <v>34695</v>
      </c>
      <c r="J175" s="111">
        <v>282510</v>
      </c>
      <c r="K175" s="111">
        <v>36228</v>
      </c>
      <c r="L175" s="111">
        <v>45956</v>
      </c>
      <c r="M175" s="111">
        <v>18584</v>
      </c>
      <c r="N175" s="111">
        <v>9324</v>
      </c>
      <c r="O175" s="111">
        <v>75369</v>
      </c>
      <c r="P175" s="111">
        <v>23762</v>
      </c>
      <c r="Q175" s="111">
        <v>6524</v>
      </c>
    </row>
    <row r="176" spans="1:17" x14ac:dyDescent="0.2">
      <c r="A176" s="110">
        <v>38899</v>
      </c>
      <c r="B176" s="111">
        <v>246079</v>
      </c>
      <c r="C176" s="111">
        <v>359006</v>
      </c>
      <c r="D176" s="111">
        <v>27327</v>
      </c>
      <c r="E176" s="111">
        <v>17691</v>
      </c>
      <c r="F176" s="111">
        <v>43827</v>
      </c>
      <c r="G176" s="111">
        <v>9126</v>
      </c>
      <c r="H176" s="111">
        <v>9442</v>
      </c>
      <c r="I176" s="111">
        <v>34802</v>
      </c>
      <c r="J176" s="111">
        <v>283042</v>
      </c>
      <c r="K176" s="111">
        <v>36963</v>
      </c>
      <c r="L176" s="111">
        <v>45838</v>
      </c>
      <c r="M176" s="111">
        <v>18640</v>
      </c>
      <c r="N176" s="111">
        <v>9287</v>
      </c>
      <c r="O176" s="111">
        <v>75964</v>
      </c>
      <c r="P176" s="111">
        <v>23638</v>
      </c>
      <c r="Q176" s="111">
        <v>6461</v>
      </c>
    </row>
    <row r="177" spans="1:17" x14ac:dyDescent="0.2">
      <c r="A177" s="110">
        <v>38930</v>
      </c>
      <c r="B177" s="111">
        <v>247808</v>
      </c>
      <c r="C177" s="111">
        <v>360691</v>
      </c>
      <c r="D177" s="111">
        <v>27358</v>
      </c>
      <c r="E177" s="111">
        <v>17635</v>
      </c>
      <c r="F177" s="111">
        <v>44160</v>
      </c>
      <c r="G177" s="111">
        <v>9124</v>
      </c>
      <c r="H177" s="111">
        <v>9422</v>
      </c>
      <c r="I177" s="111">
        <v>35367</v>
      </c>
      <c r="J177" s="111">
        <v>285504</v>
      </c>
      <c r="K177" s="111">
        <v>37696</v>
      </c>
      <c r="L177" s="111">
        <v>46043</v>
      </c>
      <c r="M177" s="111">
        <v>18757</v>
      </c>
      <c r="N177" s="111">
        <v>9305</v>
      </c>
      <c r="O177" s="111">
        <v>75187</v>
      </c>
      <c r="P177" s="111">
        <v>24225</v>
      </c>
      <c r="Q177" s="111">
        <v>6412</v>
      </c>
    </row>
    <row r="178" spans="1:17" x14ac:dyDescent="0.2">
      <c r="A178" s="110">
        <v>38961</v>
      </c>
      <c r="B178" s="111">
        <v>249447</v>
      </c>
      <c r="C178" s="111">
        <v>358961</v>
      </c>
      <c r="D178" s="111">
        <v>26994</v>
      </c>
      <c r="E178" s="111">
        <v>18256</v>
      </c>
      <c r="F178" s="111">
        <v>43846</v>
      </c>
      <c r="G178" s="111">
        <v>9158</v>
      </c>
      <c r="H178" s="111">
        <v>9549</v>
      </c>
      <c r="I178" s="111">
        <v>35725</v>
      </c>
      <c r="J178" s="111">
        <v>284382</v>
      </c>
      <c r="K178" s="111">
        <v>34935</v>
      </c>
      <c r="L178" s="111">
        <v>46712</v>
      </c>
      <c r="M178" s="111">
        <v>18933</v>
      </c>
      <c r="N178" s="111">
        <v>9378</v>
      </c>
      <c r="O178" s="111">
        <v>74579</v>
      </c>
      <c r="P178" s="111">
        <v>24206</v>
      </c>
      <c r="Q178" s="111">
        <v>6690</v>
      </c>
    </row>
    <row r="179" spans="1:17" x14ac:dyDescent="0.2">
      <c r="A179" s="110">
        <v>38991</v>
      </c>
      <c r="B179" s="111">
        <v>250103</v>
      </c>
      <c r="C179" s="111">
        <v>358462</v>
      </c>
      <c r="D179" s="111">
        <v>27161</v>
      </c>
      <c r="E179" s="111">
        <v>18126</v>
      </c>
      <c r="F179" s="111">
        <v>44542</v>
      </c>
      <c r="G179" s="111">
        <v>8953</v>
      </c>
      <c r="H179" s="111">
        <v>9375</v>
      </c>
      <c r="I179" s="111">
        <v>35784</v>
      </c>
      <c r="J179" s="111">
        <v>283015</v>
      </c>
      <c r="K179" s="111">
        <v>32912</v>
      </c>
      <c r="L179" s="111">
        <v>46679</v>
      </c>
      <c r="M179" s="111">
        <v>19044</v>
      </c>
      <c r="N179" s="111">
        <v>9501</v>
      </c>
      <c r="O179" s="111">
        <v>75447</v>
      </c>
      <c r="P179" s="111">
        <v>24349</v>
      </c>
      <c r="Q179" s="111">
        <v>6589</v>
      </c>
    </row>
    <row r="180" spans="1:17" x14ac:dyDescent="0.2">
      <c r="A180" s="110">
        <v>39022</v>
      </c>
      <c r="B180" s="111">
        <v>249880</v>
      </c>
      <c r="C180" s="111">
        <v>359266</v>
      </c>
      <c r="D180" s="111">
        <v>26647</v>
      </c>
      <c r="E180" s="111">
        <v>17910</v>
      </c>
      <c r="F180" s="111">
        <v>44572</v>
      </c>
      <c r="G180" s="111">
        <v>9158</v>
      </c>
      <c r="H180" s="111">
        <v>9311</v>
      </c>
      <c r="I180" s="111">
        <v>35923</v>
      </c>
      <c r="J180" s="111">
        <v>283202</v>
      </c>
      <c r="K180" s="111">
        <v>33322</v>
      </c>
      <c r="L180" s="111">
        <v>46800</v>
      </c>
      <c r="M180" s="111">
        <v>19276</v>
      </c>
      <c r="N180" s="111">
        <v>9563</v>
      </c>
      <c r="O180" s="111">
        <v>76064</v>
      </c>
      <c r="P180" s="111">
        <v>24259</v>
      </c>
      <c r="Q180" s="111">
        <v>6461</v>
      </c>
    </row>
    <row r="181" spans="1:17" x14ac:dyDescent="0.2">
      <c r="A181" s="110">
        <v>39052</v>
      </c>
      <c r="B181" s="111">
        <v>253397</v>
      </c>
      <c r="C181" s="111">
        <v>363730</v>
      </c>
      <c r="D181" s="111">
        <v>27100</v>
      </c>
      <c r="E181" s="111">
        <v>18497</v>
      </c>
      <c r="F181" s="111">
        <v>44730</v>
      </c>
      <c r="G181" s="111">
        <v>9478</v>
      </c>
      <c r="H181" s="111">
        <v>9334</v>
      </c>
      <c r="I181" s="111">
        <v>36881</v>
      </c>
      <c r="J181" s="111">
        <v>288292</v>
      </c>
      <c r="K181" s="111">
        <v>34895</v>
      </c>
      <c r="L181" s="111">
        <v>47344</v>
      </c>
      <c r="M181" s="111">
        <v>19385</v>
      </c>
      <c r="N181" s="111">
        <v>9876</v>
      </c>
      <c r="O181" s="111">
        <v>75438</v>
      </c>
      <c r="P181" s="111">
        <v>24206</v>
      </c>
      <c r="Q181" s="111">
        <v>6566</v>
      </c>
    </row>
    <row r="182" spans="1:17" x14ac:dyDescent="0.2">
      <c r="A182" s="110">
        <v>39083</v>
      </c>
      <c r="B182" s="111">
        <v>253973</v>
      </c>
      <c r="C182" s="111">
        <v>363616</v>
      </c>
      <c r="D182" s="111">
        <v>27533</v>
      </c>
      <c r="E182" s="111">
        <v>18493</v>
      </c>
      <c r="F182" s="111">
        <v>44856</v>
      </c>
      <c r="G182" s="111">
        <v>9229</v>
      </c>
      <c r="H182" s="111">
        <v>9609</v>
      </c>
      <c r="I182" s="111">
        <v>36435</v>
      </c>
      <c r="J182" s="111">
        <v>288217</v>
      </c>
      <c r="K182" s="111">
        <v>34244</v>
      </c>
      <c r="L182" s="111">
        <v>48034</v>
      </c>
      <c r="M182" s="111">
        <v>19423</v>
      </c>
      <c r="N182" s="111">
        <v>9629</v>
      </c>
      <c r="O182" s="111">
        <v>75399</v>
      </c>
      <c r="P182" s="111">
        <v>24243</v>
      </c>
      <c r="Q182" s="111">
        <v>6489</v>
      </c>
    </row>
    <row r="183" spans="1:17" x14ac:dyDescent="0.2">
      <c r="A183" s="110">
        <v>39114</v>
      </c>
      <c r="B183" s="111">
        <v>253233</v>
      </c>
      <c r="C183" s="111">
        <v>364006</v>
      </c>
      <c r="D183" s="111">
        <v>27088</v>
      </c>
      <c r="E183" s="111">
        <v>18144</v>
      </c>
      <c r="F183" s="111">
        <v>45274</v>
      </c>
      <c r="G183" s="111">
        <v>9123</v>
      </c>
      <c r="H183" s="111">
        <v>9369</v>
      </c>
      <c r="I183" s="111">
        <v>36053</v>
      </c>
      <c r="J183" s="111">
        <v>288165</v>
      </c>
      <c r="K183" s="111">
        <v>34932</v>
      </c>
      <c r="L183" s="111">
        <v>47293</v>
      </c>
      <c r="M183" s="111">
        <v>19401</v>
      </c>
      <c r="N183" s="111">
        <v>9489</v>
      </c>
      <c r="O183" s="111">
        <v>75841</v>
      </c>
      <c r="P183" s="111">
        <v>25505</v>
      </c>
      <c r="Q183" s="111">
        <v>6494</v>
      </c>
    </row>
    <row r="184" spans="1:17" x14ac:dyDescent="0.2">
      <c r="A184" s="110">
        <v>39142</v>
      </c>
      <c r="B184" s="111">
        <v>255687</v>
      </c>
      <c r="C184" s="111">
        <v>367158</v>
      </c>
      <c r="D184" s="111">
        <v>27506</v>
      </c>
      <c r="E184" s="111">
        <v>18643</v>
      </c>
      <c r="F184" s="111">
        <v>45271</v>
      </c>
      <c r="G184" s="111">
        <v>9026</v>
      </c>
      <c r="H184" s="111">
        <v>9406</v>
      </c>
      <c r="I184" s="111">
        <v>36579</v>
      </c>
      <c r="J184" s="111">
        <v>291686</v>
      </c>
      <c r="K184" s="111">
        <v>35999</v>
      </c>
      <c r="L184" s="111">
        <v>48132</v>
      </c>
      <c r="M184" s="111">
        <v>19540</v>
      </c>
      <c r="N184" s="111">
        <v>9771</v>
      </c>
      <c r="O184" s="111">
        <v>75472</v>
      </c>
      <c r="P184" s="111">
        <v>25034</v>
      </c>
      <c r="Q184" s="111">
        <v>6779</v>
      </c>
    </row>
    <row r="185" spans="1:17" x14ac:dyDescent="0.2">
      <c r="A185" s="110">
        <v>39173</v>
      </c>
      <c r="B185" s="111">
        <v>253632</v>
      </c>
      <c r="C185" s="111">
        <v>366187</v>
      </c>
      <c r="D185" s="111">
        <v>26610</v>
      </c>
      <c r="E185" s="111">
        <v>18189</v>
      </c>
      <c r="F185" s="111">
        <v>44988</v>
      </c>
      <c r="G185" s="111">
        <v>9008</v>
      </c>
      <c r="H185" s="111">
        <v>9430</v>
      </c>
      <c r="I185" s="111">
        <v>36627</v>
      </c>
      <c r="J185" s="111">
        <v>289982</v>
      </c>
      <c r="K185" s="111">
        <v>36350</v>
      </c>
      <c r="L185" s="111">
        <v>47679</v>
      </c>
      <c r="M185" s="111">
        <v>19572</v>
      </c>
      <c r="N185" s="111">
        <v>9586</v>
      </c>
      <c r="O185" s="111">
        <v>76205</v>
      </c>
      <c r="P185" s="111">
        <v>25303</v>
      </c>
      <c r="Q185" s="111">
        <v>6640</v>
      </c>
    </row>
    <row r="186" spans="1:17" x14ac:dyDescent="0.2">
      <c r="A186" s="110">
        <v>39203</v>
      </c>
      <c r="B186" s="111">
        <v>255752</v>
      </c>
      <c r="C186" s="111">
        <v>370934</v>
      </c>
      <c r="D186" s="111">
        <v>27144</v>
      </c>
      <c r="E186" s="111">
        <v>18545</v>
      </c>
      <c r="F186" s="111">
        <v>45454</v>
      </c>
      <c r="G186" s="111">
        <v>9090</v>
      </c>
      <c r="H186" s="111">
        <v>9331</v>
      </c>
      <c r="I186" s="111">
        <v>36732</v>
      </c>
      <c r="J186" s="111">
        <v>293748</v>
      </c>
      <c r="K186" s="111">
        <v>37996</v>
      </c>
      <c r="L186" s="111">
        <v>47887</v>
      </c>
      <c r="M186" s="111">
        <v>19650</v>
      </c>
      <c r="N186" s="111">
        <v>9843</v>
      </c>
      <c r="O186" s="111">
        <v>77186</v>
      </c>
      <c r="P186" s="111">
        <v>25271</v>
      </c>
      <c r="Q186" s="111">
        <v>6805</v>
      </c>
    </row>
    <row r="187" spans="1:17" x14ac:dyDescent="0.2">
      <c r="A187" s="110">
        <v>39234</v>
      </c>
      <c r="B187" s="111">
        <v>256050</v>
      </c>
      <c r="C187" s="111">
        <v>368154</v>
      </c>
      <c r="D187" s="111">
        <v>26638</v>
      </c>
      <c r="E187" s="111">
        <v>18388</v>
      </c>
      <c r="F187" s="111">
        <v>45627</v>
      </c>
      <c r="G187" s="111">
        <v>9023</v>
      </c>
      <c r="H187" s="111">
        <v>9264</v>
      </c>
      <c r="I187" s="111">
        <v>37078</v>
      </c>
      <c r="J187" s="111">
        <v>293360</v>
      </c>
      <c r="K187" s="111">
        <v>37310</v>
      </c>
      <c r="L187" s="111">
        <v>47852</v>
      </c>
      <c r="M187" s="111">
        <v>19880</v>
      </c>
      <c r="N187" s="111">
        <v>9988</v>
      </c>
      <c r="O187" s="111">
        <v>74794</v>
      </c>
      <c r="P187" s="111">
        <v>25462</v>
      </c>
      <c r="Q187" s="111">
        <v>6850</v>
      </c>
    </row>
    <row r="188" spans="1:17" x14ac:dyDescent="0.2">
      <c r="A188" s="110">
        <v>39264</v>
      </c>
      <c r="B188" s="111">
        <v>257719</v>
      </c>
      <c r="C188" s="111">
        <v>369614</v>
      </c>
      <c r="D188" s="111">
        <v>26860</v>
      </c>
      <c r="E188" s="111">
        <v>18522</v>
      </c>
      <c r="F188" s="111">
        <v>45754</v>
      </c>
      <c r="G188" s="111">
        <v>9088</v>
      </c>
      <c r="H188" s="111">
        <v>9315</v>
      </c>
      <c r="I188" s="111">
        <v>37272</v>
      </c>
      <c r="J188" s="111">
        <v>294682</v>
      </c>
      <c r="K188" s="111">
        <v>36963</v>
      </c>
      <c r="L188" s="111">
        <v>48412</v>
      </c>
      <c r="M188" s="111">
        <v>19831</v>
      </c>
      <c r="N188" s="111">
        <v>9759</v>
      </c>
      <c r="O188" s="111">
        <v>74932</v>
      </c>
      <c r="P188" s="111">
        <v>25970</v>
      </c>
      <c r="Q188" s="111">
        <v>6936</v>
      </c>
    </row>
    <row r="189" spans="1:17" x14ac:dyDescent="0.2">
      <c r="A189" s="110">
        <v>39295</v>
      </c>
      <c r="B189" s="111">
        <v>257586</v>
      </c>
      <c r="C189" s="111">
        <v>371358</v>
      </c>
      <c r="D189" s="111">
        <v>26625</v>
      </c>
      <c r="E189" s="111">
        <v>18491</v>
      </c>
      <c r="F189" s="111">
        <v>45643</v>
      </c>
      <c r="G189" s="111">
        <v>9274</v>
      </c>
      <c r="H189" s="111">
        <v>9300</v>
      </c>
      <c r="I189" s="111">
        <v>37189</v>
      </c>
      <c r="J189" s="111">
        <v>294809</v>
      </c>
      <c r="K189" s="111">
        <v>37223</v>
      </c>
      <c r="L189" s="111">
        <v>48704</v>
      </c>
      <c r="M189" s="111">
        <v>20014</v>
      </c>
      <c r="N189" s="111">
        <v>9740</v>
      </c>
      <c r="O189" s="111">
        <v>76549</v>
      </c>
      <c r="P189" s="111">
        <v>25826</v>
      </c>
      <c r="Q189" s="111">
        <v>6780</v>
      </c>
    </row>
    <row r="190" spans="1:17" x14ac:dyDescent="0.2">
      <c r="A190" s="110">
        <v>39326</v>
      </c>
      <c r="B190" s="111">
        <v>257483</v>
      </c>
      <c r="C190" s="111">
        <v>372869</v>
      </c>
      <c r="D190" s="111">
        <v>26412</v>
      </c>
      <c r="E190" s="111">
        <v>18412</v>
      </c>
      <c r="F190" s="111">
        <v>45853</v>
      </c>
      <c r="G190" s="111">
        <v>9174</v>
      </c>
      <c r="H190" s="111">
        <v>9141</v>
      </c>
      <c r="I190" s="111">
        <v>37427</v>
      </c>
      <c r="J190" s="111">
        <v>295693</v>
      </c>
      <c r="K190" s="111">
        <v>38210</v>
      </c>
      <c r="L190" s="111">
        <v>48288</v>
      </c>
      <c r="M190" s="111">
        <v>20132</v>
      </c>
      <c r="N190" s="111">
        <v>9783</v>
      </c>
      <c r="O190" s="111">
        <v>77176</v>
      </c>
      <c r="P190" s="111">
        <v>26112</v>
      </c>
      <c r="Q190" s="111">
        <v>6749</v>
      </c>
    </row>
    <row r="191" spans="1:17" x14ac:dyDescent="0.2">
      <c r="A191" s="110">
        <v>39356</v>
      </c>
      <c r="B191" s="111">
        <v>258365</v>
      </c>
      <c r="C191" s="111">
        <v>375289</v>
      </c>
      <c r="D191" s="111">
        <v>26248</v>
      </c>
      <c r="E191" s="111">
        <v>18431</v>
      </c>
      <c r="F191" s="111">
        <v>46113</v>
      </c>
      <c r="G191" s="111">
        <v>9293</v>
      </c>
      <c r="H191" s="111">
        <v>9142</v>
      </c>
      <c r="I191" s="111">
        <v>37759</v>
      </c>
      <c r="J191" s="111">
        <v>297672</v>
      </c>
      <c r="K191" s="111">
        <v>39307</v>
      </c>
      <c r="L191" s="111">
        <v>48540</v>
      </c>
      <c r="M191" s="111">
        <v>19988</v>
      </c>
      <c r="N191" s="111">
        <v>9620</v>
      </c>
      <c r="O191" s="111">
        <v>77617</v>
      </c>
      <c r="P191" s="111">
        <v>26397</v>
      </c>
      <c r="Q191" s="111">
        <v>6834</v>
      </c>
    </row>
    <row r="192" spans="1:17" x14ac:dyDescent="0.2">
      <c r="A192" s="110">
        <v>39387</v>
      </c>
      <c r="B192" s="111">
        <v>260954</v>
      </c>
      <c r="C192" s="111">
        <v>378860</v>
      </c>
      <c r="D192" s="111">
        <v>26566</v>
      </c>
      <c r="E192" s="111">
        <v>18759</v>
      </c>
      <c r="F192" s="111">
        <v>46624</v>
      </c>
      <c r="G192" s="111">
        <v>9562</v>
      </c>
      <c r="H192" s="111">
        <v>9094</v>
      </c>
      <c r="I192" s="111">
        <v>37727</v>
      </c>
      <c r="J192" s="111">
        <v>302939</v>
      </c>
      <c r="K192" s="111">
        <v>41985</v>
      </c>
      <c r="L192" s="111">
        <v>49047</v>
      </c>
      <c r="M192" s="111">
        <v>19938</v>
      </c>
      <c r="N192" s="111">
        <v>9632</v>
      </c>
      <c r="O192" s="111">
        <v>75921</v>
      </c>
      <c r="P192" s="111">
        <v>27065</v>
      </c>
      <c r="Q192" s="111">
        <v>6940</v>
      </c>
    </row>
    <row r="193" spans="1:17" x14ac:dyDescent="0.2">
      <c r="A193" s="110">
        <v>39417</v>
      </c>
      <c r="B193" s="111">
        <v>259360</v>
      </c>
      <c r="C193" s="111">
        <v>374298</v>
      </c>
      <c r="D193" s="111">
        <v>25634</v>
      </c>
      <c r="E193" s="111">
        <v>18570</v>
      </c>
      <c r="F193" s="111">
        <v>46831</v>
      </c>
      <c r="G193" s="111">
        <v>9368</v>
      </c>
      <c r="H193" s="111">
        <v>9009</v>
      </c>
      <c r="I193" s="111">
        <v>38109</v>
      </c>
      <c r="J193" s="111">
        <v>300953</v>
      </c>
      <c r="K193" s="111">
        <v>41593</v>
      </c>
      <c r="L193" s="111">
        <v>49302</v>
      </c>
      <c r="M193" s="111">
        <v>19825</v>
      </c>
      <c r="N193" s="111">
        <v>9688</v>
      </c>
      <c r="O193" s="111">
        <v>73345</v>
      </c>
      <c r="P193" s="111">
        <v>26268</v>
      </c>
      <c r="Q193" s="111">
        <v>6756</v>
      </c>
    </row>
    <row r="194" spans="1:17" x14ac:dyDescent="0.2">
      <c r="A194" s="110">
        <v>39448</v>
      </c>
      <c r="B194" s="111">
        <v>258979</v>
      </c>
      <c r="C194" s="111">
        <v>375236</v>
      </c>
      <c r="D194" s="111">
        <v>25721</v>
      </c>
      <c r="E194" s="111">
        <v>18542</v>
      </c>
      <c r="F194" s="111">
        <v>46862</v>
      </c>
      <c r="G194" s="111">
        <v>9175</v>
      </c>
      <c r="H194" s="111">
        <v>8873</v>
      </c>
      <c r="I194" s="111">
        <v>37824</v>
      </c>
      <c r="J194" s="111">
        <v>301402</v>
      </c>
      <c r="K194" s="111">
        <v>42423</v>
      </c>
      <c r="L194" s="111">
        <v>48951</v>
      </c>
      <c r="M194" s="111">
        <v>20120</v>
      </c>
      <c r="N194" s="111">
        <v>10074</v>
      </c>
      <c r="O194" s="111">
        <v>73834</v>
      </c>
      <c r="P194" s="111">
        <v>26019</v>
      </c>
      <c r="Q194" s="111">
        <v>6818</v>
      </c>
    </row>
    <row r="195" spans="1:17" x14ac:dyDescent="0.2">
      <c r="A195" s="110">
        <v>39479</v>
      </c>
      <c r="B195" s="111">
        <v>257123</v>
      </c>
      <c r="C195" s="111">
        <v>371833</v>
      </c>
      <c r="D195" s="111">
        <v>25659</v>
      </c>
      <c r="E195" s="111">
        <v>18280</v>
      </c>
      <c r="F195" s="111">
        <v>46707</v>
      </c>
      <c r="G195" s="111">
        <v>9196</v>
      </c>
      <c r="H195" s="111">
        <v>8594</v>
      </c>
      <c r="I195" s="111">
        <v>37249</v>
      </c>
      <c r="J195" s="111">
        <v>299627</v>
      </c>
      <c r="K195" s="111">
        <v>42504</v>
      </c>
      <c r="L195" s="111">
        <v>48927</v>
      </c>
      <c r="M195" s="111">
        <v>20279</v>
      </c>
      <c r="N195" s="111">
        <v>9380</v>
      </c>
      <c r="O195" s="111">
        <v>72206</v>
      </c>
      <c r="P195" s="111">
        <v>26101</v>
      </c>
      <c r="Q195" s="111">
        <v>6751</v>
      </c>
    </row>
    <row r="196" spans="1:17" x14ac:dyDescent="0.2">
      <c r="A196" s="110">
        <v>39508</v>
      </c>
      <c r="B196" s="111">
        <v>257927</v>
      </c>
      <c r="C196" s="111">
        <v>372745</v>
      </c>
      <c r="D196" s="111">
        <v>25456</v>
      </c>
      <c r="E196" s="111">
        <v>18338</v>
      </c>
      <c r="F196" s="111">
        <v>46883</v>
      </c>
      <c r="G196" s="111">
        <v>9171</v>
      </c>
      <c r="H196" s="111">
        <v>8631</v>
      </c>
      <c r="I196" s="111">
        <v>37552</v>
      </c>
      <c r="J196" s="111">
        <v>300971</v>
      </c>
      <c r="K196" s="111">
        <v>43044</v>
      </c>
      <c r="L196" s="111">
        <v>48990</v>
      </c>
      <c r="M196" s="111">
        <v>20288</v>
      </c>
      <c r="N196" s="111">
        <v>9355</v>
      </c>
      <c r="O196" s="111">
        <v>71774</v>
      </c>
      <c r="P196" s="111">
        <v>26530</v>
      </c>
      <c r="Q196" s="111">
        <v>6733</v>
      </c>
    </row>
    <row r="197" spans="1:17" x14ac:dyDescent="0.2">
      <c r="A197" s="110">
        <v>39539</v>
      </c>
      <c r="B197" s="111">
        <v>259587</v>
      </c>
      <c r="C197" s="111">
        <v>372572</v>
      </c>
      <c r="D197" s="111">
        <v>25292</v>
      </c>
      <c r="E197" s="111">
        <v>18384</v>
      </c>
      <c r="F197" s="111">
        <v>47356</v>
      </c>
      <c r="G197" s="111">
        <v>9286</v>
      </c>
      <c r="H197" s="111">
        <v>8606</v>
      </c>
      <c r="I197" s="111">
        <v>37729</v>
      </c>
      <c r="J197" s="111">
        <v>302520</v>
      </c>
      <c r="K197" s="111">
        <v>42933</v>
      </c>
      <c r="L197" s="111">
        <v>49433</v>
      </c>
      <c r="M197" s="111">
        <v>20172</v>
      </c>
      <c r="N197" s="111">
        <v>9277</v>
      </c>
      <c r="O197" s="111">
        <v>70052</v>
      </c>
      <c r="P197" s="111">
        <v>27243</v>
      </c>
      <c r="Q197" s="111">
        <v>6809</v>
      </c>
    </row>
    <row r="198" spans="1:17" x14ac:dyDescent="0.2">
      <c r="A198" s="110">
        <v>39569</v>
      </c>
      <c r="B198" s="111">
        <v>262549</v>
      </c>
      <c r="C198" s="111">
        <v>376036</v>
      </c>
      <c r="D198" s="111">
        <v>25650</v>
      </c>
      <c r="E198" s="111">
        <v>18642</v>
      </c>
      <c r="F198" s="111">
        <v>47355</v>
      </c>
      <c r="G198" s="111">
        <v>9530</v>
      </c>
      <c r="H198" s="111">
        <v>8587</v>
      </c>
      <c r="I198" s="111">
        <v>38089</v>
      </c>
      <c r="J198" s="111">
        <v>306893</v>
      </c>
      <c r="K198" s="111">
        <v>44344</v>
      </c>
      <c r="L198" s="111">
        <v>50375</v>
      </c>
      <c r="M198" s="111">
        <v>20536</v>
      </c>
      <c r="N198" s="111">
        <v>9310</v>
      </c>
      <c r="O198" s="111">
        <v>69143</v>
      </c>
      <c r="P198" s="111">
        <v>27526</v>
      </c>
      <c r="Q198" s="111">
        <v>6949</v>
      </c>
    </row>
    <row r="199" spans="1:17" x14ac:dyDescent="0.2">
      <c r="A199" s="110">
        <v>39600</v>
      </c>
      <c r="B199" s="111">
        <v>262747</v>
      </c>
      <c r="C199" s="111">
        <v>376455</v>
      </c>
      <c r="D199" s="111">
        <v>25700</v>
      </c>
      <c r="E199" s="111">
        <v>18708</v>
      </c>
      <c r="F199" s="111">
        <v>47568</v>
      </c>
      <c r="G199" s="111">
        <v>9305</v>
      </c>
      <c r="H199" s="111">
        <v>8473</v>
      </c>
      <c r="I199" s="111">
        <v>38144</v>
      </c>
      <c r="J199" s="111">
        <v>309294</v>
      </c>
      <c r="K199" s="111">
        <v>46547</v>
      </c>
      <c r="L199" s="111">
        <v>50762</v>
      </c>
      <c r="M199" s="111">
        <v>20497</v>
      </c>
      <c r="N199" s="111">
        <v>9308</v>
      </c>
      <c r="O199" s="111">
        <v>67161</v>
      </c>
      <c r="P199" s="111">
        <v>27403</v>
      </c>
      <c r="Q199" s="111">
        <v>6879</v>
      </c>
    </row>
    <row r="200" spans="1:17" x14ac:dyDescent="0.2">
      <c r="A200" s="110">
        <v>39630</v>
      </c>
      <c r="B200" s="111">
        <v>263828</v>
      </c>
      <c r="C200" s="111">
        <v>375038</v>
      </c>
      <c r="D200" s="111">
        <v>25897</v>
      </c>
      <c r="E200" s="111">
        <v>18635</v>
      </c>
      <c r="F200" s="111">
        <v>47845</v>
      </c>
      <c r="G200" s="111">
        <v>9329</v>
      </c>
      <c r="H200" s="111">
        <v>8369</v>
      </c>
      <c r="I200" s="111">
        <v>38267</v>
      </c>
      <c r="J200" s="111">
        <v>310641</v>
      </c>
      <c r="K200" s="111">
        <v>46813</v>
      </c>
      <c r="L200" s="111">
        <v>50582</v>
      </c>
      <c r="M200" s="111">
        <v>20640</v>
      </c>
      <c r="N200" s="111">
        <v>9583</v>
      </c>
      <c r="O200" s="111">
        <v>64397</v>
      </c>
      <c r="P200" s="111">
        <v>27823</v>
      </c>
      <c r="Q200" s="111">
        <v>6858</v>
      </c>
    </row>
    <row r="201" spans="1:17" x14ac:dyDescent="0.2">
      <c r="A201" s="110">
        <v>39661</v>
      </c>
      <c r="B201" s="111">
        <v>261654</v>
      </c>
      <c r="C201" s="111">
        <v>372284</v>
      </c>
      <c r="D201" s="111">
        <v>25329</v>
      </c>
      <c r="E201" s="111">
        <v>18524</v>
      </c>
      <c r="F201" s="111">
        <v>47988</v>
      </c>
      <c r="G201" s="111">
        <v>9201</v>
      </c>
      <c r="H201" s="111">
        <v>8154</v>
      </c>
      <c r="I201" s="111">
        <v>38239</v>
      </c>
      <c r="J201" s="111">
        <v>307299</v>
      </c>
      <c r="K201" s="111">
        <v>45645</v>
      </c>
      <c r="L201" s="111">
        <v>50131</v>
      </c>
      <c r="M201" s="111">
        <v>20620</v>
      </c>
      <c r="N201" s="111">
        <v>9163</v>
      </c>
      <c r="O201" s="111">
        <v>64985</v>
      </c>
      <c r="P201" s="111">
        <v>27374</v>
      </c>
      <c r="Q201" s="111">
        <v>6931</v>
      </c>
    </row>
    <row r="202" spans="1:17" x14ac:dyDescent="0.2">
      <c r="A202" s="110">
        <v>39692</v>
      </c>
      <c r="B202" s="111">
        <v>258403</v>
      </c>
      <c r="C202" s="111">
        <v>366729</v>
      </c>
      <c r="D202" s="111">
        <v>25217</v>
      </c>
      <c r="E202" s="111">
        <v>17560</v>
      </c>
      <c r="F202" s="111">
        <v>47740</v>
      </c>
      <c r="G202" s="111">
        <v>8814</v>
      </c>
      <c r="H202" s="111">
        <v>7722</v>
      </c>
      <c r="I202" s="111">
        <v>38386</v>
      </c>
      <c r="J202" s="111">
        <v>304180</v>
      </c>
      <c r="K202" s="111">
        <v>45777</v>
      </c>
      <c r="L202" s="111">
        <v>49436</v>
      </c>
      <c r="M202" s="111">
        <v>20654</v>
      </c>
      <c r="N202" s="111">
        <v>9080</v>
      </c>
      <c r="O202" s="111">
        <v>62549</v>
      </c>
      <c r="P202" s="111">
        <v>27258</v>
      </c>
      <c r="Q202" s="111">
        <v>6536</v>
      </c>
    </row>
    <row r="203" spans="1:17" x14ac:dyDescent="0.2">
      <c r="A203" s="110">
        <v>39722</v>
      </c>
      <c r="B203" s="111">
        <v>255767</v>
      </c>
      <c r="C203" s="111">
        <v>352950</v>
      </c>
      <c r="D203" s="111">
        <v>24568</v>
      </c>
      <c r="E203" s="111">
        <v>17317</v>
      </c>
      <c r="F203" s="111">
        <v>47703</v>
      </c>
      <c r="G203" s="111">
        <v>8732</v>
      </c>
      <c r="H203" s="111">
        <v>7735</v>
      </c>
      <c r="I203" s="111">
        <v>38120</v>
      </c>
      <c r="J203" s="111">
        <v>296351</v>
      </c>
      <c r="K203" s="111">
        <v>40584</v>
      </c>
      <c r="L203" s="111">
        <v>49260</v>
      </c>
      <c r="M203" s="111">
        <v>20659</v>
      </c>
      <c r="N203" s="111">
        <v>8914</v>
      </c>
      <c r="O203" s="111">
        <v>56599</v>
      </c>
      <c r="P203" s="111">
        <v>26333</v>
      </c>
      <c r="Q203" s="111">
        <v>6426</v>
      </c>
    </row>
    <row r="204" spans="1:17" x14ac:dyDescent="0.2">
      <c r="A204" s="110">
        <v>39753</v>
      </c>
      <c r="B204" s="111">
        <v>252590</v>
      </c>
      <c r="C204" s="111">
        <v>339350</v>
      </c>
      <c r="D204" s="111">
        <v>23196</v>
      </c>
      <c r="E204" s="111">
        <v>17173</v>
      </c>
      <c r="F204" s="111">
        <v>47363</v>
      </c>
      <c r="G204" s="111">
        <v>8737</v>
      </c>
      <c r="H204" s="111">
        <v>7640</v>
      </c>
      <c r="I204" s="111">
        <v>38018</v>
      </c>
      <c r="J204" s="111">
        <v>284366</v>
      </c>
      <c r="K204" s="111">
        <v>31776</v>
      </c>
      <c r="L204" s="111">
        <v>49464</v>
      </c>
      <c r="M204" s="111">
        <v>20789</v>
      </c>
      <c r="N204" s="111">
        <v>8630</v>
      </c>
      <c r="O204" s="111">
        <v>54984</v>
      </c>
      <c r="P204" s="111">
        <v>25149</v>
      </c>
      <c r="Q204" s="111">
        <v>6431</v>
      </c>
    </row>
    <row r="205" spans="1:17" x14ac:dyDescent="0.2">
      <c r="A205" s="110">
        <v>39783</v>
      </c>
      <c r="B205" s="111">
        <v>249969</v>
      </c>
      <c r="C205" s="111">
        <v>332091</v>
      </c>
      <c r="D205" s="111">
        <v>22909</v>
      </c>
      <c r="E205" s="111">
        <v>16868</v>
      </c>
      <c r="F205" s="111">
        <v>46942</v>
      </c>
      <c r="G205" s="111">
        <v>8351</v>
      </c>
      <c r="H205" s="111">
        <v>7460</v>
      </c>
      <c r="I205" s="111">
        <v>38066</v>
      </c>
      <c r="J205" s="111">
        <v>277968</v>
      </c>
      <c r="K205" s="111">
        <v>27999</v>
      </c>
      <c r="L205" s="111">
        <v>48906</v>
      </c>
      <c r="M205" s="111">
        <v>20682</v>
      </c>
      <c r="N205" s="111">
        <v>8564</v>
      </c>
      <c r="O205" s="111">
        <v>54123</v>
      </c>
      <c r="P205" s="111">
        <v>24751</v>
      </c>
      <c r="Q205" s="111">
        <v>6470</v>
      </c>
    </row>
    <row r="206" spans="1:17" x14ac:dyDescent="0.2">
      <c r="A206" s="110">
        <v>39814</v>
      </c>
      <c r="B206" s="111">
        <v>252321</v>
      </c>
      <c r="C206" s="111">
        <v>336929</v>
      </c>
      <c r="D206" s="111">
        <v>22758</v>
      </c>
      <c r="E206" s="111">
        <v>17159</v>
      </c>
      <c r="F206" s="111">
        <v>47639</v>
      </c>
      <c r="G206" s="111">
        <v>8884</v>
      </c>
      <c r="H206" s="111">
        <v>7363</v>
      </c>
      <c r="I206" s="111">
        <v>38256</v>
      </c>
      <c r="J206" s="111">
        <v>281139</v>
      </c>
      <c r="K206" s="111">
        <v>28818</v>
      </c>
      <c r="L206" s="111">
        <v>49288</v>
      </c>
      <c r="M206" s="111">
        <v>20753</v>
      </c>
      <c r="N206" s="111">
        <v>8511</v>
      </c>
      <c r="O206" s="111">
        <v>55790</v>
      </c>
      <c r="P206" s="111">
        <v>25049</v>
      </c>
      <c r="Q206" s="111">
        <v>6661</v>
      </c>
    </row>
    <row r="207" spans="1:17" x14ac:dyDescent="0.2">
      <c r="A207" s="110">
        <v>39845</v>
      </c>
      <c r="B207" s="111">
        <v>251528</v>
      </c>
      <c r="C207" s="111">
        <v>335576</v>
      </c>
      <c r="D207" s="111">
        <v>22498</v>
      </c>
      <c r="E207" s="111">
        <v>17401</v>
      </c>
      <c r="F207" s="111">
        <v>46928</v>
      </c>
      <c r="G207" s="111">
        <v>8844</v>
      </c>
      <c r="H207" s="111">
        <v>7285</v>
      </c>
      <c r="I207" s="111">
        <v>37945</v>
      </c>
      <c r="J207" s="111">
        <v>281388</v>
      </c>
      <c r="K207" s="111">
        <v>29860</v>
      </c>
      <c r="L207" s="111">
        <v>49199</v>
      </c>
      <c r="M207" s="111">
        <v>20906</v>
      </c>
      <c r="N207" s="111">
        <v>8746</v>
      </c>
      <c r="O207" s="111">
        <v>54188</v>
      </c>
      <c r="P207" s="111">
        <v>25241</v>
      </c>
      <c r="Q207" s="111">
        <v>6535</v>
      </c>
    </row>
    <row r="208" spans="1:17" x14ac:dyDescent="0.2">
      <c r="A208" s="110">
        <v>39873</v>
      </c>
      <c r="B208" s="111">
        <v>247822</v>
      </c>
      <c r="C208" s="111">
        <v>329747</v>
      </c>
      <c r="D208" s="111">
        <v>22149</v>
      </c>
      <c r="E208" s="111">
        <v>16510</v>
      </c>
      <c r="F208" s="111">
        <v>46912</v>
      </c>
      <c r="G208" s="111">
        <v>8099</v>
      </c>
      <c r="H208" s="111">
        <v>7041</v>
      </c>
      <c r="I208" s="111">
        <v>37447</v>
      </c>
      <c r="J208" s="111">
        <v>276647</v>
      </c>
      <c r="K208" s="111">
        <v>28825</v>
      </c>
      <c r="L208" s="111">
        <v>48840</v>
      </c>
      <c r="M208" s="111">
        <v>20908</v>
      </c>
      <c r="N208" s="111">
        <v>8615</v>
      </c>
      <c r="O208" s="111">
        <v>53100</v>
      </c>
      <c r="P208" s="111">
        <v>24941</v>
      </c>
      <c r="Q208" s="111">
        <v>6360</v>
      </c>
    </row>
    <row r="209" spans="1:17" x14ac:dyDescent="0.2">
      <c r="A209" s="110">
        <v>39904</v>
      </c>
      <c r="B209" s="111">
        <v>249048</v>
      </c>
      <c r="C209" s="111">
        <v>331352</v>
      </c>
      <c r="D209" s="111">
        <v>22092</v>
      </c>
      <c r="E209" s="111">
        <v>16900</v>
      </c>
      <c r="F209" s="111">
        <v>47133</v>
      </c>
      <c r="G209" s="111">
        <v>8049</v>
      </c>
      <c r="H209" s="111">
        <v>7067</v>
      </c>
      <c r="I209" s="111">
        <v>37738</v>
      </c>
      <c r="J209" s="111">
        <v>277795</v>
      </c>
      <c r="K209" s="111">
        <v>28747</v>
      </c>
      <c r="L209" s="111">
        <v>48887</v>
      </c>
      <c r="M209" s="111">
        <v>21059</v>
      </c>
      <c r="N209" s="111">
        <v>8677</v>
      </c>
      <c r="O209" s="111">
        <v>53557</v>
      </c>
      <c r="P209" s="111">
        <v>24932</v>
      </c>
      <c r="Q209" s="111">
        <v>6514</v>
      </c>
    </row>
    <row r="210" spans="1:17" x14ac:dyDescent="0.2">
      <c r="A210" s="110">
        <v>39934</v>
      </c>
      <c r="B210" s="111">
        <v>249679</v>
      </c>
      <c r="C210" s="111">
        <v>334256</v>
      </c>
      <c r="D210" s="111">
        <v>22310</v>
      </c>
      <c r="E210" s="111">
        <v>17038</v>
      </c>
      <c r="F210" s="111">
        <v>47219</v>
      </c>
      <c r="G210" s="111">
        <v>8026</v>
      </c>
      <c r="H210" s="111">
        <v>7087</v>
      </c>
      <c r="I210" s="111">
        <v>37755</v>
      </c>
      <c r="J210" s="111">
        <v>280167</v>
      </c>
      <c r="K210" s="111">
        <v>30488</v>
      </c>
      <c r="L210" s="111">
        <v>49085</v>
      </c>
      <c r="M210" s="111">
        <v>21121</v>
      </c>
      <c r="N210" s="111">
        <v>8426</v>
      </c>
      <c r="O210" s="111">
        <v>54089</v>
      </c>
      <c r="P210" s="111">
        <v>25159</v>
      </c>
      <c r="Q210" s="111">
        <v>6453</v>
      </c>
    </row>
    <row r="211" spans="1:17" x14ac:dyDescent="0.2">
      <c r="A211" s="110">
        <v>39965</v>
      </c>
      <c r="B211" s="111">
        <v>249897</v>
      </c>
      <c r="C211" s="111">
        <v>339883</v>
      </c>
      <c r="D211" s="111">
        <v>22332</v>
      </c>
      <c r="E211" s="111">
        <v>16817</v>
      </c>
      <c r="F211" s="111">
        <v>47350</v>
      </c>
      <c r="G211" s="111">
        <v>8039</v>
      </c>
      <c r="H211" s="111">
        <v>7092</v>
      </c>
      <c r="I211" s="111">
        <v>37714</v>
      </c>
      <c r="J211" s="111">
        <v>283272</v>
      </c>
      <c r="K211" s="111">
        <v>33375</v>
      </c>
      <c r="L211" s="111">
        <v>48792</v>
      </c>
      <c r="M211" s="111">
        <v>21055</v>
      </c>
      <c r="N211" s="111">
        <v>8465</v>
      </c>
      <c r="O211" s="111">
        <v>56611</v>
      </c>
      <c r="P211" s="111">
        <v>25768</v>
      </c>
      <c r="Q211" s="111">
        <v>6473</v>
      </c>
    </row>
    <row r="212" spans="1:17" x14ac:dyDescent="0.2">
      <c r="A212" s="110">
        <v>39995</v>
      </c>
      <c r="B212" s="111">
        <v>249703</v>
      </c>
      <c r="C212" s="111">
        <v>340517</v>
      </c>
      <c r="D212" s="111">
        <v>21883</v>
      </c>
      <c r="E212" s="111">
        <v>17015</v>
      </c>
      <c r="F212" s="111">
        <v>47330</v>
      </c>
      <c r="G212" s="111">
        <v>7965</v>
      </c>
      <c r="H212" s="111">
        <v>7039</v>
      </c>
      <c r="I212" s="111">
        <v>37715</v>
      </c>
      <c r="J212" s="111">
        <v>282769</v>
      </c>
      <c r="K212" s="111">
        <v>33066</v>
      </c>
      <c r="L212" s="111">
        <v>48812</v>
      </c>
      <c r="M212" s="111">
        <v>21027</v>
      </c>
      <c r="N212" s="111">
        <v>8352</v>
      </c>
      <c r="O212" s="111">
        <v>57748</v>
      </c>
      <c r="P212" s="111">
        <v>26110</v>
      </c>
      <c r="Q212" s="111">
        <v>6455</v>
      </c>
    </row>
    <row r="213" spans="1:17" x14ac:dyDescent="0.2">
      <c r="A213" s="110">
        <v>40026</v>
      </c>
      <c r="B213" s="111">
        <v>249747</v>
      </c>
      <c r="C213" s="111">
        <v>346668</v>
      </c>
      <c r="D213" s="111">
        <v>21474</v>
      </c>
      <c r="E213" s="111">
        <v>17233</v>
      </c>
      <c r="F213" s="111">
        <v>47309</v>
      </c>
      <c r="G213" s="111">
        <v>8000</v>
      </c>
      <c r="H213" s="111">
        <v>6991</v>
      </c>
      <c r="I213" s="111">
        <v>37645</v>
      </c>
      <c r="J213" s="111">
        <v>284405</v>
      </c>
      <c r="K213" s="111">
        <v>34658</v>
      </c>
      <c r="L213" s="111">
        <v>48934</v>
      </c>
      <c r="M213" s="111">
        <v>21070</v>
      </c>
      <c r="N213" s="111">
        <v>8313</v>
      </c>
      <c r="O213" s="111">
        <v>62263</v>
      </c>
      <c r="P213" s="111">
        <v>26150</v>
      </c>
      <c r="Q213" s="111">
        <v>6628</v>
      </c>
    </row>
    <row r="214" spans="1:17" x14ac:dyDescent="0.2">
      <c r="A214" s="110">
        <v>40057</v>
      </c>
      <c r="B214" s="111">
        <v>250173</v>
      </c>
      <c r="C214" s="111">
        <v>338507</v>
      </c>
      <c r="D214" s="111">
        <v>21363</v>
      </c>
      <c r="E214" s="111">
        <v>17172</v>
      </c>
      <c r="F214" s="111">
        <v>47559</v>
      </c>
      <c r="G214" s="111">
        <v>7965</v>
      </c>
      <c r="H214" s="111">
        <v>6981</v>
      </c>
      <c r="I214" s="111">
        <v>37474</v>
      </c>
      <c r="J214" s="111">
        <v>284973</v>
      </c>
      <c r="K214" s="111">
        <v>34800</v>
      </c>
      <c r="L214" s="111">
        <v>49220</v>
      </c>
      <c r="M214" s="111">
        <v>21231</v>
      </c>
      <c r="N214" s="111">
        <v>8385</v>
      </c>
      <c r="O214" s="111">
        <v>53534</v>
      </c>
      <c r="P214" s="111">
        <v>26339</v>
      </c>
      <c r="Q214" s="111">
        <v>6484</v>
      </c>
    </row>
    <row r="215" spans="1:17" x14ac:dyDescent="0.2">
      <c r="A215" s="110">
        <v>40087</v>
      </c>
      <c r="B215" s="111">
        <v>250300</v>
      </c>
      <c r="C215" s="111">
        <v>341654</v>
      </c>
      <c r="D215" s="111">
        <v>20661</v>
      </c>
      <c r="E215" s="111">
        <v>17296</v>
      </c>
      <c r="F215" s="111">
        <v>47603</v>
      </c>
      <c r="G215" s="111">
        <v>7920</v>
      </c>
      <c r="H215" s="111">
        <v>6915</v>
      </c>
      <c r="I215" s="111">
        <v>37500</v>
      </c>
      <c r="J215" s="111">
        <v>285185</v>
      </c>
      <c r="K215" s="111">
        <v>34885</v>
      </c>
      <c r="L215" s="111">
        <v>49725</v>
      </c>
      <c r="M215" s="111">
        <v>21278</v>
      </c>
      <c r="N215" s="111">
        <v>8360</v>
      </c>
      <c r="O215" s="111">
        <v>56469</v>
      </c>
      <c r="P215" s="111">
        <v>26634</v>
      </c>
      <c r="Q215" s="111">
        <v>6408</v>
      </c>
    </row>
    <row r="216" spans="1:17" x14ac:dyDescent="0.2">
      <c r="A216" s="110">
        <v>40118</v>
      </c>
      <c r="B216" s="111">
        <v>250447</v>
      </c>
      <c r="C216" s="111">
        <v>344375</v>
      </c>
      <c r="D216" s="111">
        <v>20931</v>
      </c>
      <c r="E216" s="111">
        <v>17105</v>
      </c>
      <c r="F216" s="111">
        <v>47689</v>
      </c>
      <c r="G216" s="111">
        <v>8208</v>
      </c>
      <c r="H216" s="111">
        <v>6991</v>
      </c>
      <c r="I216" s="111">
        <v>37700</v>
      </c>
      <c r="J216" s="111">
        <v>287020</v>
      </c>
      <c r="K216" s="111">
        <v>36573</v>
      </c>
      <c r="L216" s="111">
        <v>49156</v>
      </c>
      <c r="M216" s="111">
        <v>21288</v>
      </c>
      <c r="N216" s="111">
        <v>8406</v>
      </c>
      <c r="O216" s="111">
        <v>57355</v>
      </c>
      <c r="P216" s="111">
        <v>26666</v>
      </c>
      <c r="Q216" s="111">
        <v>6307</v>
      </c>
    </row>
    <row r="217" spans="1:17" x14ac:dyDescent="0.2">
      <c r="A217" s="110">
        <v>40148</v>
      </c>
      <c r="B217" s="111">
        <v>251811</v>
      </c>
      <c r="C217" s="111">
        <v>346072</v>
      </c>
      <c r="D217" s="111">
        <v>20849</v>
      </c>
      <c r="E217" s="111">
        <v>17127</v>
      </c>
      <c r="F217" s="111">
        <v>48134</v>
      </c>
      <c r="G217" s="111">
        <v>8068</v>
      </c>
      <c r="H217" s="111">
        <v>7024</v>
      </c>
      <c r="I217" s="111">
        <v>37659</v>
      </c>
      <c r="J217" s="111">
        <v>288993</v>
      </c>
      <c r="K217" s="111">
        <v>37182</v>
      </c>
      <c r="L217" s="111">
        <v>49657</v>
      </c>
      <c r="M217" s="111">
        <v>21195</v>
      </c>
      <c r="N217" s="111">
        <v>8591</v>
      </c>
      <c r="O217" s="111">
        <v>57079</v>
      </c>
      <c r="P217" s="111">
        <v>26984</v>
      </c>
      <c r="Q217" s="111">
        <v>6523</v>
      </c>
    </row>
    <row r="218" spans="1:17" x14ac:dyDescent="0.2">
      <c r="A218" s="110">
        <v>40179</v>
      </c>
      <c r="B218" s="111">
        <v>251861</v>
      </c>
      <c r="C218" s="111">
        <v>345959</v>
      </c>
      <c r="D218" s="111">
        <v>20562</v>
      </c>
      <c r="E218" s="111">
        <v>17346</v>
      </c>
      <c r="F218" s="111">
        <v>47877</v>
      </c>
      <c r="G218" s="111">
        <v>8223</v>
      </c>
      <c r="H218" s="111">
        <v>7011</v>
      </c>
      <c r="I218" s="111">
        <v>37660</v>
      </c>
      <c r="J218" s="111">
        <v>289219</v>
      </c>
      <c r="K218" s="111">
        <v>37358</v>
      </c>
      <c r="L218" s="111">
        <v>49849</v>
      </c>
      <c r="M218" s="111">
        <v>21165</v>
      </c>
      <c r="N218" s="111">
        <v>8365</v>
      </c>
      <c r="O218" s="111">
        <v>56740</v>
      </c>
      <c r="P218" s="111">
        <v>27302</v>
      </c>
      <c r="Q218" s="111">
        <v>6501</v>
      </c>
    </row>
    <row r="219" spans="1:17" x14ac:dyDescent="0.2">
      <c r="A219" s="110">
        <v>40210</v>
      </c>
      <c r="B219" s="111">
        <v>254089</v>
      </c>
      <c r="C219" s="111">
        <v>346895</v>
      </c>
      <c r="D219" s="111">
        <v>20448</v>
      </c>
      <c r="E219" s="111">
        <v>17404</v>
      </c>
      <c r="F219" s="111">
        <v>48699</v>
      </c>
      <c r="G219" s="111">
        <v>8491</v>
      </c>
      <c r="H219" s="111">
        <v>7131</v>
      </c>
      <c r="I219" s="111">
        <v>38267</v>
      </c>
      <c r="J219" s="111">
        <v>291039</v>
      </c>
      <c r="K219" s="111">
        <v>36950</v>
      </c>
      <c r="L219" s="111">
        <v>50538</v>
      </c>
      <c r="M219" s="111">
        <v>21199</v>
      </c>
      <c r="N219" s="111">
        <v>8247</v>
      </c>
      <c r="O219" s="111">
        <v>55856</v>
      </c>
      <c r="P219" s="111">
        <v>27253</v>
      </c>
      <c r="Q219" s="111">
        <v>6412</v>
      </c>
    </row>
    <row r="220" spans="1:17" x14ac:dyDescent="0.2">
      <c r="A220" s="110">
        <v>40238</v>
      </c>
      <c r="B220" s="111">
        <v>256322</v>
      </c>
      <c r="C220" s="111">
        <v>354379</v>
      </c>
      <c r="D220" s="111">
        <v>21872</v>
      </c>
      <c r="E220" s="111">
        <v>17918</v>
      </c>
      <c r="F220" s="111">
        <v>48273</v>
      </c>
      <c r="G220" s="111">
        <v>8148</v>
      </c>
      <c r="H220" s="111">
        <v>7228</v>
      </c>
      <c r="I220" s="111">
        <v>38376</v>
      </c>
      <c r="J220" s="111">
        <v>293482</v>
      </c>
      <c r="K220" s="111">
        <v>37160</v>
      </c>
      <c r="L220" s="111">
        <v>50064</v>
      </c>
      <c r="M220" s="111">
        <v>21363</v>
      </c>
      <c r="N220" s="111">
        <v>8704</v>
      </c>
      <c r="O220" s="111">
        <v>60897</v>
      </c>
      <c r="P220" s="111">
        <v>27854</v>
      </c>
      <c r="Q220" s="111">
        <v>6522</v>
      </c>
    </row>
    <row r="221" spans="1:17" x14ac:dyDescent="0.2">
      <c r="A221" s="110">
        <v>40269</v>
      </c>
      <c r="B221" s="111">
        <v>258318</v>
      </c>
      <c r="C221" s="111">
        <v>357365</v>
      </c>
      <c r="D221" s="111">
        <v>23542</v>
      </c>
      <c r="E221" s="111">
        <v>17705</v>
      </c>
      <c r="F221" s="111">
        <v>48173</v>
      </c>
      <c r="G221" s="111">
        <v>8289</v>
      </c>
      <c r="H221" s="111">
        <v>7121</v>
      </c>
      <c r="I221" s="111">
        <v>38658</v>
      </c>
      <c r="J221" s="111">
        <v>295536</v>
      </c>
      <c r="K221" s="111">
        <v>37218</v>
      </c>
      <c r="L221" s="111">
        <v>50656</v>
      </c>
      <c r="M221" s="111">
        <v>21471</v>
      </c>
      <c r="N221" s="111">
        <v>8568</v>
      </c>
      <c r="O221" s="111">
        <v>61829</v>
      </c>
      <c r="P221" s="111">
        <v>27719</v>
      </c>
      <c r="Q221" s="111">
        <v>6416</v>
      </c>
    </row>
    <row r="222" spans="1:17" x14ac:dyDescent="0.2">
      <c r="A222" s="110">
        <v>40299</v>
      </c>
      <c r="B222" s="111">
        <v>256070</v>
      </c>
      <c r="C222" s="111">
        <v>354299</v>
      </c>
      <c r="D222" s="111">
        <v>21737</v>
      </c>
      <c r="E222" s="111">
        <v>17653</v>
      </c>
      <c r="F222" s="111">
        <v>48195</v>
      </c>
      <c r="G222" s="111">
        <v>8366</v>
      </c>
      <c r="H222" s="111">
        <v>7117</v>
      </c>
      <c r="I222" s="111">
        <v>38695</v>
      </c>
      <c r="J222" s="111">
        <v>292676</v>
      </c>
      <c r="K222" s="111">
        <v>36606</v>
      </c>
      <c r="L222" s="111">
        <v>49985</v>
      </c>
      <c r="M222" s="111">
        <v>21399</v>
      </c>
      <c r="N222" s="111">
        <v>8628</v>
      </c>
      <c r="O222" s="111">
        <v>61623</v>
      </c>
      <c r="P222" s="111">
        <v>27799</v>
      </c>
      <c r="Q222" s="111">
        <v>6496</v>
      </c>
    </row>
    <row r="223" spans="1:17" x14ac:dyDescent="0.2">
      <c r="A223" s="110">
        <v>40330</v>
      </c>
      <c r="B223" s="111">
        <v>256754</v>
      </c>
      <c r="C223" s="111">
        <v>353763</v>
      </c>
      <c r="D223" s="111">
        <v>21522</v>
      </c>
      <c r="E223" s="111">
        <v>17522</v>
      </c>
      <c r="F223" s="111">
        <v>47913</v>
      </c>
      <c r="G223" s="111">
        <v>8501</v>
      </c>
      <c r="H223" s="111">
        <v>7072</v>
      </c>
      <c r="I223" s="111">
        <v>38838</v>
      </c>
      <c r="J223" s="111">
        <v>292396</v>
      </c>
      <c r="K223" s="111">
        <v>35642</v>
      </c>
      <c r="L223" s="111">
        <v>49971</v>
      </c>
      <c r="M223" s="111">
        <v>21661</v>
      </c>
      <c r="N223" s="111">
        <v>8795</v>
      </c>
      <c r="O223" s="111">
        <v>61367</v>
      </c>
      <c r="P223" s="111">
        <v>28462</v>
      </c>
      <c r="Q223" s="111">
        <v>6497</v>
      </c>
    </row>
    <row r="224" spans="1:17" x14ac:dyDescent="0.2">
      <c r="A224" s="110">
        <v>40360</v>
      </c>
      <c r="B224" s="111">
        <v>256281</v>
      </c>
      <c r="C224" s="111">
        <v>354665</v>
      </c>
      <c r="D224" s="111">
        <v>21493</v>
      </c>
      <c r="E224" s="111">
        <v>17578</v>
      </c>
      <c r="F224" s="111">
        <v>47907</v>
      </c>
      <c r="G224" s="111">
        <v>8361</v>
      </c>
      <c r="H224" s="111">
        <v>7094</v>
      </c>
      <c r="I224" s="111">
        <v>39033</v>
      </c>
      <c r="J224" s="111">
        <v>292045</v>
      </c>
      <c r="K224" s="111">
        <v>35764</v>
      </c>
      <c r="L224" s="111">
        <v>49870</v>
      </c>
      <c r="M224" s="111">
        <v>21733</v>
      </c>
      <c r="N224" s="111">
        <v>8610</v>
      </c>
      <c r="O224" s="111">
        <v>62620</v>
      </c>
      <c r="P224" s="111">
        <v>28114</v>
      </c>
      <c r="Q224" s="111">
        <v>6488</v>
      </c>
    </row>
    <row r="225" spans="1:17" x14ac:dyDescent="0.2">
      <c r="A225" s="110">
        <v>40391</v>
      </c>
      <c r="B225" s="111">
        <v>257970</v>
      </c>
      <c r="C225" s="111">
        <v>356810</v>
      </c>
      <c r="D225" s="111">
        <v>21296</v>
      </c>
      <c r="E225" s="111">
        <v>17662</v>
      </c>
      <c r="F225" s="111">
        <v>48263</v>
      </c>
      <c r="G225" s="111">
        <v>8337</v>
      </c>
      <c r="H225" s="111">
        <v>7130</v>
      </c>
      <c r="I225" s="111">
        <v>39402</v>
      </c>
      <c r="J225" s="111">
        <v>294159</v>
      </c>
      <c r="K225" s="111">
        <v>36189</v>
      </c>
      <c r="L225" s="111">
        <v>50160</v>
      </c>
      <c r="M225" s="111">
        <v>21863</v>
      </c>
      <c r="N225" s="111">
        <v>8655</v>
      </c>
      <c r="O225" s="111">
        <v>62651</v>
      </c>
      <c r="P225" s="111">
        <v>28756</v>
      </c>
      <c r="Q225" s="111">
        <v>6446</v>
      </c>
    </row>
    <row r="226" spans="1:17" x14ac:dyDescent="0.2">
      <c r="A226" s="110">
        <v>40422</v>
      </c>
      <c r="B226" s="111">
        <v>258848</v>
      </c>
      <c r="C226" s="111">
        <v>359465</v>
      </c>
      <c r="D226" s="111">
        <v>21336</v>
      </c>
      <c r="E226" s="111">
        <v>17687</v>
      </c>
      <c r="F226" s="111">
        <v>48675</v>
      </c>
      <c r="G226" s="111">
        <v>8393</v>
      </c>
      <c r="H226" s="111">
        <v>7108</v>
      </c>
      <c r="I226" s="111">
        <v>39385</v>
      </c>
      <c r="J226" s="111">
        <v>296205</v>
      </c>
      <c r="K226" s="111">
        <v>37357</v>
      </c>
      <c r="L226" s="111">
        <v>50254</v>
      </c>
      <c r="M226" s="111">
        <v>21910</v>
      </c>
      <c r="N226" s="111">
        <v>8766</v>
      </c>
      <c r="O226" s="111">
        <v>63260</v>
      </c>
      <c r="P226" s="111">
        <v>28872</v>
      </c>
      <c r="Q226" s="111">
        <v>6462</v>
      </c>
    </row>
    <row r="227" spans="1:17" x14ac:dyDescent="0.2">
      <c r="A227" s="110">
        <v>40452</v>
      </c>
      <c r="B227" s="111">
        <v>260130</v>
      </c>
      <c r="C227" s="111">
        <v>363340</v>
      </c>
      <c r="D227" s="111">
        <v>22040</v>
      </c>
      <c r="E227" s="111">
        <v>18000</v>
      </c>
      <c r="F227" s="111">
        <v>48568</v>
      </c>
      <c r="G227" s="111">
        <v>8210</v>
      </c>
      <c r="H227" s="111">
        <v>7039</v>
      </c>
      <c r="I227" s="111">
        <v>39440</v>
      </c>
      <c r="J227" s="111">
        <v>298610</v>
      </c>
      <c r="K227" s="111">
        <v>38480</v>
      </c>
      <c r="L227" s="111">
        <v>50259</v>
      </c>
      <c r="M227" s="111">
        <v>22128</v>
      </c>
      <c r="N227" s="111">
        <v>8929</v>
      </c>
      <c r="O227" s="111">
        <v>64730</v>
      </c>
      <c r="P227" s="111">
        <v>28946</v>
      </c>
      <c r="Q227" s="111">
        <v>6571</v>
      </c>
    </row>
    <row r="228" spans="1:17" x14ac:dyDescent="0.2">
      <c r="A228" s="110">
        <v>40483</v>
      </c>
      <c r="B228" s="111">
        <v>262671</v>
      </c>
      <c r="C228" s="111">
        <v>367455</v>
      </c>
      <c r="D228" s="111">
        <v>21977</v>
      </c>
      <c r="E228" s="111">
        <v>18435</v>
      </c>
      <c r="F228" s="111">
        <v>49133</v>
      </c>
      <c r="G228" s="111">
        <v>8121</v>
      </c>
      <c r="H228" s="111">
        <v>7098</v>
      </c>
      <c r="I228" s="111">
        <v>39710</v>
      </c>
      <c r="J228" s="111">
        <v>301943</v>
      </c>
      <c r="K228" s="111">
        <v>39272</v>
      </c>
      <c r="L228" s="111">
        <v>51386</v>
      </c>
      <c r="M228" s="111">
        <v>22180</v>
      </c>
      <c r="N228" s="111">
        <v>8905</v>
      </c>
      <c r="O228" s="111">
        <v>65512</v>
      </c>
      <c r="P228" s="111">
        <v>28951</v>
      </c>
      <c r="Q228" s="111">
        <v>6775</v>
      </c>
    </row>
    <row r="229" spans="1:17" x14ac:dyDescent="0.2">
      <c r="A229" s="110">
        <v>40513</v>
      </c>
      <c r="B229" s="111">
        <v>262619</v>
      </c>
      <c r="C229" s="111">
        <v>369135</v>
      </c>
      <c r="D229" s="111">
        <v>22112</v>
      </c>
      <c r="E229" s="111">
        <v>18178</v>
      </c>
      <c r="F229" s="111">
        <v>49184</v>
      </c>
      <c r="G229" s="111">
        <v>8274</v>
      </c>
      <c r="H229" s="111">
        <v>7068</v>
      </c>
      <c r="I229" s="111">
        <v>39508</v>
      </c>
      <c r="J229" s="111">
        <v>303898</v>
      </c>
      <c r="K229" s="111">
        <v>41279</v>
      </c>
      <c r="L229" s="111">
        <v>50916</v>
      </c>
      <c r="M229" s="111">
        <v>22272</v>
      </c>
      <c r="N229" s="111">
        <v>8881</v>
      </c>
      <c r="O229" s="111">
        <v>65237</v>
      </c>
      <c r="P229" s="111">
        <v>29642</v>
      </c>
      <c r="Q229" s="111">
        <v>6584</v>
      </c>
    </row>
    <row r="230" spans="1:17" x14ac:dyDescent="0.2">
      <c r="A230" s="110">
        <v>40544</v>
      </c>
      <c r="B230" s="111">
        <v>263993</v>
      </c>
      <c r="C230" s="111">
        <v>372057</v>
      </c>
      <c r="D230" s="111">
        <v>21498</v>
      </c>
      <c r="E230" s="111">
        <v>18363</v>
      </c>
      <c r="F230" s="111">
        <v>49674</v>
      </c>
      <c r="G230" s="111">
        <v>8218</v>
      </c>
      <c r="H230" s="111">
        <v>6992</v>
      </c>
      <c r="I230" s="111">
        <v>39700</v>
      </c>
      <c r="J230" s="111">
        <v>305771</v>
      </c>
      <c r="K230" s="111">
        <v>41778</v>
      </c>
      <c r="L230" s="111">
        <v>50839</v>
      </c>
      <c r="M230" s="111">
        <v>22695</v>
      </c>
      <c r="N230" s="111">
        <v>8823</v>
      </c>
      <c r="O230" s="111">
        <v>66286</v>
      </c>
      <c r="P230" s="111">
        <v>30626</v>
      </c>
      <c r="Q230" s="111">
        <v>6565</v>
      </c>
    </row>
    <row r="231" spans="1:17" x14ac:dyDescent="0.2">
      <c r="A231" s="110">
        <v>40575</v>
      </c>
      <c r="B231" s="111">
        <v>265478</v>
      </c>
      <c r="C231" s="111">
        <v>375092</v>
      </c>
      <c r="D231" s="111">
        <v>21202</v>
      </c>
      <c r="E231" s="111">
        <v>18592</v>
      </c>
      <c r="F231" s="111">
        <v>50017</v>
      </c>
      <c r="G231" s="111">
        <v>8356</v>
      </c>
      <c r="H231" s="111">
        <v>7145</v>
      </c>
      <c r="I231" s="111">
        <v>40382</v>
      </c>
      <c r="J231" s="111">
        <v>307772</v>
      </c>
      <c r="K231" s="111">
        <v>42294</v>
      </c>
      <c r="L231" s="111">
        <v>51513</v>
      </c>
      <c r="M231" s="111">
        <v>22428</v>
      </c>
      <c r="N231" s="111">
        <v>9116</v>
      </c>
      <c r="O231" s="111">
        <v>67320</v>
      </c>
      <c r="P231" s="111">
        <v>30116</v>
      </c>
      <c r="Q231" s="111">
        <v>6611</v>
      </c>
    </row>
    <row r="232" spans="1:17" x14ac:dyDescent="0.2">
      <c r="A232" s="110">
        <v>40603</v>
      </c>
      <c r="B232" s="111">
        <v>267185</v>
      </c>
      <c r="C232" s="111">
        <v>378582</v>
      </c>
      <c r="D232" s="111">
        <v>21865</v>
      </c>
      <c r="E232" s="111">
        <v>18718</v>
      </c>
      <c r="F232" s="111">
        <v>50080</v>
      </c>
      <c r="G232" s="111">
        <v>8477</v>
      </c>
      <c r="H232" s="111">
        <v>7404</v>
      </c>
      <c r="I232" s="111">
        <v>40575</v>
      </c>
      <c r="J232" s="111">
        <v>311008</v>
      </c>
      <c r="K232" s="111">
        <v>43823</v>
      </c>
      <c r="L232" s="111">
        <v>51641</v>
      </c>
      <c r="M232" s="111">
        <v>22563</v>
      </c>
      <c r="N232" s="111">
        <v>8846</v>
      </c>
      <c r="O232" s="111">
        <v>67574</v>
      </c>
      <c r="P232" s="111">
        <v>30457</v>
      </c>
      <c r="Q232" s="111">
        <v>6559</v>
      </c>
    </row>
    <row r="233" spans="1:17" x14ac:dyDescent="0.2">
      <c r="A233" s="110">
        <v>40634</v>
      </c>
      <c r="B233" s="111">
        <v>269187</v>
      </c>
      <c r="C233" s="111">
        <v>380508</v>
      </c>
      <c r="D233" s="111">
        <v>22053</v>
      </c>
      <c r="E233" s="111">
        <v>18957</v>
      </c>
      <c r="F233" s="111">
        <v>50836</v>
      </c>
      <c r="G233" s="111">
        <v>8529</v>
      </c>
      <c r="H233" s="111">
        <v>7313</v>
      </c>
      <c r="I233" s="111">
        <v>40624</v>
      </c>
      <c r="J233" s="111">
        <v>313791</v>
      </c>
      <c r="K233" s="111">
        <v>44604</v>
      </c>
      <c r="L233" s="111">
        <v>52005</v>
      </c>
      <c r="M233" s="111">
        <v>22448</v>
      </c>
      <c r="N233" s="111">
        <v>9056</v>
      </c>
      <c r="O233" s="111">
        <v>66717</v>
      </c>
      <c r="P233" s="111">
        <v>30751</v>
      </c>
      <c r="Q233" s="111">
        <v>6615</v>
      </c>
    </row>
    <row r="234" spans="1:17" x14ac:dyDescent="0.2">
      <c r="A234" s="110">
        <v>40664</v>
      </c>
      <c r="B234" s="111">
        <v>269142</v>
      </c>
      <c r="C234" s="111">
        <v>380353</v>
      </c>
      <c r="D234" s="111">
        <v>22326</v>
      </c>
      <c r="E234" s="111">
        <v>18846</v>
      </c>
      <c r="F234" s="111">
        <v>50385</v>
      </c>
      <c r="G234" s="111">
        <v>8425</v>
      </c>
      <c r="H234" s="111">
        <v>7245</v>
      </c>
      <c r="I234" s="111">
        <v>41050</v>
      </c>
      <c r="J234" s="111">
        <v>314442</v>
      </c>
      <c r="K234" s="111">
        <v>45300</v>
      </c>
      <c r="L234" s="111">
        <v>51790</v>
      </c>
      <c r="M234" s="111">
        <v>22608</v>
      </c>
      <c r="N234" s="111">
        <v>8975</v>
      </c>
      <c r="O234" s="111">
        <v>65911</v>
      </c>
      <c r="P234" s="111">
        <v>30950</v>
      </c>
      <c r="Q234" s="111">
        <v>6542</v>
      </c>
    </row>
    <row r="235" spans="1:17" x14ac:dyDescent="0.2">
      <c r="A235" s="110">
        <v>40695</v>
      </c>
      <c r="B235" s="111">
        <v>271758</v>
      </c>
      <c r="C235" s="111">
        <v>383140</v>
      </c>
      <c r="D235" s="111">
        <v>22709</v>
      </c>
      <c r="E235" s="111">
        <v>19182</v>
      </c>
      <c r="F235" s="111">
        <v>50943</v>
      </c>
      <c r="G235" s="111">
        <v>8439</v>
      </c>
      <c r="H235" s="111">
        <v>7227</v>
      </c>
      <c r="I235" s="111">
        <v>41540</v>
      </c>
      <c r="J235" s="111">
        <v>316372</v>
      </c>
      <c r="K235" s="111">
        <v>44614</v>
      </c>
      <c r="L235" s="111">
        <v>52353</v>
      </c>
      <c r="M235" s="111">
        <v>22607</v>
      </c>
      <c r="N235" s="111">
        <v>9061</v>
      </c>
      <c r="O235" s="111">
        <v>66768</v>
      </c>
      <c r="P235" s="111">
        <v>31119</v>
      </c>
      <c r="Q235" s="111">
        <v>6578</v>
      </c>
    </row>
    <row r="236" spans="1:17" x14ac:dyDescent="0.2">
      <c r="A236" s="110">
        <v>40725</v>
      </c>
      <c r="B236" s="111">
        <v>271713</v>
      </c>
      <c r="C236" s="111">
        <v>382889</v>
      </c>
      <c r="D236" s="111">
        <v>22744</v>
      </c>
      <c r="E236" s="111">
        <v>18998</v>
      </c>
      <c r="F236" s="111">
        <v>50984</v>
      </c>
      <c r="G236" s="111">
        <v>8557</v>
      </c>
      <c r="H236" s="111">
        <v>7263</v>
      </c>
      <c r="I236" s="111">
        <v>41516</v>
      </c>
      <c r="J236" s="111">
        <v>316467</v>
      </c>
      <c r="K236" s="111">
        <v>44754</v>
      </c>
      <c r="L236" s="111">
        <v>52123</v>
      </c>
      <c r="M236" s="111">
        <v>22728</v>
      </c>
      <c r="N236" s="111">
        <v>9171</v>
      </c>
      <c r="O236" s="111">
        <v>66422</v>
      </c>
      <c r="P236" s="111">
        <v>31208</v>
      </c>
      <c r="Q236" s="111">
        <v>6421</v>
      </c>
    </row>
    <row r="237" spans="1:17" x14ac:dyDescent="0.2">
      <c r="A237" s="110">
        <v>40756</v>
      </c>
      <c r="B237" s="111">
        <v>273072</v>
      </c>
      <c r="C237" s="111">
        <v>384006</v>
      </c>
      <c r="D237" s="111">
        <v>22775</v>
      </c>
      <c r="E237" s="111">
        <v>18922</v>
      </c>
      <c r="F237" s="111">
        <v>51182</v>
      </c>
      <c r="G237" s="111">
        <v>8615</v>
      </c>
      <c r="H237" s="111">
        <v>7333</v>
      </c>
      <c r="I237" s="111">
        <v>41718</v>
      </c>
      <c r="J237" s="111">
        <v>318147</v>
      </c>
      <c r="K237" s="111">
        <v>45075</v>
      </c>
      <c r="L237" s="111">
        <v>52136</v>
      </c>
      <c r="M237" s="111">
        <v>22822</v>
      </c>
      <c r="N237" s="111">
        <v>9229</v>
      </c>
      <c r="O237" s="111">
        <v>65859</v>
      </c>
      <c r="P237" s="111">
        <v>31679</v>
      </c>
      <c r="Q237" s="111">
        <v>6661</v>
      </c>
    </row>
    <row r="238" spans="1:17" x14ac:dyDescent="0.2">
      <c r="A238" s="110">
        <v>40787</v>
      </c>
      <c r="B238" s="111">
        <v>273611</v>
      </c>
      <c r="C238" s="111">
        <v>387509</v>
      </c>
      <c r="D238" s="111">
        <v>22644</v>
      </c>
      <c r="E238" s="111">
        <v>19489</v>
      </c>
      <c r="F238" s="111">
        <v>51049</v>
      </c>
      <c r="G238" s="111">
        <v>8493</v>
      </c>
      <c r="H238" s="111">
        <v>7384</v>
      </c>
      <c r="I238" s="111">
        <v>42013</v>
      </c>
      <c r="J238" s="111">
        <v>318693</v>
      </c>
      <c r="K238" s="111">
        <v>45082</v>
      </c>
      <c r="L238" s="111">
        <v>52575</v>
      </c>
      <c r="M238" s="111">
        <v>22695</v>
      </c>
      <c r="N238" s="111">
        <v>9159</v>
      </c>
      <c r="O238" s="111">
        <v>68816</v>
      </c>
      <c r="P238" s="111">
        <v>31417</v>
      </c>
      <c r="Q238" s="111">
        <v>6693</v>
      </c>
    </row>
    <row r="239" spans="1:17" x14ac:dyDescent="0.2">
      <c r="A239" s="110">
        <v>40817</v>
      </c>
      <c r="B239" s="111">
        <v>275360</v>
      </c>
      <c r="C239" s="111">
        <v>390086</v>
      </c>
      <c r="D239" s="111">
        <v>23253</v>
      </c>
      <c r="E239" s="111">
        <v>19136</v>
      </c>
      <c r="F239" s="111">
        <v>51324</v>
      </c>
      <c r="G239" s="111">
        <v>8737</v>
      </c>
      <c r="H239" s="111">
        <v>7303</v>
      </c>
      <c r="I239" s="111">
        <v>42162</v>
      </c>
      <c r="J239" s="111">
        <v>320206</v>
      </c>
      <c r="K239" s="111">
        <v>44846</v>
      </c>
      <c r="L239" s="111">
        <v>52455</v>
      </c>
      <c r="M239" s="111">
        <v>22830</v>
      </c>
      <c r="N239" s="111">
        <v>9072</v>
      </c>
      <c r="O239" s="111">
        <v>69880</v>
      </c>
      <c r="P239" s="111">
        <v>32499</v>
      </c>
      <c r="Q239" s="111">
        <v>6589</v>
      </c>
    </row>
    <row r="240" spans="1:17" x14ac:dyDescent="0.2">
      <c r="A240" s="110">
        <v>40848</v>
      </c>
      <c r="B240" s="111">
        <v>275696</v>
      </c>
      <c r="C240" s="111">
        <v>391541</v>
      </c>
      <c r="D240" s="111">
        <v>22908</v>
      </c>
      <c r="E240" s="111">
        <v>19311</v>
      </c>
      <c r="F240" s="111">
        <v>51416</v>
      </c>
      <c r="G240" s="111">
        <v>8653</v>
      </c>
      <c r="H240" s="111">
        <v>7378</v>
      </c>
      <c r="I240" s="111">
        <v>42237</v>
      </c>
      <c r="J240" s="111">
        <v>321318</v>
      </c>
      <c r="K240" s="111">
        <v>45622</v>
      </c>
      <c r="L240" s="111">
        <v>52657</v>
      </c>
      <c r="M240" s="111">
        <v>22735</v>
      </c>
      <c r="N240" s="111">
        <v>9045</v>
      </c>
      <c r="O240" s="111">
        <v>70223</v>
      </c>
      <c r="P240" s="111">
        <v>32762</v>
      </c>
      <c r="Q240" s="111">
        <v>6594</v>
      </c>
    </row>
    <row r="241" spans="1:17" x14ac:dyDescent="0.2">
      <c r="A241" s="110">
        <v>40878</v>
      </c>
      <c r="B241" s="111">
        <v>274832</v>
      </c>
      <c r="C241" s="111">
        <v>391608</v>
      </c>
      <c r="D241" s="111">
        <v>23443</v>
      </c>
      <c r="E241" s="111">
        <v>19494</v>
      </c>
      <c r="F241" s="111">
        <v>51215</v>
      </c>
      <c r="G241" s="111">
        <v>8456</v>
      </c>
      <c r="H241" s="111">
        <v>7537</v>
      </c>
      <c r="I241" s="111">
        <v>41864</v>
      </c>
      <c r="J241" s="111">
        <v>320123</v>
      </c>
      <c r="K241" s="111">
        <v>45291</v>
      </c>
      <c r="L241" s="111">
        <v>52458</v>
      </c>
      <c r="M241" s="111">
        <v>22677</v>
      </c>
      <c r="N241" s="111">
        <v>8867</v>
      </c>
      <c r="O241" s="111">
        <v>71485</v>
      </c>
      <c r="P241" s="111">
        <v>32468</v>
      </c>
      <c r="Q241" s="111">
        <v>6353</v>
      </c>
    </row>
    <row r="242" spans="1:17" x14ac:dyDescent="0.2">
      <c r="A242" s="110">
        <v>40909</v>
      </c>
      <c r="B242" s="111">
        <v>278248</v>
      </c>
      <c r="C242" s="111">
        <v>395720</v>
      </c>
      <c r="D242" s="111">
        <v>23657</v>
      </c>
      <c r="E242" s="111">
        <v>19588</v>
      </c>
      <c r="F242" s="111">
        <v>51540</v>
      </c>
      <c r="G242" s="111">
        <v>8522</v>
      </c>
      <c r="H242" s="111">
        <v>7646</v>
      </c>
      <c r="I242" s="111">
        <v>42858</v>
      </c>
      <c r="J242" s="111">
        <v>324000</v>
      </c>
      <c r="K242" s="111">
        <v>45752</v>
      </c>
      <c r="L242" s="111">
        <v>53149</v>
      </c>
      <c r="M242" s="111">
        <v>22973</v>
      </c>
      <c r="N242" s="111">
        <v>9307</v>
      </c>
      <c r="O242" s="111">
        <v>71720</v>
      </c>
      <c r="P242" s="111">
        <v>32433</v>
      </c>
      <c r="Q242" s="111">
        <v>6575</v>
      </c>
    </row>
    <row r="243" spans="1:17" x14ac:dyDescent="0.2">
      <c r="A243" s="110">
        <v>40940</v>
      </c>
      <c r="B243" s="111">
        <v>280569</v>
      </c>
      <c r="C243" s="111">
        <v>400329</v>
      </c>
      <c r="D243" s="111">
        <v>23588</v>
      </c>
      <c r="E243" s="111">
        <v>20269</v>
      </c>
      <c r="F243" s="111">
        <v>51658</v>
      </c>
      <c r="G243" s="111">
        <v>8538</v>
      </c>
      <c r="H243" s="111">
        <v>7627</v>
      </c>
      <c r="I243" s="111">
        <v>42950</v>
      </c>
      <c r="J243" s="111">
        <v>327740</v>
      </c>
      <c r="K243" s="111">
        <v>47171</v>
      </c>
      <c r="L243" s="111">
        <v>53944</v>
      </c>
      <c r="M243" s="111">
        <v>22999</v>
      </c>
      <c r="N243" s="111">
        <v>9411</v>
      </c>
      <c r="O243" s="111">
        <v>72589</v>
      </c>
      <c r="P243" s="111">
        <v>32918</v>
      </c>
      <c r="Q243" s="111">
        <v>6667</v>
      </c>
    </row>
    <row r="244" spans="1:17" x14ac:dyDescent="0.2">
      <c r="A244" s="110">
        <v>40969</v>
      </c>
      <c r="B244" s="111">
        <v>281469</v>
      </c>
      <c r="C244" s="111">
        <v>401661</v>
      </c>
      <c r="D244" s="111">
        <v>24587</v>
      </c>
      <c r="E244" s="111">
        <v>20058</v>
      </c>
      <c r="F244" s="111">
        <v>52105</v>
      </c>
      <c r="G244" s="111">
        <v>8707</v>
      </c>
      <c r="H244" s="111">
        <v>7587</v>
      </c>
      <c r="I244" s="111">
        <v>42942</v>
      </c>
      <c r="J244" s="111">
        <v>329010</v>
      </c>
      <c r="K244" s="111">
        <v>47541</v>
      </c>
      <c r="L244" s="111">
        <v>53658</v>
      </c>
      <c r="M244" s="111">
        <v>22945</v>
      </c>
      <c r="N244" s="111">
        <v>9186</v>
      </c>
      <c r="O244" s="111">
        <v>72651</v>
      </c>
      <c r="P244" s="111">
        <v>32879</v>
      </c>
      <c r="Q244" s="111">
        <v>6815</v>
      </c>
    </row>
    <row r="245" spans="1:17" x14ac:dyDescent="0.2">
      <c r="A245" s="110">
        <v>41000</v>
      </c>
      <c r="B245" s="111">
        <v>280264</v>
      </c>
      <c r="C245" s="111">
        <v>400214</v>
      </c>
      <c r="D245" s="111">
        <v>23423</v>
      </c>
      <c r="E245" s="111">
        <v>19533</v>
      </c>
      <c r="F245" s="111">
        <v>52296</v>
      </c>
      <c r="G245" s="111">
        <v>8569</v>
      </c>
      <c r="H245" s="111">
        <v>7502</v>
      </c>
      <c r="I245" s="111">
        <v>43365</v>
      </c>
      <c r="J245" s="111">
        <v>327270</v>
      </c>
      <c r="K245" s="111">
        <v>47006</v>
      </c>
      <c r="L245" s="111">
        <v>53285</v>
      </c>
      <c r="M245" s="111">
        <v>23045</v>
      </c>
      <c r="N245" s="111">
        <v>9196</v>
      </c>
      <c r="O245" s="111">
        <v>72944</v>
      </c>
      <c r="P245" s="111">
        <v>33207</v>
      </c>
      <c r="Q245" s="111">
        <v>6843</v>
      </c>
    </row>
    <row r="246" spans="1:17" x14ac:dyDescent="0.2">
      <c r="A246" s="110">
        <v>41030</v>
      </c>
      <c r="B246" s="111">
        <v>279884</v>
      </c>
      <c r="C246" s="111">
        <v>399331</v>
      </c>
      <c r="D246" s="111">
        <v>22721</v>
      </c>
      <c r="E246" s="111">
        <v>19657</v>
      </c>
      <c r="F246" s="111">
        <v>52239</v>
      </c>
      <c r="G246" s="111">
        <v>8723</v>
      </c>
      <c r="H246" s="111">
        <v>7652</v>
      </c>
      <c r="I246" s="111">
        <v>43313</v>
      </c>
      <c r="J246" s="111">
        <v>325692</v>
      </c>
      <c r="K246" s="111">
        <v>45808</v>
      </c>
      <c r="L246" s="111">
        <v>53154</v>
      </c>
      <c r="M246" s="111">
        <v>22883</v>
      </c>
      <c r="N246" s="111">
        <v>8890</v>
      </c>
      <c r="O246" s="111">
        <v>73639</v>
      </c>
      <c r="P246" s="111">
        <v>33790</v>
      </c>
      <c r="Q246" s="111">
        <v>6862</v>
      </c>
    </row>
    <row r="247" spans="1:17" x14ac:dyDescent="0.2">
      <c r="A247" s="110">
        <v>41061</v>
      </c>
      <c r="B247" s="111">
        <v>279553</v>
      </c>
      <c r="C247" s="111">
        <v>395585</v>
      </c>
      <c r="D247" s="111">
        <v>22516</v>
      </c>
      <c r="E247" s="111">
        <v>19878</v>
      </c>
      <c r="F247" s="111">
        <v>52205</v>
      </c>
      <c r="G247" s="111">
        <v>8658</v>
      </c>
      <c r="H247" s="111">
        <v>7544</v>
      </c>
      <c r="I247" s="111">
        <v>43542</v>
      </c>
      <c r="J247" s="111">
        <v>323199</v>
      </c>
      <c r="K247" s="111">
        <v>43646</v>
      </c>
      <c r="L247" s="111">
        <v>53132</v>
      </c>
      <c r="M247" s="111">
        <v>22449</v>
      </c>
      <c r="N247" s="111">
        <v>9080</v>
      </c>
      <c r="O247" s="111">
        <v>72386</v>
      </c>
      <c r="P247" s="111">
        <v>33745</v>
      </c>
      <c r="Q247" s="111">
        <v>6804</v>
      </c>
    </row>
    <row r="248" spans="1:17" x14ac:dyDescent="0.2">
      <c r="A248" s="110">
        <v>41091</v>
      </c>
      <c r="B248" s="111">
        <v>280958</v>
      </c>
      <c r="C248" s="111">
        <v>397567</v>
      </c>
      <c r="D248" s="111">
        <v>22700</v>
      </c>
      <c r="E248" s="111">
        <v>19724</v>
      </c>
      <c r="F248" s="111">
        <v>52231</v>
      </c>
      <c r="G248" s="111">
        <v>8759</v>
      </c>
      <c r="H248" s="111">
        <v>7650</v>
      </c>
      <c r="I248" s="111">
        <v>43676</v>
      </c>
      <c r="J248" s="111">
        <v>324442</v>
      </c>
      <c r="K248" s="111">
        <v>43484</v>
      </c>
      <c r="L248" s="111">
        <v>53280</v>
      </c>
      <c r="M248" s="111">
        <v>22793</v>
      </c>
      <c r="N248" s="111">
        <v>9182</v>
      </c>
      <c r="O248" s="111">
        <v>73125</v>
      </c>
      <c r="P248" s="111">
        <v>34188</v>
      </c>
      <c r="Q248" s="111">
        <v>6775</v>
      </c>
    </row>
    <row r="249" spans="1:17" x14ac:dyDescent="0.2">
      <c r="A249" s="110">
        <v>41122</v>
      </c>
      <c r="B249" s="111">
        <v>281851</v>
      </c>
      <c r="C249" s="111">
        <v>402162</v>
      </c>
      <c r="D249" s="111">
        <v>23071</v>
      </c>
      <c r="E249" s="111">
        <v>19931</v>
      </c>
      <c r="F249" s="111">
        <v>52359</v>
      </c>
      <c r="G249" s="111">
        <v>8647</v>
      </c>
      <c r="H249" s="111">
        <v>7593</v>
      </c>
      <c r="I249" s="111">
        <v>43712</v>
      </c>
      <c r="J249" s="111">
        <v>328242</v>
      </c>
      <c r="K249" s="111">
        <v>46391</v>
      </c>
      <c r="L249" s="111">
        <v>53554</v>
      </c>
      <c r="M249" s="111">
        <v>22741</v>
      </c>
      <c r="N249" s="111">
        <v>9086</v>
      </c>
      <c r="O249" s="111">
        <v>73920</v>
      </c>
      <c r="P249" s="111">
        <v>34407</v>
      </c>
      <c r="Q249" s="111">
        <v>6750</v>
      </c>
    </row>
    <row r="250" spans="1:17" x14ac:dyDescent="0.2">
      <c r="A250" s="110">
        <v>41153</v>
      </c>
      <c r="B250" s="111">
        <v>283253</v>
      </c>
      <c r="C250" s="111">
        <v>405555</v>
      </c>
      <c r="D250" s="111">
        <v>23652</v>
      </c>
      <c r="E250" s="111">
        <v>20119</v>
      </c>
      <c r="F250" s="111">
        <v>52544</v>
      </c>
      <c r="G250" s="111">
        <v>8628</v>
      </c>
      <c r="H250" s="111">
        <v>7614</v>
      </c>
      <c r="I250" s="111">
        <v>44085</v>
      </c>
      <c r="J250" s="111">
        <v>330360</v>
      </c>
      <c r="K250" s="111">
        <v>47107</v>
      </c>
      <c r="L250" s="111">
        <v>53450</v>
      </c>
      <c r="M250" s="111">
        <v>22608</v>
      </c>
      <c r="N250" s="111">
        <v>9107</v>
      </c>
      <c r="O250" s="111">
        <v>75195</v>
      </c>
      <c r="P250" s="111">
        <v>34740</v>
      </c>
      <c r="Q250" s="111">
        <v>6706</v>
      </c>
    </row>
    <row r="251" spans="1:17" x14ac:dyDescent="0.2">
      <c r="A251" s="110">
        <v>41183</v>
      </c>
      <c r="B251" s="111">
        <v>282910</v>
      </c>
      <c r="C251" s="111">
        <v>405699</v>
      </c>
      <c r="D251" s="111">
        <v>23831</v>
      </c>
      <c r="E251" s="111">
        <v>19939</v>
      </c>
      <c r="F251" s="111">
        <v>52856</v>
      </c>
      <c r="G251" s="111">
        <v>8314</v>
      </c>
      <c r="H251" s="111">
        <v>7416</v>
      </c>
      <c r="I251" s="111">
        <v>43708</v>
      </c>
      <c r="J251" s="111">
        <v>330886</v>
      </c>
      <c r="K251" s="111">
        <v>47976</v>
      </c>
      <c r="L251" s="111">
        <v>53674</v>
      </c>
      <c r="M251" s="111">
        <v>22527</v>
      </c>
      <c r="N251" s="111">
        <v>9157</v>
      </c>
      <c r="O251" s="111">
        <v>74813</v>
      </c>
      <c r="P251" s="111">
        <v>34739</v>
      </c>
      <c r="Q251" s="111">
        <v>6749</v>
      </c>
    </row>
    <row r="252" spans="1:17" x14ac:dyDescent="0.2">
      <c r="A252" s="110">
        <v>41214</v>
      </c>
      <c r="B252" s="111">
        <v>284736</v>
      </c>
      <c r="C252" s="111">
        <v>407396</v>
      </c>
      <c r="D252" s="111">
        <v>24146</v>
      </c>
      <c r="E252" s="111">
        <v>19972</v>
      </c>
      <c r="F252" s="111">
        <v>52670</v>
      </c>
      <c r="G252" s="111">
        <v>8653</v>
      </c>
      <c r="H252" s="111">
        <v>7620</v>
      </c>
      <c r="I252" s="111">
        <v>44520</v>
      </c>
      <c r="J252" s="111">
        <v>331558</v>
      </c>
      <c r="K252" s="111">
        <v>46822</v>
      </c>
      <c r="L252" s="111">
        <v>53464</v>
      </c>
      <c r="M252" s="111">
        <v>22661</v>
      </c>
      <c r="N252" s="111">
        <v>9088</v>
      </c>
      <c r="O252" s="111">
        <v>75838</v>
      </c>
      <c r="P252" s="111">
        <v>35242</v>
      </c>
      <c r="Q252" s="111">
        <v>6700</v>
      </c>
    </row>
    <row r="253" spans="1:17" x14ac:dyDescent="0.2">
      <c r="A253" s="110">
        <v>41244</v>
      </c>
      <c r="B253" s="111">
        <v>286273</v>
      </c>
      <c r="C253" s="111">
        <v>409026</v>
      </c>
      <c r="D253" s="111">
        <v>24126</v>
      </c>
      <c r="E253" s="111">
        <v>20162</v>
      </c>
      <c r="F253" s="111">
        <v>52689</v>
      </c>
      <c r="G253" s="111">
        <v>8800</v>
      </c>
      <c r="H253" s="111">
        <v>7972</v>
      </c>
      <c r="I253" s="111">
        <v>44538</v>
      </c>
      <c r="J253" s="111">
        <v>332159</v>
      </c>
      <c r="K253" s="111">
        <v>45886</v>
      </c>
      <c r="L253" s="111">
        <v>53676</v>
      </c>
      <c r="M253" s="111">
        <v>22898</v>
      </c>
      <c r="N253" s="111">
        <v>9326</v>
      </c>
      <c r="O253" s="111">
        <v>76867</v>
      </c>
      <c r="P253" s="111">
        <v>35266</v>
      </c>
      <c r="Q253" s="111">
        <v>6820</v>
      </c>
    </row>
    <row r="254" spans="1:17" x14ac:dyDescent="0.2">
      <c r="A254" s="110">
        <v>41275</v>
      </c>
      <c r="B254" s="111">
        <v>288412</v>
      </c>
      <c r="C254" s="111">
        <v>412155</v>
      </c>
      <c r="D254" s="111">
        <v>24376</v>
      </c>
      <c r="E254" s="111">
        <v>20434</v>
      </c>
      <c r="F254" s="111">
        <v>52654</v>
      </c>
      <c r="G254" s="111">
        <v>8811</v>
      </c>
      <c r="H254" s="111">
        <v>7912</v>
      </c>
      <c r="I254" s="111">
        <v>45146</v>
      </c>
      <c r="J254" s="111">
        <v>334456</v>
      </c>
      <c r="K254" s="111">
        <v>46044</v>
      </c>
      <c r="L254" s="111">
        <v>54074</v>
      </c>
      <c r="M254" s="111">
        <v>23173</v>
      </c>
      <c r="N254" s="111">
        <v>9223</v>
      </c>
      <c r="O254" s="111">
        <v>77699</v>
      </c>
      <c r="P254" s="111">
        <v>35599</v>
      </c>
      <c r="Q254" s="111">
        <v>7010</v>
      </c>
    </row>
    <row r="255" spans="1:17" x14ac:dyDescent="0.2">
      <c r="A255" s="110">
        <v>41306</v>
      </c>
      <c r="B255" s="111">
        <v>289292</v>
      </c>
      <c r="C255" s="111">
        <v>417159</v>
      </c>
      <c r="D255" s="111">
        <v>24759</v>
      </c>
      <c r="E255" s="111">
        <v>20305</v>
      </c>
      <c r="F255" s="111">
        <v>53230</v>
      </c>
      <c r="G255" s="111">
        <v>8864</v>
      </c>
      <c r="H255" s="111">
        <v>7863</v>
      </c>
      <c r="I255" s="111">
        <v>44868</v>
      </c>
      <c r="J255" s="111">
        <v>338338</v>
      </c>
      <c r="K255" s="111">
        <v>49046</v>
      </c>
      <c r="L255" s="111">
        <v>54534</v>
      </c>
      <c r="M255" s="111">
        <v>23008</v>
      </c>
      <c r="N255" s="111">
        <v>9276</v>
      </c>
      <c r="O255" s="111">
        <v>78821</v>
      </c>
      <c r="P255" s="111">
        <v>35576</v>
      </c>
      <c r="Q255" s="111">
        <v>7009</v>
      </c>
    </row>
    <row r="256" spans="1:17" x14ac:dyDescent="0.2">
      <c r="A256" s="110">
        <v>41334</v>
      </c>
      <c r="B256" s="111">
        <v>288595</v>
      </c>
      <c r="C256" s="111">
        <v>414092</v>
      </c>
      <c r="D256" s="111">
        <v>24692</v>
      </c>
      <c r="E256" s="111">
        <v>20316</v>
      </c>
      <c r="F256" s="111">
        <v>53103</v>
      </c>
      <c r="G256" s="111">
        <v>8642</v>
      </c>
      <c r="H256" s="111">
        <v>7867</v>
      </c>
      <c r="I256" s="111">
        <v>45011</v>
      </c>
      <c r="J256" s="111">
        <v>336182</v>
      </c>
      <c r="K256" s="111">
        <v>47587</v>
      </c>
      <c r="L256" s="111">
        <v>54236</v>
      </c>
      <c r="M256" s="111">
        <v>23049</v>
      </c>
      <c r="N256" s="111">
        <v>9367</v>
      </c>
      <c r="O256" s="111">
        <v>77910</v>
      </c>
      <c r="P256" s="111">
        <v>35421</v>
      </c>
      <c r="Q256" s="111">
        <v>6891</v>
      </c>
    </row>
    <row r="257" spans="1:17" x14ac:dyDescent="0.2">
      <c r="A257" s="110">
        <v>41365</v>
      </c>
      <c r="B257" s="111">
        <v>287679</v>
      </c>
      <c r="C257" s="111">
        <v>412237</v>
      </c>
      <c r="D257" s="111">
        <v>24815</v>
      </c>
      <c r="E257" s="111">
        <v>20498</v>
      </c>
      <c r="F257" s="111">
        <v>52733</v>
      </c>
      <c r="G257" s="111">
        <v>8668</v>
      </c>
      <c r="H257" s="111">
        <v>7834</v>
      </c>
      <c r="I257" s="111">
        <v>44723</v>
      </c>
      <c r="J257" s="111">
        <v>333848</v>
      </c>
      <c r="K257" s="111">
        <v>46169</v>
      </c>
      <c r="L257" s="111">
        <v>54198</v>
      </c>
      <c r="M257" s="111">
        <v>22953</v>
      </c>
      <c r="N257" s="111">
        <v>9322</v>
      </c>
      <c r="O257" s="111">
        <v>78389</v>
      </c>
      <c r="P257" s="111">
        <v>35140</v>
      </c>
      <c r="Q257" s="111">
        <v>6795</v>
      </c>
    </row>
    <row r="258" spans="1:17" x14ac:dyDescent="0.2">
      <c r="A258" s="110">
        <v>41395</v>
      </c>
      <c r="B258" s="111">
        <v>288998</v>
      </c>
      <c r="C258" s="111">
        <v>414309</v>
      </c>
      <c r="D258" s="111">
        <v>25320</v>
      </c>
      <c r="E258" s="111">
        <v>20376</v>
      </c>
      <c r="F258" s="111">
        <v>53253</v>
      </c>
      <c r="G258" s="111">
        <v>8663</v>
      </c>
      <c r="H258" s="111">
        <v>7759</v>
      </c>
      <c r="I258" s="111">
        <v>44816</v>
      </c>
      <c r="J258" s="111">
        <v>334591</v>
      </c>
      <c r="K258" s="111">
        <v>45593</v>
      </c>
      <c r="L258" s="111">
        <v>54453</v>
      </c>
      <c r="M258" s="111">
        <v>23055</v>
      </c>
      <c r="N258" s="111">
        <v>9319</v>
      </c>
      <c r="O258" s="111">
        <v>79718</v>
      </c>
      <c r="P258" s="111">
        <v>35127</v>
      </c>
      <c r="Q258" s="111">
        <v>6857</v>
      </c>
    </row>
    <row r="259" spans="1:17" x14ac:dyDescent="0.2">
      <c r="A259" s="110">
        <v>41426</v>
      </c>
      <c r="B259" s="111">
        <v>288597</v>
      </c>
      <c r="C259" s="111">
        <v>415742</v>
      </c>
      <c r="D259" s="111">
        <v>24799</v>
      </c>
      <c r="E259" s="111">
        <v>20368</v>
      </c>
      <c r="F259" s="111">
        <v>53217</v>
      </c>
      <c r="G259" s="111">
        <v>8658</v>
      </c>
      <c r="H259" s="111">
        <v>7986</v>
      </c>
      <c r="I259" s="111">
        <v>44701</v>
      </c>
      <c r="J259" s="111">
        <v>334425</v>
      </c>
      <c r="K259" s="111">
        <v>45828</v>
      </c>
      <c r="L259" s="111">
        <v>54447</v>
      </c>
      <c r="M259" s="111">
        <v>23043</v>
      </c>
      <c r="N259" s="111">
        <v>9169</v>
      </c>
      <c r="O259" s="111">
        <v>81317</v>
      </c>
      <c r="P259" s="111">
        <v>35316</v>
      </c>
      <c r="Q259" s="111">
        <v>6893</v>
      </c>
    </row>
    <row r="260" spans="1:17" x14ac:dyDescent="0.2">
      <c r="A260" s="110">
        <v>41456</v>
      </c>
      <c r="B260" s="111">
        <v>290883</v>
      </c>
      <c r="C260" s="111">
        <v>418604</v>
      </c>
      <c r="D260" s="111">
        <v>25347</v>
      </c>
      <c r="E260" s="111">
        <v>20578</v>
      </c>
      <c r="F260" s="111">
        <v>53618</v>
      </c>
      <c r="G260" s="111">
        <v>8598</v>
      </c>
      <c r="H260" s="111">
        <v>7973</v>
      </c>
      <c r="I260" s="111">
        <v>45050</v>
      </c>
      <c r="J260" s="111">
        <v>336889</v>
      </c>
      <c r="K260" s="111">
        <v>46006</v>
      </c>
      <c r="L260" s="111">
        <v>54636</v>
      </c>
      <c r="M260" s="111">
        <v>23308</v>
      </c>
      <c r="N260" s="111">
        <v>9209</v>
      </c>
      <c r="O260" s="111">
        <v>81715</v>
      </c>
      <c r="P260" s="111">
        <v>35628</v>
      </c>
      <c r="Q260" s="111">
        <v>6938</v>
      </c>
    </row>
    <row r="261" spans="1:17" x14ac:dyDescent="0.2">
      <c r="A261" s="110">
        <v>41487</v>
      </c>
      <c r="B261" s="111">
        <v>290634</v>
      </c>
      <c r="C261" s="111">
        <v>417644</v>
      </c>
      <c r="D261" s="111">
        <v>25284</v>
      </c>
      <c r="E261" s="111">
        <v>20315</v>
      </c>
      <c r="F261" s="111">
        <v>53693</v>
      </c>
      <c r="G261" s="111">
        <v>8592</v>
      </c>
      <c r="H261" s="111">
        <v>8022</v>
      </c>
      <c r="I261" s="111">
        <v>45155</v>
      </c>
      <c r="J261" s="111">
        <v>336272</v>
      </c>
      <c r="K261" s="111">
        <v>45638</v>
      </c>
      <c r="L261" s="111">
        <v>54466</v>
      </c>
      <c r="M261" s="111">
        <v>23305</v>
      </c>
      <c r="N261" s="111">
        <v>9304</v>
      </c>
      <c r="O261" s="111">
        <v>81372</v>
      </c>
      <c r="P261" s="111">
        <v>35734</v>
      </c>
      <c r="Q261" s="111">
        <v>6764</v>
      </c>
    </row>
    <row r="262" spans="1:17" x14ac:dyDescent="0.2">
      <c r="A262" s="110">
        <v>41518</v>
      </c>
      <c r="B262" s="111">
        <v>291901</v>
      </c>
      <c r="C262" s="111">
        <v>417849</v>
      </c>
      <c r="D262" s="111">
        <v>25259</v>
      </c>
      <c r="E262" s="111">
        <v>20305</v>
      </c>
      <c r="F262" s="111">
        <v>53820</v>
      </c>
      <c r="G262" s="111">
        <v>8528</v>
      </c>
      <c r="H262" s="111">
        <v>8084</v>
      </c>
      <c r="I262" s="111">
        <v>45344</v>
      </c>
      <c r="J262" s="111">
        <v>337653</v>
      </c>
      <c r="K262" s="111">
        <v>45752</v>
      </c>
      <c r="L262" s="111">
        <v>54836</v>
      </c>
      <c r="M262" s="111">
        <v>23728</v>
      </c>
      <c r="N262" s="111">
        <v>9502</v>
      </c>
      <c r="O262" s="111">
        <v>80196</v>
      </c>
      <c r="P262" s="111">
        <v>35619</v>
      </c>
      <c r="Q262" s="111">
        <v>6876</v>
      </c>
    </row>
    <row r="263" spans="1:17" x14ac:dyDescent="0.2">
      <c r="A263" s="110">
        <v>41548</v>
      </c>
      <c r="B263" s="111">
        <v>293033</v>
      </c>
      <c r="C263" s="111">
        <v>419599</v>
      </c>
      <c r="D263" s="111">
        <v>24917</v>
      </c>
      <c r="E263" s="111">
        <v>20790</v>
      </c>
      <c r="F263" s="111">
        <v>53943</v>
      </c>
      <c r="G263" s="111">
        <v>8616</v>
      </c>
      <c r="H263" s="111">
        <v>8191</v>
      </c>
      <c r="I263" s="111">
        <v>45936</v>
      </c>
      <c r="J263" s="111">
        <v>338108</v>
      </c>
      <c r="K263" s="111">
        <v>45075</v>
      </c>
      <c r="L263" s="111">
        <v>54919</v>
      </c>
      <c r="M263" s="111">
        <v>23771</v>
      </c>
      <c r="N263" s="111">
        <v>9488</v>
      </c>
      <c r="O263" s="111">
        <v>81491</v>
      </c>
      <c r="P263" s="111">
        <v>35599</v>
      </c>
      <c r="Q263" s="111">
        <v>6863</v>
      </c>
    </row>
    <row r="264" spans="1:17" x14ac:dyDescent="0.2">
      <c r="A264" s="110">
        <v>41579</v>
      </c>
      <c r="B264" s="111">
        <v>294113</v>
      </c>
      <c r="C264" s="111">
        <v>420658</v>
      </c>
      <c r="D264" s="111">
        <v>24828</v>
      </c>
      <c r="E264" s="111">
        <v>20279</v>
      </c>
      <c r="F264" s="111">
        <v>54066</v>
      </c>
      <c r="G264" s="111">
        <v>8511</v>
      </c>
      <c r="H264" s="111">
        <v>8236</v>
      </c>
      <c r="I264" s="111">
        <v>46744</v>
      </c>
      <c r="J264" s="111">
        <v>338836</v>
      </c>
      <c r="K264" s="111">
        <v>44723</v>
      </c>
      <c r="L264" s="111">
        <v>54770</v>
      </c>
      <c r="M264" s="111">
        <v>23772</v>
      </c>
      <c r="N264" s="111">
        <v>9555</v>
      </c>
      <c r="O264" s="111">
        <v>81822</v>
      </c>
      <c r="P264" s="111">
        <v>36449</v>
      </c>
      <c r="Q264" s="111">
        <v>6903</v>
      </c>
    </row>
    <row r="265" spans="1:17" x14ac:dyDescent="0.2">
      <c r="A265" s="110">
        <v>41609</v>
      </c>
      <c r="B265" s="111">
        <v>295226</v>
      </c>
      <c r="C265" s="111">
        <v>423362</v>
      </c>
      <c r="D265" s="111">
        <v>24956</v>
      </c>
      <c r="E265" s="111">
        <v>20565</v>
      </c>
      <c r="F265" s="111">
        <v>54606</v>
      </c>
      <c r="G265" s="111">
        <v>8473</v>
      </c>
      <c r="H265" s="111">
        <v>7988</v>
      </c>
      <c r="I265" s="111">
        <v>46330</v>
      </c>
      <c r="J265" s="111">
        <v>341898</v>
      </c>
      <c r="K265" s="111">
        <v>46672</v>
      </c>
      <c r="L265" s="111">
        <v>54662</v>
      </c>
      <c r="M265" s="111">
        <v>23824</v>
      </c>
      <c r="N265" s="111">
        <v>9393</v>
      </c>
      <c r="O265" s="111">
        <v>81464</v>
      </c>
      <c r="P265" s="111">
        <v>37559</v>
      </c>
      <c r="Q265" s="111">
        <v>6870</v>
      </c>
    </row>
    <row r="266" spans="1:17" x14ac:dyDescent="0.2">
      <c r="A266" s="110">
        <v>41640</v>
      </c>
      <c r="B266" s="111">
        <v>292777</v>
      </c>
      <c r="C266" s="111">
        <v>418947</v>
      </c>
      <c r="D266" s="111">
        <v>24872</v>
      </c>
      <c r="E266" s="111">
        <v>20517</v>
      </c>
      <c r="F266" s="111">
        <v>54797</v>
      </c>
      <c r="G266" s="111">
        <v>8501</v>
      </c>
      <c r="H266" s="111">
        <v>7808</v>
      </c>
      <c r="I266" s="111">
        <v>45914</v>
      </c>
      <c r="J266" s="111">
        <v>339912</v>
      </c>
      <c r="K266" s="111">
        <v>47135</v>
      </c>
      <c r="L266" s="111">
        <v>54538</v>
      </c>
      <c r="M266" s="111">
        <v>23768</v>
      </c>
      <c r="N266" s="111">
        <v>9251</v>
      </c>
      <c r="O266" s="111">
        <v>79035</v>
      </c>
      <c r="P266" s="111">
        <v>36326</v>
      </c>
      <c r="Q266" s="111">
        <v>6485</v>
      </c>
    </row>
    <row r="267" spans="1:17" x14ac:dyDescent="0.2">
      <c r="A267" s="110">
        <v>41671</v>
      </c>
      <c r="B267" s="111">
        <v>295914</v>
      </c>
      <c r="C267" s="111">
        <v>425005</v>
      </c>
      <c r="D267" s="111">
        <v>24817</v>
      </c>
      <c r="E267" s="111">
        <v>20543</v>
      </c>
      <c r="F267" s="111">
        <v>54759</v>
      </c>
      <c r="G267" s="111">
        <v>8525</v>
      </c>
      <c r="H267" s="111">
        <v>8111</v>
      </c>
      <c r="I267" s="111">
        <v>46424</v>
      </c>
      <c r="J267" s="111">
        <v>343436</v>
      </c>
      <c r="K267" s="111">
        <v>47522</v>
      </c>
      <c r="L267" s="111">
        <v>55390</v>
      </c>
      <c r="M267" s="111">
        <v>23906</v>
      </c>
      <c r="N267" s="111">
        <v>9387</v>
      </c>
      <c r="O267" s="111">
        <v>81569</v>
      </c>
      <c r="P267" s="111">
        <v>37254</v>
      </c>
      <c r="Q267" s="111">
        <v>6798</v>
      </c>
    </row>
    <row r="268" spans="1:17" x14ac:dyDescent="0.2">
      <c r="A268" s="110">
        <v>41699</v>
      </c>
      <c r="B268" s="111">
        <v>298284</v>
      </c>
      <c r="C268" s="111">
        <v>429658</v>
      </c>
      <c r="D268" s="111">
        <v>25282</v>
      </c>
      <c r="E268" s="111">
        <v>20667</v>
      </c>
      <c r="F268" s="111">
        <v>54888</v>
      </c>
      <c r="G268" s="111">
        <v>8597</v>
      </c>
      <c r="H268" s="111">
        <v>8254</v>
      </c>
      <c r="I268" s="111">
        <v>47057</v>
      </c>
      <c r="J268" s="111">
        <v>345152</v>
      </c>
      <c r="K268" s="111">
        <v>46868</v>
      </c>
      <c r="L268" s="111">
        <v>55469</v>
      </c>
      <c r="M268" s="111">
        <v>24053</v>
      </c>
      <c r="N268" s="111">
        <v>9473</v>
      </c>
      <c r="O268" s="111">
        <v>84506</v>
      </c>
      <c r="P268" s="111">
        <v>37750</v>
      </c>
      <c r="Q268" s="111">
        <v>6794</v>
      </c>
    </row>
    <row r="269" spans="1:17" x14ac:dyDescent="0.2">
      <c r="A269" s="110">
        <v>41730</v>
      </c>
      <c r="B269" s="111">
        <v>300922</v>
      </c>
      <c r="C269" s="111">
        <v>433826</v>
      </c>
      <c r="D269" s="111">
        <v>26122</v>
      </c>
      <c r="E269" s="111">
        <v>21161</v>
      </c>
      <c r="F269" s="111">
        <v>55279</v>
      </c>
      <c r="G269" s="111">
        <v>8549</v>
      </c>
      <c r="H269" s="111">
        <v>8366</v>
      </c>
      <c r="I269" s="111">
        <v>47137</v>
      </c>
      <c r="J269" s="111">
        <v>348010</v>
      </c>
      <c r="K269" s="111">
        <v>47088</v>
      </c>
      <c r="L269" s="111">
        <v>55963</v>
      </c>
      <c r="M269" s="111">
        <v>24259</v>
      </c>
      <c r="N269" s="111">
        <v>9344</v>
      </c>
      <c r="O269" s="111">
        <v>85816</v>
      </c>
      <c r="P269" s="111">
        <v>37839</v>
      </c>
      <c r="Q269" s="111">
        <v>6903</v>
      </c>
    </row>
    <row r="270" spans="1:17" x14ac:dyDescent="0.2">
      <c r="A270" s="110">
        <v>41760</v>
      </c>
      <c r="B270" s="111">
        <v>301869</v>
      </c>
      <c r="C270" s="111">
        <v>434640</v>
      </c>
      <c r="D270" s="111">
        <v>26465</v>
      </c>
      <c r="E270" s="111">
        <v>20765</v>
      </c>
      <c r="F270" s="111">
        <v>55451</v>
      </c>
      <c r="G270" s="111">
        <v>8413</v>
      </c>
      <c r="H270" s="111">
        <v>8347</v>
      </c>
      <c r="I270" s="111">
        <v>47540</v>
      </c>
      <c r="J270" s="111">
        <v>348656</v>
      </c>
      <c r="K270" s="111">
        <v>46787</v>
      </c>
      <c r="L270" s="111">
        <v>55960</v>
      </c>
      <c r="M270" s="111">
        <v>24594</v>
      </c>
      <c r="N270" s="111">
        <v>9535</v>
      </c>
      <c r="O270" s="111">
        <v>85984</v>
      </c>
      <c r="P270" s="111">
        <v>37922</v>
      </c>
      <c r="Q270" s="111">
        <v>6877</v>
      </c>
    </row>
    <row r="271" spans="1:17" x14ac:dyDescent="0.2">
      <c r="A271" s="110">
        <v>41791</v>
      </c>
      <c r="B271" s="111">
        <v>303804</v>
      </c>
      <c r="C271" s="111">
        <v>435816</v>
      </c>
      <c r="D271" s="111">
        <v>26620</v>
      </c>
      <c r="E271" s="111">
        <v>20799</v>
      </c>
      <c r="F271" s="111">
        <v>55966</v>
      </c>
      <c r="G271" s="111">
        <v>8328</v>
      </c>
      <c r="H271" s="111">
        <v>8369</v>
      </c>
      <c r="I271" s="111">
        <v>47710</v>
      </c>
      <c r="J271" s="111">
        <v>349588</v>
      </c>
      <c r="K271" s="111">
        <v>45784</v>
      </c>
      <c r="L271" s="111">
        <v>55952</v>
      </c>
      <c r="M271" s="111">
        <v>24797</v>
      </c>
      <c r="N271" s="111">
        <v>9599</v>
      </c>
      <c r="O271" s="111">
        <v>86228</v>
      </c>
      <c r="P271" s="111">
        <v>38712</v>
      </c>
      <c r="Q271" s="111">
        <v>6952</v>
      </c>
    </row>
    <row r="272" spans="1:17" x14ac:dyDescent="0.2">
      <c r="A272" s="110">
        <v>41821</v>
      </c>
      <c r="B272" s="111">
        <v>304038</v>
      </c>
      <c r="C272" s="111">
        <v>436442</v>
      </c>
      <c r="D272" s="111">
        <v>26084</v>
      </c>
      <c r="E272" s="111">
        <v>20918</v>
      </c>
      <c r="F272" s="111">
        <v>56144</v>
      </c>
      <c r="G272" s="111">
        <v>8419</v>
      </c>
      <c r="H272" s="111">
        <v>8380</v>
      </c>
      <c r="I272" s="111">
        <v>48083</v>
      </c>
      <c r="J272" s="111">
        <v>349853</v>
      </c>
      <c r="K272" s="111">
        <v>45815</v>
      </c>
      <c r="L272" s="111">
        <v>56067</v>
      </c>
      <c r="M272" s="111">
        <v>24813</v>
      </c>
      <c r="N272" s="111">
        <v>9623</v>
      </c>
      <c r="O272" s="111">
        <v>86589</v>
      </c>
      <c r="P272" s="111">
        <v>38579</v>
      </c>
      <c r="Q272" s="111">
        <v>6928</v>
      </c>
    </row>
    <row r="273" spans="1:17" x14ac:dyDescent="0.2">
      <c r="A273" s="110">
        <v>41852</v>
      </c>
      <c r="B273" s="111">
        <v>306590</v>
      </c>
      <c r="C273" s="111">
        <v>439680</v>
      </c>
      <c r="D273" s="111">
        <v>26569</v>
      </c>
      <c r="E273" s="111">
        <v>21035</v>
      </c>
      <c r="F273" s="111">
        <v>56299</v>
      </c>
      <c r="G273" s="111">
        <v>8487</v>
      </c>
      <c r="H273" s="111">
        <v>8517</v>
      </c>
      <c r="I273" s="111">
        <v>48375</v>
      </c>
      <c r="J273" s="111">
        <v>352463</v>
      </c>
      <c r="K273" s="111">
        <v>45873</v>
      </c>
      <c r="L273" s="111">
        <v>56433</v>
      </c>
      <c r="M273" s="111">
        <v>24902</v>
      </c>
      <c r="N273" s="111">
        <v>9743</v>
      </c>
      <c r="O273" s="111">
        <v>87217</v>
      </c>
      <c r="P273" s="111">
        <v>39064</v>
      </c>
      <c r="Q273" s="111">
        <v>7166</v>
      </c>
    </row>
    <row r="274" spans="1:17" x14ac:dyDescent="0.2">
      <c r="A274" s="110">
        <v>41883</v>
      </c>
      <c r="B274" s="111">
        <v>306892</v>
      </c>
      <c r="C274" s="111">
        <v>438842</v>
      </c>
      <c r="D274" s="111">
        <v>26494</v>
      </c>
      <c r="E274" s="111">
        <v>20830</v>
      </c>
      <c r="F274" s="111">
        <v>56476</v>
      </c>
      <c r="G274" s="111">
        <v>8659</v>
      </c>
      <c r="H274" s="111">
        <v>8442</v>
      </c>
      <c r="I274" s="111">
        <v>48982</v>
      </c>
      <c r="J274" s="111">
        <v>352332</v>
      </c>
      <c r="K274" s="111">
        <v>45440</v>
      </c>
      <c r="L274" s="111">
        <v>56032</v>
      </c>
      <c r="M274" s="111">
        <v>25046</v>
      </c>
      <c r="N274" s="111">
        <v>9719</v>
      </c>
      <c r="O274" s="111">
        <v>86510</v>
      </c>
      <c r="P274" s="111">
        <v>39151</v>
      </c>
      <c r="Q274" s="111">
        <v>7061</v>
      </c>
    </row>
    <row r="275" spans="1:17" x14ac:dyDescent="0.2">
      <c r="A275" s="110">
        <v>41913</v>
      </c>
      <c r="B275" s="111">
        <v>308897</v>
      </c>
      <c r="C275" s="111">
        <v>440164</v>
      </c>
      <c r="D275" s="111">
        <v>26463</v>
      </c>
      <c r="E275" s="111">
        <v>21121</v>
      </c>
      <c r="F275" s="111">
        <v>56776</v>
      </c>
      <c r="G275" s="111">
        <v>8610</v>
      </c>
      <c r="H275" s="111">
        <v>8484</v>
      </c>
      <c r="I275" s="111">
        <v>49658</v>
      </c>
      <c r="J275" s="111">
        <v>353409</v>
      </c>
      <c r="K275" s="111">
        <v>44512</v>
      </c>
      <c r="L275" s="111">
        <v>56249</v>
      </c>
      <c r="M275" s="111">
        <v>24962</v>
      </c>
      <c r="N275" s="111">
        <v>9904</v>
      </c>
      <c r="O275" s="111">
        <v>86755</v>
      </c>
      <c r="P275" s="111">
        <v>39513</v>
      </c>
      <c r="Q275" s="111">
        <v>7157</v>
      </c>
    </row>
    <row r="276" spans="1:17" x14ac:dyDescent="0.2">
      <c r="A276" s="110">
        <v>41944</v>
      </c>
      <c r="B276" s="111">
        <v>310080</v>
      </c>
      <c r="C276" s="111">
        <v>441536</v>
      </c>
      <c r="D276" s="111">
        <v>26602</v>
      </c>
      <c r="E276" s="111">
        <v>21394</v>
      </c>
      <c r="F276" s="111">
        <v>56764</v>
      </c>
      <c r="G276" s="111">
        <v>8808</v>
      </c>
      <c r="H276" s="111">
        <v>8577</v>
      </c>
      <c r="I276" s="111">
        <v>49731</v>
      </c>
      <c r="J276" s="111">
        <v>353721</v>
      </c>
      <c r="K276" s="111">
        <v>43641</v>
      </c>
      <c r="L276" s="111">
        <v>56338</v>
      </c>
      <c r="M276" s="111">
        <v>25064</v>
      </c>
      <c r="N276" s="111">
        <v>9828</v>
      </c>
      <c r="O276" s="111">
        <v>87815</v>
      </c>
      <c r="P276" s="111">
        <v>39837</v>
      </c>
      <c r="Q276" s="111">
        <v>7137</v>
      </c>
    </row>
    <row r="277" spans="1:17" x14ac:dyDescent="0.2">
      <c r="A277" s="110">
        <v>41974</v>
      </c>
      <c r="B277" s="111">
        <v>311112</v>
      </c>
      <c r="C277" s="111">
        <v>439077</v>
      </c>
      <c r="D277" s="111">
        <v>26268</v>
      </c>
      <c r="E277" s="111">
        <v>21296</v>
      </c>
      <c r="F277" s="111">
        <v>57113</v>
      </c>
      <c r="G277" s="111">
        <v>8778</v>
      </c>
      <c r="H277" s="111">
        <v>8739</v>
      </c>
      <c r="I277" s="111">
        <v>50508</v>
      </c>
      <c r="J277" s="111">
        <v>351611</v>
      </c>
      <c r="K277" s="111">
        <v>40499</v>
      </c>
      <c r="L277" s="111">
        <v>56388</v>
      </c>
      <c r="M277" s="111">
        <v>25240</v>
      </c>
      <c r="N277" s="111">
        <v>9800</v>
      </c>
      <c r="O277" s="111">
        <v>87466</v>
      </c>
      <c r="P277" s="111">
        <v>39908</v>
      </c>
      <c r="Q277" s="111">
        <v>7074</v>
      </c>
    </row>
    <row r="278" spans="1:17" x14ac:dyDescent="0.2">
      <c r="A278" s="110">
        <v>42005</v>
      </c>
      <c r="B278" s="111">
        <v>311382</v>
      </c>
      <c r="C278" s="111">
        <v>436482</v>
      </c>
      <c r="D278" s="111">
        <v>26517</v>
      </c>
      <c r="E278" s="111">
        <v>21039</v>
      </c>
      <c r="F278" s="111">
        <v>57112</v>
      </c>
      <c r="G278" s="111">
        <v>8627</v>
      </c>
      <c r="H278" s="111">
        <v>8688</v>
      </c>
      <c r="I278" s="111">
        <v>50834</v>
      </c>
      <c r="J278" s="111">
        <v>347963</v>
      </c>
      <c r="K278" s="111">
        <v>36581</v>
      </c>
      <c r="L278" s="111">
        <v>56497</v>
      </c>
      <c r="M278" s="111">
        <v>25440</v>
      </c>
      <c r="N278" s="111">
        <v>9847</v>
      </c>
      <c r="O278" s="111">
        <v>88519</v>
      </c>
      <c r="P278" s="111">
        <v>39830</v>
      </c>
      <c r="Q278" s="111">
        <v>6951</v>
      </c>
    </row>
    <row r="279" spans="1:17" x14ac:dyDescent="0.2">
      <c r="A279" s="110">
        <v>42036</v>
      </c>
      <c r="B279" s="111">
        <v>310754</v>
      </c>
      <c r="C279" s="111">
        <v>435847</v>
      </c>
      <c r="D279" s="111">
        <v>25555</v>
      </c>
      <c r="E279" s="111">
        <v>21326</v>
      </c>
      <c r="F279" s="111">
        <v>57196</v>
      </c>
      <c r="G279" s="111">
        <v>8497</v>
      </c>
      <c r="H279" s="111">
        <v>8501</v>
      </c>
      <c r="I279" s="111">
        <v>50690</v>
      </c>
      <c r="J279" s="111">
        <v>348562</v>
      </c>
      <c r="K279" s="111">
        <v>37808</v>
      </c>
      <c r="L279" s="111">
        <v>56158</v>
      </c>
      <c r="M279" s="111">
        <v>25249</v>
      </c>
      <c r="N279" s="111">
        <v>9760</v>
      </c>
      <c r="O279" s="111">
        <v>87285</v>
      </c>
      <c r="P279" s="111">
        <v>40837</v>
      </c>
      <c r="Q279" s="111">
        <v>6985</v>
      </c>
    </row>
    <row r="280" spans="1:17" x14ac:dyDescent="0.2">
      <c r="A280" s="110">
        <v>42064</v>
      </c>
      <c r="B280" s="111">
        <v>312970</v>
      </c>
      <c r="C280" s="111">
        <v>442487</v>
      </c>
      <c r="D280" s="111">
        <v>26534</v>
      </c>
      <c r="E280" s="111">
        <v>21381</v>
      </c>
      <c r="F280" s="111">
        <v>57188</v>
      </c>
      <c r="G280" s="111">
        <v>8355</v>
      </c>
      <c r="H280" s="111">
        <v>8759</v>
      </c>
      <c r="I280" s="111">
        <v>51067</v>
      </c>
      <c r="J280" s="111">
        <v>351347</v>
      </c>
      <c r="K280" s="111">
        <v>38377</v>
      </c>
      <c r="L280" s="111">
        <v>56368</v>
      </c>
      <c r="M280" s="111">
        <v>25793</v>
      </c>
      <c r="N280" s="111">
        <v>9788</v>
      </c>
      <c r="O280" s="111">
        <v>91140</v>
      </c>
      <c r="P280" s="111">
        <v>40661</v>
      </c>
      <c r="Q280" s="111">
        <v>7076</v>
      </c>
    </row>
    <row r="281" spans="1:17" x14ac:dyDescent="0.2">
      <c r="A281" s="110">
        <v>42095</v>
      </c>
      <c r="B281" s="111">
        <v>313571</v>
      </c>
      <c r="C281" s="111">
        <v>443095</v>
      </c>
      <c r="D281" s="111">
        <v>26690</v>
      </c>
      <c r="E281" s="111">
        <v>21444</v>
      </c>
      <c r="F281" s="111">
        <v>57092</v>
      </c>
      <c r="G281" s="111">
        <v>8382</v>
      </c>
      <c r="H281" s="111">
        <v>8882</v>
      </c>
      <c r="I281" s="111">
        <v>51739</v>
      </c>
      <c r="J281" s="111">
        <v>351403</v>
      </c>
      <c r="K281" s="111">
        <v>37832</v>
      </c>
      <c r="L281" s="111">
        <v>56245</v>
      </c>
      <c r="M281" s="111">
        <v>25393</v>
      </c>
      <c r="N281" s="111">
        <v>9725</v>
      </c>
      <c r="O281" s="111">
        <v>91692</v>
      </c>
      <c r="P281" s="111">
        <v>40897</v>
      </c>
      <c r="Q281" s="111">
        <v>7082</v>
      </c>
    </row>
    <row r="282" spans="1:17" x14ac:dyDescent="0.2">
      <c r="A282" s="110">
        <v>42125</v>
      </c>
      <c r="B282" s="111">
        <v>314947</v>
      </c>
      <c r="C282" s="111">
        <v>446529</v>
      </c>
      <c r="D282" s="111">
        <v>26826</v>
      </c>
      <c r="E282" s="111">
        <v>21626</v>
      </c>
      <c r="F282" s="111">
        <v>57163</v>
      </c>
      <c r="G282" s="111">
        <v>8443</v>
      </c>
      <c r="H282" s="111">
        <v>9066</v>
      </c>
      <c r="I282" s="111">
        <v>51811</v>
      </c>
      <c r="J282" s="111">
        <v>354216</v>
      </c>
      <c r="K282" s="111">
        <v>39269</v>
      </c>
      <c r="L282" s="111">
        <v>56778</v>
      </c>
      <c r="M282" s="111">
        <v>25348</v>
      </c>
      <c r="N282" s="111">
        <v>9997</v>
      </c>
      <c r="O282" s="111">
        <v>92313</v>
      </c>
      <c r="P282" s="111">
        <v>40766</v>
      </c>
      <c r="Q282" s="111">
        <v>7123</v>
      </c>
    </row>
    <row r="283" spans="1:17" x14ac:dyDescent="0.2">
      <c r="A283" s="110">
        <v>42156</v>
      </c>
      <c r="B283" s="111">
        <v>315051</v>
      </c>
      <c r="C283" s="111">
        <v>447343</v>
      </c>
      <c r="D283" s="111">
        <v>26570</v>
      </c>
      <c r="E283" s="111">
        <v>21391</v>
      </c>
      <c r="F283" s="111">
        <v>57419</v>
      </c>
      <c r="G283" s="111">
        <v>8537</v>
      </c>
      <c r="H283" s="111">
        <v>8903</v>
      </c>
      <c r="I283" s="111">
        <v>51879</v>
      </c>
      <c r="J283" s="111">
        <v>354938</v>
      </c>
      <c r="K283" s="111">
        <v>39887</v>
      </c>
      <c r="L283" s="111">
        <v>56644</v>
      </c>
      <c r="M283" s="111">
        <v>25534</v>
      </c>
      <c r="N283" s="111">
        <v>10040</v>
      </c>
      <c r="O283" s="111">
        <v>92405</v>
      </c>
      <c r="P283" s="111">
        <v>41040</v>
      </c>
      <c r="Q283" s="111">
        <v>7094</v>
      </c>
    </row>
    <row r="284" spans="1:17" x14ac:dyDescent="0.2">
      <c r="A284" s="110">
        <v>42186</v>
      </c>
      <c r="B284" s="111">
        <v>317562</v>
      </c>
      <c r="C284" s="111">
        <v>450350</v>
      </c>
      <c r="D284" s="111">
        <v>27326</v>
      </c>
      <c r="E284" s="111">
        <v>21548</v>
      </c>
      <c r="F284" s="111">
        <v>57573</v>
      </c>
      <c r="G284" s="111">
        <v>8371</v>
      </c>
      <c r="H284" s="111">
        <v>9064</v>
      </c>
      <c r="I284" s="111">
        <v>52157</v>
      </c>
      <c r="J284" s="111">
        <v>357855</v>
      </c>
      <c r="K284" s="111">
        <v>40293</v>
      </c>
      <c r="L284" s="111">
        <v>56924</v>
      </c>
      <c r="M284" s="111">
        <v>25783</v>
      </c>
      <c r="N284" s="111">
        <v>10059</v>
      </c>
      <c r="O284" s="111">
        <v>92495</v>
      </c>
      <c r="P284" s="111">
        <v>41617</v>
      </c>
      <c r="Q284" s="111">
        <v>7140</v>
      </c>
    </row>
    <row r="285" spans="1:17" x14ac:dyDescent="0.2">
      <c r="A285" s="110">
        <v>42217</v>
      </c>
      <c r="B285" s="111">
        <v>318091</v>
      </c>
      <c r="C285" s="111">
        <v>450521</v>
      </c>
      <c r="D285" s="111">
        <v>27385</v>
      </c>
      <c r="E285" s="111">
        <v>21587</v>
      </c>
      <c r="F285" s="111">
        <v>57593</v>
      </c>
      <c r="G285" s="111">
        <v>8356</v>
      </c>
      <c r="H285" s="111">
        <v>9086</v>
      </c>
      <c r="I285" s="111">
        <v>52416</v>
      </c>
      <c r="J285" s="111">
        <v>357320</v>
      </c>
      <c r="K285" s="111">
        <v>39229</v>
      </c>
      <c r="L285" s="111">
        <v>56743</v>
      </c>
      <c r="M285" s="111">
        <v>25955</v>
      </c>
      <c r="N285" s="111">
        <v>10158</v>
      </c>
      <c r="O285" s="111">
        <v>93201</v>
      </c>
      <c r="P285" s="111">
        <v>41642</v>
      </c>
      <c r="Q285" s="111">
        <v>7170</v>
      </c>
    </row>
    <row r="286" spans="1:17" x14ac:dyDescent="0.2">
      <c r="A286" s="110">
        <v>42248</v>
      </c>
      <c r="B286" s="111">
        <v>318082</v>
      </c>
      <c r="C286" s="111">
        <v>448635</v>
      </c>
      <c r="D286" s="111">
        <v>27138</v>
      </c>
      <c r="E286" s="111">
        <v>21446</v>
      </c>
      <c r="F286" s="111">
        <v>57407</v>
      </c>
      <c r="G286" s="111">
        <v>8387</v>
      </c>
      <c r="H286" s="111">
        <v>9045</v>
      </c>
      <c r="I286" s="111">
        <v>52387</v>
      </c>
      <c r="J286" s="111">
        <v>355035</v>
      </c>
      <c r="K286" s="111">
        <v>36953</v>
      </c>
      <c r="L286" s="111">
        <v>57113</v>
      </c>
      <c r="M286" s="111">
        <v>26194</v>
      </c>
      <c r="N286" s="111">
        <v>9714</v>
      </c>
      <c r="O286" s="111">
        <v>93600</v>
      </c>
      <c r="P286" s="111">
        <v>42054</v>
      </c>
      <c r="Q286" s="111">
        <v>7197</v>
      </c>
    </row>
    <row r="287" spans="1:17" x14ac:dyDescent="0.2">
      <c r="A287" s="110">
        <v>42278</v>
      </c>
      <c r="B287" s="111">
        <v>317805</v>
      </c>
      <c r="C287" s="111">
        <v>447262</v>
      </c>
      <c r="D287" s="111">
        <v>27331</v>
      </c>
      <c r="E287" s="111">
        <v>21239</v>
      </c>
      <c r="F287" s="111">
        <v>57134</v>
      </c>
      <c r="G287" s="111">
        <v>8293</v>
      </c>
      <c r="H287" s="111">
        <v>9162</v>
      </c>
      <c r="I287" s="111">
        <v>52759</v>
      </c>
      <c r="J287" s="111">
        <v>354371</v>
      </c>
      <c r="K287" s="111">
        <v>36566</v>
      </c>
      <c r="L287" s="111">
        <v>56750</v>
      </c>
      <c r="M287" s="111">
        <v>26043</v>
      </c>
      <c r="N287" s="111">
        <v>9726</v>
      </c>
      <c r="O287" s="111">
        <v>92891</v>
      </c>
      <c r="P287" s="111">
        <v>42262</v>
      </c>
      <c r="Q287" s="111">
        <v>7106</v>
      </c>
    </row>
    <row r="288" spans="1:17" x14ac:dyDescent="0.2">
      <c r="A288" s="110">
        <v>42309</v>
      </c>
      <c r="B288" s="111">
        <v>319063</v>
      </c>
      <c r="C288" s="111">
        <v>449121</v>
      </c>
      <c r="D288" s="111">
        <v>27638</v>
      </c>
      <c r="E288" s="111">
        <v>21348</v>
      </c>
      <c r="F288" s="111">
        <v>57540</v>
      </c>
      <c r="G288" s="111">
        <v>8134</v>
      </c>
      <c r="H288" s="111">
        <v>9152</v>
      </c>
      <c r="I288" s="111">
        <v>52881</v>
      </c>
      <c r="J288" s="111">
        <v>355197</v>
      </c>
      <c r="K288" s="111">
        <v>36134</v>
      </c>
      <c r="L288" s="111">
        <v>56938</v>
      </c>
      <c r="M288" s="111">
        <v>26210</v>
      </c>
      <c r="N288" s="111">
        <v>9863</v>
      </c>
      <c r="O288" s="111">
        <v>93924</v>
      </c>
      <c r="P288" s="111">
        <v>42146</v>
      </c>
      <c r="Q288" s="111">
        <v>7213</v>
      </c>
    </row>
    <row r="289" spans="1:17" x14ac:dyDescent="0.2">
      <c r="A289" s="110">
        <v>42339</v>
      </c>
      <c r="B289" s="111">
        <v>321344</v>
      </c>
      <c r="C289" s="111">
        <v>450792</v>
      </c>
      <c r="D289" s="111">
        <v>28165</v>
      </c>
      <c r="E289" s="111">
        <v>21506</v>
      </c>
      <c r="F289" s="111">
        <v>57365</v>
      </c>
      <c r="G289" s="111">
        <v>8142</v>
      </c>
      <c r="H289" s="111">
        <v>9361</v>
      </c>
      <c r="I289" s="111">
        <v>53740</v>
      </c>
      <c r="J289" s="111">
        <v>357320</v>
      </c>
      <c r="K289" s="111">
        <v>35976</v>
      </c>
      <c r="L289" s="111">
        <v>57161</v>
      </c>
      <c r="M289" s="111">
        <v>26433</v>
      </c>
      <c r="N289" s="111">
        <v>9763</v>
      </c>
      <c r="O289" s="111">
        <v>93472</v>
      </c>
      <c r="P289" s="111">
        <v>42355</v>
      </c>
      <c r="Q289" s="111">
        <v>7353</v>
      </c>
    </row>
    <row r="290" spans="1:17" x14ac:dyDescent="0.2">
      <c r="A290" s="110">
        <v>42370</v>
      </c>
      <c r="B290" s="111">
        <v>320203</v>
      </c>
      <c r="C290" s="111">
        <v>447794</v>
      </c>
      <c r="D290" s="111">
        <v>28215</v>
      </c>
      <c r="E290" s="111">
        <v>21289</v>
      </c>
      <c r="F290" s="111">
        <v>57620</v>
      </c>
      <c r="G290" s="111">
        <v>7967</v>
      </c>
      <c r="H290" s="111">
        <v>9239</v>
      </c>
      <c r="I290" s="111">
        <v>53045</v>
      </c>
      <c r="J290" s="111">
        <v>354701</v>
      </c>
      <c r="K290" s="111">
        <v>34498</v>
      </c>
      <c r="L290" s="111">
        <v>56318</v>
      </c>
      <c r="M290" s="111">
        <v>26247</v>
      </c>
      <c r="N290" s="111">
        <v>9786</v>
      </c>
      <c r="O290" s="111">
        <v>93093</v>
      </c>
      <c r="P290" s="111">
        <v>43174</v>
      </c>
      <c r="Q290" s="111">
        <v>7303</v>
      </c>
    </row>
    <row r="291" spans="1:17" x14ac:dyDescent="0.2">
      <c r="A291" s="110">
        <v>42401</v>
      </c>
      <c r="B291" s="111">
        <v>323905</v>
      </c>
      <c r="C291" s="111">
        <v>452342</v>
      </c>
      <c r="D291" s="111">
        <v>28260</v>
      </c>
      <c r="E291" s="111">
        <v>21962</v>
      </c>
      <c r="F291" s="111">
        <v>57684</v>
      </c>
      <c r="G291" s="111">
        <v>8059</v>
      </c>
      <c r="H291" s="111">
        <v>9277</v>
      </c>
      <c r="I291" s="111">
        <v>54237</v>
      </c>
      <c r="J291" s="111">
        <v>356770</v>
      </c>
      <c r="K291" s="111">
        <v>32865</v>
      </c>
      <c r="L291" s="111">
        <v>57185</v>
      </c>
      <c r="M291" s="111">
        <v>26787</v>
      </c>
      <c r="N291" s="111">
        <v>9770</v>
      </c>
      <c r="O291" s="111">
        <v>95572</v>
      </c>
      <c r="P291" s="111">
        <v>43388</v>
      </c>
      <c r="Q291" s="111">
        <v>7296</v>
      </c>
    </row>
    <row r="292" spans="1:17" x14ac:dyDescent="0.2">
      <c r="A292" s="110">
        <v>42430</v>
      </c>
      <c r="B292" s="111">
        <v>323071</v>
      </c>
      <c r="C292" s="111">
        <v>450830</v>
      </c>
      <c r="D292" s="111">
        <v>28956</v>
      </c>
      <c r="E292" s="111">
        <v>21491</v>
      </c>
      <c r="F292" s="111">
        <v>57195</v>
      </c>
      <c r="G292" s="111">
        <v>7938</v>
      </c>
      <c r="H292" s="111">
        <v>9236</v>
      </c>
      <c r="I292" s="111">
        <v>53919</v>
      </c>
      <c r="J292" s="111">
        <v>357273</v>
      </c>
      <c r="K292" s="111">
        <v>34202</v>
      </c>
      <c r="L292" s="111">
        <v>56993</v>
      </c>
      <c r="M292" s="111">
        <v>26617</v>
      </c>
      <c r="N292" s="111">
        <v>10009</v>
      </c>
      <c r="O292" s="111">
        <v>93557</v>
      </c>
      <c r="P292" s="111">
        <v>43437</v>
      </c>
      <c r="Q292" s="111">
        <v>7280</v>
      </c>
    </row>
    <row r="293" spans="1:17" x14ac:dyDescent="0.2">
      <c r="A293" s="110">
        <v>42461</v>
      </c>
      <c r="B293" s="111">
        <v>323590</v>
      </c>
      <c r="C293" s="111">
        <v>452430</v>
      </c>
      <c r="D293" s="111">
        <v>27956</v>
      </c>
      <c r="E293" s="111">
        <v>21407</v>
      </c>
      <c r="F293" s="111">
        <v>57861</v>
      </c>
      <c r="G293" s="111">
        <v>7881</v>
      </c>
      <c r="H293" s="111">
        <v>9203</v>
      </c>
      <c r="I293" s="111">
        <v>54240</v>
      </c>
      <c r="J293" s="111">
        <v>358691</v>
      </c>
      <c r="K293" s="111">
        <v>35101</v>
      </c>
      <c r="L293" s="111">
        <v>56917</v>
      </c>
      <c r="M293" s="111">
        <v>26811</v>
      </c>
      <c r="N293" s="111">
        <v>10126</v>
      </c>
      <c r="O293" s="111">
        <v>93739</v>
      </c>
      <c r="P293" s="111">
        <v>43975</v>
      </c>
      <c r="Q293" s="111">
        <v>7213</v>
      </c>
    </row>
    <row r="294" spans="1:17" x14ac:dyDescent="0.2">
      <c r="A294" s="110">
        <v>42491</v>
      </c>
      <c r="B294" s="111">
        <v>324289</v>
      </c>
      <c r="C294" s="111">
        <v>454443</v>
      </c>
      <c r="D294" s="111">
        <v>27608</v>
      </c>
      <c r="E294" s="111">
        <v>21579</v>
      </c>
      <c r="F294" s="111">
        <v>58126</v>
      </c>
      <c r="G294" s="111">
        <v>7924</v>
      </c>
      <c r="H294" s="111">
        <v>9278</v>
      </c>
      <c r="I294" s="111">
        <v>54300</v>
      </c>
      <c r="J294" s="111">
        <v>360322</v>
      </c>
      <c r="K294" s="111">
        <v>36033</v>
      </c>
      <c r="L294" s="111">
        <v>56668</v>
      </c>
      <c r="M294" s="111">
        <v>26722</v>
      </c>
      <c r="N294" s="111">
        <v>9996</v>
      </c>
      <c r="O294" s="111">
        <v>94121</v>
      </c>
      <c r="P294" s="111">
        <v>44827</v>
      </c>
      <c r="Q294" s="111">
        <v>7261</v>
      </c>
    </row>
    <row r="295" spans="1:17" x14ac:dyDescent="0.2">
      <c r="A295" s="110">
        <v>42522</v>
      </c>
      <c r="B295" s="111">
        <v>327033</v>
      </c>
      <c r="C295" s="111">
        <v>459052</v>
      </c>
      <c r="D295" s="111">
        <v>28271</v>
      </c>
      <c r="E295" s="111">
        <v>21673</v>
      </c>
      <c r="F295" s="111">
        <v>58527</v>
      </c>
      <c r="G295" s="111">
        <v>7878</v>
      </c>
      <c r="H295" s="111">
        <v>9422</v>
      </c>
      <c r="I295" s="111">
        <v>54296</v>
      </c>
      <c r="J295" s="111">
        <v>364300</v>
      </c>
      <c r="K295" s="111">
        <v>37267</v>
      </c>
      <c r="L295" s="111">
        <v>57085</v>
      </c>
      <c r="M295" s="111">
        <v>26892</v>
      </c>
      <c r="N295" s="111">
        <v>10063</v>
      </c>
      <c r="O295" s="111">
        <v>94752</v>
      </c>
      <c r="P295" s="111">
        <v>45364</v>
      </c>
      <c r="Q295" s="111">
        <v>7562</v>
      </c>
    </row>
    <row r="296" spans="1:17" x14ac:dyDescent="0.2">
      <c r="A296" s="110">
        <v>42552</v>
      </c>
      <c r="B296" s="111">
        <v>325311</v>
      </c>
      <c r="C296" s="111">
        <v>458060</v>
      </c>
      <c r="D296" s="111">
        <v>27969</v>
      </c>
      <c r="E296" s="111">
        <v>21431</v>
      </c>
      <c r="F296" s="111">
        <v>58172</v>
      </c>
      <c r="G296" s="111">
        <v>7945</v>
      </c>
      <c r="H296" s="111">
        <v>9350</v>
      </c>
      <c r="I296" s="111">
        <v>54330</v>
      </c>
      <c r="J296" s="111">
        <v>362118</v>
      </c>
      <c r="K296" s="111">
        <v>36807</v>
      </c>
      <c r="L296" s="111">
        <v>56755</v>
      </c>
      <c r="M296" s="111">
        <v>26822</v>
      </c>
      <c r="N296" s="111">
        <v>9997</v>
      </c>
      <c r="O296" s="111">
        <v>95942</v>
      </c>
      <c r="P296" s="111">
        <v>45324</v>
      </c>
      <c r="Q296" s="111">
        <v>7216</v>
      </c>
    </row>
    <row r="297" spans="1:17" x14ac:dyDescent="0.2">
      <c r="A297" s="110">
        <v>42583</v>
      </c>
      <c r="B297" s="111">
        <v>326417</v>
      </c>
      <c r="C297" s="111">
        <v>458771</v>
      </c>
      <c r="D297" s="111">
        <v>27846</v>
      </c>
      <c r="E297" s="111">
        <v>21787</v>
      </c>
      <c r="F297" s="111">
        <v>58446</v>
      </c>
      <c r="G297" s="111">
        <v>8039</v>
      </c>
      <c r="H297" s="111">
        <v>9333</v>
      </c>
      <c r="I297" s="111">
        <v>54803</v>
      </c>
      <c r="J297" s="111">
        <v>362435</v>
      </c>
      <c r="K297" s="111">
        <v>36018</v>
      </c>
      <c r="L297" s="111">
        <v>56858</v>
      </c>
      <c r="M297" s="111">
        <v>26747</v>
      </c>
      <c r="N297" s="111">
        <v>9933</v>
      </c>
      <c r="O297" s="111">
        <v>96336</v>
      </c>
      <c r="P297" s="111">
        <v>45586</v>
      </c>
      <c r="Q297" s="111">
        <v>7039</v>
      </c>
    </row>
    <row r="298" spans="1:17" x14ac:dyDescent="0.2">
      <c r="A298" s="110">
        <v>42614</v>
      </c>
      <c r="B298" s="111">
        <v>327184</v>
      </c>
      <c r="C298" s="111">
        <v>461324</v>
      </c>
      <c r="D298" s="111">
        <v>27876</v>
      </c>
      <c r="E298" s="111">
        <v>21906</v>
      </c>
      <c r="F298" s="111">
        <v>58717</v>
      </c>
      <c r="G298" s="111">
        <v>7732</v>
      </c>
      <c r="H298" s="111">
        <v>9487</v>
      </c>
      <c r="I298" s="111">
        <v>55366</v>
      </c>
      <c r="J298" s="111">
        <v>364147</v>
      </c>
      <c r="K298" s="111">
        <v>36963</v>
      </c>
      <c r="L298" s="111">
        <v>56245</v>
      </c>
      <c r="M298" s="111">
        <v>26683</v>
      </c>
      <c r="N298" s="111">
        <v>10196</v>
      </c>
      <c r="O298" s="111">
        <v>97177</v>
      </c>
      <c r="P298" s="111">
        <v>45918</v>
      </c>
      <c r="Q298" s="111">
        <v>7058</v>
      </c>
    </row>
    <row r="299" spans="1:17" x14ac:dyDescent="0.2">
      <c r="A299" s="110">
        <v>42644</v>
      </c>
      <c r="B299" s="111">
        <v>327785</v>
      </c>
      <c r="C299" s="111">
        <v>462770</v>
      </c>
      <c r="D299" s="111">
        <v>28050</v>
      </c>
      <c r="E299" s="111">
        <v>21696</v>
      </c>
      <c r="F299" s="111">
        <v>59054</v>
      </c>
      <c r="G299" s="111">
        <v>7612</v>
      </c>
      <c r="H299" s="111">
        <v>9391</v>
      </c>
      <c r="I299" s="111">
        <v>55375</v>
      </c>
      <c r="J299" s="111">
        <v>365738</v>
      </c>
      <c r="K299" s="111">
        <v>37953</v>
      </c>
      <c r="L299" s="111">
        <v>56762</v>
      </c>
      <c r="M299" s="111">
        <v>25885</v>
      </c>
      <c r="N299" s="111">
        <v>10368</v>
      </c>
      <c r="O299" s="111">
        <v>97032</v>
      </c>
      <c r="P299" s="111">
        <v>46508</v>
      </c>
      <c r="Q299" s="111">
        <v>7084</v>
      </c>
    </row>
    <row r="300" spans="1:17" x14ac:dyDescent="0.2">
      <c r="A300" s="110">
        <v>42675</v>
      </c>
      <c r="B300" s="111">
        <v>328217</v>
      </c>
      <c r="C300" s="111">
        <v>462407</v>
      </c>
      <c r="D300" s="111">
        <v>28206</v>
      </c>
      <c r="E300" s="111">
        <v>21629</v>
      </c>
      <c r="F300" s="111">
        <v>59105</v>
      </c>
      <c r="G300" s="111">
        <v>7464</v>
      </c>
      <c r="H300" s="111">
        <v>9358</v>
      </c>
      <c r="I300" s="111">
        <v>56346</v>
      </c>
      <c r="J300" s="111">
        <v>365795</v>
      </c>
      <c r="K300" s="111">
        <v>37578</v>
      </c>
      <c r="L300" s="111">
        <v>56538</v>
      </c>
      <c r="M300" s="111">
        <v>26114</v>
      </c>
      <c r="N300" s="111">
        <v>9962</v>
      </c>
      <c r="O300" s="111">
        <v>96612</v>
      </c>
      <c r="P300" s="111">
        <v>46534</v>
      </c>
      <c r="Q300" s="111">
        <v>6961</v>
      </c>
    </row>
    <row r="301" spans="1:17" x14ac:dyDescent="0.2">
      <c r="A301" s="110">
        <v>42705</v>
      </c>
      <c r="B301" s="111">
        <v>329217</v>
      </c>
      <c r="C301" s="111">
        <v>468061</v>
      </c>
      <c r="D301" s="111">
        <v>28155</v>
      </c>
      <c r="E301" s="111">
        <v>21951</v>
      </c>
      <c r="F301" s="111">
        <v>59328</v>
      </c>
      <c r="G301" s="111">
        <v>7600</v>
      </c>
      <c r="H301" s="111">
        <v>9297</v>
      </c>
      <c r="I301" s="111">
        <v>55451</v>
      </c>
      <c r="J301" s="111">
        <v>368617</v>
      </c>
      <c r="K301" s="111">
        <v>39400</v>
      </c>
      <c r="L301" s="111">
        <v>56446</v>
      </c>
      <c r="M301" s="111">
        <v>26179</v>
      </c>
      <c r="N301" s="111">
        <v>10130</v>
      </c>
      <c r="O301" s="111">
        <v>99444</v>
      </c>
      <c r="P301" s="111">
        <v>47605</v>
      </c>
      <c r="Q301" s="111">
        <v>7075</v>
      </c>
    </row>
    <row r="302" spans="1:17" x14ac:dyDescent="0.2">
      <c r="A302" s="110">
        <v>42736</v>
      </c>
      <c r="B302" s="111">
        <v>334193</v>
      </c>
      <c r="C302" s="111">
        <v>473484</v>
      </c>
      <c r="D302" s="111">
        <v>28685</v>
      </c>
      <c r="E302" s="111">
        <v>22025</v>
      </c>
      <c r="F302" s="111">
        <v>59561</v>
      </c>
      <c r="G302" s="111">
        <v>7696</v>
      </c>
      <c r="H302" s="111">
        <v>9499</v>
      </c>
      <c r="I302" s="111">
        <v>57403</v>
      </c>
      <c r="J302" s="111">
        <v>374064</v>
      </c>
      <c r="K302" s="111">
        <v>39871</v>
      </c>
      <c r="L302" s="111">
        <v>57695</v>
      </c>
      <c r="M302" s="111">
        <v>26160</v>
      </c>
      <c r="N302" s="111">
        <v>10110</v>
      </c>
      <c r="O302" s="111">
        <v>99420</v>
      </c>
      <c r="P302" s="111">
        <v>48132</v>
      </c>
      <c r="Q302" s="111">
        <v>7227</v>
      </c>
    </row>
    <row r="303" spans="1:17" x14ac:dyDescent="0.2">
      <c r="A303" s="110">
        <v>42767</v>
      </c>
      <c r="B303" s="111">
        <v>334072</v>
      </c>
      <c r="C303" s="111">
        <v>472995</v>
      </c>
      <c r="D303" s="111">
        <v>28943</v>
      </c>
      <c r="E303" s="111">
        <v>21654</v>
      </c>
      <c r="F303" s="111">
        <v>59832</v>
      </c>
      <c r="G303" s="111">
        <v>7609</v>
      </c>
      <c r="H303" s="111">
        <v>9498</v>
      </c>
      <c r="I303" s="111">
        <v>57492</v>
      </c>
      <c r="J303" s="111">
        <v>374178</v>
      </c>
      <c r="K303" s="111">
        <v>40106</v>
      </c>
      <c r="L303" s="111">
        <v>56965</v>
      </c>
      <c r="M303" s="111">
        <v>26436</v>
      </c>
      <c r="N303" s="111">
        <v>10280</v>
      </c>
      <c r="O303" s="111">
        <v>98817</v>
      </c>
      <c r="P303" s="111">
        <v>48312</v>
      </c>
      <c r="Q303" s="111">
        <v>7051</v>
      </c>
    </row>
    <row r="304" spans="1:17" x14ac:dyDescent="0.2">
      <c r="A304" s="110">
        <v>42795</v>
      </c>
      <c r="B304" s="111">
        <v>335515</v>
      </c>
      <c r="C304" s="111">
        <v>471999</v>
      </c>
      <c r="D304" s="111">
        <v>28755</v>
      </c>
      <c r="E304" s="111">
        <v>21760</v>
      </c>
      <c r="F304" s="111">
        <v>60322</v>
      </c>
      <c r="G304" s="111">
        <v>7824</v>
      </c>
      <c r="H304" s="111">
        <v>9576</v>
      </c>
      <c r="I304" s="111">
        <v>57379</v>
      </c>
      <c r="J304" s="111">
        <v>375294</v>
      </c>
      <c r="K304" s="111">
        <v>39779</v>
      </c>
      <c r="L304" s="111">
        <v>57274</v>
      </c>
      <c r="M304" s="111">
        <v>26569</v>
      </c>
      <c r="N304" s="111">
        <v>10189</v>
      </c>
      <c r="O304" s="111">
        <v>96705</v>
      </c>
      <c r="P304" s="111">
        <v>48903</v>
      </c>
      <c r="Q304" s="111">
        <v>6964</v>
      </c>
    </row>
    <row r="305" spans="1:17" x14ac:dyDescent="0.2">
      <c r="A305" s="110">
        <v>42826</v>
      </c>
      <c r="B305" s="111">
        <v>337371</v>
      </c>
      <c r="C305" s="111">
        <v>474363</v>
      </c>
      <c r="D305" s="111">
        <v>29063</v>
      </c>
      <c r="E305" s="111">
        <v>21777</v>
      </c>
      <c r="F305" s="111">
        <v>60461</v>
      </c>
      <c r="G305" s="111">
        <v>7851</v>
      </c>
      <c r="H305" s="111">
        <v>9434</v>
      </c>
      <c r="I305" s="111">
        <v>57474</v>
      </c>
      <c r="J305" s="111">
        <v>376910</v>
      </c>
      <c r="K305" s="111">
        <v>39539</v>
      </c>
      <c r="L305" s="111">
        <v>57655</v>
      </c>
      <c r="M305" s="111">
        <v>26755</v>
      </c>
      <c r="N305" s="111">
        <v>10249</v>
      </c>
      <c r="O305" s="111">
        <v>97453</v>
      </c>
      <c r="P305" s="111">
        <v>49624</v>
      </c>
      <c r="Q305" s="111">
        <v>7028</v>
      </c>
    </row>
    <row r="306" spans="1:17" x14ac:dyDescent="0.2">
      <c r="A306" s="110">
        <v>42856</v>
      </c>
      <c r="B306" s="111">
        <v>336090</v>
      </c>
      <c r="C306" s="111">
        <v>472010</v>
      </c>
      <c r="D306" s="111">
        <v>28764</v>
      </c>
      <c r="E306" s="111">
        <v>21648</v>
      </c>
      <c r="F306" s="111">
        <v>60614</v>
      </c>
      <c r="G306" s="111">
        <v>7744</v>
      </c>
      <c r="H306" s="111">
        <v>9507</v>
      </c>
      <c r="I306" s="111">
        <v>57470</v>
      </c>
      <c r="J306" s="111">
        <v>374147</v>
      </c>
      <c r="K306" s="111">
        <v>38057</v>
      </c>
      <c r="L306" s="111">
        <v>56600</v>
      </c>
      <c r="M306" s="111">
        <v>26761</v>
      </c>
      <c r="N306" s="111">
        <v>10043</v>
      </c>
      <c r="O306" s="111">
        <v>97863</v>
      </c>
      <c r="P306" s="111">
        <v>49991</v>
      </c>
      <c r="Q306" s="111">
        <v>6948</v>
      </c>
    </row>
    <row r="307" spans="1:17" x14ac:dyDescent="0.2">
      <c r="A307" s="110">
        <v>42887</v>
      </c>
      <c r="B307" s="111">
        <v>337439</v>
      </c>
      <c r="C307" s="111">
        <v>473768</v>
      </c>
      <c r="D307" s="111">
        <v>28720</v>
      </c>
      <c r="E307" s="111">
        <v>21791</v>
      </c>
      <c r="F307" s="111">
        <v>60413</v>
      </c>
      <c r="G307" s="111">
        <v>7672</v>
      </c>
      <c r="H307" s="111">
        <v>9570</v>
      </c>
      <c r="I307" s="111">
        <v>57263</v>
      </c>
      <c r="J307" s="111">
        <v>375072</v>
      </c>
      <c r="K307" s="111">
        <v>37633</v>
      </c>
      <c r="L307" s="111">
        <v>57767</v>
      </c>
      <c r="M307" s="111">
        <v>26983</v>
      </c>
      <c r="N307" s="111">
        <v>10048</v>
      </c>
      <c r="O307" s="111">
        <v>98696</v>
      </c>
      <c r="P307" s="111">
        <v>50267</v>
      </c>
      <c r="Q307" s="111">
        <v>6945</v>
      </c>
    </row>
    <row r="308" spans="1:17" x14ac:dyDescent="0.2">
      <c r="A308" s="110">
        <v>42917</v>
      </c>
      <c r="B308" s="111">
        <v>337493</v>
      </c>
      <c r="C308" s="111">
        <v>473959</v>
      </c>
      <c r="D308" s="111">
        <v>28838</v>
      </c>
      <c r="E308" s="111">
        <v>21619</v>
      </c>
      <c r="F308" s="111">
        <v>60443</v>
      </c>
      <c r="G308" s="111">
        <v>7579</v>
      </c>
      <c r="H308" s="111">
        <v>9529</v>
      </c>
      <c r="I308" s="111">
        <v>57215</v>
      </c>
      <c r="J308" s="111">
        <v>375038</v>
      </c>
      <c r="K308" s="111">
        <v>37545</v>
      </c>
      <c r="L308" s="111">
        <v>57438</v>
      </c>
      <c r="M308" s="111">
        <v>27020</v>
      </c>
      <c r="N308" s="111">
        <v>10258</v>
      </c>
      <c r="O308" s="111">
        <v>98921</v>
      </c>
      <c r="P308" s="111">
        <v>50713</v>
      </c>
      <c r="Q308" s="111">
        <v>6841</v>
      </c>
    </row>
    <row r="309" spans="1:17" x14ac:dyDescent="0.2">
      <c r="A309" s="110">
        <v>42948</v>
      </c>
      <c r="B309" s="111">
        <v>339279</v>
      </c>
      <c r="C309" s="111">
        <v>474703</v>
      </c>
      <c r="D309" s="111">
        <v>28843</v>
      </c>
      <c r="E309" s="111">
        <v>21779</v>
      </c>
      <c r="F309" s="111">
        <v>60762</v>
      </c>
      <c r="G309" s="111">
        <v>7597</v>
      </c>
      <c r="H309" s="111">
        <v>9601</v>
      </c>
      <c r="I309" s="111">
        <v>57524</v>
      </c>
      <c r="J309" s="111">
        <v>378044</v>
      </c>
      <c r="K309" s="111">
        <v>38765</v>
      </c>
      <c r="L309" s="111">
        <v>57654</v>
      </c>
      <c r="M309" s="111">
        <v>27336</v>
      </c>
      <c r="N309" s="111">
        <v>10235</v>
      </c>
      <c r="O309" s="111">
        <v>96659</v>
      </c>
      <c r="P309" s="111">
        <v>51035</v>
      </c>
      <c r="Q309" s="111">
        <v>6913</v>
      </c>
    </row>
    <row r="310" spans="1:17" x14ac:dyDescent="0.2">
      <c r="A310" s="110">
        <v>42979</v>
      </c>
      <c r="B310" s="111">
        <v>342616</v>
      </c>
      <c r="C310" s="111">
        <v>484385</v>
      </c>
      <c r="D310" s="111">
        <v>29763</v>
      </c>
      <c r="E310" s="111">
        <v>21897</v>
      </c>
      <c r="F310" s="111">
        <v>61331</v>
      </c>
      <c r="G310" s="111">
        <v>7662</v>
      </c>
      <c r="H310" s="111">
        <v>9496</v>
      </c>
      <c r="I310" s="111">
        <v>57884</v>
      </c>
      <c r="J310" s="111">
        <v>383436</v>
      </c>
      <c r="K310" s="111">
        <v>40820</v>
      </c>
      <c r="L310" s="111">
        <v>58294</v>
      </c>
      <c r="M310" s="111">
        <v>27372</v>
      </c>
      <c r="N310" s="111">
        <v>10354</v>
      </c>
      <c r="O310" s="111">
        <v>100949</v>
      </c>
      <c r="P310" s="111">
        <v>51561</v>
      </c>
      <c r="Q310" s="111">
        <v>7002</v>
      </c>
    </row>
    <row r="311" spans="1:17" x14ac:dyDescent="0.2">
      <c r="A311" s="110">
        <v>43009</v>
      </c>
      <c r="B311" s="111">
        <v>342619</v>
      </c>
      <c r="C311" s="111">
        <v>485059</v>
      </c>
      <c r="D311" s="111">
        <v>29561</v>
      </c>
      <c r="E311" s="111">
        <v>21796</v>
      </c>
      <c r="F311" s="111">
        <v>61563</v>
      </c>
      <c r="G311" s="111">
        <v>7708</v>
      </c>
      <c r="H311" s="111">
        <v>9804</v>
      </c>
      <c r="I311" s="111">
        <v>58126</v>
      </c>
      <c r="J311" s="111">
        <v>383559</v>
      </c>
      <c r="K311" s="111">
        <v>40940</v>
      </c>
      <c r="L311" s="111">
        <v>57996</v>
      </c>
      <c r="M311" s="111">
        <v>27568</v>
      </c>
      <c r="N311" s="111">
        <v>10392</v>
      </c>
      <c r="O311" s="111">
        <v>101500</v>
      </c>
      <c r="P311" s="111">
        <v>51074</v>
      </c>
      <c r="Q311" s="111">
        <v>7031</v>
      </c>
    </row>
    <row r="312" spans="1:17" x14ac:dyDescent="0.2">
      <c r="A312" s="110">
        <v>43040</v>
      </c>
      <c r="B312" s="111">
        <v>347389</v>
      </c>
      <c r="C312" s="111">
        <v>490007</v>
      </c>
      <c r="D312" s="111">
        <v>29948</v>
      </c>
      <c r="E312" s="111">
        <v>22068</v>
      </c>
      <c r="F312" s="111">
        <v>61766</v>
      </c>
      <c r="G312" s="111">
        <v>7838</v>
      </c>
      <c r="H312" s="111">
        <v>9937</v>
      </c>
      <c r="I312" s="111">
        <v>58849</v>
      </c>
      <c r="J312" s="111">
        <v>389394</v>
      </c>
      <c r="K312" s="111">
        <v>42005</v>
      </c>
      <c r="L312" s="111">
        <v>58065</v>
      </c>
      <c r="M312" s="111">
        <v>27763</v>
      </c>
      <c r="N312" s="111">
        <v>10590</v>
      </c>
      <c r="O312" s="111">
        <v>100613</v>
      </c>
      <c r="P312" s="111">
        <v>53421</v>
      </c>
      <c r="Q312" s="111">
        <v>7144</v>
      </c>
    </row>
    <row r="313" spans="1:17" x14ac:dyDescent="0.2">
      <c r="A313" s="110">
        <v>43070</v>
      </c>
      <c r="B313" s="111">
        <v>349301</v>
      </c>
      <c r="C313" s="111">
        <v>492401</v>
      </c>
      <c r="D313" s="111">
        <v>30044</v>
      </c>
      <c r="E313" s="111">
        <v>21760</v>
      </c>
      <c r="F313" s="111">
        <v>62282</v>
      </c>
      <c r="G313" s="111">
        <v>7798</v>
      </c>
      <c r="H313" s="111">
        <v>9960</v>
      </c>
      <c r="I313" s="111">
        <v>59119</v>
      </c>
      <c r="J313" s="111">
        <v>392021</v>
      </c>
      <c r="K313" s="111">
        <v>42720</v>
      </c>
      <c r="L313" s="111">
        <v>58591</v>
      </c>
      <c r="M313" s="111">
        <v>27669</v>
      </c>
      <c r="N313" s="111">
        <v>10656</v>
      </c>
      <c r="O313" s="111">
        <v>100380</v>
      </c>
      <c r="P313" s="111">
        <v>54363</v>
      </c>
      <c r="Q313" s="111">
        <v>7059</v>
      </c>
    </row>
    <row r="314" spans="1:17" x14ac:dyDescent="0.2">
      <c r="A314" s="110">
        <v>43101</v>
      </c>
      <c r="B314" s="111">
        <v>348453</v>
      </c>
      <c r="C314" s="111">
        <v>491492</v>
      </c>
      <c r="D314" s="111">
        <v>29261</v>
      </c>
      <c r="E314" s="111">
        <v>21848</v>
      </c>
      <c r="F314" s="111">
        <v>61935</v>
      </c>
      <c r="G314" s="111">
        <v>7847</v>
      </c>
      <c r="H314" s="111">
        <v>9875</v>
      </c>
      <c r="I314" s="111">
        <v>59344</v>
      </c>
      <c r="J314" s="111">
        <v>391213</v>
      </c>
      <c r="K314" s="111">
        <v>42760</v>
      </c>
      <c r="L314" s="111">
        <v>58607</v>
      </c>
      <c r="M314" s="111">
        <v>27671</v>
      </c>
      <c r="N314" s="111">
        <v>10855</v>
      </c>
      <c r="O314" s="111">
        <v>100279</v>
      </c>
      <c r="P314" s="111">
        <v>54331</v>
      </c>
      <c r="Q314" s="111">
        <v>6879</v>
      </c>
    </row>
    <row r="315" spans="1:17" x14ac:dyDescent="0.2">
      <c r="A315" s="110">
        <v>43132</v>
      </c>
      <c r="B315" s="111">
        <v>350758</v>
      </c>
      <c r="C315" s="111">
        <v>493759</v>
      </c>
      <c r="D315" s="111">
        <v>30076</v>
      </c>
      <c r="E315" s="111">
        <v>22365</v>
      </c>
      <c r="F315" s="111">
        <v>62026</v>
      </c>
      <c r="G315" s="111">
        <v>7941</v>
      </c>
      <c r="H315" s="111">
        <v>9910</v>
      </c>
      <c r="I315" s="111">
        <v>59653</v>
      </c>
      <c r="J315" s="111">
        <v>393942</v>
      </c>
      <c r="K315" s="111">
        <v>43184</v>
      </c>
      <c r="L315" s="111">
        <v>58670</v>
      </c>
      <c r="M315" s="111">
        <v>27510</v>
      </c>
      <c r="N315" s="111">
        <v>10807</v>
      </c>
      <c r="O315" s="111">
        <v>99817</v>
      </c>
      <c r="P315" s="111">
        <v>54637</v>
      </c>
      <c r="Q315" s="111">
        <v>7163</v>
      </c>
    </row>
    <row r="316" spans="1:17" x14ac:dyDescent="0.2">
      <c r="A316" s="110">
        <v>43160</v>
      </c>
      <c r="B316" s="111">
        <v>350632</v>
      </c>
      <c r="C316" s="111">
        <v>493373</v>
      </c>
      <c r="D316" s="111">
        <v>29792</v>
      </c>
      <c r="E316" s="111">
        <v>21697</v>
      </c>
      <c r="F316" s="111">
        <v>62166</v>
      </c>
      <c r="G316" s="111">
        <v>7880</v>
      </c>
      <c r="H316" s="111">
        <v>9937</v>
      </c>
      <c r="I316" s="111">
        <v>60141</v>
      </c>
      <c r="J316" s="111">
        <v>393244</v>
      </c>
      <c r="K316" s="111">
        <v>42612</v>
      </c>
      <c r="L316" s="111">
        <v>58081</v>
      </c>
      <c r="M316" s="111">
        <v>27674</v>
      </c>
      <c r="N316" s="111">
        <v>10711</v>
      </c>
      <c r="O316" s="111">
        <v>100129</v>
      </c>
      <c r="P316" s="111">
        <v>55316</v>
      </c>
      <c r="Q316" s="111">
        <v>7237</v>
      </c>
    </row>
    <row r="317" spans="1:17" x14ac:dyDescent="0.2">
      <c r="A317" s="110">
        <v>43191</v>
      </c>
      <c r="B317" s="111">
        <v>352159</v>
      </c>
      <c r="C317" s="111">
        <v>495025</v>
      </c>
      <c r="D317" s="111">
        <v>29807</v>
      </c>
      <c r="E317" s="111">
        <v>22045</v>
      </c>
      <c r="F317" s="111">
        <v>62516</v>
      </c>
      <c r="G317" s="111">
        <v>7994</v>
      </c>
      <c r="H317" s="111">
        <v>10113</v>
      </c>
      <c r="I317" s="111">
        <v>59415</v>
      </c>
      <c r="J317" s="111">
        <v>394562</v>
      </c>
      <c r="K317" s="111">
        <v>42403</v>
      </c>
      <c r="L317" s="111">
        <v>58423</v>
      </c>
      <c r="M317" s="111">
        <v>27937</v>
      </c>
      <c r="N317" s="111">
        <v>10651</v>
      </c>
      <c r="O317" s="111">
        <v>100463</v>
      </c>
      <c r="P317" s="111">
        <v>56131</v>
      </c>
      <c r="Q317" s="111">
        <v>7127</v>
      </c>
    </row>
    <row r="318" spans="1:17" x14ac:dyDescent="0.2">
      <c r="A318" s="110">
        <v>43221</v>
      </c>
      <c r="B318" s="111">
        <v>356316</v>
      </c>
      <c r="C318" s="111">
        <v>500719</v>
      </c>
      <c r="D318" s="111">
        <v>30546</v>
      </c>
      <c r="E318" s="111">
        <v>22855</v>
      </c>
      <c r="F318" s="111">
        <v>62516</v>
      </c>
      <c r="G318" s="111">
        <v>7945</v>
      </c>
      <c r="H318" s="111">
        <v>9974</v>
      </c>
      <c r="I318" s="111">
        <v>60723</v>
      </c>
      <c r="J318" s="111">
        <v>399841</v>
      </c>
      <c r="K318" s="111">
        <v>43525</v>
      </c>
      <c r="L318" s="111">
        <v>59682</v>
      </c>
      <c r="M318" s="111">
        <v>28309</v>
      </c>
      <c r="N318" s="111">
        <v>10810</v>
      </c>
      <c r="O318" s="111">
        <v>100878</v>
      </c>
      <c r="P318" s="111">
        <v>55818</v>
      </c>
      <c r="Q318" s="111">
        <v>7138</v>
      </c>
    </row>
    <row r="319" spans="1:17" x14ac:dyDescent="0.2">
      <c r="A319" s="110">
        <v>43252</v>
      </c>
      <c r="B319" s="111">
        <v>355265</v>
      </c>
      <c r="C319" s="111">
        <v>499631</v>
      </c>
      <c r="D319" s="111">
        <v>30974</v>
      </c>
      <c r="E319" s="111">
        <v>22343</v>
      </c>
      <c r="F319" s="111">
        <v>62350</v>
      </c>
      <c r="G319" s="111">
        <v>7991</v>
      </c>
      <c r="H319" s="111">
        <v>9971</v>
      </c>
      <c r="I319" s="111">
        <v>61440</v>
      </c>
      <c r="J319" s="111">
        <v>399038</v>
      </c>
      <c r="K319" s="111">
        <v>43773</v>
      </c>
      <c r="L319" s="111">
        <v>58687</v>
      </c>
      <c r="M319" s="111">
        <v>28076</v>
      </c>
      <c r="N319" s="111">
        <v>10763</v>
      </c>
      <c r="O319" s="111">
        <v>100593</v>
      </c>
      <c r="P319" s="111">
        <v>55751</v>
      </c>
      <c r="Q319" s="111">
        <v>6919</v>
      </c>
    </row>
    <row r="320" spans="1:17" x14ac:dyDescent="0.2">
      <c r="A320" s="110">
        <v>43282</v>
      </c>
      <c r="B320" s="111">
        <v>357605</v>
      </c>
      <c r="C320" s="111">
        <v>502962</v>
      </c>
      <c r="D320" s="111">
        <v>30991</v>
      </c>
      <c r="E320" s="111">
        <v>22698</v>
      </c>
      <c r="F320" s="111">
        <v>62713</v>
      </c>
      <c r="G320" s="111">
        <v>7916</v>
      </c>
      <c r="H320" s="111">
        <v>10006</v>
      </c>
      <c r="I320" s="111">
        <v>62259</v>
      </c>
      <c r="J320" s="111">
        <v>401779</v>
      </c>
      <c r="K320" s="111">
        <v>44174</v>
      </c>
      <c r="L320" s="111">
        <v>58966</v>
      </c>
      <c r="M320" s="111">
        <v>28258</v>
      </c>
      <c r="N320" s="111">
        <v>10411</v>
      </c>
      <c r="O320" s="111">
        <v>101183</v>
      </c>
      <c r="P320" s="111">
        <v>56714</v>
      </c>
      <c r="Q320" s="111">
        <v>6673</v>
      </c>
    </row>
    <row r="321" spans="1:17" x14ac:dyDescent="0.2">
      <c r="A321" s="110">
        <v>43313</v>
      </c>
      <c r="B321" s="111">
        <v>357588</v>
      </c>
      <c r="C321" s="111">
        <v>501913</v>
      </c>
      <c r="D321" s="111">
        <v>30601</v>
      </c>
      <c r="E321" s="111">
        <v>22101</v>
      </c>
      <c r="F321" s="111">
        <v>62510</v>
      </c>
      <c r="G321" s="111">
        <v>7940</v>
      </c>
      <c r="H321" s="111">
        <v>9885</v>
      </c>
      <c r="I321" s="111">
        <v>62635</v>
      </c>
      <c r="J321" s="111">
        <v>402204</v>
      </c>
      <c r="K321" s="111">
        <v>44616</v>
      </c>
      <c r="L321" s="111">
        <v>59202</v>
      </c>
      <c r="M321" s="111">
        <v>28533</v>
      </c>
      <c r="N321" s="111">
        <v>10625</v>
      </c>
      <c r="O321" s="111">
        <v>99709</v>
      </c>
      <c r="P321" s="111">
        <v>56948</v>
      </c>
      <c r="Q321" s="111">
        <v>6608</v>
      </c>
    </row>
    <row r="322" spans="1:17" x14ac:dyDescent="0.2">
      <c r="A322" s="110">
        <v>43344</v>
      </c>
      <c r="B322" s="111">
        <v>356859</v>
      </c>
      <c r="C322" s="111">
        <v>500362</v>
      </c>
      <c r="D322" s="111">
        <v>30735</v>
      </c>
      <c r="E322" s="111">
        <v>22112</v>
      </c>
      <c r="F322" s="111">
        <v>62813</v>
      </c>
      <c r="G322" s="111">
        <v>7778</v>
      </c>
      <c r="H322" s="111">
        <v>9818</v>
      </c>
      <c r="I322" s="111">
        <v>61377</v>
      </c>
      <c r="J322" s="111">
        <v>400948</v>
      </c>
      <c r="K322" s="111">
        <v>44089</v>
      </c>
      <c r="L322" s="111">
        <v>58992</v>
      </c>
      <c r="M322" s="111">
        <v>28319</v>
      </c>
      <c r="N322" s="111">
        <v>10659</v>
      </c>
      <c r="O322" s="111">
        <v>99414</v>
      </c>
      <c r="P322" s="111">
        <v>57753</v>
      </c>
      <c r="Q322" s="111">
        <v>6503</v>
      </c>
    </row>
    <row r="323" spans="1:17" x14ac:dyDescent="0.2">
      <c r="A323" s="110">
        <v>43374</v>
      </c>
      <c r="B323" s="111">
        <v>360253</v>
      </c>
      <c r="C323" s="111">
        <v>506010</v>
      </c>
      <c r="D323" s="111">
        <v>31505</v>
      </c>
      <c r="E323" s="111">
        <v>22506</v>
      </c>
      <c r="F323" s="111">
        <v>63056</v>
      </c>
      <c r="G323" s="111">
        <v>7770</v>
      </c>
      <c r="H323" s="111">
        <v>9907</v>
      </c>
      <c r="I323" s="111">
        <v>61972</v>
      </c>
      <c r="J323" s="111">
        <v>406131</v>
      </c>
      <c r="K323" s="111">
        <v>45878</v>
      </c>
      <c r="L323" s="111">
        <v>59355</v>
      </c>
      <c r="M323" s="111">
        <v>28555</v>
      </c>
      <c r="N323" s="111">
        <v>10907</v>
      </c>
      <c r="O323" s="111">
        <v>99879</v>
      </c>
      <c r="P323" s="111">
        <v>58219</v>
      </c>
      <c r="Q323" s="111">
        <v>6501</v>
      </c>
    </row>
    <row r="324" spans="1:17" x14ac:dyDescent="0.2">
      <c r="A324" s="110">
        <v>43405</v>
      </c>
      <c r="B324" s="111">
        <v>362555</v>
      </c>
      <c r="C324" s="111">
        <v>506973</v>
      </c>
      <c r="D324" s="111">
        <v>30855</v>
      </c>
      <c r="E324" s="111">
        <v>22535</v>
      </c>
      <c r="F324" s="111">
        <v>63138</v>
      </c>
      <c r="G324" s="111">
        <v>7714</v>
      </c>
      <c r="H324" s="111">
        <v>9917</v>
      </c>
      <c r="I324" s="111">
        <v>61731</v>
      </c>
      <c r="J324" s="111">
        <v>406277</v>
      </c>
      <c r="K324" s="111">
        <v>43722</v>
      </c>
      <c r="L324" s="111">
        <v>59962</v>
      </c>
      <c r="M324" s="111">
        <v>29077</v>
      </c>
      <c r="N324" s="111">
        <v>10779</v>
      </c>
      <c r="O324" s="111">
        <v>100696</v>
      </c>
      <c r="P324" s="111">
        <v>60268</v>
      </c>
      <c r="Q324" s="111">
        <v>6579</v>
      </c>
    </row>
    <row r="325" spans="1:17" x14ac:dyDescent="0.2">
      <c r="A325" s="110">
        <v>43435</v>
      </c>
      <c r="B325" s="111">
        <v>353860</v>
      </c>
      <c r="C325" s="111">
        <v>496593</v>
      </c>
      <c r="D325" s="111">
        <v>30971</v>
      </c>
      <c r="E325" s="111">
        <v>22028</v>
      </c>
      <c r="F325" s="111">
        <v>62979</v>
      </c>
      <c r="G325" s="111">
        <v>7579</v>
      </c>
      <c r="H325" s="111">
        <v>9884</v>
      </c>
      <c r="I325" s="111">
        <v>61790</v>
      </c>
      <c r="J325" s="111">
        <v>394822</v>
      </c>
      <c r="K325" s="111">
        <v>40962</v>
      </c>
      <c r="L325" s="111">
        <v>59257</v>
      </c>
      <c r="M325" s="111">
        <v>27944</v>
      </c>
      <c r="N325" s="111">
        <v>10558</v>
      </c>
      <c r="O325" s="111">
        <v>101771</v>
      </c>
      <c r="P325" s="111">
        <v>54472</v>
      </c>
      <c r="Q325" s="111">
        <v>6398</v>
      </c>
    </row>
    <row r="326" spans="1:17" x14ac:dyDescent="0.2">
      <c r="A326" s="110">
        <v>43466</v>
      </c>
      <c r="B326" s="111">
        <v>363338</v>
      </c>
      <c r="C326" s="111">
        <v>502724</v>
      </c>
      <c r="D326" s="111">
        <v>32451</v>
      </c>
      <c r="E326" s="111">
        <v>22040</v>
      </c>
      <c r="F326" s="111">
        <v>63940</v>
      </c>
      <c r="G326" s="111">
        <v>7619</v>
      </c>
      <c r="H326" s="111">
        <v>9787</v>
      </c>
      <c r="I326" s="111">
        <v>61973</v>
      </c>
      <c r="J326" s="111">
        <v>403119</v>
      </c>
      <c r="K326" s="111">
        <v>39781</v>
      </c>
      <c r="L326" s="111">
        <v>59432</v>
      </c>
      <c r="M326" s="111">
        <v>28639</v>
      </c>
      <c r="N326" s="111">
        <v>10346</v>
      </c>
      <c r="O326" s="111">
        <v>99605</v>
      </c>
      <c r="P326" s="111">
        <v>60570</v>
      </c>
      <c r="Q326" s="111">
        <v>6541</v>
      </c>
    </row>
    <row r="327" spans="1:17" x14ac:dyDescent="0.2">
      <c r="A327" s="110">
        <v>43497</v>
      </c>
      <c r="B327" s="111">
        <v>360834</v>
      </c>
      <c r="C327" s="111">
        <v>502627</v>
      </c>
      <c r="D327" s="111">
        <v>30745</v>
      </c>
      <c r="E327" s="111">
        <v>22012</v>
      </c>
      <c r="F327" s="111">
        <v>62493</v>
      </c>
      <c r="G327" s="111">
        <v>7508</v>
      </c>
      <c r="H327" s="111">
        <v>9862</v>
      </c>
      <c r="I327" s="111">
        <v>62631</v>
      </c>
      <c r="J327" s="111">
        <v>402274</v>
      </c>
      <c r="K327" s="111">
        <v>41440</v>
      </c>
      <c r="L327" s="111">
        <v>58756</v>
      </c>
      <c r="M327" s="111">
        <v>28756</v>
      </c>
      <c r="N327" s="111">
        <v>10455</v>
      </c>
      <c r="O327" s="111">
        <v>100353</v>
      </c>
      <c r="P327" s="111">
        <v>61022</v>
      </c>
      <c r="Q327" s="111">
        <v>6594</v>
      </c>
    </row>
    <row r="328" spans="1:17" x14ac:dyDescent="0.2">
      <c r="A328" s="110">
        <v>43525</v>
      </c>
      <c r="B328" s="111">
        <v>364418</v>
      </c>
      <c r="C328" s="111">
        <v>510320</v>
      </c>
      <c r="D328" s="111">
        <v>31106</v>
      </c>
      <c r="E328" s="111">
        <v>22431</v>
      </c>
      <c r="F328" s="111">
        <v>63724</v>
      </c>
      <c r="G328" s="111">
        <v>7571</v>
      </c>
      <c r="H328" s="111">
        <v>10008</v>
      </c>
      <c r="I328" s="111">
        <v>63153</v>
      </c>
      <c r="J328" s="111">
        <v>407080</v>
      </c>
      <c r="K328" s="111">
        <v>42662</v>
      </c>
      <c r="L328" s="111">
        <v>59647</v>
      </c>
      <c r="M328" s="111">
        <v>28700</v>
      </c>
      <c r="N328" s="111">
        <v>10601</v>
      </c>
      <c r="O328" s="111">
        <v>103240</v>
      </c>
      <c r="P328" s="111">
        <v>60845</v>
      </c>
      <c r="Q328" s="111">
        <v>6632</v>
      </c>
    </row>
    <row r="329" spans="1:17" x14ac:dyDescent="0.2">
      <c r="A329" s="110">
        <v>43556</v>
      </c>
      <c r="B329" s="111">
        <v>366650</v>
      </c>
      <c r="C329" s="111">
        <v>512326</v>
      </c>
      <c r="D329" s="111">
        <v>30959</v>
      </c>
      <c r="E329" s="111">
        <v>22360</v>
      </c>
      <c r="F329" s="111">
        <v>63950</v>
      </c>
      <c r="G329" s="111">
        <v>7519</v>
      </c>
      <c r="H329" s="111">
        <v>10073</v>
      </c>
      <c r="I329" s="111">
        <v>63617</v>
      </c>
      <c r="J329" s="111">
        <v>410137</v>
      </c>
      <c r="K329" s="111">
        <v>43487</v>
      </c>
      <c r="L329" s="111">
        <v>60161</v>
      </c>
      <c r="M329" s="111">
        <v>28545</v>
      </c>
      <c r="N329" s="111">
        <v>10829</v>
      </c>
      <c r="O329" s="111">
        <v>102189</v>
      </c>
      <c r="P329" s="111">
        <v>61862</v>
      </c>
      <c r="Q329" s="111">
        <v>6775</v>
      </c>
    </row>
    <row r="330" spans="1:17" x14ac:dyDescent="0.2">
      <c r="A330" s="110">
        <v>43586</v>
      </c>
      <c r="B330" s="111">
        <v>367975</v>
      </c>
      <c r="C330" s="111">
        <v>513870</v>
      </c>
      <c r="D330" s="111">
        <v>30338</v>
      </c>
      <c r="E330" s="111">
        <v>22246</v>
      </c>
      <c r="F330" s="111">
        <v>64071</v>
      </c>
      <c r="G330" s="111">
        <v>7590</v>
      </c>
      <c r="H330" s="111">
        <v>10074</v>
      </c>
      <c r="I330" s="111">
        <v>64318</v>
      </c>
      <c r="J330" s="111">
        <v>411251</v>
      </c>
      <c r="K330" s="111">
        <v>43276</v>
      </c>
      <c r="L330" s="111">
        <v>59648</v>
      </c>
      <c r="M330" s="111">
        <v>28684</v>
      </c>
      <c r="N330" s="111">
        <v>10885</v>
      </c>
      <c r="O330" s="111">
        <v>102619</v>
      </c>
      <c r="P330" s="111">
        <v>63306</v>
      </c>
      <c r="Q330" s="111">
        <v>6815</v>
      </c>
    </row>
    <row r="331" spans="1:17" x14ac:dyDescent="0.2">
      <c r="A331" s="110">
        <v>43617</v>
      </c>
      <c r="B331" s="111">
        <v>370338</v>
      </c>
      <c r="C331" s="111">
        <v>515911</v>
      </c>
      <c r="D331" s="111">
        <v>30385</v>
      </c>
      <c r="E331" s="111">
        <v>22374</v>
      </c>
      <c r="F331" s="111">
        <v>64557</v>
      </c>
      <c r="G331" s="111">
        <v>7549</v>
      </c>
      <c r="H331" s="111">
        <v>10071</v>
      </c>
      <c r="I331" s="111">
        <v>64984</v>
      </c>
      <c r="J331" s="111">
        <v>412955</v>
      </c>
      <c r="K331" s="111">
        <v>42617</v>
      </c>
      <c r="L331" s="111">
        <v>59693</v>
      </c>
      <c r="M331" s="111">
        <v>28615</v>
      </c>
      <c r="N331" s="111">
        <v>11001</v>
      </c>
      <c r="O331" s="111">
        <v>102956</v>
      </c>
      <c r="P331" s="111">
        <v>64217</v>
      </c>
      <c r="Q331" s="111">
        <v>6892</v>
      </c>
    </row>
    <row r="332" spans="1:17" x14ac:dyDescent="0.2">
      <c r="A332" s="110">
        <v>43647</v>
      </c>
      <c r="B332" s="111">
        <v>372369</v>
      </c>
      <c r="C332" s="111">
        <v>519447</v>
      </c>
      <c r="D332" s="111">
        <v>30679</v>
      </c>
      <c r="E332" s="111">
        <v>22548</v>
      </c>
      <c r="F332" s="111">
        <v>65344</v>
      </c>
      <c r="G332" s="111">
        <v>7652</v>
      </c>
      <c r="H332" s="111">
        <v>10067</v>
      </c>
      <c r="I332" s="111">
        <v>65435</v>
      </c>
      <c r="J332" s="111">
        <v>415767</v>
      </c>
      <c r="K332" s="111">
        <v>43398</v>
      </c>
      <c r="L332" s="111">
        <v>60138</v>
      </c>
      <c r="M332" s="111">
        <v>28398</v>
      </c>
      <c r="N332" s="111">
        <v>10900</v>
      </c>
      <c r="O332" s="111">
        <v>103680</v>
      </c>
      <c r="P332" s="111">
        <v>64423</v>
      </c>
      <c r="Q332" s="111">
        <v>6785</v>
      </c>
    </row>
    <row r="333" spans="1:17" x14ac:dyDescent="0.2">
      <c r="A333" s="110">
        <v>43678</v>
      </c>
      <c r="B333" s="111">
        <v>373450</v>
      </c>
      <c r="C333" s="111">
        <v>521833</v>
      </c>
      <c r="D333" s="111">
        <v>31270</v>
      </c>
      <c r="E333" s="111">
        <v>22432</v>
      </c>
      <c r="F333" s="111">
        <v>65328</v>
      </c>
      <c r="G333" s="111">
        <v>7572</v>
      </c>
      <c r="H333" s="111">
        <v>10082</v>
      </c>
      <c r="I333" s="111">
        <v>65333</v>
      </c>
      <c r="J333" s="111">
        <v>416233</v>
      </c>
      <c r="K333" s="111">
        <v>42783</v>
      </c>
      <c r="L333" s="111">
        <v>60073</v>
      </c>
      <c r="M333" s="111">
        <v>28414</v>
      </c>
      <c r="N333" s="111">
        <v>11199</v>
      </c>
      <c r="O333" s="111">
        <v>105600</v>
      </c>
      <c r="P333" s="111">
        <v>64972</v>
      </c>
      <c r="Q333" s="111">
        <v>6775</v>
      </c>
    </row>
    <row r="334" spans="1:17" x14ac:dyDescent="0.2">
      <c r="A334" s="110">
        <v>43709</v>
      </c>
      <c r="B334" s="111">
        <v>372355</v>
      </c>
      <c r="C334" s="111">
        <v>518605</v>
      </c>
      <c r="D334" s="111">
        <v>30806</v>
      </c>
      <c r="E334" s="111">
        <v>22415</v>
      </c>
      <c r="F334" s="111">
        <v>64871</v>
      </c>
      <c r="G334" s="111">
        <v>7618</v>
      </c>
      <c r="H334" s="111">
        <v>10177</v>
      </c>
      <c r="I334" s="111">
        <v>65756</v>
      </c>
      <c r="J334" s="111">
        <v>414893</v>
      </c>
      <c r="K334" s="111">
        <v>42538</v>
      </c>
      <c r="L334" s="111">
        <v>59589</v>
      </c>
      <c r="M334" s="111">
        <v>28434</v>
      </c>
      <c r="N334" s="111">
        <v>11208</v>
      </c>
      <c r="O334" s="111">
        <v>103712</v>
      </c>
      <c r="P334" s="111">
        <v>64658</v>
      </c>
      <c r="Q334" s="111">
        <v>6823</v>
      </c>
    </row>
    <row r="335" spans="1:17" x14ac:dyDescent="0.2">
      <c r="A335" s="110">
        <v>43739</v>
      </c>
      <c r="B335" s="111">
        <v>373751</v>
      </c>
      <c r="C335" s="111">
        <v>521114</v>
      </c>
      <c r="D335" s="111">
        <v>31118</v>
      </c>
      <c r="E335" s="111">
        <v>22400</v>
      </c>
      <c r="F335" s="111">
        <v>64915</v>
      </c>
      <c r="G335" s="111">
        <v>7446</v>
      </c>
      <c r="H335" s="111">
        <v>10120</v>
      </c>
      <c r="I335" s="111">
        <v>65628</v>
      </c>
      <c r="J335" s="111">
        <v>417017</v>
      </c>
      <c r="K335" s="111">
        <v>43266</v>
      </c>
      <c r="L335" s="111">
        <v>59869</v>
      </c>
      <c r="M335" s="111">
        <v>28718</v>
      </c>
      <c r="N335" s="111">
        <v>11397</v>
      </c>
      <c r="O335" s="111">
        <v>104097</v>
      </c>
      <c r="P335" s="111">
        <v>65294</v>
      </c>
      <c r="Q335" s="111">
        <v>6846</v>
      </c>
    </row>
    <row r="336" spans="1:17" x14ac:dyDescent="0.2">
      <c r="A336" s="110">
        <v>43770</v>
      </c>
      <c r="B336" s="111">
        <v>372985</v>
      </c>
      <c r="C336" s="111">
        <v>522805</v>
      </c>
      <c r="D336" s="111">
        <v>31312</v>
      </c>
      <c r="E336" s="111">
        <v>22272</v>
      </c>
      <c r="F336" s="111">
        <v>65212</v>
      </c>
      <c r="G336" s="111">
        <v>7514</v>
      </c>
      <c r="H336" s="111">
        <v>10219</v>
      </c>
      <c r="I336" s="111">
        <v>65147</v>
      </c>
      <c r="J336" s="111">
        <v>416225</v>
      </c>
      <c r="K336" s="111">
        <v>43240</v>
      </c>
      <c r="L336" s="111">
        <v>59958</v>
      </c>
      <c r="M336" s="111">
        <v>28499</v>
      </c>
      <c r="N336" s="111">
        <v>11445</v>
      </c>
      <c r="O336" s="111">
        <v>106580</v>
      </c>
      <c r="P336" s="111">
        <v>64774</v>
      </c>
      <c r="Q336" s="111">
        <v>6633</v>
      </c>
    </row>
    <row r="337" spans="1:17" x14ac:dyDescent="0.2">
      <c r="A337" s="110">
        <v>43800</v>
      </c>
      <c r="B337" s="111">
        <v>374946</v>
      </c>
      <c r="C337" s="111">
        <v>523862</v>
      </c>
      <c r="D337" s="111">
        <v>31952</v>
      </c>
      <c r="E337" s="111">
        <v>22941</v>
      </c>
      <c r="F337" s="111">
        <v>65676</v>
      </c>
      <c r="G337" s="111">
        <v>7497</v>
      </c>
      <c r="H337" s="111">
        <v>9990</v>
      </c>
      <c r="I337" s="111">
        <v>65807</v>
      </c>
      <c r="J337" s="111">
        <v>419039</v>
      </c>
      <c r="K337" s="111">
        <v>44093</v>
      </c>
      <c r="L337" s="111">
        <v>60259</v>
      </c>
      <c r="M337" s="111">
        <v>28359</v>
      </c>
      <c r="N337" s="111">
        <v>11211</v>
      </c>
      <c r="O337" s="111">
        <v>104823</v>
      </c>
      <c r="P337" s="111">
        <v>64552</v>
      </c>
      <c r="Q337" s="111">
        <v>6702</v>
      </c>
    </row>
    <row r="338" spans="1:17" x14ac:dyDescent="0.2">
      <c r="A338" s="110">
        <v>43831</v>
      </c>
      <c r="B338" s="111">
        <v>378573</v>
      </c>
      <c r="C338" s="111">
        <v>526930</v>
      </c>
      <c r="D338" s="111">
        <v>32920</v>
      </c>
      <c r="E338" s="111">
        <v>22914</v>
      </c>
      <c r="F338" s="111">
        <v>65321</v>
      </c>
      <c r="G338" s="111">
        <v>7467</v>
      </c>
      <c r="H338" s="111">
        <v>10475</v>
      </c>
      <c r="I338" s="111">
        <v>66344</v>
      </c>
      <c r="J338" s="111">
        <v>421768</v>
      </c>
      <c r="K338" s="111">
        <v>43195</v>
      </c>
      <c r="L338" s="111">
        <v>60594</v>
      </c>
      <c r="M338" s="111">
        <v>28872</v>
      </c>
      <c r="N338" s="111">
        <v>11667</v>
      </c>
      <c r="O338" s="111">
        <v>105162</v>
      </c>
      <c r="P338" s="111">
        <v>65240</v>
      </c>
      <c r="Q338" s="111">
        <v>6759</v>
      </c>
    </row>
    <row r="339" spans="1:17" x14ac:dyDescent="0.2">
      <c r="A339" s="110">
        <v>43862</v>
      </c>
      <c r="B339" s="111">
        <v>378665</v>
      </c>
      <c r="C339" s="111">
        <v>525810</v>
      </c>
      <c r="D339" s="111">
        <v>32904</v>
      </c>
      <c r="E339" s="111">
        <v>22560</v>
      </c>
      <c r="F339" s="111">
        <v>65326</v>
      </c>
      <c r="G339" s="111">
        <v>7381</v>
      </c>
      <c r="H339" s="111">
        <v>10456</v>
      </c>
      <c r="I339" s="111">
        <v>66200</v>
      </c>
      <c r="J339" s="111">
        <v>420290</v>
      </c>
      <c r="K339" s="111">
        <v>41625</v>
      </c>
      <c r="L339" s="111">
        <v>60699</v>
      </c>
      <c r="M339" s="111">
        <v>29064</v>
      </c>
      <c r="N339" s="111">
        <v>11706</v>
      </c>
      <c r="O339" s="111">
        <v>105520</v>
      </c>
      <c r="P339" s="111">
        <v>65600</v>
      </c>
      <c r="Q339" s="111">
        <v>6769</v>
      </c>
    </row>
    <row r="340" spans="1:17" x14ac:dyDescent="0.2">
      <c r="A340" s="110">
        <v>43891</v>
      </c>
      <c r="B340" s="111">
        <v>367684</v>
      </c>
      <c r="C340" s="111">
        <v>480407</v>
      </c>
      <c r="D340" s="111">
        <v>32810</v>
      </c>
      <c r="E340" s="111">
        <v>11494</v>
      </c>
      <c r="F340" s="111">
        <v>82743</v>
      </c>
      <c r="G340" s="111">
        <v>6135</v>
      </c>
      <c r="H340" s="111">
        <v>8225</v>
      </c>
      <c r="I340" s="111">
        <v>46126</v>
      </c>
      <c r="J340" s="111">
        <v>402361</v>
      </c>
      <c r="K340" s="111">
        <v>34677</v>
      </c>
      <c r="L340" s="111">
        <v>65710</v>
      </c>
      <c r="M340" s="111">
        <v>30492</v>
      </c>
      <c r="N340" s="111">
        <v>9874</v>
      </c>
      <c r="O340" s="111">
        <v>78046</v>
      </c>
      <c r="P340" s="111">
        <v>68433</v>
      </c>
      <c r="Q340" s="111">
        <v>5642</v>
      </c>
    </row>
    <row r="341" spans="1:17" x14ac:dyDescent="0.2">
      <c r="A341" s="110">
        <v>43922</v>
      </c>
      <c r="B341" s="111">
        <v>315490</v>
      </c>
      <c r="C341" s="111">
        <v>409819</v>
      </c>
      <c r="D341" s="111">
        <v>32184</v>
      </c>
      <c r="E341" s="111">
        <v>2836</v>
      </c>
      <c r="F341" s="111">
        <v>72048</v>
      </c>
      <c r="G341" s="111">
        <v>3527</v>
      </c>
      <c r="H341" s="111">
        <v>4160</v>
      </c>
      <c r="I341" s="111">
        <v>29927</v>
      </c>
      <c r="J341" s="111">
        <v>341621</v>
      </c>
      <c r="K341" s="111">
        <v>26131</v>
      </c>
      <c r="L341" s="111">
        <v>57089</v>
      </c>
      <c r="M341" s="111">
        <v>25958</v>
      </c>
      <c r="N341" s="111">
        <v>7361</v>
      </c>
      <c r="O341" s="111">
        <v>68198</v>
      </c>
      <c r="P341" s="111">
        <v>76629</v>
      </c>
      <c r="Q341" s="111">
        <v>3771</v>
      </c>
    </row>
    <row r="342" spans="1:17" x14ac:dyDescent="0.2">
      <c r="A342" s="110">
        <v>43952</v>
      </c>
      <c r="B342" s="111">
        <v>353737</v>
      </c>
      <c r="C342" s="111">
        <v>484295</v>
      </c>
      <c r="D342" s="111">
        <v>35951</v>
      </c>
      <c r="E342" s="111">
        <v>8394</v>
      </c>
      <c r="F342" s="111">
        <v>73702</v>
      </c>
      <c r="G342" s="111">
        <v>4272</v>
      </c>
      <c r="H342" s="111">
        <v>7349</v>
      </c>
      <c r="I342" s="111">
        <v>39664</v>
      </c>
      <c r="J342" s="111">
        <v>383353</v>
      </c>
      <c r="K342" s="111">
        <v>29616</v>
      </c>
      <c r="L342" s="111">
        <v>61069</v>
      </c>
      <c r="M342" s="111">
        <v>26251</v>
      </c>
      <c r="N342" s="111">
        <v>8897</v>
      </c>
      <c r="O342" s="111">
        <v>100942</v>
      </c>
      <c r="P342" s="111">
        <v>81508</v>
      </c>
      <c r="Q342" s="111">
        <v>6680</v>
      </c>
    </row>
    <row r="343" spans="1:17" x14ac:dyDescent="0.2">
      <c r="A343" s="110">
        <v>43983</v>
      </c>
      <c r="B343" s="111">
        <v>381322</v>
      </c>
      <c r="C343" s="111">
        <v>526187</v>
      </c>
      <c r="D343" s="111">
        <v>36366</v>
      </c>
      <c r="E343" s="111">
        <v>17361</v>
      </c>
      <c r="F343" s="111">
        <v>72511</v>
      </c>
      <c r="G343" s="111">
        <v>6004</v>
      </c>
      <c r="H343" s="111">
        <v>10104</v>
      </c>
      <c r="I343" s="111">
        <v>50464</v>
      </c>
      <c r="J343" s="111">
        <v>415613</v>
      </c>
      <c r="K343" s="111">
        <v>34291</v>
      </c>
      <c r="L343" s="111">
        <v>62024</v>
      </c>
      <c r="M343" s="111">
        <v>28336</v>
      </c>
      <c r="N343" s="111">
        <v>11000</v>
      </c>
      <c r="O343" s="111">
        <v>110574</v>
      </c>
      <c r="P343" s="111">
        <v>78600</v>
      </c>
      <c r="Q343" s="111">
        <v>8552</v>
      </c>
    </row>
    <row r="344" spans="1:17" x14ac:dyDescent="0.2">
      <c r="A344" s="110">
        <v>44013</v>
      </c>
      <c r="B344" s="111">
        <v>388073</v>
      </c>
      <c r="C344" s="111">
        <v>533517</v>
      </c>
      <c r="D344" s="111">
        <v>35906</v>
      </c>
      <c r="E344" s="111">
        <v>18067</v>
      </c>
      <c r="F344" s="111">
        <v>72715</v>
      </c>
      <c r="G344" s="111">
        <v>6981</v>
      </c>
      <c r="H344" s="111">
        <v>10346</v>
      </c>
      <c r="I344" s="111">
        <v>52214</v>
      </c>
      <c r="J344" s="111">
        <v>424069</v>
      </c>
      <c r="K344" s="111">
        <v>35996</v>
      </c>
      <c r="L344" s="111">
        <v>61745</v>
      </c>
      <c r="M344" s="111">
        <v>29811</v>
      </c>
      <c r="N344" s="111">
        <v>11505</v>
      </c>
      <c r="O344" s="111">
        <v>109448</v>
      </c>
      <c r="P344" s="111">
        <v>80675</v>
      </c>
      <c r="Q344" s="111">
        <v>8108</v>
      </c>
    </row>
    <row r="345" spans="1:17" x14ac:dyDescent="0.2">
      <c r="A345" s="110">
        <v>44044</v>
      </c>
      <c r="B345" s="111">
        <v>391638</v>
      </c>
      <c r="C345" s="111">
        <v>537720</v>
      </c>
      <c r="D345" s="111">
        <v>36714</v>
      </c>
      <c r="E345" s="111">
        <v>18578</v>
      </c>
      <c r="F345" s="111">
        <v>71772</v>
      </c>
      <c r="G345" s="111">
        <v>6986</v>
      </c>
      <c r="H345" s="111">
        <v>10812</v>
      </c>
      <c r="I345" s="111">
        <v>54558</v>
      </c>
      <c r="J345" s="111">
        <v>428004</v>
      </c>
      <c r="K345" s="111">
        <v>36366</v>
      </c>
      <c r="L345" s="111">
        <v>61165</v>
      </c>
      <c r="M345" s="111">
        <v>29599</v>
      </c>
      <c r="N345" s="111">
        <v>11744</v>
      </c>
      <c r="O345" s="111">
        <v>109716</v>
      </c>
      <c r="P345" s="111">
        <v>82184</v>
      </c>
      <c r="Q345" s="111">
        <v>7526</v>
      </c>
    </row>
    <row r="346" spans="1:17" x14ac:dyDescent="0.2">
      <c r="A346" s="110">
        <v>44075</v>
      </c>
      <c r="B346" s="111">
        <v>398145</v>
      </c>
      <c r="C346" s="111">
        <v>549528</v>
      </c>
      <c r="D346" s="111">
        <v>36676</v>
      </c>
      <c r="E346" s="111">
        <v>21411</v>
      </c>
      <c r="F346" s="111">
        <v>71774</v>
      </c>
      <c r="G346" s="111">
        <v>6886</v>
      </c>
      <c r="H346" s="111">
        <v>10843</v>
      </c>
      <c r="I346" s="111">
        <v>56201</v>
      </c>
      <c r="J346" s="111">
        <v>435154</v>
      </c>
      <c r="K346" s="111">
        <v>37009</v>
      </c>
      <c r="L346" s="111">
        <v>63585</v>
      </c>
      <c r="M346" s="111">
        <v>29972</v>
      </c>
      <c r="N346" s="111">
        <v>11862</v>
      </c>
      <c r="O346" s="111">
        <v>114374</v>
      </c>
      <c r="P346" s="111">
        <v>80808</v>
      </c>
      <c r="Q346" s="111">
        <v>8127</v>
      </c>
    </row>
    <row r="347" spans="1:17" x14ac:dyDescent="0.2">
      <c r="A347" s="110">
        <v>44105</v>
      </c>
      <c r="B347" s="111">
        <v>398597</v>
      </c>
      <c r="C347" s="111">
        <v>550038</v>
      </c>
      <c r="D347" s="111">
        <v>36685</v>
      </c>
      <c r="E347" s="111">
        <v>20766</v>
      </c>
      <c r="F347" s="111">
        <v>71191</v>
      </c>
      <c r="G347" s="111">
        <v>7114</v>
      </c>
      <c r="H347" s="111">
        <v>10864</v>
      </c>
      <c r="I347" s="111">
        <v>56047</v>
      </c>
      <c r="J347" s="111">
        <v>435791</v>
      </c>
      <c r="K347" s="111">
        <v>37194</v>
      </c>
      <c r="L347" s="111">
        <v>62745</v>
      </c>
      <c r="M347" s="111">
        <v>29941</v>
      </c>
      <c r="N347" s="111">
        <v>11923</v>
      </c>
      <c r="O347" s="111">
        <v>114247</v>
      </c>
      <c r="P347" s="111">
        <v>83295</v>
      </c>
      <c r="Q347" s="111">
        <v>8026</v>
      </c>
    </row>
    <row r="348" spans="1:17" x14ac:dyDescent="0.2">
      <c r="A348" s="110">
        <v>44136</v>
      </c>
      <c r="B348" s="111">
        <v>393908</v>
      </c>
      <c r="C348" s="111">
        <v>542583</v>
      </c>
      <c r="D348" s="111">
        <v>37002</v>
      </c>
      <c r="E348" s="111">
        <v>19609</v>
      </c>
      <c r="F348" s="111">
        <v>72198</v>
      </c>
      <c r="G348" s="111">
        <v>6851</v>
      </c>
      <c r="H348" s="111">
        <v>10705</v>
      </c>
      <c r="I348" s="111">
        <v>53931</v>
      </c>
      <c r="J348" s="111">
        <v>430381</v>
      </c>
      <c r="K348" s="111">
        <v>36473</v>
      </c>
      <c r="L348" s="111">
        <v>61878</v>
      </c>
      <c r="M348" s="111">
        <v>29550</v>
      </c>
      <c r="N348" s="111">
        <v>12017</v>
      </c>
      <c r="O348" s="111">
        <v>112202</v>
      </c>
      <c r="P348" s="111">
        <v>82280</v>
      </c>
      <c r="Q348" s="111">
        <v>7887</v>
      </c>
    </row>
    <row r="349" spans="1:17" x14ac:dyDescent="0.2">
      <c r="A349" s="110">
        <v>44166</v>
      </c>
      <c r="B349" s="111">
        <v>382427</v>
      </c>
      <c r="C349" s="111">
        <v>535972</v>
      </c>
      <c r="D349" s="111">
        <v>37099</v>
      </c>
      <c r="E349" s="111">
        <v>20095</v>
      </c>
      <c r="F349" s="111">
        <v>71382</v>
      </c>
      <c r="G349" s="111">
        <v>6456</v>
      </c>
      <c r="H349" s="111">
        <v>10621</v>
      </c>
      <c r="I349" s="111">
        <v>51190</v>
      </c>
      <c r="J349" s="111">
        <v>421525</v>
      </c>
      <c r="K349" s="111">
        <v>39098</v>
      </c>
      <c r="L349" s="111">
        <v>60777</v>
      </c>
      <c r="M349" s="111">
        <v>29929</v>
      </c>
      <c r="N349" s="111">
        <v>12667</v>
      </c>
      <c r="O349" s="111">
        <v>114447</v>
      </c>
      <c r="P349" s="111">
        <v>74474</v>
      </c>
      <c r="Q349" s="111">
        <v>7737</v>
      </c>
    </row>
    <row r="350" spans="1:17" x14ac:dyDescent="0.2">
      <c r="A350" s="110">
        <v>44197</v>
      </c>
      <c r="B350" s="111">
        <v>415492</v>
      </c>
      <c r="C350" s="111">
        <v>576466</v>
      </c>
      <c r="D350" s="111">
        <v>39996</v>
      </c>
      <c r="E350" s="111">
        <v>21351</v>
      </c>
      <c r="F350" s="111">
        <v>72730</v>
      </c>
      <c r="G350" s="111">
        <v>7525</v>
      </c>
      <c r="H350" s="111">
        <v>12098</v>
      </c>
      <c r="I350" s="111">
        <v>56304</v>
      </c>
      <c r="J350" s="111">
        <v>456387</v>
      </c>
      <c r="K350" s="111">
        <v>40895</v>
      </c>
      <c r="L350" s="111">
        <v>66933</v>
      </c>
      <c r="M350" s="111">
        <v>30204</v>
      </c>
      <c r="N350" s="111">
        <v>12744</v>
      </c>
      <c r="O350" s="111">
        <v>120079</v>
      </c>
      <c r="P350" s="111">
        <v>87028</v>
      </c>
      <c r="Q350" s="111">
        <v>8579</v>
      </c>
    </row>
    <row r="351" spans="1:17" x14ac:dyDescent="0.2">
      <c r="A351" s="110">
        <v>44228</v>
      </c>
      <c r="B351" s="111">
        <v>402025</v>
      </c>
      <c r="C351" s="111">
        <v>559970</v>
      </c>
      <c r="D351" s="111">
        <v>38082</v>
      </c>
      <c r="E351" s="111">
        <v>20180</v>
      </c>
      <c r="F351" s="111">
        <v>72343</v>
      </c>
      <c r="G351" s="111">
        <v>7089</v>
      </c>
      <c r="H351" s="111">
        <v>11471</v>
      </c>
      <c r="I351" s="111">
        <v>55512</v>
      </c>
      <c r="J351" s="111">
        <v>444228</v>
      </c>
      <c r="K351" s="111">
        <v>42203</v>
      </c>
      <c r="L351" s="111">
        <v>62909</v>
      </c>
      <c r="M351" s="111">
        <v>29691</v>
      </c>
      <c r="N351" s="111">
        <v>12394</v>
      </c>
      <c r="O351" s="111">
        <v>115742</v>
      </c>
      <c r="P351" s="111">
        <v>84324</v>
      </c>
      <c r="Q351" s="111">
        <v>8030</v>
      </c>
    </row>
    <row r="352" spans="1:17" x14ac:dyDescent="0.2">
      <c r="A352" s="110">
        <v>44256</v>
      </c>
      <c r="B352" s="111">
        <v>441234</v>
      </c>
      <c r="C352" s="111">
        <v>623119</v>
      </c>
      <c r="D352" s="111">
        <v>43458</v>
      </c>
      <c r="E352" s="111">
        <v>25012</v>
      </c>
      <c r="F352" s="111">
        <v>72955</v>
      </c>
      <c r="G352" s="111">
        <v>8339</v>
      </c>
      <c r="H352" s="111">
        <v>12414</v>
      </c>
      <c r="I352" s="111">
        <v>63248</v>
      </c>
      <c r="J352" s="111">
        <v>487687</v>
      </c>
      <c r="K352" s="111">
        <v>46453</v>
      </c>
      <c r="L352" s="111">
        <v>71164</v>
      </c>
      <c r="M352" s="111">
        <v>32081</v>
      </c>
      <c r="N352" s="111">
        <v>13746</v>
      </c>
      <c r="O352" s="111">
        <v>135432</v>
      </c>
      <c r="P352" s="111">
        <v>88886</v>
      </c>
      <c r="Q352" s="111">
        <v>9931</v>
      </c>
    </row>
    <row r="353" spans="1:17" x14ac:dyDescent="0.2">
      <c r="A353" s="110">
        <v>44287</v>
      </c>
      <c r="B353" s="111">
        <v>441556</v>
      </c>
      <c r="C353" s="111">
        <v>628751</v>
      </c>
      <c r="D353" s="111">
        <v>42042</v>
      </c>
      <c r="E353" s="111">
        <v>24660</v>
      </c>
      <c r="F353" s="111">
        <v>73492</v>
      </c>
      <c r="G353" s="111">
        <v>8446</v>
      </c>
      <c r="H353" s="111">
        <v>12551</v>
      </c>
      <c r="I353" s="111">
        <v>66482</v>
      </c>
      <c r="J353" s="111">
        <v>487364</v>
      </c>
      <c r="K353" s="111">
        <v>45808</v>
      </c>
      <c r="L353" s="111">
        <v>69437</v>
      </c>
      <c r="M353" s="111">
        <v>32113</v>
      </c>
      <c r="N353" s="111">
        <v>13609</v>
      </c>
      <c r="O353" s="111">
        <v>141387</v>
      </c>
      <c r="P353" s="111">
        <v>88975</v>
      </c>
      <c r="Q353" s="111">
        <v>9749</v>
      </c>
    </row>
    <row r="354" spans="1:17" x14ac:dyDescent="0.2">
      <c r="A354" s="110">
        <v>44317</v>
      </c>
      <c r="B354" s="111">
        <v>438636</v>
      </c>
      <c r="C354" s="111">
        <v>620119</v>
      </c>
      <c r="D354" s="111">
        <v>39648</v>
      </c>
      <c r="E354" s="111">
        <v>25586</v>
      </c>
      <c r="F354" s="111">
        <v>74349</v>
      </c>
      <c r="G354" s="111">
        <v>8228</v>
      </c>
      <c r="H354" s="111">
        <v>12286</v>
      </c>
      <c r="I354" s="111">
        <v>69338</v>
      </c>
      <c r="J354" s="111">
        <v>485272</v>
      </c>
      <c r="K354" s="111">
        <v>46636</v>
      </c>
      <c r="L354" s="111">
        <v>67394</v>
      </c>
      <c r="M354" s="111">
        <v>31138</v>
      </c>
      <c r="N354" s="111">
        <v>13169</v>
      </c>
      <c r="O354" s="111">
        <v>134847</v>
      </c>
      <c r="P354" s="111">
        <v>87917</v>
      </c>
      <c r="Q354" s="111">
        <v>9583</v>
      </c>
    </row>
    <row r="355" spans="1:17" x14ac:dyDescent="0.2">
      <c r="A355" s="110">
        <v>44348</v>
      </c>
      <c r="B355" s="111">
        <v>445079</v>
      </c>
      <c r="C355" s="111">
        <v>625405</v>
      </c>
      <c r="D355" s="111">
        <v>39095</v>
      </c>
      <c r="E355" s="111">
        <v>26464</v>
      </c>
      <c r="F355" s="111">
        <v>75073</v>
      </c>
      <c r="G355" s="111">
        <v>8593</v>
      </c>
      <c r="H355" s="111">
        <v>12093</v>
      </c>
      <c r="I355" s="111">
        <v>71017</v>
      </c>
      <c r="J355" s="111">
        <v>493387</v>
      </c>
      <c r="K355" s="111">
        <v>48308</v>
      </c>
      <c r="L355" s="111">
        <v>68999</v>
      </c>
      <c r="M355" s="111">
        <v>32559</v>
      </c>
      <c r="N355" s="111">
        <v>13734</v>
      </c>
      <c r="O355" s="111">
        <v>132018</v>
      </c>
      <c r="P355" s="111">
        <v>88003</v>
      </c>
      <c r="Q355" s="111">
        <v>9449</v>
      </c>
    </row>
    <row r="356" spans="1:17" x14ac:dyDescent="0.2">
      <c r="A356" s="110">
        <v>44378</v>
      </c>
      <c r="B356" s="111">
        <v>439055</v>
      </c>
      <c r="C356" s="111">
        <v>614313</v>
      </c>
      <c r="D356" s="111">
        <v>38690</v>
      </c>
      <c r="E356" s="111">
        <v>25761</v>
      </c>
      <c r="F356" s="111">
        <v>74455</v>
      </c>
      <c r="G356" s="111">
        <v>8511</v>
      </c>
      <c r="H356" s="111">
        <v>12049</v>
      </c>
      <c r="I356" s="111">
        <v>71962</v>
      </c>
      <c r="J356" s="111">
        <v>488324</v>
      </c>
      <c r="K356" s="111">
        <v>49269</v>
      </c>
      <c r="L356" s="111">
        <v>68311</v>
      </c>
      <c r="M356" s="111">
        <v>32312</v>
      </c>
      <c r="N356" s="111">
        <v>13809</v>
      </c>
      <c r="O356" s="111">
        <v>125989</v>
      </c>
      <c r="P356" s="111">
        <v>83926</v>
      </c>
      <c r="Q356" s="111">
        <v>9269</v>
      </c>
    </row>
    <row r="357" spans="1:17" x14ac:dyDescent="0.2">
      <c r="A357" s="110">
        <v>44409</v>
      </c>
      <c r="B357" s="111">
        <v>447822</v>
      </c>
      <c r="C357" s="111">
        <v>618676</v>
      </c>
      <c r="D357" s="111">
        <v>39024</v>
      </c>
      <c r="E357" s="111">
        <v>25795</v>
      </c>
      <c r="F357" s="111">
        <v>75832</v>
      </c>
      <c r="G357" s="111">
        <v>8251</v>
      </c>
      <c r="H357" s="111">
        <v>12495</v>
      </c>
      <c r="I357" s="111">
        <v>71984</v>
      </c>
      <c r="J357" s="111">
        <v>497178</v>
      </c>
      <c r="K357" s="111">
        <v>49356</v>
      </c>
      <c r="L357" s="111">
        <v>70670</v>
      </c>
      <c r="M357" s="111">
        <v>32374</v>
      </c>
      <c r="N357" s="111">
        <v>13998</v>
      </c>
      <c r="O357" s="111">
        <v>121498</v>
      </c>
      <c r="P357" s="111">
        <v>88381</v>
      </c>
      <c r="Q357" s="111">
        <v>9018</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rgb="FFFF0000"/>
  </sheetPr>
  <dimension ref="B1:J22"/>
  <sheetViews>
    <sheetView zoomScale="130" zoomScaleNormal="130" workbookViewId="0">
      <selection activeCell="J32" sqref="J32"/>
    </sheetView>
  </sheetViews>
  <sheetFormatPr baseColWidth="10" defaultColWidth="9.1640625" defaultRowHeight="15" x14ac:dyDescent="0.2"/>
  <cols>
    <col min="1" max="1" width="5.83203125" style="1" customWidth="1"/>
    <col min="2" max="2" width="14.6640625" style="1" customWidth="1"/>
    <col min="3" max="3" width="63.1640625" style="1" customWidth="1"/>
    <col min="4" max="4" width="16.33203125" style="1" bestFit="1" customWidth="1"/>
    <col min="5" max="8" width="16.33203125" style="1" customWidth="1"/>
    <col min="9" max="9" width="21.83203125" style="1" customWidth="1"/>
    <col min="10" max="10" width="52.33203125" style="1" customWidth="1"/>
    <col min="11" max="12" width="9.1640625" style="1"/>
    <col min="13" max="13" width="9.83203125" style="1" customWidth="1"/>
    <col min="14" max="16384" width="9.1640625" style="1"/>
  </cols>
  <sheetData>
    <row r="1" spans="2:10" ht="16" thickBot="1" x14ac:dyDescent="0.25"/>
    <row r="2" spans="2:10" x14ac:dyDescent="0.2">
      <c r="D2" s="6" t="s">
        <v>17</v>
      </c>
      <c r="E2" s="8">
        <f>DATE(YEAR(E3),MONTH(E3)-1,DAY(E3))</f>
        <v>44378</v>
      </c>
    </row>
    <row r="3" spans="2:10" ht="16" thickBot="1" x14ac:dyDescent="0.25">
      <c r="D3" s="7" t="s">
        <v>18</v>
      </c>
      <c r="E3" s="9">
        <v>44409</v>
      </c>
      <c r="F3" s="10" t="s">
        <v>87</v>
      </c>
    </row>
    <row r="5" spans="2:10" ht="16" thickBot="1" x14ac:dyDescent="0.25"/>
    <row r="6" spans="2:10" ht="21" customHeight="1" thickBot="1" x14ac:dyDescent="0.3">
      <c r="B6" s="88" t="s">
        <v>78</v>
      </c>
      <c r="C6" s="89" t="s">
        <v>79</v>
      </c>
      <c r="D6" s="89" t="s">
        <v>17</v>
      </c>
      <c r="E6" s="89" t="s">
        <v>18</v>
      </c>
      <c r="F6" s="89" t="s">
        <v>56</v>
      </c>
      <c r="G6" s="89" t="s">
        <v>83</v>
      </c>
      <c r="H6" s="89" t="s">
        <v>77</v>
      </c>
      <c r="I6" s="89" t="s">
        <v>80</v>
      </c>
      <c r="J6" s="90" t="s">
        <v>81</v>
      </c>
    </row>
    <row r="7" spans="2:10" ht="25.5" customHeight="1" x14ac:dyDescent="0.25">
      <c r="B7" s="70"/>
      <c r="C7" s="71" t="s">
        <v>16</v>
      </c>
      <c r="D7" s="72">
        <f>VLOOKUP($E$2,'Retail Sales'!A:B,2,)</f>
        <v>614313</v>
      </c>
      <c r="E7" s="72">
        <f>VLOOKUP($E$3,'Retail Sales'!A:B,2,)</f>
        <v>618676</v>
      </c>
      <c r="F7" s="73">
        <f t="shared" ref="F7:F21" si="0">(E7-D7)/D7</f>
        <v>7.1022426678256853E-3</v>
      </c>
      <c r="G7" s="73">
        <f>VLOOKUP($E$3,'Retail Sales'!A:D,4,)</f>
        <v>0.15055419177266979</v>
      </c>
      <c r="H7" s="74"/>
      <c r="I7" s="75" t="s">
        <v>0</v>
      </c>
      <c r="J7" s="76" t="s">
        <v>7</v>
      </c>
    </row>
    <row r="8" spans="2:10" ht="25.5" customHeight="1" x14ac:dyDescent="0.25">
      <c r="B8" s="45"/>
      <c r="C8" s="40" t="s">
        <v>64</v>
      </c>
      <c r="D8" s="41">
        <f>VLOOKUP($E$2,'Retail Sales ex Auto'!A:B,2,)</f>
        <v>488324</v>
      </c>
      <c r="E8" s="41">
        <f>VLOOKUP($E$3,'Retail Sales ex Auto'!A:B,2,)</f>
        <v>497178</v>
      </c>
      <c r="F8" s="42">
        <f t="shared" si="0"/>
        <v>1.8131404559268028E-2</v>
      </c>
      <c r="G8" s="42">
        <f>VLOOKUP($E$3,'Retail Sales ex Auto'!A:D,4,)</f>
        <v>0.16161998485995457</v>
      </c>
      <c r="H8" s="5"/>
      <c r="I8" s="43" t="s">
        <v>58</v>
      </c>
      <c r="J8" s="46" t="s">
        <v>60</v>
      </c>
    </row>
    <row r="9" spans="2:10" ht="25.5" customHeight="1" x14ac:dyDescent="0.25">
      <c r="B9" s="45"/>
      <c r="C9" s="40" t="s">
        <v>63</v>
      </c>
      <c r="D9" s="41">
        <f>VLOOKUP($E$2,'Retail Sales ex Auto and Gas'!A:B,2,)</f>
        <v>439055</v>
      </c>
      <c r="E9" s="41">
        <f>VLOOKUP($E$3,'Retail Sales ex Auto and Gas'!A:B,2,)</f>
        <v>447822</v>
      </c>
      <c r="F9" s="42">
        <f t="shared" si="0"/>
        <v>1.996788557242259E-2</v>
      </c>
      <c r="G9" s="42">
        <f>VLOOKUP($E$3,'Retail Sales ex Auto and Gas'!A:D,4,)</f>
        <v>0.1434590106169473</v>
      </c>
      <c r="H9" s="5"/>
      <c r="I9" s="43" t="s">
        <v>57</v>
      </c>
      <c r="J9" s="46" t="s">
        <v>75</v>
      </c>
    </row>
    <row r="10" spans="2:10" ht="25.5" customHeight="1" x14ac:dyDescent="0.25">
      <c r="B10" s="47">
        <v>441</v>
      </c>
      <c r="C10" s="40" t="s">
        <v>121</v>
      </c>
      <c r="D10" s="41">
        <f>VLOOKUP($E$2,Motor!A:B,2,)</f>
        <v>125989</v>
      </c>
      <c r="E10" s="41">
        <f>VLOOKUP($E$3,Motor!A:B,2,)</f>
        <v>121498</v>
      </c>
      <c r="F10" s="42">
        <f t="shared" si="0"/>
        <v>-3.5645969092539823E-2</v>
      </c>
      <c r="G10" s="42">
        <f>VLOOKUP($E$3,Motor!A:D,4,)</f>
        <v>0.10738634292172518</v>
      </c>
      <c r="H10" s="55">
        <f>D10/$D$7</f>
        <v>0.20508926231416233</v>
      </c>
      <c r="I10" s="43" t="s">
        <v>33</v>
      </c>
      <c r="J10" s="46" t="s">
        <v>48</v>
      </c>
    </row>
    <row r="11" spans="2:10" ht="25.5" customHeight="1" x14ac:dyDescent="0.25">
      <c r="B11" s="47">
        <v>454</v>
      </c>
      <c r="C11" s="40" t="s">
        <v>104</v>
      </c>
      <c r="D11" s="41">
        <f>VLOOKUP($E$2,'Non Store Retail'!A:B,2,)</f>
        <v>83926</v>
      </c>
      <c r="E11" s="41">
        <f>VLOOKUP($E$3,'Non Store Retail'!A:B,2,)</f>
        <v>88381</v>
      </c>
      <c r="F11" s="42">
        <f t="shared" si="0"/>
        <v>5.3082477420584799E-2</v>
      </c>
      <c r="G11" s="42">
        <f>VLOOKUP($E$3,'Non Store Retail'!A:D,4,)</f>
        <v>7.5403971575975864E-2</v>
      </c>
      <c r="H11" s="55">
        <f t="shared" ref="H11:H21" si="1">D11/$D$7</f>
        <v>0.1366176525647349</v>
      </c>
      <c r="I11" s="43" t="s">
        <v>13</v>
      </c>
      <c r="J11" s="46" t="s">
        <v>42</v>
      </c>
    </row>
    <row r="12" spans="2:10" ht="25.5" customHeight="1" x14ac:dyDescent="0.25">
      <c r="B12" s="47">
        <v>445</v>
      </c>
      <c r="C12" s="40" t="s">
        <v>105</v>
      </c>
      <c r="D12" s="41">
        <f>VLOOKUP($E$2,'Food and Beverage'!A:B,2,)</f>
        <v>74455</v>
      </c>
      <c r="E12" s="41">
        <f>VLOOKUP($E$3,'Food and Beverage'!A:B,2,)</f>
        <v>75832</v>
      </c>
      <c r="F12" s="42">
        <f t="shared" si="0"/>
        <v>1.8494392586125848E-2</v>
      </c>
      <c r="G12" s="42">
        <f>VLOOKUP($E$3,'Food and Beverage'!A:D,4,)</f>
        <v>5.656802095524717E-2</v>
      </c>
      <c r="H12" s="55">
        <f t="shared" si="1"/>
        <v>0.1212004303994869</v>
      </c>
      <c r="I12" s="43" t="s">
        <v>11</v>
      </c>
      <c r="J12" s="46" t="s">
        <v>41</v>
      </c>
    </row>
    <row r="13" spans="2:10" ht="25.5" customHeight="1" x14ac:dyDescent="0.25">
      <c r="B13" s="47">
        <v>722</v>
      </c>
      <c r="C13" s="40" t="s">
        <v>106</v>
      </c>
      <c r="D13" s="41">
        <f>VLOOKUP($E$2,'Food Services'!A:B,2,)</f>
        <v>71962</v>
      </c>
      <c r="E13" s="41">
        <f>VLOOKUP($E$3,'Food Services'!A:B,2,)</f>
        <v>71984</v>
      </c>
      <c r="F13" s="42">
        <f t="shared" si="0"/>
        <v>3.057169061449098E-4</v>
      </c>
      <c r="G13" s="42">
        <f>VLOOKUP($E$3,'Food Services'!A:D,4,)</f>
        <v>0.31940320392976285</v>
      </c>
      <c r="H13" s="55">
        <f t="shared" si="1"/>
        <v>0.11714223856568232</v>
      </c>
      <c r="I13" s="43" t="s">
        <v>31</v>
      </c>
      <c r="J13" s="46" t="s">
        <v>46</v>
      </c>
    </row>
    <row r="14" spans="2:10" ht="25.5" customHeight="1" x14ac:dyDescent="0.25">
      <c r="B14" s="47">
        <v>452</v>
      </c>
      <c r="C14" s="40" t="s">
        <v>107</v>
      </c>
      <c r="D14" s="41">
        <f>VLOOKUP($E$2,'General Merchandising'!A:B,2,)</f>
        <v>68311</v>
      </c>
      <c r="E14" s="41">
        <f>VLOOKUP($E$3,'General Merchandising'!A:B,2,)</f>
        <v>70670</v>
      </c>
      <c r="F14" s="42">
        <f t="shared" si="0"/>
        <v>3.4533237692318954E-2</v>
      </c>
      <c r="G14" s="42">
        <f>VLOOKUP($E$3,'General Merchandising'!A:D,4,)</f>
        <v>0.15539932968200768</v>
      </c>
      <c r="H14" s="55">
        <f t="shared" si="1"/>
        <v>0.11119901418332348</v>
      </c>
      <c r="I14" s="43" t="s">
        <v>30</v>
      </c>
      <c r="J14" s="46" t="s">
        <v>45</v>
      </c>
    </row>
    <row r="15" spans="2:10" ht="25.5" customHeight="1" x14ac:dyDescent="0.25">
      <c r="B15" s="47">
        <v>447</v>
      </c>
      <c r="C15" s="40" t="s">
        <v>108</v>
      </c>
      <c r="D15" s="41">
        <f>VLOOKUP($E$2,'Gas Station'!A:B,2,)</f>
        <v>49269</v>
      </c>
      <c r="E15" s="41">
        <f>VLOOKUP($E$3,'Gas Station'!A:B,2,)</f>
        <v>49356</v>
      </c>
      <c r="F15" s="42">
        <f t="shared" si="0"/>
        <v>1.7658162333313036E-3</v>
      </c>
      <c r="G15" s="42">
        <f>VLOOKUP($E$3,'Gas Station'!A:D,4,)</f>
        <v>0.3572017818841775</v>
      </c>
      <c r="H15" s="55">
        <f t="shared" si="1"/>
        <v>8.0201786385767512E-2</v>
      </c>
      <c r="I15" s="43" t="s">
        <v>32</v>
      </c>
      <c r="J15" s="46" t="s">
        <v>47</v>
      </c>
    </row>
    <row r="16" spans="2:10" ht="25.5" customHeight="1" x14ac:dyDescent="0.25">
      <c r="B16" s="47">
        <v>444</v>
      </c>
      <c r="C16" s="40" t="s">
        <v>27</v>
      </c>
      <c r="D16" s="41">
        <f>VLOOKUP($E$2,Housing!A:B,2,)</f>
        <v>38690</v>
      </c>
      <c r="E16" s="41">
        <f>VLOOKUP($E$3,Housing!A:B,2,)</f>
        <v>39024</v>
      </c>
      <c r="F16" s="42">
        <f t="shared" si="0"/>
        <v>8.6327216334970269E-3</v>
      </c>
      <c r="G16" s="42">
        <f>VLOOKUP($E$3,Housing!A:D,4,)</f>
        <v>6.2918777578035628E-2</v>
      </c>
      <c r="H16" s="55">
        <f t="shared" si="1"/>
        <v>6.2980923405495243E-2</v>
      </c>
      <c r="I16" s="43" t="s">
        <v>34</v>
      </c>
      <c r="J16" s="46" t="s">
        <v>40</v>
      </c>
    </row>
    <row r="17" spans="2:10" ht="25.5" customHeight="1" x14ac:dyDescent="0.25">
      <c r="B17" s="47">
        <v>446</v>
      </c>
      <c r="C17" s="40" t="s">
        <v>21</v>
      </c>
      <c r="D17" s="41">
        <f>VLOOKUP($E$2,Health!A:B,2,)</f>
        <v>32312</v>
      </c>
      <c r="E17" s="41">
        <f>VLOOKUP($E$3,Health!A:B,2,)</f>
        <v>32374</v>
      </c>
      <c r="F17" s="42">
        <f t="shared" si="0"/>
        <v>1.9187917801435999E-3</v>
      </c>
      <c r="G17" s="42">
        <f>VLOOKUP($E$3,Health!A:D,4,)</f>
        <v>9.3753167336734347E-2</v>
      </c>
      <c r="H17" s="55">
        <f t="shared" si="1"/>
        <v>5.259859387641154E-2</v>
      </c>
      <c r="I17" s="43" t="s">
        <v>28</v>
      </c>
      <c r="J17" s="46" t="s">
        <v>43</v>
      </c>
    </row>
    <row r="18" spans="2:10" ht="25.5" customHeight="1" x14ac:dyDescent="0.25">
      <c r="B18" s="47">
        <v>448</v>
      </c>
      <c r="C18" s="40" t="s">
        <v>66</v>
      </c>
      <c r="D18" s="41">
        <f>VLOOKUP($E$2,'Clothing and clothing access'!A:B,2,0)</f>
        <v>25761</v>
      </c>
      <c r="E18" s="41">
        <f>VLOOKUP($E$3,'Clothing and clothing access'!A:B,2,)</f>
        <v>25795</v>
      </c>
      <c r="F18" s="42">
        <f t="shared" si="0"/>
        <v>1.3198245409727883E-3</v>
      </c>
      <c r="G18" s="42">
        <f>VLOOKUP($E$3,'Clothing and clothing access'!A:D,4,)</f>
        <v>0.38847023360964583</v>
      </c>
      <c r="H18" s="55">
        <f t="shared" si="1"/>
        <v>4.1934648949314111E-2</v>
      </c>
      <c r="I18" s="44" t="s">
        <v>70</v>
      </c>
      <c r="J18" s="48" t="s">
        <v>76</v>
      </c>
    </row>
    <row r="19" spans="2:10" ht="25.5" customHeight="1" x14ac:dyDescent="0.25">
      <c r="B19" s="47" t="s">
        <v>122</v>
      </c>
      <c r="C19" s="40" t="s">
        <v>65</v>
      </c>
      <c r="D19" s="41">
        <f>VLOOKUP($E$2,'Furniture Home'!A:B,2,)</f>
        <v>20560</v>
      </c>
      <c r="E19" s="41">
        <f>VLOOKUP($E$3,'Furniture Home'!A:B,2,)</f>
        <v>20746</v>
      </c>
      <c r="F19" s="42">
        <f t="shared" si="0"/>
        <v>9.0466926070038919E-3</v>
      </c>
      <c r="G19" s="42">
        <f>VLOOKUP($E$3,'Furniture Home'!A:D,4,)</f>
        <v>0.16563658838071693</v>
      </c>
      <c r="H19" s="55">
        <f t="shared" si="1"/>
        <v>3.346828082752603E-2</v>
      </c>
      <c r="I19" s="44" t="s">
        <v>68</v>
      </c>
      <c r="J19" s="48" t="s">
        <v>69</v>
      </c>
    </row>
    <row r="20" spans="2:10" ht="25.5" customHeight="1" x14ac:dyDescent="0.25">
      <c r="B20" s="47">
        <v>453</v>
      </c>
      <c r="C20" s="40" t="s">
        <v>67</v>
      </c>
      <c r="D20" s="41">
        <f>VLOOKUP($E$2,'Miscellaneous stores retailers'!A:B,2,)</f>
        <v>13809</v>
      </c>
      <c r="E20" s="41">
        <f>VLOOKUP($E$3,'Miscellaneous stores retailers'!A:B,2,)</f>
        <v>13998</v>
      </c>
      <c r="F20" s="42">
        <f t="shared" si="0"/>
        <v>1.3686726048229415E-2</v>
      </c>
      <c r="G20" s="42">
        <f>VLOOKUP($E$3,'Miscellaneous stores retailers'!A:D,4,)</f>
        <v>0.19192779291553133</v>
      </c>
      <c r="H20" s="55">
        <f t="shared" si="1"/>
        <v>2.2478768966308706E-2</v>
      </c>
      <c r="I20" s="44" t="s">
        <v>71</v>
      </c>
      <c r="J20" s="48" t="s">
        <v>72</v>
      </c>
    </row>
    <row r="21" spans="2:10" ht="25.5" customHeight="1" thickBot="1" x14ac:dyDescent="0.3">
      <c r="B21" s="49">
        <v>451</v>
      </c>
      <c r="C21" s="50" t="s">
        <v>22</v>
      </c>
      <c r="D21" s="51">
        <f>VLOOKUP($E$2,'Sporting Goods'!A:B,2,)</f>
        <v>9269</v>
      </c>
      <c r="E21" s="51">
        <f>VLOOKUP($E$3,'Sporting Goods'!A:B,2,)</f>
        <v>9018</v>
      </c>
      <c r="F21" s="52">
        <f t="shared" si="0"/>
        <v>-2.7079512353004639E-2</v>
      </c>
      <c r="G21" s="52">
        <f>VLOOKUP($E$3,'Sporting Goods'!A:D,4,)</f>
        <v>0.19824608025511559</v>
      </c>
      <c r="H21" s="56">
        <f t="shared" si="1"/>
        <v>1.5088399561786908E-2</v>
      </c>
      <c r="I21" s="58" t="s">
        <v>29</v>
      </c>
      <c r="J21" s="59" t="s">
        <v>44</v>
      </c>
    </row>
    <row r="22" spans="2:10" ht="25.5" customHeight="1" thickBot="1" x14ac:dyDescent="0.3">
      <c r="D22" s="53">
        <f>SUM(D10:D21)</f>
        <v>614313</v>
      </c>
      <c r="E22" s="54">
        <f>SUM(E10:E21)</f>
        <v>618676</v>
      </c>
      <c r="H22" s="57">
        <f>SUM(H10:H21)</f>
        <v>0.99999999999999989</v>
      </c>
    </row>
  </sheetData>
  <sortState xmlns:xlrd2="http://schemas.microsoft.com/office/spreadsheetml/2017/richdata2" ref="B10:J21">
    <sortCondition descending="1" ref="H10:H21"/>
  </sortState>
  <conditionalFormatting sqref="F7:H9 F18 G18:G21 F10:G17">
    <cfRule type="cellIs" dxfId="62" priority="15" stopIfTrue="1" operator="equal">
      <formula>0</formula>
    </cfRule>
    <cfRule type="cellIs" dxfId="61" priority="16" stopIfTrue="1" operator="lessThan">
      <formula>0</formula>
    </cfRule>
    <cfRule type="cellIs" dxfId="60" priority="17" stopIfTrue="1" operator="greaterThan">
      <formula>0</formula>
    </cfRule>
  </conditionalFormatting>
  <conditionalFormatting sqref="F19">
    <cfRule type="cellIs" dxfId="59" priority="9" stopIfTrue="1" operator="equal">
      <formula>0</formula>
    </cfRule>
    <cfRule type="cellIs" dxfId="58" priority="10" stopIfTrue="1" operator="lessThan">
      <formula>0</formula>
    </cfRule>
    <cfRule type="cellIs" dxfId="57" priority="11" stopIfTrue="1" operator="greaterThan">
      <formula>0</formula>
    </cfRule>
  </conditionalFormatting>
  <conditionalFormatting sqref="F20">
    <cfRule type="cellIs" dxfId="56" priority="6" stopIfTrue="1" operator="equal">
      <formula>0</formula>
    </cfRule>
    <cfRule type="cellIs" dxfId="55" priority="7" stopIfTrue="1" operator="lessThan">
      <formula>0</formula>
    </cfRule>
    <cfRule type="cellIs" dxfId="54" priority="8" stopIfTrue="1" operator="greaterThan">
      <formula>0</formula>
    </cfRule>
  </conditionalFormatting>
  <conditionalFormatting sqref="F21">
    <cfRule type="cellIs" dxfId="53" priority="3" stopIfTrue="1" operator="equal">
      <formula>0</formula>
    </cfRule>
    <cfRule type="cellIs" dxfId="52" priority="4" stopIfTrue="1" operator="lessThan">
      <formula>0</formula>
    </cfRule>
    <cfRule type="cellIs" dxfId="51" priority="5" stopIfTrue="1" operator="greaterThan">
      <formula>0</formula>
    </cfRule>
  </conditionalFormatting>
  <conditionalFormatting sqref="H10:H21">
    <cfRule type="colorScale" priority="1">
      <colorScale>
        <cfvo type="min"/>
        <cfvo type="percentile" val="50"/>
        <cfvo type="max"/>
        <color rgb="FFF8696B"/>
        <color rgb="FFFFEB84"/>
        <color rgb="FF63BE7B"/>
      </colorScale>
    </cfRule>
  </conditionalFormatting>
  <hyperlinks>
    <hyperlink ref="J7" r:id="rId1" xr:uid="{00000000-0004-0000-0200-000000000000}"/>
    <hyperlink ref="J12" r:id="rId2" xr:uid="{00000000-0004-0000-0200-000001000000}"/>
    <hyperlink ref="J11" r:id="rId3" xr:uid="{00000000-0004-0000-0200-000002000000}"/>
    <hyperlink ref="J17" r:id="rId4" xr:uid="{00000000-0004-0000-0200-000003000000}"/>
    <hyperlink ref="J21" r:id="rId5" xr:uid="{00000000-0004-0000-0200-000004000000}"/>
    <hyperlink ref="J14" r:id="rId6" xr:uid="{00000000-0004-0000-0200-000005000000}"/>
    <hyperlink ref="J13" r:id="rId7" xr:uid="{00000000-0004-0000-0200-000006000000}"/>
    <hyperlink ref="J15" r:id="rId8" xr:uid="{00000000-0004-0000-0200-000007000000}"/>
    <hyperlink ref="J10" r:id="rId9" xr:uid="{00000000-0004-0000-0200-000008000000}"/>
    <hyperlink ref="J16" r:id="rId10" xr:uid="{00000000-0004-0000-0200-000009000000}"/>
    <hyperlink ref="J19" r:id="rId11" xr:uid="{8AB10350-20E2-4099-8251-089DA3D00375}"/>
    <hyperlink ref="J20" r:id="rId12" xr:uid="{90EDA95A-92C7-4BD6-B4D6-210E7A42C078}"/>
    <hyperlink ref="J8" r:id="rId13" xr:uid="{1B8CD17C-30D1-4CCC-A975-D011E12C1A1C}"/>
    <hyperlink ref="J9" r:id="rId14" xr:uid="{7EF779CD-827B-425C-B1AD-A8FF854B8065}"/>
    <hyperlink ref="J18" r:id="rId15" xr:uid="{D48A6C62-C079-44E1-BEC3-1050A15F5374}"/>
  </hyperlink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tabColor rgb="FFFF0000"/>
  </sheetPr>
  <dimension ref="B1:AF52"/>
  <sheetViews>
    <sheetView topLeftCell="A10" zoomScale="140" zoomScaleNormal="140" workbookViewId="0">
      <selection activeCell="C57" sqref="C57"/>
    </sheetView>
  </sheetViews>
  <sheetFormatPr baseColWidth="10" defaultColWidth="9.1640625" defaultRowHeight="15" x14ac:dyDescent="0.2"/>
  <cols>
    <col min="1" max="1" width="3" style="1" customWidth="1"/>
    <col min="2" max="32" width="7.6640625" style="1" customWidth="1"/>
    <col min="33" max="16384" width="9.1640625" style="1"/>
  </cols>
  <sheetData>
    <row r="1" spans="2:32" ht="16" thickBot="1" x14ac:dyDescent="0.25"/>
    <row r="2" spans="2:32" s="33" customFormat="1" ht="87" customHeight="1" thickBot="1" x14ac:dyDescent="0.25">
      <c r="B2" s="65"/>
      <c r="C2" s="148" t="s">
        <v>16</v>
      </c>
      <c r="D2" s="149"/>
      <c r="E2" s="150" t="s">
        <v>64</v>
      </c>
      <c r="F2" s="151"/>
      <c r="G2" s="148" t="s">
        <v>63</v>
      </c>
      <c r="H2" s="149"/>
      <c r="I2" s="148" t="s">
        <v>26</v>
      </c>
      <c r="J2" s="149"/>
      <c r="K2" s="148" t="s">
        <v>104</v>
      </c>
      <c r="L2" s="149"/>
      <c r="M2" s="148" t="s">
        <v>105</v>
      </c>
      <c r="N2" s="149"/>
      <c r="O2" s="148" t="s">
        <v>106</v>
      </c>
      <c r="P2" s="149"/>
      <c r="Q2" s="148" t="s">
        <v>109</v>
      </c>
      <c r="R2" s="149"/>
      <c r="S2" s="148" t="s">
        <v>108</v>
      </c>
      <c r="T2" s="149"/>
      <c r="U2" s="148" t="s">
        <v>27</v>
      </c>
      <c r="V2" s="149"/>
      <c r="W2" s="148" t="s">
        <v>21</v>
      </c>
      <c r="X2" s="149"/>
      <c r="Y2" s="148" t="s">
        <v>111</v>
      </c>
      <c r="Z2" s="149"/>
      <c r="AA2" s="148" t="s">
        <v>110</v>
      </c>
      <c r="AB2" s="149"/>
      <c r="AC2" s="148" t="s">
        <v>112</v>
      </c>
      <c r="AD2" s="149"/>
      <c r="AE2" s="148" t="s">
        <v>22</v>
      </c>
      <c r="AF2" s="149"/>
    </row>
    <row r="3" spans="2:32" s="60" customFormat="1" ht="22.5" customHeight="1" x14ac:dyDescent="0.15">
      <c r="B3" s="66" t="s">
        <v>2</v>
      </c>
      <c r="C3" s="68" t="s">
        <v>82</v>
      </c>
      <c r="D3" s="69" t="s">
        <v>83</v>
      </c>
      <c r="E3" s="61" t="s">
        <v>82</v>
      </c>
      <c r="F3" s="62" t="s">
        <v>83</v>
      </c>
      <c r="G3" s="61" t="s">
        <v>82</v>
      </c>
      <c r="H3" s="62" t="s">
        <v>83</v>
      </c>
      <c r="I3" s="61" t="s">
        <v>82</v>
      </c>
      <c r="J3" s="62" t="s">
        <v>83</v>
      </c>
      <c r="K3" s="61" t="s">
        <v>82</v>
      </c>
      <c r="L3" s="62" t="s">
        <v>83</v>
      </c>
      <c r="M3" s="61" t="s">
        <v>82</v>
      </c>
      <c r="N3" s="62" t="s">
        <v>83</v>
      </c>
      <c r="O3" s="61" t="s">
        <v>82</v>
      </c>
      <c r="P3" s="62" t="s">
        <v>83</v>
      </c>
      <c r="Q3" s="61" t="s">
        <v>82</v>
      </c>
      <c r="R3" s="62" t="s">
        <v>83</v>
      </c>
      <c r="S3" s="61" t="s">
        <v>82</v>
      </c>
      <c r="T3" s="62" t="s">
        <v>83</v>
      </c>
      <c r="U3" s="61" t="s">
        <v>82</v>
      </c>
      <c r="V3" s="62" t="s">
        <v>83</v>
      </c>
      <c r="W3" s="61" t="s">
        <v>82</v>
      </c>
      <c r="X3" s="62" t="s">
        <v>83</v>
      </c>
      <c r="Y3" s="61" t="s">
        <v>82</v>
      </c>
      <c r="Z3" s="62" t="s">
        <v>83</v>
      </c>
      <c r="AA3" s="61" t="s">
        <v>82</v>
      </c>
      <c r="AB3" s="62" t="s">
        <v>83</v>
      </c>
      <c r="AC3" s="61" t="s">
        <v>82</v>
      </c>
      <c r="AD3" s="62" t="s">
        <v>83</v>
      </c>
      <c r="AE3" s="61" t="s">
        <v>82</v>
      </c>
      <c r="AF3" s="62" t="s">
        <v>83</v>
      </c>
    </row>
    <row r="4" spans="2:32" x14ac:dyDescent="0.2">
      <c r="B4" s="67">
        <v>42948</v>
      </c>
      <c r="C4" s="63">
        <f>VLOOKUP($B$4,'Retail Sales'!$A:$D,3,)</f>
        <v>1.5697560337497548E-3</v>
      </c>
      <c r="D4" s="64">
        <f>VLOOKUP($B$4,'Retail Sales'!$A:$D,4,)</f>
        <v>3.4727565604626275E-2</v>
      </c>
      <c r="E4" s="63">
        <f>VLOOKUP(B4,'Retail Sales ex Auto'!$A:$D,3,)</f>
        <v>8.0151877943035101E-3</v>
      </c>
      <c r="F4" s="64">
        <f>VLOOKUP(B4,'Retail Sales ex Auto'!$A:$D,4,)</f>
        <v>4.3067032709313391E-2</v>
      </c>
      <c r="G4" s="63">
        <f>VLOOKUP(B4,'Retail Sales ex Auto and Gas'!$A:$D,3,)</f>
        <v>5.2919616110556371E-3</v>
      </c>
      <c r="H4" s="64">
        <f>VLOOKUP(B4,'Retail Sales ex Auto and Gas'!$A:$D,4,)</f>
        <v>3.9403584984850665E-2</v>
      </c>
      <c r="I4" s="63">
        <f>VLOOKUP(B4,Motor!$A:$D,3,)</f>
        <v>-2.2866732038697546E-2</v>
      </c>
      <c r="J4" s="64">
        <f>VLOOKUP(B4,Motor!$A:$D,4,)</f>
        <v>3.3528483640591264E-3</v>
      </c>
      <c r="K4" s="63">
        <f>VLOOKUP(B4,'Non Store Retail'!$A:$D,3,)</f>
        <v>6.3494567467907636E-3</v>
      </c>
      <c r="L4" s="64">
        <f>VLOOKUP(B4,'Non Store Retail'!$A:$D,4,)</f>
        <v>0.11953231255209933</v>
      </c>
      <c r="M4" s="63">
        <f>VLOOKUP(B4,'Food and Beverage'!$A:$D,3,)</f>
        <v>5.2776996509107752E-3</v>
      </c>
      <c r="N4" s="63">
        <f>VLOOKUP(B4,'Food and Beverage'!$A:$D,4,)</f>
        <v>3.9626321732881636E-2</v>
      </c>
      <c r="O4" s="63">
        <f>VLOOKUP(B4,'Food Services'!$A:$D,3,)</f>
        <v>5.4006816394302198E-3</v>
      </c>
      <c r="P4" s="64">
        <f>VLOOKUP(B4,'Food Services'!$A:$D,4,)</f>
        <v>4.9650566574822544E-2</v>
      </c>
      <c r="Q4" s="63">
        <f>VLOOKUP(B4,'General Merchandising'!$A:$D,3,)</f>
        <v>3.760576621748668E-3</v>
      </c>
      <c r="R4" s="64">
        <f>VLOOKUP(B4,'General Merchandising'!$A:$D,4,)</f>
        <v>1.3999788947905307E-2</v>
      </c>
      <c r="S4" s="63">
        <f>VLOOKUP(B4,'Gas Station'!$A:$D,3,)</f>
        <v>3.249434012518311E-2</v>
      </c>
      <c r="T4" s="64">
        <f>VLOOKUP(B4,'Gas Station'!$A:$D,4,)</f>
        <v>7.626742184463324E-2</v>
      </c>
      <c r="U4" s="63">
        <f>VLOOKUP(B4,Housing!$A:$D,3,)</f>
        <v>1.7338234274221514E-4</v>
      </c>
      <c r="V4" s="64">
        <f>VLOOKUP(B4,Housing!$A:$D,4,)</f>
        <v>3.5804065215829919E-2</v>
      </c>
      <c r="W4" s="63">
        <f>VLOOKUP(B4,Health!$A:$D,3,)</f>
        <v>1.1695040710584753E-2</v>
      </c>
      <c r="X4" s="64">
        <f>VLOOKUP(B4,Health!$A:$D,4,)</f>
        <v>2.2021161251729166E-2</v>
      </c>
      <c r="Y4" s="63">
        <f>VLOOKUP(B4,'Clothing and clothing access'!$A:$D,3,)</f>
        <v>7.400897358804755E-3</v>
      </c>
      <c r="Z4" s="64">
        <f>VLOOKUP(B4,'Clothing and clothing access'!$A:$D,4,)</f>
        <v>-3.6719144443934454E-4</v>
      </c>
      <c r="AA4" s="63">
        <f>VLOOKUP(B4,'Furniture Home'!$A:$D,3,)</f>
        <v>5.2606967500584524E-3</v>
      </c>
      <c r="AB4" s="64">
        <f>VLOOKUP(B4,'Furniture Home'!$A:$D,4,)</f>
        <v>-1.0016117890858853E-2</v>
      </c>
      <c r="AC4" s="63">
        <f>VLOOKUP(B4,'Miscellaneous stores retailers'!$A:$D,3,)</f>
        <v>-2.242152466367713E-3</v>
      </c>
      <c r="AD4" s="64">
        <f>VLOOKUP(B4,'Miscellaneous stores retailers'!$A:$D,4,)</f>
        <v>3.0403704822309474E-2</v>
      </c>
      <c r="AE4" s="63">
        <f>VLOOKUP(B4,'Sporting Goods'!$A:$D,3,)</f>
        <v>1.052477707937436E-2</v>
      </c>
      <c r="AF4" s="64">
        <f>VLOOKUP(B4,'Sporting Goods'!$A:$D,4,)</f>
        <v>-1.7900269924705215E-2</v>
      </c>
    </row>
    <row r="5" spans="2:32" x14ac:dyDescent="0.2">
      <c r="B5" s="67">
        <v>42979</v>
      </c>
      <c r="C5" s="63">
        <f>VLOOKUP(B5,'Retail Sales'!A:D,3,)</f>
        <v>2.0395910706273186E-2</v>
      </c>
      <c r="D5" s="64">
        <f>VLOOKUP(B5,'Retail Sales'!A:D,4,)</f>
        <v>4.9988728095655112E-2</v>
      </c>
      <c r="E5" s="63">
        <f>VLOOKUP(B5,'Retail Sales ex Auto'!$A:$D,3,)</f>
        <v>1.42628900339643E-2</v>
      </c>
      <c r="F5" s="64">
        <f>VLOOKUP(B5,'Retail Sales ex Auto'!$A:$D,4,)</f>
        <v>5.2970366363034711E-2</v>
      </c>
      <c r="G5" s="63">
        <f>VLOOKUP(B5,'Retail Sales ex Auto and Gas'!$A:$D,3,)</f>
        <v>9.8355630616690105E-3</v>
      </c>
      <c r="H5" s="64">
        <f>VLOOKUP(B5,'Retail Sales ex Auto and Gas'!$A:$D,4,)</f>
        <v>4.7166120592694018E-2</v>
      </c>
      <c r="I5" s="63">
        <f>VLOOKUP(B5,Motor!$A:$D,3,)</f>
        <v>4.4382830362408053E-2</v>
      </c>
      <c r="J5" s="64">
        <f>VLOOKUP(B5,Motor!$A:$D,4,)</f>
        <v>3.8815769163485184E-2</v>
      </c>
      <c r="K5" s="63">
        <f>VLOOKUP(B5,'Non Store Retail'!$A:$D,3,)</f>
        <v>1.0306652297442931E-2</v>
      </c>
      <c r="L5" s="64">
        <f>VLOOKUP(B5,'Non Store Retail'!$A:$D,4,)</f>
        <v>0.12289298314386515</v>
      </c>
      <c r="M5" s="63">
        <f>VLOOKUP(B5,'Food and Beverage'!$A:$D,3,)</f>
        <v>9.3644053849445373E-3</v>
      </c>
      <c r="N5" s="63">
        <f>VLOOKUP(B5,'Food and Beverage'!$A:$D,4,)</f>
        <v>4.4518623226663487E-2</v>
      </c>
      <c r="O5" s="63">
        <f>VLOOKUP(B5,'Food Services'!$A:$D,3,)</f>
        <v>6.2582574229886655E-3</v>
      </c>
      <c r="P5" s="64">
        <f>VLOOKUP(B5,'Food Services'!$A:$D,4,)</f>
        <v>4.5479174944912042E-2</v>
      </c>
      <c r="Q5" s="63">
        <f>VLOOKUP(B5,'General Merchandising'!$A:$D,3,)</f>
        <v>1.1100704200922747E-2</v>
      </c>
      <c r="R5" s="64">
        <f>VLOOKUP(B5,'General Merchandising'!$A:$D,4,)</f>
        <v>3.6429904880433815E-2</v>
      </c>
      <c r="S5" s="63">
        <f>VLOOKUP(B5,'Gas Station'!$A:$D,3,)</f>
        <v>5.3011737391977301E-2</v>
      </c>
      <c r="T5" s="64">
        <f>VLOOKUP(B5,'Gas Station'!$A:$D,4,)</f>
        <v>0.10434759083407733</v>
      </c>
      <c r="U5" s="63">
        <f>VLOOKUP(B5,Housing!$A:$D,3,)</f>
        <v>3.1896820719065286E-2</v>
      </c>
      <c r="V5" s="64">
        <f>VLOOKUP(B5,Housing!$A:$D,4,)</f>
        <v>6.7692638829100302E-2</v>
      </c>
      <c r="W5" s="63">
        <f>VLOOKUP(B5,Health!$A:$D,3,)</f>
        <v>1.3169446883230904E-3</v>
      </c>
      <c r="X5" s="64">
        <f>VLOOKUP(B5,Health!$A:$D,4,)</f>
        <v>2.582168421841622E-2</v>
      </c>
      <c r="Y5" s="63">
        <f>VLOOKUP(B5,'Clothing and clothing access'!$A:$D,3,)</f>
        <v>5.4180632719592267E-3</v>
      </c>
      <c r="Z5" s="64">
        <f>VLOOKUP(B5,'Clothing and clothing access'!$A:$D,4,)</f>
        <v>-4.1084634346754312E-4</v>
      </c>
      <c r="AA5" s="63">
        <f>VLOOKUP(B5,'Furniture Home'!$A:$D,3,)</f>
        <v>-2.325851843237586E-3</v>
      </c>
      <c r="AB5" s="64">
        <f>VLOOKUP(B5,'Furniture Home'!$A:$D,4,)</f>
        <v>-3.5425982925837737E-3</v>
      </c>
      <c r="AC5" s="63">
        <f>VLOOKUP(B5,'Miscellaneous stores retailers'!$A:$D,3,)</f>
        <v>1.1626770884220811E-2</v>
      </c>
      <c r="AD5" s="64">
        <f>VLOOKUP(B5,'Miscellaneous stores retailers'!$A:$D,4,)</f>
        <v>1.5496273048254218E-2</v>
      </c>
      <c r="AE5" s="63">
        <f>VLOOKUP(B5,'Sporting Goods'!$A:$D,3,)</f>
        <v>1.2874294806885577E-2</v>
      </c>
      <c r="AF5" s="64">
        <f>VLOOKUP(B5,'Sporting Goods'!$A:$D,4,)</f>
        <v>-7.9342589968829699E-3</v>
      </c>
    </row>
    <row r="6" spans="2:32" x14ac:dyDescent="0.2">
      <c r="B6" s="67">
        <v>43009</v>
      </c>
      <c r="C6" s="63">
        <f>VLOOKUP(B6,'Retail Sales'!A:D,3,)</f>
        <v>1.3914551441518627E-3</v>
      </c>
      <c r="D6" s="64">
        <f>VLOOKUP(B6,'Retail Sales'!A:D,4,)</f>
        <v>4.8164314886444667E-2</v>
      </c>
      <c r="E6" s="63">
        <f>VLOOKUP(B6,'Retail Sales ex Auto'!$A:$D,3,)</f>
        <v>3.2078365098738774E-4</v>
      </c>
      <c r="F6" s="64">
        <f>VLOOKUP(B6,'Retail Sales ex Auto'!$A:$D,4,)</f>
        <v>4.8726137289535135E-2</v>
      </c>
      <c r="G6" s="63">
        <f>VLOOKUP(B6,'Retail Sales ex Auto and Gas'!$A:$D,3,)</f>
        <v>8.7561584981436942E-6</v>
      </c>
      <c r="H6" s="64">
        <f>VLOOKUP(B6,'Retail Sales ex Auto and Gas'!$A:$D,4,)</f>
        <v>4.5255274036334794E-2</v>
      </c>
      <c r="I6" s="63">
        <f>VLOOKUP(B6,Motor!$A:$D,3,)</f>
        <v>5.4582016661878768E-3</v>
      </c>
      <c r="J6" s="64">
        <f>VLOOKUP(B6,Motor!$A:$D,4,)</f>
        <v>4.6046665017726113E-2</v>
      </c>
      <c r="K6" s="63">
        <f>VLOOKUP(B6,'Non Store Retail'!$A:$D,3,)</f>
        <v>-9.4451232520703626E-3</v>
      </c>
      <c r="L6" s="64">
        <f>VLOOKUP(B6,'Non Store Retail'!$A:$D,4,)</f>
        <v>9.8176657779306786E-2</v>
      </c>
      <c r="M6" s="63">
        <f>VLOOKUP(B6,'Food and Beverage'!$A:$D,3,)</f>
        <v>3.7827526047186579E-3</v>
      </c>
      <c r="N6" s="63">
        <f>VLOOKUP(B6,'Food and Beverage'!$A:$D,4,)</f>
        <v>4.2486537745114641E-2</v>
      </c>
      <c r="O6" s="63">
        <f>VLOOKUP(B6,'Food Services'!$A:$D,3,)</f>
        <v>4.1807753437910307E-3</v>
      </c>
      <c r="P6" s="64">
        <f>VLOOKUP(B6,'Food Services'!$A:$D,4,)</f>
        <v>4.9679458239277649E-2</v>
      </c>
      <c r="Q6" s="63">
        <f>VLOOKUP(B6,'General Merchandising'!$A:$D,3,)</f>
        <v>-5.1120183895426632E-3</v>
      </c>
      <c r="R6" s="64">
        <f>VLOOKUP(B6,'General Merchandising'!$A:$D,4,)</f>
        <v>2.1739896409569782E-2</v>
      </c>
      <c r="S6" s="63">
        <f>VLOOKUP(B6,'Gas Station'!$A:$D,3,)</f>
        <v>2.9397354238118569E-3</v>
      </c>
      <c r="T6" s="64">
        <f>VLOOKUP(B6,'Gas Station'!$A:$D,4,)</f>
        <v>7.8702605854609642E-2</v>
      </c>
      <c r="U6" s="63">
        <f>VLOOKUP(B6,Housing!$A:$D,3,)</f>
        <v>-6.7869502402311595E-3</v>
      </c>
      <c r="V6" s="64">
        <f>VLOOKUP(B6,Housing!$A:$D,4,)</f>
        <v>5.3868092691622106E-2</v>
      </c>
      <c r="W6" s="63">
        <f>VLOOKUP(B6,Health!$A:$D,3,)</f>
        <v>7.1606020751132544E-3</v>
      </c>
      <c r="X6" s="64">
        <f>VLOOKUP(B6,Health!$A:$D,4,)</f>
        <v>6.5018350395982236E-2</v>
      </c>
      <c r="Y6" s="63">
        <f>VLOOKUP(B6,'Clothing and clothing access'!$A:$D,3,)</f>
        <v>-4.6125039959811842E-3</v>
      </c>
      <c r="Z6" s="64">
        <f>VLOOKUP(B6,'Clothing and clothing access'!$A:$D,4,)</f>
        <v>4.6091445427728613E-3</v>
      </c>
      <c r="AA6" s="63">
        <f>VLOOKUP(B6,'Furniture Home'!$A:$D,3,)</f>
        <v>2.0631775265182423E-2</v>
      </c>
      <c r="AB6" s="64">
        <f>VLOOKUP(B6,'Furniture Home'!$A:$D,4,)</f>
        <v>2.9935893665823679E-2</v>
      </c>
      <c r="AC6" s="63">
        <f>VLOOKUP(B6,'Miscellaneous stores retailers'!$A:$D,3,)</f>
        <v>3.6700791964458181E-3</v>
      </c>
      <c r="AD6" s="64">
        <f>VLOOKUP(B6,'Miscellaneous stores retailers'!$A:$D,4,)</f>
        <v>2.3148148148148147E-3</v>
      </c>
      <c r="AE6" s="63">
        <f>VLOOKUP(B6,'Sporting Goods'!$A:$D,3,)</f>
        <v>4.1416738074835759E-3</v>
      </c>
      <c r="AF6" s="64">
        <f>VLOOKUP(B6,'Sporting Goods'!$A:$D,4,)</f>
        <v>-7.481648785996612E-3</v>
      </c>
    </row>
    <row r="7" spans="2:32" x14ac:dyDescent="0.2">
      <c r="B7" s="67">
        <v>43040</v>
      </c>
      <c r="C7" s="63">
        <f>VLOOKUP(B7,'Retail Sales'!A:D,3,)</f>
        <v>1.0200820931061994E-2</v>
      </c>
      <c r="D7" s="64">
        <f>VLOOKUP(B7,'Retail Sales'!A:D,4,)</f>
        <v>5.9687677738442538E-2</v>
      </c>
      <c r="E7" s="63">
        <f>VLOOKUP(B7,'Retail Sales ex Auto'!$A:$D,3,)</f>
        <v>1.5212783430971506E-2</v>
      </c>
      <c r="F7" s="64">
        <f>VLOOKUP(B7,'Retail Sales ex Auto'!$A:$D,4,)</f>
        <v>6.4514277122431962E-2</v>
      </c>
      <c r="G7" s="63">
        <f>VLOOKUP(B7,'Retail Sales ex Auto and Gas'!$A:$D,3,)</f>
        <v>1.3922170107320376E-2</v>
      </c>
      <c r="H7" s="64">
        <f>VLOOKUP(B7,'Retail Sales ex Auto and Gas'!$A:$D,4,)</f>
        <v>5.841257460765286E-2</v>
      </c>
      <c r="I7" s="63">
        <f>VLOOKUP(B7,Motor!$A:$D,3,)</f>
        <v>-8.7389162561576361E-3</v>
      </c>
      <c r="J7" s="64">
        <f>VLOOKUP(B7,Motor!$A:$D,4,)</f>
        <v>4.1413074980333704E-2</v>
      </c>
      <c r="K7" s="63">
        <f>VLOOKUP(B7,'Non Store Retail'!$A:$D,3,)</f>
        <v>4.5952931041234289E-2</v>
      </c>
      <c r="L7" s="64">
        <f>VLOOKUP(B7,'Non Store Retail'!$A:$D,4,)</f>
        <v>0.14799931233076891</v>
      </c>
      <c r="M7" s="63">
        <f>VLOOKUP(B7,'Food and Beverage'!$A:$D,3,)</f>
        <v>3.2974351477348409E-3</v>
      </c>
      <c r="N7" s="63">
        <f>VLOOKUP(B7,'Food and Beverage'!$A:$D,4,)</f>
        <v>4.5021571779037303E-2</v>
      </c>
      <c r="O7" s="63">
        <f>VLOOKUP(B7,'Food Services'!$A:$D,3,)</f>
        <v>1.2438495681794722E-2</v>
      </c>
      <c r="P7" s="64">
        <f>VLOOKUP(B7,'Food Services'!$A:$D,4,)</f>
        <v>4.4421964292052675E-2</v>
      </c>
      <c r="Q7" s="63">
        <f>VLOOKUP(B7,'General Merchandising'!$A:$D,3,)</f>
        <v>1.1897372232567763E-3</v>
      </c>
      <c r="R7" s="64">
        <f>VLOOKUP(B7,'General Merchandising'!$A:$D,4,)</f>
        <v>2.7008383741908098E-2</v>
      </c>
      <c r="S7" s="63">
        <f>VLOOKUP(B7,'Gas Station'!$A:$D,3,)</f>
        <v>2.6013678553981436E-2</v>
      </c>
      <c r="T7" s="64">
        <f>VLOOKUP(B7,'Gas Station'!$A:$D,4,)</f>
        <v>0.11780829208579488</v>
      </c>
      <c r="U7" s="63">
        <f>VLOOKUP(B7,Housing!$A:$D,3,)</f>
        <v>1.3091573356787659E-2</v>
      </c>
      <c r="V7" s="64">
        <f>VLOOKUP(B7,Housing!$A:$D,4,)</f>
        <v>6.1759909239168971E-2</v>
      </c>
      <c r="W7" s="63">
        <f>VLOOKUP(B7,Health!$A:$D,3,)</f>
        <v>7.0734184561810796E-3</v>
      </c>
      <c r="X7" s="64">
        <f>VLOOKUP(B7,Health!$A:$D,4,)</f>
        <v>6.3146205100712255E-2</v>
      </c>
      <c r="Y7" s="63">
        <f>VLOOKUP(B7,'Clothing and clothing access'!$A:$D,3,)</f>
        <v>1.2479354009910076E-2</v>
      </c>
      <c r="Z7" s="64">
        <f>VLOOKUP(B7,'Clothing and clothing access'!$A:$D,4,)</f>
        <v>2.0296823708909336E-2</v>
      </c>
      <c r="AA7" s="63">
        <f>VLOOKUP(B7,'Furniture Home'!$A:$D,3,)</f>
        <v>1.5018273184102329E-2</v>
      </c>
      <c r="AB7" s="64">
        <f>VLOOKUP(B7,'Furniture Home'!$A:$D,4,)</f>
        <v>5.6652003328973966E-2</v>
      </c>
      <c r="AC7" s="63">
        <f>VLOOKUP(B7,'Miscellaneous stores retailers'!$A:$D,3,)</f>
        <v>1.9053117782909929E-2</v>
      </c>
      <c r="AD7" s="64">
        <f>VLOOKUP(B7,'Miscellaneous stores retailers'!$A:$D,4,)</f>
        <v>6.3039550291106208E-2</v>
      </c>
      <c r="AE7" s="63">
        <f>VLOOKUP(B7,'Sporting Goods'!$A:$D,3,)</f>
        <v>1.6071682548712843E-2</v>
      </c>
      <c r="AF7" s="64">
        <f>VLOOKUP(B7,'Sporting Goods'!$A:$D,4,)</f>
        <v>2.628932624622899E-2</v>
      </c>
    </row>
    <row r="8" spans="2:32" x14ac:dyDescent="0.2">
      <c r="B8" s="67">
        <v>43070</v>
      </c>
      <c r="C8" s="63">
        <f>VLOOKUP(B8,'Retail Sales'!A:D,3,)</f>
        <v>4.8856444907929885E-3</v>
      </c>
      <c r="D8" s="64">
        <f>VLOOKUP(B8,'Retail Sales'!A:D,4,)</f>
        <v>5.2001769000194417E-2</v>
      </c>
      <c r="E8" s="63">
        <f>VLOOKUP(B8,'Retail Sales ex Auto'!$A:$D,3,)</f>
        <v>6.7463802729369228E-3</v>
      </c>
      <c r="F8" s="64">
        <f>VLOOKUP(B8,'Retail Sales ex Auto'!$A:$D,4,)</f>
        <v>6.3491374516096655E-2</v>
      </c>
      <c r="G8" s="63">
        <f>VLOOKUP(B8,'Retail Sales ex Auto and Gas'!$A:$D,3,)</f>
        <v>5.5039163588944959E-3</v>
      </c>
      <c r="H8" s="64">
        <f>VLOOKUP(B8,'Retail Sales ex Auto and Gas'!$A:$D,4,)</f>
        <v>6.1005355130506624E-2</v>
      </c>
      <c r="I8" s="63">
        <f>VLOOKUP(B8,Motor!$A:$D,3,)</f>
        <v>-2.3158041207398646E-3</v>
      </c>
      <c r="J8" s="64">
        <f>VLOOKUP(B8,Motor!$A:$D,4,)</f>
        <v>9.4123325690841069E-3</v>
      </c>
      <c r="K8" s="63">
        <f>VLOOKUP(B8,'Non Store Retail'!$A:$D,3,)</f>
        <v>1.7633514909866907E-2</v>
      </c>
      <c r="L8" s="64">
        <f>VLOOKUP(B8,'Non Store Retail'!$A:$D,4,)</f>
        <v>0.14195987816405839</v>
      </c>
      <c r="M8" s="63">
        <f>VLOOKUP(B8,'Food and Beverage'!$A:$D,3,)</f>
        <v>8.3541106757763165E-3</v>
      </c>
      <c r="N8" s="63">
        <f>VLOOKUP(B8,'Food and Beverage'!$A:$D,4,)</f>
        <v>4.9790992448759439E-2</v>
      </c>
      <c r="O8" s="63">
        <f>VLOOKUP(B8,'Food Services'!$A:$D,3,)</f>
        <v>4.5880133902020427E-3</v>
      </c>
      <c r="P8" s="64">
        <f>VLOOKUP(B8,'Food Services'!$A:$D,4,)</f>
        <v>6.6148491460929465E-2</v>
      </c>
      <c r="Q8" s="63">
        <f>VLOOKUP(B8,'General Merchandising'!$A:$D,3,)</f>
        <v>9.0588133987772324E-3</v>
      </c>
      <c r="R8" s="64">
        <f>VLOOKUP(B8,'General Merchandising'!$A:$D,4,)</f>
        <v>3.8000921234454171E-2</v>
      </c>
      <c r="S8" s="63">
        <f>VLOOKUP(B8,'Gas Station'!$A:$D,3,)</f>
        <v>1.7021783121057017E-2</v>
      </c>
      <c r="T8" s="64">
        <f>VLOOKUP(B8,'Gas Station'!$A:$D,4,)</f>
        <v>8.4263959390862939E-2</v>
      </c>
      <c r="U8" s="63">
        <f>VLOOKUP(B8,Housing!$A:$D,3,)</f>
        <v>3.2055562975824765E-3</v>
      </c>
      <c r="V8" s="64">
        <f>VLOOKUP(B8,Housing!$A:$D,4,)</f>
        <v>6.7092878707156814E-2</v>
      </c>
      <c r="W8" s="63">
        <f>VLOOKUP(B8,Health!$A:$D,3,)</f>
        <v>-3.3858012462630121E-3</v>
      </c>
      <c r="X8" s="64">
        <f>VLOOKUP(B8,Health!$A:$D,4,)</f>
        <v>5.6915848580923641E-2</v>
      </c>
      <c r="Y8" s="63">
        <f>VLOOKUP(B8,'Clothing and clothing access'!$A:$D,3,)</f>
        <v>-1.3956860612651804E-2</v>
      </c>
      <c r="Z8" s="64">
        <f>VLOOKUP(B8,'Clothing and clothing access'!$A:$D,4,)</f>
        <v>-8.7011981230923421E-3</v>
      </c>
      <c r="AA8" s="63">
        <f>VLOOKUP(B8,'Furniture Home'!$A:$D,3,)</f>
        <v>-9.5639943741209561E-4</v>
      </c>
      <c r="AB8" s="64">
        <f>VLOOKUP(B8,'Furniture Home'!$A:$D,4,)</f>
        <v>5.0955790968811032E-2</v>
      </c>
      <c r="AC8" s="63">
        <f>VLOOKUP(B8,'Miscellaneous stores retailers'!$A:$D,3,)</f>
        <v>6.2322946175637391E-3</v>
      </c>
      <c r="AD8" s="64">
        <f>VLOOKUP(B8,'Miscellaneous stores retailers'!$A:$D,4,)</f>
        <v>5.1924975320829223E-2</v>
      </c>
      <c r="AE8" s="63">
        <f>VLOOKUP(B8,'Sporting Goods'!$A:$D,3,)</f>
        <v>-1.1898096304591266E-2</v>
      </c>
      <c r="AF8" s="64">
        <f>VLOOKUP(B8,'Sporting Goods'!$A:$D,4,)</f>
        <v>-2.2614840989399294E-3</v>
      </c>
    </row>
    <row r="9" spans="2:32" x14ac:dyDescent="0.2">
      <c r="B9" s="67">
        <v>43101</v>
      </c>
      <c r="C9" s="63">
        <f>VLOOKUP(B9,'Retail Sales'!A:D,3,)</f>
        <v>-1.8460563646296414E-3</v>
      </c>
      <c r="D9" s="64">
        <f>VLOOKUP(B9,'Retail Sales'!A:D,4,)</f>
        <v>3.8032964155071763E-2</v>
      </c>
      <c r="E9" s="63">
        <f>VLOOKUP(B9,'Retail Sales ex Auto'!$A:$D,3,)</f>
        <v>-2.0611140729705807E-3</v>
      </c>
      <c r="F9" s="64">
        <f>VLOOKUP(B9,'Retail Sales ex Auto'!$A:$D,4,)</f>
        <v>4.5845096026348432E-2</v>
      </c>
      <c r="G9" s="63">
        <f>VLOOKUP(B9,'Retail Sales ex Auto and Gas'!$A:$D,3,)</f>
        <v>-2.4277056177909595E-3</v>
      </c>
      <c r="H9" s="64">
        <f>VLOOKUP(B9,'Retail Sales ex Auto and Gas'!$A:$D,4,)</f>
        <v>4.2669954188148763E-2</v>
      </c>
      <c r="I9" s="63">
        <f>VLOOKUP(B9,Motor!$A:$D,3,)</f>
        <v>-1.0061765291890816E-3</v>
      </c>
      <c r="J9" s="64">
        <f>VLOOKUP(B9,Motor!$A:$D,4,)</f>
        <v>8.6401126533896602E-3</v>
      </c>
      <c r="K9" s="63">
        <f>VLOOKUP(B9,'Non Store Retail'!$A:$D,3,)</f>
        <v>-5.8863565292570309E-4</v>
      </c>
      <c r="L9" s="64">
        <f>VLOOKUP(B9,'Non Store Retail'!$A:$D,4,)</f>
        <v>0.12879165627856728</v>
      </c>
      <c r="M9" s="63">
        <f>VLOOKUP(B9,'Food and Beverage'!$A:$D,3,)</f>
        <v>-5.5714331588580975E-3</v>
      </c>
      <c r="N9" s="63">
        <f>VLOOKUP(B9,'Food and Beverage'!$A:$D,4,)</f>
        <v>3.9858296536324105E-2</v>
      </c>
      <c r="O9" s="63">
        <f>VLOOKUP(B9,'Food Services'!$A:$D,3,)</f>
        <v>3.8058830494426495E-3</v>
      </c>
      <c r="P9" s="64">
        <f>VLOOKUP(B9,'Food Services'!$A:$D,4,)</f>
        <v>3.3813563751023464E-2</v>
      </c>
      <c r="Q9" s="63">
        <f>VLOOKUP(B9,'General Merchandising'!$A:$D,3,)</f>
        <v>2.7307948319707807E-4</v>
      </c>
      <c r="R9" s="64">
        <f>VLOOKUP(B9,'General Merchandising'!$A:$D,4,)</f>
        <v>1.5807262327758038E-2</v>
      </c>
      <c r="S9" s="63">
        <f>VLOOKUP(B9,'Gas Station'!$A:$D,3,)</f>
        <v>9.3632958801498128E-4</v>
      </c>
      <c r="T9" s="64">
        <f>VLOOKUP(B9,'Gas Station'!$A:$D,4,)</f>
        <v>7.2458679240550772E-2</v>
      </c>
      <c r="U9" s="63">
        <f>VLOOKUP(B9,Housing!$A:$D,3,)</f>
        <v>-2.6061776061776062E-2</v>
      </c>
      <c r="V9" s="64">
        <f>VLOOKUP(B9,Housing!$A:$D,4,)</f>
        <v>2.0080181279414328E-2</v>
      </c>
      <c r="W9" s="63">
        <f>VLOOKUP(B9,Health!$A:$D,3,)</f>
        <v>7.2283060464780073E-5</v>
      </c>
      <c r="X9" s="64">
        <f>VLOOKUP(B9,Health!$A:$D,4,)</f>
        <v>5.7759938837920487E-2</v>
      </c>
      <c r="Y9" s="63">
        <f>VLOOKUP(B9,'Clothing and clothing access'!$A:$D,3,)</f>
        <v>4.0441176470588239E-3</v>
      </c>
      <c r="Z9" s="64">
        <f>VLOOKUP(B9,'Clothing and clothing access'!$A:$D,4,)</f>
        <v>-8.0363223609534618E-3</v>
      </c>
      <c r="AA9" s="63">
        <f>VLOOKUP(B9,'Furniture Home'!$A:$D,3,)</f>
        <v>-2.0272553215452192E-3</v>
      </c>
      <c r="AB9" s="64">
        <f>VLOOKUP(B9,'Furniture Home'!$A:$D,4,)</f>
        <v>3.0648444315207909E-2</v>
      </c>
      <c r="AC9" s="63">
        <f>VLOOKUP(B9,'Miscellaneous stores retailers'!$A:$D,3,)</f>
        <v>1.8674924924924924E-2</v>
      </c>
      <c r="AD9" s="64">
        <f>VLOOKUP(B9,'Miscellaneous stores retailers'!$A:$D,4,)</f>
        <v>7.3689416419386741E-2</v>
      </c>
      <c r="AE9" s="63">
        <f>VLOOKUP(B9,'Sporting Goods'!$A:$D,3,)</f>
        <v>-2.5499362515937103E-2</v>
      </c>
      <c r="AF9" s="64">
        <f>VLOOKUP(B9,'Sporting Goods'!$A:$D,4,)</f>
        <v>-4.8152760481527605E-2</v>
      </c>
    </row>
    <row r="10" spans="2:32" x14ac:dyDescent="0.2">
      <c r="B10" s="67">
        <v>43132</v>
      </c>
      <c r="C10" s="63">
        <f>VLOOKUP(B10,'Retail Sales'!A:D,3,)</f>
        <v>4.6124860628453772E-3</v>
      </c>
      <c r="D10" s="64">
        <f>VLOOKUP(B10,'Retail Sales'!A:D,4,)</f>
        <v>4.3898984133024663E-2</v>
      </c>
      <c r="E10" s="63">
        <f>VLOOKUP(B10,'Retail Sales ex Auto'!$A:$D,3,)</f>
        <v>6.9757395587569946E-3</v>
      </c>
      <c r="F10" s="64">
        <f>VLOOKUP(B10,'Retail Sales ex Auto'!$A:$D,4,)</f>
        <v>5.2819780959864025E-2</v>
      </c>
      <c r="G10" s="63">
        <f>VLOOKUP(B10,'Retail Sales ex Auto and Gas'!$A:$D,3,)</f>
        <v>6.6149523752127258E-3</v>
      </c>
      <c r="H10" s="64">
        <f>VLOOKUP(B10,'Retail Sales ex Auto and Gas'!$A:$D,4,)</f>
        <v>4.994731674609066E-2</v>
      </c>
      <c r="I10" s="63">
        <f>VLOOKUP(B10,Motor!$A:$D,3,)</f>
        <v>-4.6071460624856654E-3</v>
      </c>
      <c r="J10" s="64">
        <f>VLOOKUP(B10,Motor!$A:$D,4,)</f>
        <v>1.0119716243156543E-2</v>
      </c>
      <c r="K10" s="63">
        <f>VLOOKUP(B10,'Non Store Retail'!$A:$D,3,)</f>
        <v>5.6321437116931402E-3</v>
      </c>
      <c r="L10" s="64">
        <f>VLOOKUP(B10,'Non Store Retail'!$A:$D,4,)</f>
        <v>0.13091985428051001</v>
      </c>
      <c r="M10" s="63">
        <f>VLOOKUP(B10,'Food and Beverage'!$A:$D,3,)</f>
        <v>1.4692823121013967E-3</v>
      </c>
      <c r="N10" s="63">
        <f>VLOOKUP(B10,'Food and Beverage'!$A:$D,4,)</f>
        <v>3.6669340820965367E-2</v>
      </c>
      <c r="O10" s="63">
        <f>VLOOKUP(B10,'Food Services'!$A:$D,3,)</f>
        <v>5.2069290913992986E-3</v>
      </c>
      <c r="P10" s="64">
        <f>VLOOKUP(B10,'Food Services'!$A:$D,4,)</f>
        <v>3.7587838307938493E-2</v>
      </c>
      <c r="Q10" s="63">
        <f>VLOOKUP(B10,'General Merchandising'!$A:$D,3,)</f>
        <v>1.0749569164093026E-3</v>
      </c>
      <c r="R10" s="64">
        <f>VLOOKUP(B10,'General Merchandising'!$A:$D,4,)</f>
        <v>2.9930659176687441E-2</v>
      </c>
      <c r="S10" s="63">
        <f>VLOOKUP(B10,'Gas Station'!$A:$D,3,)</f>
        <v>9.9158091674462108E-3</v>
      </c>
      <c r="T10" s="64">
        <f>VLOOKUP(B10,'Gas Station'!$A:$D,4,)</f>
        <v>7.6746621453149158E-2</v>
      </c>
      <c r="U10" s="63">
        <f>VLOOKUP(B10,Housing!$A:$D,3,)</f>
        <v>2.7852773316017907E-2</v>
      </c>
      <c r="V10" s="64">
        <f>VLOOKUP(B10,Housing!$A:$D,4,)</f>
        <v>3.9145907473309607E-2</v>
      </c>
      <c r="W10" s="63">
        <f>VLOOKUP(B10,Health!$A:$D,3,)</f>
        <v>-5.8183657981280045E-3</v>
      </c>
      <c r="X10" s="64">
        <f>VLOOKUP(B10,Health!$A:$D,4,)</f>
        <v>4.0626418520199728E-2</v>
      </c>
      <c r="Y10" s="63">
        <f>VLOOKUP(B10,'Clothing and clothing access'!$A:$D,3,)</f>
        <v>2.3663493225924571E-2</v>
      </c>
      <c r="Z10" s="64">
        <f>VLOOKUP(B10,'Clothing and clothing access'!$A:$D,4,)</f>
        <v>3.2834580216126348E-2</v>
      </c>
      <c r="AA10" s="63">
        <f>VLOOKUP(B10,'Furniture Home'!$A:$D,3,)</f>
        <v>7.2790881390362265E-3</v>
      </c>
      <c r="AB10" s="64">
        <f>VLOOKUP(B10,'Furniture Home'!$A:$D,4,)</f>
        <v>4.3490968609341207E-2</v>
      </c>
      <c r="AC10" s="63">
        <f>VLOOKUP(B10,'Miscellaneous stores retailers'!$A:$D,3,)</f>
        <v>-4.4219253800092126E-3</v>
      </c>
      <c r="AD10" s="64">
        <f>VLOOKUP(B10,'Miscellaneous stores retailers'!$A:$D,4,)</f>
        <v>5.1264591439688714E-2</v>
      </c>
      <c r="AE10" s="63">
        <f>VLOOKUP(B10,'Sporting Goods'!$A:$D,3,)</f>
        <v>4.1285070504433787E-2</v>
      </c>
      <c r="AF10" s="64">
        <f>VLOOKUP(B10,'Sporting Goods'!$A:$D,4,)</f>
        <v>1.5884271734505743E-2</v>
      </c>
    </row>
    <row r="11" spans="2:32" x14ac:dyDescent="0.2">
      <c r="B11" s="67">
        <v>43160</v>
      </c>
      <c r="C11" s="63">
        <f>VLOOKUP(B11,'Retail Sales'!A:D,3,)</f>
        <v>-7.8175790213444213E-4</v>
      </c>
      <c r="D11" s="64">
        <f>VLOOKUP(B11,'Retail Sales'!A:D,4,)</f>
        <v>4.5283994245750518E-2</v>
      </c>
      <c r="E11" s="63">
        <f>VLOOKUP(B11,'Retail Sales ex Auto'!$A:$D,3,)</f>
        <v>-1.7718344324799081E-3</v>
      </c>
      <c r="F11" s="64">
        <f>VLOOKUP(B11,'Retail Sales ex Auto'!$A:$D,4,)</f>
        <v>4.7829168598485454E-2</v>
      </c>
      <c r="G11" s="63">
        <f>VLOOKUP(B11,'Retail Sales ex Auto and Gas'!$A:$D,3,)</f>
        <v>-3.5922202772281745E-4</v>
      </c>
      <c r="H11" s="64">
        <f>VLOOKUP(B11,'Retail Sales ex Auto and Gas'!$A:$D,4,)</f>
        <v>4.5056107774615141E-2</v>
      </c>
      <c r="I11" s="63">
        <f>VLOOKUP(B11,Motor!$A:$D,3,)</f>
        <v>3.1257200677239348E-3</v>
      </c>
      <c r="J11" s="64">
        <f>VLOOKUP(B11,Motor!$A:$D,4,)</f>
        <v>3.5406649087430846E-2</v>
      </c>
      <c r="K11" s="63">
        <f>VLOOKUP(B11,'Non Store Retail'!$A:$D,3,)</f>
        <v>1.2427475886304154E-2</v>
      </c>
      <c r="L11" s="64">
        <f>VLOOKUP(B11,'Non Store Retail'!$A:$D,4,)</f>
        <v>0.13113714905016052</v>
      </c>
      <c r="M11" s="63">
        <f>VLOOKUP(B11,'Food and Beverage'!$A:$D,3,)</f>
        <v>2.2571179827814143E-3</v>
      </c>
      <c r="N11" s="63">
        <f>VLOOKUP(B11,'Food and Beverage'!$A:$D,4,)</f>
        <v>3.0569278206956003E-2</v>
      </c>
      <c r="O11" s="63">
        <f>VLOOKUP(B11,'Food Services'!$A:$D,3,)</f>
        <v>8.1806447286808717E-3</v>
      </c>
      <c r="P11" s="64">
        <f>VLOOKUP(B11,'Food Services'!$A:$D,4,)</f>
        <v>4.8136077659073878E-2</v>
      </c>
      <c r="Q11" s="63">
        <f>VLOOKUP(B11,'General Merchandising'!$A:$D,3,)</f>
        <v>-1.0039202318050111E-2</v>
      </c>
      <c r="R11" s="64">
        <f>VLOOKUP(B11,'General Merchandising'!$A:$D,4,)</f>
        <v>1.4090163075741175E-2</v>
      </c>
      <c r="S11" s="63">
        <f>VLOOKUP(B11,'Gas Station'!$A:$D,3,)</f>
        <v>-1.3245646535753983E-2</v>
      </c>
      <c r="T11" s="64">
        <f>VLOOKUP(B11,'Gas Station'!$A:$D,4,)</f>
        <v>7.1218482113678067E-2</v>
      </c>
      <c r="U11" s="63">
        <f>VLOOKUP(B11,Housing!$A:$D,3,)</f>
        <v>-9.442745045883761E-3</v>
      </c>
      <c r="V11" s="64">
        <f>VLOOKUP(B11,Housing!$A:$D,4,)</f>
        <v>3.6063293340288648E-2</v>
      </c>
      <c r="W11" s="63">
        <f>VLOOKUP(B11,Health!$A:$D,3,)</f>
        <v>5.9614685568884045E-3</v>
      </c>
      <c r="X11" s="64">
        <f>VLOOKUP(B11,Health!$A:$D,4,)</f>
        <v>4.1589822725733E-2</v>
      </c>
      <c r="Y11" s="63">
        <f>VLOOKUP(B11,'Clothing and clothing access'!$A:$D,3,)</f>
        <v>-2.9868097473731276E-2</v>
      </c>
      <c r="Z11" s="64">
        <f>VLOOKUP(B11,'Clothing and clothing access'!$A:$D,4,)</f>
        <v>-2.8952205882352942E-3</v>
      </c>
      <c r="AA11" s="63">
        <f>VLOOKUP(B11,'Furniture Home'!$A:$D,3,)</f>
        <v>-1.904655201389278E-3</v>
      </c>
      <c r="AB11" s="64">
        <f>VLOOKUP(B11,'Furniture Home'!$A:$D,4,)</f>
        <v>2.3965517241379311E-2</v>
      </c>
      <c r="AC11" s="63">
        <f>VLOOKUP(B11,'Miscellaneous stores retailers'!$A:$D,3,)</f>
        <v>-8.8831313037845833E-3</v>
      </c>
      <c r="AD11" s="64">
        <f>VLOOKUP(B11,'Miscellaneous stores retailers'!$A:$D,4,)</f>
        <v>5.1231720482873687E-2</v>
      </c>
      <c r="AE11" s="63">
        <f>VLOOKUP(B11,'Sporting Goods'!$A:$D,3,)</f>
        <v>1.0330866955186374E-2</v>
      </c>
      <c r="AF11" s="64">
        <f>VLOOKUP(B11,'Sporting Goods'!$A:$D,4,)</f>
        <v>3.9201608271108558E-2</v>
      </c>
    </row>
    <row r="12" spans="2:32" x14ac:dyDescent="0.2">
      <c r="B12" s="67">
        <v>43191</v>
      </c>
      <c r="C12" s="63">
        <f>VLOOKUP(B12,'Retail Sales'!A:D,3,)</f>
        <v>3.3483794208438644E-3</v>
      </c>
      <c r="D12" s="64">
        <f>VLOOKUP(B12,'Retail Sales'!A:D,4,)</f>
        <v>4.3557360080782016E-2</v>
      </c>
      <c r="E12" s="63">
        <f>VLOOKUP(B12,'Retail Sales ex Auto'!$A:$D,3,)</f>
        <v>3.3516086704437958E-3</v>
      </c>
      <c r="F12" s="64">
        <f>VLOOKUP(B12,'Retail Sales ex Auto'!$A:$D,4,)</f>
        <v>4.6833461569074843E-2</v>
      </c>
      <c r="G12" s="63">
        <f>VLOOKUP(B12,'Retail Sales ex Auto and Gas'!$A:$D,3,)</f>
        <v>4.3549932692965847E-3</v>
      </c>
      <c r="H12" s="64">
        <f>VLOOKUP(B12,'Retail Sales ex Auto and Gas'!$A:$D,4,)</f>
        <v>4.3833050262174281E-2</v>
      </c>
      <c r="I12" s="63">
        <f>VLOOKUP(B12,Motor!$A:$D,3,)</f>
        <v>3.3356969509332961E-3</v>
      </c>
      <c r="J12" s="64">
        <f>VLOOKUP(B12,Motor!$A:$D,4,)</f>
        <v>3.0886683837336972E-2</v>
      </c>
      <c r="K12" s="63">
        <f>VLOOKUP(B12,'Non Store Retail'!$A:$D,3,)</f>
        <v>1.4733530985609949E-2</v>
      </c>
      <c r="L12" s="64">
        <f>VLOOKUP(B12,'Non Store Retail'!$A:$D,4,)</f>
        <v>0.13112606803159763</v>
      </c>
      <c r="M12" s="63">
        <f>VLOOKUP(B12,'Food and Beverage'!$A:$D,3,)</f>
        <v>5.6300871859215652E-3</v>
      </c>
      <c r="N12" s="63">
        <f>VLOOKUP(B12,'Food and Beverage'!$A:$D,4,)</f>
        <v>3.3988852318023191E-2</v>
      </c>
      <c r="O12" s="63">
        <f>VLOOKUP(B12,'Food Services'!$A:$D,3,)</f>
        <v>-1.2071631665585874E-2</v>
      </c>
      <c r="P12" s="64">
        <f>VLOOKUP(B12,'Food Services'!$A:$D,4,)</f>
        <v>3.3771792462678779E-2</v>
      </c>
      <c r="Q12" s="63">
        <f>VLOOKUP(B12,'General Merchandising'!$A:$D,3,)</f>
        <v>5.8883283690019115E-3</v>
      </c>
      <c r="R12" s="64">
        <f>VLOOKUP(B12,'General Merchandising'!$A:$D,4,)</f>
        <v>1.3320613997051426E-2</v>
      </c>
      <c r="S12" s="63">
        <f>VLOOKUP(B12,'Gas Station'!$A:$D,3,)</f>
        <v>-4.9047216746456396E-3</v>
      </c>
      <c r="T12" s="64">
        <f>VLOOKUP(B12,'Gas Station'!$A:$D,4,)</f>
        <v>7.2434811199069277E-2</v>
      </c>
      <c r="U12" s="63">
        <f>VLOOKUP(B12,Housing!$A:$D,3,)</f>
        <v>5.0349087003222345E-4</v>
      </c>
      <c r="V12" s="64">
        <f>VLOOKUP(B12,Housing!$A:$D,4,)</f>
        <v>2.5599559577469636E-2</v>
      </c>
      <c r="W12" s="63">
        <f>VLOOKUP(B12,Health!$A:$D,3,)</f>
        <v>9.5035050950350516E-3</v>
      </c>
      <c r="X12" s="64">
        <f>VLOOKUP(B12,Health!$A:$D,4,)</f>
        <v>4.4178658194729957E-2</v>
      </c>
      <c r="Y12" s="63">
        <f>VLOOKUP(B12,'Clothing and clothing access'!$A:$D,3,)</f>
        <v>1.6039083744296447E-2</v>
      </c>
      <c r="Z12" s="64">
        <f>VLOOKUP(B12,'Clothing and clothing access'!$A:$D,4,)</f>
        <v>1.2306561969049916E-2</v>
      </c>
      <c r="AA12" s="63">
        <f>VLOOKUP(B12,'Furniture Home'!$A:$D,3,)</f>
        <v>1.627658977381153E-2</v>
      </c>
      <c r="AB12" s="64">
        <f>VLOOKUP(B12,'Furniture Home'!$A:$D,4,)</f>
        <v>4.755568411917848E-2</v>
      </c>
      <c r="AC12" s="63">
        <f>VLOOKUP(B12,'Miscellaneous stores retailers'!$A:$D,3,)</f>
        <v>-5.6017178601437774E-3</v>
      </c>
      <c r="AD12" s="64">
        <f>VLOOKUP(B12,'Miscellaneous stores retailers'!$A:$D,4,)</f>
        <v>3.9223338862328032E-2</v>
      </c>
      <c r="AE12" s="63">
        <f>VLOOKUP(B12,'Sporting Goods'!$A:$D,3,)</f>
        <v>-1.5199668370871909E-2</v>
      </c>
      <c r="AF12" s="64">
        <f>VLOOKUP(B12,'Sporting Goods'!$A:$D,4,)</f>
        <v>1.4086511098463289E-2</v>
      </c>
    </row>
    <row r="13" spans="2:32" x14ac:dyDescent="0.2">
      <c r="B13" s="67">
        <v>43221</v>
      </c>
      <c r="C13" s="63">
        <f>VLOOKUP(B13,'Retail Sales'!A:D,3,)</f>
        <v>1.1502449371243877E-2</v>
      </c>
      <c r="D13" s="64">
        <f>VLOOKUP(B13,'Retail Sales'!A:D,4,)</f>
        <v>6.0822863922374529E-2</v>
      </c>
      <c r="E13" s="63">
        <f>VLOOKUP(B13,'Retail Sales ex Auto'!$A:$D,3,)</f>
        <v>1.3379392845737805E-2</v>
      </c>
      <c r="F13" s="64">
        <f>VLOOKUP(B13,'Retail Sales ex Auto'!$A:$D,4,)</f>
        <v>6.8673542751913022E-2</v>
      </c>
      <c r="G13" s="63">
        <f>VLOOKUP(B13,'Retail Sales ex Auto and Gas'!$A:$D,3,)</f>
        <v>1.1804327022736889E-2</v>
      </c>
      <c r="H13" s="64">
        <f>VLOOKUP(B13,'Retail Sales ex Auto and Gas'!$A:$D,4,)</f>
        <v>6.0180308845844861E-2</v>
      </c>
      <c r="I13" s="63">
        <f>VLOOKUP(B13,Motor!$A:$D,3,)</f>
        <v>4.1308740531339899E-3</v>
      </c>
      <c r="J13" s="64">
        <f>VLOOKUP(B13,Motor!$A:$D,4,)</f>
        <v>3.0808374973176789E-2</v>
      </c>
      <c r="K13" s="63">
        <f>VLOOKUP(B13,'Non Store Retail'!$A:$D,3,)</f>
        <v>-5.5762412926903138E-3</v>
      </c>
      <c r="L13" s="64">
        <f>VLOOKUP(B13,'Non Store Retail'!$A:$D,4,)</f>
        <v>0.11656098097657579</v>
      </c>
      <c r="M13" s="63">
        <f>VLOOKUP(B13,'Food and Beverage'!$A:$D,3,)</f>
        <v>0</v>
      </c>
      <c r="N13" s="63">
        <f>VLOOKUP(B13,'Food and Beverage'!$A:$D,4,)</f>
        <v>3.1378889365493122E-2</v>
      </c>
      <c r="O13" s="63">
        <f>VLOOKUP(B13,'Food Services'!$A:$D,3,)</f>
        <v>2.2014642766978038E-2</v>
      </c>
      <c r="P13" s="64">
        <f>VLOOKUP(B13,'Food Services'!$A:$D,4,)</f>
        <v>5.6603445275796069E-2</v>
      </c>
      <c r="Q13" s="63">
        <f>VLOOKUP(B13,'General Merchandising'!$A:$D,3,)</f>
        <v>2.1549732126046248E-2</v>
      </c>
      <c r="R13" s="64">
        <f>VLOOKUP(B13,'General Merchandising'!$A:$D,4,)</f>
        <v>5.4452296819787985E-2</v>
      </c>
      <c r="S13" s="63">
        <f>VLOOKUP(B13,'Gas Station'!$A:$D,3,)</f>
        <v>2.6460391953399522E-2</v>
      </c>
      <c r="T13" s="64">
        <f>VLOOKUP(B13,'Gas Station'!$A:$D,4,)</f>
        <v>0.14367921801508263</v>
      </c>
      <c r="U13" s="63">
        <f>VLOOKUP(B13,Housing!$A:$D,3,)</f>
        <v>2.4792833898077633E-2</v>
      </c>
      <c r="V13" s="64">
        <f>VLOOKUP(B13,Housing!$A:$D,4,)</f>
        <v>6.195244055068836E-2</v>
      </c>
      <c r="W13" s="63">
        <f>VLOOKUP(B13,Health!$A:$D,3,)</f>
        <v>1.3315674553459569E-2</v>
      </c>
      <c r="X13" s="64">
        <f>VLOOKUP(B13,Health!$A:$D,4,)</f>
        <v>5.7845371996562159E-2</v>
      </c>
      <c r="Y13" s="63">
        <f>VLOOKUP(B13,'Clothing and clothing access'!$A:$D,3,)</f>
        <v>3.6743025629394417E-2</v>
      </c>
      <c r="Z13" s="64">
        <f>VLOOKUP(B13,'Clothing and clothing access'!$A:$D,4,)</f>
        <v>5.5755728011825573E-2</v>
      </c>
      <c r="AA13" s="63">
        <f>VLOOKUP(B13,'Furniture Home'!$A:$D,3,)</f>
        <v>-1.0382724913017066E-2</v>
      </c>
      <c r="AB13" s="64">
        <f>VLOOKUP(B13,'Furniture Home'!$A:$D,4,)</f>
        <v>3.8722392904759144E-2</v>
      </c>
      <c r="AC13" s="63">
        <f>VLOOKUP(B13,'Miscellaneous stores retailers'!$A:$D,3,)</f>
        <v>1.4928175758144775E-2</v>
      </c>
      <c r="AD13" s="64">
        <f>VLOOKUP(B13,'Miscellaneous stores retailers'!$A:$D,4,)</f>
        <v>7.6371602110923031E-2</v>
      </c>
      <c r="AE13" s="63">
        <f>VLOOKUP(B13,'Sporting Goods'!$A:$D,3,)</f>
        <v>1.5434264066227024E-3</v>
      </c>
      <c r="AF13" s="64">
        <f>VLOOKUP(B13,'Sporting Goods'!$A:$D,4,)</f>
        <v>2.7345998848589521E-2</v>
      </c>
    </row>
    <row r="14" spans="2:32" x14ac:dyDescent="0.2">
      <c r="B14" s="67">
        <v>43252</v>
      </c>
      <c r="C14" s="63">
        <f>VLOOKUP(B14,'Retail Sales'!A:D,3,)</f>
        <v>-2.1728754051673692E-3</v>
      </c>
      <c r="D14" s="64">
        <f>VLOOKUP(B14,'Retail Sales'!A:D,4,)</f>
        <v>5.4590010300400199E-2</v>
      </c>
      <c r="E14" s="63">
        <f>VLOOKUP(B14,'Retail Sales ex Auto'!$A:$D,3,)</f>
        <v>-2.0082982985736831E-3</v>
      </c>
      <c r="F14" s="64">
        <f>VLOOKUP(B14,'Retail Sales ex Auto'!$A:$D,4,)</f>
        <v>6.3897065096834738E-2</v>
      </c>
      <c r="G14" s="63">
        <f>VLOOKUP(B14,'Retail Sales ex Auto and Gas'!$A:$D,3,)</f>
        <v>-2.9496289810168504E-3</v>
      </c>
      <c r="H14" s="64">
        <f>VLOOKUP(B14,'Retail Sales ex Auto and Gas'!$A:$D,4,)</f>
        <v>5.2827325827779242E-2</v>
      </c>
      <c r="I14" s="63">
        <f>VLOOKUP(B14,Motor!$A:$D,3,)</f>
        <v>-2.8251947897460299E-3</v>
      </c>
      <c r="J14" s="64">
        <f>VLOOKUP(B14,Motor!$A:$D,4,)</f>
        <v>1.9220637107886844E-2</v>
      </c>
      <c r="K14" s="63">
        <f>VLOOKUP(B14,'Non Store Retail'!$A:$D,3,)</f>
        <v>-1.2003296427675659E-3</v>
      </c>
      <c r="L14" s="64">
        <f>VLOOKUP(B14,'Non Store Retail'!$A:$D,4,)</f>
        <v>0.10909741977838343</v>
      </c>
      <c r="M14" s="63">
        <f>VLOOKUP(B14,'Food and Beverage'!$A:$D,3,)</f>
        <v>-2.6553202380190672E-3</v>
      </c>
      <c r="N14" s="63">
        <f>VLOOKUP(B14,'Food and Beverage'!$A:$D,4,)</f>
        <v>3.2062635525466371E-2</v>
      </c>
      <c r="O14" s="63">
        <f>VLOOKUP(B14,'Food Services'!$A:$D,3,)</f>
        <v>1.1807717010029148E-2</v>
      </c>
      <c r="P14" s="64">
        <f>VLOOKUP(B14,'Food Services'!$A:$D,4,)</f>
        <v>7.2944134956254472E-2</v>
      </c>
      <c r="Q14" s="63">
        <f>VLOOKUP(B14,'General Merchandising'!$A:$D,3,)</f>
        <v>-1.667169330786502E-2</v>
      </c>
      <c r="R14" s="64">
        <f>VLOOKUP(B14,'General Merchandising'!$A:$D,4,)</f>
        <v>1.5926047743521389E-2</v>
      </c>
      <c r="S14" s="63">
        <f>VLOOKUP(B14,'Gas Station'!$A:$D,3,)</f>
        <v>5.6978747846065476E-3</v>
      </c>
      <c r="T14" s="64">
        <f>VLOOKUP(B14,'Gas Station'!$A:$D,4,)</f>
        <v>0.16315467807509368</v>
      </c>
      <c r="U14" s="63">
        <f>VLOOKUP(B14,Housing!$A:$D,3,)</f>
        <v>1.4011654553787729E-2</v>
      </c>
      <c r="V14" s="64">
        <f>VLOOKUP(B14,Housing!$A:$D,4,)</f>
        <v>7.8481894150417827E-2</v>
      </c>
      <c r="W14" s="63">
        <f>VLOOKUP(B14,Health!$A:$D,3,)</f>
        <v>-8.2305980430251863E-3</v>
      </c>
      <c r="X14" s="64">
        <f>VLOOKUP(B14,Health!$A:$D,4,)</f>
        <v>4.0506985879998521E-2</v>
      </c>
      <c r="Y14" s="63">
        <f>VLOOKUP(B14,'Clothing and clothing access'!$A:$D,3,)</f>
        <v>-2.2402100196893458E-2</v>
      </c>
      <c r="Z14" s="64">
        <f>VLOOKUP(B14,'Clothing and clothing access'!$A:$D,4,)</f>
        <v>2.5331558900463493E-2</v>
      </c>
      <c r="AA14" s="63">
        <f>VLOOKUP(B14,'Furniture Home'!$A:$D,3,)</f>
        <v>2.3996874825604106E-3</v>
      </c>
      <c r="AB14" s="64">
        <f>VLOOKUP(B14,'Furniture Home'!$A:$D,4,)</f>
        <v>4.1758496694119011E-2</v>
      </c>
      <c r="AC14" s="63">
        <f>VLOOKUP(B14,'Miscellaneous stores retailers'!$A:$D,3,)</f>
        <v>-4.3478260869565218E-3</v>
      </c>
      <c r="AD14" s="64">
        <f>VLOOKUP(B14,'Miscellaneous stores retailers'!$A:$D,4,)</f>
        <v>7.1158439490445854E-2</v>
      </c>
      <c r="AE14" s="63">
        <f>VLOOKUP(B14,'Sporting Goods'!$A:$D,3,)</f>
        <v>-3.0680862986831044E-2</v>
      </c>
      <c r="AF14" s="64">
        <f>VLOOKUP(B14,'Sporting Goods'!$A:$D,4,)</f>
        <v>-3.7437005039596834E-3</v>
      </c>
    </row>
    <row r="15" spans="2:32" x14ac:dyDescent="0.2">
      <c r="B15" s="67">
        <v>43282</v>
      </c>
      <c r="C15" s="63">
        <f>VLOOKUP(B15,'Retail Sales'!A:D,3,)</f>
        <v>6.6669201870980781E-3</v>
      </c>
      <c r="D15" s="64">
        <f>VLOOKUP(B15,'Retail Sales'!A:D,4,)</f>
        <v>6.1193056783392659E-2</v>
      </c>
      <c r="E15" s="63">
        <f>VLOOKUP(B15,'Retail Sales ex Auto'!$A:$D,3,)</f>
        <v>6.8690199930833652E-3</v>
      </c>
      <c r="F15" s="64">
        <f>VLOOKUP(B15,'Retail Sales ex Auto'!$A:$D,4,)</f>
        <v>7.1302108053050622E-2</v>
      </c>
      <c r="G15" s="63">
        <f>VLOOKUP(B15,'Retail Sales ex Auto and Gas'!$A:$D,3,)</f>
        <v>6.5866325137573364E-3</v>
      </c>
      <c r="H15" s="64">
        <f>VLOOKUP(B15,'Retail Sales ex Auto and Gas'!$A:$D,4,)</f>
        <v>5.9592347100532454E-2</v>
      </c>
      <c r="I15" s="63">
        <f>VLOOKUP(B15,Motor!$A:$D,3,)</f>
        <v>5.8652192498483994E-3</v>
      </c>
      <c r="J15" s="64">
        <f>VLOOKUP(B15,Motor!$A:$D,4,)</f>
        <v>2.2866732038697546E-2</v>
      </c>
      <c r="K15" s="63">
        <f>VLOOKUP(B15,'Non Store Retail'!$A:$D,3,)</f>
        <v>1.7273232767125252E-2</v>
      </c>
      <c r="L15" s="64">
        <f>VLOOKUP(B15,'Non Store Retail'!$A:$D,4,)</f>
        <v>0.11833257744562538</v>
      </c>
      <c r="M15" s="63">
        <f>VLOOKUP(B15,'Food and Beverage'!$A:$D,3,)</f>
        <v>5.8219727345629512E-3</v>
      </c>
      <c r="N15" s="63">
        <f>VLOOKUP(B15,'Food and Beverage'!$A:$D,4,)</f>
        <v>3.7556044537829028E-2</v>
      </c>
      <c r="O15" s="63">
        <f>VLOOKUP(B15,'Food Services'!$A:$D,3,)</f>
        <v>1.3330078125E-2</v>
      </c>
      <c r="P15" s="64">
        <f>VLOOKUP(B15,'Food Services'!$A:$D,4,)</f>
        <v>8.8158699641702351E-2</v>
      </c>
      <c r="Q15" s="63">
        <f>VLOOKUP(B15,'General Merchandising'!$A:$D,3,)</f>
        <v>4.7540341131766832E-3</v>
      </c>
      <c r="R15" s="64">
        <f>VLOOKUP(B15,'General Merchandising'!$A:$D,4,)</f>
        <v>2.6602597583481317E-2</v>
      </c>
      <c r="S15" s="63">
        <f>VLOOKUP(B15,'Gas Station'!$A:$D,3,)</f>
        <v>9.1608982706234444E-3</v>
      </c>
      <c r="T15" s="64">
        <f>VLOOKUP(B15,'Gas Station'!$A:$D,4,)</f>
        <v>0.17656145958183514</v>
      </c>
      <c r="U15" s="63">
        <f>VLOOKUP(B15,Housing!$A:$D,3,)</f>
        <v>5.4884742041712406E-4</v>
      </c>
      <c r="V15" s="64">
        <f>VLOOKUP(B15,Housing!$A:$D,4,)</f>
        <v>7.4658436784797833E-2</v>
      </c>
      <c r="W15" s="63">
        <f>VLOOKUP(B15,Health!$A:$D,3,)</f>
        <v>6.4824049009830458E-3</v>
      </c>
      <c r="X15" s="64">
        <f>VLOOKUP(B15,Health!$A:$D,4,)</f>
        <v>4.5817912657290898E-2</v>
      </c>
      <c r="Y15" s="63">
        <f>VLOOKUP(B15,'Clothing and clothing access'!$A:$D,3,)</f>
        <v>1.5888645213265901E-2</v>
      </c>
      <c r="Z15" s="64">
        <f>VLOOKUP(B15,'Clothing and clothing access'!$A:$D,4,)</f>
        <v>4.9909801563439569E-2</v>
      </c>
      <c r="AA15" s="63">
        <f>VLOOKUP(B15,'Furniture Home'!$A:$D,3,)</f>
        <v>-2.2269235051775972E-3</v>
      </c>
      <c r="AB15" s="64">
        <f>VLOOKUP(B15,'Furniture Home'!$A:$D,4,)</f>
        <v>4.7580079494973115E-2</v>
      </c>
      <c r="AC15" s="63">
        <f>VLOOKUP(B15,'Miscellaneous stores retailers'!$A:$D,3,)</f>
        <v>-3.2704636253832575E-2</v>
      </c>
      <c r="AD15" s="64">
        <f>VLOOKUP(B15,'Miscellaneous stores retailers'!$A:$D,4,)</f>
        <v>1.4915188145837395E-2</v>
      </c>
      <c r="AE15" s="63">
        <f>VLOOKUP(B15,'Sporting Goods'!$A:$D,3,)</f>
        <v>-3.5554270848388497E-2</v>
      </c>
      <c r="AF15" s="64">
        <f>VLOOKUP(B15,'Sporting Goods'!$A:$D,4,)</f>
        <v>-2.4557813185206841E-2</v>
      </c>
    </row>
    <row r="16" spans="2:32" x14ac:dyDescent="0.2">
      <c r="B16" s="67">
        <v>43313</v>
      </c>
      <c r="C16" s="63">
        <f>VLOOKUP(B16,'Retail Sales'!A:D,3,)</f>
        <v>-2.0856446411458519E-3</v>
      </c>
      <c r="D16" s="64">
        <f>VLOOKUP(B16,'Retail Sales'!A:D,4,)</f>
        <v>5.7320050642191013E-2</v>
      </c>
      <c r="E16" s="63">
        <f>VLOOKUP(B16,'Retail Sales ex Auto'!$A:$D,3,)</f>
        <v>1.0577954547151542E-3</v>
      </c>
      <c r="F16" s="64">
        <f>VLOOKUP(B16,'Retail Sales ex Auto'!$A:$D,4,)</f>
        <v>6.3907904899958734E-2</v>
      </c>
      <c r="G16" s="63">
        <f>VLOOKUP(B16,'Retail Sales ex Auto and Gas'!$A:$D,3,)</f>
        <v>-4.7538485200151003E-5</v>
      </c>
      <c r="H16" s="64">
        <f>VLOOKUP(B16,'Retail Sales ex Auto and Gas'!$A:$D,4,)</f>
        <v>5.3964436348845637E-2</v>
      </c>
      <c r="I16" s="63">
        <f>VLOOKUP(B16,Motor!$A:$D,3,)</f>
        <v>-1.456766452862635E-2</v>
      </c>
      <c r="J16" s="64">
        <f>VLOOKUP(B16,Motor!$A:$D,4,)</f>
        <v>3.1554226714532535E-2</v>
      </c>
      <c r="K16" s="63">
        <f>VLOOKUP(B16,'Non Store Retail'!$A:$D,3,)</f>
        <v>4.1259653701026201E-3</v>
      </c>
      <c r="L16" s="64">
        <f>VLOOKUP(B16,'Non Store Retail'!$A:$D,4,)</f>
        <v>0.11586166356422063</v>
      </c>
      <c r="M16" s="63">
        <f>VLOOKUP(B16,'Food and Beverage'!$A:$D,3,)</f>
        <v>-3.2369684116530864E-3</v>
      </c>
      <c r="N16" s="63">
        <f>VLOOKUP(B16,'Food and Beverage'!$A:$D,4,)</f>
        <v>2.8767979987492184E-2</v>
      </c>
      <c r="O16" s="63">
        <f>VLOOKUP(B16,'Food Services'!$A:$D,3,)</f>
        <v>6.0392874925713552E-3</v>
      </c>
      <c r="P16" s="64">
        <f>VLOOKUP(B16,'Food Services'!$A:$D,4,)</f>
        <v>8.8849871358041857E-2</v>
      </c>
      <c r="Q16" s="63">
        <f>VLOOKUP(B16,'General Merchandising'!$A:$D,3,)</f>
        <v>4.0023064138656177E-3</v>
      </c>
      <c r="R16" s="64">
        <f>VLOOKUP(B16,'General Merchandising'!$A:$D,4,)</f>
        <v>2.6849828285981894E-2</v>
      </c>
      <c r="S16" s="63">
        <f>VLOOKUP(B16,'Gas Station'!$A:$D,3,)</f>
        <v>1.0005885815185403E-2</v>
      </c>
      <c r="T16" s="64">
        <f>VLOOKUP(B16,'Gas Station'!$A:$D,4,)</f>
        <v>0.1509351218883013</v>
      </c>
      <c r="U16" s="63">
        <f>VLOOKUP(B16,Housing!$A:$D,3,)</f>
        <v>-1.2584298667355038E-2</v>
      </c>
      <c r="V16" s="64">
        <f>VLOOKUP(B16,Housing!$A:$D,4,)</f>
        <v>6.0950663939257362E-2</v>
      </c>
      <c r="W16" s="63">
        <f>VLOOKUP(B16,Health!$A:$D,3,)</f>
        <v>9.7317573784415027E-3</v>
      </c>
      <c r="X16" s="64">
        <f>VLOOKUP(B16,Health!$A:$D,4,)</f>
        <v>4.3788410886742755E-2</v>
      </c>
      <c r="Y16" s="63">
        <f>VLOOKUP(B16,'Clothing and clothing access'!$A:$D,3,)</f>
        <v>-2.6301876817340735E-2</v>
      </c>
      <c r="Z16" s="64">
        <f>VLOOKUP(B16,'Clothing and clothing access'!$A:$D,4,)</f>
        <v>1.4784884521787042E-2</v>
      </c>
      <c r="AA16" s="63">
        <f>VLOOKUP(B16,'Furniture Home'!$A:$D,3,)</f>
        <v>-5.4123423725030689E-3</v>
      </c>
      <c r="AB16" s="64">
        <f>VLOOKUP(B16,'Furniture Home'!$A:$D,4,)</f>
        <v>3.6457727642749155E-2</v>
      </c>
      <c r="AC16" s="63">
        <f>VLOOKUP(B16,'Miscellaneous stores retailers'!$A:$D,3,)</f>
        <v>2.0555182019018348E-2</v>
      </c>
      <c r="AD16" s="64">
        <f>VLOOKUP(B16,'Miscellaneous stores retailers'!$A:$D,4,)</f>
        <v>3.8104543234000976E-2</v>
      </c>
      <c r="AE16" s="63">
        <f>VLOOKUP(B16,'Sporting Goods'!$A:$D,3,)</f>
        <v>-9.740746291023528E-3</v>
      </c>
      <c r="AF16" s="64">
        <f>VLOOKUP(B16,'Sporting Goods'!$A:$D,4,)</f>
        <v>-4.4119774338203382E-2</v>
      </c>
    </row>
    <row r="17" spans="2:32" x14ac:dyDescent="0.2">
      <c r="B17" s="67">
        <v>43344</v>
      </c>
      <c r="C17" s="63">
        <f>VLOOKUP(B17,'Retail Sales'!A:D,3,)</f>
        <v>-3.090176982863564E-3</v>
      </c>
      <c r="D17" s="64">
        <f>VLOOKUP(B17,'Retail Sales'!A:D,4,)</f>
        <v>3.2984093231623608E-2</v>
      </c>
      <c r="E17" s="63">
        <f>VLOOKUP(B17,'Retail Sales ex Auto'!$A:$D,3,)</f>
        <v>-3.1227934083201559E-3</v>
      </c>
      <c r="F17" s="64">
        <f>VLOOKUP(B17,'Retail Sales ex Auto'!$A:$D,4,)</f>
        <v>4.5671246309684013E-2</v>
      </c>
      <c r="G17" s="63">
        <f>VLOOKUP(B17,'Retail Sales ex Auto and Gas'!$A:$D,3,)</f>
        <v>-2.0386590154032012E-3</v>
      </c>
      <c r="H17" s="64">
        <f>VLOOKUP(B17,'Retail Sales ex Auto and Gas'!$A:$D,4,)</f>
        <v>4.1571321829686883E-2</v>
      </c>
      <c r="I17" s="63">
        <f>VLOOKUP(B17,Motor!$A:$D,3,)</f>
        <v>-2.9586095538015624E-3</v>
      </c>
      <c r="J17" s="64">
        <f>VLOOKUP(B17,Motor!$A:$D,4,)</f>
        <v>-1.5205697926675846E-2</v>
      </c>
      <c r="K17" s="63">
        <f>VLOOKUP(B17,'Non Store Retail'!$A:$D,3,)</f>
        <v>1.4135702746365105E-2</v>
      </c>
      <c r="L17" s="64">
        <f>VLOOKUP(B17,'Non Store Retail'!$A:$D,4,)</f>
        <v>0.12009076627683714</v>
      </c>
      <c r="M17" s="63">
        <f>VLOOKUP(B17,'Food and Beverage'!$A:$D,3,)</f>
        <v>4.847224444088946E-3</v>
      </c>
      <c r="N17" s="63">
        <f>VLOOKUP(B17,'Food and Beverage'!$A:$D,4,)</f>
        <v>2.4163962759452807E-2</v>
      </c>
      <c r="O17" s="63">
        <f>VLOOKUP(B17,'Food Services'!$A:$D,3,)</f>
        <v>-2.0084617226790134E-2</v>
      </c>
      <c r="P17" s="64">
        <f>VLOOKUP(B17,'Food Services'!$A:$D,4,)</f>
        <v>6.0344827586206899E-2</v>
      </c>
      <c r="Q17" s="63">
        <f>VLOOKUP(B17,'General Merchandising'!$A:$D,3,)</f>
        <v>-3.5471774602209385E-3</v>
      </c>
      <c r="R17" s="64">
        <f>VLOOKUP(B17,'General Merchandising'!$A:$D,4,)</f>
        <v>1.19737880399355E-2</v>
      </c>
      <c r="S17" s="63">
        <f>VLOOKUP(B17,'Gas Station'!$A:$D,3,)</f>
        <v>-1.1811906042675274E-2</v>
      </c>
      <c r="T17" s="64">
        <f>VLOOKUP(B17,'Gas Station'!$A:$D,4,)</f>
        <v>8.0083292503674672E-2</v>
      </c>
      <c r="U17" s="63">
        <f>VLOOKUP(B17,Housing!$A:$D,3,)</f>
        <v>4.3789418646449458E-3</v>
      </c>
      <c r="V17" s="64">
        <f>VLOOKUP(B17,Housing!$A:$D,4,)</f>
        <v>3.2657998185666767E-2</v>
      </c>
      <c r="W17" s="63">
        <f>VLOOKUP(B17,Health!$A:$D,3,)</f>
        <v>-7.5000876178460026E-3</v>
      </c>
      <c r="X17" s="64">
        <f>VLOOKUP(B17,Health!$A:$D,4,)</f>
        <v>3.4597398801695163E-2</v>
      </c>
      <c r="Y17" s="63">
        <f>VLOOKUP(B17,'Clothing and clothing access'!$A:$D,3,)</f>
        <v>4.9771503551875485E-4</v>
      </c>
      <c r="Z17" s="64">
        <f>VLOOKUP(B17,'Clothing and clothing access'!$A:$D,4,)</f>
        <v>9.8186966251084615E-3</v>
      </c>
      <c r="AA17" s="63">
        <f>VLOOKUP(B17,'Furniture Home'!$A:$D,3,)</f>
        <v>-1.2847124824684432E-2</v>
      </c>
      <c r="AB17" s="64">
        <f>VLOOKUP(B17,'Furniture Home'!$A:$D,4,)</f>
        <v>2.5527450751835878E-2</v>
      </c>
      <c r="AC17" s="63">
        <f>VLOOKUP(B17,'Miscellaneous stores retailers'!$A:$D,3,)</f>
        <v>3.2000000000000002E-3</v>
      </c>
      <c r="AD17" s="64">
        <f>VLOOKUP(B17,'Miscellaneous stores retailers'!$A:$D,4,)</f>
        <v>2.9457214603051961E-2</v>
      </c>
      <c r="AE17" s="63">
        <f>VLOOKUP(B17,'Sporting Goods'!$A:$D,3,)</f>
        <v>-1.5889830508474576E-2</v>
      </c>
      <c r="AF17" s="64">
        <f>VLOOKUP(B17,'Sporting Goods'!$A:$D,4,)</f>
        <v>-7.126535275635533E-2</v>
      </c>
    </row>
    <row r="18" spans="2:32" x14ac:dyDescent="0.2">
      <c r="B18" s="67">
        <v>43374</v>
      </c>
      <c r="C18" s="63">
        <f>VLOOKUP(B18,'Retail Sales'!A:D,3,)</f>
        <v>1.1287827612808327E-2</v>
      </c>
      <c r="D18" s="64">
        <f>VLOOKUP(B18,'Retail Sales'!A:D,4,)</f>
        <v>4.3192683776612742E-2</v>
      </c>
      <c r="E18" s="63">
        <f>VLOOKUP(B18,'Retail Sales ex Auto'!$A:$D,3,)</f>
        <v>1.2926863333898661E-2</v>
      </c>
      <c r="F18" s="64">
        <f>VLOOKUP(B18,'Retail Sales ex Auto'!$A:$D,4,)</f>
        <v>5.8848834208035793E-2</v>
      </c>
      <c r="G18" s="63">
        <f>VLOOKUP(B18,'Retail Sales ex Auto and Gas'!$A:$D,3,)</f>
        <v>9.5107591513735115E-3</v>
      </c>
      <c r="H18" s="64">
        <f>VLOOKUP(B18,'Retail Sales ex Auto and Gas'!$A:$D,4,)</f>
        <v>5.1468248987942875E-2</v>
      </c>
      <c r="I18" s="63">
        <f>VLOOKUP(B18,Motor!$A:$D,3,)</f>
        <v>4.6774096203753999E-3</v>
      </c>
      <c r="J18" s="64">
        <f>VLOOKUP(B18,Motor!$A:$D,4,)</f>
        <v>-1.5970443349753696E-2</v>
      </c>
      <c r="K18" s="63">
        <f>VLOOKUP(B18,'Non Store Retail'!$A:$D,3,)</f>
        <v>8.0688449084896016E-3</v>
      </c>
      <c r="L18" s="64">
        <f>VLOOKUP(B18,'Non Store Retail'!$A:$D,4,)</f>
        <v>0.13989505423503151</v>
      </c>
      <c r="M18" s="63">
        <f>VLOOKUP(B18,'Food and Beverage'!$A:$D,3,)</f>
        <v>3.8686259213857005E-3</v>
      </c>
      <c r="N18" s="63">
        <f>VLOOKUP(B18,'Food and Beverage'!$A:$D,4,)</f>
        <v>2.4251579682601564E-2</v>
      </c>
      <c r="O18" s="63">
        <f>VLOOKUP(B18,'Food Services'!$A:$D,3,)</f>
        <v>9.6941851182038869E-3</v>
      </c>
      <c r="P18" s="64">
        <f>VLOOKUP(B18,'Food Services'!$A:$D,4,)</f>
        <v>6.6166603585314662E-2</v>
      </c>
      <c r="Q18" s="63">
        <f>VLOOKUP(B18,'General Merchandising'!$A:$D,3,)</f>
        <v>6.1533767290480063E-3</v>
      </c>
      <c r="R18" s="64">
        <f>VLOOKUP(B18,'General Merchandising'!$A:$D,4,)</f>
        <v>2.3432650527622594E-2</v>
      </c>
      <c r="S18" s="63">
        <f>VLOOKUP(B18,'Gas Station'!$A:$D,3,)</f>
        <v>4.0577014674862209E-2</v>
      </c>
      <c r="T18" s="64">
        <f>VLOOKUP(B18,'Gas Station'!$A:$D,4,)</f>
        <v>0.12061553492916463</v>
      </c>
      <c r="U18" s="63">
        <f>VLOOKUP(B18,Housing!$A:$D,3,)</f>
        <v>2.5052871319342768E-2</v>
      </c>
      <c r="V18" s="64">
        <f>VLOOKUP(B18,Housing!$A:$D,4,)</f>
        <v>6.576232197828219E-2</v>
      </c>
      <c r="W18" s="63">
        <f>VLOOKUP(B18,Health!$A:$D,3,)</f>
        <v>8.3336275998446268E-3</v>
      </c>
      <c r="X18" s="64">
        <f>VLOOKUP(B18,Health!$A:$D,4,)</f>
        <v>3.5802379570516539E-2</v>
      </c>
      <c r="Y18" s="63">
        <f>VLOOKUP(B18,'Clothing and clothing access'!$A:$D,3,)</f>
        <v>1.781837916063676E-2</v>
      </c>
      <c r="Z18" s="64">
        <f>VLOOKUP(B18,'Clothing and clothing access'!$A:$D,4,)</f>
        <v>3.2574784364103507E-2</v>
      </c>
      <c r="AA18" s="63">
        <f>VLOOKUP(B18,'Furniture Home'!$A:$D,3,)</f>
        <v>4.6033189361218462E-3</v>
      </c>
      <c r="AB18" s="64">
        <f>VLOOKUP(B18,'Furniture Home'!$A:$D,4,)</f>
        <v>9.4221105527638183E-3</v>
      </c>
      <c r="AC18" s="63">
        <f>VLOOKUP(B18,'Miscellaneous stores retailers'!$A:$D,3,)</f>
        <v>2.3266722957125435E-2</v>
      </c>
      <c r="AD18" s="64">
        <f>VLOOKUP(B18,'Miscellaneous stores retailers'!$A:$D,4,)</f>
        <v>4.955735180908391E-2</v>
      </c>
      <c r="AE18" s="63">
        <f>VLOOKUP(B18,'Sporting Goods'!$A:$D,3,)</f>
        <v>-3.0755036137167463E-4</v>
      </c>
      <c r="AF18" s="64">
        <f>VLOOKUP(B18,'Sporting Goods'!$A:$D,4,)</f>
        <v>-7.5380457971838996E-2</v>
      </c>
    </row>
    <row r="19" spans="2:32" x14ac:dyDescent="0.2">
      <c r="B19" s="67">
        <v>43405</v>
      </c>
      <c r="C19" s="63">
        <f>VLOOKUP(B19,'Retail Sales'!A:D,3,)</f>
        <v>1.903124444180945E-3</v>
      </c>
      <c r="D19" s="64">
        <f>VLOOKUP(B19,'Retail Sales'!A:D,4,)</f>
        <v>3.4623995167415975E-2</v>
      </c>
      <c r="E19" s="63">
        <f>VLOOKUP(B19,'Retail Sales ex Auto'!$A:$D,3,)</f>
        <v>3.5948991827760006E-4</v>
      </c>
      <c r="F19" s="64">
        <f>VLOOKUP(B19,'Retail Sales ex Auto'!$A:$D,4,)</f>
        <v>4.3357113874379162E-2</v>
      </c>
      <c r="G19" s="63">
        <f>VLOOKUP(B19,'Retail Sales ex Auto and Gas'!$A:$D,3,)</f>
        <v>6.3899537269641055E-3</v>
      </c>
      <c r="H19" s="64">
        <f>VLOOKUP(B19,'Retail Sales ex Auto and Gas'!$A:$D,4,)</f>
        <v>4.3657110616628622E-2</v>
      </c>
      <c r="I19" s="63">
        <f>VLOOKUP(B19,Motor!$A:$D,3,)</f>
        <v>8.1798976761881872E-3</v>
      </c>
      <c r="J19" s="64">
        <f>VLOOKUP(B19,Motor!$A:$D,4,)</f>
        <v>8.2494309880432948E-4</v>
      </c>
      <c r="K19" s="63">
        <f>VLOOKUP(B19,'Non Store Retail'!$A:$D,3,)</f>
        <v>3.5194695889658012E-2</v>
      </c>
      <c r="L19" s="64">
        <f>VLOOKUP(B19,'Non Store Retail'!$A:$D,4,)</f>
        <v>0.12817056962617698</v>
      </c>
      <c r="M19" s="63">
        <f>VLOOKUP(B19,'Food and Beverage'!$A:$D,3,)</f>
        <v>1.3004313625983254E-3</v>
      </c>
      <c r="N19" s="63">
        <f>VLOOKUP(B19,'Food and Beverage'!$A:$D,4,)</f>
        <v>2.2212867920862609E-2</v>
      </c>
      <c r="O19" s="63">
        <f>VLOOKUP(B19,'Food Services'!$A:$D,3,)</f>
        <v>-3.8888530304008262E-3</v>
      </c>
      <c r="P19" s="64">
        <f>VLOOKUP(B19,'Food Services'!$A:$D,4,)</f>
        <v>4.8972794779860322E-2</v>
      </c>
      <c r="Q19" s="63">
        <f>VLOOKUP(B19,'General Merchandising'!$A:$D,3,)</f>
        <v>1.0226602645101508E-2</v>
      </c>
      <c r="R19" s="64">
        <f>VLOOKUP(B19,'General Merchandising'!$A:$D,4,)</f>
        <v>3.2670283303194693E-2</v>
      </c>
      <c r="S19" s="63">
        <f>VLOOKUP(B19,'Gas Station'!$A:$D,3,)</f>
        <v>-4.6994202014037229E-2</v>
      </c>
      <c r="T19" s="64">
        <f>VLOOKUP(B19,'Gas Station'!$A:$D,4,)</f>
        <v>4.0876086180216639E-2</v>
      </c>
      <c r="U19" s="63">
        <f>VLOOKUP(B19,Housing!$A:$D,3,)</f>
        <v>-2.0631645770512616E-2</v>
      </c>
      <c r="V19" s="64">
        <f>VLOOKUP(B19,Housing!$A:$D,4,)</f>
        <v>3.0285828769867771E-2</v>
      </c>
      <c r="W19" s="63">
        <f>VLOOKUP(B19,Health!$A:$D,3,)</f>
        <v>1.8280511293994047E-2</v>
      </c>
      <c r="X19" s="64">
        <f>VLOOKUP(B19,Health!$A:$D,4,)</f>
        <v>4.732917912329359E-2</v>
      </c>
      <c r="Y19" s="63">
        <f>VLOOKUP(B19,'Clothing and clothing access'!$A:$D,3,)</f>
        <v>1.2885452768150716E-3</v>
      </c>
      <c r="Z19" s="64">
        <f>VLOOKUP(B19,'Clothing and clothing access'!$A:$D,4,)</f>
        <v>2.1161863331520755E-2</v>
      </c>
      <c r="AA19" s="63">
        <f>VLOOKUP(B19,'Furniture Home'!$A:$D,3,)</f>
        <v>-2.6022515132658255E-3</v>
      </c>
      <c r="AB19" s="64">
        <f>VLOOKUP(B19,'Furniture Home'!$A:$D,4,)</f>
        <v>-8.1012658227848106E-3</v>
      </c>
      <c r="AC19" s="63">
        <f>VLOOKUP(B19,'Miscellaneous stores retailers'!$A:$D,3,)</f>
        <v>-1.1735582653341891E-2</v>
      </c>
      <c r="AD19" s="64">
        <f>VLOOKUP(B19,'Miscellaneous stores retailers'!$A:$D,4,)</f>
        <v>1.7847025495750707E-2</v>
      </c>
      <c r="AE19" s="63">
        <f>VLOOKUP(B19,'Sporting Goods'!$A:$D,3,)</f>
        <v>1.1998154130133826E-2</v>
      </c>
      <c r="AF19" s="64">
        <f>VLOOKUP(B19,'Sporting Goods'!$A:$D,4,)</f>
        <v>-7.908734602463606E-2</v>
      </c>
    </row>
    <row r="20" spans="2:32" x14ac:dyDescent="0.2">
      <c r="B20" s="67">
        <v>43435</v>
      </c>
      <c r="C20" s="63">
        <f>VLOOKUP(B20,'Retail Sales'!A:D,3,)</f>
        <v>-2.047446313709014E-2</v>
      </c>
      <c r="D20" s="64">
        <f>VLOOKUP(B20,'Retail Sales'!A:D,4,)</f>
        <v>8.513386447224925E-3</v>
      </c>
      <c r="E20" s="63">
        <f>VLOOKUP(B20,'Retail Sales ex Auto'!$A:$D,3,)</f>
        <v>-2.8195049190576874E-2</v>
      </c>
      <c r="F20" s="64">
        <f>VLOOKUP(B20,'Retail Sales ex Auto'!$A:$D,4,)</f>
        <v>7.1450253940477677E-3</v>
      </c>
      <c r="G20" s="63">
        <f>VLOOKUP(B20,'Retail Sales ex Auto and Gas'!$A:$D,3,)</f>
        <v>-2.3982568162071963E-2</v>
      </c>
      <c r="H20" s="64">
        <f>VLOOKUP(B20,'Retail Sales ex Auto and Gas'!$A:$D,4,)</f>
        <v>1.3051780556024746E-2</v>
      </c>
      <c r="I20" s="63">
        <f>VLOOKUP(B20,Motor!$A:$D,3,)</f>
        <v>1.0675697147850957E-2</v>
      </c>
      <c r="J20" s="64">
        <f>VLOOKUP(B20,Motor!$A:$D,4,)</f>
        <v>1.3857342100019925E-2</v>
      </c>
      <c r="K20" s="63">
        <f>VLOOKUP(B20,'Non Store Retail'!$A:$D,3,)</f>
        <v>-9.6170438707108244E-2</v>
      </c>
      <c r="L20" s="64">
        <f>VLOOKUP(B20,'Non Store Retail'!$A:$D,4,)</f>
        <v>2.0050401927781763E-3</v>
      </c>
      <c r="M20" s="63">
        <f>VLOOKUP(B20,'Food and Beverage'!$A:$D,3,)</f>
        <v>-2.5182932623776491E-3</v>
      </c>
      <c r="N20" s="63">
        <f>VLOOKUP(B20,'Food and Beverage'!$A:$D,4,)</f>
        <v>1.119103432773514E-2</v>
      </c>
      <c r="O20" s="63">
        <f>VLOOKUP(B20,'Food Services'!$A:$D,3,)</f>
        <v>9.55759666942055E-4</v>
      </c>
      <c r="P20" s="64">
        <f>VLOOKUP(B20,'Food Services'!$A:$D,4,)</f>
        <v>4.5180060555828072E-2</v>
      </c>
      <c r="Q20" s="63">
        <f>VLOOKUP(B20,'General Merchandising'!$A:$D,3,)</f>
        <v>-1.175744638270905E-2</v>
      </c>
      <c r="R20" s="64">
        <f>VLOOKUP(B20,'General Merchandising'!$A:$D,4,)</f>
        <v>1.1366933488078374E-2</v>
      </c>
      <c r="S20" s="63">
        <f>VLOOKUP(B20,'Gas Station'!$A:$D,3,)</f>
        <v>-6.3126114999313851E-2</v>
      </c>
      <c r="T20" s="64">
        <f>VLOOKUP(B20,'Gas Station'!$A:$D,4,)</f>
        <v>-4.1151685393258426E-2</v>
      </c>
      <c r="U20" s="63">
        <f>VLOOKUP(B20,Housing!$A:$D,3,)</f>
        <v>3.7595203370604439E-3</v>
      </c>
      <c r="V20" s="64">
        <f>VLOOKUP(B20,Housing!$A:$D,4,)</f>
        <v>3.0854746371987752E-2</v>
      </c>
      <c r="W20" s="63">
        <f>VLOOKUP(B20,Health!$A:$D,3,)</f>
        <v>-3.8965505382260894E-2</v>
      </c>
      <c r="X20" s="64">
        <f>VLOOKUP(B20,Health!$A:$D,4,)</f>
        <v>9.9389208139072614E-3</v>
      </c>
      <c r="Y20" s="63">
        <f>VLOOKUP(B20,'Clothing and clothing access'!$A:$D,3,)</f>
        <v>-2.2498335921899267E-2</v>
      </c>
      <c r="Z20" s="64">
        <f>VLOOKUP(B20,'Clothing and clothing access'!$A:$D,4,)</f>
        <v>1.2316176470588235E-2</v>
      </c>
      <c r="AA20" s="63">
        <f>VLOOKUP(B20,'Furniture Home'!$A:$D,3,)</f>
        <v>-9.5286710906925306E-3</v>
      </c>
      <c r="AB20" s="64">
        <f>VLOOKUP(B20,'Furniture Home'!$A:$D,4,)</f>
        <v>-1.6612231107106655E-2</v>
      </c>
      <c r="AC20" s="63">
        <f>VLOOKUP(B20,'Miscellaneous stores retailers'!$A:$D,3,)</f>
        <v>-2.0502829576027462E-2</v>
      </c>
      <c r="AD20" s="64">
        <f>VLOOKUP(B20,'Miscellaneous stores retailers'!$A:$D,4,)</f>
        <v>-9.1966966966966959E-3</v>
      </c>
      <c r="AE20" s="63">
        <f>VLOOKUP(B20,'Sporting Goods'!$A:$D,3,)</f>
        <v>-2.7511779905760755E-2</v>
      </c>
      <c r="AF20" s="64">
        <f>VLOOKUP(B20,'Sporting Goods'!$A:$D,4,)</f>
        <v>-9.363932568352458E-2</v>
      </c>
    </row>
    <row r="21" spans="2:32" x14ac:dyDescent="0.2">
      <c r="B21" s="67">
        <v>43466</v>
      </c>
      <c r="C21" s="63">
        <f>VLOOKUP(B21,'Retail Sales'!A:D,3,)</f>
        <v>1.2346126506011966E-2</v>
      </c>
      <c r="D21" s="64">
        <f>VLOOKUP(B21,'Retail Sales'!A:D,4,)</f>
        <v>2.285286433960268E-2</v>
      </c>
      <c r="E21" s="63">
        <f>VLOOKUP(B21,'Retail Sales ex Auto'!$A:$D,3,)</f>
        <v>2.101453313138579E-2</v>
      </c>
      <c r="F21" s="64">
        <f>VLOOKUP(B21,'Retail Sales ex Auto'!$A:$D,4,)</f>
        <v>3.0433548987380276E-2</v>
      </c>
      <c r="G21" s="63">
        <f>VLOOKUP(B21,'Retail Sales ex Auto and Gas'!$A:$D,3,)</f>
        <v>2.6784604080709887E-2</v>
      </c>
      <c r="H21" s="64">
        <f>VLOOKUP(B21,'Retail Sales ex Auto and Gas'!$A:$D,4,)</f>
        <v>4.2717382258152463E-2</v>
      </c>
      <c r="I21" s="63">
        <f>VLOOKUP(B21,Motor!$A:$D,3,)</f>
        <v>-2.1283076711440391E-2</v>
      </c>
      <c r="J21" s="64">
        <f>VLOOKUP(B21,Motor!$A:$D,4,)</f>
        <v>-6.7212477188643687E-3</v>
      </c>
      <c r="K21" s="63">
        <f>VLOOKUP(B21,'Non Store Retail'!$A:$D,3,)</f>
        <v>0.11194742252900573</v>
      </c>
      <c r="L21" s="64">
        <f>VLOOKUP(B21,'Non Store Retail'!$A:$D,4,)</f>
        <v>0.1148331523439657</v>
      </c>
      <c r="M21" s="63">
        <f>VLOOKUP(B21,'Food and Beverage'!$A:$D,3,)</f>
        <v>1.5259054605503421E-2</v>
      </c>
      <c r="N21" s="63">
        <f>VLOOKUP(B21,'Food and Beverage'!$A:$D,4,)</f>
        <v>3.237264874465165E-2</v>
      </c>
      <c r="O21" s="63">
        <f>VLOOKUP(B21,'Food Services'!$A:$D,3,)</f>
        <v>2.9616442790095484E-3</v>
      </c>
      <c r="P21" s="64">
        <f>VLOOKUP(B21,'Food Services'!$A:$D,4,)</f>
        <v>4.4301024534915072E-2</v>
      </c>
      <c r="Q21" s="63">
        <f>VLOOKUP(B21,'General Merchandising'!$A:$D,3,)</f>
        <v>2.9532375921832018E-3</v>
      </c>
      <c r="R21" s="64">
        <f>VLOOKUP(B21,'General Merchandising'!$A:$D,4,)</f>
        <v>1.4076816762502773E-2</v>
      </c>
      <c r="S21" s="63">
        <f>VLOOKUP(B21,'Gas Station'!$A:$D,3,)</f>
        <v>-2.8831600019530296E-2</v>
      </c>
      <c r="T21" s="64">
        <f>VLOOKUP(B21,'Gas Station'!$A:$D,4,)</f>
        <v>-6.9667913938260051E-2</v>
      </c>
      <c r="U21" s="63">
        <f>VLOOKUP(B21,Housing!$A:$D,3,)</f>
        <v>4.7786639114009884E-2</v>
      </c>
      <c r="V21" s="64">
        <f>VLOOKUP(B21,Housing!$A:$D,4,)</f>
        <v>0.10901883052527254</v>
      </c>
      <c r="W21" s="63">
        <f>VLOOKUP(B21,Health!$A:$D,3,)</f>
        <v>2.4871170913255081E-2</v>
      </c>
      <c r="X21" s="64">
        <f>VLOOKUP(B21,Health!$A:$D,4,)</f>
        <v>3.4982472624769612E-2</v>
      </c>
      <c r="Y21" s="63">
        <f>VLOOKUP(B21,'Clothing and clothing access'!$A:$D,3,)</f>
        <v>5.4476121300163429E-4</v>
      </c>
      <c r="Z21" s="64">
        <f>VLOOKUP(B21,'Clothing and clothing access'!$A:$D,4,)</f>
        <v>8.7879897473452945E-3</v>
      </c>
      <c r="AA21" s="63">
        <f>VLOOKUP(B21,'Furniture Home'!$A:$D,3,)</f>
        <v>-3.2640439786978184E-3</v>
      </c>
      <c r="AB21" s="64">
        <f>VLOOKUP(B21,'Furniture Home'!$A:$D,4,)</f>
        <v>-1.7830944588646879E-2</v>
      </c>
      <c r="AC21" s="63">
        <f>VLOOKUP(B21,'Miscellaneous stores retailers'!$A:$D,3,)</f>
        <v>-2.0079560522826292E-2</v>
      </c>
      <c r="AD21" s="64">
        <f>VLOOKUP(B21,'Miscellaneous stores retailers'!$A:$D,4,)</f>
        <v>-4.6890833717181023E-2</v>
      </c>
      <c r="AE21" s="63">
        <f>VLOOKUP(B21,'Sporting Goods'!$A:$D,3,)</f>
        <v>2.2350734604563927E-2</v>
      </c>
      <c r="AF21" s="64">
        <f>VLOOKUP(B21,'Sporting Goods'!$A:$D,4,)</f>
        <v>-4.9135048698938796E-2</v>
      </c>
    </row>
    <row r="22" spans="2:32" x14ac:dyDescent="0.2">
      <c r="B22" s="67">
        <v>43497</v>
      </c>
      <c r="C22" s="63">
        <f>VLOOKUP(B22,'Retail Sales'!A:D,3,)</f>
        <v>-1.929488148566609E-4</v>
      </c>
      <c r="D22" s="64">
        <f>VLOOKUP(B22,'Retail Sales'!A:D,4,)</f>
        <v>1.7960178953700084E-2</v>
      </c>
      <c r="E22" s="63">
        <f>VLOOKUP(B22,'Retail Sales ex Auto'!$A:$D,3,)</f>
        <v>-2.0961552295972155E-3</v>
      </c>
      <c r="F22" s="64">
        <f>VLOOKUP(B22,'Retail Sales ex Auto'!$A:$D,4,)</f>
        <v>2.1150321620949278E-2</v>
      </c>
      <c r="G22" s="63">
        <f>VLOOKUP(B22,'Retail Sales ex Auto and Gas'!$A:$D,3,)</f>
        <v>-6.8916546026014346E-3</v>
      </c>
      <c r="H22" s="64">
        <f>VLOOKUP(B22,'Retail Sales ex Auto and Gas'!$A:$D,4,)</f>
        <v>2.8726358343929434E-2</v>
      </c>
      <c r="I22" s="63">
        <f>VLOOKUP(B22,Motor!$A:$D,3,)</f>
        <v>7.5096631695196021E-3</v>
      </c>
      <c r="J22" s="64">
        <f>VLOOKUP(B22,Motor!$A:$D,4,)</f>
        <v>5.3698267830129135E-3</v>
      </c>
      <c r="K22" s="63">
        <f>VLOOKUP(B22,'Non Store Retail'!$A:$D,3,)</f>
        <v>7.4624401518903751E-3</v>
      </c>
      <c r="L22" s="64">
        <f>VLOOKUP(B22,'Non Store Retail'!$A:$D,4,)</f>
        <v>0.11686219960832403</v>
      </c>
      <c r="M22" s="63">
        <f>VLOOKUP(B22,'Food and Beverage'!$A:$D,3,)</f>
        <v>-2.2630591179230528E-2</v>
      </c>
      <c r="N22" s="63">
        <f>VLOOKUP(B22,'Food and Beverage'!$A:$D,4,)</f>
        <v>7.5291006997065743E-3</v>
      </c>
      <c r="O22" s="63">
        <f>VLOOKUP(B22,'Food Services'!$A:$D,3,)</f>
        <v>1.0617526987559099E-2</v>
      </c>
      <c r="P22" s="64">
        <f>VLOOKUP(B22,'Food Services'!$A:$D,4,)</f>
        <v>4.9922049184450069E-2</v>
      </c>
      <c r="Q22" s="63">
        <f>VLOOKUP(B22,'General Merchandising'!$A:$D,3,)</f>
        <v>-1.1374343787858393E-2</v>
      </c>
      <c r="R22" s="64">
        <f>VLOOKUP(B22,'General Merchandising'!$A:$D,4,)</f>
        <v>1.4658258053519687E-3</v>
      </c>
      <c r="S22" s="63">
        <f>VLOOKUP(B22,'Gas Station'!$A:$D,3,)</f>
        <v>4.1703325708252685E-2</v>
      </c>
      <c r="T22" s="64">
        <f>VLOOKUP(B22,'Gas Station'!$A:$D,4,)</f>
        <v>-4.0385327899221932E-2</v>
      </c>
      <c r="U22" s="63">
        <f>VLOOKUP(B22,Housing!$A:$D,3,)</f>
        <v>-5.2571569443160458E-2</v>
      </c>
      <c r="V22" s="64">
        <f>VLOOKUP(B22,Housing!$A:$D,4,)</f>
        <v>2.224364942146562E-2</v>
      </c>
      <c r="W22" s="63">
        <f>VLOOKUP(B22,Health!$A:$D,3,)</f>
        <v>4.0853381752156154E-3</v>
      </c>
      <c r="X22" s="64">
        <f>VLOOKUP(B22,Health!$A:$D,4,)</f>
        <v>4.5292620865139951E-2</v>
      </c>
      <c r="Y22" s="63">
        <f>VLOOKUP(B22,'Clothing and clothing access'!$A:$D,3,)</f>
        <v>-1.2704174228675136E-3</v>
      </c>
      <c r="Z22" s="64">
        <f>VLOOKUP(B22,'Clothing and clothing access'!$A:$D,4,)</f>
        <v>-1.5783590431477756E-2</v>
      </c>
      <c r="AA22" s="63">
        <f>VLOOKUP(B22,'Furniture Home'!$A:$D,3,)</f>
        <v>-2.0682523267838678E-3</v>
      </c>
      <c r="AB22" s="64">
        <f>VLOOKUP(B22,'Furniture Home'!$A:$D,4,)</f>
        <v>-2.6945269172595373E-2</v>
      </c>
      <c r="AC22" s="63">
        <f>VLOOKUP(B22,'Miscellaneous stores retailers'!$A:$D,3,)</f>
        <v>1.0535472646433404E-2</v>
      </c>
      <c r="AD22" s="64">
        <f>VLOOKUP(B22,'Miscellaneous stores retailers'!$A:$D,4,)</f>
        <v>-3.2571481447210143E-2</v>
      </c>
      <c r="AE22" s="63">
        <f>VLOOKUP(B22,'Sporting Goods'!$A:$D,3,)</f>
        <v>8.1027365846200895E-3</v>
      </c>
      <c r="AF22" s="64">
        <f>VLOOKUP(B22,'Sporting Goods'!$A:$D,4,)</f>
        <v>-7.9435990506770901E-2</v>
      </c>
    </row>
    <row r="23" spans="2:32" x14ac:dyDescent="0.2">
      <c r="B23" s="67">
        <v>43525</v>
      </c>
      <c r="C23" s="63">
        <f>VLOOKUP(B23,'Retail Sales'!A:D,3,)</f>
        <v>1.5305584459251094E-2</v>
      </c>
      <c r="D23" s="64">
        <f>VLOOKUP(B23,'Retail Sales'!A:D,4,)</f>
        <v>3.4349265160436425E-2</v>
      </c>
      <c r="E23" s="63">
        <f>VLOOKUP(B23,'Retail Sales ex Auto'!$A:$D,3,)</f>
        <v>1.1947080845393936E-2</v>
      </c>
      <c r="F23" s="64">
        <f>VLOOKUP(B23,'Retail Sales ex Auto'!$A:$D,4,)</f>
        <v>3.5184262188361425E-2</v>
      </c>
      <c r="G23" s="63">
        <f>VLOOKUP(B23,'Retail Sales ex Auto and Gas'!$A:$D,3,)</f>
        <v>9.9325451592699142E-3</v>
      </c>
      <c r="H23" s="64">
        <f>VLOOKUP(B23,'Retail Sales ex Auto and Gas'!$A:$D,4,)</f>
        <v>3.9317575121494898E-2</v>
      </c>
      <c r="I23" s="63">
        <f>VLOOKUP(B23,Motor!$A:$D,3,)</f>
        <v>2.8768447380745965E-2</v>
      </c>
      <c r="J23" s="64">
        <f>VLOOKUP(B23,Motor!$A:$D,4,)</f>
        <v>3.1069919803453545E-2</v>
      </c>
      <c r="K23" s="63">
        <f>VLOOKUP(B23,'Non Store Retail'!$A:$D,3,)</f>
        <v>-2.9005932286716267E-3</v>
      </c>
      <c r="L23" s="64">
        <f>VLOOKUP(B23,'Non Store Retail'!$A:$D,4,)</f>
        <v>9.9952997324463083E-2</v>
      </c>
      <c r="M23" s="63">
        <f>VLOOKUP(B23,'Food and Beverage'!$A:$D,3,)</f>
        <v>1.9698206199094299E-2</v>
      </c>
      <c r="N23" s="63">
        <f>VLOOKUP(B23,'Food and Beverage'!$A:$D,4,)</f>
        <v>2.5061930959045138E-2</v>
      </c>
      <c r="O23" s="63">
        <f>VLOOKUP(B23,'Food Services'!$A:$D,3,)</f>
        <v>8.3345308233941651E-3</v>
      </c>
      <c r="P23" s="64">
        <f>VLOOKUP(B23,'Food Services'!$A:$D,4,)</f>
        <v>5.0082306579538084E-2</v>
      </c>
      <c r="Q23" s="63">
        <f>VLOOKUP(B23,'General Merchandising'!$A:$D,3,)</f>
        <v>1.5164408741234937E-2</v>
      </c>
      <c r="R23" s="64">
        <f>VLOOKUP(B23,'General Merchandising'!$A:$D,4,)</f>
        <v>2.696234568964033E-2</v>
      </c>
      <c r="S23" s="63">
        <f>VLOOKUP(B23,'Gas Station'!$A:$D,3,)</f>
        <v>2.9488416988416987E-2</v>
      </c>
      <c r="T23" s="64">
        <f>VLOOKUP(B23,'Gas Station'!$A:$D,4,)</f>
        <v>1.1733783910635501E-3</v>
      </c>
      <c r="U23" s="63">
        <f>VLOOKUP(B23,Housing!$A:$D,3,)</f>
        <v>1.1741746625467555E-2</v>
      </c>
      <c r="V23" s="64">
        <f>VLOOKUP(B23,Housing!$A:$D,4,)</f>
        <v>4.4105800214822771E-2</v>
      </c>
      <c r="W23" s="63">
        <f>VLOOKUP(B23,Health!$A:$D,3,)</f>
        <v>-1.9474196689386564E-3</v>
      </c>
      <c r="X23" s="64">
        <f>VLOOKUP(B23,Health!$A:$D,4,)</f>
        <v>3.7074510370745106E-2</v>
      </c>
      <c r="Y23" s="63">
        <f>VLOOKUP(B23,'Clothing and clothing access'!$A:$D,3,)</f>
        <v>1.9035071779029619E-2</v>
      </c>
      <c r="Z23" s="64">
        <f>VLOOKUP(B23,'Clothing and clothing access'!$A:$D,4,)</f>
        <v>3.3829561690556301E-2</v>
      </c>
      <c r="AA23" s="63">
        <f>VLOOKUP(B23,'Furniture Home'!$A:$D,3,)</f>
        <v>1.203223949337939E-2</v>
      </c>
      <c r="AB23" s="64">
        <f>VLOOKUP(B23,'Furniture Home'!$A:$D,4,)</f>
        <v>-1.335802884885222E-2</v>
      </c>
      <c r="AC23" s="63">
        <f>VLOOKUP(B23,'Miscellaneous stores retailers'!$A:$D,3,)</f>
        <v>1.3964610234337637E-2</v>
      </c>
      <c r="AD23" s="64">
        <f>VLOOKUP(B23,'Miscellaneous stores retailers'!$A:$D,4,)</f>
        <v>-1.0269816076930258E-2</v>
      </c>
      <c r="AE23" s="63">
        <f>VLOOKUP(B23,'Sporting Goods'!$A:$D,3,)</f>
        <v>5.7628146800121323E-3</v>
      </c>
      <c r="AF23" s="64">
        <f>VLOOKUP(B23,'Sporting Goods'!$A:$D,4,)</f>
        <v>-8.3598176039795496E-2</v>
      </c>
    </row>
    <row r="24" spans="2:32" x14ac:dyDescent="0.2">
      <c r="B24" s="67">
        <v>43556</v>
      </c>
      <c r="C24" s="63">
        <f>VLOOKUP(B24,'Retail Sales'!A:D,3,)</f>
        <v>3.9308669070387209E-3</v>
      </c>
      <c r="D24" s="64">
        <f>VLOOKUP(B24,'Retail Sales'!A:D,4,)</f>
        <v>3.4949750012625624E-2</v>
      </c>
      <c r="E24" s="63">
        <f>VLOOKUP(B24,'Retail Sales ex Auto'!$A:$D,3,)</f>
        <v>7.5095804264518028E-3</v>
      </c>
      <c r="F24" s="64">
        <f>VLOOKUP(B24,'Retail Sales ex Auto'!$A:$D,4,)</f>
        <v>3.9474151083986803E-2</v>
      </c>
      <c r="G24" s="63">
        <f>VLOOKUP(B24,'Retail Sales ex Auto and Gas'!$A:$D,3,)</f>
        <v>6.1248346678813891E-3</v>
      </c>
      <c r="H24" s="64">
        <f>VLOOKUP(B24,'Retail Sales ex Auto and Gas'!$A:$D,4,)</f>
        <v>4.1149026434082331E-2</v>
      </c>
      <c r="I24" s="63">
        <f>VLOOKUP(B24,Motor!$A:$D,3,)</f>
        <v>-1.0180162727624951E-2</v>
      </c>
      <c r="J24" s="64">
        <f>VLOOKUP(B24,Motor!$A:$D,4,)</f>
        <v>1.7180454495684977E-2</v>
      </c>
      <c r="K24" s="63">
        <f>VLOOKUP(B24,'Non Store Retail'!$A:$D,3,)</f>
        <v>1.6714602678938286E-2</v>
      </c>
      <c r="L24" s="64">
        <f>VLOOKUP(B24,'Non Store Retail'!$A:$D,4,)</f>
        <v>0.10210044360513798</v>
      </c>
      <c r="M24" s="63">
        <f>VLOOKUP(B24,'Food and Beverage'!$A:$D,3,)</f>
        <v>3.5465444730399848E-3</v>
      </c>
      <c r="N24" s="63">
        <f>VLOOKUP(B24,'Food and Beverage'!$A:$D,4,)</f>
        <v>2.2938127839273147E-2</v>
      </c>
      <c r="O24" s="63">
        <f>VLOOKUP(B24,'Food Services'!$A:$D,3,)</f>
        <v>7.34723607746267E-3</v>
      </c>
      <c r="P24" s="64">
        <f>VLOOKUP(B24,'Food Services'!$A:$D,4,)</f>
        <v>7.0722881427249015E-2</v>
      </c>
      <c r="Q24" s="63">
        <f>VLOOKUP(B24,'General Merchandising'!$A:$D,3,)</f>
        <v>8.6173655003604546E-3</v>
      </c>
      <c r="R24" s="64">
        <f>VLOOKUP(B24,'General Merchandising'!$A:$D,4,)</f>
        <v>2.9748557930951852E-2</v>
      </c>
      <c r="S24" s="63">
        <f>VLOOKUP(B24,'Gas Station'!$A:$D,3,)</f>
        <v>1.933805259950307E-2</v>
      </c>
      <c r="T24" s="64">
        <f>VLOOKUP(B24,'Gas Station'!$A:$D,4,)</f>
        <v>2.5564228946065137E-2</v>
      </c>
      <c r="U24" s="63">
        <f>VLOOKUP(B24,Housing!$A:$D,3,)</f>
        <v>-4.7257763775477397E-3</v>
      </c>
      <c r="V24" s="64">
        <f>VLOOKUP(B24,Housing!$A:$D,4,)</f>
        <v>3.8648639581306404E-2</v>
      </c>
      <c r="W24" s="63">
        <f>VLOOKUP(B24,Health!$A:$D,3,)</f>
        <v>-5.4006968641114985E-3</v>
      </c>
      <c r="X24" s="64">
        <f>VLOOKUP(B24,Health!$A:$D,4,)</f>
        <v>2.1763253033611339E-2</v>
      </c>
      <c r="Y24" s="63">
        <f>VLOOKUP(B24,'Clothing and clothing access'!$A:$D,3,)</f>
        <v>-3.1652623601266107E-3</v>
      </c>
      <c r="Z24" s="64">
        <f>VLOOKUP(B24,'Clothing and clothing access'!$A:$D,4,)</f>
        <v>1.4288954411431163E-2</v>
      </c>
      <c r="AA24" s="63">
        <f>VLOOKUP(B24,'Furniture Home'!$A:$D,3,)</f>
        <v>7.3951874395585644E-4</v>
      </c>
      <c r="AB24" s="64">
        <f>VLOOKUP(B24,'Furniture Home'!$A:$D,4,)</f>
        <v>-2.8442038990445683E-2</v>
      </c>
      <c r="AC24" s="63">
        <f>VLOOKUP(B24,'Miscellaneous stores retailers'!$A:$D,3,)</f>
        <v>2.1507404961796057E-2</v>
      </c>
      <c r="AD24" s="64">
        <f>VLOOKUP(B24,'Miscellaneous stores retailers'!$A:$D,4,)</f>
        <v>1.6712045817294151E-2</v>
      </c>
      <c r="AE24" s="63">
        <f>VLOOKUP(B24,'Sporting Goods'!$A:$D,3,)</f>
        <v>2.1562123039806997E-2</v>
      </c>
      <c r="AF24" s="64">
        <f>VLOOKUP(B24,'Sporting Goods'!$A:$D,4,)</f>
        <v>-4.9389645011926477E-2</v>
      </c>
    </row>
    <row r="25" spans="2:32" x14ac:dyDescent="0.2">
      <c r="B25" s="67">
        <v>43586</v>
      </c>
      <c r="C25" s="63">
        <f>VLOOKUP(B25,'Retail Sales'!A:D,3,)</f>
        <v>3.0137061168084385E-3</v>
      </c>
      <c r="D25" s="64">
        <f>VLOOKUP(B25,'Retail Sales'!A:D,4,)</f>
        <v>2.6264232034334627E-2</v>
      </c>
      <c r="E25" s="63">
        <f>VLOOKUP(B25,'Retail Sales ex Auto'!$A:$D,3,)</f>
        <v>2.7161655739423654E-3</v>
      </c>
      <c r="F25" s="64">
        <f>VLOOKUP(B25,'Retail Sales ex Auto'!$A:$D,4,)</f>
        <v>2.8536343196420576E-2</v>
      </c>
      <c r="G25" s="63">
        <f>VLOOKUP(B25,'Retail Sales ex Auto and Gas'!$A:$D,3,)</f>
        <v>3.6138006273012408E-3</v>
      </c>
      <c r="H25" s="64">
        <f>VLOOKUP(B25,'Retail Sales ex Auto and Gas'!$A:$D,4,)</f>
        <v>3.2720955556303957E-2</v>
      </c>
      <c r="I25" s="63">
        <f>VLOOKUP(B25,Motor!$A:$D,3,)</f>
        <v>4.2078893031539596E-3</v>
      </c>
      <c r="J25" s="64">
        <f>VLOOKUP(B25,Motor!$A:$D,4,)</f>
        <v>1.725847062788715E-2</v>
      </c>
      <c r="K25" s="63">
        <f>VLOOKUP(B25,'Non Store Retail'!$A:$D,3,)</f>
        <v>2.3342277973554041E-2</v>
      </c>
      <c r="L25" s="64">
        <f>VLOOKUP(B25,'Non Store Retail'!$A:$D,4,)</f>
        <v>0.13415027410512737</v>
      </c>
      <c r="M25" s="63">
        <f>VLOOKUP(B25,'Food and Beverage'!$A:$D,3,)</f>
        <v>1.8921032056293981E-3</v>
      </c>
      <c r="N25" s="63">
        <f>VLOOKUP(B25,'Food and Beverage'!$A:$D,4,)</f>
        <v>2.4873632350118368E-2</v>
      </c>
      <c r="O25" s="63">
        <f>VLOOKUP(B25,'Food Services'!$A:$D,3,)</f>
        <v>1.1019067230457268E-2</v>
      </c>
      <c r="P25" s="64">
        <f>VLOOKUP(B25,'Food Services'!$A:$D,4,)</f>
        <v>5.9203267295752843E-2</v>
      </c>
      <c r="Q25" s="63">
        <f>VLOOKUP(B25,'General Merchandising'!$A:$D,3,)</f>
        <v>-8.5271188976247074E-3</v>
      </c>
      <c r="R25" s="64">
        <f>VLOOKUP(B25,'General Merchandising'!$A:$D,4,)</f>
        <v>-5.6968600247980967E-4</v>
      </c>
      <c r="S25" s="63">
        <f>VLOOKUP(B25,'Gas Station'!$A:$D,3,)</f>
        <v>-4.8520247430266514E-3</v>
      </c>
      <c r="T25" s="64">
        <f>VLOOKUP(B25,'Gas Station'!$A:$D,4,)</f>
        <v>-5.7208500861573811E-3</v>
      </c>
      <c r="U25" s="63">
        <f>VLOOKUP(B25,Housing!$A:$D,3,)</f>
        <v>-2.0058787428534515E-2</v>
      </c>
      <c r="V25" s="64">
        <f>VLOOKUP(B25,Housing!$A:$D,4,)</f>
        <v>-6.8094022130557189E-3</v>
      </c>
      <c r="W25" s="63">
        <f>VLOOKUP(B25,Health!$A:$D,3,)</f>
        <v>4.8695042914696091E-3</v>
      </c>
      <c r="X25" s="64">
        <f>VLOOKUP(B25,Health!$A:$D,4,)</f>
        <v>1.3246670670104913E-2</v>
      </c>
      <c r="Y25" s="63">
        <f>VLOOKUP(B25,'Clothing and clothing access'!$A:$D,3,)</f>
        <v>-5.0983899821109126E-3</v>
      </c>
      <c r="Z25" s="64">
        <f>VLOOKUP(B25,'Clothing and clothing access'!$A:$D,4,)</f>
        <v>-2.664624808575804E-2</v>
      </c>
      <c r="AA25" s="63">
        <f>VLOOKUP(B25,'Furniture Home'!$A:$D,3,)</f>
        <v>4.0927694406548429E-3</v>
      </c>
      <c r="AB25" s="64">
        <f>VLOOKUP(B25,'Furniture Home'!$A:$D,4,)</f>
        <v>-1.4230704838439644E-2</v>
      </c>
      <c r="AC25" s="63">
        <f>VLOOKUP(B25,'Miscellaneous stores retailers'!$A:$D,3,)</f>
        <v>5.1712992889463476E-3</v>
      </c>
      <c r="AD25" s="64">
        <f>VLOOKUP(B25,'Miscellaneous stores retailers'!$A:$D,4,)</f>
        <v>6.938020351526364E-3</v>
      </c>
      <c r="AE25" s="63">
        <f>VLOOKUP(B25,'Sporting Goods'!$A:$D,3,)</f>
        <v>5.9040590405904057E-3</v>
      </c>
      <c r="AF25" s="64">
        <f>VLOOKUP(B25,'Sporting Goods'!$A:$D,4,)</f>
        <v>-4.5250770523956291E-2</v>
      </c>
    </row>
    <row r="26" spans="2:32" x14ac:dyDescent="0.2">
      <c r="B26" s="67">
        <v>43617</v>
      </c>
      <c r="C26" s="63">
        <f>VLOOKUP(B26,'Retail Sales'!A:D,3,)</f>
        <v>3.9718216669585695E-3</v>
      </c>
      <c r="D26" s="64">
        <f>VLOOKUP(B26,'Retail Sales'!A:D,4,)</f>
        <v>3.2584047026705712E-2</v>
      </c>
      <c r="E26" s="63">
        <f>VLOOKUP(B26,'Retail Sales ex Auto'!$A:$D,3,)</f>
        <v>4.1434549703222604E-3</v>
      </c>
      <c r="F26" s="64">
        <f>VLOOKUP(B26,'Retail Sales ex Auto'!$A:$D,4,)</f>
        <v>3.4876377688340461E-2</v>
      </c>
      <c r="G26" s="63">
        <f>VLOOKUP(B26,'Retail Sales ex Auto and Gas'!$A:$D,3,)</f>
        <v>6.4216319043413272E-3</v>
      </c>
      <c r="H26" s="64">
        <f>VLOOKUP(B26,'Retail Sales ex Auto and Gas'!$A:$D,4,)</f>
        <v>4.2427483709343732E-2</v>
      </c>
      <c r="I26" s="63">
        <f>VLOOKUP(B26,Motor!$A:$D,3,)</f>
        <v>3.2839922431518532E-3</v>
      </c>
      <c r="J26" s="64">
        <f>VLOOKUP(B26,Motor!$A:$D,4,)</f>
        <v>2.349070014812164E-2</v>
      </c>
      <c r="K26" s="63">
        <f>VLOOKUP(B26,'Non Store Retail'!$A:$D,3,)</f>
        <v>1.4390421129118883E-2</v>
      </c>
      <c r="L26" s="64">
        <f>VLOOKUP(B26,'Non Store Retail'!$A:$D,4,)</f>
        <v>0.1518537784075622</v>
      </c>
      <c r="M26" s="63">
        <f>VLOOKUP(B26,'Food and Beverage'!$A:$D,3,)</f>
        <v>7.5853350189633373E-3</v>
      </c>
      <c r="N26" s="63">
        <f>VLOOKUP(B26,'Food and Beverage'!$A:$D,4,)</f>
        <v>3.5396952686447471E-2</v>
      </c>
      <c r="O26" s="63">
        <f>VLOOKUP(B26,'Food Services'!$A:$D,3,)</f>
        <v>1.0354799589539476E-2</v>
      </c>
      <c r="P26" s="64">
        <f>VLOOKUP(B26,'Food Services'!$A:$D,4,)</f>
        <v>5.768229166666667E-2</v>
      </c>
      <c r="Q26" s="63">
        <f>VLOOKUP(B26,'General Merchandising'!$A:$D,3,)</f>
        <v>7.5442596566523601E-4</v>
      </c>
      <c r="R26" s="64">
        <f>VLOOKUP(B26,'General Merchandising'!$A:$D,4,)</f>
        <v>1.7141786085504457E-2</v>
      </c>
      <c r="S26" s="63">
        <f>VLOOKUP(B26,'Gas Station'!$A:$D,3,)</f>
        <v>-1.5227839911267214E-2</v>
      </c>
      <c r="T26" s="64">
        <f>VLOOKUP(B26,'Gas Station'!$A:$D,4,)</f>
        <v>-2.6408973568181299E-2</v>
      </c>
      <c r="U26" s="63">
        <f>VLOOKUP(B26,Housing!$A:$D,3,)</f>
        <v>1.5492122091106863E-3</v>
      </c>
      <c r="V26" s="64">
        <f>VLOOKUP(B26,Housing!$A:$D,4,)</f>
        <v>-1.9015948860334475E-2</v>
      </c>
      <c r="W26" s="63">
        <f>VLOOKUP(B26,Health!$A:$D,3,)</f>
        <v>-2.4055222423650818E-3</v>
      </c>
      <c r="X26" s="64">
        <f>VLOOKUP(B26,Health!$A:$D,4,)</f>
        <v>1.9197891437526714E-2</v>
      </c>
      <c r="Y26" s="63">
        <f>VLOOKUP(B26,'Clothing and clothing access'!$A:$D,3,)</f>
        <v>5.7538433875752946E-3</v>
      </c>
      <c r="Z26" s="64">
        <f>VLOOKUP(B26,'Clothing and clothing access'!$A:$D,4,)</f>
        <v>1.3874591594682899E-3</v>
      </c>
      <c r="AA26" s="63">
        <f>VLOOKUP(B26,'Furniture Home'!$A:$D,3,)</f>
        <v>-2.490942028985507E-3</v>
      </c>
      <c r="AB26" s="64">
        <f>VLOOKUP(B26,'Furniture Home'!$A:$D,4,)</f>
        <v>-1.9040195969268457E-2</v>
      </c>
      <c r="AC26" s="63">
        <f>VLOOKUP(B26,'Miscellaneous stores retailers'!$A:$D,3,)</f>
        <v>1.065686724850712E-2</v>
      </c>
      <c r="AD26" s="64">
        <f>VLOOKUP(B26,'Miscellaneous stores retailers'!$A:$D,4,)</f>
        <v>2.2112793830716342E-2</v>
      </c>
      <c r="AE26" s="63">
        <f>VLOOKUP(B26,'Sporting Goods'!$A:$D,3,)</f>
        <v>1.1298606016140866E-2</v>
      </c>
      <c r="AF26" s="64">
        <f>VLOOKUP(B26,'Sporting Goods'!$A:$D,4,)</f>
        <v>-3.9022980199450788E-3</v>
      </c>
    </row>
    <row r="27" spans="2:32" x14ac:dyDescent="0.2">
      <c r="B27" s="67">
        <v>43647</v>
      </c>
      <c r="C27" s="63">
        <f>VLOOKUP(B27,'Retail Sales'!A:D,3,)</f>
        <v>6.8538953424137107E-3</v>
      </c>
      <c r="D27" s="64">
        <f>VLOOKUP(B27,'Retail Sales'!A:D,4,)</f>
        <v>3.2775835947844965E-2</v>
      </c>
      <c r="E27" s="63">
        <f>VLOOKUP(B27,'Retail Sales ex Auto'!$A:$D,3,)</f>
        <v>6.8094586577229967E-3</v>
      </c>
      <c r="F27" s="64">
        <f>VLOOKUP(B27,'Retail Sales ex Auto'!$A:$D,4,)</f>
        <v>3.4815159577777831E-2</v>
      </c>
      <c r="G27" s="63">
        <f>VLOOKUP(B27,'Retail Sales ex Auto and Gas'!$A:$D,3,)</f>
        <v>5.4841793172723296E-3</v>
      </c>
      <c r="H27" s="64">
        <f>VLOOKUP(B27,'Retail Sales ex Auto and Gas'!$A:$D,4,)</f>
        <v>4.1285776205589965E-2</v>
      </c>
      <c r="I27" s="63">
        <f>VLOOKUP(B27,Motor!$A:$D,3,)</f>
        <v>7.0321302303896814E-3</v>
      </c>
      <c r="J27" s="64">
        <f>VLOOKUP(B27,Motor!$A:$D,4,)</f>
        <v>2.4678058567150607E-2</v>
      </c>
      <c r="K27" s="63">
        <f>VLOOKUP(B27,'Non Store Retail'!$A:$D,3,)</f>
        <v>3.2078733045766698E-3</v>
      </c>
      <c r="L27" s="64">
        <f>VLOOKUP(B27,'Non Store Retail'!$A:$D,4,)</f>
        <v>0.13592763691504742</v>
      </c>
      <c r="M27" s="63">
        <f>VLOOKUP(B27,'Food and Beverage'!$A:$D,3,)</f>
        <v>1.2190777142680112E-2</v>
      </c>
      <c r="N27" s="63">
        <f>VLOOKUP(B27,'Food and Beverage'!$A:$D,4,)</f>
        <v>4.1953024093888028E-2</v>
      </c>
      <c r="O27" s="63">
        <f>VLOOKUP(B27,'Food Services'!$A:$D,3,)</f>
        <v>6.9401698879724243E-3</v>
      </c>
      <c r="P27" s="64">
        <f>VLOOKUP(B27,'Food Services'!$A:$D,4,)</f>
        <v>5.101270499044315E-2</v>
      </c>
      <c r="Q27" s="63">
        <f>VLOOKUP(B27,'General Merchandising'!$A:$D,3,)</f>
        <v>7.4548104467860553E-3</v>
      </c>
      <c r="R27" s="64">
        <f>VLOOKUP(B27,'General Merchandising'!$A:$D,4,)</f>
        <v>1.9875860665468235E-2</v>
      </c>
      <c r="S27" s="63">
        <f>VLOOKUP(B27,'Gas Station'!$A:$D,3,)</f>
        <v>1.8326020132810851E-2</v>
      </c>
      <c r="T27" s="64">
        <f>VLOOKUP(B27,'Gas Station'!$A:$D,4,)</f>
        <v>-1.7566894553357179E-2</v>
      </c>
      <c r="U27" s="63">
        <f>VLOOKUP(B27,Housing!$A:$D,3,)</f>
        <v>9.6758268882672378E-3</v>
      </c>
      <c r="V27" s="64">
        <f>VLOOKUP(B27,Housing!$A:$D,4,)</f>
        <v>-1.0067438933884031E-2</v>
      </c>
      <c r="W27" s="63">
        <f>VLOOKUP(B27,Health!$A:$D,3,)</f>
        <v>-7.5834352612266292E-3</v>
      </c>
      <c r="X27" s="64">
        <f>VLOOKUP(B27,Health!$A:$D,4,)</f>
        <v>4.9543492108429475E-3</v>
      </c>
      <c r="Y27" s="63">
        <f>VLOOKUP(B27,'Clothing and clothing access'!$A:$D,3,)</f>
        <v>7.776883883078573E-3</v>
      </c>
      <c r="Z27" s="64">
        <f>VLOOKUP(B27,'Clothing and clothing access'!$A:$D,4,)</f>
        <v>-6.6085117631509383E-3</v>
      </c>
      <c r="AA27" s="63">
        <f>VLOOKUP(B27,'Furniture Home'!$A:$D,3,)</f>
        <v>5.6186152099886493E-3</v>
      </c>
      <c r="AB27" s="64">
        <f>VLOOKUP(B27,'Furniture Home'!$A:$D,4,)</f>
        <v>-1.1326860841423949E-2</v>
      </c>
      <c r="AC27" s="63">
        <f>VLOOKUP(B27,'Miscellaneous stores retailers'!$A:$D,3,)</f>
        <v>-9.1809835469502769E-3</v>
      </c>
      <c r="AD27" s="64">
        <f>VLOOKUP(B27,'Miscellaneous stores retailers'!$A:$D,4,)</f>
        <v>4.6969551435981173E-2</v>
      </c>
      <c r="AE27" s="63">
        <f>VLOOKUP(B27,'Sporting Goods'!$A:$D,3,)</f>
        <v>-1.5525246662797447E-2</v>
      </c>
      <c r="AF27" s="64">
        <f>VLOOKUP(B27,'Sporting Goods'!$A:$D,4,)</f>
        <v>1.6784055147609771E-2</v>
      </c>
    </row>
    <row r="28" spans="2:32" x14ac:dyDescent="0.2">
      <c r="B28" s="67">
        <v>43678</v>
      </c>
      <c r="C28" s="63">
        <f>VLOOKUP(B28,'Retail Sales'!A:D,3,)</f>
        <v>4.5933463856755357E-3</v>
      </c>
      <c r="D28" s="64">
        <f>VLOOKUP(B28,'Retail Sales'!A:D,4,)</f>
        <v>3.9688153126139387E-2</v>
      </c>
      <c r="E28" s="63">
        <f>VLOOKUP(B28,'Retail Sales ex Auto'!$A:$D,3,)</f>
        <v>1.1208200747053036E-3</v>
      </c>
      <c r="F28" s="64">
        <f>VLOOKUP(B28,'Retail Sales ex Auto'!$A:$D,4,)</f>
        <v>3.4880309494684292E-2</v>
      </c>
      <c r="G28" s="63">
        <f>VLOOKUP(B28,'Retail Sales ex Auto and Gas'!$A:$D,3,)</f>
        <v>2.9030343557063022E-3</v>
      </c>
      <c r="H28" s="64">
        <f>VLOOKUP(B28,'Retail Sales ex Auto and Gas'!$A:$D,4,)</f>
        <v>4.4358311800172266E-2</v>
      </c>
      <c r="I28" s="63">
        <f>VLOOKUP(B28,Motor!$A:$D,3,)</f>
        <v>1.8518518518518517E-2</v>
      </c>
      <c r="J28" s="64">
        <f>VLOOKUP(B28,Motor!$A:$D,4,)</f>
        <v>5.9081928411677982E-2</v>
      </c>
      <c r="K28" s="63">
        <f>VLOOKUP(B28,'Non Store Retail'!$A:$D,3,)</f>
        <v>8.5218012200611575E-3</v>
      </c>
      <c r="L28" s="64">
        <f>VLOOKUP(B28,'Non Store Retail'!$A:$D,4,)</f>
        <v>0.14090047060476224</v>
      </c>
      <c r="M28" s="63">
        <f>VLOOKUP(B28,'Food and Beverage'!$A:$D,3,)</f>
        <v>-2.4485798237022528E-4</v>
      </c>
      <c r="N28" s="63">
        <f>VLOOKUP(B28,'Food and Beverage'!$A:$D,4,)</f>
        <v>4.5080787074068152E-2</v>
      </c>
      <c r="O28" s="63">
        <f>VLOOKUP(B28,'Food Services'!$A:$D,3,)</f>
        <v>-1.5587988079773822E-3</v>
      </c>
      <c r="P28" s="64">
        <f>VLOOKUP(B28,'Food Services'!$A:$D,4,)</f>
        <v>4.3074958090524466E-2</v>
      </c>
      <c r="Q28" s="63">
        <f>VLOOKUP(B28,'General Merchandising'!$A:$D,3,)</f>
        <v>-1.0808473843493299E-3</v>
      </c>
      <c r="R28" s="64">
        <f>VLOOKUP(B28,'General Merchandising'!$A:$D,4,)</f>
        <v>1.4712340799297322E-2</v>
      </c>
      <c r="S28" s="63">
        <f>VLOOKUP(B28,'Gas Station'!$A:$D,3,)</f>
        <v>-1.4171159961288539E-2</v>
      </c>
      <c r="T28" s="64">
        <f>VLOOKUP(B28,'Gas Station'!$A:$D,4,)</f>
        <v>-4.1083916083916081E-2</v>
      </c>
      <c r="U28" s="63">
        <f>VLOOKUP(B28,Housing!$A:$D,3,)</f>
        <v>1.926399165552984E-2</v>
      </c>
      <c r="V28" s="64">
        <f>VLOOKUP(B28,Housing!$A:$D,4,)</f>
        <v>2.1862030652593054E-2</v>
      </c>
      <c r="W28" s="63">
        <f>VLOOKUP(B28,Health!$A:$D,3,)</f>
        <v>5.6341995915205293E-4</v>
      </c>
      <c r="X28" s="64">
        <f>VLOOKUP(B28,Health!$A:$D,4,)</f>
        <v>-4.1706094697367959E-3</v>
      </c>
      <c r="Y28" s="63">
        <f>VLOOKUP(B28,'Clothing and clothing access'!$A:$D,3,)</f>
        <v>-5.1445804505942877E-3</v>
      </c>
      <c r="Z28" s="64">
        <f>VLOOKUP(B28,'Clothing and clothing access'!$A:$D,4,)</f>
        <v>1.497669788697344E-2</v>
      </c>
      <c r="AA28" s="63">
        <f>VLOOKUP(B28,'Furniture Home'!$A:$D,3,)</f>
        <v>-3.6683785766691121E-3</v>
      </c>
      <c r="AB28" s="64">
        <f>VLOOKUP(B28,'Furniture Home'!$A:$D,4,)</f>
        <v>-9.5932678821879381E-3</v>
      </c>
      <c r="AC28" s="63">
        <f>VLOOKUP(B28,'Miscellaneous stores retailers'!$A:$D,3,)</f>
        <v>2.7431192660550458E-2</v>
      </c>
      <c r="AD28" s="64">
        <f>VLOOKUP(B28,'Miscellaneous stores retailers'!$A:$D,4,)</f>
        <v>5.4023529411764706E-2</v>
      </c>
      <c r="AE28" s="63">
        <f>VLOOKUP(B28,'Sporting Goods'!$A:$D,3,)</f>
        <v>-1.4738393515106854E-3</v>
      </c>
      <c r="AF28" s="64">
        <f>VLOOKUP(B28,'Sporting Goods'!$A:$D,4,)</f>
        <v>2.5272397094430993E-2</v>
      </c>
    </row>
    <row r="29" spans="2:32" x14ac:dyDescent="0.2">
      <c r="B29" s="67">
        <v>43709</v>
      </c>
      <c r="C29" s="63">
        <f>VLOOKUP(B29,'Retail Sales'!A:D,3,)</f>
        <v>-6.1858870558205402E-3</v>
      </c>
      <c r="D29" s="64">
        <f>VLOOKUP(B29,'Retail Sales'!A:D,4,)</f>
        <v>3.6459603247248992E-2</v>
      </c>
      <c r="E29" s="63">
        <f>VLOOKUP(B29,'Retail Sales ex Auto'!$A:$D,3,)</f>
        <v>-3.2193507002087774E-3</v>
      </c>
      <c r="F29" s="64">
        <f>VLOOKUP(B29,'Retail Sales ex Auto'!$A:$D,4,)</f>
        <v>3.4780071231182097E-2</v>
      </c>
      <c r="G29" s="63">
        <f>VLOOKUP(B29,'Retail Sales ex Auto and Gas'!$A:$D,3,)</f>
        <v>-2.9321194269647877E-3</v>
      </c>
      <c r="H29" s="64">
        <f>VLOOKUP(B29,'Retail Sales ex Auto and Gas'!$A:$D,4,)</f>
        <v>4.3423312849052424E-2</v>
      </c>
      <c r="I29" s="63">
        <f>VLOOKUP(B29,Motor!$A:$D,3,)</f>
        <v>-1.7878787878787879E-2</v>
      </c>
      <c r="J29" s="64">
        <f>VLOOKUP(B29,Motor!$A:$D,4,)</f>
        <v>4.3233347415856924E-2</v>
      </c>
      <c r="K29" s="63">
        <f>VLOOKUP(B29,'Non Store Retail'!$A:$D,3,)</f>
        <v>-4.8328510743089331E-3</v>
      </c>
      <c r="L29" s="64">
        <f>VLOOKUP(B29,'Non Store Retail'!$A:$D,4,)</f>
        <v>0.11956088861184701</v>
      </c>
      <c r="M29" s="63">
        <f>VLOOKUP(B29,'Food and Beverage'!$A:$D,3,)</f>
        <v>-6.9954690178790106E-3</v>
      </c>
      <c r="N29" s="63">
        <f>VLOOKUP(B29,'Food and Beverage'!$A:$D,4,)</f>
        <v>3.2763918297167786E-2</v>
      </c>
      <c r="O29" s="63">
        <f>VLOOKUP(B29,'Food Services'!$A:$D,3,)</f>
        <v>6.4745228291981085E-3</v>
      </c>
      <c r="P29" s="64">
        <f>VLOOKUP(B29,'Food Services'!$A:$D,4,)</f>
        <v>7.1345943920361046E-2</v>
      </c>
      <c r="Q29" s="63">
        <f>VLOOKUP(B29,'General Merchandising'!$A:$D,3,)</f>
        <v>-8.0568641486191798E-3</v>
      </c>
      <c r="R29" s="64">
        <f>VLOOKUP(B29,'General Merchandising'!$A:$D,4,)</f>
        <v>1.0120016273393002E-2</v>
      </c>
      <c r="S29" s="63">
        <f>VLOOKUP(B29,'Gas Station'!$A:$D,3,)</f>
        <v>-5.7265736390622445E-3</v>
      </c>
      <c r="T29" s="64">
        <f>VLOOKUP(B29,'Gas Station'!$A:$D,4,)</f>
        <v>-3.5178842795255051E-2</v>
      </c>
      <c r="U29" s="63">
        <f>VLOOKUP(B29,Housing!$A:$D,3,)</f>
        <v>-1.4838503357850976E-2</v>
      </c>
      <c r="V29" s="64">
        <f>VLOOKUP(B29,Housing!$A:$D,4,)</f>
        <v>2.310069952822515E-3</v>
      </c>
      <c r="W29" s="63">
        <f>VLOOKUP(B29,Health!$A:$D,3,)</f>
        <v>7.0387836981769547E-4</v>
      </c>
      <c r="X29" s="64">
        <f>VLOOKUP(B29,Health!$A:$D,4,)</f>
        <v>4.0608778558564925E-3</v>
      </c>
      <c r="Y29" s="63">
        <f>VLOOKUP(B29,'Clothing and clothing access'!$A:$D,3,)</f>
        <v>-7.5784593437945797E-4</v>
      </c>
      <c r="Z29" s="64">
        <f>VLOOKUP(B29,'Clothing and clothing access'!$A:$D,4,)</f>
        <v>1.3702966714905934E-2</v>
      </c>
      <c r="AA29" s="63">
        <f>VLOOKUP(B29,'Furniture Home'!$A:$D,3,)</f>
        <v>7.9868585023224192E-3</v>
      </c>
      <c r="AB29" s="64">
        <f>VLOOKUP(B29,'Furniture Home'!$A:$D,4,)</f>
        <v>1.130938849738577E-2</v>
      </c>
      <c r="AC29" s="63">
        <f>VLOOKUP(B29,'Miscellaneous stores retailers'!$A:$D,3,)</f>
        <v>8.0364318242700237E-4</v>
      </c>
      <c r="AD29" s="64">
        <f>VLOOKUP(B29,'Miscellaneous stores retailers'!$A:$D,4,)</f>
        <v>5.1505769772023639E-2</v>
      </c>
      <c r="AE29" s="63">
        <f>VLOOKUP(B29,'Sporting Goods'!$A:$D,3,)</f>
        <v>7.0848708487084872E-3</v>
      </c>
      <c r="AF29" s="64">
        <f>VLOOKUP(B29,'Sporting Goods'!$A:$D,4,)</f>
        <v>4.9208057819467937E-2</v>
      </c>
    </row>
    <row r="30" spans="2:32" x14ac:dyDescent="0.2">
      <c r="B30" s="67">
        <v>43739</v>
      </c>
      <c r="C30" s="63">
        <f>VLOOKUP(B30,'Retail Sales'!A:D,3,)</f>
        <v>4.8379788085344336E-3</v>
      </c>
      <c r="D30" s="64">
        <f>VLOOKUP(B30,'Retail Sales'!A:D,4,)</f>
        <v>2.9849212466156794E-2</v>
      </c>
      <c r="E30" s="63">
        <f>VLOOKUP(B30,'Retail Sales ex Auto'!$A:$D,3,)</f>
        <v>5.1193922288397253E-3</v>
      </c>
      <c r="F30" s="64">
        <f>VLOOKUP(B30,'Retail Sales ex Auto'!$A:$D,4,)</f>
        <v>2.6804159249109276E-2</v>
      </c>
      <c r="G30" s="63">
        <f>VLOOKUP(B30,'Retail Sales ex Auto and Gas'!$A:$D,3,)</f>
        <v>3.7491103919646573E-3</v>
      </c>
      <c r="H30" s="64">
        <f>VLOOKUP(B30,'Retail Sales ex Auto and Gas'!$A:$D,4,)</f>
        <v>3.7468112687472417E-2</v>
      </c>
      <c r="I30" s="63">
        <f>VLOOKUP(B30,Motor!$A:$D,3,)</f>
        <v>3.7122030237580995E-3</v>
      </c>
      <c r="J30" s="64">
        <f>VLOOKUP(B30,Motor!$A:$D,4,)</f>
        <v>4.2231099630552972E-2</v>
      </c>
      <c r="K30" s="63">
        <f>VLOOKUP(B30,'Non Store Retail'!$A:$D,3,)</f>
        <v>9.836369822759752E-3</v>
      </c>
      <c r="L30" s="64">
        <f>VLOOKUP(B30,'Non Store Retail'!$A:$D,4,)</f>
        <v>0.12152390113193287</v>
      </c>
      <c r="M30" s="63">
        <f>VLOOKUP(B30,'Food and Beverage'!$A:$D,3,)</f>
        <v>6.7826918037335634E-4</v>
      </c>
      <c r="N30" s="63">
        <f>VLOOKUP(B30,'Food and Beverage'!$A:$D,4,)</f>
        <v>2.9481730525247399E-2</v>
      </c>
      <c r="O30" s="63">
        <f>VLOOKUP(B30,'Food Services'!$A:$D,3,)</f>
        <v>-1.946590425208346E-3</v>
      </c>
      <c r="P30" s="64">
        <f>VLOOKUP(B30,'Food Services'!$A:$D,4,)</f>
        <v>5.8994384560769379E-2</v>
      </c>
      <c r="Q30" s="63">
        <f>VLOOKUP(B30,'General Merchandising'!$A:$D,3,)</f>
        <v>4.6988538153014819E-3</v>
      </c>
      <c r="R30" s="64">
        <f>VLOOKUP(B30,'General Merchandising'!$A:$D,4,)</f>
        <v>8.6597590767416386E-3</v>
      </c>
      <c r="S30" s="63">
        <f>VLOOKUP(B30,'Gas Station'!$A:$D,3,)</f>
        <v>1.7114109737176173E-2</v>
      </c>
      <c r="T30" s="64">
        <f>VLOOKUP(B30,'Gas Station'!$A:$D,4,)</f>
        <v>-5.6933606521644364E-2</v>
      </c>
      <c r="U30" s="63">
        <f>VLOOKUP(B30,Housing!$A:$D,3,)</f>
        <v>1.0127897162890346E-2</v>
      </c>
      <c r="V30" s="64">
        <f>VLOOKUP(B30,Housing!$A:$D,4,)</f>
        <v>-1.2283764481828281E-2</v>
      </c>
      <c r="W30" s="63">
        <f>VLOOKUP(B30,Health!$A:$D,3,)</f>
        <v>9.9880424843497226E-3</v>
      </c>
      <c r="X30" s="64">
        <f>VLOOKUP(B30,Health!$A:$D,4,)</f>
        <v>5.7082822623008228E-3</v>
      </c>
      <c r="Y30" s="63">
        <f>VLOOKUP(B30,'Clothing and clothing access'!$A:$D,3,)</f>
        <v>-6.6919473566807942E-4</v>
      </c>
      <c r="Z30" s="64">
        <f>VLOOKUP(B30,'Clothing and clothing access'!$A:$D,4,)</f>
        <v>-4.7098551497378478E-3</v>
      </c>
      <c r="AA30" s="63">
        <f>VLOOKUP(B30,'Furniture Home'!$A:$D,3,)</f>
        <v>-1.2868783366114077E-2</v>
      </c>
      <c r="AB30" s="64">
        <f>VLOOKUP(B30,'Furniture Home'!$A:$D,4,)</f>
        <v>-6.2793460428805792E-3</v>
      </c>
      <c r="AC30" s="63">
        <f>VLOOKUP(B30,'Miscellaneous stores retailers'!$A:$D,3,)</f>
        <v>1.6862955032119913E-2</v>
      </c>
      <c r="AD30" s="64">
        <f>VLOOKUP(B30,'Miscellaneous stores retailers'!$A:$D,4,)</f>
        <v>4.4925277344824426E-2</v>
      </c>
      <c r="AE30" s="63">
        <f>VLOOKUP(B30,'Sporting Goods'!$A:$D,3,)</f>
        <v>3.3709511944892277E-3</v>
      </c>
      <c r="AF30" s="64">
        <f>VLOOKUP(B30,'Sporting Goods'!$A:$D,4,)</f>
        <v>5.3068758652515001E-2</v>
      </c>
    </row>
    <row r="31" spans="2:32" x14ac:dyDescent="0.2">
      <c r="B31" s="67">
        <v>43770</v>
      </c>
      <c r="C31" s="63">
        <f>VLOOKUP(B31,'Retail Sales'!A:D,3,)</f>
        <v>3.2449713498389986E-3</v>
      </c>
      <c r="D31" s="64">
        <f>VLOOKUP(B31,'Retail Sales'!A:D,4,)</f>
        <v>3.1228487513141726E-2</v>
      </c>
      <c r="E31" s="63">
        <f>VLOOKUP(B31,'Retail Sales ex Auto'!$A:$D,3,)</f>
        <v>-1.8992031499914872E-3</v>
      </c>
      <c r="F31" s="64">
        <f>VLOOKUP(B31,'Retail Sales ex Auto'!$A:$D,4,)</f>
        <v>2.4485757254287099E-2</v>
      </c>
      <c r="G31" s="63">
        <f>VLOOKUP(B31,'Retail Sales ex Auto and Gas'!$A:$D,3,)</f>
        <v>-2.0494928441663032E-3</v>
      </c>
      <c r="H31" s="64">
        <f>VLOOKUP(B31,'Retail Sales ex Auto and Gas'!$A:$D,4,)</f>
        <v>2.8768048985671139E-2</v>
      </c>
      <c r="I31" s="63">
        <f>VLOOKUP(B31,Motor!$A:$D,3,)</f>
        <v>2.3852752721019818E-2</v>
      </c>
      <c r="J31" s="64">
        <f>VLOOKUP(B31,Motor!$A:$D,4,)</f>
        <v>5.8433304202748865E-2</v>
      </c>
      <c r="K31" s="63">
        <f>VLOOKUP(B31,'Non Store Retail'!$A:$D,3,)</f>
        <v>-7.9639783134744391E-3</v>
      </c>
      <c r="L31" s="64">
        <f>VLOOKUP(B31,'Non Store Retail'!$A:$D,4,)</f>
        <v>7.4766044999004452E-2</v>
      </c>
      <c r="M31" s="63">
        <f>VLOOKUP(B31,'Food and Beverage'!$A:$D,3,)</f>
        <v>4.5752137410459831E-3</v>
      </c>
      <c r="N31" s="63">
        <f>VLOOKUP(B31,'Food and Beverage'!$A:$D,4,)</f>
        <v>3.2848680667743671E-2</v>
      </c>
      <c r="O31" s="63">
        <f>VLOOKUP(B31,'Food Services'!$A:$D,3,)</f>
        <v>-7.3291887608947399E-3</v>
      </c>
      <c r="P31" s="64">
        <f>VLOOKUP(B31,'Food Services'!$A:$D,4,)</f>
        <v>5.5336864784306106E-2</v>
      </c>
      <c r="Q31" s="63">
        <f>VLOOKUP(B31,'General Merchandising'!$A:$D,3,)</f>
        <v>1.486579030884097E-3</v>
      </c>
      <c r="R31" s="64">
        <f>VLOOKUP(B31,'General Merchandising'!$A:$D,4,)</f>
        <v>-6.6708915646576165E-5</v>
      </c>
      <c r="S31" s="63">
        <f>VLOOKUP(B31,'Gas Station'!$A:$D,3,)</f>
        <v>-6.0093375860953175E-4</v>
      </c>
      <c r="T31" s="64">
        <f>VLOOKUP(B31,'Gas Station'!$A:$D,4,)</f>
        <v>-1.102419834408307E-2</v>
      </c>
      <c r="U31" s="63">
        <f>VLOOKUP(B31,Housing!$A:$D,3,)</f>
        <v>6.2343338260813681E-3</v>
      </c>
      <c r="V31" s="64">
        <f>VLOOKUP(B31,Housing!$A:$D,4,)</f>
        <v>1.4811213741695025E-2</v>
      </c>
      <c r="W31" s="63">
        <f>VLOOKUP(B31,Health!$A:$D,3,)</f>
        <v>-7.6258792395013583E-3</v>
      </c>
      <c r="X31" s="64">
        <f>VLOOKUP(B31,Health!$A:$D,4,)</f>
        <v>-1.9878254290332565E-2</v>
      </c>
      <c r="Y31" s="63">
        <f>VLOOKUP(B31,'Clothing and clothing access'!$A:$D,3,)</f>
        <v>-5.7142857142857143E-3</v>
      </c>
      <c r="Z31" s="64">
        <f>VLOOKUP(B31,'Clothing and clothing access'!$A:$D,4,)</f>
        <v>-1.1670734413135124E-2</v>
      </c>
      <c r="AA31" s="63">
        <f>VLOOKUP(B31,'Furniture Home'!$A:$D,3,)</f>
        <v>9.5070021632699536E-3</v>
      </c>
      <c r="AB31" s="64">
        <f>VLOOKUP(B31,'Furniture Home'!$A:$D,4,)</f>
        <v>5.7852645907776074E-3</v>
      </c>
      <c r="AC31" s="63">
        <f>VLOOKUP(B31,'Miscellaneous stores retailers'!$A:$D,3,)</f>
        <v>4.2116346406949196E-3</v>
      </c>
      <c r="AD31" s="64">
        <f>VLOOKUP(B31,'Miscellaneous stores retailers'!$A:$D,4,)</f>
        <v>6.178680768160312E-2</v>
      </c>
      <c r="AE31" s="63">
        <f>VLOOKUP(B31,'Sporting Goods'!$A:$D,3,)</f>
        <v>-3.1113058720420684E-2</v>
      </c>
      <c r="AF31" s="64">
        <f>VLOOKUP(B31,'Sporting Goods'!$A:$D,4,)</f>
        <v>8.2079343365253077E-3</v>
      </c>
    </row>
    <row r="32" spans="2:32" x14ac:dyDescent="0.2">
      <c r="B32" s="67">
        <v>43800</v>
      </c>
      <c r="C32" s="63">
        <f>VLOOKUP(B32,'Retail Sales'!A:D,3,)</f>
        <v>2.0217863256854849E-3</v>
      </c>
      <c r="D32" s="64">
        <f>VLOOKUP(B32,'Retail Sales'!A:D,4,)</f>
        <v>5.4912171536852107E-2</v>
      </c>
      <c r="E32" s="63">
        <f>VLOOKUP(B32,'Retail Sales ex Auto'!$A:$D,3,)</f>
        <v>6.7607664123971413E-3</v>
      </c>
      <c r="F32" s="64">
        <f>VLOOKUP(B32,'Retail Sales ex Auto'!$A:$D,4,)</f>
        <v>6.1336501005516408E-2</v>
      </c>
      <c r="G32" s="63">
        <f>VLOOKUP(B32,'Retail Sales ex Auto and Gas'!$A:$D,3,)</f>
        <v>5.2575840851508777E-3</v>
      </c>
      <c r="H32" s="64">
        <f>VLOOKUP(B32,'Retail Sales ex Auto and Gas'!$A:$D,4,)</f>
        <v>5.9588537839823659E-2</v>
      </c>
      <c r="I32" s="63">
        <f>VLOOKUP(B32,Motor!$A:$D,3,)</f>
        <v>-1.648526928129105E-2</v>
      </c>
      <c r="J32" s="64">
        <f>VLOOKUP(B32,Motor!$A:$D,4,)</f>
        <v>2.9988896640496802E-2</v>
      </c>
      <c r="K32" s="63">
        <f>VLOOKUP(B32,'Non Store Retail'!$A:$D,3,)</f>
        <v>-3.4273010775928612E-3</v>
      </c>
      <c r="L32" s="64">
        <f>VLOOKUP(B32,'Non Store Retail'!$A:$D,4,)</f>
        <v>0.18504919958877955</v>
      </c>
      <c r="M32" s="63">
        <f>VLOOKUP(B32,'Food and Beverage'!$A:$D,3,)</f>
        <v>7.1152548610685148E-3</v>
      </c>
      <c r="N32" s="63">
        <f>VLOOKUP(B32,'Food and Beverage'!$A:$D,4,)</f>
        <v>4.2823798408993474E-2</v>
      </c>
      <c r="O32" s="63">
        <f>VLOOKUP(B32,'Food Services'!$A:$D,3,)</f>
        <v>1.0130934655471472E-2</v>
      </c>
      <c r="P32" s="64">
        <f>VLOOKUP(B32,'Food Services'!$A:$D,4,)</f>
        <v>6.5010519501537467E-2</v>
      </c>
      <c r="Q32" s="63">
        <f>VLOOKUP(B32,'General Merchandising'!$A:$D,3,)</f>
        <v>5.0201807932219221E-3</v>
      </c>
      <c r="R32" s="64">
        <f>VLOOKUP(B32,'General Merchandising'!$A:$D,4,)</f>
        <v>1.6909394670671818E-2</v>
      </c>
      <c r="S32" s="63">
        <f>VLOOKUP(B32,'Gas Station'!$A:$D,3,)</f>
        <v>1.9727104532839962E-2</v>
      </c>
      <c r="T32" s="64">
        <f>VLOOKUP(B32,'Gas Station'!$A:$D,4,)</f>
        <v>7.6436697426883457E-2</v>
      </c>
      <c r="U32" s="63">
        <f>VLOOKUP(B32,Housing!$A:$D,3,)</f>
        <v>2.0439448134900357E-2</v>
      </c>
      <c r="V32" s="64">
        <f>VLOOKUP(B32,Housing!$A:$D,4,)</f>
        <v>3.1674792547867363E-2</v>
      </c>
      <c r="W32" s="63">
        <f>VLOOKUP(B32,Health!$A:$D,3,)</f>
        <v>-4.9124530685287207E-3</v>
      </c>
      <c r="X32" s="64">
        <f>VLOOKUP(B32,Health!$A:$D,4,)</f>
        <v>1.485113083309476E-2</v>
      </c>
      <c r="Y32" s="63">
        <f>VLOOKUP(B32,'Clothing and clothing access'!$A:$D,3,)</f>
        <v>3.0037715517241378E-2</v>
      </c>
      <c r="Z32" s="64">
        <f>VLOOKUP(B32,'Clothing and clothing access'!$A:$D,4,)</f>
        <v>4.1447248955874344E-2</v>
      </c>
      <c r="AA32" s="63">
        <f>VLOOKUP(B32,'Furniture Home'!$A:$D,3,)</f>
        <v>-1.3872441211300964E-2</v>
      </c>
      <c r="AB32" s="64">
        <f>VLOOKUP(B32,'Furniture Home'!$A:$D,4,)</f>
        <v>1.374334306820134E-3</v>
      </c>
      <c r="AC32" s="63">
        <f>VLOOKUP(B32,'Miscellaneous stores retailers'!$A:$D,3,)</f>
        <v>-2.0445609436435124E-2</v>
      </c>
      <c r="AD32" s="64">
        <f>VLOOKUP(B32,'Miscellaneous stores retailers'!$A:$D,4,)</f>
        <v>6.1848835006630042E-2</v>
      </c>
      <c r="AE32" s="63">
        <f>VLOOKUP(B32,'Sporting Goods'!$A:$D,3,)</f>
        <v>1.0402532790592492E-2</v>
      </c>
      <c r="AF32" s="64">
        <f>VLOOKUP(B32,'Sporting Goods'!$A:$D,4,)</f>
        <v>4.7514848390121912E-2</v>
      </c>
    </row>
    <row r="33" spans="2:32" x14ac:dyDescent="0.2">
      <c r="B33" s="67">
        <v>43831</v>
      </c>
      <c r="C33" s="63">
        <f>VLOOKUP(B33,'Retail Sales'!A:D,3,)</f>
        <v>5.8565041938525792E-3</v>
      </c>
      <c r="D33" s="64">
        <f>VLOOKUP(B33,'Retail Sales'!A:D,4,)</f>
        <v>4.8149680540415817E-2</v>
      </c>
      <c r="E33" s="63">
        <f>VLOOKUP(B33,'Retail Sales ex Auto'!$A:$D,3,)</f>
        <v>6.5125203143382836E-3</v>
      </c>
      <c r="F33" s="64">
        <f>VLOOKUP(B33,'Retail Sales ex Auto'!$A:$D,4,)</f>
        <v>4.6261773818649085E-2</v>
      </c>
      <c r="G33" s="63">
        <f>VLOOKUP(B33,'Retail Sales ex Auto and Gas'!$A:$D,3,)</f>
        <v>9.673392968587477E-3</v>
      </c>
      <c r="H33" s="64">
        <f>VLOOKUP(B33,'Retail Sales ex Auto and Gas'!$A:$D,4,)</f>
        <v>4.1930654101690439E-2</v>
      </c>
      <c r="I33" s="63">
        <f>VLOOKUP(B33,Motor!$A:$D,3,)</f>
        <v>3.2340230674565698E-3</v>
      </c>
      <c r="J33" s="64">
        <f>VLOOKUP(B33,Motor!$A:$D,4,)</f>
        <v>5.5790371969278649E-2</v>
      </c>
      <c r="K33" s="63">
        <f>VLOOKUP(B33,'Non Store Retail'!$A:$D,3,)</f>
        <v>1.0658074110794398E-2</v>
      </c>
      <c r="L33" s="64">
        <f>VLOOKUP(B33,'Non Store Retail'!$A:$D,4,)</f>
        <v>7.7100875020637283E-2</v>
      </c>
      <c r="M33" s="63">
        <f>VLOOKUP(B33,'Food and Beverage'!$A:$D,3,)</f>
        <v>-5.4053231012850967E-3</v>
      </c>
      <c r="N33" s="63">
        <f>VLOOKUP(B33,'Food and Beverage'!$A:$D,4,)</f>
        <v>2.1598373475132937E-2</v>
      </c>
      <c r="O33" s="63">
        <f>VLOOKUP(B33,'Food Services'!$A:$D,3,)</f>
        <v>8.1602261157627601E-3</v>
      </c>
      <c r="P33" s="64">
        <f>VLOOKUP(B33,'Food Services'!$A:$D,4,)</f>
        <v>7.0530714988785437E-2</v>
      </c>
      <c r="Q33" s="63">
        <f>VLOOKUP(B33,'General Merchandising'!$A:$D,3,)</f>
        <v>5.5593355349408385E-3</v>
      </c>
      <c r="R33" s="64">
        <f>VLOOKUP(B33,'General Merchandising'!$A:$D,4,)</f>
        <v>1.9551756629425224E-2</v>
      </c>
      <c r="S33" s="63">
        <f>VLOOKUP(B33,'Gas Station'!$A:$D,3,)</f>
        <v>-2.0366044496858911E-2</v>
      </c>
      <c r="T33" s="64">
        <f>VLOOKUP(B33,'Gas Station'!$A:$D,4,)</f>
        <v>8.5819863754053441E-2</v>
      </c>
      <c r="U33" s="63">
        <f>VLOOKUP(B33,Housing!$A:$D,3,)</f>
        <v>3.029544316474712E-2</v>
      </c>
      <c r="V33" s="64">
        <f>VLOOKUP(B33,Housing!$A:$D,4,)</f>
        <v>1.4452559243166621E-2</v>
      </c>
      <c r="W33" s="63">
        <f>VLOOKUP(B33,Health!$A:$D,3,)</f>
        <v>1.8089495398286259E-2</v>
      </c>
      <c r="X33" s="64">
        <f>VLOOKUP(B33,Health!$A:$D,4,)</f>
        <v>8.1357589301302418E-3</v>
      </c>
      <c r="Y33" s="63">
        <f>VLOOKUP(B33,'Clothing and clothing access'!$A:$D,3,)</f>
        <v>-1.1769321302471558E-3</v>
      </c>
      <c r="Z33" s="64">
        <f>VLOOKUP(B33,'Clothing and clothing access'!$A:$D,4,)</f>
        <v>3.9655172413793106E-2</v>
      </c>
      <c r="AA33" s="63">
        <f>VLOOKUP(B33,'Furniture Home'!$A:$D,3,)</f>
        <v>2.6019328644135642E-2</v>
      </c>
      <c r="AB33" s="64">
        <f>VLOOKUP(B33,'Furniture Home'!$A:$D,4,)</f>
        <v>3.0793979087670918E-2</v>
      </c>
      <c r="AC33" s="63">
        <f>VLOOKUP(B33,'Miscellaneous stores retailers'!$A:$D,3,)</f>
        <v>4.0674337704040671E-2</v>
      </c>
      <c r="AD33" s="64">
        <f>VLOOKUP(B33,'Miscellaneous stores retailers'!$A:$D,4,)</f>
        <v>0.12768219601778466</v>
      </c>
      <c r="AE33" s="63">
        <f>VLOOKUP(B33,'Sporting Goods'!$A:$D,3,)</f>
        <v>8.5049239033124432E-3</v>
      </c>
      <c r="AF33" s="64">
        <f>VLOOKUP(B33,'Sporting Goods'!$A:$D,4,)</f>
        <v>3.3328237272588289E-2</v>
      </c>
    </row>
    <row r="34" spans="2:32" x14ac:dyDescent="0.2">
      <c r="B34" s="67">
        <v>43862</v>
      </c>
      <c r="C34" s="63">
        <f>VLOOKUP(B34,'Retail Sales'!A:D,3,)</f>
        <v>-2.1255195187216518E-3</v>
      </c>
      <c r="D34" s="64">
        <f>VLOOKUP(B34,'Retail Sales'!A:D,4,)</f>
        <v>4.6123666257483181E-2</v>
      </c>
      <c r="E34" s="63">
        <f>VLOOKUP(B34,'Retail Sales ex Auto'!$A:$D,3,)</f>
        <v>-3.5042962007549175E-3</v>
      </c>
      <c r="F34" s="64">
        <f>VLOOKUP(B34,'Retail Sales ex Auto'!$A:$D,4,)</f>
        <v>4.4785395029258664E-2</v>
      </c>
      <c r="G34" s="63">
        <f>VLOOKUP(B34,'Retail Sales ex Auto and Gas'!$A:$D,3,)</f>
        <v>2.4301785917115061E-4</v>
      </c>
      <c r="H34" s="64">
        <f>VLOOKUP(B34,'Retail Sales ex Auto and Gas'!$A:$D,4,)</f>
        <v>4.9416074981847607E-2</v>
      </c>
      <c r="I34" s="63">
        <f>VLOOKUP(B34,Motor!$A:$D,3,)</f>
        <v>3.4042715049162247E-3</v>
      </c>
      <c r="J34" s="64">
        <f>VLOOKUP(B34,Motor!$A:$D,4,)</f>
        <v>5.1488246489890685E-2</v>
      </c>
      <c r="K34" s="63">
        <f>VLOOKUP(B34,'Non Store Retail'!$A:$D,3,)</f>
        <v>5.5180870631514412E-3</v>
      </c>
      <c r="L34" s="64">
        <f>VLOOKUP(B34,'Non Store Retail'!$A:$D,4,)</f>
        <v>7.5022123168693264E-2</v>
      </c>
      <c r="M34" s="63">
        <f>VLOOKUP(B34,'Food and Beverage'!$A:$D,3,)</f>
        <v>7.6545062078045348E-5</v>
      </c>
      <c r="N34" s="63">
        <f>VLOOKUP(B34,'Food and Beverage'!$A:$D,4,)</f>
        <v>4.5333077304658125E-2</v>
      </c>
      <c r="O34" s="63">
        <f>VLOOKUP(B34,'Food Services'!$A:$D,3,)</f>
        <v>-2.1705052453876764E-3</v>
      </c>
      <c r="P34" s="64">
        <f>VLOOKUP(B34,'Food Services'!$A:$D,4,)</f>
        <v>5.6984560361482334E-2</v>
      </c>
      <c r="Q34" s="63">
        <f>VLOOKUP(B34,'General Merchandising'!$A:$D,3,)</f>
        <v>1.7328448361223884E-3</v>
      </c>
      <c r="R34" s="64">
        <f>VLOOKUP(B34,'General Merchandising'!$A:$D,4,)</f>
        <v>3.3068963169718836E-2</v>
      </c>
      <c r="S34" s="63">
        <f>VLOOKUP(B34,'Gas Station'!$A:$D,3,)</f>
        <v>-3.6346799398078479E-2</v>
      </c>
      <c r="T34" s="64">
        <f>VLOOKUP(B34,'Gas Station'!$A:$D,4,)</f>
        <v>4.464285714285714E-3</v>
      </c>
      <c r="U34" s="63">
        <f>VLOOKUP(B34,Housing!$A:$D,3,)</f>
        <v>-4.8602673147023087E-4</v>
      </c>
      <c r="V34" s="64">
        <f>VLOOKUP(B34,Housing!$A:$D,4,)</f>
        <v>7.02228004553586E-2</v>
      </c>
      <c r="W34" s="63">
        <f>VLOOKUP(B34,Health!$A:$D,3,)</f>
        <v>6.6500415627597674E-3</v>
      </c>
      <c r="X34" s="64">
        <f>VLOOKUP(B34,Health!$A:$D,4,)</f>
        <v>1.0710808179162609E-2</v>
      </c>
      <c r="Y34" s="63">
        <f>VLOOKUP(B34,'Clothing and clothing access'!$A:$D,3,)</f>
        <v>-1.5449070437287249E-2</v>
      </c>
      <c r="Z34" s="64">
        <f>VLOOKUP(B34,'Clothing and clothing access'!$A:$D,4,)</f>
        <v>2.4895511539160458E-2</v>
      </c>
      <c r="AA34" s="63">
        <f>VLOOKUP(B34,'Furniture Home'!$A:$D,3,)</f>
        <v>-5.8521903912607288E-3</v>
      </c>
      <c r="AB34" s="64">
        <f>VLOOKUP(B34,'Furniture Home'!$A:$D,4,)</f>
        <v>2.6885434657455382E-2</v>
      </c>
      <c r="AC34" s="63">
        <f>VLOOKUP(B34,'Miscellaneous stores retailers'!$A:$D,3,)</f>
        <v>3.3427616353818462E-3</v>
      </c>
      <c r="AD34" s="64">
        <f>VLOOKUP(B34,'Miscellaneous stores retailers'!$A:$D,4,)</f>
        <v>0.11965566714490675</v>
      </c>
      <c r="AE34" s="63">
        <f>VLOOKUP(B34,'Sporting Goods'!$A:$D,3,)</f>
        <v>1.4795088030773783E-3</v>
      </c>
      <c r="AF34" s="64">
        <f>VLOOKUP(B34,'Sporting Goods'!$A:$D,4,)</f>
        <v>2.6539278131634821E-2</v>
      </c>
    </row>
    <row r="35" spans="2:32" x14ac:dyDescent="0.2">
      <c r="B35" s="67">
        <v>43891</v>
      </c>
      <c r="C35" s="63">
        <f>VLOOKUP(B35,'Retail Sales'!A:D,3,)</f>
        <v>-8.6348681082520307E-2</v>
      </c>
      <c r="D35" s="64">
        <f>VLOOKUP(B35,'Retail Sales'!A:D,4,)</f>
        <v>-5.8616162407900928E-2</v>
      </c>
      <c r="E35" s="63">
        <f>VLOOKUP(B35,'Retail Sales ex Auto'!$A:$D,3,)</f>
        <v>-4.265864046253777E-2</v>
      </c>
      <c r="F35" s="64">
        <f>VLOOKUP(B35,'Retail Sales ex Auto'!$A:$D,4,)</f>
        <v>-1.1592316006681733E-2</v>
      </c>
      <c r="G35" s="63">
        <f>VLOOKUP(B35,'Retail Sales ex Auto and Gas'!$A:$D,3,)</f>
        <v>-2.8999247355842236E-2</v>
      </c>
      <c r="H35" s="64">
        <f>VLOOKUP(B35,'Retail Sales ex Auto and Gas'!$A:$D,4,)</f>
        <v>8.9622356744178382E-3</v>
      </c>
      <c r="I35" s="63">
        <f>VLOOKUP(B35,Motor!$A:$D,3,)</f>
        <v>-0.26036770280515542</v>
      </c>
      <c r="J35" s="64">
        <f>VLOOKUP(B35,Motor!$A:$D,4,)</f>
        <v>-0.24403332041844247</v>
      </c>
      <c r="K35" s="63">
        <f>VLOOKUP(B35,'Non Store Retail'!$A:$D,3,)</f>
        <v>4.3185975609756094E-2</v>
      </c>
      <c r="L35" s="64">
        <f>VLOOKUP(B35,'Non Store Retail'!$A:$D,4,)</f>
        <v>0.12471032952584436</v>
      </c>
      <c r="M35" s="63">
        <f>VLOOKUP(B35,'Food and Beverage'!$A:$D,3,)</f>
        <v>0.26661666105379173</v>
      </c>
      <c r="N35" s="63">
        <f>VLOOKUP(B35,'Food and Beverage'!$A:$D,4,)</f>
        <v>0.29845897934844012</v>
      </c>
      <c r="O35" s="63">
        <f>VLOOKUP(B35,'Food Services'!$A:$D,3,)</f>
        <v>-0.30323262839879156</v>
      </c>
      <c r="P35" s="64">
        <f>VLOOKUP(B35,'Food Services'!$A:$D,4,)</f>
        <v>-0.26961506183395878</v>
      </c>
      <c r="Q35" s="63">
        <f>VLOOKUP(B35,'General Merchandising'!$A:$D,3,)</f>
        <v>8.2554902057694529E-2</v>
      </c>
      <c r="R35" s="64">
        <f>VLOOKUP(B35,'General Merchandising'!$A:$D,4,)</f>
        <v>0.10164802923868761</v>
      </c>
      <c r="S35" s="63">
        <f>VLOOKUP(B35,'Gas Station'!$A:$D,3,)</f>
        <v>-0.16691891891891891</v>
      </c>
      <c r="T35" s="64">
        <f>VLOOKUP(B35,'Gas Station'!$A:$D,4,)</f>
        <v>-0.18716890909943276</v>
      </c>
      <c r="U35" s="63">
        <f>VLOOKUP(B35,Housing!$A:$D,3,)</f>
        <v>-2.8567955263797714E-3</v>
      </c>
      <c r="V35" s="64">
        <f>VLOOKUP(B35,Housing!$A:$D,4,)</f>
        <v>5.4780428213206458E-2</v>
      </c>
      <c r="W35" s="63">
        <f>VLOOKUP(B35,Health!$A:$D,3,)</f>
        <v>4.9132947976878616E-2</v>
      </c>
      <c r="X35" s="64">
        <f>VLOOKUP(B35,Health!$A:$D,4,)</f>
        <v>6.2439024390243902E-2</v>
      </c>
      <c r="Y35" s="63">
        <f>VLOOKUP(B35,'Clothing and clothing access'!$A:$D,3,)</f>
        <v>-0.4905141843971631</v>
      </c>
      <c r="Z35" s="64">
        <f>VLOOKUP(B35,'Clothing and clothing access'!$A:$D,4,)</f>
        <v>-0.48758414693950336</v>
      </c>
      <c r="AA35" s="63">
        <f>VLOOKUP(B35,'Furniture Home'!$A:$D,3,)</f>
        <v>-0.19493188316420923</v>
      </c>
      <c r="AB35" s="64">
        <f>VLOOKUP(B35,'Furniture Home'!$A:$D,4,)</f>
        <v>-0.18311621821491553</v>
      </c>
      <c r="AC35" s="63">
        <f>VLOOKUP(B35,'Miscellaneous stores retailers'!$A:$D,3,)</f>
        <v>-0.15650093968904835</v>
      </c>
      <c r="AD35" s="64">
        <f>VLOOKUP(B35,'Miscellaneous stores retailers'!$A:$D,4,)</f>
        <v>-6.8578435996604098E-2</v>
      </c>
      <c r="AE35" s="63">
        <f>VLOOKUP(B35,'Sporting Goods'!$A:$D,3,)</f>
        <v>-0.16649431230610134</v>
      </c>
      <c r="AF35" s="64">
        <f>VLOOKUP(B35,'Sporting Goods'!$A:$D,4,)</f>
        <v>-0.14927623642943305</v>
      </c>
    </row>
    <row r="36" spans="2:32" x14ac:dyDescent="0.2">
      <c r="B36" s="67">
        <v>43922</v>
      </c>
      <c r="C36" s="63">
        <f>VLOOKUP(B36,'Retail Sales'!A:D,3,)</f>
        <v>-0.14693374576140647</v>
      </c>
      <c r="D36" s="64">
        <f>VLOOKUP(B36,'Retail Sales'!A:D,4,)</f>
        <v>-0.20008158867596024</v>
      </c>
      <c r="E36" s="63">
        <f>VLOOKUP(B36,'Retail Sales ex Auto'!$A:$D,3,)</f>
        <v>-0.15095896471079454</v>
      </c>
      <c r="F36" s="64">
        <f>VLOOKUP(B36,'Retail Sales ex Auto'!$A:$D,4,)</f>
        <v>-0.16705637384581248</v>
      </c>
      <c r="G36" s="63">
        <f>VLOOKUP(B36,'Retail Sales ex Auto and Gas'!$A:$D,3,)</f>
        <v>-0.141953416520708</v>
      </c>
      <c r="H36" s="64">
        <f>VLOOKUP(B36,'Retail Sales ex Auto and Gas'!$A:$D,4,)</f>
        <v>-0.13953361516432566</v>
      </c>
      <c r="I36" s="63">
        <f>VLOOKUP(B36,Motor!$A:$D,3,)</f>
        <v>-0.1261819952335802</v>
      </c>
      <c r="J36" s="64">
        <f>VLOOKUP(B36,Motor!$A:$D,4,)</f>
        <v>-0.33262875651978197</v>
      </c>
      <c r="K36" s="63">
        <f>VLOOKUP(B36,'Non Store Retail'!$A:$D,3,)</f>
        <v>0.11976677918548069</v>
      </c>
      <c r="L36" s="64">
        <f>VLOOKUP(B36,'Non Store Retail'!$A:$D,4,)</f>
        <v>0.23870873880572888</v>
      </c>
      <c r="M36" s="63">
        <f>VLOOKUP(B36,'Food and Beverage'!$A:$D,3,)</f>
        <v>-0.12925564700337189</v>
      </c>
      <c r="N36" s="63">
        <f>VLOOKUP(B36,'Food and Beverage'!$A:$D,4,)</f>
        <v>0.12663017982799063</v>
      </c>
      <c r="O36" s="63">
        <f>VLOOKUP(B36,'Food Services'!$A:$D,3,)</f>
        <v>-0.35119021809825263</v>
      </c>
      <c r="P36" s="64">
        <f>VLOOKUP(B36,'Food Services'!$A:$D,4,)</f>
        <v>-0.52957542795164814</v>
      </c>
      <c r="Q36" s="63">
        <f>VLOOKUP(B36,'General Merchandising'!$A:$D,3,)</f>
        <v>-0.13119768680566124</v>
      </c>
      <c r="R36" s="64">
        <f>VLOOKUP(B36,'General Merchandising'!$A:$D,4,)</f>
        <v>-5.1062981000980702E-2</v>
      </c>
      <c r="S36" s="63">
        <f>VLOOKUP(B36,'Gas Station'!$A:$D,3,)</f>
        <v>-0.24644577097211409</v>
      </c>
      <c r="T36" s="64">
        <f>VLOOKUP(B36,'Gas Station'!$A:$D,4,)</f>
        <v>-0.39910777933635339</v>
      </c>
      <c r="U36" s="63">
        <f>VLOOKUP(B36,Housing!$A:$D,3,)</f>
        <v>-1.9079548918012799E-2</v>
      </c>
      <c r="V36" s="64">
        <f>VLOOKUP(B36,Housing!$A:$D,4,)</f>
        <v>3.9568461513614782E-2</v>
      </c>
      <c r="W36" s="63">
        <f>VLOOKUP(B36,Health!$A:$D,3,)</f>
        <v>-0.14869473960383051</v>
      </c>
      <c r="X36" s="64">
        <f>VLOOKUP(B36,Health!$A:$D,4,)</f>
        <v>-9.0628831669294099E-2</v>
      </c>
      <c r="Y36" s="63">
        <f>VLOOKUP(B36,'Clothing and clothing access'!$A:$D,3,)</f>
        <v>-0.75326257177657907</v>
      </c>
      <c r="Z36" s="64">
        <f>VLOOKUP(B36,'Clothing and clothing access'!$A:$D,4,)</f>
        <v>-0.87316636851520568</v>
      </c>
      <c r="AA36" s="63">
        <f>VLOOKUP(B36,'Furniture Home'!$A:$D,3,)</f>
        <v>-0.46469359331476323</v>
      </c>
      <c r="AB36" s="64">
        <f>VLOOKUP(B36,'Furniture Home'!$A:$D,4,)</f>
        <v>-0.56304001819008642</v>
      </c>
      <c r="AC36" s="63">
        <f>VLOOKUP(B36,'Miscellaneous stores retailers'!$A:$D,3,)</f>
        <v>-0.25450678549726552</v>
      </c>
      <c r="AD36" s="64">
        <f>VLOOKUP(B36,'Miscellaneous stores retailers'!$A:$D,4,)</f>
        <v>-0.32025117739403453</v>
      </c>
      <c r="AE36" s="63">
        <f>VLOOKUP(B36,'Sporting Goods'!$A:$D,3,)</f>
        <v>-0.33161999291031546</v>
      </c>
      <c r="AF36" s="64">
        <f>VLOOKUP(B36,'Sporting Goods'!$A:$D,4,)</f>
        <v>-0.44339483394833951</v>
      </c>
    </row>
    <row r="37" spans="2:32" x14ac:dyDescent="0.2">
      <c r="B37" s="67">
        <v>43952</v>
      </c>
      <c r="C37" s="63">
        <f>VLOOKUP(B37,'Retail Sales'!A:D,3,)</f>
        <v>0.18172900719585963</v>
      </c>
      <c r="D37" s="64">
        <f>VLOOKUP(B37,'Retail Sales'!A:D,4,)</f>
        <v>-5.7553466830132134E-2</v>
      </c>
      <c r="E37" s="63">
        <f>VLOOKUP(B37,'Retail Sales ex Auto'!$A:$D,3,)</f>
        <v>0.12215876658636325</v>
      </c>
      <c r="F37" s="64">
        <f>VLOOKUP(B37,'Retail Sales ex Auto'!$A:$D,4,)</f>
        <v>-6.7836917113879361E-2</v>
      </c>
      <c r="G37" s="63">
        <f>VLOOKUP(B37,'Retail Sales ex Auto and Gas'!$A:$D,3,)</f>
        <v>0.12123046689276998</v>
      </c>
      <c r="H37" s="64">
        <f>VLOOKUP(B37,'Retail Sales ex Auto and Gas'!$A:$D,4,)</f>
        <v>-3.8692845981384602E-2</v>
      </c>
      <c r="I37" s="63">
        <f>VLOOKUP(B37,Motor!$A:$D,3,)</f>
        <v>0.48013138215196927</v>
      </c>
      <c r="J37" s="64">
        <f>VLOOKUP(B37,Motor!$A:$D,4,)</f>
        <v>-1.6342002942924799E-2</v>
      </c>
      <c r="K37" s="63">
        <f>VLOOKUP(B37,'Non Store Retail'!$A:$D,3,)</f>
        <v>6.3670411985018729E-2</v>
      </c>
      <c r="L37" s="64">
        <f>VLOOKUP(B37,'Non Store Retail'!$A:$D,4,)</f>
        <v>0.28752408934382206</v>
      </c>
      <c r="M37" s="63">
        <f>VLOOKUP(B37,'Food and Beverage'!$A:$D,3,)</f>
        <v>2.2956917610481901E-2</v>
      </c>
      <c r="N37" s="63">
        <f>VLOOKUP(B37,'Food and Beverage'!$A:$D,4,)</f>
        <v>0.15031761639431257</v>
      </c>
      <c r="O37" s="63">
        <f>VLOOKUP(B37,'Food Services'!$A:$D,3,)</f>
        <v>0.32535837203862733</v>
      </c>
      <c r="P37" s="64">
        <f>VLOOKUP(B37,'Food Services'!$A:$D,4,)</f>
        <v>-0.38331415777853789</v>
      </c>
      <c r="Q37" s="63">
        <f>VLOOKUP(B37,'General Merchandising'!$A:$D,3,)</f>
        <v>6.9715707053898304E-2</v>
      </c>
      <c r="R37" s="64">
        <f>VLOOKUP(B37,'General Merchandising'!$A:$D,4,)</f>
        <v>2.3823095493562232E-2</v>
      </c>
      <c r="S37" s="63">
        <f>VLOOKUP(B37,'Gas Station'!$A:$D,3,)</f>
        <v>0.13336649955990967</v>
      </c>
      <c r="T37" s="64">
        <f>VLOOKUP(B37,'Gas Station'!$A:$D,4,)</f>
        <v>-0.3156483963397726</v>
      </c>
      <c r="U37" s="63">
        <f>VLOOKUP(B37,Housing!$A:$D,3,)</f>
        <v>0.11704573701217996</v>
      </c>
      <c r="V37" s="64">
        <f>VLOOKUP(B37,Housing!$A:$D,4,)</f>
        <v>0.18501549212209112</v>
      </c>
      <c r="W37" s="63">
        <f>VLOOKUP(B37,Health!$A:$D,3,)</f>
        <v>1.1287464365513521E-2</v>
      </c>
      <c r="X37" s="64">
        <f>VLOOKUP(B37,Health!$A:$D,4,)</f>
        <v>-8.4820806024264395E-2</v>
      </c>
      <c r="Y37" s="63">
        <f>VLOOKUP(B37,'Clothing and clothing access'!$A:$D,3,)</f>
        <v>1.9598025387870239</v>
      </c>
      <c r="Z37" s="64">
        <f>VLOOKUP(B37,'Clothing and clothing access'!$A:$D,4,)</f>
        <v>-0.6226737390991639</v>
      </c>
      <c r="AA37" s="63">
        <f>VLOOKUP(B37,'Furniture Home'!$A:$D,3,)</f>
        <v>0.51177312345518411</v>
      </c>
      <c r="AB37" s="64">
        <f>VLOOKUP(B37,'Furniture Home'!$A:$D,4,)</f>
        <v>-0.34210824275362317</v>
      </c>
      <c r="AC37" s="63">
        <f>VLOOKUP(B37,'Miscellaneous stores retailers'!$A:$D,3,)</f>
        <v>0.2086673006385002</v>
      </c>
      <c r="AD37" s="64">
        <f>VLOOKUP(B37,'Miscellaneous stores retailers'!$A:$D,4,)</f>
        <v>-0.18263665594855305</v>
      </c>
      <c r="AE37" s="63">
        <f>VLOOKUP(B37,'Sporting Goods'!$A:$D,3,)</f>
        <v>0.77141341819146114</v>
      </c>
      <c r="AF37" s="64">
        <f>VLOOKUP(B37,'Sporting Goods'!$A:$D,4,)</f>
        <v>-1.9809244314013204E-2</v>
      </c>
    </row>
    <row r="38" spans="2:32" x14ac:dyDescent="0.2">
      <c r="B38" s="67">
        <v>43983</v>
      </c>
      <c r="C38" s="63">
        <f>VLOOKUP(B38,'Retail Sales'!A:D,3,)</f>
        <v>8.6500996293581392E-2</v>
      </c>
      <c r="D38" s="64">
        <f>VLOOKUP(B38,'Retail Sales'!A:D,4,)</f>
        <v>1.9918164179480568E-2</v>
      </c>
      <c r="E38" s="63">
        <f>VLOOKUP(B38,'Retail Sales ex Auto'!$A:$D,3,)</f>
        <v>8.4152204365167349E-2</v>
      </c>
      <c r="F38" s="64">
        <f>VLOOKUP(B38,'Retail Sales ex Auto'!$A:$D,4,)</f>
        <v>6.4365366686442837E-3</v>
      </c>
      <c r="G38" s="63">
        <f>VLOOKUP(B38,'Retail Sales ex Auto and Gas'!$A:$D,3,)</f>
        <v>7.7981664343848678E-2</v>
      </c>
      <c r="H38" s="64">
        <f>VLOOKUP(B38,'Retail Sales ex Auto and Gas'!$A:$D,4,)</f>
        <v>2.9659392230880981E-2</v>
      </c>
      <c r="I38" s="63">
        <f>VLOOKUP(B38,Motor!$A:$D,3,)</f>
        <v>9.5421132927819938E-2</v>
      </c>
      <c r="J38" s="64">
        <f>VLOOKUP(B38,Motor!$A:$D,4,)</f>
        <v>7.399277361202844E-2</v>
      </c>
      <c r="K38" s="63">
        <f>VLOOKUP(B38,'Non Store Retail'!$A:$D,3,)</f>
        <v>-3.5677479511213625E-2</v>
      </c>
      <c r="L38" s="64">
        <f>VLOOKUP(B38,'Non Store Retail'!$A:$D,4,)</f>
        <v>0.2239749599015837</v>
      </c>
      <c r="M38" s="63">
        <f>VLOOKUP(B38,'Food and Beverage'!$A:$D,3,)</f>
        <v>-1.6159670022523134E-2</v>
      </c>
      <c r="N38" s="63">
        <f>VLOOKUP(B38,'Food and Beverage'!$A:$D,4,)</f>
        <v>0.12320894713199189</v>
      </c>
      <c r="O38" s="63">
        <f>VLOOKUP(B38,'Food Services'!$A:$D,3,)</f>
        <v>0.27228721258572003</v>
      </c>
      <c r="P38" s="64">
        <f>VLOOKUP(B38,'Food Services'!$A:$D,4,)</f>
        <v>-0.22343961590545364</v>
      </c>
      <c r="Q38" s="63">
        <f>VLOOKUP(B38,'General Merchandising'!$A:$D,3,)</f>
        <v>1.5638048764512275E-2</v>
      </c>
      <c r="R38" s="64">
        <f>VLOOKUP(B38,'General Merchandising'!$A:$D,4,)</f>
        <v>3.9049804834737745E-2</v>
      </c>
      <c r="S38" s="63">
        <f>VLOOKUP(B38,'Gas Station'!$A:$D,3,)</f>
        <v>0.15785386277687735</v>
      </c>
      <c r="T38" s="64">
        <f>VLOOKUP(B38,'Gas Station'!$A:$D,4,)</f>
        <v>-0.19536804561559939</v>
      </c>
      <c r="U38" s="63">
        <f>VLOOKUP(B38,Housing!$A:$D,3,)</f>
        <v>1.1543489749937415E-2</v>
      </c>
      <c r="V38" s="64">
        <f>VLOOKUP(B38,Housing!$A:$D,4,)</f>
        <v>0.19684054632219844</v>
      </c>
      <c r="W38" s="63">
        <f>VLOOKUP(B38,Health!$A:$D,3,)</f>
        <v>7.9425545693497385E-2</v>
      </c>
      <c r="X38" s="64">
        <f>VLOOKUP(B38,Health!$A:$D,4,)</f>
        <v>-9.7501310501485229E-3</v>
      </c>
      <c r="Y38" s="63">
        <f>VLOOKUP(B38,'Clothing and clothing access'!$A:$D,3,)</f>
        <v>1.0682630450321657</v>
      </c>
      <c r="Z38" s="64">
        <f>VLOOKUP(B38,'Clothing and clothing access'!$A:$D,4,)</f>
        <v>-0.2240547063555913</v>
      </c>
      <c r="AA38" s="63">
        <f>VLOOKUP(B38,'Furniture Home'!$A:$D,3,)</f>
        <v>0.38611135014198433</v>
      </c>
      <c r="AB38" s="64">
        <f>VLOOKUP(B38,'Furniture Home'!$A:$D,4,)</f>
        <v>-8.5811577752553922E-2</v>
      </c>
      <c r="AC38" s="63">
        <f>VLOOKUP(B38,'Miscellaneous stores retailers'!$A:$D,3,)</f>
        <v>0.23637181072271551</v>
      </c>
      <c r="AD38" s="64">
        <f>VLOOKUP(B38,'Miscellaneous stores retailers'!$A:$D,4,)</f>
        <v>-9.0900827197527503E-5</v>
      </c>
      <c r="AE38" s="63">
        <f>VLOOKUP(B38,'Sporting Goods'!$A:$D,3,)</f>
        <v>0.28023952095808385</v>
      </c>
      <c r="AF38" s="64">
        <f>VLOOKUP(B38,'Sporting Goods'!$A:$D,4,)</f>
        <v>0.240858966918166</v>
      </c>
    </row>
    <row r="39" spans="2:32" x14ac:dyDescent="0.2">
      <c r="B39" s="67">
        <v>44013</v>
      </c>
      <c r="C39" s="63">
        <f>VLOOKUP(B39,'Retail Sales'!A:D,3,)</f>
        <v>1.3930408771026271E-2</v>
      </c>
      <c r="D39" s="64">
        <f>VLOOKUP(B39,'Retail Sales'!A:D,4,)</f>
        <v>2.7086497756267723E-2</v>
      </c>
      <c r="E39" s="63">
        <f>VLOOKUP(B39,'Retail Sales ex Auto'!$A:$D,3,)</f>
        <v>2.0345850586964316E-2</v>
      </c>
      <c r="F39" s="64">
        <f>VLOOKUP(B39,'Retail Sales ex Auto'!$A:$D,4,)</f>
        <v>1.9967914721466591E-2</v>
      </c>
      <c r="G39" s="63">
        <f>VLOOKUP(B39,'Retail Sales ex Auto and Gas'!$A:$D,3,)</f>
        <v>1.7704197502373321E-2</v>
      </c>
      <c r="H39" s="64">
        <f>VLOOKUP(B39,'Retail Sales ex Auto and Gas'!$A:$D,4,)</f>
        <v>4.2173220649409593E-2</v>
      </c>
      <c r="I39" s="63">
        <f>VLOOKUP(B39,Motor!$A:$D,3,)</f>
        <v>-1.0183225713097111E-2</v>
      </c>
      <c r="J39" s="64">
        <f>VLOOKUP(B39,Motor!$A:$D,4,)</f>
        <v>5.5632716049382719E-2</v>
      </c>
      <c r="K39" s="63">
        <f>VLOOKUP(B39,'Non Store Retail'!$A:$D,3,)</f>
        <v>2.6399491094147583E-2</v>
      </c>
      <c r="L39" s="64">
        <f>VLOOKUP(B39,'Non Store Retail'!$A:$D,4,)</f>
        <v>0.25227015196436053</v>
      </c>
      <c r="M39" s="63">
        <f>VLOOKUP(B39,'Food and Beverage'!$A:$D,3,)</f>
        <v>2.8133662478796321E-3</v>
      </c>
      <c r="N39" s="63">
        <f>VLOOKUP(B39,'Food and Beverage'!$A:$D,4,)</f>
        <v>0.11280301175318315</v>
      </c>
      <c r="O39" s="63">
        <f>VLOOKUP(B39,'Food Services'!$A:$D,3,)</f>
        <v>3.4678186429930244E-2</v>
      </c>
      <c r="P39" s="64">
        <f>VLOOKUP(B39,'Food Services'!$A:$D,4,)</f>
        <v>-0.20204783372812715</v>
      </c>
      <c r="Q39" s="63">
        <f>VLOOKUP(B39,'General Merchandising'!$A:$D,3,)</f>
        <v>-4.4982587385528185E-3</v>
      </c>
      <c r="R39" s="64">
        <f>VLOOKUP(B39,'General Merchandising'!$A:$D,4,)</f>
        <v>2.672187302537497E-2</v>
      </c>
      <c r="S39" s="63">
        <f>VLOOKUP(B39,'Gas Station'!$A:$D,3,)</f>
        <v>4.972150126855443E-2</v>
      </c>
      <c r="T39" s="64">
        <f>VLOOKUP(B39,'Gas Station'!$A:$D,4,)</f>
        <v>-0.17056085533895571</v>
      </c>
      <c r="U39" s="63">
        <f>VLOOKUP(B39,Housing!$A:$D,3,)</f>
        <v>-1.2649177803442777E-2</v>
      </c>
      <c r="V39" s="64">
        <f>VLOOKUP(B39,Housing!$A:$D,4,)</f>
        <v>0.17037713093647119</v>
      </c>
      <c r="W39" s="63">
        <f>VLOOKUP(B39,Health!$A:$D,3,)</f>
        <v>5.2053924336533032E-2</v>
      </c>
      <c r="X39" s="64">
        <f>VLOOKUP(B39,Health!$A:$D,4,)</f>
        <v>4.975702514261568E-2</v>
      </c>
      <c r="Y39" s="63">
        <f>VLOOKUP(B39,'Clothing and clothing access'!$A:$D,3,)</f>
        <v>4.0665860261505676E-2</v>
      </c>
      <c r="Z39" s="64">
        <f>VLOOKUP(B39,'Clothing and clothing access'!$A:$D,4,)</f>
        <v>-0.19873159481993968</v>
      </c>
      <c r="AA39" s="63">
        <f>VLOOKUP(B39,'Furniture Home'!$A:$D,3,)</f>
        <v>7.5676682393841566E-2</v>
      </c>
      <c r="AB39" s="64">
        <f>VLOOKUP(B39,'Furniture Home'!$A:$D,4,)</f>
        <v>-2.2123144646989109E-2</v>
      </c>
      <c r="AC39" s="63">
        <f>VLOOKUP(B39,'Miscellaneous stores retailers'!$A:$D,3,)</f>
        <v>4.5909090909090906E-2</v>
      </c>
      <c r="AD39" s="64">
        <f>VLOOKUP(B39,'Miscellaneous stores retailers'!$A:$D,4,)</f>
        <v>5.5504587155963306E-2</v>
      </c>
      <c r="AE39" s="63">
        <f>VLOOKUP(B39,'Sporting Goods'!$A:$D,3,)</f>
        <v>-5.1917680074836298E-2</v>
      </c>
      <c r="AF39" s="64">
        <f>VLOOKUP(B39,'Sporting Goods'!$A:$D,4,)</f>
        <v>0.19498894620486368</v>
      </c>
    </row>
    <row r="40" spans="2:32" x14ac:dyDescent="0.2">
      <c r="B40" s="67">
        <v>44044</v>
      </c>
      <c r="C40" s="63">
        <f>VLOOKUP(B40,'Retail Sales'!A:D,3,)</f>
        <v>7.8779120440398333E-3</v>
      </c>
      <c r="D40" s="64">
        <f>VLOOKUP(B40,'Retail Sales'!A:D,4,)</f>
        <v>3.0444605841332382E-2</v>
      </c>
      <c r="E40" s="63">
        <f>VLOOKUP(B40,'Retail Sales ex Auto'!$A:$D,3,)</f>
        <v>9.2791503269515109E-3</v>
      </c>
      <c r="F40" s="64">
        <f>VLOOKUP(B40,'Retail Sales ex Auto'!$A:$D,4,)</f>
        <v>2.8279833650863818E-2</v>
      </c>
      <c r="G40" s="63">
        <f>VLOOKUP(B40,'Retail Sales ex Auto and Gas'!$A:$D,3,)</f>
        <v>9.1864159578223682E-3</v>
      </c>
      <c r="H40" s="64">
        <f>VLOOKUP(B40,'Retail Sales ex Auto and Gas'!$A:$D,4,)</f>
        <v>4.8702637568616952E-2</v>
      </c>
      <c r="I40" s="63">
        <f>VLOOKUP(B40,Motor!$A:$D,3,)</f>
        <v>2.4486514143702946E-3</v>
      </c>
      <c r="J40" s="64">
        <f>VLOOKUP(B40,Motor!$A:$D,4,)</f>
        <v>3.8977272727272728E-2</v>
      </c>
      <c r="K40" s="63">
        <f>VLOOKUP(B40,'Non Store Retail'!$A:$D,3,)</f>
        <v>1.8704679268670591E-2</v>
      </c>
      <c r="L40" s="64">
        <f>VLOOKUP(B40,'Non Store Retail'!$A:$D,4,)</f>
        <v>0.2649141168503355</v>
      </c>
      <c r="M40" s="63">
        <f>VLOOKUP(B40,'Food and Beverage'!$A:$D,3,)</f>
        <v>-1.2968438423984048E-2</v>
      </c>
      <c r="N40" s="63">
        <f>VLOOKUP(B40,'Food and Beverage'!$A:$D,4,)</f>
        <v>9.864070536370316E-2</v>
      </c>
      <c r="O40" s="63">
        <f>VLOOKUP(B40,'Food Services'!$A:$D,3,)</f>
        <v>4.489217451258283E-2</v>
      </c>
      <c r="P40" s="64">
        <f>VLOOKUP(B40,'Food Services'!$A:$D,4,)</f>
        <v>-0.1649243108383206</v>
      </c>
      <c r="Q40" s="63">
        <f>VLOOKUP(B40,'General Merchandising'!$A:$D,3,)</f>
        <v>-9.3934731557211108E-3</v>
      </c>
      <c r="R40" s="64">
        <f>VLOOKUP(B40,'General Merchandising'!$A:$D,4,)</f>
        <v>1.8177883574983771E-2</v>
      </c>
      <c r="S40" s="63">
        <f>VLOOKUP(B40,'Gas Station'!$A:$D,3,)</f>
        <v>1.0278919879986664E-2</v>
      </c>
      <c r="T40" s="64">
        <f>VLOOKUP(B40,'Gas Station'!$A:$D,4,)</f>
        <v>-0.14998948180352009</v>
      </c>
      <c r="U40" s="63">
        <f>VLOOKUP(B40,Housing!$A:$D,3,)</f>
        <v>2.2503202807330251E-2</v>
      </c>
      <c r="V40" s="64">
        <f>VLOOKUP(B40,Housing!$A:$D,4,)</f>
        <v>0.17409657818995844</v>
      </c>
      <c r="W40" s="63">
        <f>VLOOKUP(B40,Health!$A:$D,3,)</f>
        <v>-7.1114689208681362E-3</v>
      </c>
      <c r="X40" s="64">
        <f>VLOOKUP(B40,Health!$A:$D,4,)</f>
        <v>4.1704793411698457E-2</v>
      </c>
      <c r="Y40" s="63">
        <f>VLOOKUP(B40,'Clothing and clothing access'!$A:$D,3,)</f>
        <v>2.828361100348702E-2</v>
      </c>
      <c r="Z40" s="64">
        <f>VLOOKUP(B40,'Clothing and clothing access'!$A:$D,4,)</f>
        <v>-0.17180813124108416</v>
      </c>
      <c r="AA40" s="63">
        <f>VLOOKUP(B40,'Furniture Home'!$A:$D,3,)</f>
        <v>2.7183009176429851E-2</v>
      </c>
      <c r="AB40" s="64">
        <f>VLOOKUP(B40,'Furniture Home'!$A:$D,4,)</f>
        <v>8.1567916619463016E-3</v>
      </c>
      <c r="AC40" s="63">
        <f>VLOOKUP(B40,'Miscellaneous stores retailers'!$A:$D,3,)</f>
        <v>2.0773576705780096E-2</v>
      </c>
      <c r="AD40" s="64">
        <f>VLOOKUP(B40,'Miscellaneous stores retailers'!$A:$D,4,)</f>
        <v>4.8665059380301814E-2</v>
      </c>
      <c r="AE40" s="63">
        <f>VLOOKUP(B40,'Sporting Goods'!$A:$D,3,)</f>
        <v>-7.1780957079427721E-2</v>
      </c>
      <c r="AF40" s="64">
        <f>VLOOKUP(B40,'Sporting Goods'!$A:$D,4,)</f>
        <v>0.11084870848708488</v>
      </c>
    </row>
    <row r="41" spans="2:32" x14ac:dyDescent="0.2">
      <c r="B41" s="67">
        <v>44075</v>
      </c>
      <c r="C41" s="63">
        <f>VLOOKUP(B41,'Retail Sales'!A:D,3,)</f>
        <v>2.1959384066056683E-2</v>
      </c>
      <c r="D41" s="64">
        <f>VLOOKUP(B41,'Retail Sales'!A:D,4,)</f>
        <v>5.9627269309011674E-2</v>
      </c>
      <c r="E41" s="63">
        <f>VLOOKUP(B41,'Retail Sales ex Auto'!$A:$D,3,)</f>
        <v>1.6705451350921954E-2</v>
      </c>
      <c r="F41" s="64">
        <f>VLOOKUP(B41,'Retail Sales ex Auto'!$A:$D,4,)</f>
        <v>4.8834277753541273E-2</v>
      </c>
      <c r="G41" s="63">
        <f>VLOOKUP(B41,'Retail Sales ex Auto and Gas'!$A:$D,3,)</f>
        <v>1.6614833085655631E-2</v>
      </c>
      <c r="H41" s="64">
        <f>VLOOKUP(B41,'Retail Sales ex Auto and Gas'!$A:$D,4,)</f>
        <v>6.9261860321467417E-2</v>
      </c>
      <c r="I41" s="63">
        <f>VLOOKUP(B41,Motor!$A:$D,3,)</f>
        <v>4.2455065806263445E-2</v>
      </c>
      <c r="J41" s="64">
        <f>VLOOKUP(B41,Motor!$A:$D,4,)</f>
        <v>0.10280391854365936</v>
      </c>
      <c r="K41" s="63">
        <f>VLOOKUP(B41,'Non Store Retail'!$A:$D,3,)</f>
        <v>-1.6742918329601869E-2</v>
      </c>
      <c r="L41" s="64">
        <f>VLOOKUP(B41,'Non Store Retail'!$A:$D,4,)</f>
        <v>0.24977574314083331</v>
      </c>
      <c r="M41" s="63">
        <f>VLOOKUP(B41,'Food and Beverage'!$A:$D,3,)</f>
        <v>2.7866020174998608E-5</v>
      </c>
      <c r="N41" s="63">
        <f>VLOOKUP(B41,'Food and Beverage'!$A:$D,4,)</f>
        <v>0.1064111852753927</v>
      </c>
      <c r="O41" s="63">
        <f>VLOOKUP(B41,'Food Services'!$A:$D,3,)</f>
        <v>3.0114740276403092E-2</v>
      </c>
      <c r="P41" s="64">
        <f>VLOOKUP(B41,'Food Services'!$A:$D,4,)</f>
        <v>-0.14530993369426365</v>
      </c>
      <c r="Q41" s="63">
        <f>VLOOKUP(B41,'General Merchandising'!$A:$D,3,)</f>
        <v>3.9565110765960927E-2</v>
      </c>
      <c r="R41" s="64">
        <f>VLOOKUP(B41,'General Merchandising'!$A:$D,4,)</f>
        <v>6.7059356592659713E-2</v>
      </c>
      <c r="S41" s="63">
        <f>VLOOKUP(B41,'Gas Station'!$A:$D,3,)</f>
        <v>1.7681350712203708E-2</v>
      </c>
      <c r="T41" s="64">
        <f>VLOOKUP(B41,'Gas Station'!$A:$D,4,)</f>
        <v>-0.12997790211105364</v>
      </c>
      <c r="U41" s="63">
        <f>VLOOKUP(B41,Housing!$A:$D,3,)</f>
        <v>-1.0350275099417117E-3</v>
      </c>
      <c r="V41" s="64">
        <f>VLOOKUP(B41,Housing!$A:$D,4,)</f>
        <v>0.19054729598130235</v>
      </c>
      <c r="W41" s="63">
        <f>VLOOKUP(B41,Health!$A:$D,3,)</f>
        <v>1.2601777087063752E-2</v>
      </c>
      <c r="X41" s="64">
        <f>VLOOKUP(B41,Health!$A:$D,4,)</f>
        <v>5.4090173735668566E-2</v>
      </c>
      <c r="Y41" s="63">
        <f>VLOOKUP(B41,'Clothing and clothing access'!$A:$D,3,)</f>
        <v>0.15249219506943698</v>
      </c>
      <c r="Z41" s="64">
        <f>VLOOKUP(B41,'Clothing and clothing access'!$A:$D,4,)</f>
        <v>-4.479143430738345E-2</v>
      </c>
      <c r="AA41" s="63">
        <f>VLOOKUP(B41,'Furniture Home'!$A:$D,3,)</f>
        <v>-3.8768400943926286E-3</v>
      </c>
      <c r="AB41" s="64">
        <f>VLOOKUP(B41,'Furniture Home'!$A:$D,4,)</f>
        <v>-3.7089069963472886E-3</v>
      </c>
      <c r="AC41" s="63">
        <f>VLOOKUP(B41,'Miscellaneous stores retailers'!$A:$D,3,)</f>
        <v>1.0047683923705721E-2</v>
      </c>
      <c r="AD41" s="64">
        <f>VLOOKUP(B41,'Miscellaneous stores retailers'!$A:$D,4,)</f>
        <v>5.8351177730192723E-2</v>
      </c>
      <c r="AE41" s="63">
        <f>VLOOKUP(B41,'Sporting Goods'!$A:$D,3,)</f>
        <v>7.985649747541855E-2</v>
      </c>
      <c r="AF41" s="64">
        <f>VLOOKUP(B41,'Sporting Goods'!$A:$D,4,)</f>
        <v>0.19111827641799795</v>
      </c>
    </row>
    <row r="42" spans="2:32" x14ac:dyDescent="0.2">
      <c r="B42" s="67">
        <v>44105</v>
      </c>
      <c r="C42" s="63">
        <f>VLOOKUP(B42,'Retail Sales'!A:D,3,)</f>
        <v>9.2806917936847624E-4</v>
      </c>
      <c r="D42" s="64">
        <f>VLOOKUP(B42,'Retail Sales'!A:D,4,)</f>
        <v>5.5504169912917324E-2</v>
      </c>
      <c r="E42" s="63">
        <f>VLOOKUP(B42,'Retail Sales ex Auto'!$A:$D,3,)</f>
        <v>1.4638495796890296E-3</v>
      </c>
      <c r="F42" s="64">
        <f>VLOOKUP(B42,'Retail Sales ex Auto'!$A:$D,4,)</f>
        <v>4.5019747396389115E-2</v>
      </c>
      <c r="G42" s="63">
        <f>VLOOKUP(B42,'Retail Sales ex Auto and Gas'!$A:$D,3,)</f>
        <v>1.135264790465785E-3</v>
      </c>
      <c r="H42" s="64">
        <f>VLOOKUP(B42,'Retail Sales ex Auto and Gas'!$A:$D,4,)</f>
        <v>6.6477414107253219E-2</v>
      </c>
      <c r="I42" s="63">
        <f>VLOOKUP(B42,Motor!$A:$D,3,)</f>
        <v>-1.1103922220084984E-3</v>
      </c>
      <c r="J42" s="64">
        <f>VLOOKUP(B42,Motor!$A:$D,4,)</f>
        <v>9.7505211485441459E-2</v>
      </c>
      <c r="K42" s="63">
        <f>VLOOKUP(B42,'Non Store Retail'!$A:$D,3,)</f>
        <v>3.0776655776655778E-2</v>
      </c>
      <c r="L42" s="64">
        <f>VLOOKUP(B42,'Non Store Retail'!$A:$D,4,)</f>
        <v>0.27569148773241031</v>
      </c>
      <c r="M42" s="63">
        <f>VLOOKUP(B42,'Food and Beverage'!$A:$D,3,)</f>
        <v>-8.1227185331735723E-3</v>
      </c>
      <c r="N42" s="63">
        <f>VLOOKUP(B42,'Food and Beverage'!$A:$D,4,)</f>
        <v>9.6680274204729258E-2</v>
      </c>
      <c r="O42" s="63">
        <f>VLOOKUP(B42,'Food Services'!$A:$D,3,)</f>
        <v>-2.7401647657514989E-3</v>
      </c>
      <c r="P42" s="64">
        <f>VLOOKUP(B42,'Food Services'!$A:$D,4,)</f>
        <v>-0.14598951666971416</v>
      </c>
      <c r="Q42" s="63">
        <f>VLOOKUP(B42,'General Merchandising'!$A:$D,3,)</f>
        <v>-1.3210662892191555E-2</v>
      </c>
      <c r="R42" s="64">
        <f>VLOOKUP(B42,'General Merchandising'!$A:$D,4,)</f>
        <v>4.8038216773288345E-2</v>
      </c>
      <c r="S42" s="63">
        <f>VLOOKUP(B42,'Gas Station'!$A:$D,3,)</f>
        <v>4.9987840795482179E-3</v>
      </c>
      <c r="T42" s="64">
        <f>VLOOKUP(B42,'Gas Station'!$A:$D,4,)</f>
        <v>-0.14034114547219526</v>
      </c>
      <c r="U42" s="63">
        <f>VLOOKUP(B42,Housing!$A:$D,3,)</f>
        <v>2.4539208201548694E-4</v>
      </c>
      <c r="V42" s="64">
        <f>VLOOKUP(B42,Housing!$A:$D,4,)</f>
        <v>0.17889967221543801</v>
      </c>
      <c r="W42" s="63">
        <f>VLOOKUP(B42,Health!$A:$D,3,)</f>
        <v>-1.0342986787668491E-3</v>
      </c>
      <c r="X42" s="64">
        <f>VLOOKUP(B42,Health!$A:$D,4,)</f>
        <v>4.258653109548019E-2</v>
      </c>
      <c r="Y42" s="63">
        <f>VLOOKUP(B42,'Clothing and clothing access'!$A:$D,3,)</f>
        <v>-3.0124702255849796E-2</v>
      </c>
      <c r="Z42" s="64">
        <f>VLOOKUP(B42,'Clothing and clothing access'!$A:$D,4,)</f>
        <v>-7.2946428571428565E-2</v>
      </c>
      <c r="AA42" s="63">
        <f>VLOOKUP(B42,'Furniture Home'!$A:$D,3,)</f>
        <v>1.4044785379886062E-2</v>
      </c>
      <c r="AB42" s="64">
        <f>VLOOKUP(B42,'Furniture Home'!$A:$D,4,)</f>
        <v>2.3454400546510303E-2</v>
      </c>
      <c r="AC42" s="63">
        <f>VLOOKUP(B42,'Miscellaneous stores retailers'!$A:$D,3,)</f>
        <v>5.1424717585567357E-3</v>
      </c>
      <c r="AD42" s="64">
        <f>VLOOKUP(B42,'Miscellaneous stores retailers'!$A:$D,4,)</f>
        <v>4.6152496270948494E-2</v>
      </c>
      <c r="AE42" s="63">
        <f>VLOOKUP(B42,'Sporting Goods'!$A:$D,3,)</f>
        <v>-1.2427710102128706E-2</v>
      </c>
      <c r="AF42" s="64">
        <f>VLOOKUP(B42,'Sporting Goods'!$A:$D,4,)</f>
        <v>0.17236342389716622</v>
      </c>
    </row>
    <row r="43" spans="2:32" x14ac:dyDescent="0.2">
      <c r="B43" s="67">
        <v>44136</v>
      </c>
      <c r="C43" s="63">
        <f>VLOOKUP(B43,'Retail Sales'!A:D,3,)</f>
        <v>-1.3553609023376567E-2</v>
      </c>
      <c r="D43" s="64">
        <f>VLOOKUP(B43,'Retail Sales'!A:D,4,)</f>
        <v>3.7830548674936161E-2</v>
      </c>
      <c r="E43" s="63">
        <f>VLOOKUP(B43,'Retail Sales ex Auto'!$A:$D,3,)</f>
        <v>-1.2414207728016411E-2</v>
      </c>
      <c r="F43" s="64">
        <f>VLOOKUP(B43,'Retail Sales ex Auto'!$A:$D,4,)</f>
        <v>3.401045107814283E-2</v>
      </c>
      <c r="G43" s="63">
        <f>VLOOKUP(B43,'Retail Sales ex Auto and Gas'!$A:$D,3,)</f>
        <v>-1.176376139308625E-2</v>
      </c>
      <c r="H43" s="64">
        <f>VLOOKUP(B43,'Retail Sales ex Auto and Gas'!$A:$D,4,)</f>
        <v>5.6096089655079964E-2</v>
      </c>
      <c r="I43" s="63">
        <f>VLOOKUP(B43,Motor!$A:$D,3,)</f>
        <v>-1.7899813561844075E-2</v>
      </c>
      <c r="J43" s="64">
        <f>VLOOKUP(B43,Motor!$A:$D,4,)</f>
        <v>5.274910865077876E-2</v>
      </c>
      <c r="K43" s="63">
        <f>VLOOKUP(B43,'Non Store Retail'!$A:$D,3,)</f>
        <v>-1.2185605378474098E-2</v>
      </c>
      <c r="L43" s="64">
        <f>VLOOKUP(B43,'Non Store Retail'!$A:$D,4,)</f>
        <v>0.2702627597492821</v>
      </c>
      <c r="M43" s="63">
        <f>VLOOKUP(B43,'Food and Beverage'!$A:$D,3,)</f>
        <v>1.414504642440758E-2</v>
      </c>
      <c r="N43" s="63">
        <f>VLOOKUP(B43,'Food and Beverage'!$A:$D,4,)</f>
        <v>0.10712752254186346</v>
      </c>
      <c r="O43" s="63">
        <f>VLOOKUP(B43,'Food Services'!$A:$D,3,)</f>
        <v>-3.7754027869466696E-2</v>
      </c>
      <c r="P43" s="64">
        <f>VLOOKUP(B43,'Food Services'!$A:$D,4,)</f>
        <v>-0.17216448953904248</v>
      </c>
      <c r="Q43" s="63">
        <f>VLOOKUP(B43,'General Merchandising'!$A:$D,3,)</f>
        <v>-1.3817834090365766E-2</v>
      </c>
      <c r="R43" s="64">
        <f>VLOOKUP(B43,'General Merchandising'!$A:$D,4,)</f>
        <v>3.2022415690983685E-2</v>
      </c>
      <c r="S43" s="63">
        <f>VLOOKUP(B43,'Gas Station'!$A:$D,3,)</f>
        <v>-1.9384847018336291E-2</v>
      </c>
      <c r="T43" s="64">
        <f>VLOOKUP(B43,'Gas Station'!$A:$D,4,)</f>
        <v>-0.15649861239592969</v>
      </c>
      <c r="U43" s="63">
        <f>VLOOKUP(B43,Housing!$A:$D,3,)</f>
        <v>8.6411339784653127E-3</v>
      </c>
      <c r="V43" s="64">
        <f>VLOOKUP(B43,Housing!$A:$D,4,)</f>
        <v>0.18171946857434848</v>
      </c>
      <c r="W43" s="63">
        <f>VLOOKUP(B43,Health!$A:$D,3,)</f>
        <v>-1.3059016064927691E-2</v>
      </c>
      <c r="X43" s="64">
        <f>VLOOKUP(B43,Health!$A:$D,4,)</f>
        <v>3.6878486964454893E-2</v>
      </c>
      <c r="Y43" s="63">
        <f>VLOOKUP(B43,'Clothing and clothing access'!$A:$D,3,)</f>
        <v>-5.5716074352306653E-2</v>
      </c>
      <c r="Z43" s="64">
        <f>VLOOKUP(B43,'Clothing and clothing access'!$A:$D,4,)</f>
        <v>-0.11956716954022989</v>
      </c>
      <c r="AA43" s="63">
        <f>VLOOKUP(B43,'Furniture Home'!$A:$D,3,)</f>
        <v>-2.3473133830236956E-2</v>
      </c>
      <c r="AB43" s="64">
        <f>VLOOKUP(B43,'Furniture Home'!$A:$D,4,)</f>
        <v>-9.9813906276433762E-3</v>
      </c>
      <c r="AC43" s="63">
        <f>VLOOKUP(B43,'Miscellaneous stores retailers'!$A:$D,3,)</f>
        <v>7.883921831753753E-3</v>
      </c>
      <c r="AD43" s="64">
        <f>VLOOKUP(B43,'Miscellaneous stores retailers'!$A:$D,4,)</f>
        <v>4.997815640017475E-2</v>
      </c>
      <c r="AE43" s="63">
        <f>VLOOKUP(B43,'Sporting Goods'!$A:$D,3,)</f>
        <v>-1.7318714178918514E-2</v>
      </c>
      <c r="AF43" s="64">
        <f>VLOOKUP(B43,'Sporting Goods'!$A:$D,4,)</f>
        <v>0.1890547263681592</v>
      </c>
    </row>
    <row r="44" spans="2:32" x14ac:dyDescent="0.2">
      <c r="B44" s="67">
        <v>44166</v>
      </c>
      <c r="C44" s="63">
        <f>VLOOKUP(B44,'Retail Sales'!A:D,3,)</f>
        <v>-1.2184310971777589E-2</v>
      </c>
      <c r="D44" s="64">
        <f>VLOOKUP(B44,'Retail Sales'!A:D,4,)</f>
        <v>2.311677502853805E-2</v>
      </c>
      <c r="E44" s="63">
        <f>VLOOKUP(B44,'Retail Sales ex Auto'!$A:$D,3,)</f>
        <v>-2.0577116554866503E-2</v>
      </c>
      <c r="F44" s="64">
        <f>VLOOKUP(B44,'Retail Sales ex Auto'!$A:$D,4,)</f>
        <v>5.9326220232484329E-3</v>
      </c>
      <c r="G44" s="63">
        <f>VLOOKUP(B44,'Retail Sales ex Auto and Gas'!$A:$D,3,)</f>
        <v>-2.9146399666927301E-2</v>
      </c>
      <c r="H44" s="64">
        <f>VLOOKUP(B44,'Retail Sales ex Auto and Gas'!$A:$D,4,)</f>
        <v>1.9952206451062285E-2</v>
      </c>
      <c r="I44" s="63">
        <f>VLOOKUP(B44,Motor!$A:$D,3,)</f>
        <v>2.0008555997219301E-2</v>
      </c>
      <c r="J44" s="64">
        <f>VLOOKUP(B44,Motor!$A:$D,4,)</f>
        <v>9.1811911507970578E-2</v>
      </c>
      <c r="K44" s="63">
        <f>VLOOKUP(B44,'Non Store Retail'!$A:$D,3,)</f>
        <v>-9.4871171609139521E-2</v>
      </c>
      <c r="L44" s="64">
        <f>VLOOKUP(B44,'Non Store Retail'!$A:$D,4,)</f>
        <v>0.15370553971991574</v>
      </c>
      <c r="M44" s="63">
        <f>VLOOKUP(B44,'Food and Beverage'!$A:$D,3,)</f>
        <v>-1.1302252139948475E-2</v>
      </c>
      <c r="N44" s="63">
        <f>VLOOKUP(B44,'Food and Beverage'!$A:$D,4,)</f>
        <v>8.6881052439247208E-2</v>
      </c>
      <c r="O44" s="63">
        <f>VLOOKUP(B44,'Food Services'!$A:$D,3,)</f>
        <v>-5.0824201294246349E-2</v>
      </c>
      <c r="P44" s="64">
        <f>VLOOKUP(B44,'Food Services'!$A:$D,4,)</f>
        <v>-0.22211922743781057</v>
      </c>
      <c r="Q44" s="63">
        <f>VLOOKUP(B44,'General Merchandising'!$A:$D,3,)</f>
        <v>-1.7793076699311548E-2</v>
      </c>
      <c r="R44" s="64">
        <f>VLOOKUP(B44,'General Merchandising'!$A:$D,4,)</f>
        <v>8.5962262898488188E-3</v>
      </c>
      <c r="S44" s="63">
        <f>VLOOKUP(B44,'Gas Station'!$A:$D,3,)</f>
        <v>7.197104707591917E-2</v>
      </c>
      <c r="T44" s="64">
        <f>VLOOKUP(B44,'Gas Station'!$A:$D,4,)</f>
        <v>-0.11328328759667067</v>
      </c>
      <c r="U44" s="63">
        <f>VLOOKUP(B44,Housing!$A:$D,3,)</f>
        <v>2.6214799200043239E-3</v>
      </c>
      <c r="V44" s="64">
        <f>VLOOKUP(B44,Housing!$A:$D,4,)</f>
        <v>0.16108537806710066</v>
      </c>
      <c r="W44" s="63">
        <f>VLOOKUP(B44,Health!$A:$D,3,)</f>
        <v>1.2825719120135365E-2</v>
      </c>
      <c r="X44" s="64">
        <f>VLOOKUP(B44,Health!$A:$D,4,)</f>
        <v>5.5361613597094399E-2</v>
      </c>
      <c r="Y44" s="63">
        <f>VLOOKUP(B44,'Clothing and clothing access'!$A:$D,3,)</f>
        <v>2.4784537712274977E-2</v>
      </c>
      <c r="Z44" s="64">
        <f>VLOOKUP(B44,'Clothing and clothing access'!$A:$D,4,)</f>
        <v>-0.12405736454382982</v>
      </c>
      <c r="AA44" s="63">
        <f>VLOOKUP(B44,'Furniture Home'!$A:$D,3,)</f>
        <v>-2.7284119389382546E-2</v>
      </c>
      <c r="AB44" s="64">
        <f>VLOOKUP(B44,'Furniture Home'!$A:$D,4,)</f>
        <v>-2.3445988448561789E-2</v>
      </c>
      <c r="AC44" s="63">
        <f>VLOOKUP(B44,'Miscellaneous stores retailers'!$A:$D,3,)</f>
        <v>5.409003911125905E-2</v>
      </c>
      <c r="AD44" s="64">
        <f>VLOOKUP(B44,'Miscellaneous stores retailers'!$A:$D,4,)</f>
        <v>0.12987244670412987</v>
      </c>
      <c r="AE44" s="63">
        <f>VLOOKUP(B44,'Sporting Goods'!$A:$D,3,)</f>
        <v>-1.9018638265500189E-2</v>
      </c>
      <c r="AF44" s="64">
        <f>VLOOKUP(B44,'Sporting Goods'!$A:$D,4,)</f>
        <v>0.15443151298119964</v>
      </c>
    </row>
    <row r="45" spans="2:32" x14ac:dyDescent="0.2">
      <c r="B45" s="67">
        <v>44197</v>
      </c>
      <c r="C45" s="63">
        <f>VLOOKUP(B45,'Retail Sales'!A:D,3,)</f>
        <v>7.5552454232683794E-2</v>
      </c>
      <c r="D45" s="64">
        <f>VLOOKUP(B45,'Retail Sales'!A:D,4,)</f>
        <v>9.4008691856603349E-2</v>
      </c>
      <c r="E45" s="63">
        <f>VLOOKUP(B45,'Retail Sales ex Auto'!$A:$D,3,)</f>
        <v>8.2704465927287821E-2</v>
      </c>
      <c r="F45" s="64">
        <f>VLOOKUP(B45,'Retail Sales ex Auto'!$A:$D,4,)</f>
        <v>8.2080669941768936E-2</v>
      </c>
      <c r="G45" s="63">
        <f>VLOOKUP(B45,'Retail Sales ex Auto and Gas'!$A:$D,3,)</f>
        <v>8.6460945487635554E-2</v>
      </c>
      <c r="H45" s="64">
        <f>VLOOKUP(B45,'Retail Sales ex Auto and Gas'!$A:$D,4,)</f>
        <v>9.7521481986301187E-2</v>
      </c>
      <c r="I45" s="63">
        <f>VLOOKUP(B45,Motor!$A:$D,3,)</f>
        <v>4.9210551609041739E-2</v>
      </c>
      <c r="J45" s="64">
        <f>VLOOKUP(B45,Motor!$A:$D,4,)</f>
        <v>0.14184781575093666</v>
      </c>
      <c r="K45" s="63">
        <f>VLOOKUP(B45,'Non Store Retail'!$A:$D,3,)</f>
        <v>0.16856889652764723</v>
      </c>
      <c r="L45" s="64">
        <f>VLOOKUP(B45,'Non Store Retail'!$A:$D,4,)</f>
        <v>0.3339668914776211</v>
      </c>
      <c r="M45" s="63">
        <f>VLOOKUP(B45,'Food and Beverage'!$A:$D,3,)</f>
        <v>1.8884312571796812E-2</v>
      </c>
      <c r="N45" s="63">
        <f>VLOOKUP(B45,'Food and Beverage'!$A:$D,4,)</f>
        <v>0.11342447298724759</v>
      </c>
      <c r="O45" s="63">
        <f>VLOOKUP(B45,'Food Services'!$A:$D,3,)</f>
        <v>9.990232467278766E-2</v>
      </c>
      <c r="P45" s="64">
        <f>VLOOKUP(B45,'Food Services'!$A:$D,4,)</f>
        <v>-0.15133244905341856</v>
      </c>
      <c r="Q45" s="63">
        <f>VLOOKUP(B45,'General Merchandising'!$A:$D,3,)</f>
        <v>0.10128831630386495</v>
      </c>
      <c r="R45" s="64">
        <f>VLOOKUP(B45,'General Merchandising'!$A:$D,4,)</f>
        <v>0.10461431824933162</v>
      </c>
      <c r="S45" s="63">
        <f>VLOOKUP(B45,'Gas Station'!$A:$D,3,)</f>
        <v>4.5961430252186811E-2</v>
      </c>
      <c r="T45" s="64">
        <f>VLOOKUP(B45,'Gas Station'!$A:$D,4,)</f>
        <v>-5.3246903576802868E-2</v>
      </c>
      <c r="U45" s="63">
        <f>VLOOKUP(B45,Housing!$A:$D,3,)</f>
        <v>7.8088358176770262E-2</v>
      </c>
      <c r="V45" s="64">
        <f>VLOOKUP(B45,Housing!$A:$D,4,)</f>
        <v>0.2149453219927096</v>
      </c>
      <c r="W45" s="63">
        <f>VLOOKUP(B45,Health!$A:$D,3,)</f>
        <v>9.1884125764308856E-3</v>
      </c>
      <c r="X45" s="64">
        <f>VLOOKUP(B45,Health!$A:$D,4,)</f>
        <v>4.6134663341645885E-2</v>
      </c>
      <c r="Y45" s="63">
        <f>VLOOKUP(B45,'Clothing and clothing access'!$A:$D,3,)</f>
        <v>6.2503110226424477E-2</v>
      </c>
      <c r="Z45" s="64">
        <f>VLOOKUP(B45,'Clothing and clothing access'!$A:$D,4,)</f>
        <v>-6.8211573710395393E-2</v>
      </c>
      <c r="AA45" s="63">
        <f>VLOOKUP(B45,'Furniture Home'!$A:$D,3,)</f>
        <v>0.1490894185161328</v>
      </c>
      <c r="AB45" s="64">
        <f>VLOOKUP(B45,'Furniture Home'!$A:$D,4,)</f>
        <v>9.3690781406755103E-2</v>
      </c>
      <c r="AC45" s="63">
        <f>VLOOKUP(B45,'Miscellaneous stores retailers'!$A:$D,3,)</f>
        <v>6.0787874003315704E-3</v>
      </c>
      <c r="AD45" s="64">
        <f>VLOOKUP(B45,'Miscellaneous stores retailers'!$A:$D,4,)</f>
        <v>9.2311648238621757E-2</v>
      </c>
      <c r="AE45" s="63">
        <f>VLOOKUP(B45,'Sporting Goods'!$A:$D,3,)</f>
        <v>0.10882771099909526</v>
      </c>
      <c r="AF45" s="64">
        <f>VLOOKUP(B45,'Sporting Goods'!$A:$D,4,)</f>
        <v>0.26927060216008286</v>
      </c>
    </row>
    <row r="46" spans="2:32" x14ac:dyDescent="0.2">
      <c r="B46" s="67">
        <v>44228</v>
      </c>
      <c r="C46" s="63">
        <f>VLOOKUP(B46,'Retail Sales'!A:D,3,)</f>
        <v>-2.8615737961996023E-2</v>
      </c>
      <c r="D46" s="64">
        <f>VLOOKUP(B46,'Retail Sales'!A:D,4,)</f>
        <v>6.4966432741864935E-2</v>
      </c>
      <c r="E46" s="63">
        <f>VLOOKUP(B46,'Retail Sales ex Auto'!$A:$D,3,)</f>
        <v>-2.6641863155611355E-2</v>
      </c>
      <c r="F46" s="64">
        <f>VLOOKUP(B46,'Retail Sales ex Auto'!$A:$D,4,)</f>
        <v>5.6955911394513309E-2</v>
      </c>
      <c r="G46" s="63">
        <f>VLOOKUP(B46,'Retail Sales ex Auto and Gas'!$A:$D,3,)</f>
        <v>-3.2412176407728671E-2</v>
      </c>
      <c r="H46" s="64">
        <f>VLOOKUP(B46,'Retail Sales ex Auto and Gas'!$A:$D,4,)</f>
        <v>6.1690412369772754E-2</v>
      </c>
      <c r="I46" s="63">
        <f>VLOOKUP(B46,Motor!$A:$D,3,)</f>
        <v>-3.611788905637122E-2</v>
      </c>
      <c r="J46" s="64">
        <f>VLOOKUP(B46,Motor!$A:$D,4,)</f>
        <v>9.6872630780894614E-2</v>
      </c>
      <c r="K46" s="63">
        <f>VLOOKUP(B46,'Non Store Retail'!$A:$D,3,)</f>
        <v>-3.1070460081812749E-2</v>
      </c>
      <c r="L46" s="64">
        <f>VLOOKUP(B46,'Non Store Retail'!$A:$D,4,)</f>
        <v>0.28542682926829266</v>
      </c>
      <c r="M46" s="63">
        <f>VLOOKUP(B46,'Food and Beverage'!$A:$D,3,)</f>
        <v>-5.3210504606077272E-3</v>
      </c>
      <c r="N46" s="63">
        <f>VLOOKUP(B46,'Food and Beverage'!$A:$D,4,)</f>
        <v>0.10741511802345161</v>
      </c>
      <c r="O46" s="63">
        <f>VLOOKUP(B46,'Food Services'!$A:$D,3,)</f>
        <v>-1.4066496163682864E-2</v>
      </c>
      <c r="P46" s="64">
        <f>VLOOKUP(B46,'Food Services'!$A:$D,4,)</f>
        <v>-0.16145015105740182</v>
      </c>
      <c r="Q46" s="63">
        <f>VLOOKUP(B46,'General Merchandising'!$A:$D,3,)</f>
        <v>-6.0119821313851164E-2</v>
      </c>
      <c r="R46" s="64">
        <f>VLOOKUP(B46,'General Merchandising'!$A:$D,4,)</f>
        <v>3.640916654310615E-2</v>
      </c>
      <c r="S46" s="63">
        <f>VLOOKUP(B46,'Gas Station'!$A:$D,3,)</f>
        <v>3.1984350165056852E-2</v>
      </c>
      <c r="T46" s="64">
        <f>VLOOKUP(B46,'Gas Station'!$A:$D,4,)</f>
        <v>1.3885885885885886E-2</v>
      </c>
      <c r="U46" s="63">
        <f>VLOOKUP(B46,Housing!$A:$D,3,)</f>
        <v>-4.7854785478547858E-2</v>
      </c>
      <c r="V46" s="64">
        <f>VLOOKUP(B46,Housing!$A:$D,4,)</f>
        <v>0.1573668854850474</v>
      </c>
      <c r="W46" s="63">
        <f>VLOOKUP(B46,Health!$A:$D,3,)</f>
        <v>-1.698450536352801E-2</v>
      </c>
      <c r="X46" s="64">
        <f>VLOOKUP(B46,Health!$A:$D,4,)</f>
        <v>2.157308009909166E-2</v>
      </c>
      <c r="Y46" s="63">
        <f>VLOOKUP(B46,'Clothing and clothing access'!$A:$D,3,)</f>
        <v>-5.4845206313521612E-2</v>
      </c>
      <c r="Z46" s="64">
        <f>VLOOKUP(B46,'Clothing and clothing access'!$A:$D,4,)</f>
        <v>-0.10549645390070922</v>
      </c>
      <c r="AA46" s="63">
        <f>VLOOKUP(B46,'Furniture Home'!$A:$D,3,)</f>
        <v>-5.417112571981858E-2</v>
      </c>
      <c r="AB46" s="64">
        <f>VLOOKUP(B46,'Furniture Home'!$A:$D,4,)</f>
        <v>4.0533722038459383E-2</v>
      </c>
      <c r="AC46" s="63">
        <f>VLOOKUP(B46,'Miscellaneous stores retailers'!$A:$D,3,)</f>
        <v>-2.7463904582548649E-2</v>
      </c>
      <c r="AD46" s="64">
        <f>VLOOKUP(B46,'Miscellaneous stores retailers'!$A:$D,4,)</f>
        <v>5.8773278660515973E-2</v>
      </c>
      <c r="AE46" s="63">
        <f>VLOOKUP(B46,'Sporting Goods'!$A:$D,3,)</f>
        <v>-6.3993472432684467E-2</v>
      </c>
      <c r="AF46" s="64">
        <f>VLOOKUP(B46,'Sporting Goods'!$A:$D,4,)</f>
        <v>0.18629044171960407</v>
      </c>
    </row>
    <row r="47" spans="2:32" x14ac:dyDescent="0.2">
      <c r="B47" s="67">
        <v>44256</v>
      </c>
      <c r="C47" s="63">
        <f>VLOOKUP(B47,'Retail Sales'!A:D,3,)</f>
        <v>0.1127721127917567</v>
      </c>
      <c r="D47" s="64">
        <f>VLOOKUP(B47,'Retail Sales'!A:D,4,)</f>
        <v>0.29706478048821106</v>
      </c>
      <c r="E47" s="63">
        <f>VLOOKUP(B47,'Retail Sales ex Auto'!$A:$D,3,)</f>
        <v>9.7830393401586571E-2</v>
      </c>
      <c r="F47" s="64">
        <f>VLOOKUP(B47,'Retail Sales ex Auto'!$A:$D,4,)</f>
        <v>0.21206329639304008</v>
      </c>
      <c r="G47" s="63">
        <f>VLOOKUP(B47,'Retail Sales ex Auto and Gas'!$A:$D,3,)</f>
        <v>9.7528760649213356E-2</v>
      </c>
      <c r="H47" s="64">
        <f>VLOOKUP(B47,'Retail Sales ex Auto and Gas'!$A:$D,4,)</f>
        <v>0.20003590039272853</v>
      </c>
      <c r="I47" s="63">
        <f>VLOOKUP(B47,Motor!$A:$D,3,)</f>
        <v>0.17011974909712982</v>
      </c>
      <c r="J47" s="64">
        <f>VLOOKUP(B47,Motor!$A:$D,4,)</f>
        <v>0.73528431950388229</v>
      </c>
      <c r="K47" s="63">
        <f>VLOOKUP(B47,'Non Store Retail'!$A:$D,3,)</f>
        <v>5.4100849105829893E-2</v>
      </c>
      <c r="L47" s="64">
        <f>VLOOKUP(B47,'Non Store Retail'!$A:$D,4,)</f>
        <v>0.29887627314307424</v>
      </c>
      <c r="M47" s="63">
        <f>VLOOKUP(B47,'Food and Beverage'!$A:$D,3,)</f>
        <v>8.4596989342438107E-3</v>
      </c>
      <c r="N47" s="63">
        <f>VLOOKUP(B47,'Food and Beverage'!$A:$D,4,)</f>
        <v>-0.11829399465815839</v>
      </c>
      <c r="O47" s="63">
        <f>VLOOKUP(B47,'Food Services'!$A:$D,3,)</f>
        <v>0.13935725608877361</v>
      </c>
      <c r="P47" s="64">
        <f>VLOOKUP(B47,'Food Services'!$A:$D,4,)</f>
        <v>0.37120062437670726</v>
      </c>
      <c r="Q47" s="63">
        <f>VLOOKUP(B47,'General Merchandising'!$A:$D,3,)</f>
        <v>0.13122128789203452</v>
      </c>
      <c r="R47" s="64">
        <f>VLOOKUP(B47,'General Merchandising'!$A:$D,4,)</f>
        <v>8.3001065286866529E-2</v>
      </c>
      <c r="S47" s="63">
        <f>VLOOKUP(B47,'Gas Station'!$A:$D,3,)</f>
        <v>0.10070374144018197</v>
      </c>
      <c r="T47" s="64">
        <f>VLOOKUP(B47,'Gas Station'!$A:$D,4,)</f>
        <v>0.33959108342705541</v>
      </c>
      <c r="U47" s="63">
        <f>VLOOKUP(B47,Housing!$A:$D,3,)</f>
        <v>0.14116905624704584</v>
      </c>
      <c r="V47" s="64">
        <f>VLOOKUP(B47,Housing!$A:$D,4,)</f>
        <v>0.32453520268210911</v>
      </c>
      <c r="W47" s="63">
        <f>VLOOKUP(B47,Health!$A:$D,3,)</f>
        <v>8.0495773129904691E-2</v>
      </c>
      <c r="X47" s="64">
        <f>VLOOKUP(B47,Health!$A:$D,4,)</f>
        <v>5.2112029384756654E-2</v>
      </c>
      <c r="Y47" s="63">
        <f>VLOOKUP(B47,'Clothing and clothing access'!$A:$D,3,)</f>
        <v>0.23944499504459862</v>
      </c>
      <c r="Z47" s="64">
        <f>VLOOKUP(B47,'Clothing and clothing access'!$A:$D,4,)</f>
        <v>1.1760918740212285</v>
      </c>
      <c r="AA47" s="63">
        <f>VLOOKUP(B47,'Furniture Home'!$A:$D,3,)</f>
        <v>0.1181573275862069</v>
      </c>
      <c r="AB47" s="64">
        <f>VLOOKUP(B47,'Furniture Home'!$A:$D,4,)</f>
        <v>0.44519498607242342</v>
      </c>
      <c r="AC47" s="63">
        <f>VLOOKUP(B47,'Miscellaneous stores retailers'!$A:$D,3,)</f>
        <v>0.10908504114894303</v>
      </c>
      <c r="AD47" s="64">
        <f>VLOOKUP(B47,'Miscellaneous stores retailers'!$A:$D,4,)</f>
        <v>0.3921409763013976</v>
      </c>
      <c r="AE47" s="63">
        <f>VLOOKUP(B47,'Sporting Goods'!$A:$D,3,)</f>
        <v>0.23673723536737235</v>
      </c>
      <c r="AF47" s="64">
        <f>VLOOKUP(B47,'Sporting Goods'!$A:$D,4,)</f>
        <v>0.76019142148174401</v>
      </c>
    </row>
    <row r="48" spans="2:32" x14ac:dyDescent="0.2">
      <c r="B48" s="67">
        <v>44287</v>
      </c>
      <c r="C48" s="63">
        <f>VLOOKUP(B48,'Retail Sales'!A:D,3,)</f>
        <v>9.0384019745827042E-3</v>
      </c>
      <c r="D48" s="64">
        <f>VLOOKUP(B48,'Retail Sales'!A:D,4,)</f>
        <v>0.53421632476776337</v>
      </c>
      <c r="E48" s="63">
        <f>VLOOKUP(B48,'Retail Sales ex Auto'!$A:$D,3,)</f>
        <v>-6.6231004722291139E-4</v>
      </c>
      <c r="F48" s="64">
        <f>VLOOKUP(B48,'Retail Sales ex Auto'!$A:$D,4,)</f>
        <v>0.4266218997075707</v>
      </c>
      <c r="G48" s="63">
        <f>VLOOKUP(B48,'Retail Sales ex Auto and Gas'!$A:$D,3,)</f>
        <v>7.2977150446248474E-4</v>
      </c>
      <c r="H48" s="64">
        <f>VLOOKUP(B48,'Retail Sales ex Auto and Gas'!$A:$D,4,)</f>
        <v>0.39958794256553298</v>
      </c>
      <c r="I48" s="63">
        <f>VLOOKUP(B48,Motor!$A:$D,3,)</f>
        <v>4.3970405812511076E-2</v>
      </c>
      <c r="J48" s="64">
        <f>VLOOKUP(B48,Motor!$A:$D,4,)</f>
        <v>1.0731839643391301</v>
      </c>
      <c r="K48" s="63">
        <f>VLOOKUP(B48,'Non Store Retail'!$A:$D,3,)</f>
        <v>1.0012825416826046E-3</v>
      </c>
      <c r="L48" s="64">
        <f>VLOOKUP(B48,'Non Store Retail'!$A:$D,4,)</f>
        <v>0.16111393858721892</v>
      </c>
      <c r="M48" s="63">
        <f>VLOOKUP(B48,'Food and Beverage'!$A:$D,3,)</f>
        <v>7.3607018024809817E-3</v>
      </c>
      <c r="N48" s="63">
        <f>VLOOKUP(B48,'Food and Beverage'!$A:$D,4,)</f>
        <v>2.0042194092827006E-2</v>
      </c>
      <c r="O48" s="63">
        <f>VLOOKUP(B48,'Food Services'!$A:$D,3,)</f>
        <v>5.1132051606374906E-2</v>
      </c>
      <c r="P48" s="64">
        <f>VLOOKUP(B48,'Food Services'!$A:$D,4,)</f>
        <v>1.2214722491395729</v>
      </c>
      <c r="Q48" s="63">
        <f>VLOOKUP(B48,'General Merchandising'!$A:$D,3,)</f>
        <v>-2.4267888258108033E-2</v>
      </c>
      <c r="R48" s="64">
        <f>VLOOKUP(B48,'General Merchandising'!$A:$D,4,)</f>
        <v>0.21629385696018497</v>
      </c>
      <c r="S48" s="63">
        <f>VLOOKUP(B48,'Gas Station'!$A:$D,3,)</f>
        <v>-1.388500204507782E-2</v>
      </c>
      <c r="T48" s="64">
        <f>VLOOKUP(B48,'Gas Station'!$A:$D,4,)</f>
        <v>0.75301366193410124</v>
      </c>
      <c r="U48" s="63">
        <f>VLOOKUP(B48,Housing!$A:$D,3,)</f>
        <v>-3.2583183763633852E-2</v>
      </c>
      <c r="V48" s="64">
        <f>VLOOKUP(B48,Housing!$A:$D,4,)</f>
        <v>0.30630126771066368</v>
      </c>
      <c r="W48" s="63">
        <f>VLOOKUP(B48,Health!$A:$D,3,)</f>
        <v>9.9747514104921923E-4</v>
      </c>
      <c r="X48" s="64">
        <f>VLOOKUP(B48,Health!$A:$D,4,)</f>
        <v>0.2371137992141151</v>
      </c>
      <c r="Y48" s="63">
        <f>VLOOKUP(B48,'Clothing and clothing access'!$A:$D,3,)</f>
        <v>-1.4073244842475612E-2</v>
      </c>
      <c r="Z48" s="64">
        <f>VLOOKUP(B48,'Clothing and clothing access'!$A:$D,4,)</f>
        <v>7.6953455571227076</v>
      </c>
      <c r="AA48" s="63">
        <f>VLOOKUP(B48,'Furniture Home'!$A:$D,3,)</f>
        <v>1.1757336288729341E-2</v>
      </c>
      <c r="AB48" s="64">
        <f>VLOOKUP(B48,'Furniture Home'!$A:$D,4,)</f>
        <v>1.7314947313646416</v>
      </c>
      <c r="AC48" s="63">
        <f>VLOOKUP(B48,'Miscellaneous stores retailers'!$A:$D,3,)</f>
        <v>-9.9665357194820316E-3</v>
      </c>
      <c r="AD48" s="64">
        <f>VLOOKUP(B48,'Miscellaneous stores retailers'!$A:$D,4,)</f>
        <v>0.84879771770139922</v>
      </c>
      <c r="AE48" s="63">
        <f>VLOOKUP(B48,'Sporting Goods'!$A:$D,3,)</f>
        <v>-1.8326452522404592E-2</v>
      </c>
      <c r="AF48" s="64">
        <f>VLOOKUP(B48,'Sporting Goods'!$A:$D,4,)</f>
        <v>1.5852559002916997</v>
      </c>
    </row>
    <row r="49" spans="2:32" x14ac:dyDescent="0.2">
      <c r="B49" s="67">
        <v>44317</v>
      </c>
      <c r="C49" s="63">
        <f>VLOOKUP(B49,'Retail Sales'!A:D,3,)</f>
        <v>-1.3728805202695503E-2</v>
      </c>
      <c r="D49" s="64">
        <f>VLOOKUP(B49,'Retail Sales'!A:D,4,)</f>
        <v>0.28045715937600019</v>
      </c>
      <c r="E49" s="63">
        <f>VLOOKUP(B49,'Retail Sales ex Auto'!$A:$D,3,)</f>
        <v>-4.2924795430109731E-3</v>
      </c>
      <c r="F49" s="64">
        <f>VLOOKUP(B49,'Retail Sales ex Auto'!$A:$D,4,)</f>
        <v>0.26586201229676043</v>
      </c>
      <c r="G49" s="63">
        <f>VLOOKUP(B49,'Retail Sales ex Auto and Gas'!$A:$D,3,)</f>
        <v>-6.6129777423475167E-3</v>
      </c>
      <c r="H49" s="64">
        <f>VLOOKUP(B49,'Retail Sales ex Auto and Gas'!$A:$D,4,)</f>
        <v>0.24000599315310528</v>
      </c>
      <c r="I49" s="63">
        <f>VLOOKUP(B49,Motor!$A:$D,3,)</f>
        <v>-4.625602070911753E-2</v>
      </c>
      <c r="J49" s="64">
        <f>VLOOKUP(B49,Motor!$A:$D,4,)</f>
        <v>0.33588595431039608</v>
      </c>
      <c r="K49" s="63">
        <f>VLOOKUP(B49,'Non Store Retail'!$A:$D,3,)</f>
        <v>-1.1890980612531609E-2</v>
      </c>
      <c r="L49" s="64">
        <f>VLOOKUP(B49,'Non Store Retail'!$A:$D,4,)</f>
        <v>7.8630318496343915E-2</v>
      </c>
      <c r="M49" s="63">
        <f>VLOOKUP(B49,'Food and Beverage'!$A:$D,3,)</f>
        <v>1.1661133184564307E-2</v>
      </c>
      <c r="N49" s="63">
        <f>VLOOKUP(B49,'Food and Beverage'!$A:$D,4,)</f>
        <v>8.7785948820927519E-3</v>
      </c>
      <c r="O49" s="63">
        <f>VLOOKUP(B49,'Food Services'!$A:$D,3,)</f>
        <v>4.2958996420083634E-2</v>
      </c>
      <c r="P49" s="64">
        <f>VLOOKUP(B49,'Food Services'!$A:$D,4,)</f>
        <v>0.74813432835820892</v>
      </c>
      <c r="Q49" s="63">
        <f>VLOOKUP(B49,'General Merchandising'!$A:$D,3,)</f>
        <v>-2.9422354076356984E-2</v>
      </c>
      <c r="R49" s="64">
        <f>VLOOKUP(B49,'General Merchandising'!$A:$D,4,)</f>
        <v>0.10357137008957082</v>
      </c>
      <c r="S49" s="63">
        <f>VLOOKUP(B49,'Gas Station'!$A:$D,3,)</f>
        <v>1.8075445337059029E-2</v>
      </c>
      <c r="T49" s="64">
        <f>VLOOKUP(B49,'Gas Station'!$A:$D,4,)</f>
        <v>0.57468935710426794</v>
      </c>
      <c r="U49" s="63">
        <f>VLOOKUP(B49,Housing!$A:$D,3,)</f>
        <v>-5.6943056943056944E-2</v>
      </c>
      <c r="V49" s="64">
        <f>VLOOKUP(B49,Housing!$A:$D,4,)</f>
        <v>0.10283441350727379</v>
      </c>
      <c r="W49" s="63">
        <f>VLOOKUP(B49,Health!$A:$D,3,)</f>
        <v>-3.0361535826612274E-2</v>
      </c>
      <c r="X49" s="64">
        <f>VLOOKUP(B49,Health!$A:$D,4,)</f>
        <v>0.18616433659670109</v>
      </c>
      <c r="Y49" s="63">
        <f>VLOOKUP(B49,'Clothing and clothing access'!$A:$D,3,)</f>
        <v>3.7550689375506895E-2</v>
      </c>
      <c r="Z49" s="64">
        <f>VLOOKUP(B49,'Clothing and clothing access'!$A:$D,4,)</f>
        <v>2.0481296163926612</v>
      </c>
      <c r="AA49" s="63">
        <f>VLOOKUP(B49,'Furniture Home'!$A:$D,3,)</f>
        <v>-2.3003286183740534E-2</v>
      </c>
      <c r="AB49" s="64">
        <f>VLOOKUP(B49,'Furniture Home'!$A:$D,4,)</f>
        <v>0.76525256002065223</v>
      </c>
      <c r="AC49" s="63">
        <f>VLOOKUP(B49,'Miscellaneous stores retailers'!$A:$D,3,)</f>
        <v>-3.2331545300903812E-2</v>
      </c>
      <c r="AD49" s="64">
        <f>VLOOKUP(B49,'Miscellaneous stores retailers'!$A:$D,4,)</f>
        <v>0.48016185230976732</v>
      </c>
      <c r="AE49" s="63">
        <f>VLOOKUP(B49,'Sporting Goods'!$A:$D,3,)</f>
        <v>-1.7027387424351215E-2</v>
      </c>
      <c r="AF49" s="64">
        <f>VLOOKUP(B49,'Sporting Goods'!$A:$D,4,)</f>
        <v>0.43458083832335331</v>
      </c>
    </row>
    <row r="50" spans="2:32" x14ac:dyDescent="0.2">
      <c r="B50" s="67">
        <v>44348</v>
      </c>
      <c r="C50" s="63">
        <f>VLOOKUP(B50,'Retail Sales'!A:D,3,)</f>
        <v>8.5241703608500956E-3</v>
      </c>
      <c r="D50" s="64">
        <f>VLOOKUP(B50,'Retail Sales'!A:D,4,)</f>
        <v>0.18856034071537306</v>
      </c>
      <c r="E50" s="63">
        <f>VLOOKUP(B50,'Retail Sales ex Auto'!$A:$D,3,)</f>
        <v>1.6722580326085163E-2</v>
      </c>
      <c r="F50" s="64">
        <f>VLOOKUP(B50,'Retail Sales ex Auto'!$A:$D,4,)</f>
        <v>0.18713081640853391</v>
      </c>
      <c r="G50" s="63">
        <f>VLOOKUP(B50,'Retail Sales ex Auto and Gas'!$A:$D,3,)</f>
        <v>1.4688716840387018E-2</v>
      </c>
      <c r="H50" s="64">
        <f>VLOOKUP(B50,'Retail Sales ex Auto and Gas'!$A:$D,4,)</f>
        <v>0.1671998992977064</v>
      </c>
      <c r="I50" s="63">
        <f>VLOOKUP(B50,Motor!$A:$D,3,)</f>
        <v>-2.0979332131971791E-2</v>
      </c>
      <c r="J50" s="64">
        <f>VLOOKUP(B50,Motor!$A:$D,4,)</f>
        <v>0.19393347441532369</v>
      </c>
      <c r="K50" s="63">
        <f>VLOOKUP(B50,'Non Store Retail'!$A:$D,3,)</f>
        <v>9.7819534333519107E-4</v>
      </c>
      <c r="L50" s="64">
        <f>VLOOKUP(B50,'Non Store Retail'!$A:$D,4,)</f>
        <v>0.11963104325699746</v>
      </c>
      <c r="M50" s="63">
        <f>VLOOKUP(B50,'Food and Beverage'!$A:$D,3,)</f>
        <v>9.7378579402547447E-3</v>
      </c>
      <c r="N50" s="63">
        <f>VLOOKUP(B50,'Food and Beverage'!$A:$D,4,)</f>
        <v>3.5332570230723614E-2</v>
      </c>
      <c r="O50" s="63">
        <f>VLOOKUP(B50,'Food Services'!$A:$D,3,)</f>
        <v>2.421471631717096E-2</v>
      </c>
      <c r="P50" s="64">
        <f>VLOOKUP(B50,'Food Services'!$A:$D,4,)</f>
        <v>0.40728043753963222</v>
      </c>
      <c r="Q50" s="63">
        <f>VLOOKUP(B50,'General Merchandising'!$A:$D,3,)</f>
        <v>2.3815176425201055E-2</v>
      </c>
      <c r="R50" s="64">
        <f>VLOOKUP(B50,'General Merchandising'!$A:$D,4,)</f>
        <v>0.11245646846382046</v>
      </c>
      <c r="S50" s="63">
        <f>VLOOKUP(B50,'Gas Station'!$A:$D,3,)</f>
        <v>3.5852131400634701E-2</v>
      </c>
      <c r="T50" s="64">
        <f>VLOOKUP(B50,'Gas Station'!$A:$D,4,)</f>
        <v>0.4087661485520982</v>
      </c>
      <c r="U50" s="63">
        <f>VLOOKUP(B50,Housing!$A:$D,3,)</f>
        <v>-1.394774011299435E-2</v>
      </c>
      <c r="V50" s="64">
        <f>VLOOKUP(B50,Housing!$A:$D,4,)</f>
        <v>7.5042622229555073E-2</v>
      </c>
      <c r="W50" s="63">
        <f>VLOOKUP(B50,Health!$A:$D,3,)</f>
        <v>4.5635557839296036E-2</v>
      </c>
      <c r="X50" s="64">
        <f>VLOOKUP(B50,Health!$A:$D,4,)</f>
        <v>0.14903303218520611</v>
      </c>
      <c r="Y50" s="63">
        <f>VLOOKUP(B50,'Clothing and clothing access'!$A:$D,3,)</f>
        <v>3.4315641366372232E-2</v>
      </c>
      <c r="Z50" s="64">
        <f>VLOOKUP(B50,'Clothing and clothing access'!$A:$D,4,)</f>
        <v>0.5243361557513968</v>
      </c>
      <c r="AA50" s="63">
        <f>VLOOKUP(B50,'Furniture Home'!$A:$D,3,)</f>
        <v>8.3845178902213126E-3</v>
      </c>
      <c r="AB50" s="64">
        <f>VLOOKUP(B50,'Furniture Home'!$A:$D,4,)</f>
        <v>0.28420660541345916</v>
      </c>
      <c r="AC50" s="63">
        <f>VLOOKUP(B50,'Miscellaneous stores retailers'!$A:$D,3,)</f>
        <v>4.2903789201913588E-2</v>
      </c>
      <c r="AD50" s="64">
        <f>VLOOKUP(B50,'Miscellaneous stores retailers'!$A:$D,4,)</f>
        <v>0.24854545454545454</v>
      </c>
      <c r="AE50" s="63">
        <f>VLOOKUP(B50,'Sporting Goods'!$A:$D,3,)</f>
        <v>-1.3983095064176145E-2</v>
      </c>
      <c r="AF50" s="64">
        <f>VLOOKUP(B50,'Sporting Goods'!$A:$D,4,)</f>
        <v>0.10488774555659496</v>
      </c>
    </row>
    <row r="51" spans="2:32" x14ac:dyDescent="0.2">
      <c r="B51" s="67">
        <v>44378</v>
      </c>
      <c r="C51" s="63">
        <f>VLOOKUP(B51,'Retail Sales'!A:D,3,)</f>
        <v>-1.7735707261694423E-2</v>
      </c>
      <c r="D51" s="64">
        <f>VLOOKUP(B51,'Retail Sales'!A:D,4,)</f>
        <v>0.15144034773025039</v>
      </c>
      <c r="E51" s="63">
        <f>VLOOKUP(B51,'Retail Sales ex Auto'!$A:$D,3,)</f>
        <v>-1.0261721528941784E-2</v>
      </c>
      <c r="F51" s="64">
        <f>VLOOKUP(B51,'Retail Sales ex Auto'!$A:$D,4,)</f>
        <v>0.15152015355991597</v>
      </c>
      <c r="G51" s="63">
        <f>VLOOKUP(B51,'Retail Sales ex Auto and Gas'!$A:$D,3,)</f>
        <v>-1.353467586653156E-2</v>
      </c>
      <c r="H51" s="64">
        <f>VLOOKUP(B51,'Retail Sales ex Auto and Gas'!$A:$D,4,)</f>
        <v>0.13137219028378683</v>
      </c>
      <c r="I51" s="63">
        <f>VLOOKUP(B51,Motor!$A:$D,3,)</f>
        <v>-4.5668014967655927E-2</v>
      </c>
      <c r="J51" s="64">
        <f>VLOOKUP(B51,Motor!$A:$D,4,)</f>
        <v>0.15113113076529494</v>
      </c>
      <c r="K51" s="63">
        <f>VLOOKUP(B51,'Non Store Retail'!$A:$D,3,)</f>
        <v>-4.6327966092065041E-2</v>
      </c>
      <c r="L51" s="64">
        <f>VLOOKUP(B51,'Non Store Retail'!$A:$D,4,)</f>
        <v>4.0297489928726372E-2</v>
      </c>
      <c r="M51" s="63">
        <f>VLOOKUP(B51,'Food and Beverage'!$A:$D,3,)</f>
        <v>-8.2319875321353875E-3</v>
      </c>
      <c r="N51" s="63">
        <f>VLOOKUP(B51,'Food and Beverage'!$A:$D,4,)</f>
        <v>2.3929038025166747E-2</v>
      </c>
      <c r="O51" s="63">
        <f>VLOOKUP(B51,'Food Services'!$A:$D,3,)</f>
        <v>1.3306673050114761E-2</v>
      </c>
      <c r="P51" s="64">
        <f>VLOOKUP(B51,'Food Services'!$A:$D,4,)</f>
        <v>0.37821273987819359</v>
      </c>
      <c r="Q51" s="63">
        <f>VLOOKUP(B51,'General Merchandising'!$A:$D,3,)</f>
        <v>-9.9711590023043809E-3</v>
      </c>
      <c r="R51" s="64">
        <f>VLOOKUP(B51,'General Merchandising'!$A:$D,4,)</f>
        <v>0.10634059438011174</v>
      </c>
      <c r="S51" s="63">
        <f>VLOOKUP(B51,'Gas Station'!$A:$D,3,)</f>
        <v>1.9893185393723607E-2</v>
      </c>
      <c r="T51" s="64">
        <f>VLOOKUP(B51,'Gas Station'!$A:$D,4,)</f>
        <v>0.36873541504611623</v>
      </c>
      <c r="U51" s="63">
        <f>VLOOKUP(B51,Housing!$A:$D,3,)</f>
        <v>-1.035938099501215E-2</v>
      </c>
      <c r="V51" s="64">
        <f>VLOOKUP(B51,Housing!$A:$D,4,)</f>
        <v>7.7535787890603239E-2</v>
      </c>
      <c r="W51" s="63">
        <f>VLOOKUP(B51,Health!$A:$D,3,)</f>
        <v>-7.5862280782579318E-3</v>
      </c>
      <c r="X51" s="64">
        <f>VLOOKUP(B51,Health!$A:$D,4,)</f>
        <v>8.389520646741136E-2</v>
      </c>
      <c r="Y51" s="63">
        <f>VLOOKUP(B51,'Clothing and clothing access'!$A:$D,3,)</f>
        <v>-2.6564389359129383E-2</v>
      </c>
      <c r="Z51" s="64">
        <f>VLOOKUP(B51,'Clothing and clothing access'!$A:$D,4,)</f>
        <v>0.42585930148890244</v>
      </c>
      <c r="AA51" s="63">
        <f>VLOOKUP(B51,'Furniture Home'!$A:$D,3,)</f>
        <v>-6.0910760901092525E-3</v>
      </c>
      <c r="AB51" s="64">
        <f>VLOOKUP(B51,'Furniture Home'!$A:$D,4,)</f>
        <v>0.18658740693715012</v>
      </c>
      <c r="AC51" s="63">
        <f>VLOOKUP(B51,'Miscellaneous stores retailers'!$A:$D,3,)</f>
        <v>5.4608999563128006E-3</v>
      </c>
      <c r="AD51" s="64">
        <f>VLOOKUP(B51,'Miscellaneous stores retailers'!$A:$D,4,)</f>
        <v>0.20026075619295958</v>
      </c>
      <c r="AE51" s="63">
        <f>VLOOKUP(B51,'Sporting Goods'!$A:$D,3,)</f>
        <v>-1.9049634881998095E-2</v>
      </c>
      <c r="AF51" s="64">
        <f>VLOOKUP(B51,'Sporting Goods'!$A:$D,4,)</f>
        <v>0.14319190922545633</v>
      </c>
    </row>
    <row r="52" spans="2:32" x14ac:dyDescent="0.2">
      <c r="B52" s="67">
        <v>44409</v>
      </c>
      <c r="C52" s="63">
        <f>VLOOKUP(B52,'Retail Sales'!A:D,3,)</f>
        <v>7.1022426678256853E-3</v>
      </c>
      <c r="D52" s="64">
        <f>VLOOKUP(B52,'Retail Sales'!A:D,4,)</f>
        <v>0.15055419177266979</v>
      </c>
      <c r="E52" s="63">
        <f>VLOOKUP(B52,'Retail Sales ex Auto'!$A:$D,3,)</f>
        <v>1.8131404559268028E-2</v>
      </c>
      <c r="F52" s="64">
        <f>VLOOKUP(B52,'Retail Sales ex Auto'!$A:$D,4,)</f>
        <v>0.16161998485995457</v>
      </c>
      <c r="G52" s="63">
        <f>VLOOKUP(B52,'Retail Sales ex Auto and Gas'!$A:$D,3,)</f>
        <v>1.996788557242259E-2</v>
      </c>
      <c r="H52" s="64">
        <f>VLOOKUP(B52,'Retail Sales ex Auto and Gas'!$A:$D,4,)</f>
        <v>0.1434590106169473</v>
      </c>
      <c r="I52" s="63">
        <f>VLOOKUP(B52,Motor!$A:$D,3,)</f>
        <v>-3.5645969092539823E-2</v>
      </c>
      <c r="J52" s="64">
        <f>VLOOKUP(B52,Motor!$A:$D,4,)</f>
        <v>0.10738634292172518</v>
      </c>
      <c r="K52" s="63">
        <f>VLOOKUP(B52,'Non Store Retail'!$A:$D,3,)</f>
        <v>5.3082477420584799E-2</v>
      </c>
      <c r="L52" s="64">
        <f>VLOOKUP(B52,'Non Store Retail'!$A:$D,4,)</f>
        <v>7.5403971575975864E-2</v>
      </c>
      <c r="M52" s="63">
        <f>VLOOKUP(B52,'Food and Beverage'!$A:$D,3,)</f>
        <v>1.8494392586125848E-2</v>
      </c>
      <c r="N52" s="63">
        <f>VLOOKUP(B52,'Food and Beverage'!$A:$D,4,)</f>
        <v>5.656802095524717E-2</v>
      </c>
      <c r="O52" s="63">
        <f>VLOOKUP(B52,'Food Services'!$A:$D,3,)</f>
        <v>3.057169061449098E-4</v>
      </c>
      <c r="P52" s="64">
        <f>VLOOKUP(B52,'Food Services'!$A:$D,4,)</f>
        <v>0.31940320392976285</v>
      </c>
      <c r="Q52" s="63">
        <f>VLOOKUP(B52,'General Merchandising'!$A:$D,3,)</f>
        <v>3.4533237692318954E-2</v>
      </c>
      <c r="R52" s="64">
        <f>VLOOKUP(B52,'General Merchandising'!$A:$D,4,)</f>
        <v>0.15539932968200768</v>
      </c>
      <c r="S52" s="63">
        <f>VLOOKUP(B52,'Gas Station'!$A:$D,3,)</f>
        <v>1.7658162333313036E-3</v>
      </c>
      <c r="T52" s="64">
        <f>VLOOKUP(B52,'Gas Station'!$A:$D,4,)</f>
        <v>0.3572017818841775</v>
      </c>
      <c r="U52" s="63">
        <f>VLOOKUP(B52,Housing!$A:$D,3,)</f>
        <v>8.6327216334970269E-3</v>
      </c>
      <c r="V52" s="64">
        <f>VLOOKUP(B52,Housing!$A:$D,4,)</f>
        <v>6.2918777578035628E-2</v>
      </c>
      <c r="W52" s="63">
        <f>VLOOKUP(B52,Health!$A:$D,3,)</f>
        <v>1.9187917801435999E-3</v>
      </c>
      <c r="X52" s="64">
        <f>VLOOKUP(B52,Health!$A:$D,4,)</f>
        <v>9.3753167336734347E-2</v>
      </c>
      <c r="Y52" s="63">
        <f>VLOOKUP(B52,'Clothing and clothing access'!$A:$D,3,)</f>
        <v>1.3198245409727883E-3</v>
      </c>
      <c r="Z52" s="64">
        <f>VLOOKUP(B52,'Clothing and clothing access'!$A:$D,4,)</f>
        <v>0.38847023360964583</v>
      </c>
      <c r="AA52" s="63">
        <f>VLOOKUP(B52,'Furniture Home'!$A:$D,3,)</f>
        <v>9.0466926070038919E-3</v>
      </c>
      <c r="AB52" s="64">
        <f>VLOOKUP(B52,'Furniture Home'!$A:$D,4,)</f>
        <v>0.16563658838071693</v>
      </c>
      <c r="AC52" s="63">
        <f>VLOOKUP(B52,'Miscellaneous stores retailers'!$A:$D,3,)</f>
        <v>1.3686726048229415E-2</v>
      </c>
      <c r="AD52" s="64">
        <f>VLOOKUP(B52,'Miscellaneous stores retailers'!$A:$D,4,)</f>
        <v>0.19192779291553133</v>
      </c>
      <c r="AE52" s="63">
        <f>VLOOKUP(B52,'Sporting Goods'!$A:$D,3,)</f>
        <v>-2.7079512353004639E-2</v>
      </c>
      <c r="AF52" s="64">
        <f>VLOOKUP(B52,'Sporting Goods'!$A:$D,4,)</f>
        <v>0.19824608025511559</v>
      </c>
    </row>
  </sheetData>
  <mergeCells count="15">
    <mergeCell ref="C2:D2"/>
    <mergeCell ref="E2:F2"/>
    <mergeCell ref="G2:H2"/>
    <mergeCell ref="I2:J2"/>
    <mergeCell ref="K2:L2"/>
    <mergeCell ref="M2:N2"/>
    <mergeCell ref="O2:P2"/>
    <mergeCell ref="Q2:R2"/>
    <mergeCell ref="S2:T2"/>
    <mergeCell ref="AE2:AF2"/>
    <mergeCell ref="U2:V2"/>
    <mergeCell ref="W2:X2"/>
    <mergeCell ref="Y2:Z2"/>
    <mergeCell ref="AA2:AB2"/>
    <mergeCell ref="AC2:AD2"/>
  </mergeCells>
  <conditionalFormatting sqref="D3">
    <cfRule type="colorScale" priority="153">
      <colorScale>
        <cfvo type="min"/>
        <cfvo type="percentile" val="50"/>
        <cfvo type="max"/>
        <color rgb="FFF8696B"/>
        <color rgb="FFFFEB84"/>
        <color rgb="FF63BE7B"/>
      </colorScale>
    </cfRule>
  </conditionalFormatting>
  <conditionalFormatting sqref="F3">
    <cfRule type="colorScale" priority="56">
      <colorScale>
        <cfvo type="min"/>
        <cfvo type="percentile" val="50"/>
        <cfvo type="max"/>
        <color rgb="FFF8696B"/>
        <color rgb="FFFFEB84"/>
        <color rgb="FF63BE7B"/>
      </colorScale>
    </cfRule>
  </conditionalFormatting>
  <conditionalFormatting sqref="E3">
    <cfRule type="colorScale" priority="57">
      <colorScale>
        <cfvo type="min"/>
        <cfvo type="percentile" val="50"/>
        <cfvo type="max"/>
        <color rgb="FFF8696B"/>
        <color rgb="FFFFEB84"/>
        <color rgb="FF63BE7B"/>
      </colorScale>
    </cfRule>
  </conditionalFormatting>
  <conditionalFormatting sqref="H3">
    <cfRule type="colorScale" priority="54">
      <colorScale>
        <cfvo type="min"/>
        <cfvo type="percentile" val="50"/>
        <cfvo type="max"/>
        <color rgb="FFF8696B"/>
        <color rgb="FFFFEB84"/>
        <color rgb="FF63BE7B"/>
      </colorScale>
    </cfRule>
  </conditionalFormatting>
  <conditionalFormatting sqref="G3">
    <cfRule type="colorScale" priority="55">
      <colorScale>
        <cfvo type="min"/>
        <cfvo type="percentile" val="50"/>
        <cfvo type="max"/>
        <color rgb="FFF8696B"/>
        <color rgb="FFFFEB84"/>
        <color rgb="FF63BE7B"/>
      </colorScale>
    </cfRule>
  </conditionalFormatting>
  <conditionalFormatting sqref="J3">
    <cfRule type="colorScale" priority="52">
      <colorScale>
        <cfvo type="min"/>
        <cfvo type="percentile" val="50"/>
        <cfvo type="max"/>
        <color rgb="FFF8696B"/>
        <color rgb="FFFFEB84"/>
        <color rgb="FF63BE7B"/>
      </colorScale>
    </cfRule>
  </conditionalFormatting>
  <conditionalFormatting sqref="I3">
    <cfRule type="colorScale" priority="53">
      <colorScale>
        <cfvo type="min"/>
        <cfvo type="percentile" val="50"/>
        <cfvo type="max"/>
        <color rgb="FFF8696B"/>
        <color rgb="FFFFEB84"/>
        <color rgb="FF63BE7B"/>
      </colorScale>
    </cfRule>
  </conditionalFormatting>
  <conditionalFormatting sqref="L3">
    <cfRule type="colorScale" priority="50">
      <colorScale>
        <cfvo type="min"/>
        <cfvo type="percentile" val="50"/>
        <cfvo type="max"/>
        <color rgb="FFF8696B"/>
        <color rgb="FFFFEB84"/>
        <color rgb="FF63BE7B"/>
      </colorScale>
    </cfRule>
  </conditionalFormatting>
  <conditionalFormatting sqref="K3">
    <cfRule type="colorScale" priority="51">
      <colorScale>
        <cfvo type="min"/>
        <cfvo type="percentile" val="50"/>
        <cfvo type="max"/>
        <color rgb="FFF8696B"/>
        <color rgb="FFFFEB84"/>
        <color rgb="FF63BE7B"/>
      </colorScale>
    </cfRule>
  </conditionalFormatting>
  <conditionalFormatting sqref="N3">
    <cfRule type="colorScale" priority="48">
      <colorScale>
        <cfvo type="min"/>
        <cfvo type="percentile" val="50"/>
        <cfvo type="max"/>
        <color rgb="FFF8696B"/>
        <color rgb="FFFFEB84"/>
        <color rgb="FF63BE7B"/>
      </colorScale>
    </cfRule>
  </conditionalFormatting>
  <conditionalFormatting sqref="M3">
    <cfRule type="colorScale" priority="49">
      <colorScale>
        <cfvo type="min"/>
        <cfvo type="percentile" val="50"/>
        <cfvo type="max"/>
        <color rgb="FFF8696B"/>
        <color rgb="FFFFEB84"/>
        <color rgb="FF63BE7B"/>
      </colorScale>
    </cfRule>
  </conditionalFormatting>
  <conditionalFormatting sqref="P3">
    <cfRule type="colorScale" priority="46">
      <colorScale>
        <cfvo type="min"/>
        <cfvo type="percentile" val="50"/>
        <cfvo type="max"/>
        <color rgb="FFF8696B"/>
        <color rgb="FFFFEB84"/>
        <color rgb="FF63BE7B"/>
      </colorScale>
    </cfRule>
  </conditionalFormatting>
  <conditionalFormatting sqref="O3">
    <cfRule type="colorScale" priority="47">
      <colorScale>
        <cfvo type="min"/>
        <cfvo type="percentile" val="50"/>
        <cfvo type="max"/>
        <color rgb="FFF8696B"/>
        <color rgb="FFFFEB84"/>
        <color rgb="FF63BE7B"/>
      </colorScale>
    </cfRule>
  </conditionalFormatting>
  <conditionalFormatting sqref="R3">
    <cfRule type="colorScale" priority="44">
      <colorScale>
        <cfvo type="min"/>
        <cfvo type="percentile" val="50"/>
        <cfvo type="max"/>
        <color rgb="FFF8696B"/>
        <color rgb="FFFFEB84"/>
        <color rgb="FF63BE7B"/>
      </colorScale>
    </cfRule>
  </conditionalFormatting>
  <conditionalFormatting sqref="Q3">
    <cfRule type="colorScale" priority="45">
      <colorScale>
        <cfvo type="min"/>
        <cfvo type="percentile" val="50"/>
        <cfvo type="max"/>
        <color rgb="FFF8696B"/>
        <color rgb="FFFFEB84"/>
        <color rgb="FF63BE7B"/>
      </colorScale>
    </cfRule>
  </conditionalFormatting>
  <conditionalFormatting sqref="T3">
    <cfRule type="colorScale" priority="42">
      <colorScale>
        <cfvo type="min"/>
        <cfvo type="percentile" val="50"/>
        <cfvo type="max"/>
        <color rgb="FFF8696B"/>
        <color rgb="FFFFEB84"/>
        <color rgb="FF63BE7B"/>
      </colorScale>
    </cfRule>
  </conditionalFormatting>
  <conditionalFormatting sqref="S3">
    <cfRule type="colorScale" priority="43">
      <colorScale>
        <cfvo type="min"/>
        <cfvo type="percentile" val="50"/>
        <cfvo type="max"/>
        <color rgb="FFF8696B"/>
        <color rgb="FFFFEB84"/>
        <color rgb="FF63BE7B"/>
      </colorScale>
    </cfRule>
  </conditionalFormatting>
  <conditionalFormatting sqref="V3">
    <cfRule type="colorScale" priority="40">
      <colorScale>
        <cfvo type="min"/>
        <cfvo type="percentile" val="50"/>
        <cfvo type="max"/>
        <color rgb="FFF8696B"/>
        <color rgb="FFFFEB84"/>
        <color rgb="FF63BE7B"/>
      </colorScale>
    </cfRule>
  </conditionalFormatting>
  <conditionalFormatting sqref="U3">
    <cfRule type="colorScale" priority="41">
      <colorScale>
        <cfvo type="min"/>
        <cfvo type="percentile" val="50"/>
        <cfvo type="max"/>
        <color rgb="FFF8696B"/>
        <color rgb="FFFFEB84"/>
        <color rgb="FF63BE7B"/>
      </colorScale>
    </cfRule>
  </conditionalFormatting>
  <conditionalFormatting sqref="X3">
    <cfRule type="colorScale" priority="38">
      <colorScale>
        <cfvo type="min"/>
        <cfvo type="percentile" val="50"/>
        <cfvo type="max"/>
        <color rgb="FFF8696B"/>
        <color rgb="FFFFEB84"/>
        <color rgb="FF63BE7B"/>
      </colorScale>
    </cfRule>
  </conditionalFormatting>
  <conditionalFormatting sqref="W3">
    <cfRule type="colorScale" priority="39">
      <colorScale>
        <cfvo type="min"/>
        <cfvo type="percentile" val="50"/>
        <cfvo type="max"/>
        <color rgb="FFF8696B"/>
        <color rgb="FFFFEB84"/>
        <color rgb="FF63BE7B"/>
      </colorScale>
    </cfRule>
  </conditionalFormatting>
  <conditionalFormatting sqref="Z3">
    <cfRule type="colorScale" priority="36">
      <colorScale>
        <cfvo type="min"/>
        <cfvo type="percentile" val="50"/>
        <cfvo type="max"/>
        <color rgb="FFF8696B"/>
        <color rgb="FFFFEB84"/>
        <color rgb="FF63BE7B"/>
      </colorScale>
    </cfRule>
  </conditionalFormatting>
  <conditionalFormatting sqref="Y3">
    <cfRule type="colorScale" priority="37">
      <colorScale>
        <cfvo type="min"/>
        <cfvo type="percentile" val="50"/>
        <cfvo type="max"/>
        <color rgb="FFF8696B"/>
        <color rgb="FFFFEB84"/>
        <color rgb="FF63BE7B"/>
      </colorScale>
    </cfRule>
  </conditionalFormatting>
  <conditionalFormatting sqref="AB3">
    <cfRule type="colorScale" priority="34">
      <colorScale>
        <cfvo type="min"/>
        <cfvo type="percentile" val="50"/>
        <cfvo type="max"/>
        <color rgb="FFF8696B"/>
        <color rgb="FFFFEB84"/>
        <color rgb="FF63BE7B"/>
      </colorScale>
    </cfRule>
  </conditionalFormatting>
  <conditionalFormatting sqref="AA3">
    <cfRule type="colorScale" priority="35">
      <colorScale>
        <cfvo type="min"/>
        <cfvo type="percentile" val="50"/>
        <cfvo type="max"/>
        <color rgb="FFF8696B"/>
        <color rgb="FFFFEB84"/>
        <color rgb="FF63BE7B"/>
      </colorScale>
    </cfRule>
  </conditionalFormatting>
  <conditionalFormatting sqref="AD3">
    <cfRule type="colorScale" priority="32">
      <colorScale>
        <cfvo type="min"/>
        <cfvo type="percentile" val="50"/>
        <cfvo type="max"/>
        <color rgb="FFF8696B"/>
        <color rgb="FFFFEB84"/>
        <color rgb="FF63BE7B"/>
      </colorScale>
    </cfRule>
  </conditionalFormatting>
  <conditionalFormatting sqref="AC3">
    <cfRule type="colorScale" priority="33">
      <colorScale>
        <cfvo type="min"/>
        <cfvo type="percentile" val="50"/>
        <cfvo type="max"/>
        <color rgb="FFF8696B"/>
        <color rgb="FFFFEB84"/>
        <color rgb="FF63BE7B"/>
      </colorScale>
    </cfRule>
  </conditionalFormatting>
  <conditionalFormatting sqref="AF3">
    <cfRule type="colorScale" priority="30">
      <colorScale>
        <cfvo type="min"/>
        <cfvo type="percentile" val="50"/>
        <cfvo type="max"/>
        <color rgb="FFF8696B"/>
        <color rgb="FFFFEB84"/>
        <color rgb="FF63BE7B"/>
      </colorScale>
    </cfRule>
  </conditionalFormatting>
  <conditionalFormatting sqref="AE3">
    <cfRule type="colorScale" priority="31">
      <colorScale>
        <cfvo type="min"/>
        <cfvo type="percentile" val="50"/>
        <cfvo type="max"/>
        <color rgb="FFF8696B"/>
        <color rgb="FFFFEB84"/>
        <color rgb="FF63BE7B"/>
      </colorScale>
    </cfRule>
  </conditionalFormatting>
  <conditionalFormatting sqref="C3:C52">
    <cfRule type="colorScale" priority="243">
      <colorScale>
        <cfvo type="min"/>
        <cfvo type="percentile" val="50"/>
        <cfvo type="max"/>
        <color rgb="FFF8696B"/>
        <color rgb="FFFFEB84"/>
        <color rgb="FF63BE7B"/>
      </colorScale>
    </cfRule>
  </conditionalFormatting>
  <conditionalFormatting sqref="D4:D52">
    <cfRule type="colorScale" priority="244">
      <colorScale>
        <cfvo type="min"/>
        <cfvo type="percentile" val="50"/>
        <cfvo type="max"/>
        <color rgb="FFF8696B"/>
        <color rgb="FFFFEB84"/>
        <color rgb="FF63BE7B"/>
      </colorScale>
    </cfRule>
  </conditionalFormatting>
  <conditionalFormatting sqref="E4:E52">
    <cfRule type="colorScale" priority="245">
      <colorScale>
        <cfvo type="min"/>
        <cfvo type="percentile" val="50"/>
        <cfvo type="max"/>
        <color rgb="FFF8696B"/>
        <color rgb="FFFFEB84"/>
        <color rgb="FF63BE7B"/>
      </colorScale>
    </cfRule>
  </conditionalFormatting>
  <conditionalFormatting sqref="F4:F52">
    <cfRule type="colorScale" priority="246">
      <colorScale>
        <cfvo type="min"/>
        <cfvo type="percentile" val="50"/>
        <cfvo type="max"/>
        <color rgb="FFF8696B"/>
        <color rgb="FFFFEB84"/>
        <color rgb="FF63BE7B"/>
      </colorScale>
    </cfRule>
  </conditionalFormatting>
  <conditionalFormatting sqref="G4:G52">
    <cfRule type="colorScale" priority="247">
      <colorScale>
        <cfvo type="min"/>
        <cfvo type="percentile" val="50"/>
        <cfvo type="max"/>
        <color rgb="FFF8696B"/>
        <color rgb="FFFFEB84"/>
        <color rgb="FF63BE7B"/>
      </colorScale>
    </cfRule>
  </conditionalFormatting>
  <conditionalFormatting sqref="H4:H52">
    <cfRule type="colorScale" priority="248">
      <colorScale>
        <cfvo type="min"/>
        <cfvo type="percentile" val="50"/>
        <cfvo type="max"/>
        <color rgb="FFF8696B"/>
        <color rgb="FFFFEB84"/>
        <color rgb="FF63BE7B"/>
      </colorScale>
    </cfRule>
  </conditionalFormatting>
  <conditionalFormatting sqref="I4:I52">
    <cfRule type="colorScale" priority="249">
      <colorScale>
        <cfvo type="min"/>
        <cfvo type="percentile" val="50"/>
        <cfvo type="max"/>
        <color rgb="FFF8696B"/>
        <color rgb="FFFFEB84"/>
        <color rgb="FF63BE7B"/>
      </colorScale>
    </cfRule>
  </conditionalFormatting>
  <conditionalFormatting sqref="J4:J52">
    <cfRule type="colorScale" priority="250">
      <colorScale>
        <cfvo type="min"/>
        <cfvo type="percentile" val="50"/>
        <cfvo type="max"/>
        <color rgb="FFF8696B"/>
        <color rgb="FFFFEB84"/>
        <color rgb="FF63BE7B"/>
      </colorScale>
    </cfRule>
  </conditionalFormatting>
  <conditionalFormatting sqref="K4:K52">
    <cfRule type="colorScale" priority="251">
      <colorScale>
        <cfvo type="min"/>
        <cfvo type="percentile" val="50"/>
        <cfvo type="max"/>
        <color rgb="FFF8696B"/>
        <color rgb="FFFFEB84"/>
        <color rgb="FF63BE7B"/>
      </colorScale>
    </cfRule>
  </conditionalFormatting>
  <conditionalFormatting sqref="L4:L52">
    <cfRule type="colorScale" priority="252">
      <colorScale>
        <cfvo type="min"/>
        <cfvo type="percentile" val="50"/>
        <cfvo type="max"/>
        <color rgb="FFF8696B"/>
        <color rgb="FFFFEB84"/>
        <color rgb="FF63BE7B"/>
      </colorScale>
    </cfRule>
  </conditionalFormatting>
  <conditionalFormatting sqref="M4:M52">
    <cfRule type="colorScale" priority="253">
      <colorScale>
        <cfvo type="min"/>
        <cfvo type="percentile" val="50"/>
        <cfvo type="max"/>
        <color rgb="FFF8696B"/>
        <color rgb="FFFFEB84"/>
        <color rgb="FF63BE7B"/>
      </colorScale>
    </cfRule>
  </conditionalFormatting>
  <conditionalFormatting sqref="O4:O52">
    <cfRule type="colorScale" priority="254">
      <colorScale>
        <cfvo type="min"/>
        <cfvo type="percentile" val="50"/>
        <cfvo type="max"/>
        <color rgb="FFF8696B"/>
        <color rgb="FFFFEB84"/>
        <color rgb="FF63BE7B"/>
      </colorScale>
    </cfRule>
  </conditionalFormatting>
  <conditionalFormatting sqref="P4:P52">
    <cfRule type="colorScale" priority="255">
      <colorScale>
        <cfvo type="min"/>
        <cfvo type="percentile" val="50"/>
        <cfvo type="max"/>
        <color rgb="FFF8696B"/>
        <color rgb="FFFFEB84"/>
        <color rgb="FF63BE7B"/>
      </colorScale>
    </cfRule>
  </conditionalFormatting>
  <conditionalFormatting sqref="Q4:Q52">
    <cfRule type="colorScale" priority="256">
      <colorScale>
        <cfvo type="min"/>
        <cfvo type="percentile" val="50"/>
        <cfvo type="max"/>
        <color rgb="FFF8696B"/>
        <color rgb="FFFFEB84"/>
        <color rgb="FF63BE7B"/>
      </colorScale>
    </cfRule>
  </conditionalFormatting>
  <conditionalFormatting sqref="R4:R52">
    <cfRule type="colorScale" priority="257">
      <colorScale>
        <cfvo type="min"/>
        <cfvo type="percentile" val="50"/>
        <cfvo type="max"/>
        <color rgb="FFF8696B"/>
        <color rgb="FFFFEB84"/>
        <color rgb="FF63BE7B"/>
      </colorScale>
    </cfRule>
  </conditionalFormatting>
  <conditionalFormatting sqref="S4:S52">
    <cfRule type="colorScale" priority="258">
      <colorScale>
        <cfvo type="min"/>
        <cfvo type="percentile" val="50"/>
        <cfvo type="max"/>
        <color rgb="FFF8696B"/>
        <color rgb="FFFFEB84"/>
        <color rgb="FF63BE7B"/>
      </colorScale>
    </cfRule>
  </conditionalFormatting>
  <conditionalFormatting sqref="T4:T52">
    <cfRule type="colorScale" priority="259">
      <colorScale>
        <cfvo type="min"/>
        <cfvo type="percentile" val="50"/>
        <cfvo type="max"/>
        <color rgb="FFF8696B"/>
        <color rgb="FFFFEB84"/>
        <color rgb="FF63BE7B"/>
      </colorScale>
    </cfRule>
  </conditionalFormatting>
  <conditionalFormatting sqref="U4:U52">
    <cfRule type="colorScale" priority="260">
      <colorScale>
        <cfvo type="min"/>
        <cfvo type="percentile" val="50"/>
        <cfvo type="max"/>
        <color rgb="FFF8696B"/>
        <color rgb="FFFFEB84"/>
        <color rgb="FF63BE7B"/>
      </colorScale>
    </cfRule>
  </conditionalFormatting>
  <conditionalFormatting sqref="V4:V52">
    <cfRule type="colorScale" priority="261">
      <colorScale>
        <cfvo type="min"/>
        <cfvo type="percentile" val="50"/>
        <cfvo type="max"/>
        <color rgb="FFF8696B"/>
        <color rgb="FFFFEB84"/>
        <color rgb="FF63BE7B"/>
      </colorScale>
    </cfRule>
  </conditionalFormatting>
  <conditionalFormatting sqref="W4:W52">
    <cfRule type="colorScale" priority="262">
      <colorScale>
        <cfvo type="min"/>
        <cfvo type="percentile" val="50"/>
        <cfvo type="max"/>
        <color rgb="FFF8696B"/>
        <color rgb="FFFFEB84"/>
        <color rgb="FF63BE7B"/>
      </colorScale>
    </cfRule>
  </conditionalFormatting>
  <conditionalFormatting sqref="X4:X52">
    <cfRule type="colorScale" priority="265">
      <colorScale>
        <cfvo type="min"/>
        <cfvo type="percentile" val="50"/>
        <cfvo type="max"/>
        <color rgb="FFF8696B"/>
        <color rgb="FFFFEB84"/>
        <color rgb="FF63BE7B"/>
      </colorScale>
    </cfRule>
  </conditionalFormatting>
  <conditionalFormatting sqref="Y4:Y52">
    <cfRule type="colorScale" priority="268">
      <colorScale>
        <cfvo type="min"/>
        <cfvo type="percentile" val="50"/>
        <cfvo type="max"/>
        <color rgb="FFF8696B"/>
        <color rgb="FFFFEB84"/>
        <color rgb="FF63BE7B"/>
      </colorScale>
    </cfRule>
  </conditionalFormatting>
  <conditionalFormatting sqref="Z4:Z52">
    <cfRule type="colorScale" priority="269">
      <colorScale>
        <cfvo type="min"/>
        <cfvo type="percentile" val="50"/>
        <cfvo type="max"/>
        <color rgb="FFF8696B"/>
        <color rgb="FFFFEB84"/>
        <color rgb="FF63BE7B"/>
      </colorScale>
    </cfRule>
  </conditionalFormatting>
  <conditionalFormatting sqref="AA4:AA52">
    <cfRule type="colorScale" priority="270">
      <colorScale>
        <cfvo type="min"/>
        <cfvo type="percentile" val="50"/>
        <cfvo type="max"/>
        <color rgb="FFF8696B"/>
        <color rgb="FFFFEB84"/>
        <color rgb="FF63BE7B"/>
      </colorScale>
    </cfRule>
  </conditionalFormatting>
  <conditionalFormatting sqref="AB4:AB52">
    <cfRule type="colorScale" priority="271">
      <colorScale>
        <cfvo type="min"/>
        <cfvo type="percentile" val="50"/>
        <cfvo type="max"/>
        <color rgb="FFF8696B"/>
        <color rgb="FFFFEB84"/>
        <color rgb="FF63BE7B"/>
      </colorScale>
    </cfRule>
  </conditionalFormatting>
  <conditionalFormatting sqref="AC4:AC52">
    <cfRule type="colorScale" priority="272">
      <colorScale>
        <cfvo type="min"/>
        <cfvo type="percentile" val="50"/>
        <cfvo type="max"/>
        <color rgb="FFF8696B"/>
        <color rgb="FFFFEB84"/>
        <color rgb="FF63BE7B"/>
      </colorScale>
    </cfRule>
  </conditionalFormatting>
  <conditionalFormatting sqref="AD4:AD52">
    <cfRule type="colorScale" priority="273">
      <colorScale>
        <cfvo type="min"/>
        <cfvo type="percentile" val="50"/>
        <cfvo type="max"/>
        <color rgb="FFF8696B"/>
        <color rgb="FFFFEB84"/>
        <color rgb="FF63BE7B"/>
      </colorScale>
    </cfRule>
  </conditionalFormatting>
  <conditionalFormatting sqref="AE4:AE52">
    <cfRule type="colorScale" priority="274">
      <colorScale>
        <cfvo type="min"/>
        <cfvo type="percentile" val="50"/>
        <cfvo type="max"/>
        <color rgb="FFF8696B"/>
        <color rgb="FFFFEB84"/>
        <color rgb="FF63BE7B"/>
      </colorScale>
    </cfRule>
  </conditionalFormatting>
  <conditionalFormatting sqref="AF4:AF52">
    <cfRule type="colorScale" priority="275">
      <colorScale>
        <cfvo type="min"/>
        <cfvo type="percentile" val="50"/>
        <cfvo type="max"/>
        <color rgb="FFF8696B"/>
        <color rgb="FFFFEB84"/>
        <color rgb="FF63BE7B"/>
      </colorScale>
    </cfRule>
  </conditionalFormatting>
  <conditionalFormatting sqref="N4:N52">
    <cfRule type="colorScale" priority="276">
      <colorScale>
        <cfvo type="min"/>
        <cfvo type="percentile" val="50"/>
        <cfvo type="max"/>
        <color rgb="FFF8696B"/>
        <color rgb="FFFFEB84"/>
        <color rgb="FF63BE7B"/>
      </colorScale>
    </cfRule>
  </conditionalFormatting>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tabColor rgb="FFFF0000"/>
  </sheetPr>
  <dimension ref="A1:BA659"/>
  <sheetViews>
    <sheetView zoomScale="170" zoomScaleNormal="170" workbookViewId="0">
      <pane ySplit="6" topLeftCell="A348" activePane="bottomLeft" state="frozen"/>
      <selection pane="bottomLeft" activeCell="H395" sqref="H395"/>
    </sheetView>
  </sheetViews>
  <sheetFormatPr baseColWidth="10" defaultColWidth="8.83203125" defaultRowHeight="15" x14ac:dyDescent="0.2"/>
  <cols>
    <col min="1" max="1" width="14" customWidth="1"/>
    <col min="2" max="2" width="17.6640625" customWidth="1"/>
    <col min="3" max="3" width="14.33203125" customWidth="1"/>
    <col min="4" max="4" width="14.1640625" customWidth="1"/>
    <col min="5" max="53" width="9.1640625" style="1"/>
  </cols>
  <sheetData>
    <row r="1" spans="1:13" s="1" customFormat="1" x14ac:dyDescent="0.2">
      <c r="A1" s="30" t="s">
        <v>57</v>
      </c>
      <c r="B1" s="31" t="s">
        <v>61</v>
      </c>
      <c r="I1" s="24"/>
      <c r="J1" s="24"/>
      <c r="L1" s="1" t="s">
        <v>82</v>
      </c>
      <c r="M1" s="1" t="s">
        <v>83</v>
      </c>
    </row>
    <row r="2" spans="1:13" s="1" customFormat="1" x14ac:dyDescent="0.2">
      <c r="A2" s="2" t="s">
        <v>62</v>
      </c>
      <c r="I2" s="24"/>
      <c r="J2" s="24"/>
      <c r="L2" s="32">
        <f>MAX(C8:C335)</f>
        <v>2.6784604080709887E-2</v>
      </c>
      <c r="M2" s="32">
        <f>MAX(D8:D335)</f>
        <v>8.4068563615054048E-2</v>
      </c>
    </row>
    <row r="3" spans="1:13" s="1" customFormat="1" x14ac:dyDescent="0.2">
      <c r="A3" s="2"/>
      <c r="I3" s="24"/>
      <c r="J3" s="24"/>
      <c r="L3" s="32">
        <f>MIN(C8:C335)</f>
        <v>-2.3982568162071963E-2</v>
      </c>
      <c r="M3" s="32">
        <f>MIN(D8:D335)</f>
        <v>-5.3538669132919936E-2</v>
      </c>
    </row>
    <row r="4" spans="1:13" s="1" customFormat="1" x14ac:dyDescent="0.2">
      <c r="A4" s="2"/>
      <c r="I4" s="24"/>
      <c r="J4" s="24"/>
      <c r="L4" s="32"/>
      <c r="M4" s="32"/>
    </row>
    <row r="5" spans="1:13" s="1" customFormat="1" x14ac:dyDescent="0.2">
      <c r="C5" s="1" t="s">
        <v>8</v>
      </c>
      <c r="D5" s="1" t="s">
        <v>9</v>
      </c>
      <c r="I5" s="24"/>
      <c r="J5" s="24"/>
    </row>
    <row r="6" spans="1:13" x14ac:dyDescent="0.2">
      <c r="A6" s="91" t="s">
        <v>2</v>
      </c>
      <c r="B6" s="91" t="s">
        <v>3</v>
      </c>
      <c r="C6" s="92" t="s">
        <v>82</v>
      </c>
      <c r="D6" s="92" t="s">
        <v>83</v>
      </c>
      <c r="I6" s="24"/>
      <c r="J6" s="24"/>
    </row>
    <row r="7" spans="1:13" x14ac:dyDescent="0.2">
      <c r="A7" s="13">
        <v>33604</v>
      </c>
      <c r="B7" s="18">
        <f>VLOOKUP(A7,Database!A:M,MATCH($A$1,Database!$A$1:$M$1,),)</f>
        <v>117814</v>
      </c>
      <c r="C7" s="3"/>
      <c r="D7" s="3"/>
    </row>
    <row r="8" spans="1:13" x14ac:dyDescent="0.2">
      <c r="A8" s="14">
        <v>33635</v>
      </c>
      <c r="B8" s="18">
        <f>VLOOKUP(A8,Database!A:M,MATCH($A$1,Database!$A$1:$M$1,),)</f>
        <v>117795</v>
      </c>
      <c r="C8" s="15">
        <f>(B8-B7)/B7</f>
        <v>-1.612711562293106E-4</v>
      </c>
      <c r="D8" s="3"/>
    </row>
    <row r="9" spans="1:13" x14ac:dyDescent="0.2">
      <c r="A9" s="13">
        <v>33664</v>
      </c>
      <c r="B9" s="18">
        <f>VLOOKUP(A9,Database!A:M,MATCH($A$1,Database!$A$1:$M$1,),)</f>
        <v>117746</v>
      </c>
      <c r="C9" s="15">
        <f t="shared" ref="C9:C72" si="0">(B9-B8)/B8</f>
        <v>-4.1597690903688611E-4</v>
      </c>
      <c r="D9" s="3"/>
    </row>
    <row r="10" spans="1:13" x14ac:dyDescent="0.2">
      <c r="A10" s="14">
        <v>33695</v>
      </c>
      <c r="B10" s="18">
        <f>VLOOKUP(A10,Database!A:M,MATCH($A$1,Database!$A$1:$M$1,),)</f>
        <v>118223</v>
      </c>
      <c r="C10" s="15">
        <f t="shared" si="0"/>
        <v>4.0510930307611302E-3</v>
      </c>
      <c r="D10" s="3"/>
    </row>
    <row r="11" spans="1:13" x14ac:dyDescent="0.2">
      <c r="A11" s="13">
        <v>33725</v>
      </c>
      <c r="B11" s="18">
        <f>VLOOKUP(A11,Database!A:M,MATCH($A$1,Database!$A$1:$M$1,),)</f>
        <v>118385</v>
      </c>
      <c r="C11" s="15">
        <f t="shared" si="0"/>
        <v>1.3702917368024834E-3</v>
      </c>
      <c r="D11" s="3"/>
    </row>
    <row r="12" spans="1:13" x14ac:dyDescent="0.2">
      <c r="A12" s="14">
        <v>33756</v>
      </c>
      <c r="B12" s="18">
        <f>VLOOKUP(A12,Database!A:M,MATCH($A$1,Database!$A$1:$M$1,),)</f>
        <v>118410</v>
      </c>
      <c r="C12" s="15">
        <f t="shared" si="0"/>
        <v>2.1117540228914137E-4</v>
      </c>
      <c r="D12" s="3"/>
    </row>
    <row r="13" spans="1:13" x14ac:dyDescent="0.2">
      <c r="A13" s="13">
        <v>33786</v>
      </c>
      <c r="B13" s="18">
        <f>VLOOKUP(A13,Database!A:M,MATCH($A$1,Database!$A$1:$M$1,),)</f>
        <v>119092</v>
      </c>
      <c r="C13" s="15">
        <f t="shared" si="0"/>
        <v>5.7596486783210877E-3</v>
      </c>
      <c r="D13" s="3"/>
    </row>
    <row r="14" spans="1:13" x14ac:dyDescent="0.2">
      <c r="A14" s="14">
        <v>33817</v>
      </c>
      <c r="B14" s="18">
        <f>VLOOKUP(A14,Database!A:M,MATCH($A$1,Database!$A$1:$M$1,),)</f>
        <v>120123</v>
      </c>
      <c r="C14" s="15">
        <f t="shared" si="0"/>
        <v>8.6571726060524629E-3</v>
      </c>
      <c r="D14" s="3"/>
    </row>
    <row r="15" spans="1:13" x14ac:dyDescent="0.2">
      <c r="A15" s="13">
        <v>33848</v>
      </c>
      <c r="B15" s="18">
        <f>VLOOKUP(A15,Database!A:M,MATCH($A$1,Database!$A$1:$M$1,),)</f>
        <v>120264</v>
      </c>
      <c r="C15" s="15">
        <f t="shared" si="0"/>
        <v>1.1737968582203242E-3</v>
      </c>
      <c r="D15" s="3"/>
    </row>
    <row r="16" spans="1:13" x14ac:dyDescent="0.2">
      <c r="A16" s="14">
        <v>33878</v>
      </c>
      <c r="B16" s="18">
        <f>VLOOKUP(A16,Database!A:M,MATCH($A$1,Database!$A$1:$M$1,),)</f>
        <v>121349</v>
      </c>
      <c r="C16" s="15">
        <f t="shared" si="0"/>
        <v>9.0218186656023415E-3</v>
      </c>
      <c r="D16" s="3"/>
    </row>
    <row r="17" spans="1:4" x14ac:dyDescent="0.2">
      <c r="A17" s="13">
        <v>33909</v>
      </c>
      <c r="B17" s="18">
        <f>VLOOKUP(A17,Database!A:M,MATCH($A$1,Database!$A$1:$M$1,),)</f>
        <v>121717</v>
      </c>
      <c r="C17" s="15">
        <f t="shared" si="0"/>
        <v>3.0325754641571008E-3</v>
      </c>
      <c r="D17" s="3"/>
    </row>
    <row r="18" spans="1:4" x14ac:dyDescent="0.2">
      <c r="A18" s="14">
        <v>33939</v>
      </c>
      <c r="B18" s="18">
        <f>VLOOKUP(A18,Database!A:M,MATCH($A$1,Database!$A$1:$M$1,),)</f>
        <v>123358</v>
      </c>
      <c r="C18" s="15">
        <f t="shared" si="0"/>
        <v>1.3482093709177847E-2</v>
      </c>
      <c r="D18" s="3"/>
    </row>
    <row r="19" spans="1:4" x14ac:dyDescent="0.2">
      <c r="A19" s="13">
        <v>33970</v>
      </c>
      <c r="B19" s="18">
        <f>VLOOKUP(A19,Database!A:M,MATCH($A$1,Database!$A$1:$M$1,),)</f>
        <v>124089</v>
      </c>
      <c r="C19" s="15">
        <f t="shared" si="0"/>
        <v>5.9258418586552956E-3</v>
      </c>
      <c r="D19" s="16">
        <f>(B19-B7)/B7</f>
        <v>5.3261921333627581E-2</v>
      </c>
    </row>
    <row r="20" spans="1:4" x14ac:dyDescent="0.2">
      <c r="A20" s="14">
        <v>34001</v>
      </c>
      <c r="B20" s="18">
        <f>VLOOKUP(A20,Database!A:M,MATCH($A$1,Database!$A$1:$M$1,),)</f>
        <v>123425</v>
      </c>
      <c r="C20" s="15">
        <f t="shared" si="0"/>
        <v>-5.3509980739630423E-3</v>
      </c>
      <c r="D20" s="16">
        <f t="shared" ref="D20:D83" si="1">(B20-B8)/B8</f>
        <v>4.7794897915870792E-2</v>
      </c>
    </row>
    <row r="21" spans="1:4" x14ac:dyDescent="0.2">
      <c r="A21" s="13">
        <v>34029</v>
      </c>
      <c r="B21" s="18">
        <f>VLOOKUP(A21,Database!A:M,MATCH($A$1,Database!$A$1:$M$1,),)</f>
        <v>122864</v>
      </c>
      <c r="C21" s="15">
        <f t="shared" si="0"/>
        <v>-4.5452704071298356E-3</v>
      </c>
      <c r="D21" s="16">
        <f t="shared" si="1"/>
        <v>4.3466444719990491E-2</v>
      </c>
    </row>
    <row r="22" spans="1:4" x14ac:dyDescent="0.2">
      <c r="A22" s="14">
        <v>34060</v>
      </c>
      <c r="B22" s="18">
        <f>VLOOKUP(A22,Database!A:M,MATCH($A$1,Database!$A$1:$M$1,),)</f>
        <v>124689</v>
      </c>
      <c r="C22" s="15">
        <f t="shared" si="0"/>
        <v>1.48538221122542E-2</v>
      </c>
      <c r="D22" s="16">
        <f t="shared" si="1"/>
        <v>5.4693249198548503E-2</v>
      </c>
    </row>
    <row r="23" spans="1:4" x14ac:dyDescent="0.2">
      <c r="A23" s="13">
        <v>34090</v>
      </c>
      <c r="B23" s="18">
        <f>VLOOKUP(A23,Database!A:M,MATCH($A$1,Database!$A$1:$M$1,),)</f>
        <v>125899</v>
      </c>
      <c r="C23" s="15">
        <f t="shared" si="0"/>
        <v>9.7041439100482001E-3</v>
      </c>
      <c r="D23" s="16">
        <f t="shared" si="1"/>
        <v>6.3470878912024326E-2</v>
      </c>
    </row>
    <row r="24" spans="1:4" x14ac:dyDescent="0.2">
      <c r="A24" s="14">
        <v>34121</v>
      </c>
      <c r="B24" s="18">
        <f>VLOOKUP(A24,Database!A:M,MATCH($A$1,Database!$A$1:$M$1,),)</f>
        <v>125804</v>
      </c>
      <c r="C24" s="15">
        <f t="shared" si="0"/>
        <v>-7.5457311019150276E-4</v>
      </c>
      <c r="D24" s="16">
        <f t="shared" si="1"/>
        <v>6.2444050333586687E-2</v>
      </c>
    </row>
    <row r="25" spans="1:4" x14ac:dyDescent="0.2">
      <c r="A25" s="13">
        <v>34151</v>
      </c>
      <c r="B25" s="18">
        <f>VLOOKUP(A25,Database!A:M,MATCH($A$1,Database!$A$1:$M$1,),)</f>
        <v>126951</v>
      </c>
      <c r="C25" s="15">
        <f t="shared" si="0"/>
        <v>9.117357158754889E-3</v>
      </c>
      <c r="D25" s="16">
        <f t="shared" si="1"/>
        <v>6.5990998555738423E-2</v>
      </c>
    </row>
    <row r="26" spans="1:4" x14ac:dyDescent="0.2">
      <c r="A26" s="14">
        <v>34182</v>
      </c>
      <c r="B26" s="18">
        <f>VLOOKUP(A26,Database!A:M,MATCH($A$1,Database!$A$1:$M$1,),)</f>
        <v>126831</v>
      </c>
      <c r="C26" s="15">
        <f t="shared" si="0"/>
        <v>-9.4524659120448051E-4</v>
      </c>
      <c r="D26" s="16">
        <f t="shared" si="1"/>
        <v>5.5842761169800956E-2</v>
      </c>
    </row>
    <row r="27" spans="1:4" x14ac:dyDescent="0.2">
      <c r="A27" s="13">
        <v>34213</v>
      </c>
      <c r="B27" s="18">
        <f>VLOOKUP(A27,Database!A:M,MATCH($A$1,Database!$A$1:$M$1,),)</f>
        <v>128154</v>
      </c>
      <c r="C27" s="15">
        <f t="shared" si="0"/>
        <v>1.0431203727795255E-2</v>
      </c>
      <c r="D27" s="16">
        <f t="shared" si="1"/>
        <v>6.560566753143085E-2</v>
      </c>
    </row>
    <row r="28" spans="1:4" x14ac:dyDescent="0.2">
      <c r="A28" s="14">
        <v>34243</v>
      </c>
      <c r="B28" s="18">
        <f>VLOOKUP(A28,Database!A:M,MATCH($A$1,Database!$A$1:$M$1,),)</f>
        <v>128272</v>
      </c>
      <c r="C28" s="15">
        <f t="shared" si="0"/>
        <v>9.2076720196014171E-4</v>
      </c>
      <c r="D28" s="16">
        <f t="shared" si="1"/>
        <v>5.7050325919455455E-2</v>
      </c>
    </row>
    <row r="29" spans="1:4" x14ac:dyDescent="0.2">
      <c r="A29" s="13">
        <v>34274</v>
      </c>
      <c r="B29" s="18">
        <f>VLOOKUP(A29,Database!A:M,MATCH($A$1,Database!$A$1:$M$1,),)</f>
        <v>128916</v>
      </c>
      <c r="C29" s="15">
        <f t="shared" si="0"/>
        <v>5.0205812648122742E-3</v>
      </c>
      <c r="D29" s="16">
        <f t="shared" si="1"/>
        <v>5.91453946449551E-2</v>
      </c>
    </row>
    <row r="30" spans="1:4" x14ac:dyDescent="0.2">
      <c r="A30" s="14">
        <v>34304</v>
      </c>
      <c r="B30" s="18">
        <f>VLOOKUP(A30,Database!A:M,MATCH($A$1,Database!$A$1:$M$1,),)</f>
        <v>129976</v>
      </c>
      <c r="C30" s="15">
        <f t="shared" si="0"/>
        <v>8.2224083899593535E-3</v>
      </c>
      <c r="D30" s="16">
        <f t="shared" si="1"/>
        <v>5.3648729713516759E-2</v>
      </c>
    </row>
    <row r="31" spans="1:4" x14ac:dyDescent="0.2">
      <c r="A31" s="13">
        <v>34335</v>
      </c>
      <c r="B31" s="18">
        <f>VLOOKUP(A31,Database!A:M,MATCH($A$1,Database!$A$1:$M$1,),)</f>
        <v>128826</v>
      </c>
      <c r="C31" s="15">
        <f t="shared" si="0"/>
        <v>-8.8477872838062417E-3</v>
      </c>
      <c r="D31" s="16">
        <f t="shared" si="1"/>
        <v>3.8174213669221288E-2</v>
      </c>
    </row>
    <row r="32" spans="1:4" x14ac:dyDescent="0.2">
      <c r="A32" s="14">
        <v>34366</v>
      </c>
      <c r="B32" s="18">
        <f>VLOOKUP(A32,Database!A:M,MATCH($A$1,Database!$A$1:$M$1,),)</f>
        <v>130514</v>
      </c>
      <c r="C32" s="15">
        <f t="shared" si="0"/>
        <v>1.3102945057674693E-2</v>
      </c>
      <c r="D32" s="16">
        <f t="shared" si="1"/>
        <v>5.7435689690095201E-2</v>
      </c>
    </row>
    <row r="33" spans="1:4" x14ac:dyDescent="0.2">
      <c r="A33" s="13">
        <v>34394</v>
      </c>
      <c r="B33" s="18">
        <f>VLOOKUP(A33,Database!A:M,MATCH($A$1,Database!$A$1:$M$1,),)</f>
        <v>133193</v>
      </c>
      <c r="C33" s="15">
        <f t="shared" si="0"/>
        <v>2.0526533551956112E-2</v>
      </c>
      <c r="D33" s="16">
        <f t="shared" si="1"/>
        <v>8.4068563615054048E-2</v>
      </c>
    </row>
    <row r="34" spans="1:4" x14ac:dyDescent="0.2">
      <c r="A34" s="14">
        <v>34425</v>
      </c>
      <c r="B34" s="18">
        <f>VLOOKUP(A34,Database!A:M,MATCH($A$1,Database!$A$1:$M$1,),)</f>
        <v>132700</v>
      </c>
      <c r="C34" s="15">
        <f t="shared" si="0"/>
        <v>-3.7013957189942414E-3</v>
      </c>
      <c r="D34" s="16">
        <f t="shared" si="1"/>
        <v>6.4247848647434824E-2</v>
      </c>
    </row>
    <row r="35" spans="1:4" x14ac:dyDescent="0.2">
      <c r="A35" s="13">
        <v>34455</v>
      </c>
      <c r="B35" s="18">
        <f>VLOOKUP(A35,Database!A:M,MATCH($A$1,Database!$A$1:$M$1,),)</f>
        <v>133058</v>
      </c>
      <c r="C35" s="15">
        <f t="shared" si="0"/>
        <v>2.6978146194423513E-3</v>
      </c>
      <c r="D35" s="16">
        <f t="shared" si="1"/>
        <v>5.6863041009062823E-2</v>
      </c>
    </row>
    <row r="36" spans="1:4" x14ac:dyDescent="0.2">
      <c r="A36" s="14">
        <v>34486</v>
      </c>
      <c r="B36" s="18">
        <f>VLOOKUP(A36,Database!A:M,MATCH($A$1,Database!$A$1:$M$1,),)</f>
        <v>134530</v>
      </c>
      <c r="C36" s="15">
        <f t="shared" si="0"/>
        <v>1.1062844774459258E-2</v>
      </c>
      <c r="D36" s="16">
        <f t="shared" si="1"/>
        <v>6.9361864487615651E-2</v>
      </c>
    </row>
    <row r="37" spans="1:4" x14ac:dyDescent="0.2">
      <c r="A37" s="13">
        <v>34516</v>
      </c>
      <c r="B37" s="18">
        <f>VLOOKUP(A37,Database!A:M,MATCH($A$1,Database!$A$1:$M$1,),)</f>
        <v>134944</v>
      </c>
      <c r="C37" s="15">
        <f t="shared" si="0"/>
        <v>3.077380509923437E-3</v>
      </c>
      <c r="D37" s="16">
        <f t="shared" si="1"/>
        <v>6.2961300029145101E-2</v>
      </c>
    </row>
    <row r="38" spans="1:4" x14ac:dyDescent="0.2">
      <c r="A38" s="14">
        <v>34547</v>
      </c>
      <c r="B38" s="18">
        <f>VLOOKUP(A38,Database!A:M,MATCH($A$1,Database!$A$1:$M$1,),)</f>
        <v>136246</v>
      </c>
      <c r="C38" s="15">
        <f t="shared" si="0"/>
        <v>9.6484467631017309E-3</v>
      </c>
      <c r="D38" s="16">
        <f t="shared" si="1"/>
        <v>7.4232640285103804E-2</v>
      </c>
    </row>
    <row r="39" spans="1:4" x14ac:dyDescent="0.2">
      <c r="A39" s="13">
        <v>34578</v>
      </c>
      <c r="B39" s="18">
        <f>VLOOKUP(A39,Database!A:M,MATCH($A$1,Database!$A$1:$M$1,),)</f>
        <v>136802</v>
      </c>
      <c r="C39" s="15">
        <f t="shared" si="0"/>
        <v>4.0808537498348571E-3</v>
      </c>
      <c r="D39" s="16">
        <f t="shared" si="1"/>
        <v>6.7481311547044967E-2</v>
      </c>
    </row>
    <row r="40" spans="1:4" x14ac:dyDescent="0.2">
      <c r="A40" s="14">
        <v>34608</v>
      </c>
      <c r="B40" s="18">
        <f>VLOOKUP(A40,Database!A:M,MATCH($A$1,Database!$A$1:$M$1,),)</f>
        <v>137821</v>
      </c>
      <c r="C40" s="15">
        <f t="shared" si="0"/>
        <v>7.4487215099194454E-3</v>
      </c>
      <c r="D40" s="16">
        <f t="shared" si="1"/>
        <v>7.4443370338031681E-2</v>
      </c>
    </row>
    <row r="41" spans="1:4" x14ac:dyDescent="0.2">
      <c r="A41" s="13">
        <v>34639</v>
      </c>
      <c r="B41" s="18">
        <f>VLOOKUP(A41,Database!A:M,MATCH($A$1,Database!$A$1:$M$1,),)</f>
        <v>137650</v>
      </c>
      <c r="C41" s="15">
        <f t="shared" si="0"/>
        <v>-1.2407398001755901E-3</v>
      </c>
      <c r="D41" s="16">
        <f t="shared" si="1"/>
        <v>6.7749542337646212E-2</v>
      </c>
    </row>
    <row r="42" spans="1:4" x14ac:dyDescent="0.2">
      <c r="A42" s="14">
        <v>34669</v>
      </c>
      <c r="B42" s="18">
        <f>VLOOKUP(A42,Database!A:M,MATCH($A$1,Database!$A$1:$M$1,),)</f>
        <v>138876</v>
      </c>
      <c r="C42" s="15">
        <f t="shared" si="0"/>
        <v>8.9066472938612428E-3</v>
      </c>
      <c r="D42" s="16">
        <f t="shared" si="1"/>
        <v>6.8474179848587433E-2</v>
      </c>
    </row>
    <row r="43" spans="1:4" x14ac:dyDescent="0.2">
      <c r="A43" s="13">
        <v>34700</v>
      </c>
      <c r="B43" s="18">
        <f>VLOOKUP(A43,Database!A:M,MATCH($A$1,Database!$A$1:$M$1,),)</f>
        <v>139434</v>
      </c>
      <c r="C43" s="15">
        <f t="shared" si="0"/>
        <v>4.0179728678821393E-3</v>
      </c>
      <c r="D43" s="16">
        <f t="shared" si="1"/>
        <v>8.2343626286619162E-2</v>
      </c>
    </row>
    <row r="44" spans="1:4" x14ac:dyDescent="0.2">
      <c r="A44" s="14">
        <v>34731</v>
      </c>
      <c r="B44" s="18">
        <f>VLOOKUP(A44,Database!A:M,MATCH($A$1,Database!$A$1:$M$1,),)</f>
        <v>137534</v>
      </c>
      <c r="C44" s="15">
        <f t="shared" si="0"/>
        <v>-1.3626518639643129E-2</v>
      </c>
      <c r="D44" s="16">
        <f t="shared" si="1"/>
        <v>5.3787333159661034E-2</v>
      </c>
    </row>
    <row r="45" spans="1:4" x14ac:dyDescent="0.2">
      <c r="A45" s="13">
        <v>34759</v>
      </c>
      <c r="B45" s="18">
        <f>VLOOKUP(A45,Database!A:M,MATCH($A$1,Database!$A$1:$M$1,),)</f>
        <v>138645</v>
      </c>
      <c r="C45" s="15">
        <f t="shared" si="0"/>
        <v>8.0780025302834204E-3</v>
      </c>
      <c r="D45" s="16">
        <f t="shared" si="1"/>
        <v>4.0933082068877497E-2</v>
      </c>
    </row>
    <row r="46" spans="1:4" x14ac:dyDescent="0.2">
      <c r="A46" s="14">
        <v>34790</v>
      </c>
      <c r="B46" s="18">
        <f>VLOOKUP(A46,Database!A:M,MATCH($A$1,Database!$A$1:$M$1,),)</f>
        <v>138955</v>
      </c>
      <c r="C46" s="15">
        <f t="shared" si="0"/>
        <v>2.2359262865591979E-3</v>
      </c>
      <c r="D46" s="16">
        <f t="shared" si="1"/>
        <v>4.7136397889977394E-2</v>
      </c>
    </row>
    <row r="47" spans="1:4" x14ac:dyDescent="0.2">
      <c r="A47" s="13">
        <v>34820</v>
      </c>
      <c r="B47" s="18">
        <f>VLOOKUP(A47,Database!A:M,MATCH($A$1,Database!$A$1:$M$1,),)</f>
        <v>140053</v>
      </c>
      <c r="C47" s="15">
        <f t="shared" si="0"/>
        <v>7.9018387247670116E-3</v>
      </c>
      <c r="D47" s="16">
        <f t="shared" si="1"/>
        <v>5.257105923732508E-2</v>
      </c>
    </row>
    <row r="48" spans="1:4" x14ac:dyDescent="0.2">
      <c r="A48" s="14">
        <v>34851</v>
      </c>
      <c r="B48" s="18">
        <f>VLOOKUP(A48,Database!A:M,MATCH($A$1,Database!$A$1:$M$1,),)</f>
        <v>140515</v>
      </c>
      <c r="C48" s="15">
        <f t="shared" si="0"/>
        <v>3.2987511870506167E-3</v>
      </c>
      <c r="D48" s="16">
        <f t="shared" si="1"/>
        <v>4.4488218241284475E-2</v>
      </c>
    </row>
    <row r="49" spans="1:4" x14ac:dyDescent="0.2">
      <c r="A49" s="13">
        <v>34881</v>
      </c>
      <c r="B49" s="18">
        <f>VLOOKUP(A49,Database!A:M,MATCH($A$1,Database!$A$1:$M$1,),)</f>
        <v>140839</v>
      </c>
      <c r="C49" s="15">
        <f t="shared" si="0"/>
        <v>2.3058036508557807E-3</v>
      </c>
      <c r="D49" s="16">
        <f t="shared" si="1"/>
        <v>4.368478776381314E-2</v>
      </c>
    </row>
    <row r="50" spans="1:4" x14ac:dyDescent="0.2">
      <c r="A50" s="14">
        <v>34912</v>
      </c>
      <c r="B50" s="18">
        <f>VLOOKUP(A50,Database!A:M,MATCH($A$1,Database!$A$1:$M$1,),)</f>
        <v>141546</v>
      </c>
      <c r="C50" s="15">
        <f t="shared" si="0"/>
        <v>5.0199163583950464E-3</v>
      </c>
      <c r="D50" s="16">
        <f t="shared" si="1"/>
        <v>3.890022459374954E-2</v>
      </c>
    </row>
    <row r="51" spans="1:4" x14ac:dyDescent="0.2">
      <c r="A51" s="13">
        <v>34943</v>
      </c>
      <c r="B51" s="18">
        <f>VLOOKUP(A51,Database!A:M,MATCH($A$1,Database!$A$1:$M$1,),)</f>
        <v>142624</v>
      </c>
      <c r="C51" s="15">
        <f t="shared" si="0"/>
        <v>7.6158987184378225E-3</v>
      </c>
      <c r="D51" s="16">
        <f t="shared" si="1"/>
        <v>4.2557857341266943E-2</v>
      </c>
    </row>
    <row r="52" spans="1:4" x14ac:dyDescent="0.2">
      <c r="A52" s="14">
        <v>34973</v>
      </c>
      <c r="B52" s="18">
        <f>VLOOKUP(A52,Database!A:M,MATCH($A$1,Database!$A$1:$M$1,),)</f>
        <v>141898</v>
      </c>
      <c r="C52" s="15">
        <f t="shared" si="0"/>
        <v>-5.0903073816468474E-3</v>
      </c>
      <c r="D52" s="16">
        <f t="shared" si="1"/>
        <v>2.9581848919975912E-2</v>
      </c>
    </row>
    <row r="53" spans="1:4" x14ac:dyDescent="0.2">
      <c r="A53" s="13">
        <v>35004</v>
      </c>
      <c r="B53" s="18">
        <f>VLOOKUP(A53,Database!A:M,MATCH($A$1,Database!$A$1:$M$1,),)</f>
        <v>143820</v>
      </c>
      <c r="C53" s="15">
        <f t="shared" si="0"/>
        <v>1.3544940732075152E-2</v>
      </c>
      <c r="D53" s="16">
        <f t="shared" si="1"/>
        <v>4.4823828550671997E-2</v>
      </c>
    </row>
    <row r="54" spans="1:4" x14ac:dyDescent="0.2">
      <c r="A54" s="14">
        <v>35034</v>
      </c>
      <c r="B54" s="18">
        <f>VLOOKUP(A54,Database!A:M,MATCH($A$1,Database!$A$1:$M$1,),)</f>
        <v>144990</v>
      </c>
      <c r="C54" s="15">
        <f t="shared" si="0"/>
        <v>8.135168961201502E-3</v>
      </c>
      <c r="D54" s="16">
        <f t="shared" si="1"/>
        <v>4.4024885509375271E-2</v>
      </c>
    </row>
    <row r="55" spans="1:4" x14ac:dyDescent="0.2">
      <c r="A55" s="13">
        <v>35065</v>
      </c>
      <c r="B55" s="18">
        <f>VLOOKUP(A55,Database!A:M,MATCH($A$1,Database!$A$1:$M$1,),)</f>
        <v>142871</v>
      </c>
      <c r="C55" s="15">
        <f t="shared" si="0"/>
        <v>-1.4614801020760052E-2</v>
      </c>
      <c r="D55" s="16">
        <f t="shared" si="1"/>
        <v>2.4649655033922861E-2</v>
      </c>
    </row>
    <row r="56" spans="1:4" x14ac:dyDescent="0.2">
      <c r="A56" s="14">
        <v>35096</v>
      </c>
      <c r="B56" s="18">
        <f>VLOOKUP(A56,Database!A:M,MATCH($A$1,Database!$A$1:$M$1,),)</f>
        <v>144263</v>
      </c>
      <c r="C56" s="15">
        <f t="shared" si="0"/>
        <v>9.7430549236724034E-3</v>
      </c>
      <c r="D56" s="16">
        <f t="shared" si="1"/>
        <v>4.8926083732022625E-2</v>
      </c>
    </row>
    <row r="57" spans="1:4" x14ac:dyDescent="0.2">
      <c r="A57" s="13">
        <v>35125</v>
      </c>
      <c r="B57" s="18">
        <f>VLOOKUP(A57,Database!A:M,MATCH($A$1,Database!$A$1:$M$1,),)</f>
        <v>145592</v>
      </c>
      <c r="C57" s="15">
        <f t="shared" si="0"/>
        <v>9.2123413487865905E-3</v>
      </c>
      <c r="D57" s="16">
        <f t="shared" si="1"/>
        <v>5.0106386815247574E-2</v>
      </c>
    </row>
    <row r="58" spans="1:4" x14ac:dyDescent="0.2">
      <c r="A58" s="14">
        <v>35156</v>
      </c>
      <c r="B58" s="18">
        <f>VLOOKUP(A58,Database!A:M,MATCH($A$1,Database!$A$1:$M$1,),)</f>
        <v>146893</v>
      </c>
      <c r="C58" s="15">
        <f t="shared" si="0"/>
        <v>8.9359305456343761E-3</v>
      </c>
      <c r="D58" s="16">
        <f t="shared" si="1"/>
        <v>5.712640782987298E-2</v>
      </c>
    </row>
    <row r="59" spans="1:4" x14ac:dyDescent="0.2">
      <c r="A59" s="13">
        <v>35186</v>
      </c>
      <c r="B59" s="18">
        <f>VLOOKUP(A59,Database!A:M,MATCH($A$1,Database!$A$1:$M$1,),)</f>
        <v>147611</v>
      </c>
      <c r="C59" s="15">
        <f t="shared" si="0"/>
        <v>4.8879116091304553E-3</v>
      </c>
      <c r="D59" s="16">
        <f t="shared" si="1"/>
        <v>5.3965284570841036E-2</v>
      </c>
    </row>
    <row r="60" spans="1:4" x14ac:dyDescent="0.2">
      <c r="A60" s="14">
        <v>35217</v>
      </c>
      <c r="B60" s="18">
        <f>VLOOKUP(A60,Database!A:M,MATCH($A$1,Database!$A$1:$M$1,),)</f>
        <v>147918</v>
      </c>
      <c r="C60" s="15">
        <f t="shared" si="0"/>
        <v>2.0797908014985331E-3</v>
      </c>
      <c r="D60" s="16">
        <f t="shared" si="1"/>
        <v>5.2684766750880692E-2</v>
      </c>
    </row>
    <row r="61" spans="1:4" x14ac:dyDescent="0.2">
      <c r="A61" s="13">
        <v>35247</v>
      </c>
      <c r="B61" s="18">
        <f>VLOOKUP(A61,Database!A:M,MATCH($A$1,Database!$A$1:$M$1,),)</f>
        <v>148253</v>
      </c>
      <c r="C61" s="15">
        <f t="shared" si="0"/>
        <v>2.2647683175813626E-3</v>
      </c>
      <c r="D61" s="16">
        <f t="shared" si="1"/>
        <v>5.2641668855927692E-2</v>
      </c>
    </row>
    <row r="62" spans="1:4" x14ac:dyDescent="0.2">
      <c r="A62" s="14">
        <v>35278</v>
      </c>
      <c r="B62" s="18">
        <f>VLOOKUP(A62,Database!A:M,MATCH($A$1,Database!$A$1:$M$1,),)</f>
        <v>148820</v>
      </c>
      <c r="C62" s="15">
        <f t="shared" si="0"/>
        <v>3.8245431795646632E-3</v>
      </c>
      <c r="D62" s="16">
        <f t="shared" si="1"/>
        <v>5.1389654246675992E-2</v>
      </c>
    </row>
    <row r="63" spans="1:4" x14ac:dyDescent="0.2">
      <c r="A63" s="13">
        <v>35309</v>
      </c>
      <c r="B63" s="18">
        <f>VLOOKUP(A63,Database!A:M,MATCH($A$1,Database!$A$1:$M$1,),)</f>
        <v>149984</v>
      </c>
      <c r="C63" s="15">
        <f t="shared" si="0"/>
        <v>7.8215293643327504E-3</v>
      </c>
      <c r="D63" s="16">
        <f t="shared" si="1"/>
        <v>5.1604218083912946E-2</v>
      </c>
    </row>
    <row r="64" spans="1:4" x14ac:dyDescent="0.2">
      <c r="A64" s="14">
        <v>35339</v>
      </c>
      <c r="B64" s="18">
        <f>VLOOKUP(A64,Database!A:M,MATCH($A$1,Database!$A$1:$M$1,),)</f>
        <v>151250</v>
      </c>
      <c r="C64" s="15">
        <f t="shared" si="0"/>
        <v>8.4409003627053548E-3</v>
      </c>
      <c r="D64" s="16">
        <f t="shared" si="1"/>
        <v>6.5906496215591484E-2</v>
      </c>
    </row>
    <row r="65" spans="1:4" x14ac:dyDescent="0.2">
      <c r="A65" s="13">
        <v>35370</v>
      </c>
      <c r="B65" s="18">
        <f>VLOOKUP(A65,Database!A:M,MATCH($A$1,Database!$A$1:$M$1,),)</f>
        <v>151651</v>
      </c>
      <c r="C65" s="15">
        <f t="shared" si="0"/>
        <v>2.6512396694214875E-3</v>
      </c>
      <c r="D65" s="16">
        <f t="shared" si="1"/>
        <v>5.4450006953135864E-2</v>
      </c>
    </row>
    <row r="66" spans="1:4" x14ac:dyDescent="0.2">
      <c r="A66" s="14">
        <v>35400</v>
      </c>
      <c r="B66" s="18">
        <f>VLOOKUP(A66,Database!A:M,MATCH($A$1,Database!$A$1:$M$1,),)</f>
        <v>152397</v>
      </c>
      <c r="C66" s="15">
        <f t="shared" si="0"/>
        <v>4.9191894547348843E-3</v>
      </c>
      <c r="D66" s="16">
        <f t="shared" si="1"/>
        <v>5.1086281812538797E-2</v>
      </c>
    </row>
    <row r="67" spans="1:4" x14ac:dyDescent="0.2">
      <c r="A67" s="13">
        <v>35431</v>
      </c>
      <c r="B67" s="18">
        <f>VLOOKUP(A67,Database!A:M,MATCH($A$1,Database!$A$1:$M$1,),)</f>
        <v>152533</v>
      </c>
      <c r="C67" s="15">
        <f t="shared" si="0"/>
        <v>8.9240601849117766E-4</v>
      </c>
      <c r="D67" s="16">
        <f t="shared" si="1"/>
        <v>6.7627440138306585E-2</v>
      </c>
    </row>
    <row r="68" spans="1:4" x14ac:dyDescent="0.2">
      <c r="A68" s="14">
        <v>35462</v>
      </c>
      <c r="B68" s="18">
        <f>VLOOKUP(A68,Database!A:M,MATCH($A$1,Database!$A$1:$M$1,),)</f>
        <v>153837</v>
      </c>
      <c r="C68" s="15">
        <f t="shared" si="0"/>
        <v>8.5489697311401467E-3</v>
      </c>
      <c r="D68" s="16">
        <f t="shared" si="1"/>
        <v>6.6364902989678579E-2</v>
      </c>
    </row>
    <row r="69" spans="1:4" x14ac:dyDescent="0.2">
      <c r="A69" s="13">
        <v>35490</v>
      </c>
      <c r="B69" s="18">
        <f>VLOOKUP(A69,Database!A:M,MATCH($A$1,Database!$A$1:$M$1,),)</f>
        <v>154959</v>
      </c>
      <c r="C69" s="15">
        <f t="shared" si="0"/>
        <v>7.2934339593205798E-3</v>
      </c>
      <c r="D69" s="16">
        <f t="shared" si="1"/>
        <v>6.4337326226715758E-2</v>
      </c>
    </row>
    <row r="70" spans="1:4" x14ac:dyDescent="0.2">
      <c r="A70" s="14">
        <v>35521</v>
      </c>
      <c r="B70" s="18">
        <f>VLOOKUP(A70,Database!A:M,MATCH($A$1,Database!$A$1:$M$1,),)</f>
        <v>154141</v>
      </c>
      <c r="C70" s="15">
        <f t="shared" si="0"/>
        <v>-5.2788156867300384E-3</v>
      </c>
      <c r="D70" s="16">
        <f t="shared" si="1"/>
        <v>4.9342038082141423E-2</v>
      </c>
    </row>
    <row r="71" spans="1:4" x14ac:dyDescent="0.2">
      <c r="A71" s="13">
        <v>35551</v>
      </c>
      <c r="B71" s="18">
        <f>VLOOKUP(A71,Database!A:M,MATCH($A$1,Database!$A$1:$M$1,),)</f>
        <v>154371</v>
      </c>
      <c r="C71" s="15">
        <f t="shared" si="0"/>
        <v>1.4921403130899631E-3</v>
      </c>
      <c r="D71" s="16">
        <f t="shared" si="1"/>
        <v>4.579604501019572E-2</v>
      </c>
    </row>
    <row r="72" spans="1:4" x14ac:dyDescent="0.2">
      <c r="A72" s="14">
        <v>35582</v>
      </c>
      <c r="B72" s="18">
        <f>VLOOKUP(A72,Database!A:M,MATCH($A$1,Database!$A$1:$M$1,),)</f>
        <v>155613</v>
      </c>
      <c r="C72" s="15">
        <f t="shared" si="0"/>
        <v>8.0455525973142632E-3</v>
      </c>
      <c r="D72" s="16">
        <f t="shared" si="1"/>
        <v>5.2022066279965924E-2</v>
      </c>
    </row>
    <row r="73" spans="1:4" x14ac:dyDescent="0.2">
      <c r="A73" s="13">
        <v>35612</v>
      </c>
      <c r="B73" s="18">
        <f>VLOOKUP(A73,Database!A:M,MATCH($A$1,Database!$A$1:$M$1,),)</f>
        <v>157052</v>
      </c>
      <c r="C73" s="15">
        <f t="shared" ref="C73:C136" si="2">(B73-B72)/B72</f>
        <v>9.2472993901537796E-3</v>
      </c>
      <c r="D73" s="16">
        <f t="shared" si="1"/>
        <v>5.9351244156947917E-2</v>
      </c>
    </row>
    <row r="74" spans="1:4" x14ac:dyDescent="0.2">
      <c r="A74" s="14">
        <v>35643</v>
      </c>
      <c r="B74" s="18">
        <f>VLOOKUP(A74,Database!A:M,MATCH($A$1,Database!$A$1:$M$1,),)</f>
        <v>157139</v>
      </c>
      <c r="C74" s="15">
        <f t="shared" si="2"/>
        <v>5.5395665130020635E-4</v>
      </c>
      <c r="D74" s="16">
        <f t="shared" si="1"/>
        <v>5.5899744657976078E-2</v>
      </c>
    </row>
    <row r="75" spans="1:4" x14ac:dyDescent="0.2">
      <c r="A75" s="13">
        <v>35674</v>
      </c>
      <c r="B75" s="18">
        <f>VLOOKUP(A75,Database!A:M,MATCH($A$1,Database!$A$1:$M$1,),)</f>
        <v>158221</v>
      </c>
      <c r="C75" s="15">
        <f t="shared" si="2"/>
        <v>6.8856235562145618E-3</v>
      </c>
      <c r="D75" s="16">
        <f t="shared" si="1"/>
        <v>5.4919191380413908E-2</v>
      </c>
    </row>
    <row r="76" spans="1:4" x14ac:dyDescent="0.2">
      <c r="A76" s="14">
        <v>35704</v>
      </c>
      <c r="B76" s="18">
        <f>VLOOKUP(A76,Database!A:M,MATCH($A$1,Database!$A$1:$M$1,),)</f>
        <v>158269</v>
      </c>
      <c r="C76" s="15">
        <f t="shared" si="2"/>
        <v>3.0337312998906591E-4</v>
      </c>
      <c r="D76" s="16">
        <f t="shared" si="1"/>
        <v>4.6406611570247933E-2</v>
      </c>
    </row>
    <row r="77" spans="1:4" x14ac:dyDescent="0.2">
      <c r="A77" s="13">
        <v>35735</v>
      </c>
      <c r="B77" s="18">
        <f>VLOOKUP(A77,Database!A:M,MATCH($A$1,Database!$A$1:$M$1,),)</f>
        <v>158488</v>
      </c>
      <c r="C77" s="15">
        <f t="shared" si="2"/>
        <v>1.3837201220706519E-3</v>
      </c>
      <c r="D77" s="16">
        <f t="shared" si="1"/>
        <v>4.5083777884748537E-2</v>
      </c>
    </row>
    <row r="78" spans="1:4" x14ac:dyDescent="0.2">
      <c r="A78" s="14">
        <v>35765</v>
      </c>
      <c r="B78" s="18">
        <f>VLOOKUP(A78,Database!A:M,MATCH($A$1,Database!$A$1:$M$1,),)</f>
        <v>158882</v>
      </c>
      <c r="C78" s="15">
        <f t="shared" si="2"/>
        <v>2.4859926303568724E-3</v>
      </c>
      <c r="D78" s="16">
        <f t="shared" si="1"/>
        <v>4.2553331102318286E-2</v>
      </c>
    </row>
    <row r="79" spans="1:4" x14ac:dyDescent="0.2">
      <c r="A79" s="13">
        <v>35796</v>
      </c>
      <c r="B79" s="18">
        <f>VLOOKUP(A79,Database!A:M,MATCH($A$1,Database!$A$1:$M$1,),)</f>
        <v>159868</v>
      </c>
      <c r="C79" s="15">
        <f t="shared" si="2"/>
        <v>6.2058634710036378E-3</v>
      </c>
      <c r="D79" s="16">
        <f t="shared" si="1"/>
        <v>4.8087954737663328E-2</v>
      </c>
    </row>
    <row r="80" spans="1:4" x14ac:dyDescent="0.2">
      <c r="A80" s="14">
        <v>35827</v>
      </c>
      <c r="B80" s="18">
        <f>VLOOKUP(A80,Database!A:M,MATCH($A$1,Database!$A$1:$M$1,),)</f>
        <v>160789</v>
      </c>
      <c r="C80" s="15">
        <f t="shared" si="2"/>
        <v>5.7610028273325491E-3</v>
      </c>
      <c r="D80" s="16">
        <f t="shared" si="1"/>
        <v>4.5190688845986336E-2</v>
      </c>
    </row>
    <row r="81" spans="1:4" x14ac:dyDescent="0.2">
      <c r="A81" s="13">
        <v>35855</v>
      </c>
      <c r="B81" s="18">
        <f>VLOOKUP(A81,Database!A:M,MATCH($A$1,Database!$A$1:$M$1,),)</f>
        <v>161245</v>
      </c>
      <c r="C81" s="15">
        <f t="shared" si="2"/>
        <v>2.836014901516895E-3</v>
      </c>
      <c r="D81" s="16">
        <f t="shared" si="1"/>
        <v>4.0565568956949904E-2</v>
      </c>
    </row>
    <row r="82" spans="1:4" x14ac:dyDescent="0.2">
      <c r="A82" s="14">
        <v>35886</v>
      </c>
      <c r="B82" s="18">
        <f>VLOOKUP(A82,Database!A:M,MATCH($A$1,Database!$A$1:$M$1,),)</f>
        <v>162724</v>
      </c>
      <c r="C82" s="15">
        <f t="shared" si="2"/>
        <v>9.1723774380600941E-3</v>
      </c>
      <c r="D82" s="16">
        <f t="shared" si="1"/>
        <v>5.5682783944570234E-2</v>
      </c>
    </row>
    <row r="83" spans="1:4" x14ac:dyDescent="0.2">
      <c r="A83" s="13">
        <v>35916</v>
      </c>
      <c r="B83" s="18">
        <f>VLOOKUP(A83,Database!A:M,MATCH($A$1,Database!$A$1:$M$1,),)</f>
        <v>163136</v>
      </c>
      <c r="C83" s="15">
        <f t="shared" si="2"/>
        <v>2.5318944962021582E-3</v>
      </c>
      <c r="D83" s="16">
        <f t="shared" si="1"/>
        <v>5.6778799126778995E-2</v>
      </c>
    </row>
    <row r="84" spans="1:4" x14ac:dyDescent="0.2">
      <c r="A84" s="14">
        <v>35947</v>
      </c>
      <c r="B84" s="18">
        <f>VLOOKUP(A84,Database!A:M,MATCH($A$1,Database!$A$1:$M$1,),)</f>
        <v>163774</v>
      </c>
      <c r="C84" s="15">
        <f t="shared" si="2"/>
        <v>3.9108473911337776E-3</v>
      </c>
      <c r="D84" s="16">
        <f t="shared" ref="D84:D147" si="3">(B84-B72)/B72</f>
        <v>5.2444204533040301E-2</v>
      </c>
    </row>
    <row r="85" spans="1:4" x14ac:dyDescent="0.2">
      <c r="A85" s="13">
        <v>35977</v>
      </c>
      <c r="B85" s="18">
        <f>VLOOKUP(A85,Database!A:M,MATCH($A$1,Database!$A$1:$M$1,),)</f>
        <v>165004</v>
      </c>
      <c r="C85" s="15">
        <f t="shared" si="2"/>
        <v>7.5103496281461041E-3</v>
      </c>
      <c r="D85" s="16">
        <f t="shared" si="3"/>
        <v>5.0632911392405063E-2</v>
      </c>
    </row>
    <row r="86" spans="1:4" x14ac:dyDescent="0.2">
      <c r="A86" s="14">
        <v>36008</v>
      </c>
      <c r="B86" s="18">
        <f>VLOOKUP(A86,Database!A:M,MATCH($A$1,Database!$A$1:$M$1,),)</f>
        <v>165531</v>
      </c>
      <c r="C86" s="15">
        <f t="shared" si="2"/>
        <v>3.1938619669826186E-3</v>
      </c>
      <c r="D86" s="16">
        <f t="shared" si="3"/>
        <v>5.3404947212340667E-2</v>
      </c>
    </row>
    <row r="87" spans="1:4" x14ac:dyDescent="0.2">
      <c r="A87" s="13">
        <v>36039</v>
      </c>
      <c r="B87" s="18">
        <f>VLOOKUP(A87,Database!A:M,MATCH($A$1,Database!$A$1:$M$1,),)</f>
        <v>165542</v>
      </c>
      <c r="C87" s="15">
        <f t="shared" si="2"/>
        <v>6.6452809443548342E-5</v>
      </c>
      <c r="D87" s="16">
        <f t="shared" si="3"/>
        <v>4.6270722596873995E-2</v>
      </c>
    </row>
    <row r="88" spans="1:4" x14ac:dyDescent="0.2">
      <c r="A88" s="14">
        <v>36069</v>
      </c>
      <c r="B88" s="18">
        <f>VLOOKUP(A88,Database!A:M,MATCH($A$1,Database!$A$1:$M$1,),)</f>
        <v>167307</v>
      </c>
      <c r="C88" s="15">
        <f t="shared" si="2"/>
        <v>1.0661946817121938E-2</v>
      </c>
      <c r="D88" s="16">
        <f t="shared" si="3"/>
        <v>5.7105308051481972E-2</v>
      </c>
    </row>
    <row r="89" spans="1:4" x14ac:dyDescent="0.2">
      <c r="A89" s="13">
        <v>36100</v>
      </c>
      <c r="B89" s="18">
        <f>VLOOKUP(A89,Database!A:M,MATCH($A$1,Database!$A$1:$M$1,),)</f>
        <v>168460</v>
      </c>
      <c r="C89" s="15">
        <f t="shared" si="2"/>
        <v>6.891522769519506E-3</v>
      </c>
      <c r="D89" s="16">
        <f t="shared" si="3"/>
        <v>6.2919590126697289E-2</v>
      </c>
    </row>
    <row r="90" spans="1:4" x14ac:dyDescent="0.2">
      <c r="A90" s="14">
        <v>36130</v>
      </c>
      <c r="B90" s="18">
        <f>VLOOKUP(A90,Database!A:M,MATCH($A$1,Database!$A$1:$M$1,),)</f>
        <v>169658</v>
      </c>
      <c r="C90" s="15">
        <f t="shared" si="2"/>
        <v>7.11148047014128E-3</v>
      </c>
      <c r="D90" s="16">
        <f t="shared" si="3"/>
        <v>6.782391963847384E-2</v>
      </c>
    </row>
    <row r="91" spans="1:4" x14ac:dyDescent="0.2">
      <c r="A91" s="13">
        <v>36161</v>
      </c>
      <c r="B91" s="18">
        <f>VLOOKUP(A91,Database!A:M,MATCH($A$1,Database!$A$1:$M$1,),)</f>
        <v>169939</v>
      </c>
      <c r="C91" s="15">
        <f t="shared" si="2"/>
        <v>1.6562732084546559E-3</v>
      </c>
      <c r="D91" s="16">
        <f t="shared" si="3"/>
        <v>6.2995721470212929E-2</v>
      </c>
    </row>
    <row r="92" spans="1:4" x14ac:dyDescent="0.2">
      <c r="A92" s="14">
        <v>36192</v>
      </c>
      <c r="B92" s="18">
        <f>VLOOKUP(A92,Database!A:M,MATCH($A$1,Database!$A$1:$M$1,),)</f>
        <v>171951</v>
      </c>
      <c r="C92" s="15">
        <f t="shared" si="2"/>
        <v>1.1839542424046275E-2</v>
      </c>
      <c r="D92" s="16">
        <f t="shared" si="3"/>
        <v>6.9420171777920134E-2</v>
      </c>
    </row>
    <row r="93" spans="1:4" x14ac:dyDescent="0.2">
      <c r="A93" s="13">
        <v>36220</v>
      </c>
      <c r="B93" s="18">
        <f>VLOOKUP(A93,Database!A:M,MATCH($A$1,Database!$A$1:$M$1,),)</f>
        <v>172497</v>
      </c>
      <c r="C93" s="15">
        <f t="shared" si="2"/>
        <v>3.1753232025402587E-3</v>
      </c>
      <c r="D93" s="16">
        <f t="shared" si="3"/>
        <v>6.9782008744457197E-2</v>
      </c>
    </row>
    <row r="94" spans="1:4" x14ac:dyDescent="0.2">
      <c r="A94" s="14">
        <v>36251</v>
      </c>
      <c r="B94" s="18">
        <f>VLOOKUP(A94,Database!A:M,MATCH($A$1,Database!$A$1:$M$1,),)</f>
        <v>173212</v>
      </c>
      <c r="C94" s="15">
        <f t="shared" si="2"/>
        <v>4.1449996231818524E-3</v>
      </c>
      <c r="D94" s="16">
        <f t="shared" si="3"/>
        <v>6.4452692903320966E-2</v>
      </c>
    </row>
    <row r="95" spans="1:4" x14ac:dyDescent="0.2">
      <c r="A95" s="13">
        <v>36281</v>
      </c>
      <c r="B95" s="18">
        <f>VLOOKUP(A95,Database!A:M,MATCH($A$1,Database!$A$1:$M$1,),)</f>
        <v>174338</v>
      </c>
      <c r="C95" s="15">
        <f t="shared" si="2"/>
        <v>6.5007043391912805E-3</v>
      </c>
      <c r="D95" s="16">
        <f t="shared" si="3"/>
        <v>6.8666633974107494E-2</v>
      </c>
    </row>
    <row r="96" spans="1:4" x14ac:dyDescent="0.2">
      <c r="A96" s="14">
        <v>36312</v>
      </c>
      <c r="B96" s="18">
        <f>VLOOKUP(A96,Database!A:M,MATCH($A$1,Database!$A$1:$M$1,),)</f>
        <v>174927</v>
      </c>
      <c r="C96" s="15">
        <f t="shared" si="2"/>
        <v>3.3784946483268134E-3</v>
      </c>
      <c r="D96" s="16">
        <f t="shared" si="3"/>
        <v>6.8099942603832106E-2</v>
      </c>
    </row>
    <row r="97" spans="1:4" x14ac:dyDescent="0.2">
      <c r="A97" s="13">
        <v>36342</v>
      </c>
      <c r="B97" s="18">
        <f>VLOOKUP(A97,Database!A:M,MATCH($A$1,Database!$A$1:$M$1,),)</f>
        <v>175243</v>
      </c>
      <c r="C97" s="15">
        <f t="shared" si="2"/>
        <v>1.8064678408707632E-3</v>
      </c>
      <c r="D97" s="16">
        <f t="shared" si="3"/>
        <v>6.2053041138396645E-2</v>
      </c>
    </row>
    <row r="98" spans="1:4" x14ac:dyDescent="0.2">
      <c r="A98" s="14">
        <v>36373</v>
      </c>
      <c r="B98" s="18">
        <f>VLOOKUP(A98,Database!A:M,MATCH($A$1,Database!$A$1:$M$1,),)</f>
        <v>176382</v>
      </c>
      <c r="C98" s="15">
        <f t="shared" si="2"/>
        <v>6.4995463442191698E-3</v>
      </c>
      <c r="D98" s="16">
        <f t="shared" si="3"/>
        <v>6.5552675933813004E-2</v>
      </c>
    </row>
    <row r="99" spans="1:4" x14ac:dyDescent="0.2">
      <c r="A99" s="13">
        <v>36404</v>
      </c>
      <c r="B99" s="18">
        <f>VLOOKUP(A99,Database!A:M,MATCH($A$1,Database!$A$1:$M$1,),)</f>
        <v>177828</v>
      </c>
      <c r="C99" s="15">
        <f t="shared" si="2"/>
        <v>8.1981154539578875E-3</v>
      </c>
      <c r="D99" s="16">
        <f t="shared" si="3"/>
        <v>7.4216815068079395E-2</v>
      </c>
    </row>
    <row r="100" spans="1:4" x14ac:dyDescent="0.2">
      <c r="A100" s="14">
        <v>36434</v>
      </c>
      <c r="B100" s="18">
        <f>VLOOKUP(A100,Database!A:M,MATCH($A$1,Database!$A$1:$M$1,),)</f>
        <v>178667</v>
      </c>
      <c r="C100" s="15">
        <f t="shared" si="2"/>
        <v>4.7180421530917515E-3</v>
      </c>
      <c r="D100" s="16">
        <f t="shared" si="3"/>
        <v>6.7899131536636237E-2</v>
      </c>
    </row>
    <row r="101" spans="1:4" x14ac:dyDescent="0.2">
      <c r="A101" s="13">
        <v>36465</v>
      </c>
      <c r="B101" s="18">
        <f>VLOOKUP(A101,Database!A:M,MATCH($A$1,Database!$A$1:$M$1,),)</f>
        <v>179704</v>
      </c>
      <c r="C101" s="15">
        <f t="shared" si="2"/>
        <v>5.8040936490790125E-3</v>
      </c>
      <c r="D101" s="16">
        <f t="shared" si="3"/>
        <v>6.6745815030274255E-2</v>
      </c>
    </row>
    <row r="102" spans="1:4" x14ac:dyDescent="0.2">
      <c r="A102" s="14">
        <v>36495</v>
      </c>
      <c r="B102" s="18">
        <f>VLOOKUP(A102,Database!A:M,MATCH($A$1,Database!$A$1:$M$1,),)</f>
        <v>183859</v>
      </c>
      <c r="C102" s="15">
        <f t="shared" si="2"/>
        <v>2.312135511730401E-2</v>
      </c>
      <c r="D102" s="16">
        <f t="shared" si="3"/>
        <v>8.3703686239375685E-2</v>
      </c>
    </row>
    <row r="103" spans="1:4" x14ac:dyDescent="0.2">
      <c r="A103" s="13">
        <v>36526</v>
      </c>
      <c r="B103" s="18">
        <f>VLOOKUP(A103,Database!A:M,MATCH($A$1,Database!$A$1:$M$1,),)</f>
        <v>181007</v>
      </c>
      <c r="C103" s="15">
        <f t="shared" si="2"/>
        <v>-1.5511886826317994E-2</v>
      </c>
      <c r="D103" s="16">
        <f t="shared" si="3"/>
        <v>6.5129252261105455E-2</v>
      </c>
    </row>
    <row r="104" spans="1:4" x14ac:dyDescent="0.2">
      <c r="A104" s="14">
        <v>36557</v>
      </c>
      <c r="B104" s="18">
        <f>VLOOKUP(A104,Database!A:M,MATCH($A$1,Database!$A$1:$M$1,),)</f>
        <v>182721</v>
      </c>
      <c r="C104" s="15">
        <f t="shared" si="2"/>
        <v>9.469247045694365E-3</v>
      </c>
      <c r="D104" s="16">
        <f t="shared" si="3"/>
        <v>6.2634122511645754E-2</v>
      </c>
    </row>
    <row r="105" spans="1:4" x14ac:dyDescent="0.2">
      <c r="A105" s="13">
        <v>36586</v>
      </c>
      <c r="B105" s="18">
        <f>VLOOKUP(A105,Database!A:M,MATCH($A$1,Database!$A$1:$M$1,),)</f>
        <v>185940</v>
      </c>
      <c r="C105" s="15">
        <f t="shared" si="2"/>
        <v>1.7617022673912686E-2</v>
      </c>
      <c r="D105" s="16">
        <f t="shared" si="3"/>
        <v>7.7931790118089012E-2</v>
      </c>
    </row>
    <row r="106" spans="1:4" x14ac:dyDescent="0.2">
      <c r="A106" s="14">
        <v>36617</v>
      </c>
      <c r="B106" s="18">
        <f>VLOOKUP(A106,Database!A:M,MATCH($A$1,Database!$A$1:$M$1,),)</f>
        <v>185327</v>
      </c>
      <c r="C106" s="15">
        <f t="shared" si="2"/>
        <v>-3.2967623964719802E-3</v>
      </c>
      <c r="D106" s="16">
        <f t="shared" si="3"/>
        <v>6.9943191002932822E-2</v>
      </c>
    </row>
    <row r="107" spans="1:4" x14ac:dyDescent="0.2">
      <c r="A107" s="13">
        <v>36647</v>
      </c>
      <c r="B107" s="18">
        <f>VLOOKUP(A107,Database!A:M,MATCH($A$1,Database!$A$1:$M$1,),)</f>
        <v>185371</v>
      </c>
      <c r="C107" s="15">
        <f t="shared" si="2"/>
        <v>2.374181851538092E-4</v>
      </c>
      <c r="D107" s="16">
        <f t="shared" si="3"/>
        <v>6.3285112826807696E-2</v>
      </c>
    </row>
    <row r="108" spans="1:4" x14ac:dyDescent="0.2">
      <c r="A108" s="14">
        <v>36678</v>
      </c>
      <c r="B108" s="18">
        <f>VLOOKUP(A108,Database!A:M,MATCH($A$1,Database!$A$1:$M$1,),)</f>
        <v>185899</v>
      </c>
      <c r="C108" s="15">
        <f t="shared" si="2"/>
        <v>2.8483419736636257E-3</v>
      </c>
      <c r="D108" s="16">
        <f t="shared" si="3"/>
        <v>6.2723307436816506E-2</v>
      </c>
    </row>
    <row r="109" spans="1:4" x14ac:dyDescent="0.2">
      <c r="A109" s="13">
        <v>36708</v>
      </c>
      <c r="B109" s="18">
        <f>VLOOKUP(A109,Database!A:M,MATCH($A$1,Database!$A$1:$M$1,),)</f>
        <v>186520</v>
      </c>
      <c r="C109" s="15">
        <f t="shared" si="2"/>
        <v>3.3405236176633547E-3</v>
      </c>
      <c r="D109" s="16">
        <f t="shared" si="3"/>
        <v>6.4350644533590504E-2</v>
      </c>
    </row>
    <row r="110" spans="1:4" x14ac:dyDescent="0.2">
      <c r="A110" s="14">
        <v>36739</v>
      </c>
      <c r="B110" s="18">
        <f>VLOOKUP(A110,Database!A:M,MATCH($A$1,Database!$A$1:$M$1,),)</f>
        <v>187033</v>
      </c>
      <c r="C110" s="15">
        <f t="shared" si="2"/>
        <v>2.7503752948745443E-3</v>
      </c>
      <c r="D110" s="16">
        <f t="shared" si="3"/>
        <v>6.0385980428841947E-2</v>
      </c>
    </row>
    <row r="111" spans="1:4" x14ac:dyDescent="0.2">
      <c r="A111" s="13">
        <v>36770</v>
      </c>
      <c r="B111" s="18">
        <f>VLOOKUP(A111,Database!A:M,MATCH($A$1,Database!$A$1:$M$1,),)</f>
        <v>189371</v>
      </c>
      <c r="C111" s="15">
        <f t="shared" si="2"/>
        <v>1.2500467831879936E-2</v>
      </c>
      <c r="D111" s="16">
        <f t="shared" si="3"/>
        <v>6.4911037631868992E-2</v>
      </c>
    </row>
    <row r="112" spans="1:4" x14ac:dyDescent="0.2">
      <c r="A112" s="14">
        <v>36800</v>
      </c>
      <c r="B112" s="18">
        <f>VLOOKUP(A112,Database!A:M,MATCH($A$1,Database!$A$1:$M$1,),)</f>
        <v>189307</v>
      </c>
      <c r="C112" s="15">
        <f t="shared" si="2"/>
        <v>-3.3796093382830526E-4</v>
      </c>
      <c r="D112" s="16">
        <f t="shared" si="3"/>
        <v>5.9552127701254287E-2</v>
      </c>
    </row>
    <row r="113" spans="1:4" x14ac:dyDescent="0.2">
      <c r="A113" s="13">
        <v>36831</v>
      </c>
      <c r="B113" s="18">
        <f>VLOOKUP(A113,Database!A:M,MATCH($A$1,Database!$A$1:$M$1,),)</f>
        <v>189478</v>
      </c>
      <c r="C113" s="15">
        <f t="shared" si="2"/>
        <v>9.0329464837539029E-4</v>
      </c>
      <c r="D113" s="16">
        <f t="shared" si="3"/>
        <v>5.4389440413123803E-2</v>
      </c>
    </row>
    <row r="114" spans="1:4" x14ac:dyDescent="0.2">
      <c r="A114" s="14">
        <v>36861</v>
      </c>
      <c r="B114" s="18">
        <f>VLOOKUP(A114,Database!A:M,MATCH($A$1,Database!$A$1:$M$1,),)</f>
        <v>190143</v>
      </c>
      <c r="C114" s="15">
        <f t="shared" si="2"/>
        <v>3.5096422803702803E-3</v>
      </c>
      <c r="D114" s="16">
        <f t="shared" si="3"/>
        <v>3.4178364942700656E-2</v>
      </c>
    </row>
    <row r="115" spans="1:4" x14ac:dyDescent="0.2">
      <c r="A115" s="13">
        <v>36892</v>
      </c>
      <c r="B115" s="18">
        <f>VLOOKUP(A115,Database!A:M,MATCH($A$1,Database!$A$1:$M$1,),)</f>
        <v>190977</v>
      </c>
      <c r="C115" s="15">
        <f t="shared" si="2"/>
        <v>4.3861725122670836E-3</v>
      </c>
      <c r="D115" s="16">
        <f t="shared" si="3"/>
        <v>5.5080742733706431E-2</v>
      </c>
    </row>
    <row r="116" spans="1:4" x14ac:dyDescent="0.2">
      <c r="A116" s="14">
        <v>36923</v>
      </c>
      <c r="B116" s="18">
        <f>VLOOKUP(A116,Database!A:M,MATCH($A$1,Database!$A$1:$M$1,),)</f>
        <v>190970</v>
      </c>
      <c r="C116" s="15">
        <f t="shared" si="2"/>
        <v>-3.665362844740466E-5</v>
      </c>
      <c r="D116" s="16">
        <f t="shared" si="3"/>
        <v>4.5145330859616577E-2</v>
      </c>
    </row>
    <row r="117" spans="1:4" x14ac:dyDescent="0.2">
      <c r="A117" s="13">
        <v>36951</v>
      </c>
      <c r="B117" s="18">
        <f>VLOOKUP(A117,Database!A:M,MATCH($A$1,Database!$A$1:$M$1,),)</f>
        <v>190127</v>
      </c>
      <c r="C117" s="15">
        <f t="shared" si="2"/>
        <v>-4.4143059119233384E-3</v>
      </c>
      <c r="D117" s="16">
        <f t="shared" si="3"/>
        <v>2.2518016564483167E-2</v>
      </c>
    </row>
    <row r="118" spans="1:4" x14ac:dyDescent="0.2">
      <c r="A118" s="14">
        <v>36982</v>
      </c>
      <c r="B118" s="18">
        <f>VLOOKUP(A118,Database!A:M,MATCH($A$1,Database!$A$1:$M$1,),)</f>
        <v>192257</v>
      </c>
      <c r="C118" s="15">
        <f t="shared" si="2"/>
        <v>1.1203037969357324E-2</v>
      </c>
      <c r="D118" s="16">
        <f t="shared" si="3"/>
        <v>3.7393364161724951E-2</v>
      </c>
    </row>
    <row r="119" spans="1:4" x14ac:dyDescent="0.2">
      <c r="A119" s="13">
        <v>37012</v>
      </c>
      <c r="B119" s="18">
        <f>VLOOKUP(A119,Database!A:M,MATCH($A$1,Database!$A$1:$M$1,),)</f>
        <v>191829</v>
      </c>
      <c r="C119" s="15">
        <f t="shared" si="2"/>
        <v>-2.2261868228465025E-3</v>
      </c>
      <c r="D119" s="16">
        <f t="shared" si="3"/>
        <v>3.4838243306666093E-2</v>
      </c>
    </row>
    <row r="120" spans="1:4" x14ac:dyDescent="0.2">
      <c r="A120" s="14">
        <v>37043</v>
      </c>
      <c r="B120" s="18">
        <f>VLOOKUP(A120,Database!A:M,MATCH($A$1,Database!$A$1:$M$1,),)</f>
        <v>191763</v>
      </c>
      <c r="C120" s="15">
        <f t="shared" si="2"/>
        <v>-3.4405642525374159E-4</v>
      </c>
      <c r="D120" s="16">
        <f t="shared" si="3"/>
        <v>3.1544010457291327E-2</v>
      </c>
    </row>
    <row r="121" spans="1:4" x14ac:dyDescent="0.2">
      <c r="A121" s="13">
        <v>37073</v>
      </c>
      <c r="B121" s="18">
        <f>VLOOKUP(A121,Database!A:M,MATCH($A$1,Database!$A$1:$M$1,),)</f>
        <v>192751</v>
      </c>
      <c r="C121" s="15">
        <f t="shared" si="2"/>
        <v>5.1521930716561587E-3</v>
      </c>
      <c r="D121" s="16">
        <f t="shared" si="3"/>
        <v>3.340660518979198E-2</v>
      </c>
    </row>
    <row r="122" spans="1:4" x14ac:dyDescent="0.2">
      <c r="A122" s="14">
        <v>37104</v>
      </c>
      <c r="B122" s="18">
        <f>VLOOKUP(A122,Database!A:M,MATCH($A$1,Database!$A$1:$M$1,),)</f>
        <v>194185</v>
      </c>
      <c r="C122" s="15">
        <f t="shared" si="2"/>
        <v>7.4396501185467262E-3</v>
      </c>
      <c r="D122" s="16">
        <f t="shared" si="3"/>
        <v>3.8239241203423993E-2</v>
      </c>
    </row>
    <row r="123" spans="1:4" x14ac:dyDescent="0.2">
      <c r="A123" s="13">
        <v>37135</v>
      </c>
      <c r="B123" s="18">
        <f>VLOOKUP(A123,Database!A:M,MATCH($A$1,Database!$A$1:$M$1,),)</f>
        <v>190819</v>
      </c>
      <c r="C123" s="15">
        <f t="shared" si="2"/>
        <v>-1.7333985632257898E-2</v>
      </c>
      <c r="D123" s="16">
        <f t="shared" si="3"/>
        <v>7.6463661278654074E-3</v>
      </c>
    </row>
    <row r="124" spans="1:4" x14ac:dyDescent="0.2">
      <c r="A124" s="14">
        <v>37165</v>
      </c>
      <c r="B124" s="18">
        <f>VLOOKUP(A124,Database!A:M,MATCH($A$1,Database!$A$1:$M$1,),)</f>
        <v>194052</v>
      </c>
      <c r="C124" s="15">
        <f t="shared" si="2"/>
        <v>1.6942757272598641E-2</v>
      </c>
      <c r="D124" s="16">
        <f t="shared" si="3"/>
        <v>2.5065105886206005E-2</v>
      </c>
    </row>
    <row r="125" spans="1:4" x14ac:dyDescent="0.2">
      <c r="A125" s="13">
        <v>37196</v>
      </c>
      <c r="B125" s="18">
        <f>VLOOKUP(A125,Database!A:M,MATCH($A$1,Database!$A$1:$M$1,),)</f>
        <v>195453</v>
      </c>
      <c r="C125" s="15">
        <f t="shared" si="2"/>
        <v>7.2197143033825989E-3</v>
      </c>
      <c r="D125" s="16">
        <f t="shared" si="3"/>
        <v>3.1534003947687857E-2</v>
      </c>
    </row>
    <row r="126" spans="1:4" x14ac:dyDescent="0.2">
      <c r="A126" s="14">
        <v>37226</v>
      </c>
      <c r="B126" s="18">
        <f>VLOOKUP(A126,Database!A:M,MATCH($A$1,Database!$A$1:$M$1,),)</f>
        <v>196535</v>
      </c>
      <c r="C126" s="15">
        <f t="shared" si="2"/>
        <v>5.5358577253866656E-3</v>
      </c>
      <c r="D126" s="16">
        <f t="shared" si="3"/>
        <v>3.3616804194737643E-2</v>
      </c>
    </row>
    <row r="127" spans="1:4" x14ac:dyDescent="0.2">
      <c r="A127" s="13">
        <v>37257</v>
      </c>
      <c r="B127" s="18">
        <f>VLOOKUP(A127,Database!A:M,MATCH($A$1,Database!$A$1:$M$1,),)</f>
        <v>196713</v>
      </c>
      <c r="C127" s="15">
        <f t="shared" si="2"/>
        <v>9.0569109827766045E-4</v>
      </c>
      <c r="D127" s="16">
        <f t="shared" si="3"/>
        <v>3.0035030396330448E-2</v>
      </c>
    </row>
    <row r="128" spans="1:4" x14ac:dyDescent="0.2">
      <c r="A128" s="14">
        <v>37288</v>
      </c>
      <c r="B128" s="18">
        <f>VLOOKUP(A128,Database!A:M,MATCH($A$1,Database!$A$1:$M$1,),)</f>
        <v>197818</v>
      </c>
      <c r="C128" s="15">
        <f t="shared" si="2"/>
        <v>5.6173206651314355E-3</v>
      </c>
      <c r="D128" s="16">
        <f t="shared" si="3"/>
        <v>3.5859035450594337E-2</v>
      </c>
    </row>
    <row r="129" spans="1:4" x14ac:dyDescent="0.2">
      <c r="A129" s="13">
        <v>37316</v>
      </c>
      <c r="B129" s="18">
        <f>VLOOKUP(A129,Database!A:M,MATCH($A$1,Database!$A$1:$M$1,),)</f>
        <v>197879</v>
      </c>
      <c r="C129" s="15">
        <f t="shared" si="2"/>
        <v>3.0836425401126286E-4</v>
      </c>
      <c r="D129" s="16">
        <f t="shared" si="3"/>
        <v>4.0772746637773701E-2</v>
      </c>
    </row>
    <row r="130" spans="1:4" x14ac:dyDescent="0.2">
      <c r="A130" s="14">
        <v>37347</v>
      </c>
      <c r="B130" s="18">
        <f>VLOOKUP(A130,Database!A:M,MATCH($A$1,Database!$A$1:$M$1,),)</f>
        <v>199726</v>
      </c>
      <c r="C130" s="15">
        <f t="shared" si="2"/>
        <v>9.3339869314075768E-3</v>
      </c>
      <c r="D130" s="16">
        <f t="shared" si="3"/>
        <v>3.8849040607104035E-2</v>
      </c>
    </row>
    <row r="131" spans="1:4" x14ac:dyDescent="0.2">
      <c r="A131" s="13">
        <v>37377</v>
      </c>
      <c r="B131" s="18">
        <f>VLOOKUP(A131,Database!A:M,MATCH($A$1,Database!$A$1:$M$1,),)</f>
        <v>198959</v>
      </c>
      <c r="C131" s="15">
        <f t="shared" si="2"/>
        <v>-3.8402611577861671E-3</v>
      </c>
      <c r="D131" s="16">
        <f t="shared" si="3"/>
        <v>3.716851987968451E-2</v>
      </c>
    </row>
    <row r="132" spans="1:4" x14ac:dyDescent="0.2">
      <c r="A132" s="14">
        <v>37408</v>
      </c>
      <c r="B132" s="18">
        <f>VLOOKUP(A132,Database!A:M,MATCH($A$1,Database!$A$1:$M$1,),)</f>
        <v>199285</v>
      </c>
      <c r="C132" s="15">
        <f t="shared" si="2"/>
        <v>1.6385285410561974E-3</v>
      </c>
      <c r="D132" s="16">
        <f t="shared" si="3"/>
        <v>3.9225502312750633E-2</v>
      </c>
    </row>
    <row r="133" spans="1:4" x14ac:dyDescent="0.2">
      <c r="A133" s="13">
        <v>37438</v>
      </c>
      <c r="B133" s="18">
        <f>VLOOKUP(A133,Database!A:M,MATCH($A$1,Database!$A$1:$M$1,),)</f>
        <v>199003</v>
      </c>
      <c r="C133" s="15">
        <f t="shared" si="2"/>
        <v>-1.4150588353363273E-3</v>
      </c>
      <c r="D133" s="16">
        <f t="shared" si="3"/>
        <v>3.2435629387136775E-2</v>
      </c>
    </row>
    <row r="134" spans="1:4" x14ac:dyDescent="0.2">
      <c r="A134" s="14">
        <v>37469</v>
      </c>
      <c r="B134" s="18">
        <f>VLOOKUP(A134,Database!A:M,MATCH($A$1,Database!$A$1:$M$1,),)</f>
        <v>199264</v>
      </c>
      <c r="C134" s="15">
        <f t="shared" si="2"/>
        <v>1.3115380170148189E-3</v>
      </c>
      <c r="D134" s="16">
        <f t="shared" si="3"/>
        <v>2.6155470298941729E-2</v>
      </c>
    </row>
    <row r="135" spans="1:4" x14ac:dyDescent="0.2">
      <c r="A135" s="13">
        <v>37500</v>
      </c>
      <c r="B135" s="18">
        <f>VLOOKUP(A135,Database!A:M,MATCH($A$1,Database!$A$1:$M$1,),)</f>
        <v>199072</v>
      </c>
      <c r="C135" s="15">
        <f t="shared" si="2"/>
        <v>-9.6354584872330171E-4</v>
      </c>
      <c r="D135" s="16">
        <f t="shared" si="3"/>
        <v>4.3250410074468476E-2</v>
      </c>
    </row>
    <row r="136" spans="1:4" x14ac:dyDescent="0.2">
      <c r="A136" s="14">
        <v>37530</v>
      </c>
      <c r="B136" s="18">
        <f>VLOOKUP(A136,Database!A:M,MATCH($A$1,Database!$A$1:$M$1,),)</f>
        <v>200364</v>
      </c>
      <c r="C136" s="15">
        <f t="shared" si="2"/>
        <v>6.4901141295611638E-3</v>
      </c>
      <c r="D136" s="16">
        <f t="shared" si="3"/>
        <v>3.2527363799393978E-2</v>
      </c>
    </row>
    <row r="137" spans="1:4" x14ac:dyDescent="0.2">
      <c r="A137" s="13">
        <v>37561</v>
      </c>
      <c r="B137" s="18">
        <f>VLOOKUP(A137,Database!A:M,MATCH($A$1,Database!$A$1:$M$1,),)</f>
        <v>201544</v>
      </c>
      <c r="C137" s="15">
        <f t="shared" ref="C137:C200" si="4">(B137-B136)/B136</f>
        <v>5.8892815076560662E-3</v>
      </c>
      <c r="D137" s="16">
        <f t="shared" si="3"/>
        <v>3.1163502223040835E-2</v>
      </c>
    </row>
    <row r="138" spans="1:4" x14ac:dyDescent="0.2">
      <c r="A138" s="14">
        <v>37591</v>
      </c>
      <c r="B138" s="18">
        <f>VLOOKUP(A138,Database!A:M,MATCH($A$1,Database!$A$1:$M$1,),)</f>
        <v>201689</v>
      </c>
      <c r="C138" s="15">
        <f t="shared" si="4"/>
        <v>7.1944587782320484E-4</v>
      </c>
      <c r="D138" s="16">
        <f t="shared" si="3"/>
        <v>2.6224336632152033E-2</v>
      </c>
    </row>
    <row r="139" spans="1:4" x14ac:dyDescent="0.2">
      <c r="A139" s="13">
        <v>37622</v>
      </c>
      <c r="B139" s="18">
        <f>VLOOKUP(A139,Database!A:M,MATCH($A$1,Database!$A$1:$M$1,),)</f>
        <v>202502</v>
      </c>
      <c r="C139" s="15">
        <f t="shared" si="4"/>
        <v>4.0309585550029996E-3</v>
      </c>
      <c r="D139" s="16">
        <f t="shared" si="3"/>
        <v>2.942866002755283E-2</v>
      </c>
    </row>
    <row r="140" spans="1:4" x14ac:dyDescent="0.2">
      <c r="A140" s="14">
        <v>37653</v>
      </c>
      <c r="B140" s="18">
        <f>VLOOKUP(A140,Database!A:M,MATCH($A$1,Database!$A$1:$M$1,),)</f>
        <v>200747</v>
      </c>
      <c r="C140" s="15">
        <f t="shared" si="4"/>
        <v>-8.6665810708042388E-3</v>
      </c>
      <c r="D140" s="16">
        <f t="shared" si="3"/>
        <v>1.4806539344245721E-2</v>
      </c>
    </row>
    <row r="141" spans="1:4" x14ac:dyDescent="0.2">
      <c r="A141" s="13">
        <v>37681</v>
      </c>
      <c r="B141" s="18">
        <f>VLOOKUP(A141,Database!A:M,MATCH($A$1,Database!$A$1:$M$1,),)</f>
        <v>203729</v>
      </c>
      <c r="C141" s="15">
        <f t="shared" si="4"/>
        <v>1.4854518373873582E-2</v>
      </c>
      <c r="D141" s="16">
        <f t="shared" si="3"/>
        <v>2.9563521141707811E-2</v>
      </c>
    </row>
    <row r="142" spans="1:4" x14ac:dyDescent="0.2">
      <c r="A142" s="14">
        <v>37712</v>
      </c>
      <c r="B142" s="18">
        <f>VLOOKUP(A142,Database!A:M,MATCH($A$1,Database!$A$1:$M$1,),)</f>
        <v>203439</v>
      </c>
      <c r="C142" s="15">
        <f t="shared" si="4"/>
        <v>-1.4234595958356445E-3</v>
      </c>
      <c r="D142" s="16">
        <f t="shared" si="3"/>
        <v>1.8590468942451158E-2</v>
      </c>
    </row>
    <row r="143" spans="1:4" x14ac:dyDescent="0.2">
      <c r="A143" s="13">
        <v>37742</v>
      </c>
      <c r="B143" s="18">
        <f>VLOOKUP(A143,Database!A:M,MATCH($A$1,Database!$A$1:$M$1,),)</f>
        <v>204940</v>
      </c>
      <c r="C143" s="15">
        <f t="shared" si="4"/>
        <v>7.3781330030131881E-3</v>
      </c>
      <c r="D143" s="16">
        <f t="shared" si="3"/>
        <v>3.0061469951095453E-2</v>
      </c>
    </row>
    <row r="144" spans="1:4" x14ac:dyDescent="0.2">
      <c r="A144" s="14">
        <v>37773</v>
      </c>
      <c r="B144" s="18">
        <f>VLOOKUP(A144,Database!A:M,MATCH($A$1,Database!$A$1:$M$1,),)</f>
        <v>207524</v>
      </c>
      <c r="C144" s="15">
        <f t="shared" si="4"/>
        <v>1.260856836147165E-2</v>
      </c>
      <c r="D144" s="16">
        <f t="shared" si="3"/>
        <v>4.1342800511829793E-2</v>
      </c>
    </row>
    <row r="145" spans="1:4" x14ac:dyDescent="0.2">
      <c r="A145" s="13">
        <v>37803</v>
      </c>
      <c r="B145" s="18">
        <f>VLOOKUP(A145,Database!A:M,MATCH($A$1,Database!$A$1:$M$1,),)</f>
        <v>209502</v>
      </c>
      <c r="C145" s="15">
        <f t="shared" si="4"/>
        <v>9.5314276902912429E-3</v>
      </c>
      <c r="D145" s="16">
        <f t="shared" si="3"/>
        <v>5.2757998623136335E-2</v>
      </c>
    </row>
    <row r="146" spans="1:4" x14ac:dyDescent="0.2">
      <c r="A146" s="14">
        <v>37834</v>
      </c>
      <c r="B146" s="18">
        <f>VLOOKUP(A146,Database!A:M,MATCH($A$1,Database!$A$1:$M$1,),)</f>
        <v>211817</v>
      </c>
      <c r="C146" s="15">
        <f t="shared" si="4"/>
        <v>1.1050013842349953E-2</v>
      </c>
      <c r="D146" s="16">
        <f t="shared" si="3"/>
        <v>6.2996828328247947E-2</v>
      </c>
    </row>
    <row r="147" spans="1:4" x14ac:dyDescent="0.2">
      <c r="A147" s="13">
        <v>37865</v>
      </c>
      <c r="B147" s="18">
        <f>VLOOKUP(A147,Database!A:M,MATCH($A$1,Database!$A$1:$M$1,),)</f>
        <v>211535</v>
      </c>
      <c r="C147" s="15">
        <f t="shared" si="4"/>
        <v>-1.3313379001685416E-3</v>
      </c>
      <c r="D147" s="16">
        <f t="shared" si="3"/>
        <v>6.2605489471146122E-2</v>
      </c>
    </row>
    <row r="148" spans="1:4" x14ac:dyDescent="0.2">
      <c r="A148" s="14">
        <v>37895</v>
      </c>
      <c r="B148" s="18">
        <f>VLOOKUP(A148,Database!A:M,MATCH($A$1,Database!$A$1:$M$1,),)</f>
        <v>212278</v>
      </c>
      <c r="C148" s="15">
        <f t="shared" si="4"/>
        <v>3.5124211123454749E-3</v>
      </c>
      <c r="D148" s="16">
        <f t="shared" ref="D148:D211" si="5">(B148-B136)/B136</f>
        <v>5.9461779561198622E-2</v>
      </c>
    </row>
    <row r="149" spans="1:4" x14ac:dyDescent="0.2">
      <c r="A149" s="13">
        <v>37926</v>
      </c>
      <c r="B149" s="18">
        <f>VLOOKUP(A149,Database!A:M,MATCH($A$1,Database!$A$1:$M$1,),)</f>
        <v>213317</v>
      </c>
      <c r="C149" s="15">
        <f t="shared" si="4"/>
        <v>4.8945251038732228E-3</v>
      </c>
      <c r="D149" s="16">
        <f t="shared" si="5"/>
        <v>5.8414043583535108E-2</v>
      </c>
    </row>
    <row r="150" spans="1:4" x14ac:dyDescent="0.2">
      <c r="A150" s="14">
        <v>37956</v>
      </c>
      <c r="B150" s="18">
        <f>VLOOKUP(A150,Database!A:M,MATCH($A$1,Database!$A$1:$M$1,),)</f>
        <v>213310</v>
      </c>
      <c r="C150" s="15">
        <f t="shared" si="4"/>
        <v>-3.2815012399386825E-5</v>
      </c>
      <c r="D150" s="16">
        <f t="shared" si="5"/>
        <v>5.7618412506383589E-2</v>
      </c>
    </row>
    <row r="151" spans="1:4" x14ac:dyDescent="0.2">
      <c r="A151" s="13">
        <v>37987</v>
      </c>
      <c r="B151" s="18">
        <f>VLOOKUP(A151,Database!A:M,MATCH($A$1,Database!$A$1:$M$1,),)</f>
        <v>215095</v>
      </c>
      <c r="C151" s="15">
        <f t="shared" si="4"/>
        <v>8.3681027612395112E-3</v>
      </c>
      <c r="D151" s="16">
        <f t="shared" si="5"/>
        <v>6.2187040127998736E-2</v>
      </c>
    </row>
    <row r="152" spans="1:4" x14ac:dyDescent="0.2">
      <c r="A152" s="14">
        <v>38018</v>
      </c>
      <c r="B152" s="18">
        <f>VLOOKUP(A152,Database!A:M,MATCH($A$1,Database!$A$1:$M$1,),)</f>
        <v>215044</v>
      </c>
      <c r="C152" s="15">
        <f t="shared" si="4"/>
        <v>-2.3710453520537438E-4</v>
      </c>
      <c r="D152" s="16">
        <f t="shared" si="5"/>
        <v>7.1218997046033072E-2</v>
      </c>
    </row>
    <row r="153" spans="1:4" x14ac:dyDescent="0.2">
      <c r="A153" s="13">
        <v>38047</v>
      </c>
      <c r="B153" s="18">
        <f>VLOOKUP(A153,Database!A:M,MATCH($A$1,Database!$A$1:$M$1,),)</f>
        <v>219096</v>
      </c>
      <c r="C153" s="15">
        <f t="shared" si="4"/>
        <v>1.8842655456557729E-2</v>
      </c>
      <c r="D153" s="16">
        <f t="shared" si="5"/>
        <v>7.5428633135194309E-2</v>
      </c>
    </row>
    <row r="154" spans="1:4" x14ac:dyDescent="0.2">
      <c r="A154" s="14">
        <v>38078</v>
      </c>
      <c r="B154" s="18">
        <f>VLOOKUP(A154,Database!A:M,MATCH($A$1,Database!$A$1:$M$1,),)</f>
        <v>218034</v>
      </c>
      <c r="C154" s="15">
        <f t="shared" si="4"/>
        <v>-4.8471902727571479E-3</v>
      </c>
      <c r="D154" s="16">
        <f t="shared" si="5"/>
        <v>7.1741406514975001E-2</v>
      </c>
    </row>
    <row r="155" spans="1:4" x14ac:dyDescent="0.2">
      <c r="A155" s="13">
        <v>38108</v>
      </c>
      <c r="B155" s="18">
        <f>VLOOKUP(A155,Database!A:M,MATCH($A$1,Database!$A$1:$M$1,),)</f>
        <v>219132</v>
      </c>
      <c r="C155" s="15">
        <f t="shared" si="4"/>
        <v>5.0359118302650049E-3</v>
      </c>
      <c r="D155" s="16">
        <f t="shared" si="5"/>
        <v>6.9249536449692589E-2</v>
      </c>
    </row>
    <row r="156" spans="1:4" x14ac:dyDescent="0.2">
      <c r="A156" s="14">
        <v>38139</v>
      </c>
      <c r="B156" s="18">
        <f>VLOOKUP(A156,Database!A:M,MATCH($A$1,Database!$A$1:$M$1,),)</f>
        <v>218917</v>
      </c>
      <c r="C156" s="15">
        <f t="shared" si="4"/>
        <v>-9.8114378548089741E-4</v>
      </c>
      <c r="D156" s="16">
        <f t="shared" si="5"/>
        <v>5.4899674254544055E-2</v>
      </c>
    </row>
    <row r="157" spans="1:4" x14ac:dyDescent="0.2">
      <c r="A157" s="13">
        <v>38169</v>
      </c>
      <c r="B157" s="18">
        <f>VLOOKUP(A157,Database!A:M,MATCH($A$1,Database!$A$1:$M$1,),)</f>
        <v>220566</v>
      </c>
      <c r="C157" s="15">
        <f t="shared" si="4"/>
        <v>7.5325351617279608E-3</v>
      </c>
      <c r="D157" s="16">
        <f t="shared" si="5"/>
        <v>5.281095168542544E-2</v>
      </c>
    </row>
    <row r="158" spans="1:4" x14ac:dyDescent="0.2">
      <c r="A158" s="14">
        <v>38200</v>
      </c>
      <c r="B158" s="18">
        <f>VLOOKUP(A158,Database!A:M,MATCH($A$1,Database!$A$1:$M$1,),)</f>
        <v>221060</v>
      </c>
      <c r="C158" s="15">
        <f t="shared" si="4"/>
        <v>2.2396924276633749E-3</v>
      </c>
      <c r="D158" s="16">
        <f t="shared" si="5"/>
        <v>4.3636724153396561E-2</v>
      </c>
    </row>
    <row r="159" spans="1:4" x14ac:dyDescent="0.2">
      <c r="A159" s="13">
        <v>38231</v>
      </c>
      <c r="B159" s="18">
        <f>VLOOKUP(A159,Database!A:M,MATCH($A$1,Database!$A$1:$M$1,),)</f>
        <v>222679</v>
      </c>
      <c r="C159" s="15">
        <f t="shared" si="4"/>
        <v>7.3238034922645436E-3</v>
      </c>
      <c r="D159" s="16">
        <f t="shared" si="5"/>
        <v>5.2681589335098214E-2</v>
      </c>
    </row>
    <row r="160" spans="1:4" x14ac:dyDescent="0.2">
      <c r="A160" s="14">
        <v>38261</v>
      </c>
      <c r="B160" s="18">
        <f>VLOOKUP(A160,Database!A:M,MATCH($A$1,Database!$A$1:$M$1,),)</f>
        <v>224226</v>
      </c>
      <c r="C160" s="15">
        <f t="shared" si="4"/>
        <v>6.9472199893119693E-3</v>
      </c>
      <c r="D160" s="16">
        <f t="shared" si="5"/>
        <v>5.6284683292663396E-2</v>
      </c>
    </row>
    <row r="161" spans="1:4" x14ac:dyDescent="0.2">
      <c r="A161" s="13">
        <v>38292</v>
      </c>
      <c r="B161" s="18">
        <f>VLOOKUP(A161,Database!A:M,MATCH($A$1,Database!$A$1:$M$1,),)</f>
        <v>225080</v>
      </c>
      <c r="C161" s="15">
        <f t="shared" si="4"/>
        <v>3.8086573367941273E-3</v>
      </c>
      <c r="D161" s="16">
        <f t="shared" si="5"/>
        <v>5.5143284407712469E-2</v>
      </c>
    </row>
    <row r="162" spans="1:4" x14ac:dyDescent="0.2">
      <c r="A162" s="14">
        <v>38322</v>
      </c>
      <c r="B162" s="18">
        <f>VLOOKUP(A162,Database!A:M,MATCH($A$1,Database!$A$1:$M$1,),)</f>
        <v>227441</v>
      </c>
      <c r="C162" s="15">
        <f t="shared" si="4"/>
        <v>1.0489603696463479E-2</v>
      </c>
      <c r="D162" s="16">
        <f t="shared" si="5"/>
        <v>6.6246308189958275E-2</v>
      </c>
    </row>
    <row r="163" spans="1:4" x14ac:dyDescent="0.2">
      <c r="A163" s="13">
        <v>38353</v>
      </c>
      <c r="B163" s="18">
        <f>VLOOKUP(A163,Database!A:M,MATCH($A$1,Database!$A$1:$M$1,),)</f>
        <v>228238</v>
      </c>
      <c r="C163" s="15">
        <f t="shared" si="4"/>
        <v>3.5042054862579747E-3</v>
      </c>
      <c r="D163" s="16">
        <f t="shared" si="5"/>
        <v>6.1103233454985008E-2</v>
      </c>
    </row>
    <row r="164" spans="1:4" x14ac:dyDescent="0.2">
      <c r="A164" s="14">
        <v>38384</v>
      </c>
      <c r="B164" s="18">
        <f>VLOOKUP(A164,Database!A:M,MATCH($A$1,Database!$A$1:$M$1,),)</f>
        <v>230238</v>
      </c>
      <c r="C164" s="15">
        <f t="shared" si="4"/>
        <v>8.762782709277158E-3</v>
      </c>
      <c r="D164" s="16">
        <f t="shared" si="5"/>
        <v>7.0655307750971896E-2</v>
      </c>
    </row>
    <row r="165" spans="1:4" x14ac:dyDescent="0.2">
      <c r="A165" s="13">
        <v>38412</v>
      </c>
      <c r="B165" s="18">
        <f>VLOOKUP(A165,Database!A:M,MATCH($A$1,Database!$A$1:$M$1,),)</f>
        <v>229936</v>
      </c>
      <c r="C165" s="15">
        <f t="shared" si="4"/>
        <v>-1.3116861682259228E-3</v>
      </c>
      <c r="D165" s="16">
        <f t="shared" si="5"/>
        <v>4.9476028772775404E-2</v>
      </c>
    </row>
    <row r="166" spans="1:4" x14ac:dyDescent="0.2">
      <c r="A166" s="14">
        <v>38443</v>
      </c>
      <c r="B166" s="18">
        <f>VLOOKUP(A166,Database!A:M,MATCH($A$1,Database!$A$1:$M$1,),)</f>
        <v>232925</v>
      </c>
      <c r="C166" s="15">
        <f t="shared" si="4"/>
        <v>1.2999269361909401E-2</v>
      </c>
      <c r="D166" s="16">
        <f t="shared" si="5"/>
        <v>6.8296687672564832E-2</v>
      </c>
    </row>
    <row r="167" spans="1:4" x14ac:dyDescent="0.2">
      <c r="A167" s="13">
        <v>38473</v>
      </c>
      <c r="B167" s="18">
        <f>VLOOKUP(A167,Database!A:M,MATCH($A$1,Database!$A$1:$M$1,),)</f>
        <v>232157</v>
      </c>
      <c r="C167" s="15">
        <f t="shared" si="4"/>
        <v>-3.2971986690994957E-3</v>
      </c>
      <c r="D167" s="16">
        <f t="shared" si="5"/>
        <v>5.9439059562272967E-2</v>
      </c>
    </row>
    <row r="168" spans="1:4" x14ac:dyDescent="0.2">
      <c r="A168" s="14">
        <v>38504</v>
      </c>
      <c r="B168" s="18">
        <f>VLOOKUP(A168,Database!A:M,MATCH($A$1,Database!$A$1:$M$1,),)</f>
        <v>234470</v>
      </c>
      <c r="C168" s="15">
        <f t="shared" si="4"/>
        <v>9.9630853258786088E-3</v>
      </c>
      <c r="D168" s="16">
        <f t="shared" si="5"/>
        <v>7.1045190643029096E-2</v>
      </c>
    </row>
    <row r="169" spans="1:4" x14ac:dyDescent="0.2">
      <c r="A169" s="13">
        <v>38534</v>
      </c>
      <c r="B169" s="18">
        <f>VLOOKUP(A169,Database!A:M,MATCH($A$1,Database!$A$1:$M$1,),)</f>
        <v>233995</v>
      </c>
      <c r="C169" s="15">
        <f t="shared" si="4"/>
        <v>-2.0258455239476267E-3</v>
      </c>
      <c r="D169" s="16">
        <f t="shared" si="5"/>
        <v>6.0884270467796486E-2</v>
      </c>
    </row>
    <row r="170" spans="1:4" x14ac:dyDescent="0.2">
      <c r="A170" s="14">
        <v>38565</v>
      </c>
      <c r="B170" s="18">
        <f>VLOOKUP(A170,Database!A:M,MATCH($A$1,Database!$A$1:$M$1,),)</f>
        <v>236121</v>
      </c>
      <c r="C170" s="15">
        <f t="shared" si="4"/>
        <v>9.0856642235945216E-3</v>
      </c>
      <c r="D170" s="16">
        <f t="shared" si="5"/>
        <v>6.8130824210621554E-2</v>
      </c>
    </row>
    <row r="171" spans="1:4" x14ac:dyDescent="0.2">
      <c r="A171" s="13">
        <v>38596</v>
      </c>
      <c r="B171" s="18">
        <f>VLOOKUP(A171,Database!A:M,MATCH($A$1,Database!$A$1:$M$1,),)</f>
        <v>237213</v>
      </c>
      <c r="C171" s="15">
        <f t="shared" si="4"/>
        <v>4.6247474811643187E-3</v>
      </c>
      <c r="D171" s="16">
        <f t="shared" si="5"/>
        <v>6.5268839899586401E-2</v>
      </c>
    </row>
    <row r="172" spans="1:4" x14ac:dyDescent="0.2">
      <c r="A172" s="14">
        <v>38626</v>
      </c>
      <c r="B172" s="18">
        <f>VLOOKUP(A172,Database!A:M,MATCH($A$1,Database!$A$1:$M$1,),)</f>
        <v>240333</v>
      </c>
      <c r="C172" s="15">
        <f t="shared" si="4"/>
        <v>1.3152736148524743E-2</v>
      </c>
      <c r="D172" s="16">
        <f t="shared" si="5"/>
        <v>7.1833774852158097E-2</v>
      </c>
    </row>
    <row r="173" spans="1:4" x14ac:dyDescent="0.2">
      <c r="A173" s="13">
        <v>38657</v>
      </c>
      <c r="B173" s="18">
        <f>VLOOKUP(A173,Database!A:M,MATCH($A$1,Database!$A$1:$M$1,),)</f>
        <v>240929</v>
      </c>
      <c r="C173" s="15">
        <f t="shared" si="4"/>
        <v>2.4798924825138453E-3</v>
      </c>
      <c r="D173" s="16">
        <f t="shared" si="5"/>
        <v>7.0414963568508973E-2</v>
      </c>
    </row>
    <row r="174" spans="1:4" x14ac:dyDescent="0.2">
      <c r="A174" s="14">
        <v>38687</v>
      </c>
      <c r="B174" s="18">
        <f>VLOOKUP(A174,Database!A:M,MATCH($A$1,Database!$A$1:$M$1,),)</f>
        <v>240919</v>
      </c>
      <c r="C174" s="15">
        <f t="shared" si="4"/>
        <v>-4.1506003843455954E-5</v>
      </c>
      <c r="D174" s="16">
        <f t="shared" si="5"/>
        <v>5.925932439621704E-2</v>
      </c>
    </row>
    <row r="175" spans="1:4" x14ac:dyDescent="0.2">
      <c r="A175" s="13">
        <v>38718</v>
      </c>
      <c r="B175" s="18">
        <f>VLOOKUP(A175,Database!A:M,MATCH($A$1,Database!$A$1:$M$1,),)</f>
        <v>246276</v>
      </c>
      <c r="C175" s="15">
        <f t="shared" si="4"/>
        <v>2.2235689173539654E-2</v>
      </c>
      <c r="D175" s="16">
        <f t="shared" si="5"/>
        <v>7.9031537254970682E-2</v>
      </c>
    </row>
    <row r="176" spans="1:4" x14ac:dyDescent="0.2">
      <c r="A176" s="14">
        <v>38749</v>
      </c>
      <c r="B176" s="18">
        <f>VLOOKUP(A176,Database!A:M,MATCH($A$1,Database!$A$1:$M$1,),)</f>
        <v>246424</v>
      </c>
      <c r="C176" s="15">
        <f t="shared" si="4"/>
        <v>6.0095177768032613E-4</v>
      </c>
      <c r="D176" s="16">
        <f t="shared" si="5"/>
        <v>7.0301166618890021E-2</v>
      </c>
    </row>
    <row r="177" spans="1:4" x14ac:dyDescent="0.2">
      <c r="A177" s="13">
        <v>38777</v>
      </c>
      <c r="B177" s="18">
        <f>VLOOKUP(A177,Database!A:M,MATCH($A$1,Database!$A$1:$M$1,),)</f>
        <v>246861</v>
      </c>
      <c r="C177" s="15">
        <f t="shared" si="4"/>
        <v>1.7733662305619582E-3</v>
      </c>
      <c r="D177" s="16">
        <f t="shared" si="5"/>
        <v>7.3607438591608093E-2</v>
      </c>
    </row>
    <row r="178" spans="1:4" x14ac:dyDescent="0.2">
      <c r="A178" s="14">
        <v>38808</v>
      </c>
      <c r="B178" s="18">
        <f>VLOOKUP(A178,Database!A:M,MATCH($A$1,Database!$A$1:$M$1,),)</f>
        <v>246879</v>
      </c>
      <c r="C178" s="15">
        <f t="shared" si="4"/>
        <v>7.2915527361551647E-5</v>
      </c>
      <c r="D178" s="16">
        <f t="shared" si="5"/>
        <v>5.9907695610174949E-2</v>
      </c>
    </row>
    <row r="179" spans="1:4" x14ac:dyDescent="0.2">
      <c r="A179" s="13">
        <v>38838</v>
      </c>
      <c r="B179" s="18">
        <f>VLOOKUP(A179,Database!A:M,MATCH($A$1,Database!$A$1:$M$1,),)</f>
        <v>246464</v>
      </c>
      <c r="C179" s="15">
        <f t="shared" si="4"/>
        <v>-1.6809854220083522E-3</v>
      </c>
      <c r="D179" s="16">
        <f t="shared" si="5"/>
        <v>6.1626399376284155E-2</v>
      </c>
    </row>
    <row r="180" spans="1:4" x14ac:dyDescent="0.2">
      <c r="A180" s="14">
        <v>38869</v>
      </c>
      <c r="B180" s="18">
        <f>VLOOKUP(A180,Database!A:M,MATCH($A$1,Database!$A$1:$M$1,),)</f>
        <v>246282</v>
      </c>
      <c r="C180" s="15">
        <f t="shared" si="4"/>
        <v>-7.3844455985458326E-4</v>
      </c>
      <c r="D180" s="16">
        <f t="shared" si="5"/>
        <v>5.0377447008146031E-2</v>
      </c>
    </row>
    <row r="181" spans="1:4" x14ac:dyDescent="0.2">
      <c r="A181" s="13">
        <v>38899</v>
      </c>
      <c r="B181" s="18">
        <f>VLOOKUP(A181,Database!A:M,MATCH($A$1,Database!$A$1:$M$1,),)</f>
        <v>246079</v>
      </c>
      <c r="C181" s="15">
        <f t="shared" si="4"/>
        <v>-8.2425837048586575E-4</v>
      </c>
      <c r="D181" s="16">
        <f t="shared" si="5"/>
        <v>5.1642129105322766E-2</v>
      </c>
    </row>
    <row r="182" spans="1:4" x14ac:dyDescent="0.2">
      <c r="A182" s="14">
        <v>38930</v>
      </c>
      <c r="B182" s="18">
        <f>VLOOKUP(A182,Database!A:M,MATCH($A$1,Database!$A$1:$M$1,),)</f>
        <v>247808</v>
      </c>
      <c r="C182" s="15">
        <f t="shared" si="4"/>
        <v>7.0261989036041273E-3</v>
      </c>
      <c r="D182" s="16">
        <f t="shared" si="5"/>
        <v>4.949580935198479E-2</v>
      </c>
    </row>
    <row r="183" spans="1:4" x14ac:dyDescent="0.2">
      <c r="A183" s="13">
        <v>38961</v>
      </c>
      <c r="B183" s="18">
        <f>VLOOKUP(A183,Database!A:M,MATCH($A$1,Database!$A$1:$M$1,),)</f>
        <v>249447</v>
      </c>
      <c r="C183" s="15">
        <f t="shared" si="4"/>
        <v>6.613991477272727E-3</v>
      </c>
      <c r="D183" s="16">
        <f t="shared" si="5"/>
        <v>5.1573901936234526E-2</v>
      </c>
    </row>
    <row r="184" spans="1:4" x14ac:dyDescent="0.2">
      <c r="A184" s="14">
        <v>38991</v>
      </c>
      <c r="B184" s="18">
        <f>VLOOKUP(A184,Database!A:M,MATCH($A$1,Database!$A$1:$M$1,),)</f>
        <v>250103</v>
      </c>
      <c r="C184" s="15">
        <f t="shared" si="4"/>
        <v>2.6298171555480723E-3</v>
      </c>
      <c r="D184" s="16">
        <f t="shared" si="5"/>
        <v>4.06519287821481E-2</v>
      </c>
    </row>
    <row r="185" spans="1:4" x14ac:dyDescent="0.2">
      <c r="A185" s="13">
        <v>39022</v>
      </c>
      <c r="B185" s="18">
        <f>VLOOKUP(A185,Database!A:M,MATCH($A$1,Database!$A$1:$M$1,),)</f>
        <v>249880</v>
      </c>
      <c r="C185" s="15">
        <f t="shared" si="4"/>
        <v>-8.9163264734929207E-4</v>
      </c>
      <c r="D185" s="16">
        <f t="shared" si="5"/>
        <v>3.7152024040277426E-2</v>
      </c>
    </row>
    <row r="186" spans="1:4" x14ac:dyDescent="0.2">
      <c r="A186" s="14">
        <v>39052</v>
      </c>
      <c r="B186" s="18">
        <f>VLOOKUP(A186,Database!A:M,MATCH($A$1,Database!$A$1:$M$1,),)</f>
        <v>253397</v>
      </c>
      <c r="C186" s="15">
        <f t="shared" si="4"/>
        <v>1.4074755882823755E-2</v>
      </c>
      <c r="D186" s="16">
        <f t="shared" si="5"/>
        <v>5.1793341330488671E-2</v>
      </c>
    </row>
    <row r="187" spans="1:4" x14ac:dyDescent="0.2">
      <c r="A187" s="13">
        <v>39083</v>
      </c>
      <c r="B187" s="18">
        <f>VLOOKUP(A187,Database!A:M,MATCH($A$1,Database!$A$1:$M$1,),)</f>
        <v>253973</v>
      </c>
      <c r="C187" s="15">
        <f t="shared" si="4"/>
        <v>2.273112941352897E-3</v>
      </c>
      <c r="D187" s="16">
        <f t="shared" si="5"/>
        <v>3.1253552924361286E-2</v>
      </c>
    </row>
    <row r="188" spans="1:4" x14ac:dyDescent="0.2">
      <c r="A188" s="14">
        <v>39114</v>
      </c>
      <c r="B188" s="18">
        <f>VLOOKUP(A188,Database!A:M,MATCH($A$1,Database!$A$1:$M$1,),)</f>
        <v>253233</v>
      </c>
      <c r="C188" s="15">
        <f t="shared" si="4"/>
        <v>-2.9136955503144034E-3</v>
      </c>
      <c r="D188" s="16">
        <f t="shared" si="5"/>
        <v>2.7631237217154173E-2</v>
      </c>
    </row>
    <row r="189" spans="1:4" x14ac:dyDescent="0.2">
      <c r="A189" s="13">
        <v>39142</v>
      </c>
      <c r="B189" s="18">
        <f>VLOOKUP(A189,Database!A:M,MATCH($A$1,Database!$A$1:$M$1,),)</f>
        <v>255687</v>
      </c>
      <c r="C189" s="15">
        <f t="shared" si="4"/>
        <v>9.6906801246283061E-3</v>
      </c>
      <c r="D189" s="16">
        <f t="shared" si="5"/>
        <v>3.5752913582947486E-2</v>
      </c>
    </row>
    <row r="190" spans="1:4" x14ac:dyDescent="0.2">
      <c r="A190" s="14">
        <v>39173</v>
      </c>
      <c r="B190" s="18">
        <f>VLOOKUP(A190,Database!A:M,MATCH($A$1,Database!$A$1:$M$1,),)</f>
        <v>253632</v>
      </c>
      <c r="C190" s="15">
        <f t="shared" si="4"/>
        <v>-8.037170446678947E-3</v>
      </c>
      <c r="D190" s="16">
        <f t="shared" si="5"/>
        <v>2.7353480854993742E-2</v>
      </c>
    </row>
    <row r="191" spans="1:4" x14ac:dyDescent="0.2">
      <c r="A191" s="13">
        <v>39203</v>
      </c>
      <c r="B191" s="18">
        <f>VLOOKUP(A191,Database!A:M,MATCH($A$1,Database!$A$1:$M$1,),)</f>
        <v>255752</v>
      </c>
      <c r="C191" s="15">
        <f t="shared" si="4"/>
        <v>8.3585667423668932E-3</v>
      </c>
      <c r="D191" s="16">
        <f t="shared" si="5"/>
        <v>3.7685016878732797E-2</v>
      </c>
    </row>
    <row r="192" spans="1:4" x14ac:dyDescent="0.2">
      <c r="A192" s="14">
        <v>39234</v>
      </c>
      <c r="B192" s="18">
        <f>VLOOKUP(A192,Database!A:M,MATCH($A$1,Database!$A$1:$M$1,),)</f>
        <v>256050</v>
      </c>
      <c r="C192" s="15">
        <f t="shared" si="4"/>
        <v>1.1651912790515812E-3</v>
      </c>
      <c r="D192" s="16">
        <f t="shared" si="5"/>
        <v>3.9661851048797721E-2</v>
      </c>
    </row>
    <row r="193" spans="1:4" x14ac:dyDescent="0.2">
      <c r="A193" s="13">
        <v>39264</v>
      </c>
      <c r="B193" s="18">
        <f>VLOOKUP(A193,Database!A:M,MATCH($A$1,Database!$A$1:$M$1,),)</f>
        <v>257719</v>
      </c>
      <c r="C193" s="15">
        <f t="shared" si="4"/>
        <v>6.5182581527045503E-3</v>
      </c>
      <c r="D193" s="16">
        <f t="shared" si="5"/>
        <v>4.7301882728717201E-2</v>
      </c>
    </row>
    <row r="194" spans="1:4" x14ac:dyDescent="0.2">
      <c r="A194" s="14">
        <v>39295</v>
      </c>
      <c r="B194" s="18">
        <f>VLOOKUP(A194,Database!A:M,MATCH($A$1,Database!$A$1:$M$1,),)</f>
        <v>257586</v>
      </c>
      <c r="C194" s="15">
        <f t="shared" si="4"/>
        <v>-5.1606594779585516E-4</v>
      </c>
      <c r="D194" s="16">
        <f t="shared" si="5"/>
        <v>3.9457967458677683E-2</v>
      </c>
    </row>
    <row r="195" spans="1:4" x14ac:dyDescent="0.2">
      <c r="A195" s="13">
        <v>39326</v>
      </c>
      <c r="B195" s="18">
        <f>VLOOKUP(A195,Database!A:M,MATCH($A$1,Database!$A$1:$M$1,),)</f>
        <v>257483</v>
      </c>
      <c r="C195" s="15">
        <f t="shared" si="4"/>
        <v>-3.9986645236930578E-4</v>
      </c>
      <c r="D195" s="16">
        <f t="shared" si="5"/>
        <v>3.2215260155463887E-2</v>
      </c>
    </row>
    <row r="196" spans="1:4" x14ac:dyDescent="0.2">
      <c r="A196" s="14">
        <v>39356</v>
      </c>
      <c r="B196" s="18">
        <f>VLOOKUP(A196,Database!A:M,MATCH($A$1,Database!$A$1:$M$1,),)</f>
        <v>258365</v>
      </c>
      <c r="C196" s="15">
        <f t="shared" si="4"/>
        <v>3.4254688659057101E-3</v>
      </c>
      <c r="D196" s="16">
        <f t="shared" si="5"/>
        <v>3.3034389831389468E-2</v>
      </c>
    </row>
    <row r="197" spans="1:4" x14ac:dyDescent="0.2">
      <c r="A197" s="13">
        <v>39387</v>
      </c>
      <c r="B197" s="18">
        <f>VLOOKUP(A197,Database!A:M,MATCH($A$1,Database!$A$1:$M$1,),)</f>
        <v>260954</v>
      </c>
      <c r="C197" s="15">
        <f t="shared" si="4"/>
        <v>1.0020707139124882E-2</v>
      </c>
      <c r="D197" s="16">
        <f t="shared" si="5"/>
        <v>4.4317272290699539E-2</v>
      </c>
    </row>
    <row r="198" spans="1:4" x14ac:dyDescent="0.2">
      <c r="A198" s="14">
        <v>39417</v>
      </c>
      <c r="B198" s="18">
        <f>VLOOKUP(A198,Database!A:M,MATCH($A$1,Database!$A$1:$M$1,),)</f>
        <v>259360</v>
      </c>
      <c r="C198" s="15">
        <f t="shared" si="4"/>
        <v>-6.1083562620231919E-3</v>
      </c>
      <c r="D198" s="16">
        <f t="shared" si="5"/>
        <v>2.3532243870290494E-2</v>
      </c>
    </row>
    <row r="199" spans="1:4" x14ac:dyDescent="0.2">
      <c r="A199" s="13">
        <v>39448</v>
      </c>
      <c r="B199" s="18">
        <f>VLOOKUP(A199,Database!A:M,MATCH($A$1,Database!$A$1:$M$1,),)</f>
        <v>258979</v>
      </c>
      <c r="C199" s="15">
        <f t="shared" si="4"/>
        <v>-1.4690006169031462E-3</v>
      </c>
      <c r="D199" s="16">
        <f t="shared" si="5"/>
        <v>1.9710756655235005E-2</v>
      </c>
    </row>
    <row r="200" spans="1:4" x14ac:dyDescent="0.2">
      <c r="A200" s="14">
        <v>39479</v>
      </c>
      <c r="B200" s="18">
        <f>VLOOKUP(A200,Database!A:M,MATCH($A$1,Database!$A$1:$M$1,),)</f>
        <v>257123</v>
      </c>
      <c r="C200" s="15">
        <f t="shared" si="4"/>
        <v>-7.1666042420427912E-3</v>
      </c>
      <c r="D200" s="16">
        <f t="shared" si="5"/>
        <v>1.5361347059822377E-2</v>
      </c>
    </row>
    <row r="201" spans="1:4" x14ac:dyDescent="0.2">
      <c r="A201" s="13">
        <v>39508</v>
      </c>
      <c r="B201" s="18">
        <f>VLOOKUP(A201,Database!A:M,MATCH($A$1,Database!$A$1:$M$1,),)</f>
        <v>257927</v>
      </c>
      <c r="C201" s="15">
        <f t="shared" ref="C201:C264" si="6">(B201-B200)/B200</f>
        <v>3.1269081334614171E-3</v>
      </c>
      <c r="D201" s="16">
        <f t="shared" si="5"/>
        <v>8.7607113384724298E-3</v>
      </c>
    </row>
    <row r="202" spans="1:4" x14ac:dyDescent="0.2">
      <c r="A202" s="14">
        <v>39539</v>
      </c>
      <c r="B202" s="18">
        <f>VLOOKUP(A202,Database!A:M,MATCH($A$1,Database!$A$1:$M$1,),)</f>
        <v>259587</v>
      </c>
      <c r="C202" s="15">
        <f t="shared" si="6"/>
        <v>6.4359295459568014E-3</v>
      </c>
      <c r="D202" s="16">
        <f t="shared" si="5"/>
        <v>2.3478898561695685E-2</v>
      </c>
    </row>
    <row r="203" spans="1:4" x14ac:dyDescent="0.2">
      <c r="A203" s="13">
        <v>39569</v>
      </c>
      <c r="B203" s="18">
        <f>VLOOKUP(A203,Database!A:M,MATCH($A$1,Database!$A$1:$M$1,),)</f>
        <v>262549</v>
      </c>
      <c r="C203" s="15">
        <f t="shared" si="6"/>
        <v>1.1410432725829875E-2</v>
      </c>
      <c r="D203" s="16">
        <f t="shared" si="5"/>
        <v>2.6576527260783883E-2</v>
      </c>
    </row>
    <row r="204" spans="1:4" x14ac:dyDescent="0.2">
      <c r="A204" s="14">
        <v>39600</v>
      </c>
      <c r="B204" s="18">
        <f>VLOOKUP(A204,Database!A:M,MATCH($A$1,Database!$A$1:$M$1,),)</f>
        <v>262747</v>
      </c>
      <c r="C204" s="15">
        <f t="shared" si="6"/>
        <v>7.5414494056347573E-4</v>
      </c>
      <c r="D204" s="16">
        <f t="shared" si="5"/>
        <v>2.6155047842218317E-2</v>
      </c>
    </row>
    <row r="205" spans="1:4" x14ac:dyDescent="0.2">
      <c r="A205" s="13">
        <v>39630</v>
      </c>
      <c r="B205" s="18">
        <f>VLOOKUP(A205,Database!A:M,MATCH($A$1,Database!$A$1:$M$1,),)</f>
        <v>263828</v>
      </c>
      <c r="C205" s="15">
        <f t="shared" si="6"/>
        <v>4.1142239492743971E-3</v>
      </c>
      <c r="D205" s="16">
        <f t="shared" si="5"/>
        <v>2.3704111842743455E-2</v>
      </c>
    </row>
    <row r="206" spans="1:4" x14ac:dyDescent="0.2">
      <c r="A206" s="14">
        <v>39661</v>
      </c>
      <c r="B206" s="18">
        <f>VLOOKUP(A206,Database!A:M,MATCH($A$1,Database!$A$1:$M$1,),)</f>
        <v>261654</v>
      </c>
      <c r="C206" s="15">
        <f t="shared" si="6"/>
        <v>-8.2402171111481716E-3</v>
      </c>
      <c r="D206" s="16">
        <f t="shared" si="5"/>
        <v>1.5792783769304233E-2</v>
      </c>
    </row>
    <row r="207" spans="1:4" x14ac:dyDescent="0.2">
      <c r="A207" s="13">
        <v>39692</v>
      </c>
      <c r="B207" s="18">
        <f>VLOOKUP(A207,Database!A:M,MATCH($A$1,Database!$A$1:$M$1,),)</f>
        <v>258403</v>
      </c>
      <c r="C207" s="15">
        <f t="shared" si="6"/>
        <v>-1.2424805277198131E-2</v>
      </c>
      <c r="D207" s="16">
        <f t="shared" si="5"/>
        <v>3.5730514247542555E-3</v>
      </c>
    </row>
    <row r="208" spans="1:4" x14ac:dyDescent="0.2">
      <c r="A208" s="14">
        <v>39722</v>
      </c>
      <c r="B208" s="18">
        <f>VLOOKUP(A208,Database!A:M,MATCH($A$1,Database!$A$1:$M$1,),)</f>
        <v>255767</v>
      </c>
      <c r="C208" s="15">
        <f t="shared" si="6"/>
        <v>-1.0201119956037662E-2</v>
      </c>
      <c r="D208" s="16">
        <f t="shared" si="5"/>
        <v>-1.0055541578774215E-2</v>
      </c>
    </row>
    <row r="209" spans="1:4" x14ac:dyDescent="0.2">
      <c r="A209" s="13">
        <v>39753</v>
      </c>
      <c r="B209" s="18">
        <f>VLOOKUP(A209,Database!A:M,MATCH($A$1,Database!$A$1:$M$1,),)</f>
        <v>252590</v>
      </c>
      <c r="C209" s="15">
        <f t="shared" si="6"/>
        <v>-1.2421461721019522E-2</v>
      </c>
      <c r="D209" s="16">
        <f t="shared" si="5"/>
        <v>-3.2051625957065233E-2</v>
      </c>
    </row>
    <row r="210" spans="1:4" x14ac:dyDescent="0.2">
      <c r="A210" s="14">
        <v>39783</v>
      </c>
      <c r="B210" s="18">
        <f>VLOOKUP(A210,Database!A:M,MATCH($A$1,Database!$A$1:$M$1,),)</f>
        <v>249969</v>
      </c>
      <c r="C210" s="15">
        <f t="shared" si="6"/>
        <v>-1.0376499465537037E-2</v>
      </c>
      <c r="D210" s="16">
        <f t="shared" si="5"/>
        <v>-3.6208359037631095E-2</v>
      </c>
    </row>
    <row r="211" spans="1:4" x14ac:dyDescent="0.2">
      <c r="A211" s="13">
        <v>39814</v>
      </c>
      <c r="B211" s="18">
        <f>VLOOKUP(A211,Database!A:M,MATCH($A$1,Database!$A$1:$M$1,),)</f>
        <v>252321</v>
      </c>
      <c r="C211" s="15">
        <f t="shared" si="6"/>
        <v>9.4091667366753475E-3</v>
      </c>
      <c r="D211" s="16">
        <f t="shared" si="5"/>
        <v>-2.5708648191552212E-2</v>
      </c>
    </row>
    <row r="212" spans="1:4" x14ac:dyDescent="0.2">
      <c r="A212" s="14">
        <v>39845</v>
      </c>
      <c r="B212" s="18">
        <f>VLOOKUP(A212,Database!A:M,MATCH($A$1,Database!$A$1:$M$1,),)</f>
        <v>251528</v>
      </c>
      <c r="C212" s="15">
        <f t="shared" si="6"/>
        <v>-3.1428220401789782E-3</v>
      </c>
      <c r="D212" s="16">
        <f t="shared" ref="D212:D275" si="7">(B212-B200)/B200</f>
        <v>-2.1760013689946057E-2</v>
      </c>
    </row>
    <row r="213" spans="1:4" x14ac:dyDescent="0.2">
      <c r="A213" s="13">
        <v>39873</v>
      </c>
      <c r="B213" s="18">
        <f>VLOOKUP(A213,Database!A:M,MATCH($A$1,Database!$A$1:$M$1,),)</f>
        <v>247822</v>
      </c>
      <c r="C213" s="15">
        <f t="shared" si="6"/>
        <v>-1.4733946121306574E-2</v>
      </c>
      <c r="D213" s="16">
        <f t="shared" si="7"/>
        <v>-3.9177751844514143E-2</v>
      </c>
    </row>
    <row r="214" spans="1:4" x14ac:dyDescent="0.2">
      <c r="A214" s="14">
        <v>39904</v>
      </c>
      <c r="B214" s="18">
        <f>VLOOKUP(A214,Database!A:M,MATCH($A$1,Database!$A$1:$M$1,),)</f>
        <v>249048</v>
      </c>
      <c r="C214" s="15">
        <f t="shared" si="6"/>
        <v>4.9470991275996478E-3</v>
      </c>
      <c r="D214" s="16">
        <f t="shared" si="7"/>
        <v>-4.0599105502201575E-2</v>
      </c>
    </row>
    <row r="215" spans="1:4" x14ac:dyDescent="0.2">
      <c r="A215" s="13">
        <v>39934</v>
      </c>
      <c r="B215" s="18">
        <f>VLOOKUP(A215,Database!A:M,MATCH($A$1,Database!$A$1:$M$1,),)</f>
        <v>249679</v>
      </c>
      <c r="C215" s="15">
        <f t="shared" si="6"/>
        <v>2.5336481320869871E-3</v>
      </c>
      <c r="D215" s="16">
        <f t="shared" si="7"/>
        <v>-4.9019421136625926E-2</v>
      </c>
    </row>
    <row r="216" spans="1:4" x14ac:dyDescent="0.2">
      <c r="A216" s="14">
        <v>39965</v>
      </c>
      <c r="B216" s="18">
        <f>VLOOKUP(A216,Database!A:M,MATCH($A$1,Database!$A$1:$M$1,),)</f>
        <v>249897</v>
      </c>
      <c r="C216" s="15">
        <f t="shared" si="6"/>
        <v>8.7312108747631962E-4</v>
      </c>
      <c r="D216" s="16">
        <f t="shared" si="7"/>
        <v>-4.890636239424237E-2</v>
      </c>
    </row>
    <row r="217" spans="1:4" x14ac:dyDescent="0.2">
      <c r="A217" s="13">
        <v>39995</v>
      </c>
      <c r="B217" s="18">
        <f>VLOOKUP(A217,Database!A:M,MATCH($A$1,Database!$A$1:$M$1,),)</f>
        <v>249703</v>
      </c>
      <c r="C217" s="15">
        <f t="shared" si="6"/>
        <v>-7.7631984377563555E-4</v>
      </c>
      <c r="D217" s="16">
        <f t="shared" si="7"/>
        <v>-5.3538669132919936E-2</v>
      </c>
    </row>
    <row r="218" spans="1:4" x14ac:dyDescent="0.2">
      <c r="A218" s="14">
        <v>40026</v>
      </c>
      <c r="B218" s="18">
        <f>VLOOKUP(A218,Database!A:M,MATCH($A$1,Database!$A$1:$M$1,),)</f>
        <v>249747</v>
      </c>
      <c r="C218" s="15">
        <f t="shared" si="6"/>
        <v>1.7620933669199008E-4</v>
      </c>
      <c r="D218" s="16">
        <f t="shared" si="7"/>
        <v>-4.5506661468962831E-2</v>
      </c>
    </row>
    <row r="219" spans="1:4" x14ac:dyDescent="0.2">
      <c r="A219" s="13">
        <v>40057</v>
      </c>
      <c r="B219" s="18">
        <f>VLOOKUP(A219,Database!A:M,MATCH($A$1,Database!$A$1:$M$1,),)</f>
        <v>250173</v>
      </c>
      <c r="C219" s="15">
        <f t="shared" si="6"/>
        <v>1.7057261949092481E-3</v>
      </c>
      <c r="D219" s="16">
        <f t="shared" si="7"/>
        <v>-3.1849475431786782E-2</v>
      </c>
    </row>
    <row r="220" spans="1:4" x14ac:dyDescent="0.2">
      <c r="A220" s="14">
        <v>40087</v>
      </c>
      <c r="B220" s="18">
        <f>VLOOKUP(A220,Database!A:M,MATCH($A$1,Database!$A$1:$M$1,),)</f>
        <v>250300</v>
      </c>
      <c r="C220" s="15">
        <f t="shared" si="6"/>
        <v>5.076487070946905E-4</v>
      </c>
      <c r="D220" s="16">
        <f t="shared" si="7"/>
        <v>-2.1374923270007468E-2</v>
      </c>
    </row>
    <row r="221" spans="1:4" x14ac:dyDescent="0.2">
      <c r="A221" s="13">
        <v>40118</v>
      </c>
      <c r="B221" s="18">
        <f>VLOOKUP(A221,Database!A:M,MATCH($A$1,Database!$A$1:$M$1,),)</f>
        <v>250447</v>
      </c>
      <c r="C221" s="15">
        <f t="shared" si="6"/>
        <v>5.8729524570515386E-4</v>
      </c>
      <c r="D221" s="16">
        <f t="shared" si="7"/>
        <v>-8.4841046755611861E-3</v>
      </c>
    </row>
    <row r="222" spans="1:4" x14ac:dyDescent="0.2">
      <c r="A222" s="14">
        <v>40148</v>
      </c>
      <c r="B222" s="18">
        <f>VLOOKUP(A222,Database!A:M,MATCH($A$1,Database!$A$1:$M$1,),)</f>
        <v>251811</v>
      </c>
      <c r="C222" s="15">
        <f t="shared" si="6"/>
        <v>5.4462620833948903E-3</v>
      </c>
      <c r="D222" s="16">
        <f t="shared" si="7"/>
        <v>7.3689137453044175E-3</v>
      </c>
    </row>
    <row r="223" spans="1:4" x14ac:dyDescent="0.2">
      <c r="A223" s="13">
        <v>40179</v>
      </c>
      <c r="B223" s="18">
        <f>VLOOKUP(A223,Database!A:M,MATCH($A$1,Database!$A$1:$M$1,),)</f>
        <v>251861</v>
      </c>
      <c r="C223" s="15">
        <f t="shared" si="6"/>
        <v>1.9856161962741897E-4</v>
      </c>
      <c r="D223" s="16">
        <f t="shared" si="7"/>
        <v>-1.8230745756397605E-3</v>
      </c>
    </row>
    <row r="224" spans="1:4" x14ac:dyDescent="0.2">
      <c r="A224" s="14">
        <v>40210</v>
      </c>
      <c r="B224" s="18">
        <f>VLOOKUP(A224,Database!A:M,MATCH($A$1,Database!$A$1:$M$1,),)</f>
        <v>254089</v>
      </c>
      <c r="C224" s="15">
        <f t="shared" si="6"/>
        <v>8.8461492648722901E-3</v>
      </c>
      <c r="D224" s="16">
        <f t="shared" si="7"/>
        <v>1.0181769027702681E-2</v>
      </c>
    </row>
    <row r="225" spans="1:4" x14ac:dyDescent="0.2">
      <c r="A225" s="13">
        <v>40238</v>
      </c>
      <c r="B225" s="18">
        <f>VLOOKUP(A225,Database!A:M,MATCH($A$1,Database!$A$1:$M$1,),)</f>
        <v>256322</v>
      </c>
      <c r="C225" s="15">
        <f t="shared" si="6"/>
        <v>8.7882592320013848E-3</v>
      </c>
      <c r="D225" s="16">
        <f t="shared" si="7"/>
        <v>3.4298811243553842E-2</v>
      </c>
    </row>
    <row r="226" spans="1:4" x14ac:dyDescent="0.2">
      <c r="A226" s="14">
        <v>40269</v>
      </c>
      <c r="B226" s="18">
        <f>VLOOKUP(A226,Database!A:M,MATCH($A$1,Database!$A$1:$M$1,),)</f>
        <v>258318</v>
      </c>
      <c r="C226" s="15">
        <f t="shared" si="6"/>
        <v>7.7870803130437498E-3</v>
      </c>
      <c r="D226" s="16">
        <f t="shared" si="7"/>
        <v>3.7221740387395202E-2</v>
      </c>
    </row>
    <row r="227" spans="1:4" x14ac:dyDescent="0.2">
      <c r="A227" s="13">
        <v>40299</v>
      </c>
      <c r="B227" s="18">
        <f>VLOOKUP(A227,Database!A:M,MATCH($A$1,Database!$A$1:$M$1,),)</f>
        <v>256070</v>
      </c>
      <c r="C227" s="15">
        <f t="shared" si="6"/>
        <v>-8.7024520165067867E-3</v>
      </c>
      <c r="D227" s="16">
        <f t="shared" si="7"/>
        <v>2.5596866376427333E-2</v>
      </c>
    </row>
    <row r="228" spans="1:4" x14ac:dyDescent="0.2">
      <c r="A228" s="14">
        <v>40330</v>
      </c>
      <c r="B228" s="18">
        <f>VLOOKUP(A228,Database!A:M,MATCH($A$1,Database!$A$1:$M$1,),)</f>
        <v>256754</v>
      </c>
      <c r="C228" s="15">
        <f t="shared" si="6"/>
        <v>2.6711446088960051E-3</v>
      </c>
      <c r="D228" s="16">
        <f t="shared" si="7"/>
        <v>2.7439304993657387E-2</v>
      </c>
    </row>
    <row r="229" spans="1:4" x14ac:dyDescent="0.2">
      <c r="A229" s="13">
        <v>40360</v>
      </c>
      <c r="B229" s="18">
        <f>VLOOKUP(A229,Database!A:M,MATCH($A$1,Database!$A$1:$M$1,),)</f>
        <v>256281</v>
      </c>
      <c r="C229" s="15">
        <f t="shared" si="6"/>
        <v>-1.842230306051707E-3</v>
      </c>
      <c r="D229" s="16">
        <f t="shared" si="7"/>
        <v>2.6343295835452519E-2</v>
      </c>
    </row>
    <row r="230" spans="1:4" x14ac:dyDescent="0.2">
      <c r="A230" s="14">
        <v>40391</v>
      </c>
      <c r="B230" s="18">
        <f>VLOOKUP(A230,Database!A:M,MATCH($A$1,Database!$A$1:$M$1,),)</f>
        <v>257970</v>
      </c>
      <c r="C230" s="15">
        <f t="shared" si="6"/>
        <v>6.590422231847074E-3</v>
      </c>
      <c r="D230" s="16">
        <f t="shared" si="7"/>
        <v>3.2925320424269364E-2</v>
      </c>
    </row>
    <row r="231" spans="1:4" x14ac:dyDescent="0.2">
      <c r="A231" s="13">
        <v>40422</v>
      </c>
      <c r="B231" s="18">
        <f>VLOOKUP(A231,Database!A:M,MATCH($A$1,Database!$A$1:$M$1,),)</f>
        <v>258848</v>
      </c>
      <c r="C231" s="15">
        <f t="shared" si="6"/>
        <v>3.4034965306043337E-3</v>
      </c>
      <c r="D231" s="16">
        <f t="shared" si="7"/>
        <v>3.467600420509008E-2</v>
      </c>
    </row>
    <row r="232" spans="1:4" x14ac:dyDescent="0.2">
      <c r="A232" s="14">
        <v>40452</v>
      </c>
      <c r="B232" s="18">
        <f>VLOOKUP(A232,Database!A:M,MATCH($A$1,Database!$A$1:$M$1,),)</f>
        <v>260130</v>
      </c>
      <c r="C232" s="15">
        <f t="shared" si="6"/>
        <v>4.9527135616269004E-3</v>
      </c>
      <c r="D232" s="16">
        <f t="shared" si="7"/>
        <v>3.9272872552936475E-2</v>
      </c>
    </row>
    <row r="233" spans="1:4" x14ac:dyDescent="0.2">
      <c r="A233" s="13">
        <v>40483</v>
      </c>
      <c r="B233" s="18">
        <f>VLOOKUP(A233,Database!A:M,MATCH($A$1,Database!$A$1:$M$1,),)</f>
        <v>262671</v>
      </c>
      <c r="C233" s="15">
        <f t="shared" si="6"/>
        <v>9.7681928266635919E-3</v>
      </c>
      <c r="D233" s="16">
        <f t="shared" si="7"/>
        <v>4.8808729990776491E-2</v>
      </c>
    </row>
    <row r="234" spans="1:4" x14ac:dyDescent="0.2">
      <c r="A234" s="14">
        <v>40513</v>
      </c>
      <c r="B234" s="18">
        <f>VLOOKUP(A234,Database!A:M,MATCH($A$1,Database!$A$1:$M$1,),)</f>
        <v>262619</v>
      </c>
      <c r="C234" s="15">
        <f t="shared" si="6"/>
        <v>-1.9796627720608669E-4</v>
      </c>
      <c r="D234" s="16">
        <f t="shared" si="7"/>
        <v>4.2921079698662885E-2</v>
      </c>
    </row>
    <row r="235" spans="1:4" x14ac:dyDescent="0.2">
      <c r="A235" s="13">
        <v>40544</v>
      </c>
      <c r="B235" s="18">
        <f>VLOOKUP(A235,Database!A:M,MATCH($A$1,Database!$A$1:$M$1,),)</f>
        <v>263993</v>
      </c>
      <c r="C235" s="15">
        <f t="shared" si="6"/>
        <v>5.2319139133116793E-3</v>
      </c>
      <c r="D235" s="16">
        <f t="shared" si="7"/>
        <v>4.8169426786997593E-2</v>
      </c>
    </row>
    <row r="236" spans="1:4" x14ac:dyDescent="0.2">
      <c r="A236" s="14">
        <v>40575</v>
      </c>
      <c r="B236" s="18">
        <f>VLOOKUP(A236,Database!A:M,MATCH($A$1,Database!$A$1:$M$1,),)</f>
        <v>265478</v>
      </c>
      <c r="C236" s="15">
        <f t="shared" si="6"/>
        <v>5.6251491516820518E-3</v>
      </c>
      <c r="D236" s="16">
        <f t="shared" si="7"/>
        <v>4.4822877023405185E-2</v>
      </c>
    </row>
    <row r="237" spans="1:4" x14ac:dyDescent="0.2">
      <c r="A237" s="13">
        <v>40603</v>
      </c>
      <c r="B237" s="18">
        <f>VLOOKUP(A237,Database!A:M,MATCH($A$1,Database!$A$1:$M$1,),)</f>
        <v>267185</v>
      </c>
      <c r="C237" s="15">
        <f t="shared" si="6"/>
        <v>6.4299113297523712E-3</v>
      </c>
      <c r="D237" s="16">
        <f t="shared" si="7"/>
        <v>4.2380287294886902E-2</v>
      </c>
    </row>
    <row r="238" spans="1:4" x14ac:dyDescent="0.2">
      <c r="A238" s="14">
        <v>40634</v>
      </c>
      <c r="B238" s="18">
        <f>VLOOKUP(A238,Database!A:M,MATCH($A$1,Database!$A$1:$M$1,),)</f>
        <v>269187</v>
      </c>
      <c r="C238" s="15">
        <f t="shared" si="6"/>
        <v>7.4929356064150311E-3</v>
      </c>
      <c r="D238" s="16">
        <f t="shared" si="7"/>
        <v>4.2076045804009012E-2</v>
      </c>
    </row>
    <row r="239" spans="1:4" x14ac:dyDescent="0.2">
      <c r="A239" s="13">
        <v>40664</v>
      </c>
      <c r="B239" s="18">
        <f>VLOOKUP(A239,Database!A:M,MATCH($A$1,Database!$A$1:$M$1,),)</f>
        <v>269142</v>
      </c>
      <c r="C239" s="15">
        <f t="shared" si="6"/>
        <v>-1.6717003421413366E-4</v>
      </c>
      <c r="D239" s="16">
        <f t="shared" si="7"/>
        <v>5.1048541414456985E-2</v>
      </c>
    </row>
    <row r="240" spans="1:4" x14ac:dyDescent="0.2">
      <c r="A240" s="14">
        <v>40695</v>
      </c>
      <c r="B240" s="18">
        <f>VLOOKUP(A240,Database!A:M,MATCH($A$1,Database!$A$1:$M$1,),)</f>
        <v>271758</v>
      </c>
      <c r="C240" s="15">
        <f t="shared" si="6"/>
        <v>9.7197761776311384E-3</v>
      </c>
      <c r="D240" s="16">
        <f t="shared" si="7"/>
        <v>5.8437259010570432E-2</v>
      </c>
    </row>
    <row r="241" spans="1:4" x14ac:dyDescent="0.2">
      <c r="A241" s="13">
        <v>40725</v>
      </c>
      <c r="B241" s="18">
        <f>VLOOKUP(A241,Database!A:M,MATCH($A$1,Database!$A$1:$M$1,),)</f>
        <v>271713</v>
      </c>
      <c r="C241" s="15">
        <f t="shared" si="6"/>
        <v>-1.6558850153445344E-4</v>
      </c>
      <c r="D241" s="16">
        <f t="shared" si="7"/>
        <v>6.0215154459362964E-2</v>
      </c>
    </row>
    <row r="242" spans="1:4" x14ac:dyDescent="0.2">
      <c r="A242" s="14">
        <v>40756</v>
      </c>
      <c r="B242" s="18">
        <f>VLOOKUP(A242,Database!A:M,MATCH($A$1,Database!$A$1:$M$1,),)</f>
        <v>273072</v>
      </c>
      <c r="C242" s="15">
        <f t="shared" si="6"/>
        <v>5.0016009539477317E-3</v>
      </c>
      <c r="D242" s="16">
        <f t="shared" si="7"/>
        <v>5.8541690894290031E-2</v>
      </c>
    </row>
    <row r="243" spans="1:4" x14ac:dyDescent="0.2">
      <c r="A243" s="13">
        <v>40787</v>
      </c>
      <c r="B243" s="18">
        <f>VLOOKUP(A243,Database!A:M,MATCH($A$1,Database!$A$1:$M$1,),)</f>
        <v>273611</v>
      </c>
      <c r="C243" s="15">
        <f t="shared" si="6"/>
        <v>1.9738384015937187E-3</v>
      </c>
      <c r="D243" s="16">
        <f t="shared" si="7"/>
        <v>5.7033471380887622E-2</v>
      </c>
    </row>
    <row r="244" spans="1:4" x14ac:dyDescent="0.2">
      <c r="A244" s="14">
        <v>40817</v>
      </c>
      <c r="B244" s="18">
        <f>VLOOKUP(A244,Database!A:M,MATCH($A$1,Database!$A$1:$M$1,),)</f>
        <v>275360</v>
      </c>
      <c r="C244" s="15">
        <f t="shared" si="6"/>
        <v>6.3922868598119227E-3</v>
      </c>
      <c r="D244" s="16">
        <f t="shared" si="7"/>
        <v>5.8547649252296927E-2</v>
      </c>
    </row>
    <row r="245" spans="1:4" x14ac:dyDescent="0.2">
      <c r="A245" s="13">
        <v>40848</v>
      </c>
      <c r="B245" s="18">
        <f>VLOOKUP(A245,Database!A:M,MATCH($A$1,Database!$A$1:$M$1,),)</f>
        <v>275696</v>
      </c>
      <c r="C245" s="15">
        <f t="shared" si="6"/>
        <v>1.2202208018593842E-3</v>
      </c>
      <c r="D245" s="16">
        <f t="shared" si="7"/>
        <v>4.9586745396332295E-2</v>
      </c>
    </row>
    <row r="246" spans="1:4" x14ac:dyDescent="0.2">
      <c r="A246" s="14">
        <v>40878</v>
      </c>
      <c r="B246" s="18">
        <f>VLOOKUP(A246,Database!A:M,MATCH($A$1,Database!$A$1:$M$1,),)</f>
        <v>274832</v>
      </c>
      <c r="C246" s="15">
        <f t="shared" si="6"/>
        <v>-3.1338865997330395E-3</v>
      </c>
      <c r="D246" s="16">
        <f t="shared" si="7"/>
        <v>4.6504632185790061E-2</v>
      </c>
    </row>
    <row r="247" spans="1:4" x14ac:dyDescent="0.2">
      <c r="A247" s="13">
        <v>40909</v>
      </c>
      <c r="B247" s="18">
        <f>VLOOKUP(A247,Database!A:M,MATCH($A$1,Database!$A$1:$M$1,),)</f>
        <v>278248</v>
      </c>
      <c r="C247" s="15">
        <f t="shared" si="6"/>
        <v>1.2429411422250684E-2</v>
      </c>
      <c r="D247" s="16">
        <f t="shared" si="7"/>
        <v>5.3997643876920978E-2</v>
      </c>
    </row>
    <row r="248" spans="1:4" x14ac:dyDescent="0.2">
      <c r="A248" s="14">
        <v>40940</v>
      </c>
      <c r="B248" s="18">
        <f>VLOOKUP(A248,Database!A:M,MATCH($A$1,Database!$A$1:$M$1,),)</f>
        <v>280569</v>
      </c>
      <c r="C248" s="15">
        <f t="shared" si="6"/>
        <v>8.3414795434288841E-3</v>
      </c>
      <c r="D248" s="16">
        <f t="shared" si="7"/>
        <v>5.6844634960335698E-2</v>
      </c>
    </row>
    <row r="249" spans="1:4" x14ac:dyDescent="0.2">
      <c r="A249" s="13">
        <v>40969</v>
      </c>
      <c r="B249" s="18">
        <f>VLOOKUP(A249,Database!A:M,MATCH($A$1,Database!$A$1:$M$1,),)</f>
        <v>281469</v>
      </c>
      <c r="C249" s="15">
        <f t="shared" si="6"/>
        <v>3.2077670733402478E-3</v>
      </c>
      <c r="D249" s="16">
        <f t="shared" si="7"/>
        <v>5.3461085016000151E-2</v>
      </c>
    </row>
    <row r="250" spans="1:4" x14ac:dyDescent="0.2">
      <c r="A250" s="14">
        <v>41000</v>
      </c>
      <c r="B250" s="18">
        <f>VLOOKUP(A250,Database!A:M,MATCH($A$1,Database!$A$1:$M$1,),)</f>
        <v>280264</v>
      </c>
      <c r="C250" s="15">
        <f t="shared" si="6"/>
        <v>-4.2811108861011337E-3</v>
      </c>
      <c r="D250" s="16">
        <f t="shared" si="7"/>
        <v>4.1149832644221306E-2</v>
      </c>
    </row>
    <row r="251" spans="1:4" x14ac:dyDescent="0.2">
      <c r="A251" s="13">
        <v>41030</v>
      </c>
      <c r="B251" s="18">
        <f>VLOOKUP(A251,Database!A:M,MATCH($A$1,Database!$A$1:$M$1,),)</f>
        <v>279884</v>
      </c>
      <c r="C251" s="15">
        <f t="shared" si="6"/>
        <v>-1.3558644706419662E-3</v>
      </c>
      <c r="D251" s="16">
        <f t="shared" si="7"/>
        <v>3.991201670493643E-2</v>
      </c>
    </row>
    <row r="252" spans="1:4" x14ac:dyDescent="0.2">
      <c r="A252" s="14">
        <v>41061</v>
      </c>
      <c r="B252" s="18">
        <f>VLOOKUP(A252,Database!A:M,MATCH($A$1,Database!$A$1:$M$1,),)</f>
        <v>279553</v>
      </c>
      <c r="C252" s="15">
        <f t="shared" si="6"/>
        <v>-1.1826328050192222E-3</v>
      </c>
      <c r="D252" s="16">
        <f t="shared" si="7"/>
        <v>2.8683608210245879E-2</v>
      </c>
    </row>
    <row r="253" spans="1:4" x14ac:dyDescent="0.2">
      <c r="A253" s="13">
        <v>41091</v>
      </c>
      <c r="B253" s="18">
        <f>VLOOKUP(A253,Database!A:M,MATCH($A$1,Database!$A$1:$M$1,),)</f>
        <v>280958</v>
      </c>
      <c r="C253" s="15">
        <f t="shared" si="6"/>
        <v>5.0258806022471592E-3</v>
      </c>
      <c r="D253" s="16">
        <f t="shared" si="7"/>
        <v>3.4024871831675331E-2</v>
      </c>
    </row>
    <row r="254" spans="1:4" x14ac:dyDescent="0.2">
      <c r="A254" s="14">
        <v>41122</v>
      </c>
      <c r="B254" s="18">
        <f>VLOOKUP(A254,Database!A:M,MATCH($A$1,Database!$A$1:$M$1,),)</f>
        <v>281851</v>
      </c>
      <c r="C254" s="15">
        <f t="shared" si="6"/>
        <v>3.1784110080510255E-3</v>
      </c>
      <c r="D254" s="16">
        <f t="shared" si="7"/>
        <v>3.2149030292377104E-2</v>
      </c>
    </row>
    <row r="255" spans="1:4" x14ac:dyDescent="0.2">
      <c r="A255" s="13">
        <v>41153</v>
      </c>
      <c r="B255" s="18">
        <f>VLOOKUP(A255,Database!A:M,MATCH($A$1,Database!$A$1:$M$1,),)</f>
        <v>283253</v>
      </c>
      <c r="C255" s="15">
        <f t="shared" si="6"/>
        <v>4.9742594491415677E-3</v>
      </c>
      <c r="D255" s="16">
        <f t="shared" si="7"/>
        <v>3.5239811264897974E-2</v>
      </c>
    </row>
    <row r="256" spans="1:4" x14ac:dyDescent="0.2">
      <c r="A256" s="14">
        <v>41183</v>
      </c>
      <c r="B256" s="18">
        <f>VLOOKUP(A256,Database!A:M,MATCH($A$1,Database!$A$1:$M$1,),)</f>
        <v>282910</v>
      </c>
      <c r="C256" s="15">
        <f t="shared" si="6"/>
        <v>-1.2109315700098498E-3</v>
      </c>
      <c r="D256" s="16">
        <f t="shared" si="7"/>
        <v>2.7418651946542708E-2</v>
      </c>
    </row>
    <row r="257" spans="1:4" x14ac:dyDescent="0.2">
      <c r="A257" s="13">
        <v>41214</v>
      </c>
      <c r="B257" s="18">
        <f>VLOOKUP(A257,Database!A:M,MATCH($A$1,Database!$A$1:$M$1,),)</f>
        <v>284736</v>
      </c>
      <c r="C257" s="15">
        <f t="shared" si="6"/>
        <v>6.4543494397511572E-3</v>
      </c>
      <c r="D257" s="16">
        <f t="shared" si="7"/>
        <v>3.2789739423132729E-2</v>
      </c>
    </row>
    <row r="258" spans="1:4" x14ac:dyDescent="0.2">
      <c r="A258" s="14">
        <v>41244</v>
      </c>
      <c r="B258" s="18">
        <f>VLOOKUP(A258,Database!A:M,MATCH($A$1,Database!$A$1:$M$1,),)</f>
        <v>286273</v>
      </c>
      <c r="C258" s="15">
        <f t="shared" si="6"/>
        <v>5.3979826927399418E-3</v>
      </c>
      <c r="D258" s="16">
        <f t="shared" si="7"/>
        <v>4.1629067939686792E-2</v>
      </c>
    </row>
    <row r="259" spans="1:4" x14ac:dyDescent="0.2">
      <c r="A259" s="13">
        <v>41275</v>
      </c>
      <c r="B259" s="18">
        <f>VLOOKUP(A259,Database!A:M,MATCH($A$1,Database!$A$1:$M$1,),)</f>
        <v>288412</v>
      </c>
      <c r="C259" s="15">
        <f t="shared" si="6"/>
        <v>7.471888721604902E-3</v>
      </c>
      <c r="D259" s="16">
        <f t="shared" si="7"/>
        <v>3.6528564446105631E-2</v>
      </c>
    </row>
    <row r="260" spans="1:4" x14ac:dyDescent="0.2">
      <c r="A260" s="14">
        <v>41306</v>
      </c>
      <c r="B260" s="18">
        <f>VLOOKUP(A260,Database!A:M,MATCH($A$1,Database!$A$1:$M$1,),)</f>
        <v>289292</v>
      </c>
      <c r="C260" s="15">
        <f t="shared" si="6"/>
        <v>3.0511906578089675E-3</v>
      </c>
      <c r="D260" s="16">
        <f t="shared" si="7"/>
        <v>3.1090391311941089E-2</v>
      </c>
    </row>
    <row r="261" spans="1:4" x14ac:dyDescent="0.2">
      <c r="A261" s="13">
        <v>41334</v>
      </c>
      <c r="B261" s="18">
        <f>VLOOKUP(A261,Database!A:M,MATCH($A$1,Database!$A$1:$M$1,),)</f>
        <v>288595</v>
      </c>
      <c r="C261" s="15">
        <f t="shared" si="6"/>
        <v>-2.4093303651673741E-3</v>
      </c>
      <c r="D261" s="16">
        <f t="shared" si="7"/>
        <v>2.5317175248428778E-2</v>
      </c>
    </row>
    <row r="262" spans="1:4" x14ac:dyDescent="0.2">
      <c r="A262" s="14">
        <v>41365</v>
      </c>
      <c r="B262" s="18">
        <f>VLOOKUP(A262,Database!A:M,MATCH($A$1,Database!$A$1:$M$1,),)</f>
        <v>287679</v>
      </c>
      <c r="C262" s="15">
        <f t="shared" si="6"/>
        <v>-3.1739981635163467E-3</v>
      </c>
      <c r="D262" s="16">
        <f t="shared" si="7"/>
        <v>2.6457197499500471E-2</v>
      </c>
    </row>
    <row r="263" spans="1:4" x14ac:dyDescent="0.2">
      <c r="A263" s="13">
        <v>41395</v>
      </c>
      <c r="B263" s="18">
        <f>VLOOKUP(A263,Database!A:M,MATCH($A$1,Database!$A$1:$M$1,),)</f>
        <v>288998</v>
      </c>
      <c r="C263" s="15">
        <f t="shared" si="6"/>
        <v>4.5849714438662538E-3</v>
      </c>
      <c r="D263" s="16">
        <f t="shared" si="7"/>
        <v>3.2563490588958285E-2</v>
      </c>
    </row>
    <row r="264" spans="1:4" x14ac:dyDescent="0.2">
      <c r="A264" s="14">
        <v>41426</v>
      </c>
      <c r="B264" s="18">
        <f>VLOOKUP(A264,Database!A:M,MATCH($A$1,Database!$A$1:$M$1,),)</f>
        <v>288597</v>
      </c>
      <c r="C264" s="15">
        <f t="shared" si="6"/>
        <v>-1.3875528550370592E-3</v>
      </c>
      <c r="D264" s="16">
        <f t="shared" si="7"/>
        <v>3.2351647093753239E-2</v>
      </c>
    </row>
    <row r="265" spans="1:4" x14ac:dyDescent="0.2">
      <c r="A265" s="13">
        <v>41456</v>
      </c>
      <c r="B265" s="18">
        <f>VLOOKUP(A265,Database!A:M,MATCH($A$1,Database!$A$1:$M$1,),)</f>
        <v>290883</v>
      </c>
      <c r="C265" s="15">
        <f t="shared" ref="C265:C324" si="8">(B265-B264)/B264</f>
        <v>7.9210802607095707E-3</v>
      </c>
      <c r="D265" s="16">
        <f t="shared" si="7"/>
        <v>3.5325564675147178E-2</v>
      </c>
    </row>
    <row r="266" spans="1:4" x14ac:dyDescent="0.2">
      <c r="A266" s="14">
        <v>41487</v>
      </c>
      <c r="B266" s="18">
        <f>VLOOKUP(A266,Database!A:M,MATCH($A$1,Database!$A$1:$M$1,),)</f>
        <v>290634</v>
      </c>
      <c r="C266" s="15">
        <f t="shared" si="8"/>
        <v>-8.5601427378017962E-4</v>
      </c>
      <c r="D266" s="16">
        <f t="shared" si="7"/>
        <v>3.1161855022689294E-2</v>
      </c>
    </row>
    <row r="267" spans="1:4" x14ac:dyDescent="0.2">
      <c r="A267" s="13">
        <v>41518</v>
      </c>
      <c r="B267" s="18">
        <f>VLOOKUP(A267,Database!A:M,MATCH($A$1,Database!$A$1:$M$1,),)</f>
        <v>291901</v>
      </c>
      <c r="C267" s="15">
        <f t="shared" si="8"/>
        <v>4.3594348906184407E-3</v>
      </c>
      <c r="D267" s="16">
        <f t="shared" si="7"/>
        <v>3.0531009380306652E-2</v>
      </c>
    </row>
    <row r="268" spans="1:4" x14ac:dyDescent="0.2">
      <c r="A268" s="14">
        <v>41548</v>
      </c>
      <c r="B268" s="18">
        <f>VLOOKUP(A268,Database!A:M,MATCH($A$1,Database!$A$1:$M$1,),)</f>
        <v>293033</v>
      </c>
      <c r="C268" s="15">
        <f t="shared" si="8"/>
        <v>3.8780271393383373E-3</v>
      </c>
      <c r="D268" s="16">
        <f t="shared" si="7"/>
        <v>3.5781697359584322E-2</v>
      </c>
    </row>
    <row r="269" spans="1:4" x14ac:dyDescent="0.2">
      <c r="A269" s="13">
        <v>41579</v>
      </c>
      <c r="B269" s="18">
        <f>VLOOKUP(A269,Database!A:M,MATCH($A$1,Database!$A$1:$M$1,),)</f>
        <v>294113</v>
      </c>
      <c r="C269" s="15">
        <f t="shared" si="8"/>
        <v>3.6855917251640601E-3</v>
      </c>
      <c r="D269" s="16">
        <f t="shared" si="7"/>
        <v>3.2932260058440098E-2</v>
      </c>
    </row>
    <row r="270" spans="1:4" x14ac:dyDescent="0.2">
      <c r="A270" s="14">
        <v>41609</v>
      </c>
      <c r="B270" s="18">
        <f>VLOOKUP(A270,Database!A:M,MATCH($A$1,Database!$A$1:$M$1,),)</f>
        <v>295226</v>
      </c>
      <c r="C270" s="15">
        <f t="shared" si="8"/>
        <v>3.7842597913047026E-3</v>
      </c>
      <c r="D270" s="16">
        <f t="shared" si="7"/>
        <v>3.1274343022220048E-2</v>
      </c>
    </row>
    <row r="271" spans="1:4" x14ac:dyDescent="0.2">
      <c r="A271" s="13">
        <v>41640</v>
      </c>
      <c r="B271" s="18">
        <f>VLOOKUP(A271,Database!A:M,MATCH($A$1,Database!$A$1:$M$1,),)</f>
        <v>292777</v>
      </c>
      <c r="C271" s="15">
        <f t="shared" si="8"/>
        <v>-8.2953398413418873E-3</v>
      </c>
      <c r="D271" s="16">
        <f t="shared" si="7"/>
        <v>1.5134599115154709E-2</v>
      </c>
    </row>
    <row r="272" spans="1:4" x14ac:dyDescent="0.2">
      <c r="A272" s="14">
        <v>41671</v>
      </c>
      <c r="B272" s="18">
        <f>VLOOKUP(A272,Database!A:M,MATCH($A$1,Database!$A$1:$M$1,),)</f>
        <v>295914</v>
      </c>
      <c r="C272" s="15">
        <f t="shared" si="8"/>
        <v>1.071463946963047E-2</v>
      </c>
      <c r="D272" s="16">
        <f t="shared" si="7"/>
        <v>2.2890366826597348E-2</v>
      </c>
    </row>
    <row r="273" spans="1:4" x14ac:dyDescent="0.2">
      <c r="A273" s="13">
        <v>41699</v>
      </c>
      <c r="B273" s="18">
        <f>VLOOKUP(A273,Database!A:M,MATCH($A$1,Database!$A$1:$M$1,),)</f>
        <v>298284</v>
      </c>
      <c r="C273" s="15">
        <f t="shared" si="8"/>
        <v>8.0090837202700781E-3</v>
      </c>
      <c r="D273" s="16">
        <f t="shared" si="7"/>
        <v>3.3573000225229126E-2</v>
      </c>
    </row>
    <row r="274" spans="1:4" x14ac:dyDescent="0.2">
      <c r="A274" s="14">
        <v>41730</v>
      </c>
      <c r="B274" s="18">
        <f>VLOOKUP(A274,Database!A:M,MATCH($A$1,Database!$A$1:$M$1,),)</f>
        <v>300922</v>
      </c>
      <c r="C274" s="15">
        <f t="shared" si="8"/>
        <v>8.8439205589304157E-3</v>
      </c>
      <c r="D274" s="16">
        <f t="shared" si="7"/>
        <v>4.6033947559606367E-2</v>
      </c>
    </row>
    <row r="275" spans="1:4" x14ac:dyDescent="0.2">
      <c r="A275" s="13">
        <v>41760</v>
      </c>
      <c r="B275" s="18">
        <f>VLOOKUP(A275,Database!A:M,MATCH($A$1,Database!$A$1:$M$1,),)</f>
        <v>301869</v>
      </c>
      <c r="C275" s="15">
        <f t="shared" si="8"/>
        <v>3.146994902333495E-3</v>
      </c>
      <c r="D275" s="16">
        <f t="shared" si="7"/>
        <v>4.4536640391975031E-2</v>
      </c>
    </row>
    <row r="276" spans="1:4" x14ac:dyDescent="0.2">
      <c r="A276" s="14">
        <v>41791</v>
      </c>
      <c r="B276" s="18">
        <f>VLOOKUP(A276,Database!A:M,MATCH($A$1,Database!$A$1:$M$1,),)</f>
        <v>303804</v>
      </c>
      <c r="C276" s="15">
        <f t="shared" si="8"/>
        <v>6.4100652932232195E-3</v>
      </c>
      <c r="D276" s="16">
        <f t="shared" ref="D276:D324" si="9">(B276-B264)/B264</f>
        <v>5.2692855435087685E-2</v>
      </c>
    </row>
    <row r="277" spans="1:4" x14ac:dyDescent="0.2">
      <c r="A277" s="13">
        <v>41821</v>
      </c>
      <c r="B277" s="18">
        <f>VLOOKUP(A277,Database!A:M,MATCH($A$1,Database!$A$1:$M$1,),)</f>
        <v>304038</v>
      </c>
      <c r="C277" s="15">
        <f t="shared" si="8"/>
        <v>7.7023343998104037E-4</v>
      </c>
      <c r="D277" s="16">
        <f t="shared" si="9"/>
        <v>4.5224368560555277E-2</v>
      </c>
    </row>
    <row r="278" spans="1:4" x14ac:dyDescent="0.2">
      <c r="A278" s="14">
        <v>41852</v>
      </c>
      <c r="B278" s="18">
        <f>VLOOKUP(A278,Database!A:M,MATCH($A$1,Database!$A$1:$M$1,),)</f>
        <v>306590</v>
      </c>
      <c r="C278" s="15">
        <f t="shared" si="8"/>
        <v>8.3936876311513694E-3</v>
      </c>
      <c r="D278" s="16">
        <f t="shared" si="9"/>
        <v>5.490066544175836E-2</v>
      </c>
    </row>
    <row r="279" spans="1:4" x14ac:dyDescent="0.2">
      <c r="A279" s="13">
        <v>41883</v>
      </c>
      <c r="B279" s="18">
        <f>VLOOKUP(A279,Database!A:M,MATCH($A$1,Database!$A$1:$M$1,),)</f>
        <v>306892</v>
      </c>
      <c r="C279" s="15">
        <f t="shared" si="8"/>
        <v>9.8502886591213018E-4</v>
      </c>
      <c r="D279" s="16">
        <f t="shared" si="9"/>
        <v>5.1356453044011499E-2</v>
      </c>
    </row>
    <row r="280" spans="1:4" x14ac:dyDescent="0.2">
      <c r="A280" s="14">
        <v>41913</v>
      </c>
      <c r="B280" s="18">
        <f>VLOOKUP(A280,Database!A:M,MATCH($A$1,Database!$A$1:$M$1,),)</f>
        <v>308897</v>
      </c>
      <c r="C280" s="15">
        <f t="shared" si="8"/>
        <v>6.5332429649518397E-3</v>
      </c>
      <c r="D280" s="16">
        <f t="shared" si="9"/>
        <v>5.413724734074319E-2</v>
      </c>
    </row>
    <row r="281" spans="1:4" x14ac:dyDescent="0.2">
      <c r="A281" s="13">
        <v>41944</v>
      </c>
      <c r="B281" s="18">
        <f>VLOOKUP(A281,Database!A:M,MATCH($A$1,Database!$A$1:$M$1,),)</f>
        <v>310080</v>
      </c>
      <c r="C281" s="15">
        <f t="shared" si="8"/>
        <v>3.8297555495844893E-3</v>
      </c>
      <c r="D281" s="16">
        <f t="shared" si="9"/>
        <v>5.428865776079262E-2</v>
      </c>
    </row>
    <row r="282" spans="1:4" x14ac:dyDescent="0.2">
      <c r="A282" s="14">
        <v>41974</v>
      </c>
      <c r="B282" s="18">
        <f>VLOOKUP(A282,Database!A:M,MATCH($A$1,Database!$A$1:$M$1,),)</f>
        <v>311112</v>
      </c>
      <c r="C282" s="15">
        <f t="shared" si="8"/>
        <v>3.3281733746130032E-3</v>
      </c>
      <c r="D282" s="16">
        <f t="shared" si="9"/>
        <v>5.3809623813620755E-2</v>
      </c>
    </row>
    <row r="283" spans="1:4" x14ac:dyDescent="0.2">
      <c r="A283" s="13">
        <v>42005</v>
      </c>
      <c r="B283" s="18">
        <f>VLOOKUP(A283,Database!A:M,MATCH($A$1,Database!$A$1:$M$1,),)</f>
        <v>311382</v>
      </c>
      <c r="C283" s="15">
        <f t="shared" si="8"/>
        <v>8.6785466327239061E-4</v>
      </c>
      <c r="D283" s="16">
        <f t="shared" si="9"/>
        <v>6.35466583782196E-2</v>
      </c>
    </row>
    <row r="284" spans="1:4" x14ac:dyDescent="0.2">
      <c r="A284" s="14">
        <v>42036</v>
      </c>
      <c r="B284" s="18">
        <f>VLOOKUP(A284,Database!A:M,MATCH($A$1,Database!$A$1:$M$1,),)</f>
        <v>310754</v>
      </c>
      <c r="C284" s="15">
        <f t="shared" si="8"/>
        <v>-2.0168153586270238E-3</v>
      </c>
      <c r="D284" s="16">
        <f t="shared" si="9"/>
        <v>5.0149705657724877E-2</v>
      </c>
    </row>
    <row r="285" spans="1:4" x14ac:dyDescent="0.2">
      <c r="A285" s="13">
        <v>42064</v>
      </c>
      <c r="B285" s="18">
        <f>VLOOKUP(A285,Database!A:M,MATCH($A$1,Database!$A$1:$M$1,),)</f>
        <v>312970</v>
      </c>
      <c r="C285" s="15">
        <f t="shared" si="8"/>
        <v>7.1310425609968017E-3</v>
      </c>
      <c r="D285" s="16">
        <f t="shared" si="9"/>
        <v>4.9234957289026562E-2</v>
      </c>
    </row>
    <row r="286" spans="1:4" x14ac:dyDescent="0.2">
      <c r="A286" s="14">
        <v>42095</v>
      </c>
      <c r="B286" s="18">
        <f>VLOOKUP(A286,Database!A:M,MATCH($A$1,Database!$A$1:$M$1,),)</f>
        <v>313571</v>
      </c>
      <c r="C286" s="15">
        <f t="shared" si="8"/>
        <v>1.9203118509761319E-3</v>
      </c>
      <c r="D286" s="16">
        <f t="shared" si="9"/>
        <v>4.2034148383966609E-2</v>
      </c>
    </row>
    <row r="287" spans="1:4" x14ac:dyDescent="0.2">
      <c r="A287" s="13">
        <v>42125</v>
      </c>
      <c r="B287" s="18">
        <f>VLOOKUP(A287,Database!A:M,MATCH($A$1,Database!$A$1:$M$1,),)</f>
        <v>314947</v>
      </c>
      <c r="C287" s="15">
        <f t="shared" si="8"/>
        <v>4.3881608949807218E-3</v>
      </c>
      <c r="D287" s="16">
        <f t="shared" si="9"/>
        <v>4.3323428374559825E-2</v>
      </c>
    </row>
    <row r="288" spans="1:4" x14ac:dyDescent="0.2">
      <c r="A288" s="14">
        <v>42156</v>
      </c>
      <c r="B288" s="18">
        <f>VLOOKUP(A288,Database!A:M,MATCH($A$1,Database!$A$1:$M$1,),)</f>
        <v>315051</v>
      </c>
      <c r="C288" s="15">
        <f t="shared" si="8"/>
        <v>3.3021429002340076E-4</v>
      </c>
      <c r="D288" s="16">
        <f t="shared" si="9"/>
        <v>3.7020579057550261E-2</v>
      </c>
    </row>
    <row r="289" spans="1:4" x14ac:dyDescent="0.2">
      <c r="A289" s="13">
        <v>42186</v>
      </c>
      <c r="B289" s="18">
        <f>VLOOKUP(A289,Database!A:M,MATCH($A$1,Database!$A$1:$M$1,),)</f>
        <v>317562</v>
      </c>
      <c r="C289" s="15">
        <f t="shared" si="8"/>
        <v>7.9701381681061157E-3</v>
      </c>
      <c r="D289" s="16">
        <f t="shared" si="9"/>
        <v>4.4481281945020032E-2</v>
      </c>
    </row>
    <row r="290" spans="1:4" x14ac:dyDescent="0.2">
      <c r="A290" s="14">
        <v>42217</v>
      </c>
      <c r="B290" s="18">
        <f>VLOOKUP(A290,Database!A:M,MATCH($A$1,Database!$A$1:$M$1,),)</f>
        <v>318091</v>
      </c>
      <c r="C290" s="15">
        <f t="shared" si="8"/>
        <v>1.6658164389945901E-3</v>
      </c>
      <c r="D290" s="16">
        <f t="shared" si="9"/>
        <v>3.7512639029322545E-2</v>
      </c>
    </row>
    <row r="291" spans="1:4" x14ac:dyDescent="0.2">
      <c r="A291" s="13">
        <v>42248</v>
      </c>
      <c r="B291" s="18">
        <f>VLOOKUP(A291,Database!A:M,MATCH($A$1,Database!$A$1:$M$1,),)</f>
        <v>318082</v>
      </c>
      <c r="C291" s="15">
        <f t="shared" si="8"/>
        <v>-2.8293790141814765E-5</v>
      </c>
      <c r="D291" s="16">
        <f t="shared" si="9"/>
        <v>3.6462338542549169E-2</v>
      </c>
    </row>
    <row r="292" spans="1:4" x14ac:dyDescent="0.2">
      <c r="A292" s="14">
        <v>42278</v>
      </c>
      <c r="B292" s="18">
        <f>VLOOKUP(A292,Database!A:M,MATCH($A$1,Database!$A$1:$M$1,),)</f>
        <v>317805</v>
      </c>
      <c r="C292" s="15">
        <f t="shared" si="8"/>
        <v>-8.7084462497091948E-4</v>
      </c>
      <c r="D292" s="16">
        <f t="shared" si="9"/>
        <v>2.8838091661621833E-2</v>
      </c>
    </row>
    <row r="293" spans="1:4" x14ac:dyDescent="0.2">
      <c r="A293" s="13">
        <v>42309</v>
      </c>
      <c r="B293" s="18">
        <f>VLOOKUP(A293,Database!A:M,MATCH($A$1,Database!$A$1:$M$1,),)</f>
        <v>319063</v>
      </c>
      <c r="C293" s="15">
        <f t="shared" si="8"/>
        <v>3.9584021648495149E-3</v>
      </c>
      <c r="D293" s="16">
        <f t="shared" si="9"/>
        <v>2.8969943240454075E-2</v>
      </c>
    </row>
    <row r="294" spans="1:4" x14ac:dyDescent="0.2">
      <c r="A294" s="14">
        <v>42339</v>
      </c>
      <c r="B294" s="18">
        <f>VLOOKUP(A294,Database!A:M,MATCH($A$1,Database!$A$1:$M$1,),)</f>
        <v>321344</v>
      </c>
      <c r="C294" s="15">
        <f t="shared" si="8"/>
        <v>7.1490583364413928E-3</v>
      </c>
      <c r="D294" s="16">
        <f t="shared" si="9"/>
        <v>3.2888477461492968E-2</v>
      </c>
    </row>
    <row r="295" spans="1:4" x14ac:dyDescent="0.2">
      <c r="A295" s="13">
        <v>42370</v>
      </c>
      <c r="B295" s="18">
        <f>VLOOKUP(A295,Database!A:M,MATCH($A$1,Database!$A$1:$M$1,),)</f>
        <v>320203</v>
      </c>
      <c r="C295" s="15">
        <f t="shared" si="8"/>
        <v>-3.5507120095598487E-3</v>
      </c>
      <c r="D295" s="16">
        <f t="shared" si="9"/>
        <v>2.832854821409073E-2</v>
      </c>
    </row>
    <row r="296" spans="1:4" x14ac:dyDescent="0.2">
      <c r="A296" s="14">
        <v>42401</v>
      </c>
      <c r="B296" s="18">
        <f>VLOOKUP(A296,Database!A:M,MATCH($A$1,Database!$A$1:$M$1,),)</f>
        <v>323905</v>
      </c>
      <c r="C296" s="15">
        <f t="shared" si="8"/>
        <v>1.1561415726898248E-2</v>
      </c>
      <c r="D296" s="16">
        <f t="shared" si="9"/>
        <v>4.231964833920078E-2</v>
      </c>
    </row>
    <row r="297" spans="1:4" x14ac:dyDescent="0.2">
      <c r="A297" s="13">
        <v>42430</v>
      </c>
      <c r="B297" s="18">
        <f>VLOOKUP(A297,Database!A:M,MATCH($A$1,Database!$A$1:$M$1,),)</f>
        <v>323071</v>
      </c>
      <c r="C297" s="15">
        <f t="shared" si="8"/>
        <v>-2.5748290393788303E-3</v>
      </c>
      <c r="D297" s="16">
        <f t="shared" si="9"/>
        <v>3.2274658912994858E-2</v>
      </c>
    </row>
    <row r="298" spans="1:4" x14ac:dyDescent="0.2">
      <c r="A298" s="14">
        <v>42461</v>
      </c>
      <c r="B298" s="18">
        <f>VLOOKUP(A298,Database!A:M,MATCH($A$1,Database!$A$1:$M$1,),)</f>
        <v>323590</v>
      </c>
      <c r="C298" s="15">
        <f t="shared" si="8"/>
        <v>1.606458023158996E-3</v>
      </c>
      <c r="D298" s="16">
        <f t="shared" si="9"/>
        <v>3.1951296516578381E-2</v>
      </c>
    </row>
    <row r="299" spans="1:4" x14ac:dyDescent="0.2">
      <c r="A299" s="13">
        <v>42491</v>
      </c>
      <c r="B299" s="18">
        <f>VLOOKUP(A299,Database!A:M,MATCH($A$1,Database!$A$1:$M$1,),)</f>
        <v>324289</v>
      </c>
      <c r="C299" s="15">
        <f t="shared" si="8"/>
        <v>2.1601409190642479E-3</v>
      </c>
      <c r="D299" s="16">
        <f t="shared" si="9"/>
        <v>2.9662133628832788E-2</v>
      </c>
    </row>
    <row r="300" spans="1:4" x14ac:dyDescent="0.2">
      <c r="A300" s="14">
        <v>42522</v>
      </c>
      <c r="B300" s="18">
        <f>VLOOKUP(A300,Database!A:M,MATCH($A$1,Database!$A$1:$M$1,),)</f>
        <v>327033</v>
      </c>
      <c r="C300" s="15">
        <f t="shared" si="8"/>
        <v>8.4615882746562482E-3</v>
      </c>
      <c r="D300" s="16">
        <f t="shared" si="9"/>
        <v>3.8031937686279361E-2</v>
      </c>
    </row>
    <row r="301" spans="1:4" x14ac:dyDescent="0.2">
      <c r="A301" s="13">
        <v>42552</v>
      </c>
      <c r="B301" s="18">
        <f>VLOOKUP(A301,Database!A:M,MATCH($A$1,Database!$A$1:$M$1,),)</f>
        <v>325311</v>
      </c>
      <c r="C301" s="15">
        <f t="shared" si="8"/>
        <v>-5.2655236627496306E-3</v>
      </c>
      <c r="D301" s="16">
        <f t="shared" si="9"/>
        <v>2.4401534188599392E-2</v>
      </c>
    </row>
    <row r="302" spans="1:4" x14ac:dyDescent="0.2">
      <c r="A302" s="14">
        <v>42583</v>
      </c>
      <c r="B302" s="18">
        <f>VLOOKUP(A302,Database!A:M,MATCH($A$1,Database!$A$1:$M$1,),)</f>
        <v>326417</v>
      </c>
      <c r="C302" s="15">
        <f t="shared" si="8"/>
        <v>3.3998235534611495E-3</v>
      </c>
      <c r="D302" s="16">
        <f t="shared" si="9"/>
        <v>2.6174899635638859E-2</v>
      </c>
    </row>
    <row r="303" spans="1:4" x14ac:dyDescent="0.2">
      <c r="A303" s="13">
        <v>42614</v>
      </c>
      <c r="B303" s="18">
        <f>VLOOKUP(A303,Database!A:M,MATCH($A$1,Database!$A$1:$M$1,),)</f>
        <v>327184</v>
      </c>
      <c r="C303" s="15">
        <f t="shared" si="8"/>
        <v>2.3497550679039388E-3</v>
      </c>
      <c r="D303" s="16">
        <f t="shared" si="9"/>
        <v>2.8615262730993896E-2</v>
      </c>
    </row>
    <row r="304" spans="1:4" x14ac:dyDescent="0.2">
      <c r="A304" s="14">
        <v>42644</v>
      </c>
      <c r="B304" s="18">
        <f>VLOOKUP(A304,Database!A:M,MATCH($A$1,Database!$A$1:$M$1,),)</f>
        <v>327785</v>
      </c>
      <c r="C304" s="15">
        <f t="shared" si="8"/>
        <v>1.8368868893344418E-3</v>
      </c>
      <c r="D304" s="16">
        <f t="shared" si="9"/>
        <v>3.14029042966599E-2</v>
      </c>
    </row>
    <row r="305" spans="1:4" x14ac:dyDescent="0.2">
      <c r="A305" s="13">
        <v>42675</v>
      </c>
      <c r="B305" s="18">
        <f>VLOOKUP(A305,Database!A:M,MATCH($A$1,Database!$A$1:$M$1,),)</f>
        <v>328217</v>
      </c>
      <c r="C305" s="15">
        <f t="shared" si="8"/>
        <v>1.3179370624037097E-3</v>
      </c>
      <c r="D305" s="16">
        <f t="shared" si="9"/>
        <v>2.86902586636495E-2</v>
      </c>
    </row>
    <row r="306" spans="1:4" x14ac:dyDescent="0.2">
      <c r="A306" s="14">
        <v>42705</v>
      </c>
      <c r="B306" s="18">
        <f>VLOOKUP(A306,Database!A:M,MATCH($A$1,Database!$A$1:$M$1,),)</f>
        <v>329217</v>
      </c>
      <c r="C306" s="15">
        <f t="shared" si="8"/>
        <v>3.0467647928047602E-3</v>
      </c>
      <c r="D306" s="16">
        <f t="shared" si="9"/>
        <v>2.45002240589524E-2</v>
      </c>
    </row>
    <row r="307" spans="1:4" x14ac:dyDescent="0.2">
      <c r="A307" s="13">
        <v>42736</v>
      </c>
      <c r="B307" s="18">
        <f>VLOOKUP(A307,Database!A:M,MATCH($A$1,Database!$A$1:$M$1,),)</f>
        <v>334193</v>
      </c>
      <c r="C307" s="15">
        <f t="shared" si="8"/>
        <v>1.5114650823013392E-2</v>
      </c>
      <c r="D307" s="16">
        <f t="shared" si="9"/>
        <v>4.369103350062304E-2</v>
      </c>
    </row>
    <row r="308" spans="1:4" x14ac:dyDescent="0.2">
      <c r="A308" s="14">
        <v>42767</v>
      </c>
      <c r="B308" s="18">
        <f>VLOOKUP(A308,Database!A:M,MATCH($A$1,Database!$A$1:$M$1,),)</f>
        <v>334072</v>
      </c>
      <c r="C308" s="15">
        <f t="shared" si="8"/>
        <v>-3.6206623118976159E-4</v>
      </c>
      <c r="D308" s="16">
        <f t="shared" si="9"/>
        <v>3.1388833145521065E-2</v>
      </c>
    </row>
    <row r="309" spans="1:4" x14ac:dyDescent="0.2">
      <c r="A309" s="13">
        <v>42795</v>
      </c>
      <c r="B309" s="18">
        <f>VLOOKUP(A309,Database!A:M,MATCH($A$1,Database!$A$1:$M$1,),)</f>
        <v>335515</v>
      </c>
      <c r="C309" s="15">
        <f t="shared" si="8"/>
        <v>4.3194281472257474E-3</v>
      </c>
      <c r="D309" s="16">
        <f t="shared" si="9"/>
        <v>3.8517849017708182E-2</v>
      </c>
    </row>
    <row r="310" spans="1:4" x14ac:dyDescent="0.2">
      <c r="A310" s="14">
        <v>42826</v>
      </c>
      <c r="B310" s="18">
        <f>VLOOKUP(A310,Database!A:M,MATCH($A$1,Database!$A$1:$M$1,),)</f>
        <v>337371</v>
      </c>
      <c r="C310" s="15">
        <f t="shared" si="8"/>
        <v>5.5317944056152485E-3</v>
      </c>
      <c r="D310" s="16">
        <f t="shared" si="9"/>
        <v>4.2587842640378258E-2</v>
      </c>
    </row>
    <row r="311" spans="1:4" x14ac:dyDescent="0.2">
      <c r="A311" s="13">
        <v>42856</v>
      </c>
      <c r="B311" s="18">
        <f>VLOOKUP(A311,Database!A:M,MATCH($A$1,Database!$A$1:$M$1,),)</f>
        <v>336090</v>
      </c>
      <c r="C311" s="15">
        <f t="shared" si="8"/>
        <v>-3.7970068559538312E-3</v>
      </c>
      <c r="D311" s="16">
        <f t="shared" si="9"/>
        <v>3.6390380185575215E-2</v>
      </c>
    </row>
    <row r="312" spans="1:4" x14ac:dyDescent="0.2">
      <c r="A312" s="14">
        <v>42887</v>
      </c>
      <c r="B312" s="18">
        <f>VLOOKUP(A312,Database!A:M,MATCH($A$1,Database!$A$1:$M$1,),)</f>
        <v>337439</v>
      </c>
      <c r="C312" s="15">
        <f t="shared" si="8"/>
        <v>4.0138058258204646E-3</v>
      </c>
      <c r="D312" s="16">
        <f t="shared" si="9"/>
        <v>3.181941883540805E-2</v>
      </c>
    </row>
    <row r="313" spans="1:4" x14ac:dyDescent="0.2">
      <c r="A313" s="13">
        <v>42917</v>
      </c>
      <c r="B313" s="18">
        <f>VLOOKUP(A313,Database!A:M,MATCH($A$1,Database!$A$1:$M$1,),)</f>
        <v>337493</v>
      </c>
      <c r="C313" s="15">
        <f t="shared" si="8"/>
        <v>1.6002892374621783E-4</v>
      </c>
      <c r="D313" s="16">
        <f t="shared" si="9"/>
        <v>3.744724279228185E-2</v>
      </c>
    </row>
    <row r="314" spans="1:4" x14ac:dyDescent="0.2">
      <c r="A314" s="14">
        <v>42948</v>
      </c>
      <c r="B314" s="18">
        <f>VLOOKUP(A314,Database!A:M,MATCH($A$1,Database!$A$1:$M$1,),)</f>
        <v>339279</v>
      </c>
      <c r="C314" s="15">
        <f t="shared" si="8"/>
        <v>5.2919616110556371E-3</v>
      </c>
      <c r="D314" s="16">
        <f t="shared" si="9"/>
        <v>3.9403584984850665E-2</v>
      </c>
    </row>
    <row r="315" spans="1:4" x14ac:dyDescent="0.2">
      <c r="A315" s="13">
        <v>42979</v>
      </c>
      <c r="B315" s="18">
        <f>VLOOKUP(A315,Database!A:M,MATCH($A$1,Database!$A$1:$M$1,),)</f>
        <v>342616</v>
      </c>
      <c r="C315" s="15">
        <f t="shared" si="8"/>
        <v>9.8355630616690105E-3</v>
      </c>
      <c r="D315" s="16">
        <f t="shared" si="9"/>
        <v>4.7166120592694018E-2</v>
      </c>
    </row>
    <row r="316" spans="1:4" x14ac:dyDescent="0.2">
      <c r="A316" s="14">
        <v>43009</v>
      </c>
      <c r="B316" s="18">
        <f>VLOOKUP(A316,Database!A:M,MATCH($A$1,Database!$A$1:$M$1,),)</f>
        <v>342619</v>
      </c>
      <c r="C316" s="15">
        <f t="shared" si="8"/>
        <v>8.7561584981436942E-6</v>
      </c>
      <c r="D316" s="16">
        <f t="shared" si="9"/>
        <v>4.5255274036334794E-2</v>
      </c>
    </row>
    <row r="317" spans="1:4" x14ac:dyDescent="0.2">
      <c r="A317" s="13">
        <v>43040</v>
      </c>
      <c r="B317" s="18">
        <f>VLOOKUP(A317,Database!A:M,MATCH($A$1,Database!$A$1:$M$1,),)</f>
        <v>347389</v>
      </c>
      <c r="C317" s="15">
        <f t="shared" si="8"/>
        <v>1.3922170107320376E-2</v>
      </c>
      <c r="D317" s="16">
        <f t="shared" si="9"/>
        <v>5.841257460765286E-2</v>
      </c>
    </row>
    <row r="318" spans="1:4" x14ac:dyDescent="0.2">
      <c r="A318" s="14">
        <v>43070</v>
      </c>
      <c r="B318" s="18">
        <f>VLOOKUP(A318,Database!A:M,MATCH($A$1,Database!$A$1:$M$1,),)</f>
        <v>349301</v>
      </c>
      <c r="C318" s="15">
        <f t="shared" si="8"/>
        <v>5.5039163588944959E-3</v>
      </c>
      <c r="D318" s="16">
        <f t="shared" si="9"/>
        <v>6.1005355130506624E-2</v>
      </c>
    </row>
    <row r="319" spans="1:4" x14ac:dyDescent="0.2">
      <c r="A319" s="13">
        <v>43101</v>
      </c>
      <c r="B319" s="18">
        <f>VLOOKUP(A319,Database!A:M,MATCH($A$1,Database!$A$1:$M$1,),)</f>
        <v>348453</v>
      </c>
      <c r="C319" s="15">
        <f t="shared" si="8"/>
        <v>-2.4277056177909595E-3</v>
      </c>
      <c r="D319" s="16">
        <f t="shared" si="9"/>
        <v>4.2669954188148763E-2</v>
      </c>
    </row>
    <row r="320" spans="1:4" x14ac:dyDescent="0.2">
      <c r="A320" s="14">
        <v>43132</v>
      </c>
      <c r="B320" s="18">
        <f>VLOOKUP(A320,Database!A:M,MATCH($A$1,Database!$A$1:$M$1,),)</f>
        <v>350758</v>
      </c>
      <c r="C320" s="15">
        <f t="shared" si="8"/>
        <v>6.6149523752127258E-3</v>
      </c>
      <c r="D320" s="16">
        <f t="shared" si="9"/>
        <v>4.994731674609066E-2</v>
      </c>
    </row>
    <row r="321" spans="1:4" x14ac:dyDescent="0.2">
      <c r="A321" s="13">
        <v>43160</v>
      </c>
      <c r="B321" s="18">
        <f>VLOOKUP(A321,Database!A:M,MATCH($A$1,Database!$A$1:$M$1,),)</f>
        <v>350632</v>
      </c>
      <c r="C321" s="15">
        <f t="shared" si="8"/>
        <v>-3.5922202772281745E-4</v>
      </c>
      <c r="D321" s="16">
        <f t="shared" si="9"/>
        <v>4.5056107774615141E-2</v>
      </c>
    </row>
    <row r="322" spans="1:4" x14ac:dyDescent="0.2">
      <c r="A322" s="14">
        <v>43191</v>
      </c>
      <c r="B322" s="18">
        <f>VLOOKUP(A322,Database!A:M,MATCH($A$1,Database!$A$1:$M$1,),)</f>
        <v>352159</v>
      </c>
      <c r="C322" s="15">
        <f t="shared" si="8"/>
        <v>4.3549932692965847E-3</v>
      </c>
      <c r="D322" s="16">
        <f t="shared" si="9"/>
        <v>4.3833050262174281E-2</v>
      </c>
    </row>
    <row r="323" spans="1:4" x14ac:dyDescent="0.2">
      <c r="A323" s="13">
        <v>43221</v>
      </c>
      <c r="B323" s="18">
        <f>VLOOKUP(A323,Database!A:M,MATCH($A$1,Database!$A$1:$M$1,),)</f>
        <v>356316</v>
      </c>
      <c r="C323" s="15">
        <f t="shared" si="8"/>
        <v>1.1804327022736889E-2</v>
      </c>
      <c r="D323" s="16">
        <f t="shared" si="9"/>
        <v>6.0180308845844861E-2</v>
      </c>
    </row>
    <row r="324" spans="1:4" x14ac:dyDescent="0.2">
      <c r="A324" s="14">
        <v>43252</v>
      </c>
      <c r="B324" s="18">
        <f>VLOOKUP(A324,Database!A:M,MATCH($A$1,Database!$A$1:$M$1,),)</f>
        <v>355265</v>
      </c>
      <c r="C324" s="15">
        <f t="shared" si="8"/>
        <v>-2.9496289810168504E-3</v>
      </c>
      <c r="D324" s="16">
        <f t="shared" si="9"/>
        <v>5.2827325827779242E-2</v>
      </c>
    </row>
    <row r="325" spans="1:4" x14ac:dyDescent="0.2">
      <c r="A325" s="13">
        <v>43282</v>
      </c>
      <c r="B325" s="18">
        <f>VLOOKUP(A325,Database!A:M,MATCH($A$1,Database!$A$1:$M$1,),)</f>
        <v>357605</v>
      </c>
      <c r="C325" s="15">
        <f t="shared" ref="C325:C326" si="10">(B325-B324)/B324</f>
        <v>6.5866325137573364E-3</v>
      </c>
      <c r="D325" s="16">
        <f t="shared" ref="D325:D326" si="11">(B325-B313)/B313</f>
        <v>5.9592347100532454E-2</v>
      </c>
    </row>
    <row r="326" spans="1:4" x14ac:dyDescent="0.2">
      <c r="A326" s="14">
        <v>43313</v>
      </c>
      <c r="B326" s="18">
        <f>VLOOKUP(A326,Database!A:M,MATCH($A$1,Database!$A$1:$M$1,),)</f>
        <v>357588</v>
      </c>
      <c r="C326" s="15">
        <f t="shared" si="10"/>
        <v>-4.7538485200151003E-5</v>
      </c>
      <c r="D326" s="16">
        <f t="shared" si="11"/>
        <v>5.3964436348845637E-2</v>
      </c>
    </row>
    <row r="327" spans="1:4" x14ac:dyDescent="0.2">
      <c r="A327" s="13">
        <v>43344</v>
      </c>
      <c r="B327" s="18">
        <f>VLOOKUP(A327,Database!A:M,MATCH($A$1,Database!$A$1:$M$1,),)</f>
        <v>356859</v>
      </c>
      <c r="C327" s="15">
        <f t="shared" ref="C327:C328" si="12">(B327-B326)/B326</f>
        <v>-2.0386590154032012E-3</v>
      </c>
      <c r="D327" s="16">
        <f t="shared" ref="D327:D328" si="13">(B327-B315)/B315</f>
        <v>4.1571321829686883E-2</v>
      </c>
    </row>
    <row r="328" spans="1:4" x14ac:dyDescent="0.2">
      <c r="A328" s="14">
        <v>43374</v>
      </c>
      <c r="B328" s="18">
        <f>VLOOKUP(A328,Database!A:M,MATCH($A$1,Database!$A$1:$M$1,),)</f>
        <v>360253</v>
      </c>
      <c r="C328" s="15">
        <f t="shared" si="12"/>
        <v>9.5107591513735115E-3</v>
      </c>
      <c r="D328" s="16">
        <f t="shared" si="13"/>
        <v>5.1468248987942875E-2</v>
      </c>
    </row>
    <row r="329" spans="1:4" x14ac:dyDescent="0.2">
      <c r="A329" s="13">
        <v>43405</v>
      </c>
      <c r="B329" s="18">
        <f>VLOOKUP(A329,Database!A:M,MATCH($A$1,Database!$A$1:$M$1,),)</f>
        <v>362555</v>
      </c>
      <c r="C329" s="15">
        <f t="shared" ref="C329:C330" si="14">(B329-B328)/B328</f>
        <v>6.3899537269641055E-3</v>
      </c>
      <c r="D329" s="16">
        <f t="shared" ref="D329:D330" si="15">(B329-B317)/B317</f>
        <v>4.3657110616628622E-2</v>
      </c>
    </row>
    <row r="330" spans="1:4" x14ac:dyDescent="0.2">
      <c r="A330" s="14">
        <v>43435</v>
      </c>
      <c r="B330" s="18">
        <f>VLOOKUP(A330,Database!A:M,MATCH($A$1,Database!$A$1:$M$1,),)</f>
        <v>353860</v>
      </c>
      <c r="C330" s="15">
        <f t="shared" si="14"/>
        <v>-2.3982568162071963E-2</v>
      </c>
      <c r="D330" s="16">
        <f t="shared" si="15"/>
        <v>1.3051780556024746E-2</v>
      </c>
    </row>
    <row r="331" spans="1:4" x14ac:dyDescent="0.2">
      <c r="A331" s="13">
        <v>43466</v>
      </c>
      <c r="B331" s="18">
        <f>VLOOKUP(A331,Database!A:M,MATCH($A$1,Database!$A$1:$M$1,),)</f>
        <v>363338</v>
      </c>
      <c r="C331" s="15">
        <f t="shared" ref="C331:C332" si="16">(B331-B330)/B330</f>
        <v>2.6784604080709887E-2</v>
      </c>
      <c r="D331" s="16">
        <f t="shared" ref="D331:D332" si="17">(B331-B319)/B319</f>
        <v>4.2717382258152463E-2</v>
      </c>
    </row>
    <row r="332" spans="1:4" x14ac:dyDescent="0.2">
      <c r="A332" s="14">
        <v>43497</v>
      </c>
      <c r="B332" s="18">
        <f>VLOOKUP(A332,Database!A:M,MATCH($A$1,Database!$A$1:$M$1,),)</f>
        <v>360834</v>
      </c>
      <c r="C332" s="15">
        <f t="shared" si="16"/>
        <v>-6.8916546026014346E-3</v>
      </c>
      <c r="D332" s="16">
        <f t="shared" si="17"/>
        <v>2.8726358343929434E-2</v>
      </c>
    </row>
    <row r="333" spans="1:4" x14ac:dyDescent="0.2">
      <c r="A333" s="13">
        <v>43525</v>
      </c>
      <c r="B333" s="18">
        <f>VLOOKUP(A333,Database!A:M,MATCH($A$1,Database!$A$1:$M$1,),)</f>
        <v>364418</v>
      </c>
      <c r="C333" s="15">
        <f t="shared" ref="C333:C334" si="18">(B333-B332)/B332</f>
        <v>9.9325451592699142E-3</v>
      </c>
      <c r="D333" s="16">
        <f t="shared" ref="D333:D334" si="19">(B333-B321)/B321</f>
        <v>3.9317575121494898E-2</v>
      </c>
    </row>
    <row r="334" spans="1:4" x14ac:dyDescent="0.2">
      <c r="A334" s="14">
        <v>43556</v>
      </c>
      <c r="B334" s="18">
        <f>VLOOKUP(A334,Database!A:M,MATCH($A$1,Database!$A$1:$M$1,),)</f>
        <v>366650</v>
      </c>
      <c r="C334" s="15">
        <f t="shared" si="18"/>
        <v>6.1248346678813891E-3</v>
      </c>
      <c r="D334" s="16">
        <f t="shared" si="19"/>
        <v>4.1149026434082331E-2</v>
      </c>
    </row>
    <row r="335" spans="1:4" x14ac:dyDescent="0.2">
      <c r="A335" s="13">
        <v>43586</v>
      </c>
      <c r="B335" s="18">
        <f>VLOOKUP(A335,Database!A:M,MATCH($A$1,Database!$A$1:$M$1,),)</f>
        <v>367975</v>
      </c>
      <c r="C335" s="15">
        <f t="shared" ref="C335:C336" si="20">(B335-B334)/B334</f>
        <v>3.6138006273012408E-3</v>
      </c>
      <c r="D335" s="16">
        <f t="shared" ref="D335:D336" si="21">(B335-B323)/B323</f>
        <v>3.2720955556303957E-2</v>
      </c>
    </row>
    <row r="336" spans="1:4" s="1" customFormat="1" x14ac:dyDescent="0.2">
      <c r="A336" s="14">
        <v>43617</v>
      </c>
      <c r="B336" s="18">
        <f>VLOOKUP(A336,Database!A:M,MATCH($A$1,Database!$A$1:$M$1,),)</f>
        <v>370338</v>
      </c>
      <c r="C336" s="15">
        <f t="shared" si="20"/>
        <v>6.4216319043413272E-3</v>
      </c>
      <c r="D336" s="16">
        <f t="shared" si="21"/>
        <v>4.2427483709343732E-2</v>
      </c>
    </row>
    <row r="337" spans="1:4" s="1" customFormat="1" x14ac:dyDescent="0.2">
      <c r="A337" s="13">
        <v>43647</v>
      </c>
      <c r="B337" s="18">
        <f>VLOOKUP(A337,Database!A:M,MATCH($A$1,Database!$A$1:$M$1,),)</f>
        <v>372369</v>
      </c>
      <c r="C337" s="15">
        <f t="shared" ref="C337:C338" si="22">(B337-B336)/B336</f>
        <v>5.4841793172723296E-3</v>
      </c>
      <c r="D337" s="16">
        <f t="shared" ref="D337:D338" si="23">(B337-B325)/B325</f>
        <v>4.1285776205589965E-2</v>
      </c>
    </row>
    <row r="338" spans="1:4" s="1" customFormat="1" x14ac:dyDescent="0.2">
      <c r="A338" s="14">
        <v>43678</v>
      </c>
      <c r="B338" s="18">
        <f>VLOOKUP(A338,Database!A:M,MATCH($A$1,Database!$A$1:$M$1,),)</f>
        <v>373450</v>
      </c>
      <c r="C338" s="15">
        <f t="shared" si="22"/>
        <v>2.9030343557063022E-3</v>
      </c>
      <c r="D338" s="16">
        <f t="shared" si="23"/>
        <v>4.4358311800172266E-2</v>
      </c>
    </row>
    <row r="339" spans="1:4" s="1" customFormat="1" x14ac:dyDescent="0.2">
      <c r="A339" s="13">
        <v>43709</v>
      </c>
      <c r="B339" s="18">
        <f>VLOOKUP(A339,Database!A:M,MATCH($A$1,Database!$A$1:$M$1,),)</f>
        <v>372355</v>
      </c>
      <c r="C339" s="15">
        <f t="shared" ref="C339:C340" si="24">(B339-B338)/B338</f>
        <v>-2.9321194269647877E-3</v>
      </c>
      <c r="D339" s="16">
        <f t="shared" ref="D339:D340" si="25">(B339-B327)/B327</f>
        <v>4.3423312849052424E-2</v>
      </c>
    </row>
    <row r="340" spans="1:4" s="1" customFormat="1" x14ac:dyDescent="0.2">
      <c r="A340" s="14">
        <v>43739</v>
      </c>
      <c r="B340" s="18">
        <f>VLOOKUP(A340,Database!A:M,MATCH($A$1,Database!$A$1:$M$1,),)</f>
        <v>373751</v>
      </c>
      <c r="C340" s="15">
        <f t="shared" si="24"/>
        <v>3.7491103919646573E-3</v>
      </c>
      <c r="D340" s="16">
        <f t="shared" si="25"/>
        <v>3.7468112687472417E-2</v>
      </c>
    </row>
    <row r="341" spans="1:4" s="1" customFormat="1" x14ac:dyDescent="0.2">
      <c r="A341" s="13">
        <v>43770</v>
      </c>
      <c r="B341" s="18">
        <f>VLOOKUP(A341,Database!A:M,MATCH($A$1,Database!$A$1:$M$1,),)</f>
        <v>372985</v>
      </c>
      <c r="C341" s="15">
        <f t="shared" ref="C341:C342" si="26">(B341-B340)/B340</f>
        <v>-2.0494928441663032E-3</v>
      </c>
      <c r="D341" s="16">
        <f t="shared" ref="D341:D342" si="27">(B341-B329)/B329</f>
        <v>2.8768048985671139E-2</v>
      </c>
    </row>
    <row r="342" spans="1:4" s="1" customFormat="1" x14ac:dyDescent="0.2">
      <c r="A342" s="14">
        <v>43800</v>
      </c>
      <c r="B342" s="18">
        <f>VLOOKUP(A342,Database!A:M,MATCH($A$1,Database!$A$1:$M$1,),)</f>
        <v>374946</v>
      </c>
      <c r="C342" s="15">
        <f t="shared" si="26"/>
        <v>5.2575840851508777E-3</v>
      </c>
      <c r="D342" s="16">
        <f t="shared" si="27"/>
        <v>5.9588537839823659E-2</v>
      </c>
    </row>
    <row r="343" spans="1:4" s="1" customFormat="1" x14ac:dyDescent="0.2">
      <c r="A343" s="13">
        <v>43831</v>
      </c>
      <c r="B343" s="18">
        <f>VLOOKUP(A343,Database!A:M,MATCH($A$1,Database!$A$1:$M$1,),)</f>
        <v>378573</v>
      </c>
      <c r="C343" s="15">
        <f t="shared" ref="C343:C344" si="28">(B343-B342)/B342</f>
        <v>9.673392968587477E-3</v>
      </c>
      <c r="D343" s="16">
        <f t="shared" ref="D343:D344" si="29">(B343-B331)/B331</f>
        <v>4.1930654101690439E-2</v>
      </c>
    </row>
    <row r="344" spans="1:4" s="1" customFormat="1" x14ac:dyDescent="0.2">
      <c r="A344" s="14">
        <v>43862</v>
      </c>
      <c r="B344" s="18">
        <f>VLOOKUP(A344,Database!A:M,MATCH($A$1,Database!$A$1:$M$1,),)</f>
        <v>378665</v>
      </c>
      <c r="C344" s="15">
        <f t="shared" si="28"/>
        <v>2.4301785917115061E-4</v>
      </c>
      <c r="D344" s="16">
        <f t="shared" si="29"/>
        <v>4.9416074981847607E-2</v>
      </c>
    </row>
    <row r="345" spans="1:4" s="1" customFormat="1" x14ac:dyDescent="0.2">
      <c r="A345" s="13">
        <v>43891</v>
      </c>
      <c r="B345" s="18">
        <f>VLOOKUP(A345,Database!A:M,MATCH($A$1,Database!$A$1:$M$1,),)</f>
        <v>367684</v>
      </c>
      <c r="C345" s="15">
        <f t="shared" ref="C345:C346" si="30">(B345-B344)/B344</f>
        <v>-2.8999247355842236E-2</v>
      </c>
      <c r="D345" s="16">
        <f t="shared" ref="D345:D346" si="31">(B345-B333)/B333</f>
        <v>8.9622356744178382E-3</v>
      </c>
    </row>
    <row r="346" spans="1:4" s="1" customFormat="1" x14ac:dyDescent="0.2">
      <c r="A346" s="14">
        <v>43922</v>
      </c>
      <c r="B346" s="18">
        <f>VLOOKUP(A346,Database!A:M,MATCH($A$1,Database!$A$1:$M$1,),)</f>
        <v>315490</v>
      </c>
      <c r="C346" s="15">
        <f t="shared" si="30"/>
        <v>-0.141953416520708</v>
      </c>
      <c r="D346" s="16">
        <f t="shared" si="31"/>
        <v>-0.13953361516432566</v>
      </c>
    </row>
    <row r="347" spans="1:4" s="1" customFormat="1" x14ac:dyDescent="0.2">
      <c r="A347" s="13">
        <v>43952</v>
      </c>
      <c r="B347" s="18">
        <f>VLOOKUP(A347,Database!A:M,MATCH($A$1,Database!$A$1:$M$1,),)</f>
        <v>353737</v>
      </c>
      <c r="C347" s="15">
        <f t="shared" ref="C347:C348" si="32">(B347-B346)/B346</f>
        <v>0.12123046689276998</v>
      </c>
      <c r="D347" s="16">
        <f t="shared" ref="D347:D348" si="33">(B347-B335)/B335</f>
        <v>-3.8692845981384602E-2</v>
      </c>
    </row>
    <row r="348" spans="1:4" s="1" customFormat="1" x14ac:dyDescent="0.2">
      <c r="A348" s="14">
        <v>43983</v>
      </c>
      <c r="B348" s="18">
        <f>VLOOKUP(A348,Database!A:M,MATCH($A$1,Database!$A$1:$M$1,),)</f>
        <v>381322</v>
      </c>
      <c r="C348" s="15">
        <f t="shared" si="32"/>
        <v>7.7981664343848678E-2</v>
      </c>
      <c r="D348" s="16">
        <f t="shared" si="33"/>
        <v>2.9659392230880981E-2</v>
      </c>
    </row>
    <row r="349" spans="1:4" s="1" customFormat="1" x14ac:dyDescent="0.2">
      <c r="A349" s="13">
        <v>44013</v>
      </c>
      <c r="B349" s="18">
        <f>VLOOKUP(A349,Database!A:M,MATCH($A$1,Database!$A$1:$M$1,),)</f>
        <v>388073</v>
      </c>
      <c r="C349" s="15">
        <f t="shared" ref="C349:C350" si="34">(B349-B348)/B348</f>
        <v>1.7704197502373321E-2</v>
      </c>
      <c r="D349" s="16">
        <f t="shared" ref="D349:D350" si="35">(B349-B337)/B337</f>
        <v>4.2173220649409593E-2</v>
      </c>
    </row>
    <row r="350" spans="1:4" s="1" customFormat="1" x14ac:dyDescent="0.2">
      <c r="A350" s="14">
        <v>44044</v>
      </c>
      <c r="B350" s="18">
        <f>VLOOKUP(A350,Database!A:M,MATCH($A$1,Database!$A$1:$M$1,),)</f>
        <v>391638</v>
      </c>
      <c r="C350" s="15">
        <f t="shared" si="34"/>
        <v>9.1864159578223682E-3</v>
      </c>
      <c r="D350" s="16">
        <f t="shared" si="35"/>
        <v>4.8702637568616952E-2</v>
      </c>
    </row>
    <row r="351" spans="1:4" s="1" customFormat="1" x14ac:dyDescent="0.2">
      <c r="A351" s="13">
        <v>44075</v>
      </c>
      <c r="B351" s="18">
        <f>VLOOKUP(A351,Database!A:M,MATCH($A$1,Database!$A$1:$M$1,),)</f>
        <v>398145</v>
      </c>
      <c r="C351" s="15">
        <f t="shared" ref="C351:C352" si="36">(B351-B350)/B350</f>
        <v>1.6614833085655631E-2</v>
      </c>
      <c r="D351" s="16">
        <f t="shared" ref="D351:D352" si="37">(B351-B339)/B339</f>
        <v>6.9261860321467417E-2</v>
      </c>
    </row>
    <row r="352" spans="1:4" s="1" customFormat="1" x14ac:dyDescent="0.2">
      <c r="A352" s="14">
        <v>44105</v>
      </c>
      <c r="B352" s="18">
        <f>VLOOKUP(A352,Database!A:M,MATCH($A$1,Database!$A$1:$M$1,),)</f>
        <v>398597</v>
      </c>
      <c r="C352" s="15">
        <f t="shared" si="36"/>
        <v>1.135264790465785E-3</v>
      </c>
      <c r="D352" s="16">
        <f t="shared" si="37"/>
        <v>6.6477414107253219E-2</v>
      </c>
    </row>
    <row r="353" spans="1:4" s="1" customFormat="1" x14ac:dyDescent="0.2">
      <c r="A353" s="13">
        <v>44136</v>
      </c>
      <c r="B353" s="18">
        <f>VLOOKUP(A353,Database!A:M,MATCH($A$1,Database!$A$1:$M$1,),)</f>
        <v>393908</v>
      </c>
      <c r="C353" s="15">
        <f t="shared" ref="C353:C354" si="38">(B353-B352)/B352</f>
        <v>-1.176376139308625E-2</v>
      </c>
      <c r="D353" s="16">
        <f t="shared" ref="D353:D354" si="39">(B353-B341)/B341</f>
        <v>5.6096089655079964E-2</v>
      </c>
    </row>
    <row r="354" spans="1:4" s="1" customFormat="1" x14ac:dyDescent="0.2">
      <c r="A354" s="14">
        <v>44166</v>
      </c>
      <c r="B354" s="18">
        <f>VLOOKUP(A354,Database!A:M,MATCH($A$1,Database!$A$1:$M$1,),)</f>
        <v>382427</v>
      </c>
      <c r="C354" s="15">
        <f t="shared" si="38"/>
        <v>-2.9146399666927301E-2</v>
      </c>
      <c r="D354" s="16">
        <f t="shared" si="39"/>
        <v>1.9952206451062285E-2</v>
      </c>
    </row>
    <row r="355" spans="1:4" s="1" customFormat="1" x14ac:dyDescent="0.2">
      <c r="A355" s="13">
        <v>44197</v>
      </c>
      <c r="B355" s="18">
        <f>VLOOKUP(A355,Database!A:M,MATCH($A$1,Database!$A$1:$M$1,),)</f>
        <v>415492</v>
      </c>
      <c r="C355" s="15">
        <f t="shared" ref="C355:C356" si="40">(B355-B354)/B354</f>
        <v>8.6460945487635554E-2</v>
      </c>
      <c r="D355" s="16">
        <f t="shared" ref="D355:D356" si="41">(B355-B343)/B343</f>
        <v>9.7521481986301187E-2</v>
      </c>
    </row>
    <row r="356" spans="1:4" s="1" customFormat="1" x14ac:dyDescent="0.2">
      <c r="A356" s="14">
        <v>44228</v>
      </c>
      <c r="B356" s="18">
        <f>VLOOKUP(A356,Database!A:M,MATCH($A$1,Database!$A$1:$M$1,),)</f>
        <v>402025</v>
      </c>
      <c r="C356" s="15">
        <f t="shared" si="40"/>
        <v>-3.2412176407728671E-2</v>
      </c>
      <c r="D356" s="16">
        <f t="shared" si="41"/>
        <v>6.1690412369772754E-2</v>
      </c>
    </row>
    <row r="357" spans="1:4" s="1" customFormat="1" x14ac:dyDescent="0.2">
      <c r="A357" s="13">
        <v>44256</v>
      </c>
      <c r="B357" s="18">
        <f>VLOOKUP(A357,Database!A:M,MATCH($A$1,Database!$A$1:$M$1,),)</f>
        <v>441234</v>
      </c>
      <c r="C357" s="15">
        <f t="shared" ref="C357:C358" si="42">(B357-B356)/B356</f>
        <v>9.7528760649213356E-2</v>
      </c>
      <c r="D357" s="16">
        <f t="shared" ref="D357:D358" si="43">(B357-B345)/B345</f>
        <v>0.20003590039272853</v>
      </c>
    </row>
    <row r="358" spans="1:4" s="1" customFormat="1" x14ac:dyDescent="0.2">
      <c r="A358" s="14">
        <v>44287</v>
      </c>
      <c r="B358" s="18">
        <f>VLOOKUP(A358,Database!A:M,MATCH($A$1,Database!$A$1:$M$1,),)</f>
        <v>441556</v>
      </c>
      <c r="C358" s="15">
        <f t="shared" si="42"/>
        <v>7.2977150446248474E-4</v>
      </c>
      <c r="D358" s="16">
        <f t="shared" si="43"/>
        <v>0.39958794256553298</v>
      </c>
    </row>
    <row r="359" spans="1:4" s="1" customFormat="1" x14ac:dyDescent="0.2">
      <c r="A359" s="13">
        <v>44317</v>
      </c>
      <c r="B359" s="18">
        <f>VLOOKUP(A359,Database!A:M,MATCH($A$1,Database!$A$1:$M$1,),)</f>
        <v>438636</v>
      </c>
      <c r="C359" s="15">
        <f t="shared" ref="C359:C360" si="44">(B359-B358)/B358</f>
        <v>-6.6129777423475167E-3</v>
      </c>
      <c r="D359" s="16">
        <f t="shared" ref="D359:D360" si="45">(B359-B347)/B347</f>
        <v>0.24000599315310528</v>
      </c>
    </row>
    <row r="360" spans="1:4" s="1" customFormat="1" x14ac:dyDescent="0.2">
      <c r="A360" s="14">
        <v>44348</v>
      </c>
      <c r="B360" s="18">
        <f>VLOOKUP(A360,Database!A:M,MATCH($A$1,Database!$A$1:$M$1,),)</f>
        <v>445079</v>
      </c>
      <c r="C360" s="15">
        <f t="shared" si="44"/>
        <v>1.4688716840387018E-2</v>
      </c>
      <c r="D360" s="16">
        <f t="shared" si="45"/>
        <v>0.1671998992977064</v>
      </c>
    </row>
    <row r="361" spans="1:4" s="1" customFormat="1" x14ac:dyDescent="0.2">
      <c r="A361" s="13">
        <v>44378</v>
      </c>
      <c r="B361" s="18">
        <f>VLOOKUP(A361,Database!A:M,MATCH($A$1,Database!$A$1:$M$1,),)</f>
        <v>439055</v>
      </c>
      <c r="C361" s="15">
        <f t="shared" ref="C361:C362" si="46">(B361-B360)/B360</f>
        <v>-1.353467586653156E-2</v>
      </c>
      <c r="D361" s="16">
        <f t="shared" ref="D361:D362" si="47">(B361-B349)/B349</f>
        <v>0.13137219028378683</v>
      </c>
    </row>
    <row r="362" spans="1:4" s="1" customFormat="1" x14ac:dyDescent="0.2">
      <c r="A362" s="14">
        <v>44409</v>
      </c>
      <c r="B362" s="18">
        <f>VLOOKUP(A362,Database!A:M,MATCH($A$1,Database!$A$1:$M$1,),)</f>
        <v>447822</v>
      </c>
      <c r="C362" s="15">
        <f t="shared" si="46"/>
        <v>1.996788557242259E-2</v>
      </c>
      <c r="D362" s="16">
        <f t="shared" si="47"/>
        <v>0.1434590106169473</v>
      </c>
    </row>
    <row r="363" spans="1:4" s="1" customFormat="1" x14ac:dyDescent="0.2"/>
    <row r="364" spans="1:4" s="1" customFormat="1" x14ac:dyDescent="0.2"/>
    <row r="365" spans="1:4" s="1" customFormat="1" x14ac:dyDescent="0.2"/>
    <row r="366" spans="1:4" s="1" customFormat="1" x14ac:dyDescent="0.2"/>
    <row r="367" spans="1:4" s="1" customFormat="1" x14ac:dyDescent="0.2"/>
    <row r="368" spans="1:4" s="1" customFormat="1" x14ac:dyDescent="0.2"/>
    <row r="369" s="1" customFormat="1" x14ac:dyDescent="0.2"/>
    <row r="370" s="1" customFormat="1" x14ac:dyDescent="0.2"/>
    <row r="371" s="1" customFormat="1" x14ac:dyDescent="0.2"/>
    <row r="372" s="1" customFormat="1" x14ac:dyDescent="0.2"/>
    <row r="373" s="1" customFormat="1" x14ac:dyDescent="0.2"/>
    <row r="374" s="1" customFormat="1" x14ac:dyDescent="0.2"/>
    <row r="375" s="1" customFormat="1" x14ac:dyDescent="0.2"/>
    <row r="376" s="1" customFormat="1" x14ac:dyDescent="0.2"/>
    <row r="377" s="1" customFormat="1" x14ac:dyDescent="0.2"/>
    <row r="378" s="1" customFormat="1" x14ac:dyDescent="0.2"/>
    <row r="379" s="1" customFormat="1" x14ac:dyDescent="0.2"/>
    <row r="380" s="1" customFormat="1" x14ac:dyDescent="0.2"/>
    <row r="381" s="1" customFormat="1" x14ac:dyDescent="0.2"/>
    <row r="382" s="1" customFormat="1" x14ac:dyDescent="0.2"/>
    <row r="383" s="1" customFormat="1" x14ac:dyDescent="0.2"/>
    <row r="384" s="1" customFormat="1" x14ac:dyDescent="0.2"/>
    <row r="385" s="1" customFormat="1" x14ac:dyDescent="0.2"/>
    <row r="386" s="1" customFormat="1" x14ac:dyDescent="0.2"/>
    <row r="387" s="1" customFormat="1" x14ac:dyDescent="0.2"/>
    <row r="388" s="1" customFormat="1" x14ac:dyDescent="0.2"/>
    <row r="389" s="1" customFormat="1" x14ac:dyDescent="0.2"/>
    <row r="390" s="1" customFormat="1" x14ac:dyDescent="0.2"/>
    <row r="391" s="1" customFormat="1" x14ac:dyDescent="0.2"/>
    <row r="392" s="1" customFormat="1" x14ac:dyDescent="0.2"/>
    <row r="393" s="1" customFormat="1" x14ac:dyDescent="0.2"/>
    <row r="394" s="1" customFormat="1" x14ac:dyDescent="0.2"/>
    <row r="395" s="1" customFormat="1" x14ac:dyDescent="0.2"/>
    <row r="396" s="1" customFormat="1" x14ac:dyDescent="0.2"/>
    <row r="397" s="1" customFormat="1" x14ac:dyDescent="0.2"/>
    <row r="398" s="1" customFormat="1" x14ac:dyDescent="0.2"/>
    <row r="399" s="1" customFormat="1" x14ac:dyDescent="0.2"/>
    <row r="400" s="1" customFormat="1" x14ac:dyDescent="0.2"/>
    <row r="401" s="1" customFormat="1" x14ac:dyDescent="0.2"/>
    <row r="402" s="1" customFormat="1" x14ac:dyDescent="0.2"/>
    <row r="403" s="1" customFormat="1" x14ac:dyDescent="0.2"/>
    <row r="404" s="1" customFormat="1" x14ac:dyDescent="0.2"/>
    <row r="405" s="1" customFormat="1" x14ac:dyDescent="0.2"/>
    <row r="406" s="1" customFormat="1" x14ac:dyDescent="0.2"/>
    <row r="407" s="1" customFormat="1" x14ac:dyDescent="0.2"/>
    <row r="408" s="1" customFormat="1" x14ac:dyDescent="0.2"/>
    <row r="409" s="1" customFormat="1" x14ac:dyDescent="0.2"/>
    <row r="410" s="1" customFormat="1" x14ac:dyDescent="0.2"/>
    <row r="411" s="1" customFormat="1" x14ac:dyDescent="0.2"/>
    <row r="412" s="1" customFormat="1" x14ac:dyDescent="0.2"/>
    <row r="413" s="1" customFormat="1" x14ac:dyDescent="0.2"/>
    <row r="414" s="1" customFormat="1" x14ac:dyDescent="0.2"/>
    <row r="415" s="1" customFormat="1" x14ac:dyDescent="0.2"/>
    <row r="416" s="1" customFormat="1" x14ac:dyDescent="0.2"/>
    <row r="417" s="1" customFormat="1" x14ac:dyDescent="0.2"/>
    <row r="418" s="1" customFormat="1" x14ac:dyDescent="0.2"/>
    <row r="419" s="1" customFormat="1" x14ac:dyDescent="0.2"/>
    <row r="420" s="1" customFormat="1" x14ac:dyDescent="0.2"/>
    <row r="421" s="1" customFormat="1" x14ac:dyDescent="0.2"/>
    <row r="422" s="1" customFormat="1" x14ac:dyDescent="0.2"/>
    <row r="423" s="1" customFormat="1" x14ac:dyDescent="0.2"/>
    <row r="424" s="1" customFormat="1" x14ac:dyDescent="0.2"/>
    <row r="425" s="1" customFormat="1" x14ac:dyDescent="0.2"/>
    <row r="426" s="1" customFormat="1" x14ac:dyDescent="0.2"/>
    <row r="427" s="1" customFormat="1" x14ac:dyDescent="0.2"/>
    <row r="428" s="1" customFormat="1" x14ac:dyDescent="0.2"/>
    <row r="429" s="1" customFormat="1" x14ac:dyDescent="0.2"/>
    <row r="430" s="1" customFormat="1" x14ac:dyDescent="0.2"/>
    <row r="431" s="1" customFormat="1" x14ac:dyDescent="0.2"/>
    <row r="432" s="1" customFormat="1" x14ac:dyDescent="0.2"/>
    <row r="433" s="1" customFormat="1" x14ac:dyDescent="0.2"/>
    <row r="434" s="1" customFormat="1" x14ac:dyDescent="0.2"/>
    <row r="435" s="1" customFormat="1" x14ac:dyDescent="0.2"/>
    <row r="436" s="1" customFormat="1" x14ac:dyDescent="0.2"/>
    <row r="437" s="1" customFormat="1" x14ac:dyDescent="0.2"/>
    <row r="438" s="1" customFormat="1" x14ac:dyDescent="0.2"/>
    <row r="439" s="1" customFormat="1" x14ac:dyDescent="0.2"/>
    <row r="440" s="1" customFormat="1" x14ac:dyDescent="0.2"/>
    <row r="441" s="1" customFormat="1" x14ac:dyDescent="0.2"/>
    <row r="442" s="1" customFormat="1" x14ac:dyDescent="0.2"/>
    <row r="443" s="1" customFormat="1" x14ac:dyDescent="0.2"/>
    <row r="444" s="1" customFormat="1" x14ac:dyDescent="0.2"/>
    <row r="445" s="1" customFormat="1" x14ac:dyDescent="0.2"/>
    <row r="446" s="1" customFormat="1" x14ac:dyDescent="0.2"/>
    <row r="447" s="1" customFormat="1" x14ac:dyDescent="0.2"/>
    <row r="448" s="1" customFormat="1" x14ac:dyDescent="0.2"/>
    <row r="449" s="1" customFormat="1" x14ac:dyDescent="0.2"/>
    <row r="450" s="1" customFormat="1" x14ac:dyDescent="0.2"/>
    <row r="451" s="1" customFormat="1" x14ac:dyDescent="0.2"/>
    <row r="452" s="1" customFormat="1" x14ac:dyDescent="0.2"/>
    <row r="453" s="1" customFormat="1" x14ac:dyDescent="0.2"/>
    <row r="454" s="1" customFormat="1" x14ac:dyDescent="0.2"/>
    <row r="455" s="1" customFormat="1" x14ac:dyDescent="0.2"/>
    <row r="456" s="1" customFormat="1" x14ac:dyDescent="0.2"/>
    <row r="457" s="1" customFormat="1" x14ac:dyDescent="0.2"/>
    <row r="458" s="1" customFormat="1" x14ac:dyDescent="0.2"/>
    <row r="459" s="1" customFormat="1" x14ac:dyDescent="0.2"/>
    <row r="460" s="1" customFormat="1" x14ac:dyDescent="0.2"/>
    <row r="461" s="1" customFormat="1" x14ac:dyDescent="0.2"/>
    <row r="462" s="1" customFormat="1" x14ac:dyDescent="0.2"/>
    <row r="463" s="1" customFormat="1" x14ac:dyDescent="0.2"/>
    <row r="464" s="1" customFormat="1" x14ac:dyDescent="0.2"/>
    <row r="465" s="1" customFormat="1" x14ac:dyDescent="0.2"/>
    <row r="466" s="1" customFormat="1" x14ac:dyDescent="0.2"/>
    <row r="467" s="1" customFormat="1" x14ac:dyDescent="0.2"/>
    <row r="468" s="1" customFormat="1" x14ac:dyDescent="0.2"/>
    <row r="469" s="1" customFormat="1" x14ac:dyDescent="0.2"/>
    <row r="470" s="1" customFormat="1" x14ac:dyDescent="0.2"/>
    <row r="471" s="1" customFormat="1" x14ac:dyDescent="0.2"/>
    <row r="472" s="1" customFormat="1" x14ac:dyDescent="0.2"/>
    <row r="473" s="1" customFormat="1" x14ac:dyDescent="0.2"/>
    <row r="474" s="1" customFormat="1" x14ac:dyDescent="0.2"/>
    <row r="475" s="1" customFormat="1" x14ac:dyDescent="0.2"/>
    <row r="476" s="1" customFormat="1" x14ac:dyDescent="0.2"/>
    <row r="477" s="1" customFormat="1" x14ac:dyDescent="0.2"/>
    <row r="478" s="1" customFormat="1" x14ac:dyDescent="0.2"/>
    <row r="479" s="1" customFormat="1" x14ac:dyDescent="0.2"/>
    <row r="480" s="1" customFormat="1" x14ac:dyDescent="0.2"/>
    <row r="481" s="1" customFormat="1" x14ac:dyDescent="0.2"/>
    <row r="482" s="1" customFormat="1" x14ac:dyDescent="0.2"/>
    <row r="483" s="1" customFormat="1" x14ac:dyDescent="0.2"/>
    <row r="484" s="1" customFormat="1" x14ac:dyDescent="0.2"/>
    <row r="485" s="1" customFormat="1" x14ac:dyDescent="0.2"/>
    <row r="486" s="1" customFormat="1" x14ac:dyDescent="0.2"/>
    <row r="487" s="1" customFormat="1" x14ac:dyDescent="0.2"/>
    <row r="488" s="1" customFormat="1" x14ac:dyDescent="0.2"/>
    <row r="489" s="1" customFormat="1" x14ac:dyDescent="0.2"/>
    <row r="490" s="1" customFormat="1" x14ac:dyDescent="0.2"/>
    <row r="491" s="1" customFormat="1" x14ac:dyDescent="0.2"/>
    <row r="492" s="1" customFormat="1" x14ac:dyDescent="0.2"/>
    <row r="493" s="1" customFormat="1" x14ac:dyDescent="0.2"/>
    <row r="494" s="1" customFormat="1" x14ac:dyDescent="0.2"/>
    <row r="495" s="1" customFormat="1" x14ac:dyDescent="0.2"/>
    <row r="496" s="1" customFormat="1" x14ac:dyDescent="0.2"/>
    <row r="497" s="1" customFormat="1" x14ac:dyDescent="0.2"/>
    <row r="498" s="1" customFormat="1" x14ac:dyDescent="0.2"/>
    <row r="499" s="1" customFormat="1" x14ac:dyDescent="0.2"/>
    <row r="500" s="1" customFormat="1" x14ac:dyDescent="0.2"/>
    <row r="501" s="1" customFormat="1" x14ac:dyDescent="0.2"/>
    <row r="502" s="1" customFormat="1" x14ac:dyDescent="0.2"/>
    <row r="503" s="1" customFormat="1" x14ac:dyDescent="0.2"/>
    <row r="504" s="1" customFormat="1" x14ac:dyDescent="0.2"/>
    <row r="505" s="1" customFormat="1" x14ac:dyDescent="0.2"/>
    <row r="506" s="1" customFormat="1" x14ac:dyDescent="0.2"/>
    <row r="507" s="1" customFormat="1" x14ac:dyDescent="0.2"/>
    <row r="508" s="1" customFormat="1" x14ac:dyDescent="0.2"/>
    <row r="509" s="1" customFormat="1" x14ac:dyDescent="0.2"/>
    <row r="510" s="1" customFormat="1" x14ac:dyDescent="0.2"/>
    <row r="511" s="1" customFormat="1" x14ac:dyDescent="0.2"/>
    <row r="512" s="1" customFormat="1" x14ac:dyDescent="0.2"/>
    <row r="513" s="1" customFormat="1" x14ac:dyDescent="0.2"/>
    <row r="514" s="1" customFormat="1" x14ac:dyDescent="0.2"/>
    <row r="515" s="1" customFormat="1" x14ac:dyDescent="0.2"/>
    <row r="516" s="1" customFormat="1" x14ac:dyDescent="0.2"/>
    <row r="517" s="1" customFormat="1" x14ac:dyDescent="0.2"/>
    <row r="518" s="1" customFormat="1" x14ac:dyDescent="0.2"/>
    <row r="519" s="1" customFormat="1" x14ac:dyDescent="0.2"/>
    <row r="520" s="1" customFormat="1" x14ac:dyDescent="0.2"/>
    <row r="521" s="1" customFormat="1" x14ac:dyDescent="0.2"/>
    <row r="522" s="1" customFormat="1" x14ac:dyDescent="0.2"/>
    <row r="523" s="1" customFormat="1" x14ac:dyDescent="0.2"/>
    <row r="524" s="1" customFormat="1" x14ac:dyDescent="0.2"/>
    <row r="525" s="1" customFormat="1" x14ac:dyDescent="0.2"/>
    <row r="526" s="1" customFormat="1" x14ac:dyDescent="0.2"/>
    <row r="527" s="1" customFormat="1" x14ac:dyDescent="0.2"/>
    <row r="528" s="1" customFormat="1" x14ac:dyDescent="0.2"/>
    <row r="529" s="1" customFormat="1" x14ac:dyDescent="0.2"/>
    <row r="530" s="1" customFormat="1" x14ac:dyDescent="0.2"/>
    <row r="531" s="1" customFormat="1" x14ac:dyDescent="0.2"/>
    <row r="532" s="1" customFormat="1" x14ac:dyDescent="0.2"/>
    <row r="533" s="1" customFormat="1" x14ac:dyDescent="0.2"/>
    <row r="534" s="1" customFormat="1" x14ac:dyDescent="0.2"/>
    <row r="535" s="1" customFormat="1" x14ac:dyDescent="0.2"/>
    <row r="536" s="1" customFormat="1" x14ac:dyDescent="0.2"/>
    <row r="537" s="1" customFormat="1" x14ac:dyDescent="0.2"/>
    <row r="538" s="1" customFormat="1" x14ac:dyDescent="0.2"/>
    <row r="539" s="1" customFormat="1" x14ac:dyDescent="0.2"/>
    <row r="540" s="1" customFormat="1" x14ac:dyDescent="0.2"/>
    <row r="541" s="1" customFormat="1" x14ac:dyDescent="0.2"/>
    <row r="542" s="1" customFormat="1" x14ac:dyDescent="0.2"/>
    <row r="543" s="1" customFormat="1" x14ac:dyDescent="0.2"/>
    <row r="544" s="1" customFormat="1" x14ac:dyDescent="0.2"/>
    <row r="545" s="1" customFormat="1" x14ac:dyDescent="0.2"/>
    <row r="546" s="1" customFormat="1" x14ac:dyDescent="0.2"/>
    <row r="547" s="1" customFormat="1" x14ac:dyDescent="0.2"/>
    <row r="548" s="1" customFormat="1" x14ac:dyDescent="0.2"/>
    <row r="549" s="1" customFormat="1" x14ac:dyDescent="0.2"/>
    <row r="550" s="1" customFormat="1" x14ac:dyDescent="0.2"/>
    <row r="551" s="1" customFormat="1" x14ac:dyDescent="0.2"/>
    <row r="552" s="1" customFormat="1" x14ac:dyDescent="0.2"/>
    <row r="553" s="1" customFormat="1" x14ac:dyDescent="0.2"/>
    <row r="554" s="1" customFormat="1" x14ac:dyDescent="0.2"/>
    <row r="555" s="1" customFormat="1" x14ac:dyDescent="0.2"/>
    <row r="556" s="1" customFormat="1" x14ac:dyDescent="0.2"/>
    <row r="557" s="1" customFormat="1" x14ac:dyDescent="0.2"/>
    <row r="558" s="1" customFormat="1" x14ac:dyDescent="0.2"/>
    <row r="559" s="1" customFormat="1" x14ac:dyDescent="0.2"/>
    <row r="560" s="1" customFormat="1" x14ac:dyDescent="0.2"/>
    <row r="561" s="1" customFormat="1" x14ac:dyDescent="0.2"/>
    <row r="562" s="1" customFormat="1" x14ac:dyDescent="0.2"/>
    <row r="563" s="1" customFormat="1" x14ac:dyDescent="0.2"/>
    <row r="564" s="1" customFormat="1" x14ac:dyDescent="0.2"/>
    <row r="565" s="1" customFormat="1" x14ac:dyDescent="0.2"/>
    <row r="566" s="1" customFormat="1" x14ac:dyDescent="0.2"/>
    <row r="567" s="1" customFormat="1" x14ac:dyDescent="0.2"/>
    <row r="568" s="1" customFormat="1" x14ac:dyDescent="0.2"/>
    <row r="569" s="1" customFormat="1" x14ac:dyDescent="0.2"/>
    <row r="570" s="1" customFormat="1" x14ac:dyDescent="0.2"/>
    <row r="571" s="1" customFormat="1" x14ac:dyDescent="0.2"/>
    <row r="572" s="1" customFormat="1" x14ac:dyDescent="0.2"/>
    <row r="573" s="1" customFormat="1" x14ac:dyDescent="0.2"/>
    <row r="574" s="1" customFormat="1" x14ac:dyDescent="0.2"/>
    <row r="575" s="1" customFormat="1" x14ac:dyDescent="0.2"/>
    <row r="576" s="1" customFormat="1" x14ac:dyDescent="0.2"/>
    <row r="577" s="1" customFormat="1" x14ac:dyDescent="0.2"/>
    <row r="578" s="1" customFormat="1" x14ac:dyDescent="0.2"/>
    <row r="579" s="1" customFormat="1" x14ac:dyDescent="0.2"/>
    <row r="580" s="1" customFormat="1" x14ac:dyDescent="0.2"/>
    <row r="581" s="1" customFormat="1" x14ac:dyDescent="0.2"/>
    <row r="582" s="1" customFormat="1" x14ac:dyDescent="0.2"/>
    <row r="583" s="1" customFormat="1" x14ac:dyDescent="0.2"/>
    <row r="584" s="1" customFormat="1" x14ac:dyDescent="0.2"/>
    <row r="585" s="1" customFormat="1" x14ac:dyDescent="0.2"/>
    <row r="586" s="1" customFormat="1" x14ac:dyDescent="0.2"/>
    <row r="587" s="1" customFormat="1" x14ac:dyDescent="0.2"/>
    <row r="588" s="1" customFormat="1" x14ac:dyDescent="0.2"/>
    <row r="589" s="1" customFormat="1" x14ac:dyDescent="0.2"/>
    <row r="590" s="1" customFormat="1" x14ac:dyDescent="0.2"/>
    <row r="591" s="1" customFormat="1" x14ac:dyDescent="0.2"/>
    <row r="592" s="1" customFormat="1" x14ac:dyDescent="0.2"/>
    <row r="593" s="1" customFormat="1" x14ac:dyDescent="0.2"/>
    <row r="594" s="1" customFormat="1" x14ac:dyDescent="0.2"/>
    <row r="595" s="1" customFormat="1" x14ac:dyDescent="0.2"/>
    <row r="596" s="1" customFormat="1" x14ac:dyDescent="0.2"/>
    <row r="597" s="1" customFormat="1" x14ac:dyDescent="0.2"/>
    <row r="598" s="1" customFormat="1" x14ac:dyDescent="0.2"/>
    <row r="599" s="1" customFormat="1" x14ac:dyDescent="0.2"/>
    <row r="600" s="1" customFormat="1" x14ac:dyDescent="0.2"/>
    <row r="601" s="1" customFormat="1" x14ac:dyDescent="0.2"/>
    <row r="602" s="1" customFormat="1" x14ac:dyDescent="0.2"/>
    <row r="603" s="1" customFormat="1" x14ac:dyDescent="0.2"/>
    <row r="604" s="1" customFormat="1" x14ac:dyDescent="0.2"/>
    <row r="605" s="1" customFormat="1" x14ac:dyDescent="0.2"/>
    <row r="606" s="1" customFormat="1" x14ac:dyDescent="0.2"/>
    <row r="607" s="1" customFormat="1" x14ac:dyDescent="0.2"/>
    <row r="608" s="1" customFormat="1" x14ac:dyDescent="0.2"/>
    <row r="609" s="1" customFormat="1" x14ac:dyDescent="0.2"/>
    <row r="610" s="1" customFormat="1" x14ac:dyDescent="0.2"/>
    <row r="611" s="1" customFormat="1" x14ac:dyDescent="0.2"/>
    <row r="612" s="1" customFormat="1" x14ac:dyDescent="0.2"/>
    <row r="613" s="1" customFormat="1" x14ac:dyDescent="0.2"/>
    <row r="614" s="1" customFormat="1" x14ac:dyDescent="0.2"/>
    <row r="615" s="1" customFormat="1" x14ac:dyDescent="0.2"/>
    <row r="616" s="1" customFormat="1" x14ac:dyDescent="0.2"/>
    <row r="617" s="1" customFormat="1" x14ac:dyDescent="0.2"/>
    <row r="618" s="1" customFormat="1" x14ac:dyDescent="0.2"/>
    <row r="619" s="1" customFormat="1" x14ac:dyDescent="0.2"/>
    <row r="620" s="1" customFormat="1" x14ac:dyDescent="0.2"/>
    <row r="621" s="1" customFormat="1" x14ac:dyDescent="0.2"/>
    <row r="622" s="1" customFormat="1" x14ac:dyDescent="0.2"/>
    <row r="623" s="1" customFormat="1" x14ac:dyDescent="0.2"/>
    <row r="624" s="1" customFormat="1" x14ac:dyDescent="0.2"/>
    <row r="625" spans="1:4" s="1" customFormat="1" x14ac:dyDescent="0.2"/>
    <row r="626" spans="1:4" s="1" customFormat="1" x14ac:dyDescent="0.2"/>
    <row r="627" spans="1:4" s="1" customFormat="1" x14ac:dyDescent="0.2"/>
    <row r="628" spans="1:4" s="1" customFormat="1" x14ac:dyDescent="0.2"/>
    <row r="629" spans="1:4" s="1" customFormat="1" x14ac:dyDescent="0.2"/>
    <row r="630" spans="1:4" s="1" customFormat="1" x14ac:dyDescent="0.2"/>
    <row r="631" spans="1:4" s="1" customFormat="1" x14ac:dyDescent="0.2"/>
    <row r="632" spans="1:4" s="1" customFormat="1" x14ac:dyDescent="0.2"/>
    <row r="633" spans="1:4" x14ac:dyDescent="0.2">
      <c r="A633" s="1"/>
      <c r="B633" s="1"/>
      <c r="C633" s="1"/>
      <c r="D633" s="1"/>
    </row>
    <row r="634" spans="1:4" x14ac:dyDescent="0.2">
      <c r="A634" s="1"/>
      <c r="B634" s="1"/>
      <c r="C634" s="1"/>
      <c r="D634" s="1"/>
    </row>
    <row r="635" spans="1:4" x14ac:dyDescent="0.2">
      <c r="A635" s="1"/>
      <c r="B635" s="1"/>
      <c r="C635" s="1"/>
      <c r="D635" s="1"/>
    </row>
    <row r="636" spans="1:4" x14ac:dyDescent="0.2">
      <c r="A636" s="1"/>
      <c r="B636" s="1"/>
      <c r="C636" s="1"/>
      <c r="D636" s="1"/>
    </row>
    <row r="637" spans="1:4" x14ac:dyDescent="0.2">
      <c r="A637" s="1"/>
      <c r="B637" s="1"/>
      <c r="C637" s="1"/>
      <c r="D637" s="1"/>
    </row>
    <row r="638" spans="1:4" x14ac:dyDescent="0.2">
      <c r="A638" s="1"/>
      <c r="B638" s="1"/>
      <c r="C638" s="1"/>
      <c r="D638" s="1"/>
    </row>
    <row r="639" spans="1:4" x14ac:dyDescent="0.2">
      <c r="A639" s="1"/>
      <c r="B639" s="1"/>
      <c r="C639" s="1"/>
      <c r="D639" s="1"/>
    </row>
    <row r="640" spans="1:4" x14ac:dyDescent="0.2">
      <c r="A640" s="1"/>
      <c r="B640" s="1"/>
      <c r="C640" s="1"/>
      <c r="D640" s="1"/>
    </row>
    <row r="641" spans="1:4" x14ac:dyDescent="0.2">
      <c r="A641" s="1"/>
      <c r="B641" s="1"/>
      <c r="C641" s="1"/>
      <c r="D641" s="1"/>
    </row>
    <row r="642" spans="1:4" x14ac:dyDescent="0.2">
      <c r="A642" s="1"/>
      <c r="B642" s="1"/>
      <c r="C642" s="1"/>
      <c r="D642" s="1"/>
    </row>
    <row r="643" spans="1:4" x14ac:dyDescent="0.2">
      <c r="A643" s="1"/>
      <c r="B643" s="1"/>
      <c r="C643" s="1"/>
      <c r="D643" s="1"/>
    </row>
    <row r="644" spans="1:4" x14ac:dyDescent="0.2">
      <c r="A644" s="1"/>
      <c r="B644" s="1"/>
      <c r="C644" s="1"/>
      <c r="D644" s="1"/>
    </row>
    <row r="645" spans="1:4" x14ac:dyDescent="0.2">
      <c r="A645" s="1"/>
      <c r="B645" s="1"/>
      <c r="C645" s="1"/>
      <c r="D645" s="1"/>
    </row>
    <row r="646" spans="1:4" x14ac:dyDescent="0.2">
      <c r="A646" s="1"/>
      <c r="B646" s="1"/>
      <c r="C646" s="1"/>
      <c r="D646" s="1"/>
    </row>
    <row r="647" spans="1:4" x14ac:dyDescent="0.2">
      <c r="A647" s="1"/>
      <c r="B647" s="1"/>
      <c r="C647" s="1"/>
      <c r="D647" s="1"/>
    </row>
    <row r="648" spans="1:4" x14ac:dyDescent="0.2">
      <c r="A648" s="1"/>
      <c r="B648" s="1"/>
      <c r="C648" s="1"/>
      <c r="D648" s="1"/>
    </row>
    <row r="649" spans="1:4" x14ac:dyDescent="0.2">
      <c r="A649" s="1"/>
      <c r="B649" s="1"/>
      <c r="C649" s="1"/>
      <c r="D649" s="1"/>
    </row>
    <row r="650" spans="1:4" x14ac:dyDescent="0.2">
      <c r="A650" s="1"/>
      <c r="B650" s="1"/>
      <c r="C650" s="1"/>
      <c r="D650" s="1"/>
    </row>
    <row r="651" spans="1:4" x14ac:dyDescent="0.2">
      <c r="A651" s="1"/>
      <c r="B651" s="1"/>
      <c r="C651" s="1"/>
      <c r="D651" s="1"/>
    </row>
    <row r="652" spans="1:4" x14ac:dyDescent="0.2">
      <c r="A652" s="1"/>
      <c r="B652" s="1"/>
      <c r="C652" s="1"/>
      <c r="D652" s="1"/>
    </row>
    <row r="653" spans="1:4" x14ac:dyDescent="0.2">
      <c r="A653" s="1"/>
      <c r="B653" s="1"/>
      <c r="C653" s="1"/>
      <c r="D653" s="1"/>
    </row>
    <row r="654" spans="1:4" x14ac:dyDescent="0.2">
      <c r="A654" s="1"/>
      <c r="B654" s="1"/>
      <c r="C654" s="1"/>
      <c r="D654" s="1"/>
    </row>
    <row r="655" spans="1:4" x14ac:dyDescent="0.2">
      <c r="A655" s="1"/>
      <c r="B655" s="1"/>
      <c r="C655" s="1"/>
      <c r="D655" s="1"/>
    </row>
    <row r="656" spans="1:4" x14ac:dyDescent="0.2">
      <c r="A656" s="1"/>
      <c r="B656" s="1"/>
      <c r="C656" s="1"/>
      <c r="D656" s="1"/>
    </row>
    <row r="657" spans="1:4" x14ac:dyDescent="0.2">
      <c r="A657" s="1"/>
      <c r="B657" s="1"/>
      <c r="C657" s="1"/>
      <c r="D657" s="1"/>
    </row>
    <row r="658" spans="1:4" x14ac:dyDescent="0.2">
      <c r="A658" s="1"/>
      <c r="B658" s="1"/>
      <c r="C658" s="1"/>
      <c r="D658" s="1"/>
    </row>
    <row r="659" spans="1:4" x14ac:dyDescent="0.2">
      <c r="A659" s="1"/>
      <c r="B659" s="1"/>
      <c r="C659" s="1"/>
      <c r="D659" s="1"/>
    </row>
  </sheetData>
  <conditionalFormatting sqref="C8:C362">
    <cfRule type="colorScale" priority="2">
      <colorScale>
        <cfvo type="min"/>
        <cfvo type="percentile" val="50"/>
        <cfvo type="max"/>
        <color rgb="FFF8696B"/>
        <color rgb="FFFFEB84"/>
        <color rgb="FF63BE7B"/>
      </colorScale>
    </cfRule>
  </conditionalFormatting>
  <conditionalFormatting sqref="D19:D362">
    <cfRule type="colorScale" priority="1">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EJ534"/>
  <sheetViews>
    <sheetView zoomScale="160" zoomScaleNormal="160" workbookViewId="0">
      <pane ySplit="6" topLeftCell="A329" activePane="bottomLeft" state="frozen"/>
      <selection pane="bottomLeft" activeCell="C364" sqref="C364"/>
    </sheetView>
  </sheetViews>
  <sheetFormatPr baseColWidth="10" defaultColWidth="8.83203125" defaultRowHeight="15" x14ac:dyDescent="0.2"/>
  <cols>
    <col min="1" max="1" width="14" style="4" customWidth="1"/>
    <col min="2" max="2" width="21.33203125" style="19" customWidth="1"/>
    <col min="3" max="4" width="21.33203125" style="4" customWidth="1"/>
    <col min="5" max="140" width="9.1640625" style="1"/>
  </cols>
  <sheetData>
    <row r="1" spans="1:4" s="1" customFormat="1" x14ac:dyDescent="0.2">
      <c r="A1" s="28" t="s">
        <v>0</v>
      </c>
      <c r="B1" s="29" t="s">
        <v>1</v>
      </c>
      <c r="C1" s="11"/>
      <c r="D1" s="11"/>
    </row>
    <row r="2" spans="1:4" s="1" customFormat="1" x14ac:dyDescent="0.2">
      <c r="A2" s="12" t="s">
        <v>6</v>
      </c>
      <c r="B2" s="17"/>
      <c r="C2" s="11"/>
      <c r="D2" s="11"/>
    </row>
    <row r="3" spans="1:4" s="1" customFormat="1" x14ac:dyDescent="0.2">
      <c r="A3" s="12"/>
      <c r="B3" s="17"/>
      <c r="C3" s="11"/>
      <c r="D3" s="11"/>
    </row>
    <row r="4" spans="1:4" s="1" customFormat="1" x14ac:dyDescent="0.2">
      <c r="A4" s="12"/>
      <c r="B4" s="17"/>
      <c r="C4" s="11"/>
      <c r="D4" s="11"/>
    </row>
    <row r="5" spans="1:4" s="1" customFormat="1" ht="16" thickBot="1" x14ac:dyDescent="0.25">
      <c r="A5" s="11"/>
      <c r="B5" s="17"/>
      <c r="C5" s="11"/>
      <c r="D5" s="11"/>
    </row>
    <row r="6" spans="1:4" ht="33" thickBot="1" x14ac:dyDescent="0.25">
      <c r="A6" s="93" t="s">
        <v>2</v>
      </c>
      <c r="B6" s="94" t="s">
        <v>88</v>
      </c>
      <c r="C6" s="95" t="s">
        <v>90</v>
      </c>
      <c r="D6" s="96" t="s">
        <v>91</v>
      </c>
    </row>
    <row r="7" spans="1:4" x14ac:dyDescent="0.2">
      <c r="A7" s="20">
        <v>33604</v>
      </c>
      <c r="B7" s="21">
        <f>VLOOKUP(A7,Database!A:K,MATCH('Retail Sales'!$A$1,Database!$A$1:$K$1,),)</f>
        <v>164095</v>
      </c>
      <c r="C7" s="22"/>
      <c r="D7" s="22"/>
    </row>
    <row r="8" spans="1:4" x14ac:dyDescent="0.2">
      <c r="A8" s="14">
        <v>33635</v>
      </c>
      <c r="B8" s="18">
        <f>VLOOKUP(A8,Database!A:K,MATCH('Retail Sales'!$A$1,Database!$A$1:$K$1,),)</f>
        <v>164213</v>
      </c>
      <c r="C8" s="15">
        <f>(B8-B7)/B7</f>
        <v>7.1909564581492432E-4</v>
      </c>
      <c r="D8" s="3"/>
    </row>
    <row r="9" spans="1:4" x14ac:dyDescent="0.2">
      <c r="A9" s="13">
        <v>33664</v>
      </c>
      <c r="B9" s="18">
        <f>VLOOKUP(A9,Database!A:K,MATCH('Retail Sales'!$A$1,Database!$A$1:$K$1,),)</f>
        <v>163721</v>
      </c>
      <c r="C9" s="15">
        <f t="shared" ref="C9:C72" si="0">(B9-B8)/B8</f>
        <v>-2.9961087124649082E-3</v>
      </c>
      <c r="D9" s="3"/>
    </row>
    <row r="10" spans="1:4" x14ac:dyDescent="0.2">
      <c r="A10" s="14">
        <v>33695</v>
      </c>
      <c r="B10" s="18">
        <f>VLOOKUP(A10,Database!A:K,MATCH('Retail Sales'!$A$1,Database!$A$1:$K$1,),)</f>
        <v>164709</v>
      </c>
      <c r="C10" s="15">
        <f t="shared" si="0"/>
        <v>6.0346565193225062E-3</v>
      </c>
      <c r="D10" s="3"/>
    </row>
    <row r="11" spans="1:4" x14ac:dyDescent="0.2">
      <c r="A11" s="13">
        <v>33725</v>
      </c>
      <c r="B11" s="18">
        <f>VLOOKUP(A11,Database!A:K,MATCH('Retail Sales'!$A$1,Database!$A$1:$K$1,),)</f>
        <v>165612</v>
      </c>
      <c r="C11" s="15">
        <f t="shared" si="0"/>
        <v>5.4823962260714355E-3</v>
      </c>
      <c r="D11" s="3"/>
    </row>
    <row r="12" spans="1:4" x14ac:dyDescent="0.2">
      <c r="A12" s="14">
        <v>33756</v>
      </c>
      <c r="B12" s="18">
        <f>VLOOKUP(A12,Database!A:K,MATCH('Retail Sales'!$A$1,Database!$A$1:$K$1,),)</f>
        <v>166077</v>
      </c>
      <c r="C12" s="15">
        <f t="shared" si="0"/>
        <v>2.8077675530758643E-3</v>
      </c>
      <c r="D12" s="3"/>
    </row>
    <row r="13" spans="1:4" x14ac:dyDescent="0.2">
      <c r="A13" s="13">
        <v>33786</v>
      </c>
      <c r="B13" s="18">
        <f>VLOOKUP(A13,Database!A:K,MATCH('Retail Sales'!$A$1,Database!$A$1:$K$1,),)</f>
        <v>167257</v>
      </c>
      <c r="C13" s="15">
        <f t="shared" si="0"/>
        <v>7.1051379781667543E-3</v>
      </c>
      <c r="D13" s="3"/>
    </row>
    <row r="14" spans="1:4" x14ac:dyDescent="0.2">
      <c r="A14" s="14">
        <v>33817</v>
      </c>
      <c r="B14" s="18">
        <f>VLOOKUP(A14,Database!A:K,MATCH('Retail Sales'!$A$1,Database!$A$1:$K$1,),)</f>
        <v>167800</v>
      </c>
      <c r="C14" s="15">
        <f t="shared" si="0"/>
        <v>3.24650089383404E-3</v>
      </c>
      <c r="D14" s="3"/>
    </row>
    <row r="15" spans="1:4" x14ac:dyDescent="0.2">
      <c r="A15" s="13">
        <v>33848</v>
      </c>
      <c r="B15" s="18">
        <f>VLOOKUP(A15,Database!A:K,MATCH('Retail Sales'!$A$1,Database!$A$1:$K$1,),)</f>
        <v>169400</v>
      </c>
      <c r="C15" s="15">
        <f t="shared" si="0"/>
        <v>9.5351609058402856E-3</v>
      </c>
      <c r="D15" s="3"/>
    </row>
    <row r="16" spans="1:4" x14ac:dyDescent="0.2">
      <c r="A16" s="14">
        <v>33878</v>
      </c>
      <c r="B16" s="18">
        <f>VLOOKUP(A16,Database!A:K,MATCH('Retail Sales'!$A$1,Database!$A$1:$K$1,),)</f>
        <v>170625</v>
      </c>
      <c r="C16" s="15">
        <f t="shared" si="0"/>
        <v>7.2314049586776862E-3</v>
      </c>
      <c r="D16" s="3"/>
    </row>
    <row r="17" spans="1:4" x14ac:dyDescent="0.2">
      <c r="A17" s="13">
        <v>33909</v>
      </c>
      <c r="B17" s="18">
        <f>VLOOKUP(A17,Database!A:K,MATCH('Retail Sales'!$A$1,Database!$A$1:$K$1,),)</f>
        <v>171003</v>
      </c>
      <c r="C17" s="15">
        <f t="shared" si="0"/>
        <v>2.2153846153846156E-3</v>
      </c>
      <c r="D17" s="3"/>
    </row>
    <row r="18" spans="1:4" x14ac:dyDescent="0.2">
      <c r="A18" s="14">
        <v>33939</v>
      </c>
      <c r="B18" s="18">
        <f>VLOOKUP(A18,Database!A:K,MATCH('Retail Sales'!$A$1,Database!$A$1:$K$1,),)</f>
        <v>173105</v>
      </c>
      <c r="C18" s="15">
        <f t="shared" si="0"/>
        <v>1.2292182008502775E-2</v>
      </c>
      <c r="D18" s="3"/>
    </row>
    <row r="19" spans="1:4" x14ac:dyDescent="0.2">
      <c r="A19" s="13">
        <v>33970</v>
      </c>
      <c r="B19" s="18">
        <f>VLOOKUP(A19,Database!A:K,MATCH('Retail Sales'!$A$1,Database!$A$1:$K$1,),)</f>
        <v>175108</v>
      </c>
      <c r="C19" s="15">
        <f t="shared" si="0"/>
        <v>1.157101181363912E-2</v>
      </c>
      <c r="D19" s="16">
        <f>(B19-B7)/B7</f>
        <v>6.7113562265760693E-2</v>
      </c>
    </row>
    <row r="20" spans="1:4" x14ac:dyDescent="0.2">
      <c r="A20" s="14">
        <v>34001</v>
      </c>
      <c r="B20" s="18">
        <f>VLOOKUP(A20,Database!A:K,MATCH('Retail Sales'!$A$1,Database!$A$1:$K$1,),)</f>
        <v>173744</v>
      </c>
      <c r="C20" s="15">
        <f t="shared" si="0"/>
        <v>-7.7894784932727229E-3</v>
      </c>
      <c r="D20" s="16">
        <f t="shared" ref="D20:D83" si="1">(B20-B8)/B8</f>
        <v>5.8040471826225695E-2</v>
      </c>
    </row>
    <row r="21" spans="1:4" x14ac:dyDescent="0.2">
      <c r="A21" s="13">
        <v>34029</v>
      </c>
      <c r="B21" s="18">
        <f>VLOOKUP(A21,Database!A:K,MATCH('Retail Sales'!$A$1,Database!$A$1:$K$1,),)</f>
        <v>172306</v>
      </c>
      <c r="C21" s="15">
        <f t="shared" si="0"/>
        <v>-8.2765448015471033E-3</v>
      </c>
      <c r="D21" s="16">
        <f t="shared" si="1"/>
        <v>5.2436767427513881E-2</v>
      </c>
    </row>
    <row r="22" spans="1:4" x14ac:dyDescent="0.2">
      <c r="A22" s="14">
        <v>34060</v>
      </c>
      <c r="B22" s="18">
        <f>VLOOKUP(A22,Database!A:K,MATCH('Retail Sales'!$A$1,Database!$A$1:$K$1,),)</f>
        <v>176749</v>
      </c>
      <c r="C22" s="15">
        <f t="shared" si="0"/>
        <v>2.5785521107796593E-2</v>
      </c>
      <c r="D22" s="16">
        <f t="shared" si="1"/>
        <v>7.3098616347619133E-2</v>
      </c>
    </row>
    <row r="23" spans="1:4" x14ac:dyDescent="0.2">
      <c r="A23" s="13">
        <v>34090</v>
      </c>
      <c r="B23" s="18">
        <f>VLOOKUP(A23,Database!A:K,MATCH('Retail Sales'!$A$1,Database!$A$1:$K$1,),)</f>
        <v>178426</v>
      </c>
      <c r="C23" s="15">
        <f t="shared" si="0"/>
        <v>9.4880310496806199E-3</v>
      </c>
      <c r="D23" s="16">
        <f t="shared" si="1"/>
        <v>7.7373620269062623E-2</v>
      </c>
    </row>
    <row r="24" spans="1:4" x14ac:dyDescent="0.2">
      <c r="A24" s="14">
        <v>34121</v>
      </c>
      <c r="B24" s="18">
        <f>VLOOKUP(A24,Database!A:K,MATCH('Retail Sales'!$A$1,Database!$A$1:$K$1,),)</f>
        <v>178157</v>
      </c>
      <c r="C24" s="15">
        <f t="shared" si="0"/>
        <v>-1.5076278120901663E-3</v>
      </c>
      <c r="D24" s="16">
        <f t="shared" si="1"/>
        <v>7.2737344725639308E-2</v>
      </c>
    </row>
    <row r="25" spans="1:4" x14ac:dyDescent="0.2">
      <c r="A25" s="13">
        <v>34151</v>
      </c>
      <c r="B25" s="18">
        <f>VLOOKUP(A25,Database!A:K,MATCH('Retail Sales'!$A$1,Database!$A$1:$K$1,),)</f>
        <v>180743</v>
      </c>
      <c r="C25" s="15">
        <f t="shared" si="0"/>
        <v>1.4515287078251206E-2</v>
      </c>
      <c r="D25" s="16">
        <f t="shared" si="1"/>
        <v>8.0630407098058673E-2</v>
      </c>
    </row>
    <row r="26" spans="1:4" x14ac:dyDescent="0.2">
      <c r="A26" s="14">
        <v>34182</v>
      </c>
      <c r="B26" s="18">
        <f>VLOOKUP(A26,Database!A:K,MATCH('Retail Sales'!$A$1,Database!$A$1:$K$1,),)</f>
        <v>180707</v>
      </c>
      <c r="C26" s="15">
        <f t="shared" si="0"/>
        <v>-1.9917783814587563E-4</v>
      </c>
      <c r="D26" s="16">
        <f t="shared" si="1"/>
        <v>7.6918951132300364E-2</v>
      </c>
    </row>
    <row r="27" spans="1:4" x14ac:dyDescent="0.2">
      <c r="A27" s="13">
        <v>34213</v>
      </c>
      <c r="B27" s="18">
        <f>VLOOKUP(A27,Database!A:K,MATCH('Retail Sales'!$A$1,Database!$A$1:$K$1,),)</f>
        <v>181773</v>
      </c>
      <c r="C27" s="15">
        <f t="shared" si="0"/>
        <v>5.8990520566441808E-3</v>
      </c>
      <c r="D27" s="16">
        <f t="shared" si="1"/>
        <v>7.3040141676505313E-2</v>
      </c>
    </row>
    <row r="28" spans="1:4" x14ac:dyDescent="0.2">
      <c r="A28" s="14">
        <v>34243</v>
      </c>
      <c r="B28" s="18">
        <f>VLOOKUP(A28,Database!A:K,MATCH('Retail Sales'!$A$1,Database!$A$1:$K$1,),)</f>
        <v>182884</v>
      </c>
      <c r="C28" s="15">
        <f t="shared" si="0"/>
        <v>6.112018836680915E-3</v>
      </c>
      <c r="D28" s="16">
        <f t="shared" si="1"/>
        <v>7.1847619047619049E-2</v>
      </c>
    </row>
    <row r="29" spans="1:4" x14ac:dyDescent="0.2">
      <c r="A29" s="13">
        <v>34274</v>
      </c>
      <c r="B29" s="18">
        <f>VLOOKUP(A29,Database!A:K,MATCH('Retail Sales'!$A$1,Database!$A$1:$K$1,),)</f>
        <v>184747</v>
      </c>
      <c r="C29" s="15">
        <f t="shared" si="0"/>
        <v>1.018678506594344E-2</v>
      </c>
      <c r="D29" s="16">
        <f t="shared" si="1"/>
        <v>8.0372858955690837E-2</v>
      </c>
    </row>
    <row r="30" spans="1:4" x14ac:dyDescent="0.2">
      <c r="A30" s="14">
        <v>34304</v>
      </c>
      <c r="B30" s="18">
        <f>VLOOKUP(A30,Database!A:K,MATCH('Retail Sales'!$A$1,Database!$A$1:$K$1,),)</f>
        <v>186399</v>
      </c>
      <c r="C30" s="15">
        <f t="shared" si="0"/>
        <v>8.9419584621130525E-3</v>
      </c>
      <c r="D30" s="16">
        <f t="shared" si="1"/>
        <v>7.6797319545940324E-2</v>
      </c>
    </row>
    <row r="31" spans="1:4" x14ac:dyDescent="0.2">
      <c r="A31" s="13">
        <v>34335</v>
      </c>
      <c r="B31" s="18">
        <f>VLOOKUP(A31,Database!A:K,MATCH('Retail Sales'!$A$1,Database!$A$1:$K$1,),)</f>
        <v>185142</v>
      </c>
      <c r="C31" s="15">
        <f t="shared" si="0"/>
        <v>-6.743598409862714E-3</v>
      </c>
      <c r="D31" s="16">
        <f t="shared" si="1"/>
        <v>5.7301779473239375E-2</v>
      </c>
    </row>
    <row r="32" spans="1:4" x14ac:dyDescent="0.2">
      <c r="A32" s="14">
        <v>34366</v>
      </c>
      <c r="B32" s="18">
        <f>VLOOKUP(A32,Database!A:K,MATCH('Retail Sales'!$A$1,Database!$A$1:$K$1,),)</f>
        <v>188074</v>
      </c>
      <c r="C32" s="15">
        <f t="shared" si="0"/>
        <v>1.5836493070183966E-2</v>
      </c>
      <c r="D32" s="16">
        <f t="shared" si="1"/>
        <v>8.2477668293581358E-2</v>
      </c>
    </row>
    <row r="33" spans="1:4" x14ac:dyDescent="0.2">
      <c r="A33" s="13">
        <v>34394</v>
      </c>
      <c r="B33" s="18">
        <f>VLOOKUP(A33,Database!A:K,MATCH('Retail Sales'!$A$1,Database!$A$1:$K$1,),)</f>
        <v>191579</v>
      </c>
      <c r="C33" s="15">
        <f t="shared" si="0"/>
        <v>1.863628146367919E-2</v>
      </c>
      <c r="D33" s="16">
        <f t="shared" si="1"/>
        <v>0.11185333070235512</v>
      </c>
    </row>
    <row r="34" spans="1:4" x14ac:dyDescent="0.2">
      <c r="A34" s="14">
        <v>34425</v>
      </c>
      <c r="B34" s="18">
        <f>VLOOKUP(A34,Database!A:K,MATCH('Retail Sales'!$A$1,Database!$A$1:$K$1,),)</f>
        <v>191639</v>
      </c>
      <c r="C34" s="15">
        <f t="shared" si="0"/>
        <v>3.1318672714650351E-4</v>
      </c>
      <c r="D34" s="16">
        <f t="shared" si="1"/>
        <v>8.4243758097641286E-2</v>
      </c>
    </row>
    <row r="35" spans="1:4" x14ac:dyDescent="0.2">
      <c r="A35" s="13">
        <v>34455</v>
      </c>
      <c r="B35" s="18">
        <f>VLOOKUP(A35,Database!A:K,MATCH('Retail Sales'!$A$1,Database!$A$1:$K$1,),)</f>
        <v>190929</v>
      </c>
      <c r="C35" s="15">
        <f t="shared" si="0"/>
        <v>-3.704882617838749E-3</v>
      </c>
      <c r="D35" s="16">
        <f t="shared" si="1"/>
        <v>7.0073868158228067E-2</v>
      </c>
    </row>
    <row r="36" spans="1:4" x14ac:dyDescent="0.2">
      <c r="A36" s="14">
        <v>34486</v>
      </c>
      <c r="B36" s="18">
        <f>VLOOKUP(A36,Database!A:K,MATCH('Retail Sales'!$A$1,Database!$A$1:$K$1,),)</f>
        <v>193130</v>
      </c>
      <c r="C36" s="15">
        <f t="shared" si="0"/>
        <v>1.1527845429452833E-2</v>
      </c>
      <c r="D36" s="16">
        <f t="shared" si="1"/>
        <v>8.4043848964677217E-2</v>
      </c>
    </row>
    <row r="37" spans="1:4" x14ac:dyDescent="0.2">
      <c r="A37" s="13">
        <v>34516</v>
      </c>
      <c r="B37" s="18">
        <f>VLOOKUP(A37,Database!A:K,MATCH('Retail Sales'!$A$1,Database!$A$1:$K$1,),)</f>
        <v>193743</v>
      </c>
      <c r="C37" s="15">
        <f t="shared" si="0"/>
        <v>3.1740278568839642E-3</v>
      </c>
      <c r="D37" s="16">
        <f t="shared" si="1"/>
        <v>7.1925330441566196E-2</v>
      </c>
    </row>
    <row r="38" spans="1:4" x14ac:dyDescent="0.2">
      <c r="A38" s="14">
        <v>34547</v>
      </c>
      <c r="B38" s="18">
        <f>VLOOKUP(A38,Database!A:K,MATCH('Retail Sales'!$A$1,Database!$A$1:$K$1,),)</f>
        <v>196163</v>
      </c>
      <c r="C38" s="15">
        <f t="shared" si="0"/>
        <v>1.2490773860216886E-2</v>
      </c>
      <c r="D38" s="16">
        <f t="shared" si="1"/>
        <v>8.5530721001400051E-2</v>
      </c>
    </row>
    <row r="39" spans="1:4" x14ac:dyDescent="0.2">
      <c r="A39" s="13">
        <v>34578</v>
      </c>
      <c r="B39" s="18">
        <f>VLOOKUP(A39,Database!A:K,MATCH('Retail Sales'!$A$1,Database!$A$1:$K$1,),)</f>
        <v>197765</v>
      </c>
      <c r="C39" s="15">
        <f t="shared" si="0"/>
        <v>8.1666777119028568E-3</v>
      </c>
      <c r="D39" s="16">
        <f t="shared" si="1"/>
        <v>8.7977862498830953E-2</v>
      </c>
    </row>
    <row r="40" spans="1:4" x14ac:dyDescent="0.2">
      <c r="A40" s="14">
        <v>34608</v>
      </c>
      <c r="B40" s="18">
        <f>VLOOKUP(A40,Database!A:K,MATCH('Retail Sales'!$A$1,Database!$A$1:$K$1,),)</f>
        <v>199571</v>
      </c>
      <c r="C40" s="15">
        <f t="shared" si="0"/>
        <v>9.1320506661947253E-3</v>
      </c>
      <c r="D40" s="16">
        <f t="shared" si="1"/>
        <v>9.1243629841866972E-2</v>
      </c>
    </row>
    <row r="41" spans="1:4" x14ac:dyDescent="0.2">
      <c r="A41" s="13">
        <v>34639</v>
      </c>
      <c r="B41" s="18">
        <f>VLOOKUP(A41,Database!A:K,MATCH('Retail Sales'!$A$1,Database!$A$1:$K$1,),)</f>
        <v>199731</v>
      </c>
      <c r="C41" s="15">
        <f t="shared" si="0"/>
        <v>8.0171968873233082E-4</v>
      </c>
      <c r="D41" s="16">
        <f t="shared" si="1"/>
        <v>8.1105511862168259E-2</v>
      </c>
    </row>
    <row r="42" spans="1:4" x14ac:dyDescent="0.2">
      <c r="A42" s="14">
        <v>34669</v>
      </c>
      <c r="B42" s="18">
        <f>VLOOKUP(A42,Database!A:K,MATCH('Retail Sales'!$A$1,Database!$A$1:$K$1,),)</f>
        <v>200702</v>
      </c>
      <c r="C42" s="15">
        <f t="shared" si="0"/>
        <v>4.8615387696451726E-3</v>
      </c>
      <c r="D42" s="16">
        <f t="shared" si="1"/>
        <v>7.6733244277061574E-2</v>
      </c>
    </row>
    <row r="43" spans="1:4" x14ac:dyDescent="0.2">
      <c r="A43" s="13">
        <v>34700</v>
      </c>
      <c r="B43" s="18">
        <f>VLOOKUP(A43,Database!A:K,MATCH('Retail Sales'!$A$1,Database!$A$1:$K$1,),)</f>
        <v>201573</v>
      </c>
      <c r="C43" s="15">
        <f t="shared" si="0"/>
        <v>4.339767416368546E-3</v>
      </c>
      <c r="D43" s="16">
        <f t="shared" si="1"/>
        <v>8.8748096056000259E-2</v>
      </c>
    </row>
    <row r="44" spans="1:4" x14ac:dyDescent="0.2">
      <c r="A44" s="14">
        <v>34731</v>
      </c>
      <c r="B44" s="18">
        <f>VLOOKUP(A44,Database!A:K,MATCH('Retail Sales'!$A$1,Database!$A$1:$K$1,),)</f>
        <v>198399</v>
      </c>
      <c r="C44" s="15">
        <f t="shared" si="0"/>
        <v>-1.5746156479290382E-2</v>
      </c>
      <c r="D44" s="16">
        <f t="shared" si="1"/>
        <v>5.4898603741080639E-2</v>
      </c>
    </row>
    <row r="45" spans="1:4" x14ac:dyDescent="0.2">
      <c r="A45" s="13">
        <v>34759</v>
      </c>
      <c r="B45" s="18">
        <f>VLOOKUP(A45,Database!A:K,MATCH('Retail Sales'!$A$1,Database!$A$1:$K$1,),)</f>
        <v>200247</v>
      </c>
      <c r="C45" s="15">
        <f t="shared" si="0"/>
        <v>9.3145630774348655E-3</v>
      </c>
      <c r="D45" s="16">
        <f t="shared" si="1"/>
        <v>4.5245042515098213E-2</v>
      </c>
    </row>
    <row r="46" spans="1:4" x14ac:dyDescent="0.2">
      <c r="A46" s="14">
        <v>34790</v>
      </c>
      <c r="B46" s="18">
        <f>VLOOKUP(A46,Database!A:K,MATCH('Retail Sales'!$A$1,Database!$A$1:$K$1,),)</f>
        <v>201032</v>
      </c>
      <c r="C46" s="15">
        <f t="shared" si="0"/>
        <v>3.9201586041239071E-3</v>
      </c>
      <c r="D46" s="16">
        <f t="shared" si="1"/>
        <v>4.9014031590646996E-2</v>
      </c>
    </row>
    <row r="47" spans="1:4" x14ac:dyDescent="0.2">
      <c r="A47" s="13">
        <v>34820</v>
      </c>
      <c r="B47" s="18">
        <f>VLOOKUP(A47,Database!A:K,MATCH('Retail Sales'!$A$1,Database!$A$1:$K$1,),)</f>
        <v>202986</v>
      </c>
      <c r="C47" s="15">
        <f t="shared" si="0"/>
        <v>9.7198455967209205E-3</v>
      </c>
      <c r="D47" s="16">
        <f t="shared" si="1"/>
        <v>6.3149128733717766E-2</v>
      </c>
    </row>
    <row r="48" spans="1:4" x14ac:dyDescent="0.2">
      <c r="A48" s="14">
        <v>34851</v>
      </c>
      <c r="B48" s="18">
        <f>VLOOKUP(A48,Database!A:K,MATCH('Retail Sales'!$A$1,Database!$A$1:$K$1,),)</f>
        <v>205500</v>
      </c>
      <c r="C48" s="15">
        <f t="shared" si="0"/>
        <v>1.2385090597381101E-2</v>
      </c>
      <c r="D48" s="16">
        <f t="shared" si="1"/>
        <v>6.4050121679697619E-2</v>
      </c>
    </row>
    <row r="49" spans="1:4" x14ac:dyDescent="0.2">
      <c r="A49" s="13">
        <v>34881</v>
      </c>
      <c r="B49" s="18">
        <f>VLOOKUP(A49,Database!A:K,MATCH('Retail Sales'!$A$1,Database!$A$1:$K$1,),)</f>
        <v>204920</v>
      </c>
      <c r="C49" s="15">
        <f t="shared" si="0"/>
        <v>-2.8223844282238442E-3</v>
      </c>
      <c r="D49" s="16">
        <f t="shared" si="1"/>
        <v>5.7689826213076084E-2</v>
      </c>
    </row>
    <row r="50" spans="1:4" x14ac:dyDescent="0.2">
      <c r="A50" s="14">
        <v>34912</v>
      </c>
      <c r="B50" s="18">
        <f>VLOOKUP(A50,Database!A:K,MATCH('Retail Sales'!$A$1,Database!$A$1:$K$1,),)</f>
        <v>206521</v>
      </c>
      <c r="C50" s="15">
        <f t="shared" si="0"/>
        <v>7.8128049970720287E-3</v>
      </c>
      <c r="D50" s="16">
        <f t="shared" si="1"/>
        <v>5.2803026054862541E-2</v>
      </c>
    </row>
    <row r="51" spans="1:4" x14ac:dyDescent="0.2">
      <c r="A51" s="13">
        <v>34943</v>
      </c>
      <c r="B51" s="18">
        <f>VLOOKUP(A51,Database!A:K,MATCH('Retail Sales'!$A$1,Database!$A$1:$K$1,),)</f>
        <v>207006</v>
      </c>
      <c r="C51" s="15">
        <f t="shared" si="0"/>
        <v>2.3484294575370061E-3</v>
      </c>
      <c r="D51" s="16">
        <f t="shared" si="1"/>
        <v>4.6727176193967587E-2</v>
      </c>
    </row>
    <row r="52" spans="1:4" x14ac:dyDescent="0.2">
      <c r="A52" s="14">
        <v>34973</v>
      </c>
      <c r="B52" s="18">
        <f>VLOOKUP(A52,Database!A:K,MATCH('Retail Sales'!$A$1,Database!$A$1:$K$1,),)</f>
        <v>206176</v>
      </c>
      <c r="C52" s="15">
        <f t="shared" si="0"/>
        <v>-4.0095456170352551E-3</v>
      </c>
      <c r="D52" s="16">
        <f t="shared" si="1"/>
        <v>3.3095990900481535E-2</v>
      </c>
    </row>
    <row r="53" spans="1:4" x14ac:dyDescent="0.2">
      <c r="A53" s="13">
        <v>35004</v>
      </c>
      <c r="B53" s="18">
        <f>VLOOKUP(A53,Database!A:K,MATCH('Retail Sales'!$A$1,Database!$A$1:$K$1,),)</f>
        <v>208664</v>
      </c>
      <c r="C53" s="15">
        <f t="shared" si="0"/>
        <v>1.2067359925500544E-2</v>
      </c>
      <c r="D53" s="16">
        <f t="shared" si="1"/>
        <v>4.4725155333924127E-2</v>
      </c>
    </row>
    <row r="54" spans="1:4" x14ac:dyDescent="0.2">
      <c r="A54" s="14">
        <v>35034</v>
      </c>
      <c r="B54" s="18">
        <f>VLOOKUP(A54,Database!A:K,MATCH('Retail Sales'!$A$1,Database!$A$1:$K$1,),)</f>
        <v>210399</v>
      </c>
      <c r="C54" s="15">
        <f t="shared" si="0"/>
        <v>8.3148027450830036E-3</v>
      </c>
      <c r="D54" s="16">
        <f t="shared" si="1"/>
        <v>4.8315412900718481E-2</v>
      </c>
    </row>
    <row r="55" spans="1:4" x14ac:dyDescent="0.2">
      <c r="A55" s="13">
        <v>35065</v>
      </c>
      <c r="B55" s="18">
        <f>VLOOKUP(A55,Database!A:K,MATCH('Retail Sales'!$A$1,Database!$A$1:$K$1,),)</f>
        <v>208699</v>
      </c>
      <c r="C55" s="15">
        <f t="shared" si="0"/>
        <v>-8.079886311246726E-3</v>
      </c>
      <c r="D55" s="16">
        <f t="shared" si="1"/>
        <v>3.5351956859301592E-2</v>
      </c>
    </row>
    <row r="56" spans="1:4" x14ac:dyDescent="0.2">
      <c r="A56" s="14">
        <v>35096</v>
      </c>
      <c r="B56" s="18">
        <f>VLOOKUP(A56,Database!A:K,MATCH('Retail Sales'!$A$1,Database!$A$1:$K$1,),)</f>
        <v>212008</v>
      </c>
      <c r="C56" s="15">
        <f t="shared" si="0"/>
        <v>1.58553706534291E-2</v>
      </c>
      <c r="D56" s="16">
        <f t="shared" si="1"/>
        <v>6.859409573636964E-2</v>
      </c>
    </row>
    <row r="57" spans="1:4" x14ac:dyDescent="0.2">
      <c r="A57" s="13">
        <v>35125</v>
      </c>
      <c r="B57" s="18">
        <f>VLOOKUP(A57,Database!A:K,MATCH('Retail Sales'!$A$1,Database!$A$1:$K$1,),)</f>
        <v>213891</v>
      </c>
      <c r="C57" s="15">
        <f t="shared" si="0"/>
        <v>8.8817403116863512E-3</v>
      </c>
      <c r="D57" s="16">
        <f t="shared" si="1"/>
        <v>6.8135852222505205E-2</v>
      </c>
    </row>
    <row r="58" spans="1:4" x14ac:dyDescent="0.2">
      <c r="A58" s="14">
        <v>35156</v>
      </c>
      <c r="B58" s="18">
        <f>VLOOKUP(A58,Database!A:K,MATCH('Retail Sales'!$A$1,Database!$A$1:$K$1,),)</f>
        <v>214676</v>
      </c>
      <c r="C58" s="15">
        <f t="shared" si="0"/>
        <v>3.6700936458289504E-3</v>
      </c>
      <c r="D58" s="16">
        <f t="shared" si="1"/>
        <v>6.7869791873930524E-2</v>
      </c>
    </row>
    <row r="59" spans="1:4" x14ac:dyDescent="0.2">
      <c r="A59" s="13">
        <v>35186</v>
      </c>
      <c r="B59" s="18">
        <f>VLOOKUP(A59,Database!A:K,MATCH('Retail Sales'!$A$1,Database!$A$1:$K$1,),)</f>
        <v>216299</v>
      </c>
      <c r="C59" s="15">
        <f t="shared" si="0"/>
        <v>7.5602303005459391E-3</v>
      </c>
      <c r="D59" s="16">
        <f t="shared" si="1"/>
        <v>6.558580394707024E-2</v>
      </c>
    </row>
    <row r="60" spans="1:4" x14ac:dyDescent="0.2">
      <c r="A60" s="14">
        <v>35217</v>
      </c>
      <c r="B60" s="18">
        <f>VLOOKUP(A60,Database!A:K,MATCH('Retail Sales'!$A$1,Database!$A$1:$K$1,),)</f>
        <v>216068</v>
      </c>
      <c r="C60" s="15">
        <f t="shared" si="0"/>
        <v>-1.0679661024785136E-3</v>
      </c>
      <c r="D60" s="16">
        <f t="shared" si="1"/>
        <v>5.1425790754257905E-2</v>
      </c>
    </row>
    <row r="61" spans="1:4" x14ac:dyDescent="0.2">
      <c r="A61" s="13">
        <v>35247</v>
      </c>
      <c r="B61" s="18">
        <f>VLOOKUP(A61,Database!A:K,MATCH('Retail Sales'!$A$1,Database!$A$1:$K$1,),)</f>
        <v>216332</v>
      </c>
      <c r="C61" s="15">
        <f t="shared" si="0"/>
        <v>1.2218375696539977E-3</v>
      </c>
      <c r="D61" s="16">
        <f t="shared" si="1"/>
        <v>5.5690025375756395E-2</v>
      </c>
    </row>
    <row r="62" spans="1:4" x14ac:dyDescent="0.2">
      <c r="A62" s="14">
        <v>35278</v>
      </c>
      <c r="B62" s="18">
        <f>VLOOKUP(A62,Database!A:K,MATCH('Retail Sales'!$A$1,Database!$A$1:$K$1,),)</f>
        <v>216358</v>
      </c>
      <c r="C62" s="15">
        <f t="shared" si="0"/>
        <v>1.2018564058946434E-4</v>
      </c>
      <c r="D62" s="16">
        <f t="shared" si="1"/>
        <v>4.7631959945961914E-2</v>
      </c>
    </row>
    <row r="63" spans="1:4" x14ac:dyDescent="0.2">
      <c r="A63" s="13">
        <v>35309</v>
      </c>
      <c r="B63" s="18">
        <f>VLOOKUP(A63,Database!A:K,MATCH('Retail Sales'!$A$1,Database!$A$1:$K$1,),)</f>
        <v>219256</v>
      </c>
      <c r="C63" s="15">
        <f t="shared" si="0"/>
        <v>1.3394466578541122E-2</v>
      </c>
      <c r="D63" s="16">
        <f t="shared" si="1"/>
        <v>5.9177028685158888E-2</v>
      </c>
    </row>
    <row r="64" spans="1:4" x14ac:dyDescent="0.2">
      <c r="A64" s="14">
        <v>35339</v>
      </c>
      <c r="B64" s="18">
        <f>VLOOKUP(A64,Database!A:K,MATCH('Retail Sales'!$A$1,Database!$A$1:$K$1,),)</f>
        <v>221060</v>
      </c>
      <c r="C64" s="15">
        <f t="shared" si="0"/>
        <v>8.2278250082095817E-3</v>
      </c>
      <c r="D64" s="16">
        <f t="shared" si="1"/>
        <v>7.21907496507838E-2</v>
      </c>
    </row>
    <row r="65" spans="1:4" x14ac:dyDescent="0.2">
      <c r="A65" s="13">
        <v>35370</v>
      </c>
      <c r="B65" s="18">
        <f>VLOOKUP(A65,Database!A:K,MATCH('Retail Sales'!$A$1,Database!$A$1:$K$1,),)</f>
        <v>220963</v>
      </c>
      <c r="C65" s="15">
        <f t="shared" si="0"/>
        <v>-4.3879489731294671E-4</v>
      </c>
      <c r="D65" s="16">
        <f t="shared" si="1"/>
        <v>5.8941647816585514E-2</v>
      </c>
    </row>
    <row r="66" spans="1:4" x14ac:dyDescent="0.2">
      <c r="A66" s="14">
        <v>35400</v>
      </c>
      <c r="B66" s="18">
        <f>VLOOKUP(A66,Database!A:K,MATCH('Retail Sales'!$A$1,Database!$A$1:$K$1,),)</f>
        <v>221991</v>
      </c>
      <c r="C66" s="15">
        <f t="shared" si="0"/>
        <v>4.6523626127451204E-3</v>
      </c>
      <c r="D66" s="16">
        <f t="shared" si="1"/>
        <v>5.5095318894101207E-2</v>
      </c>
    </row>
    <row r="67" spans="1:4" x14ac:dyDescent="0.2">
      <c r="A67" s="13">
        <v>35431</v>
      </c>
      <c r="B67" s="18">
        <f>VLOOKUP(A67,Database!A:K,MATCH('Retail Sales'!$A$1,Database!$A$1:$K$1,),)</f>
        <v>223481</v>
      </c>
      <c r="C67" s="15">
        <f t="shared" si="0"/>
        <v>6.7119838191638395E-3</v>
      </c>
      <c r="D67" s="16">
        <f t="shared" si="1"/>
        <v>7.0829280446959492E-2</v>
      </c>
    </row>
    <row r="68" spans="1:4" x14ac:dyDescent="0.2">
      <c r="A68" s="14">
        <v>35462</v>
      </c>
      <c r="B68" s="18">
        <f>VLOOKUP(A68,Database!A:K,MATCH('Retail Sales'!$A$1,Database!$A$1:$K$1,),)</f>
        <v>225422</v>
      </c>
      <c r="C68" s="15">
        <f t="shared" si="0"/>
        <v>8.6853021062193204E-3</v>
      </c>
      <c r="D68" s="16">
        <f t="shared" si="1"/>
        <v>6.3271197313308936E-2</v>
      </c>
    </row>
    <row r="69" spans="1:4" x14ac:dyDescent="0.2">
      <c r="A69" s="13">
        <v>35490</v>
      </c>
      <c r="B69" s="18">
        <f>VLOOKUP(A69,Database!A:K,MATCH('Retail Sales'!$A$1,Database!$A$1:$K$1,),)</f>
        <v>226161</v>
      </c>
      <c r="C69" s="15">
        <f t="shared" si="0"/>
        <v>3.2782958185092847E-3</v>
      </c>
      <c r="D69" s="16">
        <f t="shared" si="1"/>
        <v>5.7365667559644867E-2</v>
      </c>
    </row>
    <row r="70" spans="1:4" x14ac:dyDescent="0.2">
      <c r="A70" s="14">
        <v>35521</v>
      </c>
      <c r="B70" s="18">
        <f>VLOOKUP(A70,Database!A:K,MATCH('Retail Sales'!$A$1,Database!$A$1:$K$1,),)</f>
        <v>224615</v>
      </c>
      <c r="C70" s="15">
        <f t="shared" si="0"/>
        <v>-6.8358381860709845E-3</v>
      </c>
      <c r="D70" s="16">
        <f t="shared" si="1"/>
        <v>4.6297676498537332E-2</v>
      </c>
    </row>
    <row r="71" spans="1:4" x14ac:dyDescent="0.2">
      <c r="A71" s="13">
        <v>35551</v>
      </c>
      <c r="B71" s="18">
        <f>VLOOKUP(A71,Database!A:K,MATCH('Retail Sales'!$A$1,Database!$A$1:$K$1,),)</f>
        <v>222929</v>
      </c>
      <c r="C71" s="15">
        <f t="shared" si="0"/>
        <v>-7.5061772366048574E-3</v>
      </c>
      <c r="D71" s="16">
        <f t="shared" si="1"/>
        <v>3.0652014110097596E-2</v>
      </c>
    </row>
    <row r="72" spans="1:4" x14ac:dyDescent="0.2">
      <c r="A72" s="14">
        <v>35582</v>
      </c>
      <c r="B72" s="18">
        <f>VLOOKUP(A72,Database!A:K,MATCH('Retail Sales'!$A$1,Database!$A$1:$K$1,),)</f>
        <v>226057</v>
      </c>
      <c r="C72" s="15">
        <f t="shared" si="0"/>
        <v>1.40313732174818E-2</v>
      </c>
      <c r="D72" s="16">
        <f t="shared" si="1"/>
        <v>4.6230816224521909E-2</v>
      </c>
    </row>
    <row r="73" spans="1:4" x14ac:dyDescent="0.2">
      <c r="A73" s="13">
        <v>35612</v>
      </c>
      <c r="B73" s="18">
        <f>VLOOKUP(A73,Database!A:K,MATCH('Retail Sales'!$A$1,Database!$A$1:$K$1,),)</f>
        <v>228703</v>
      </c>
      <c r="C73" s="15">
        <f t="shared" ref="C73:C136" si="2">(B73-B72)/B72</f>
        <v>1.170501245261151E-2</v>
      </c>
      <c r="D73" s="16">
        <f t="shared" si="1"/>
        <v>5.7185252297394747E-2</v>
      </c>
    </row>
    <row r="74" spans="1:4" x14ac:dyDescent="0.2">
      <c r="A74" s="14">
        <v>35643</v>
      </c>
      <c r="B74" s="18">
        <f>VLOOKUP(A74,Database!A:K,MATCH('Retail Sales'!$A$1,Database!$A$1:$K$1,),)</f>
        <v>229309</v>
      </c>
      <c r="C74" s="15">
        <f t="shared" si="2"/>
        <v>2.6497247521895207E-3</v>
      </c>
      <c r="D74" s="16">
        <f t="shared" si="1"/>
        <v>5.9859122380498987E-2</v>
      </c>
    </row>
    <row r="75" spans="1:4" x14ac:dyDescent="0.2">
      <c r="A75" s="13">
        <v>35674</v>
      </c>
      <c r="B75" s="18">
        <f>VLOOKUP(A75,Database!A:K,MATCH('Retail Sales'!$A$1,Database!$A$1:$K$1,),)</f>
        <v>230312</v>
      </c>
      <c r="C75" s="15">
        <f t="shared" si="2"/>
        <v>4.3740106144983405E-3</v>
      </c>
      <c r="D75" s="16">
        <f t="shared" si="1"/>
        <v>5.0425073886233442E-2</v>
      </c>
    </row>
    <row r="76" spans="1:4" x14ac:dyDescent="0.2">
      <c r="A76" s="14">
        <v>35704</v>
      </c>
      <c r="B76" s="18">
        <f>VLOOKUP(A76,Database!A:K,MATCH('Retail Sales'!$A$1,Database!$A$1:$K$1,),)</f>
        <v>229836</v>
      </c>
      <c r="C76" s="15">
        <f t="shared" si="2"/>
        <v>-2.0667616103372814E-3</v>
      </c>
      <c r="D76" s="16">
        <f t="shared" si="1"/>
        <v>3.9699629059983713E-2</v>
      </c>
    </row>
    <row r="77" spans="1:4" x14ac:dyDescent="0.2">
      <c r="A77" s="13">
        <v>35735</v>
      </c>
      <c r="B77" s="18">
        <f>VLOOKUP(A77,Database!A:K,MATCH('Retail Sales'!$A$1,Database!$A$1:$K$1,),)</f>
        <v>230440</v>
      </c>
      <c r="C77" s="15">
        <f t="shared" si="2"/>
        <v>2.627960806836179E-3</v>
      </c>
      <c r="D77" s="16">
        <f t="shared" si="1"/>
        <v>4.2889533541814691E-2</v>
      </c>
    </row>
    <row r="78" spans="1:4" x14ac:dyDescent="0.2">
      <c r="A78" s="14">
        <v>35765</v>
      </c>
      <c r="B78" s="18">
        <f>VLOOKUP(A78,Database!A:K,MATCH('Retail Sales'!$A$1,Database!$A$1:$K$1,),)</f>
        <v>231181</v>
      </c>
      <c r="C78" s="15">
        <f t="shared" si="2"/>
        <v>3.2155875716021525E-3</v>
      </c>
      <c r="D78" s="16">
        <f t="shared" si="1"/>
        <v>4.1398074696721937E-2</v>
      </c>
    </row>
    <row r="79" spans="1:4" x14ac:dyDescent="0.2">
      <c r="A79" s="13">
        <v>35796</v>
      </c>
      <c r="B79" s="18">
        <f>VLOOKUP(A79,Database!A:K,MATCH('Retail Sales'!$A$1,Database!$A$1:$K$1,),)</f>
        <v>231587</v>
      </c>
      <c r="C79" s="15">
        <f t="shared" si="2"/>
        <v>1.7561996876905973E-3</v>
      </c>
      <c r="D79" s="16">
        <f t="shared" si="1"/>
        <v>3.6271539862449159E-2</v>
      </c>
    </row>
    <row r="80" spans="1:4" x14ac:dyDescent="0.2">
      <c r="A80" s="14">
        <v>35827</v>
      </c>
      <c r="B80" s="18">
        <f>VLOOKUP(A80,Database!A:K,MATCH('Retail Sales'!$A$1,Database!$A$1:$K$1,),)</f>
        <v>231684</v>
      </c>
      <c r="C80" s="15">
        <f t="shared" si="2"/>
        <v>4.1884907183909289E-4</v>
      </c>
      <c r="D80" s="16">
        <f t="shared" si="1"/>
        <v>2.7779010034513045E-2</v>
      </c>
    </row>
    <row r="81" spans="1:4" x14ac:dyDescent="0.2">
      <c r="A81" s="13">
        <v>35855</v>
      </c>
      <c r="B81" s="18">
        <f>VLOOKUP(A81,Database!A:K,MATCH('Retail Sales'!$A$1,Database!$A$1:$K$1,),)</f>
        <v>233083</v>
      </c>
      <c r="C81" s="15">
        <f t="shared" si="2"/>
        <v>6.0383971271214237E-3</v>
      </c>
      <c r="D81" s="16">
        <f t="shared" si="1"/>
        <v>3.0606514827932314E-2</v>
      </c>
    </row>
    <row r="82" spans="1:4" x14ac:dyDescent="0.2">
      <c r="A82" s="14">
        <v>35886</v>
      </c>
      <c r="B82" s="18">
        <f>VLOOKUP(A82,Database!A:K,MATCH('Retail Sales'!$A$1,Database!$A$1:$K$1,),)</f>
        <v>235986</v>
      </c>
      <c r="C82" s="15">
        <f t="shared" si="2"/>
        <v>1.2454790782682563E-2</v>
      </c>
      <c r="D82" s="16">
        <f t="shared" si="1"/>
        <v>5.0624401754112591E-2</v>
      </c>
    </row>
    <row r="83" spans="1:4" x14ac:dyDescent="0.2">
      <c r="A83" s="13">
        <v>35916</v>
      </c>
      <c r="B83" s="18">
        <f>VLOOKUP(A83,Database!A:K,MATCH('Retail Sales'!$A$1,Database!$A$1:$K$1,),)</f>
        <v>237075</v>
      </c>
      <c r="C83" s="15">
        <f t="shared" si="2"/>
        <v>4.6146805318959599E-3</v>
      </c>
      <c r="D83" s="16">
        <f t="shared" si="1"/>
        <v>6.3455180797473629E-2</v>
      </c>
    </row>
    <row r="84" spans="1:4" x14ac:dyDescent="0.2">
      <c r="A84" s="14">
        <v>35947</v>
      </c>
      <c r="B84" s="18">
        <f>VLOOKUP(A84,Database!A:K,MATCH('Retail Sales'!$A$1,Database!$A$1:$K$1,),)</f>
        <v>238971</v>
      </c>
      <c r="C84" s="15">
        <f t="shared" si="2"/>
        <v>7.9974691553305922E-3</v>
      </c>
      <c r="D84" s="16">
        <f t="shared" ref="D84:D147" si="3">(B84-B72)/B72</f>
        <v>5.7127184736592986E-2</v>
      </c>
    </row>
    <row r="85" spans="1:4" x14ac:dyDescent="0.2">
      <c r="A85" s="13">
        <v>35977</v>
      </c>
      <c r="B85" s="18">
        <f>VLOOKUP(A85,Database!A:K,MATCH('Retail Sales'!$A$1,Database!$A$1:$K$1,),)</f>
        <v>237411</v>
      </c>
      <c r="C85" s="15">
        <f t="shared" si="2"/>
        <v>-6.5279887517732281E-3</v>
      </c>
      <c r="D85" s="16">
        <f t="shared" si="3"/>
        <v>3.8075582742683745E-2</v>
      </c>
    </row>
    <row r="86" spans="1:4" x14ac:dyDescent="0.2">
      <c r="A86" s="14">
        <v>36008</v>
      </c>
      <c r="B86" s="18">
        <f>VLOOKUP(A86,Database!A:K,MATCH('Retail Sales'!$A$1,Database!$A$1:$K$1,),)</f>
        <v>236379</v>
      </c>
      <c r="C86" s="15">
        <f t="shared" si="2"/>
        <v>-4.3468920985127056E-3</v>
      </c>
      <c r="D86" s="16">
        <f t="shared" si="3"/>
        <v>3.0831759765207644E-2</v>
      </c>
    </row>
    <row r="87" spans="1:4" x14ac:dyDescent="0.2">
      <c r="A87" s="13">
        <v>36039</v>
      </c>
      <c r="B87" s="18">
        <f>VLOOKUP(A87,Database!A:K,MATCH('Retail Sales'!$A$1,Database!$A$1:$K$1,),)</f>
        <v>238550</v>
      </c>
      <c r="C87" s="15">
        <f t="shared" si="2"/>
        <v>9.1844030138041027E-3</v>
      </c>
      <c r="D87" s="16">
        <f t="shared" si="3"/>
        <v>3.5768870054534718E-2</v>
      </c>
    </row>
    <row r="88" spans="1:4" x14ac:dyDescent="0.2">
      <c r="A88" s="14">
        <v>36069</v>
      </c>
      <c r="B88" s="18">
        <f>VLOOKUP(A88,Database!A:K,MATCH('Retail Sales'!$A$1,Database!$A$1:$K$1,),)</f>
        <v>242549</v>
      </c>
      <c r="C88" s="15">
        <f t="shared" si="2"/>
        <v>1.6763781177950115E-2</v>
      </c>
      <c r="D88" s="16">
        <f t="shared" si="3"/>
        <v>5.5313353869715795E-2</v>
      </c>
    </row>
    <row r="89" spans="1:4" x14ac:dyDescent="0.2">
      <c r="A89" s="13">
        <v>36100</v>
      </c>
      <c r="B89" s="18">
        <f>VLOOKUP(A89,Database!A:K,MATCH('Retail Sales'!$A$1,Database!$A$1:$K$1,),)</f>
        <v>244291</v>
      </c>
      <c r="C89" s="15">
        <f t="shared" si="2"/>
        <v>7.1820539354934465E-3</v>
      </c>
      <c r="D89" s="16">
        <f t="shared" si="3"/>
        <v>6.0106752299947927E-2</v>
      </c>
    </row>
    <row r="90" spans="1:4" x14ac:dyDescent="0.2">
      <c r="A90" s="14">
        <v>36130</v>
      </c>
      <c r="B90" s="18">
        <f>VLOOKUP(A90,Database!A:K,MATCH('Retail Sales'!$A$1,Database!$A$1:$K$1,),)</f>
        <v>246530</v>
      </c>
      <c r="C90" s="15">
        <f t="shared" si="2"/>
        <v>9.1652987625413952E-3</v>
      </c>
      <c r="D90" s="16">
        <f t="shared" si="3"/>
        <v>6.6393864547692069E-2</v>
      </c>
    </row>
    <row r="91" spans="1:4" x14ac:dyDescent="0.2">
      <c r="A91" s="13">
        <v>36161</v>
      </c>
      <c r="B91" s="18">
        <f>VLOOKUP(A91,Database!A:K,MATCH('Retail Sales'!$A$1,Database!$A$1:$K$1,),)</f>
        <v>246868</v>
      </c>
      <c r="C91" s="15">
        <f t="shared" si="2"/>
        <v>1.3710298949417921E-3</v>
      </c>
      <c r="D91" s="16">
        <f t="shared" si="3"/>
        <v>6.5983841925496681E-2</v>
      </c>
    </row>
    <row r="92" spans="1:4" x14ac:dyDescent="0.2">
      <c r="A92" s="14">
        <v>36192</v>
      </c>
      <c r="B92" s="18">
        <f>VLOOKUP(A92,Database!A:K,MATCH('Retail Sales'!$A$1,Database!$A$1:$K$1,),)</f>
        <v>249520</v>
      </c>
      <c r="C92" s="15">
        <f t="shared" si="2"/>
        <v>1.0742583080836723E-2</v>
      </c>
      <c r="D92" s="16">
        <f t="shared" si="3"/>
        <v>7.698416809102053E-2</v>
      </c>
    </row>
    <row r="93" spans="1:4" x14ac:dyDescent="0.2">
      <c r="A93" s="13">
        <v>36220</v>
      </c>
      <c r="B93" s="18">
        <f>VLOOKUP(A93,Database!A:K,MATCH('Retail Sales'!$A$1,Database!$A$1:$K$1,),)</f>
        <v>250667</v>
      </c>
      <c r="C93" s="15">
        <f t="shared" si="2"/>
        <v>4.5968259057390191E-3</v>
      </c>
      <c r="D93" s="16">
        <f t="shared" si="3"/>
        <v>7.5440937348498174E-2</v>
      </c>
    </row>
    <row r="94" spans="1:4" x14ac:dyDescent="0.2">
      <c r="A94" s="14">
        <v>36251</v>
      </c>
      <c r="B94" s="18">
        <f>VLOOKUP(A94,Database!A:K,MATCH('Retail Sales'!$A$1,Database!$A$1:$K$1,),)</f>
        <v>252477</v>
      </c>
      <c r="C94" s="15">
        <f t="shared" si="2"/>
        <v>7.2207350788097355E-3</v>
      </c>
      <c r="D94" s="16">
        <f t="shared" si="3"/>
        <v>6.9881264142788127E-2</v>
      </c>
    </row>
    <row r="95" spans="1:4" x14ac:dyDescent="0.2">
      <c r="A95" s="13">
        <v>36281</v>
      </c>
      <c r="B95" s="18">
        <f>VLOOKUP(A95,Database!A:K,MATCH('Retail Sales'!$A$1,Database!$A$1:$K$1,),)</f>
        <v>254735</v>
      </c>
      <c r="C95" s="15">
        <f t="shared" si="2"/>
        <v>8.9433889027515385E-3</v>
      </c>
      <c r="D95" s="16">
        <f t="shared" si="3"/>
        <v>7.4491194769587682E-2</v>
      </c>
    </row>
    <row r="96" spans="1:4" x14ac:dyDescent="0.2">
      <c r="A96" s="14">
        <v>36312</v>
      </c>
      <c r="B96" s="18">
        <f>VLOOKUP(A96,Database!A:K,MATCH('Retail Sales'!$A$1,Database!$A$1:$K$1,),)</f>
        <v>255449</v>
      </c>
      <c r="C96" s="15">
        <f t="shared" si="2"/>
        <v>2.802912830981216E-3</v>
      </c>
      <c r="D96" s="16">
        <f t="shared" si="3"/>
        <v>6.8953973494691831E-2</v>
      </c>
    </row>
    <row r="97" spans="1:4" x14ac:dyDescent="0.2">
      <c r="A97" s="13">
        <v>36342</v>
      </c>
      <c r="B97" s="18">
        <f>VLOOKUP(A97,Database!A:K,MATCH('Retail Sales'!$A$1,Database!$A$1:$K$1,),)</f>
        <v>257456</v>
      </c>
      <c r="C97" s="15">
        <f t="shared" si="2"/>
        <v>7.8567541857670221E-3</v>
      </c>
      <c r="D97" s="16">
        <f t="shared" si="3"/>
        <v>8.4431639646014717E-2</v>
      </c>
    </row>
    <row r="98" spans="1:4" x14ac:dyDescent="0.2">
      <c r="A98" s="14">
        <v>36373</v>
      </c>
      <c r="B98" s="18">
        <f>VLOOKUP(A98,Database!A:K,MATCH('Retail Sales'!$A$1,Database!$A$1:$K$1,),)</f>
        <v>260230</v>
      </c>
      <c r="C98" s="15">
        <f t="shared" si="2"/>
        <v>1.0774656640357963E-2</v>
      </c>
      <c r="D98" s="16">
        <f t="shared" si="3"/>
        <v>0.10090151832438583</v>
      </c>
    </row>
    <row r="99" spans="1:4" x14ac:dyDescent="0.2">
      <c r="A99" s="13">
        <v>36404</v>
      </c>
      <c r="B99" s="18">
        <f>VLOOKUP(A99,Database!A:K,MATCH('Retail Sales'!$A$1,Database!$A$1:$K$1,),)</f>
        <v>261317</v>
      </c>
      <c r="C99" s="15">
        <f t="shared" si="2"/>
        <v>4.1770741267340428E-3</v>
      </c>
      <c r="D99" s="16">
        <f t="shared" si="3"/>
        <v>9.5439111297421927E-2</v>
      </c>
    </row>
    <row r="100" spans="1:4" x14ac:dyDescent="0.2">
      <c r="A100" s="14">
        <v>36434</v>
      </c>
      <c r="B100" s="18">
        <f>VLOOKUP(A100,Database!A:K,MATCH('Retail Sales'!$A$1,Database!$A$1:$K$1,),)</f>
        <v>261818</v>
      </c>
      <c r="C100" s="15">
        <f t="shared" si="2"/>
        <v>1.9172116624635979E-3</v>
      </c>
      <c r="D100" s="16">
        <f t="shared" si="3"/>
        <v>7.9443741264651674E-2</v>
      </c>
    </row>
    <row r="101" spans="1:4" x14ac:dyDescent="0.2">
      <c r="A101" s="13">
        <v>36465</v>
      </c>
      <c r="B101" s="18">
        <f>VLOOKUP(A101,Database!A:K,MATCH('Retail Sales'!$A$1,Database!$A$1:$K$1,),)</f>
        <v>264965</v>
      </c>
      <c r="C101" s="15">
        <f t="shared" si="2"/>
        <v>1.2019800013750009E-2</v>
      </c>
      <c r="D101" s="16">
        <f t="shared" si="3"/>
        <v>8.4628578212050387E-2</v>
      </c>
    </row>
    <row r="102" spans="1:4" x14ac:dyDescent="0.2">
      <c r="A102" s="14">
        <v>36495</v>
      </c>
      <c r="B102" s="18">
        <f>VLOOKUP(A102,Database!A:K,MATCH('Retail Sales'!$A$1,Database!$A$1:$K$1,),)</f>
        <v>269863</v>
      </c>
      <c r="C102" s="15">
        <f t="shared" si="2"/>
        <v>1.8485460343818996E-2</v>
      </c>
      <c r="D102" s="16">
        <f t="shared" si="3"/>
        <v>9.464568206709123E-2</v>
      </c>
    </row>
    <row r="103" spans="1:4" x14ac:dyDescent="0.2">
      <c r="A103" s="13">
        <v>36526</v>
      </c>
      <c r="B103" s="18">
        <f>VLOOKUP(A103,Database!A:K,MATCH('Retail Sales'!$A$1,Database!$A$1:$K$1,),)</f>
        <v>268044</v>
      </c>
      <c r="C103" s="15">
        <f t="shared" si="2"/>
        <v>-6.7404571949470655E-3</v>
      </c>
      <c r="D103" s="16">
        <f t="shared" si="3"/>
        <v>8.5778634735972262E-2</v>
      </c>
    </row>
    <row r="104" spans="1:4" x14ac:dyDescent="0.2">
      <c r="A104" s="14">
        <v>36557</v>
      </c>
      <c r="B104" s="18">
        <f>VLOOKUP(A104,Database!A:K,MATCH('Retail Sales'!$A$1,Database!$A$1:$K$1,),)</f>
        <v>272020</v>
      </c>
      <c r="C104" s="15">
        <f t="shared" si="2"/>
        <v>1.4833385563564191E-2</v>
      </c>
      <c r="D104" s="16">
        <f t="shared" si="3"/>
        <v>9.017313241423533E-2</v>
      </c>
    </row>
    <row r="105" spans="1:4" x14ac:dyDescent="0.2">
      <c r="A105" s="13">
        <v>36586</v>
      </c>
      <c r="B105" s="18">
        <f>VLOOKUP(A105,Database!A:K,MATCH('Retail Sales'!$A$1,Database!$A$1:$K$1,),)</f>
        <v>275192</v>
      </c>
      <c r="C105" s="15">
        <f t="shared" si="2"/>
        <v>1.1660907286228954E-2</v>
      </c>
      <c r="D105" s="16">
        <f t="shared" si="3"/>
        <v>9.7838965639673356E-2</v>
      </c>
    </row>
    <row r="106" spans="1:4" x14ac:dyDescent="0.2">
      <c r="A106" s="14">
        <v>36617</v>
      </c>
      <c r="B106" s="18">
        <f>VLOOKUP(A106,Database!A:K,MATCH('Retail Sales'!$A$1,Database!$A$1:$K$1,),)</f>
        <v>271046</v>
      </c>
      <c r="C106" s="15">
        <f t="shared" si="2"/>
        <v>-1.5065844937352831E-2</v>
      </c>
      <c r="D106" s="16">
        <f t="shared" si="3"/>
        <v>7.3547293416826087E-2</v>
      </c>
    </row>
    <row r="107" spans="1:4" x14ac:dyDescent="0.2">
      <c r="A107" s="13">
        <v>36647</v>
      </c>
      <c r="B107" s="18">
        <f>VLOOKUP(A107,Database!A:K,MATCH('Retail Sales'!$A$1,Database!$A$1:$K$1,),)</f>
        <v>271394</v>
      </c>
      <c r="C107" s="15">
        <f t="shared" si="2"/>
        <v>1.2839149074326866E-3</v>
      </c>
      <c r="D107" s="16">
        <f t="shared" si="3"/>
        <v>6.539737374133904E-2</v>
      </c>
    </row>
    <row r="108" spans="1:4" x14ac:dyDescent="0.2">
      <c r="A108" s="14">
        <v>36678</v>
      </c>
      <c r="B108" s="18">
        <f>VLOOKUP(A108,Database!A:K,MATCH('Retail Sales'!$A$1,Database!$A$1:$K$1,),)</f>
        <v>273422</v>
      </c>
      <c r="C108" s="15">
        <f t="shared" si="2"/>
        <v>7.4725307118064513E-3</v>
      </c>
      <c r="D108" s="16">
        <f t="shared" si="3"/>
        <v>7.0358466856397947E-2</v>
      </c>
    </row>
    <row r="109" spans="1:4" x14ac:dyDescent="0.2">
      <c r="A109" s="13">
        <v>36708</v>
      </c>
      <c r="B109" s="18">
        <f>VLOOKUP(A109,Database!A:K,MATCH('Retail Sales'!$A$1,Database!$A$1:$K$1,),)</f>
        <v>272630</v>
      </c>
      <c r="C109" s="15">
        <f t="shared" si="2"/>
        <v>-2.8966213399068109E-3</v>
      </c>
      <c r="D109" s="16">
        <f t="shared" si="3"/>
        <v>5.8938226337704305E-2</v>
      </c>
    </row>
    <row r="110" spans="1:4" x14ac:dyDescent="0.2">
      <c r="A110" s="14">
        <v>36739</v>
      </c>
      <c r="B110" s="18">
        <f>VLOOKUP(A110,Database!A:K,MATCH('Retail Sales'!$A$1,Database!$A$1:$K$1,),)</f>
        <v>272918</v>
      </c>
      <c r="C110" s="15">
        <f t="shared" si="2"/>
        <v>1.0563767743828633E-3</v>
      </c>
      <c r="D110" s="16">
        <f t="shared" si="3"/>
        <v>4.8756868923644468E-2</v>
      </c>
    </row>
    <row r="111" spans="1:4" x14ac:dyDescent="0.2">
      <c r="A111" s="13">
        <v>36770</v>
      </c>
      <c r="B111" s="18">
        <f>VLOOKUP(A111,Database!A:K,MATCH('Retail Sales'!$A$1,Database!$A$1:$K$1,),)</f>
        <v>277548</v>
      </c>
      <c r="C111" s="15">
        <f t="shared" si="2"/>
        <v>1.6964802614704785E-2</v>
      </c>
      <c r="D111" s="16">
        <f t="shared" si="3"/>
        <v>6.2112300386121068E-2</v>
      </c>
    </row>
    <row r="112" spans="1:4" x14ac:dyDescent="0.2">
      <c r="A112" s="14">
        <v>36800</v>
      </c>
      <c r="B112" s="18">
        <f>VLOOKUP(A112,Database!A:K,MATCH('Retail Sales'!$A$1,Database!$A$1:$K$1,),)</f>
        <v>276927</v>
      </c>
      <c r="C112" s="15">
        <f t="shared" si="2"/>
        <v>-2.2374508193177397E-3</v>
      </c>
      <c r="D112" s="16">
        <f t="shared" si="3"/>
        <v>5.7708026186129295E-2</v>
      </c>
    </row>
    <row r="113" spans="1:4" x14ac:dyDescent="0.2">
      <c r="A113" s="13">
        <v>36831</v>
      </c>
      <c r="B113" s="18">
        <f>VLOOKUP(A113,Database!A:K,MATCH('Retail Sales'!$A$1,Database!$A$1:$K$1,),)</f>
        <v>276029</v>
      </c>
      <c r="C113" s="15">
        <f t="shared" si="2"/>
        <v>-3.2427318390767243E-3</v>
      </c>
      <c r="D113" s="16">
        <f t="shared" si="3"/>
        <v>4.1756458400166056E-2</v>
      </c>
    </row>
    <row r="114" spans="1:4" x14ac:dyDescent="0.2">
      <c r="A114" s="14">
        <v>36861</v>
      </c>
      <c r="B114" s="18">
        <f>VLOOKUP(A114,Database!A:K,MATCH('Retail Sales'!$A$1,Database!$A$1:$K$1,),)</f>
        <v>275791</v>
      </c>
      <c r="C114" s="15">
        <f t="shared" si="2"/>
        <v>-8.6222824413376858E-4</v>
      </c>
      <c r="D114" s="16">
        <f t="shared" si="3"/>
        <v>2.1966701622675208E-2</v>
      </c>
    </row>
    <row r="115" spans="1:4" x14ac:dyDescent="0.2">
      <c r="A115" s="13">
        <v>36892</v>
      </c>
      <c r="B115" s="18">
        <f>VLOOKUP(A115,Database!A:K,MATCH('Retail Sales'!$A$1,Database!$A$1:$K$1,),)</f>
        <v>278834</v>
      </c>
      <c r="C115" s="15">
        <f t="shared" si="2"/>
        <v>1.1033717561486777E-2</v>
      </c>
      <c r="D115" s="16">
        <f t="shared" si="3"/>
        <v>4.0254585068123142E-2</v>
      </c>
    </row>
    <row r="116" spans="1:4" x14ac:dyDescent="0.2">
      <c r="A116" s="14">
        <v>36923</v>
      </c>
      <c r="B116" s="18">
        <f>VLOOKUP(A116,Database!A:K,MATCH('Retail Sales'!$A$1,Database!$A$1:$K$1,),)</f>
        <v>278773</v>
      </c>
      <c r="C116" s="15">
        <f t="shared" si="2"/>
        <v>-2.1876815596376338E-4</v>
      </c>
      <c r="D116" s="16">
        <f t="shared" si="3"/>
        <v>2.4825380486728919E-2</v>
      </c>
    </row>
    <row r="117" spans="1:4" x14ac:dyDescent="0.2">
      <c r="A117" s="13">
        <v>36951</v>
      </c>
      <c r="B117" s="18">
        <f>VLOOKUP(A117,Database!A:K,MATCH('Retail Sales'!$A$1,Database!$A$1:$K$1,),)</f>
        <v>276450</v>
      </c>
      <c r="C117" s="15">
        <f t="shared" si="2"/>
        <v>-8.3329447256369881E-3</v>
      </c>
      <c r="D117" s="16">
        <f t="shared" si="3"/>
        <v>4.5713538184249539E-3</v>
      </c>
    </row>
    <row r="118" spans="1:4" x14ac:dyDescent="0.2">
      <c r="A118" s="14">
        <v>36982</v>
      </c>
      <c r="B118" s="18">
        <f>VLOOKUP(A118,Database!A:K,MATCH('Retail Sales'!$A$1,Database!$A$1:$K$1,),)</f>
        <v>280808</v>
      </c>
      <c r="C118" s="15">
        <f t="shared" si="2"/>
        <v>1.5764152649665401E-2</v>
      </c>
      <c r="D118" s="16">
        <f t="shared" si="3"/>
        <v>3.6016026799878989E-2</v>
      </c>
    </row>
    <row r="119" spans="1:4" x14ac:dyDescent="0.2">
      <c r="A119" s="13">
        <v>37012</v>
      </c>
      <c r="B119" s="18">
        <f>VLOOKUP(A119,Database!A:K,MATCH('Retail Sales'!$A$1,Database!$A$1:$K$1,),)</f>
        <v>281496</v>
      </c>
      <c r="C119" s="15">
        <f t="shared" si="2"/>
        <v>2.45007264750292E-3</v>
      </c>
      <c r="D119" s="16">
        <f t="shared" si="3"/>
        <v>3.7222635725181842E-2</v>
      </c>
    </row>
    <row r="120" spans="1:4" x14ac:dyDescent="0.2">
      <c r="A120" s="14">
        <v>37043</v>
      </c>
      <c r="B120" s="18">
        <f>VLOOKUP(A120,Database!A:K,MATCH('Retail Sales'!$A$1,Database!$A$1:$K$1,),)</f>
        <v>280401</v>
      </c>
      <c r="C120" s="15">
        <f t="shared" si="2"/>
        <v>-3.8899309404041263E-3</v>
      </c>
      <c r="D120" s="16">
        <f t="shared" si="3"/>
        <v>2.5524646882840445E-2</v>
      </c>
    </row>
    <row r="121" spans="1:4" x14ac:dyDescent="0.2">
      <c r="A121" s="13">
        <v>37073</v>
      </c>
      <c r="B121" s="18">
        <f>VLOOKUP(A121,Database!A:K,MATCH('Retail Sales'!$A$1,Database!$A$1:$K$1,),)</f>
        <v>279504</v>
      </c>
      <c r="C121" s="15">
        <f t="shared" si="2"/>
        <v>-3.1989900178672685E-3</v>
      </c>
      <c r="D121" s="16">
        <f t="shared" si="3"/>
        <v>2.5213659538568755E-2</v>
      </c>
    </row>
    <row r="122" spans="1:4" x14ac:dyDescent="0.2">
      <c r="A122" s="14">
        <v>37104</v>
      </c>
      <c r="B122" s="18">
        <f>VLOOKUP(A122,Database!A:K,MATCH('Retail Sales'!$A$1,Database!$A$1:$K$1,),)</f>
        <v>281413</v>
      </c>
      <c r="C122" s="15">
        <f t="shared" si="2"/>
        <v>6.8299559219188273E-3</v>
      </c>
      <c r="D122" s="16">
        <f t="shared" si="3"/>
        <v>3.1126565488535016E-2</v>
      </c>
    </row>
    <row r="123" spans="1:4" x14ac:dyDescent="0.2">
      <c r="A123" s="13">
        <v>37135</v>
      </c>
      <c r="B123" s="18">
        <f>VLOOKUP(A123,Database!A:K,MATCH('Retail Sales'!$A$1,Database!$A$1:$K$1,),)</f>
        <v>276084</v>
      </c>
      <c r="C123" s="15">
        <f t="shared" si="2"/>
        <v>-1.8936580754975781E-2</v>
      </c>
      <c r="D123" s="16">
        <f t="shared" si="3"/>
        <v>-5.2747632841886813E-3</v>
      </c>
    </row>
    <row r="124" spans="1:4" x14ac:dyDescent="0.2">
      <c r="A124" s="14">
        <v>37165</v>
      </c>
      <c r="B124" s="18">
        <f>VLOOKUP(A124,Database!A:K,MATCH('Retail Sales'!$A$1,Database!$A$1:$K$1,),)</f>
        <v>294540</v>
      </c>
      <c r="C124" s="15">
        <f t="shared" si="2"/>
        <v>6.6849219802668752E-2</v>
      </c>
      <c r="D124" s="16">
        <f t="shared" si="3"/>
        <v>6.3601598977347823E-2</v>
      </c>
    </row>
    <row r="125" spans="1:4" x14ac:dyDescent="0.2">
      <c r="A125" s="13">
        <v>37196</v>
      </c>
      <c r="B125" s="18">
        <f>VLOOKUP(A125,Database!A:K,MATCH('Retail Sales'!$A$1,Database!$A$1:$K$1,),)</f>
        <v>287111</v>
      </c>
      <c r="C125" s="15">
        <f t="shared" si="2"/>
        <v>-2.5222380661370274E-2</v>
      </c>
      <c r="D125" s="16">
        <f t="shared" si="3"/>
        <v>4.0147955468447155E-2</v>
      </c>
    </row>
    <row r="126" spans="1:4" x14ac:dyDescent="0.2">
      <c r="A126" s="14">
        <v>37226</v>
      </c>
      <c r="B126" s="18">
        <f>VLOOKUP(A126,Database!A:K,MATCH('Retail Sales'!$A$1,Database!$A$1:$K$1,),)</f>
        <v>283705</v>
      </c>
      <c r="C126" s="15">
        <f t="shared" si="2"/>
        <v>-1.1863007686922479E-2</v>
      </c>
      <c r="D126" s="16">
        <f t="shared" si="3"/>
        <v>2.869564271495444E-2</v>
      </c>
    </row>
    <row r="127" spans="1:4" x14ac:dyDescent="0.2">
      <c r="A127" s="13">
        <v>37257</v>
      </c>
      <c r="B127" s="18">
        <f>VLOOKUP(A127,Database!A:K,MATCH('Retail Sales'!$A$1,Database!$A$1:$K$1,),)</f>
        <v>283508</v>
      </c>
      <c r="C127" s="15">
        <f t="shared" si="2"/>
        <v>-6.9438325020708131E-4</v>
      </c>
      <c r="D127" s="16">
        <f t="shared" si="3"/>
        <v>1.6762661655321805E-2</v>
      </c>
    </row>
    <row r="128" spans="1:4" x14ac:dyDescent="0.2">
      <c r="A128" s="14">
        <v>37288</v>
      </c>
      <c r="B128" s="18">
        <f>VLOOKUP(A128,Database!A:K,MATCH('Retail Sales'!$A$1,Database!$A$1:$K$1,),)</f>
        <v>285054</v>
      </c>
      <c r="C128" s="15">
        <f t="shared" si="2"/>
        <v>5.453108906979697E-3</v>
      </c>
      <c r="D128" s="16">
        <f t="shared" si="3"/>
        <v>2.2530876376119637E-2</v>
      </c>
    </row>
    <row r="129" spans="1:4" x14ac:dyDescent="0.2">
      <c r="A129" s="13">
        <v>37316</v>
      </c>
      <c r="B129" s="18">
        <f>VLOOKUP(A129,Database!A:K,MATCH('Retail Sales'!$A$1,Database!$A$1:$K$1,),)</f>
        <v>284262</v>
      </c>
      <c r="C129" s="15">
        <f t="shared" si="2"/>
        <v>-2.7784209307710117E-3</v>
      </c>
      <c r="D129" s="16">
        <f t="shared" si="3"/>
        <v>2.8258274552360282E-2</v>
      </c>
    </row>
    <row r="130" spans="1:4" x14ac:dyDescent="0.2">
      <c r="A130" s="14">
        <v>37347</v>
      </c>
      <c r="B130" s="18">
        <f>VLOOKUP(A130,Database!A:K,MATCH('Retail Sales'!$A$1,Database!$A$1:$K$1,),)</f>
        <v>288833</v>
      </c>
      <c r="C130" s="15">
        <f t="shared" si="2"/>
        <v>1.6080235838768459E-2</v>
      </c>
      <c r="D130" s="16">
        <f t="shared" si="3"/>
        <v>2.857824563402752E-2</v>
      </c>
    </row>
    <row r="131" spans="1:4" x14ac:dyDescent="0.2">
      <c r="A131" s="13">
        <v>37377</v>
      </c>
      <c r="B131" s="18">
        <f>VLOOKUP(A131,Database!A:K,MATCH('Retail Sales'!$A$1,Database!$A$1:$K$1,),)</f>
        <v>284951</v>
      </c>
      <c r="C131" s="15">
        <f t="shared" si="2"/>
        <v>-1.3440292487354285E-2</v>
      </c>
      <c r="D131" s="16">
        <f t="shared" si="3"/>
        <v>1.2273709040270555E-2</v>
      </c>
    </row>
    <row r="132" spans="1:4" x14ac:dyDescent="0.2">
      <c r="A132" s="14">
        <v>37408</v>
      </c>
      <c r="B132" s="18">
        <f>VLOOKUP(A132,Database!A:K,MATCH('Retail Sales'!$A$1,Database!$A$1:$K$1,),)</f>
        <v>287372</v>
      </c>
      <c r="C132" s="15">
        <f t="shared" si="2"/>
        <v>8.4961975918666725E-3</v>
      </c>
      <c r="D132" s="16">
        <f t="shared" si="3"/>
        <v>2.4860824319456777E-2</v>
      </c>
    </row>
    <row r="133" spans="1:4" x14ac:dyDescent="0.2">
      <c r="A133" s="13">
        <v>37438</v>
      </c>
      <c r="B133" s="18">
        <f>VLOOKUP(A133,Database!A:K,MATCH('Retail Sales'!$A$1,Database!$A$1:$K$1,),)</f>
        <v>290385</v>
      </c>
      <c r="C133" s="15">
        <f t="shared" si="2"/>
        <v>1.0484667956516293E-2</v>
      </c>
      <c r="D133" s="16">
        <f t="shared" si="3"/>
        <v>3.892967542503864E-2</v>
      </c>
    </row>
    <row r="134" spans="1:4" x14ac:dyDescent="0.2">
      <c r="A134" s="14">
        <v>37469</v>
      </c>
      <c r="B134" s="18">
        <f>VLOOKUP(A134,Database!A:K,MATCH('Retail Sales'!$A$1,Database!$A$1:$K$1,),)</f>
        <v>292650</v>
      </c>
      <c r="C134" s="15">
        <f t="shared" si="2"/>
        <v>7.7999896688878559E-3</v>
      </c>
      <c r="D134" s="16">
        <f t="shared" si="3"/>
        <v>3.9930635755988528E-2</v>
      </c>
    </row>
    <row r="135" spans="1:4" x14ac:dyDescent="0.2">
      <c r="A135" s="13">
        <v>37500</v>
      </c>
      <c r="B135" s="18">
        <f>VLOOKUP(A135,Database!A:K,MATCH('Retail Sales'!$A$1,Database!$A$1:$K$1,),)</f>
        <v>288410</v>
      </c>
      <c r="C135" s="15">
        <f t="shared" si="2"/>
        <v>-1.4488296600034171E-2</v>
      </c>
      <c r="D135" s="16">
        <f t="shared" si="3"/>
        <v>4.4645832427811824E-2</v>
      </c>
    </row>
    <row r="136" spans="1:4" x14ac:dyDescent="0.2">
      <c r="A136" s="14">
        <v>37530</v>
      </c>
      <c r="B136" s="18">
        <f>VLOOKUP(A136,Database!A:K,MATCH('Retail Sales'!$A$1,Database!$A$1:$K$1,),)</f>
        <v>289576</v>
      </c>
      <c r="C136" s="15">
        <f t="shared" si="2"/>
        <v>4.0428556568773621E-3</v>
      </c>
      <c r="D136" s="16">
        <f t="shared" si="3"/>
        <v>-1.6853398519725674E-2</v>
      </c>
    </row>
    <row r="137" spans="1:4" x14ac:dyDescent="0.2">
      <c r="A137" s="13">
        <v>37561</v>
      </c>
      <c r="B137" s="18">
        <f>VLOOKUP(A137,Database!A:K,MATCH('Retail Sales'!$A$1,Database!$A$1:$K$1,),)</f>
        <v>291484</v>
      </c>
      <c r="C137" s="15">
        <f t="shared" ref="C137:C200" si="4">(B137-B136)/B136</f>
        <v>6.5889438351244582E-3</v>
      </c>
      <c r="D137" s="16">
        <f t="shared" si="3"/>
        <v>1.523104304606929E-2</v>
      </c>
    </row>
    <row r="138" spans="1:4" x14ac:dyDescent="0.2">
      <c r="A138" s="14">
        <v>37591</v>
      </c>
      <c r="B138" s="18">
        <f>VLOOKUP(A138,Database!A:K,MATCH('Retail Sales'!$A$1,Database!$A$1:$K$1,),)</f>
        <v>293947</v>
      </c>
      <c r="C138" s="15">
        <f t="shared" si="4"/>
        <v>8.4498634573424262E-3</v>
      </c>
      <c r="D138" s="16">
        <f t="shared" si="3"/>
        <v>3.6100879434623992E-2</v>
      </c>
    </row>
    <row r="139" spans="1:4" x14ac:dyDescent="0.2">
      <c r="A139" s="13">
        <v>37622</v>
      </c>
      <c r="B139" s="18">
        <f>VLOOKUP(A139,Database!A:K,MATCH('Retail Sales'!$A$1,Database!$A$1:$K$1,),)</f>
        <v>295248</v>
      </c>
      <c r="C139" s="15">
        <f t="shared" si="4"/>
        <v>4.4259679466026186E-3</v>
      </c>
      <c r="D139" s="16">
        <f t="shared" si="3"/>
        <v>4.1409766214709993E-2</v>
      </c>
    </row>
    <row r="140" spans="1:4" x14ac:dyDescent="0.2">
      <c r="A140" s="14">
        <v>37653</v>
      </c>
      <c r="B140" s="18">
        <f>VLOOKUP(A140,Database!A:K,MATCH('Retail Sales'!$A$1,Database!$A$1:$K$1,),)</f>
        <v>291167</v>
      </c>
      <c r="C140" s="15">
        <f t="shared" si="4"/>
        <v>-1.3822278220343575E-2</v>
      </c>
      <c r="D140" s="16">
        <f t="shared" si="3"/>
        <v>2.1445059532579792E-2</v>
      </c>
    </row>
    <row r="141" spans="1:4" x14ac:dyDescent="0.2">
      <c r="A141" s="13">
        <v>37681</v>
      </c>
      <c r="B141" s="18">
        <f>VLOOKUP(A141,Database!A:K,MATCH('Retail Sales'!$A$1,Database!$A$1:$K$1,),)</f>
        <v>296325</v>
      </c>
      <c r="C141" s="15">
        <f t="shared" si="4"/>
        <v>1.7714919616577427E-2</v>
      </c>
      <c r="D141" s="16">
        <f t="shared" si="3"/>
        <v>4.2436203220972205E-2</v>
      </c>
    </row>
    <row r="142" spans="1:4" x14ac:dyDescent="0.2">
      <c r="A142" s="14">
        <v>37712</v>
      </c>
      <c r="B142" s="18">
        <f>VLOOKUP(A142,Database!A:K,MATCH('Retail Sales'!$A$1,Database!$A$1:$K$1,),)</f>
        <v>295600</v>
      </c>
      <c r="C142" s="15">
        <f t="shared" si="4"/>
        <v>-2.4466379819454991E-3</v>
      </c>
      <c r="D142" s="16">
        <f t="shared" si="3"/>
        <v>2.3428763333829584E-2</v>
      </c>
    </row>
    <row r="143" spans="1:4" x14ac:dyDescent="0.2">
      <c r="A143" s="13">
        <v>37742</v>
      </c>
      <c r="B143" s="18">
        <f>VLOOKUP(A143,Database!A:K,MATCH('Retail Sales'!$A$1,Database!$A$1:$K$1,),)</f>
        <v>296410</v>
      </c>
      <c r="C143" s="15">
        <f t="shared" si="4"/>
        <v>2.7401894451962111E-3</v>
      </c>
      <c r="D143" s="16">
        <f t="shared" si="3"/>
        <v>4.0213931518050472E-2</v>
      </c>
    </row>
    <row r="144" spans="1:4" x14ac:dyDescent="0.2">
      <c r="A144" s="14">
        <v>37773</v>
      </c>
      <c r="B144" s="18">
        <f>VLOOKUP(A144,Database!A:K,MATCH('Retail Sales'!$A$1,Database!$A$1:$K$1,),)</f>
        <v>299626</v>
      </c>
      <c r="C144" s="15">
        <f t="shared" si="4"/>
        <v>1.0849836375290982E-2</v>
      </c>
      <c r="D144" s="16">
        <f t="shared" si="3"/>
        <v>4.2641593474660025E-2</v>
      </c>
    </row>
    <row r="145" spans="1:4" x14ac:dyDescent="0.2">
      <c r="A145" s="13">
        <v>37803</v>
      </c>
      <c r="B145" s="18">
        <f>VLOOKUP(A145,Database!A:K,MATCH('Retail Sales'!$A$1,Database!$A$1:$K$1,),)</f>
        <v>302747</v>
      </c>
      <c r="C145" s="15">
        <f t="shared" si="4"/>
        <v>1.0416319011033756E-2</v>
      </c>
      <c r="D145" s="16">
        <f t="shared" si="3"/>
        <v>4.257106944229213E-2</v>
      </c>
    </row>
    <row r="146" spans="1:4" x14ac:dyDescent="0.2">
      <c r="A146" s="14">
        <v>37834</v>
      </c>
      <c r="B146" s="18">
        <f>VLOOKUP(A146,Database!A:K,MATCH('Retail Sales'!$A$1,Database!$A$1:$K$1,),)</f>
        <v>307809</v>
      </c>
      <c r="C146" s="15">
        <f t="shared" si="4"/>
        <v>1.672023174465808E-2</v>
      </c>
      <c r="D146" s="16">
        <f t="shared" si="3"/>
        <v>5.1799077396207073E-2</v>
      </c>
    </row>
    <row r="147" spans="1:4" x14ac:dyDescent="0.2">
      <c r="A147" s="13">
        <v>37865</v>
      </c>
      <c r="B147" s="18">
        <f>VLOOKUP(A147,Database!A:K,MATCH('Retail Sales'!$A$1,Database!$A$1:$K$1,),)</f>
        <v>305933</v>
      </c>
      <c r="C147" s="15">
        <f t="shared" si="4"/>
        <v>-6.0946885893524878E-3</v>
      </c>
      <c r="D147" s="16">
        <f t="shared" si="3"/>
        <v>6.0757255296279601E-2</v>
      </c>
    </row>
    <row r="148" spans="1:4" x14ac:dyDescent="0.2">
      <c r="A148" s="14">
        <v>37895</v>
      </c>
      <c r="B148" s="18">
        <f>VLOOKUP(A148,Database!A:K,MATCH('Retail Sales'!$A$1,Database!$A$1:$K$1,),)</f>
        <v>304809</v>
      </c>
      <c r="C148" s="15">
        <f t="shared" si="4"/>
        <v>-3.6740070538320482E-3</v>
      </c>
      <c r="D148" s="16">
        <f t="shared" ref="D148:D211" si="5">(B148-B136)/B136</f>
        <v>5.2604497610299193E-2</v>
      </c>
    </row>
    <row r="149" spans="1:4" x14ac:dyDescent="0.2">
      <c r="A149" s="13">
        <v>37926</v>
      </c>
      <c r="B149" s="18">
        <f>VLOOKUP(A149,Database!A:K,MATCH('Retail Sales'!$A$1,Database!$A$1:$K$1,),)</f>
        <v>308527</v>
      </c>
      <c r="C149" s="15">
        <f t="shared" si="4"/>
        <v>1.2197802558323409E-2</v>
      </c>
      <c r="D149" s="16">
        <f t="shared" si="5"/>
        <v>5.8469761633571656E-2</v>
      </c>
    </row>
    <row r="150" spans="1:4" x14ac:dyDescent="0.2">
      <c r="A150" s="14">
        <v>37956</v>
      </c>
      <c r="B150" s="18">
        <f>VLOOKUP(A150,Database!A:K,MATCH('Retail Sales'!$A$1,Database!$A$1:$K$1,),)</f>
        <v>307407</v>
      </c>
      <c r="C150" s="15">
        <f t="shared" si="4"/>
        <v>-3.6301523043364113E-3</v>
      </c>
      <c r="D150" s="16">
        <f t="shared" si="5"/>
        <v>4.5790567687372212E-2</v>
      </c>
    </row>
    <row r="151" spans="1:4" x14ac:dyDescent="0.2">
      <c r="A151" s="13">
        <v>37987</v>
      </c>
      <c r="B151" s="18">
        <f>VLOOKUP(A151,Database!A:K,MATCH('Retail Sales'!$A$1,Database!$A$1:$K$1,),)</f>
        <v>309254</v>
      </c>
      <c r="C151" s="15">
        <f t="shared" si="4"/>
        <v>6.0083212158473943E-3</v>
      </c>
      <c r="D151" s="16">
        <f t="shared" si="5"/>
        <v>4.7438085948084324E-2</v>
      </c>
    </row>
    <row r="152" spans="1:4" x14ac:dyDescent="0.2">
      <c r="A152" s="14">
        <v>38018</v>
      </c>
      <c r="B152" s="18">
        <f>VLOOKUP(A152,Database!A:K,MATCH('Retail Sales'!$A$1,Database!$A$1:$K$1,),)</f>
        <v>311393</v>
      </c>
      <c r="C152" s="15">
        <f t="shared" si="4"/>
        <v>6.9166445704825158E-3</v>
      </c>
      <c r="D152" s="16">
        <f t="shared" si="5"/>
        <v>6.9465289679118858E-2</v>
      </c>
    </row>
    <row r="153" spans="1:4" x14ac:dyDescent="0.2">
      <c r="A153" s="13">
        <v>38047</v>
      </c>
      <c r="B153" s="18">
        <f>VLOOKUP(A153,Database!A:K,MATCH('Retail Sales'!$A$1,Database!$A$1:$K$1,),)</f>
        <v>316912</v>
      </c>
      <c r="C153" s="15">
        <f t="shared" si="4"/>
        <v>1.7723584024046782E-2</v>
      </c>
      <c r="D153" s="16">
        <f t="shared" si="5"/>
        <v>6.947439466801654E-2</v>
      </c>
    </row>
    <row r="154" spans="1:4" x14ac:dyDescent="0.2">
      <c r="A154" s="14">
        <v>38078</v>
      </c>
      <c r="B154" s="18">
        <f>VLOOKUP(A154,Database!A:K,MATCH('Retail Sales'!$A$1,Database!$A$1:$K$1,),)</f>
        <v>313512</v>
      </c>
      <c r="C154" s="15">
        <f t="shared" si="4"/>
        <v>-1.0728530317564497E-2</v>
      </c>
      <c r="D154" s="16">
        <f t="shared" si="5"/>
        <v>6.0595399188092015E-2</v>
      </c>
    </row>
    <row r="155" spans="1:4" x14ac:dyDescent="0.2">
      <c r="A155" s="13">
        <v>38108</v>
      </c>
      <c r="B155" s="18">
        <f>VLOOKUP(A155,Database!A:K,MATCH('Retail Sales'!$A$1,Database!$A$1:$K$1,),)</f>
        <v>318964</v>
      </c>
      <c r="C155" s="15">
        <f t="shared" si="4"/>
        <v>1.7390083952129425E-2</v>
      </c>
      <c r="D155" s="16">
        <f t="shared" si="5"/>
        <v>7.6090550251341052E-2</v>
      </c>
    </row>
    <row r="156" spans="1:4" x14ac:dyDescent="0.2">
      <c r="A156" s="14">
        <v>38139</v>
      </c>
      <c r="B156" s="18">
        <f>VLOOKUP(A156,Database!A:K,MATCH('Retail Sales'!$A$1,Database!$A$1:$K$1,),)</f>
        <v>314958</v>
      </c>
      <c r="C156" s="15">
        <f t="shared" si="4"/>
        <v>-1.2559411093414932E-2</v>
      </c>
      <c r="D156" s="16">
        <f t="shared" si="5"/>
        <v>5.1170459172434971E-2</v>
      </c>
    </row>
    <row r="157" spans="1:4" x14ac:dyDescent="0.2">
      <c r="A157" s="13">
        <v>38169</v>
      </c>
      <c r="B157" s="18">
        <f>VLOOKUP(A157,Database!A:K,MATCH('Retail Sales'!$A$1,Database!$A$1:$K$1,),)</f>
        <v>318549</v>
      </c>
      <c r="C157" s="15">
        <f t="shared" si="4"/>
        <v>1.1401520202693692E-2</v>
      </c>
      <c r="D157" s="16">
        <f t="shared" si="5"/>
        <v>5.2195397477101342E-2</v>
      </c>
    </row>
    <row r="158" spans="1:4" x14ac:dyDescent="0.2">
      <c r="A158" s="14">
        <v>38200</v>
      </c>
      <c r="B158" s="18">
        <f>VLOOKUP(A158,Database!A:K,MATCH('Retail Sales'!$A$1,Database!$A$1:$K$1,),)</f>
        <v>318977</v>
      </c>
      <c r="C158" s="15">
        <f t="shared" si="4"/>
        <v>1.3435923515691464E-3</v>
      </c>
      <c r="D158" s="16">
        <f t="shared" si="5"/>
        <v>3.6282239960494983E-2</v>
      </c>
    </row>
    <row r="159" spans="1:4" x14ac:dyDescent="0.2">
      <c r="A159" s="13">
        <v>38231</v>
      </c>
      <c r="B159" s="18">
        <f>VLOOKUP(A159,Database!A:K,MATCH('Retail Sales'!$A$1,Database!$A$1:$K$1,),)</f>
        <v>324569</v>
      </c>
      <c r="C159" s="15">
        <f t="shared" si="4"/>
        <v>1.7531044558071585E-2</v>
      </c>
      <c r="D159" s="16">
        <f t="shared" si="5"/>
        <v>6.0915298447699336E-2</v>
      </c>
    </row>
    <row r="160" spans="1:4" x14ac:dyDescent="0.2">
      <c r="A160" s="14">
        <v>38261</v>
      </c>
      <c r="B160" s="18">
        <f>VLOOKUP(A160,Database!A:K,MATCH('Retail Sales'!$A$1,Database!$A$1:$K$1,),)</f>
        <v>326740</v>
      </c>
      <c r="C160" s="15">
        <f t="shared" si="4"/>
        <v>6.6888704713019423E-3</v>
      </c>
      <c r="D160" s="16">
        <f t="shared" si="5"/>
        <v>7.1949975230390179E-2</v>
      </c>
    </row>
    <row r="161" spans="1:4" x14ac:dyDescent="0.2">
      <c r="A161" s="13">
        <v>38292</v>
      </c>
      <c r="B161" s="18">
        <f>VLOOKUP(A161,Database!A:K,MATCH('Retail Sales'!$A$1,Database!$A$1:$K$1,),)</f>
        <v>327836</v>
      </c>
      <c r="C161" s="15">
        <f t="shared" si="4"/>
        <v>3.3543490236885598E-3</v>
      </c>
      <c r="D161" s="16">
        <f t="shared" si="5"/>
        <v>6.2584473968242654E-2</v>
      </c>
    </row>
    <row r="162" spans="1:4" x14ac:dyDescent="0.2">
      <c r="A162" s="14">
        <v>38322</v>
      </c>
      <c r="B162" s="18">
        <f>VLOOKUP(A162,Database!A:K,MATCH('Retail Sales'!$A$1,Database!$A$1:$K$1,),)</f>
        <v>331874</v>
      </c>
      <c r="C162" s="15">
        <f t="shared" si="4"/>
        <v>1.231713417684452E-2</v>
      </c>
      <c r="D162" s="16">
        <f t="shared" si="5"/>
        <v>7.9591551265911317E-2</v>
      </c>
    </row>
    <row r="163" spans="1:4" x14ac:dyDescent="0.2">
      <c r="A163" s="13">
        <v>38353</v>
      </c>
      <c r="B163" s="18">
        <f>VLOOKUP(A163,Database!A:K,MATCH('Retail Sales'!$A$1,Database!$A$1:$K$1,),)</f>
        <v>328696</v>
      </c>
      <c r="C163" s="15">
        <f t="shared" si="4"/>
        <v>-9.575923392612859E-3</v>
      </c>
      <c r="D163" s="16">
        <f t="shared" si="5"/>
        <v>6.2867416427920098E-2</v>
      </c>
    </row>
    <row r="164" spans="1:4" x14ac:dyDescent="0.2">
      <c r="A164" s="14">
        <v>38384</v>
      </c>
      <c r="B164" s="18">
        <f>VLOOKUP(A164,Database!A:K,MATCH('Retail Sales'!$A$1,Database!$A$1:$K$1,),)</f>
        <v>333026</v>
      </c>
      <c r="C164" s="15">
        <f t="shared" si="4"/>
        <v>1.317326648331589E-2</v>
      </c>
      <c r="D164" s="16">
        <f t="shared" si="5"/>
        <v>6.9471696537815555E-2</v>
      </c>
    </row>
    <row r="165" spans="1:4" x14ac:dyDescent="0.2">
      <c r="A165" s="13">
        <v>38412</v>
      </c>
      <c r="B165" s="18">
        <f>VLOOKUP(A165,Database!A:K,MATCH('Retail Sales'!$A$1,Database!$A$1:$K$1,),)</f>
        <v>333581</v>
      </c>
      <c r="C165" s="15">
        <f t="shared" si="4"/>
        <v>1.6665365466960538E-3</v>
      </c>
      <c r="D165" s="16">
        <f t="shared" si="5"/>
        <v>5.2598197606906649E-2</v>
      </c>
    </row>
    <row r="166" spans="1:4" x14ac:dyDescent="0.2">
      <c r="A166" s="14">
        <v>38443</v>
      </c>
      <c r="B166" s="18">
        <f>VLOOKUP(A166,Database!A:K,MATCH('Retail Sales'!$A$1,Database!$A$1:$K$1,),)</f>
        <v>336583</v>
      </c>
      <c r="C166" s="15">
        <f t="shared" si="4"/>
        <v>8.999313510062024E-3</v>
      </c>
      <c r="D166" s="16">
        <f t="shared" si="5"/>
        <v>7.3588889739467714E-2</v>
      </c>
    </row>
    <row r="167" spans="1:4" x14ac:dyDescent="0.2">
      <c r="A167" s="13">
        <v>38473</v>
      </c>
      <c r="B167" s="18">
        <f>VLOOKUP(A167,Database!A:K,MATCH('Retail Sales'!$A$1,Database!$A$1:$K$1,),)</f>
        <v>334522</v>
      </c>
      <c r="C167" s="15">
        <f t="shared" si="4"/>
        <v>-6.1233039101796583E-3</v>
      </c>
      <c r="D167" s="16">
        <f t="shared" si="5"/>
        <v>4.8776664451160634E-2</v>
      </c>
    </row>
    <row r="168" spans="1:4" x14ac:dyDescent="0.2">
      <c r="A168" s="14">
        <v>38504</v>
      </c>
      <c r="B168" s="18">
        <f>VLOOKUP(A168,Database!A:K,MATCH('Retail Sales'!$A$1,Database!$A$1:$K$1,),)</f>
        <v>343998</v>
      </c>
      <c r="C168" s="15">
        <f t="shared" si="4"/>
        <v>2.8326985968037975E-2</v>
      </c>
      <c r="D168" s="16">
        <f t="shared" si="5"/>
        <v>9.2202769893128603E-2</v>
      </c>
    </row>
    <row r="169" spans="1:4" x14ac:dyDescent="0.2">
      <c r="A169" s="13">
        <v>38534</v>
      </c>
      <c r="B169" s="18">
        <f>VLOOKUP(A169,Database!A:K,MATCH('Retail Sales'!$A$1,Database!$A$1:$K$1,),)</f>
        <v>346576</v>
      </c>
      <c r="C169" s="15">
        <f t="shared" si="4"/>
        <v>7.4942296176140561E-3</v>
      </c>
      <c r="D169" s="16">
        <f t="shared" si="5"/>
        <v>8.7983324386515099E-2</v>
      </c>
    </row>
    <row r="170" spans="1:4" x14ac:dyDescent="0.2">
      <c r="A170" s="14">
        <v>38565</v>
      </c>
      <c r="B170" s="18">
        <f>VLOOKUP(A170,Database!A:K,MATCH('Retail Sales'!$A$1,Database!$A$1:$K$1,),)</f>
        <v>343307</v>
      </c>
      <c r="C170" s="15">
        <f t="shared" si="4"/>
        <v>-9.4322745948940499E-3</v>
      </c>
      <c r="D170" s="16">
        <f t="shared" si="5"/>
        <v>7.6275091934528194E-2</v>
      </c>
    </row>
    <row r="171" spans="1:4" x14ac:dyDescent="0.2">
      <c r="A171" s="13">
        <v>38596</v>
      </c>
      <c r="B171" s="18">
        <f>VLOOKUP(A171,Database!A:K,MATCH('Retail Sales'!$A$1,Database!$A$1:$K$1,),)</f>
        <v>343956</v>
      </c>
      <c r="C171" s="15">
        <f t="shared" si="4"/>
        <v>1.890436256761441E-3</v>
      </c>
      <c r="D171" s="16">
        <f t="shared" si="5"/>
        <v>5.9731520878457275E-2</v>
      </c>
    </row>
    <row r="172" spans="1:4" x14ac:dyDescent="0.2">
      <c r="A172" s="14">
        <v>38626</v>
      </c>
      <c r="B172" s="18">
        <f>VLOOKUP(A172,Database!A:K,MATCH('Retail Sales'!$A$1,Database!$A$1:$K$1,),)</f>
        <v>344097</v>
      </c>
      <c r="C172" s="15">
        <f t="shared" si="4"/>
        <v>4.0993615462442873E-4</v>
      </c>
      <c r="D172" s="16">
        <f t="shared" si="5"/>
        <v>5.312174817898023E-2</v>
      </c>
    </row>
    <row r="173" spans="1:4" x14ac:dyDescent="0.2">
      <c r="A173" s="13">
        <v>38657</v>
      </c>
      <c r="B173" s="18">
        <f>VLOOKUP(A173,Database!A:K,MATCH('Retail Sales'!$A$1,Database!$A$1:$K$1,),)</f>
        <v>347325</v>
      </c>
      <c r="C173" s="15">
        <f t="shared" si="4"/>
        <v>9.3810756850539242E-3</v>
      </c>
      <c r="D173" s="16">
        <f t="shared" si="5"/>
        <v>5.9447406630144341E-2</v>
      </c>
    </row>
    <row r="174" spans="1:4" x14ac:dyDescent="0.2">
      <c r="A174" s="14">
        <v>38687</v>
      </c>
      <c r="B174" s="18">
        <f>VLOOKUP(A174,Database!A:K,MATCH('Retail Sales'!$A$1,Database!$A$1:$K$1,),)</f>
        <v>347405</v>
      </c>
      <c r="C174" s="15">
        <f t="shared" si="4"/>
        <v>2.3033182178075289E-4</v>
      </c>
      <c r="D174" s="16">
        <f t="shared" si="5"/>
        <v>4.679788112355894E-2</v>
      </c>
    </row>
    <row r="175" spans="1:4" x14ac:dyDescent="0.2">
      <c r="A175" s="13">
        <v>38718</v>
      </c>
      <c r="B175" s="18">
        <f>VLOOKUP(A175,Database!A:K,MATCH('Retail Sales'!$A$1,Database!$A$1:$K$1,),)</f>
        <v>357331</v>
      </c>
      <c r="C175" s="15">
        <f t="shared" si="4"/>
        <v>2.8571839783537945E-2</v>
      </c>
      <c r="D175" s="16">
        <f t="shared" si="5"/>
        <v>8.7116971304792276E-2</v>
      </c>
    </row>
    <row r="176" spans="1:4" x14ac:dyDescent="0.2">
      <c r="A176" s="14">
        <v>38749</v>
      </c>
      <c r="B176" s="18">
        <f>VLOOKUP(A176,Database!A:K,MATCH('Retail Sales'!$A$1,Database!$A$1:$K$1,),)</f>
        <v>354706</v>
      </c>
      <c r="C176" s="15">
        <f t="shared" si="4"/>
        <v>-7.3461300586850848E-3</v>
      </c>
      <c r="D176" s="16">
        <f t="shared" si="5"/>
        <v>6.5100022220487289E-2</v>
      </c>
    </row>
    <row r="177" spans="1:4" x14ac:dyDescent="0.2">
      <c r="A177" s="13">
        <v>38777</v>
      </c>
      <c r="B177" s="18">
        <f>VLOOKUP(A177,Database!A:K,MATCH('Retail Sales'!$A$1,Database!$A$1:$K$1,),)</f>
        <v>355665</v>
      </c>
      <c r="C177" s="15">
        <f t="shared" si="4"/>
        <v>2.7036475278117652E-3</v>
      </c>
      <c r="D177" s="16">
        <f t="shared" si="5"/>
        <v>6.6202811311195778E-2</v>
      </c>
    </row>
    <row r="178" spans="1:4" x14ac:dyDescent="0.2">
      <c r="A178" s="14">
        <v>38808</v>
      </c>
      <c r="B178" s="18">
        <f>VLOOKUP(A178,Database!A:K,MATCH('Retail Sales'!$A$1,Database!$A$1:$K$1,),)</f>
        <v>357423</v>
      </c>
      <c r="C178" s="15">
        <f t="shared" si="4"/>
        <v>4.9428535278984434E-3</v>
      </c>
      <c r="D178" s="16">
        <f t="shared" si="5"/>
        <v>6.1916377238303774E-2</v>
      </c>
    </row>
    <row r="179" spans="1:4" x14ac:dyDescent="0.2">
      <c r="A179" s="13">
        <v>38838</v>
      </c>
      <c r="B179" s="18">
        <f>VLOOKUP(A179,Database!A:K,MATCH('Retail Sales'!$A$1,Database!$A$1:$K$1,),)</f>
        <v>356704</v>
      </c>
      <c r="C179" s="15">
        <f t="shared" si="4"/>
        <v>-2.0116220836375945E-3</v>
      </c>
      <c r="D179" s="16">
        <f t="shared" si="5"/>
        <v>6.6309540179719115E-2</v>
      </c>
    </row>
    <row r="180" spans="1:4" x14ac:dyDescent="0.2">
      <c r="A180" s="14">
        <v>38869</v>
      </c>
      <c r="B180" s="18">
        <f>VLOOKUP(A180,Database!A:K,MATCH('Retail Sales'!$A$1,Database!$A$1:$K$1,),)</f>
        <v>357879</v>
      </c>
      <c r="C180" s="15">
        <f t="shared" si="4"/>
        <v>3.2940477258455191E-3</v>
      </c>
      <c r="D180" s="16">
        <f t="shared" si="5"/>
        <v>4.0351978790574367E-2</v>
      </c>
    </row>
    <row r="181" spans="1:4" x14ac:dyDescent="0.2">
      <c r="A181" s="13">
        <v>38899</v>
      </c>
      <c r="B181" s="18">
        <f>VLOOKUP(A181,Database!A:K,MATCH('Retail Sales'!$A$1,Database!$A$1:$K$1,),)</f>
        <v>359006</v>
      </c>
      <c r="C181" s="15">
        <f t="shared" si="4"/>
        <v>3.1491090564129218E-3</v>
      </c>
      <c r="D181" s="16">
        <f t="shared" si="5"/>
        <v>3.586514934675223E-2</v>
      </c>
    </row>
    <row r="182" spans="1:4" x14ac:dyDescent="0.2">
      <c r="A182" s="14">
        <v>38930</v>
      </c>
      <c r="B182" s="18">
        <f>VLOOKUP(A182,Database!A:K,MATCH('Retail Sales'!$A$1,Database!$A$1:$K$1,),)</f>
        <v>360691</v>
      </c>
      <c r="C182" s="15">
        <f t="shared" si="4"/>
        <v>4.6935148716177443E-3</v>
      </c>
      <c r="D182" s="16">
        <f t="shared" si="5"/>
        <v>5.0636893509307994E-2</v>
      </c>
    </row>
    <row r="183" spans="1:4" x14ac:dyDescent="0.2">
      <c r="A183" s="13">
        <v>38961</v>
      </c>
      <c r="B183" s="18">
        <f>VLOOKUP(A183,Database!A:K,MATCH('Retail Sales'!$A$1,Database!$A$1:$K$1,),)</f>
        <v>358961</v>
      </c>
      <c r="C183" s="15">
        <f t="shared" si="4"/>
        <v>-4.7963492296730446E-3</v>
      </c>
      <c r="D183" s="16">
        <f t="shared" si="5"/>
        <v>4.3624765958436541E-2</v>
      </c>
    </row>
    <row r="184" spans="1:4" x14ac:dyDescent="0.2">
      <c r="A184" s="14">
        <v>38991</v>
      </c>
      <c r="B184" s="18">
        <f>VLOOKUP(A184,Database!A:K,MATCH('Retail Sales'!$A$1,Database!$A$1:$K$1,),)</f>
        <v>358462</v>
      </c>
      <c r="C184" s="15">
        <f t="shared" si="4"/>
        <v>-1.3901231610119204E-3</v>
      </c>
      <c r="D184" s="16">
        <f t="shared" si="5"/>
        <v>4.1746949261400129E-2</v>
      </c>
    </row>
    <row r="185" spans="1:4" x14ac:dyDescent="0.2">
      <c r="A185" s="13">
        <v>39022</v>
      </c>
      <c r="B185" s="18">
        <f>VLOOKUP(A185,Database!A:K,MATCH('Retail Sales'!$A$1,Database!$A$1:$K$1,),)</f>
        <v>359266</v>
      </c>
      <c r="C185" s="15">
        <f t="shared" si="4"/>
        <v>2.2429155670615018E-3</v>
      </c>
      <c r="D185" s="16">
        <f t="shared" si="5"/>
        <v>3.4379903548549633E-2</v>
      </c>
    </row>
    <row r="186" spans="1:4" x14ac:dyDescent="0.2">
      <c r="A186" s="14">
        <v>39052</v>
      </c>
      <c r="B186" s="18">
        <f>VLOOKUP(A186,Database!A:K,MATCH('Retail Sales'!$A$1,Database!$A$1:$K$1,),)</f>
        <v>363730</v>
      </c>
      <c r="C186" s="15">
        <f t="shared" si="4"/>
        <v>1.2425333875178838E-2</v>
      </c>
      <c r="D186" s="16">
        <f t="shared" si="5"/>
        <v>4.6991263798736346E-2</v>
      </c>
    </row>
    <row r="187" spans="1:4" x14ac:dyDescent="0.2">
      <c r="A187" s="13">
        <v>39083</v>
      </c>
      <c r="B187" s="18">
        <f>VLOOKUP(A187,Database!A:K,MATCH('Retail Sales'!$A$1,Database!$A$1:$K$1,),)</f>
        <v>363616</v>
      </c>
      <c r="C187" s="15">
        <f t="shared" si="4"/>
        <v>-3.1341929453165807E-4</v>
      </c>
      <c r="D187" s="16">
        <f t="shared" si="5"/>
        <v>1.7588734254794573E-2</v>
      </c>
    </row>
    <row r="188" spans="1:4" x14ac:dyDescent="0.2">
      <c r="A188" s="14">
        <v>39114</v>
      </c>
      <c r="B188" s="18">
        <f>VLOOKUP(A188,Database!A:K,MATCH('Retail Sales'!$A$1,Database!$A$1:$K$1,),)</f>
        <v>364006</v>
      </c>
      <c r="C188" s="15">
        <f t="shared" si="4"/>
        <v>1.0725600633635483E-3</v>
      </c>
      <c r="D188" s="16">
        <f t="shared" si="5"/>
        <v>2.6218896776485315E-2</v>
      </c>
    </row>
    <row r="189" spans="1:4" x14ac:dyDescent="0.2">
      <c r="A189" s="13">
        <v>39142</v>
      </c>
      <c r="B189" s="18">
        <f>VLOOKUP(A189,Database!A:K,MATCH('Retail Sales'!$A$1,Database!$A$1:$K$1,),)</f>
        <v>367158</v>
      </c>
      <c r="C189" s="15">
        <f t="shared" si="4"/>
        <v>8.6591979253089237E-3</v>
      </c>
      <c r="D189" s="16">
        <f t="shared" si="5"/>
        <v>3.2314115811226854E-2</v>
      </c>
    </row>
    <row r="190" spans="1:4" x14ac:dyDescent="0.2">
      <c r="A190" s="14">
        <v>39173</v>
      </c>
      <c r="B190" s="18">
        <f>VLOOKUP(A190,Database!A:K,MATCH('Retail Sales'!$A$1,Database!$A$1:$K$1,),)</f>
        <v>366187</v>
      </c>
      <c r="C190" s="15">
        <f t="shared" si="4"/>
        <v>-2.6446380032574533E-3</v>
      </c>
      <c r="D190" s="16">
        <f t="shared" si="5"/>
        <v>2.4519966538247399E-2</v>
      </c>
    </row>
    <row r="191" spans="1:4" x14ac:dyDescent="0.2">
      <c r="A191" s="13">
        <v>39203</v>
      </c>
      <c r="B191" s="18">
        <f>VLOOKUP(A191,Database!A:K,MATCH('Retail Sales'!$A$1,Database!$A$1:$K$1,),)</f>
        <v>370934</v>
      </c>
      <c r="C191" s="15">
        <f t="shared" si="4"/>
        <v>1.2963322018531516E-2</v>
      </c>
      <c r="D191" s="16">
        <f t="shared" si="5"/>
        <v>3.9893020543644027E-2</v>
      </c>
    </row>
    <row r="192" spans="1:4" x14ac:dyDescent="0.2">
      <c r="A192" s="14">
        <v>39234</v>
      </c>
      <c r="B192" s="18">
        <f>VLOOKUP(A192,Database!A:K,MATCH('Retail Sales'!$A$1,Database!$A$1:$K$1,),)</f>
        <v>368154</v>
      </c>
      <c r="C192" s="15">
        <f t="shared" si="4"/>
        <v>-7.4945947257463591E-3</v>
      </c>
      <c r="D192" s="16">
        <f t="shared" si="5"/>
        <v>2.8710821255228721E-2</v>
      </c>
    </row>
    <row r="193" spans="1:4" x14ac:dyDescent="0.2">
      <c r="A193" s="13">
        <v>39264</v>
      </c>
      <c r="B193" s="18">
        <f>VLOOKUP(A193,Database!A:K,MATCH('Retail Sales'!$A$1,Database!$A$1:$K$1,),)</f>
        <v>369614</v>
      </c>
      <c r="C193" s="15">
        <f t="shared" si="4"/>
        <v>3.9657317318296144E-3</v>
      </c>
      <c r="D193" s="16">
        <f t="shared" si="5"/>
        <v>2.9548252675442751E-2</v>
      </c>
    </row>
    <row r="194" spans="1:4" x14ac:dyDescent="0.2">
      <c r="A194" s="14">
        <v>39295</v>
      </c>
      <c r="B194" s="18">
        <f>VLOOKUP(A194,Database!A:K,MATCH('Retail Sales'!$A$1,Database!$A$1:$K$1,),)</f>
        <v>371358</v>
      </c>
      <c r="C194" s="15">
        <f t="shared" si="4"/>
        <v>4.7184359899787344E-3</v>
      </c>
      <c r="D194" s="16">
        <f t="shared" si="5"/>
        <v>2.9573790308047607E-2</v>
      </c>
    </row>
    <row r="195" spans="1:4" x14ac:dyDescent="0.2">
      <c r="A195" s="13">
        <v>39326</v>
      </c>
      <c r="B195" s="18">
        <f>VLOOKUP(A195,Database!A:K,MATCH('Retail Sales'!$A$1,Database!$A$1:$K$1,),)</f>
        <v>372869</v>
      </c>
      <c r="C195" s="15">
        <f t="shared" si="4"/>
        <v>4.0688500045777927E-3</v>
      </c>
      <c r="D195" s="16">
        <f t="shared" si="5"/>
        <v>3.8745156159025636E-2</v>
      </c>
    </row>
    <row r="196" spans="1:4" x14ac:dyDescent="0.2">
      <c r="A196" s="14">
        <v>39356</v>
      </c>
      <c r="B196" s="18">
        <f>VLOOKUP(A196,Database!A:K,MATCH('Retail Sales'!$A$1,Database!$A$1:$K$1,),)</f>
        <v>375289</v>
      </c>
      <c r="C196" s="15">
        <f t="shared" si="4"/>
        <v>6.4902150621263767E-3</v>
      </c>
      <c r="D196" s="16">
        <f t="shared" si="5"/>
        <v>4.6942214237492397E-2</v>
      </c>
    </row>
    <row r="197" spans="1:4" x14ac:dyDescent="0.2">
      <c r="A197" s="13">
        <v>39387</v>
      </c>
      <c r="B197" s="18">
        <f>VLOOKUP(A197,Database!A:K,MATCH('Retail Sales'!$A$1,Database!$A$1:$K$1,),)</f>
        <v>378860</v>
      </c>
      <c r="C197" s="15">
        <f t="shared" si="4"/>
        <v>9.5153335163034349E-3</v>
      </c>
      <c r="D197" s="16">
        <f t="shared" si="5"/>
        <v>5.4538976691365169E-2</v>
      </c>
    </row>
    <row r="198" spans="1:4" x14ac:dyDescent="0.2">
      <c r="A198" s="14">
        <v>39417</v>
      </c>
      <c r="B198" s="18">
        <f>VLOOKUP(A198,Database!A:K,MATCH('Retail Sales'!$A$1,Database!$A$1:$K$1,),)</f>
        <v>374298</v>
      </c>
      <c r="C198" s="15">
        <f t="shared" si="4"/>
        <v>-1.20413873198543E-2</v>
      </c>
      <c r="D198" s="16">
        <f t="shared" si="5"/>
        <v>2.9054518461496166E-2</v>
      </c>
    </row>
    <row r="199" spans="1:4" x14ac:dyDescent="0.2">
      <c r="A199" s="13">
        <v>39448</v>
      </c>
      <c r="B199" s="18">
        <f>VLOOKUP(A199,Database!A:K,MATCH('Retail Sales'!$A$1,Database!$A$1:$K$1,),)</f>
        <v>375236</v>
      </c>
      <c r="C199" s="15">
        <f t="shared" si="4"/>
        <v>2.506024611405885E-3</v>
      </c>
      <c r="D199" s="16">
        <f t="shared" si="5"/>
        <v>3.1956789580216492E-2</v>
      </c>
    </row>
    <row r="200" spans="1:4" x14ac:dyDescent="0.2">
      <c r="A200" s="14">
        <v>39479</v>
      </c>
      <c r="B200" s="18">
        <f>VLOOKUP(A200,Database!A:K,MATCH('Retail Sales'!$A$1,Database!$A$1:$K$1,),)</f>
        <v>371833</v>
      </c>
      <c r="C200" s="15">
        <f t="shared" si="4"/>
        <v>-9.0689592683004822E-3</v>
      </c>
      <c r="D200" s="16">
        <f t="shared" si="5"/>
        <v>2.1502392817700808E-2</v>
      </c>
    </row>
    <row r="201" spans="1:4" x14ac:dyDescent="0.2">
      <c r="A201" s="13">
        <v>39508</v>
      </c>
      <c r="B201" s="18">
        <f>VLOOKUP(A201,Database!A:K,MATCH('Retail Sales'!$A$1,Database!$A$1:$K$1,),)</f>
        <v>372745</v>
      </c>
      <c r="C201" s="15">
        <f t="shared" ref="C201:C264" si="6">(B201-B200)/B200</f>
        <v>2.4527139871931753E-3</v>
      </c>
      <c r="D201" s="16">
        <f t="shared" si="5"/>
        <v>1.521688210525169E-2</v>
      </c>
    </row>
    <row r="202" spans="1:4" x14ac:dyDescent="0.2">
      <c r="A202" s="14">
        <v>39539</v>
      </c>
      <c r="B202" s="18">
        <f>VLOOKUP(A202,Database!A:K,MATCH('Retail Sales'!$A$1,Database!$A$1:$K$1,),)</f>
        <v>372572</v>
      </c>
      <c r="C202" s="15">
        <f t="shared" si="6"/>
        <v>-4.6412426726045959E-4</v>
      </c>
      <c r="D202" s="16">
        <f t="shared" si="5"/>
        <v>1.7436446405798129E-2</v>
      </c>
    </row>
    <row r="203" spans="1:4" x14ac:dyDescent="0.2">
      <c r="A203" s="13">
        <v>39569</v>
      </c>
      <c r="B203" s="18">
        <f>VLOOKUP(A203,Database!A:K,MATCH('Retail Sales'!$A$1,Database!$A$1:$K$1,),)</f>
        <v>376036</v>
      </c>
      <c r="C203" s="15">
        <f t="shared" si="6"/>
        <v>9.297531752251913E-3</v>
      </c>
      <c r="D203" s="16">
        <f t="shared" si="5"/>
        <v>1.3754468449912922E-2</v>
      </c>
    </row>
    <row r="204" spans="1:4" x14ac:dyDescent="0.2">
      <c r="A204" s="14">
        <v>39600</v>
      </c>
      <c r="B204" s="18">
        <f>VLOOKUP(A204,Database!A:K,MATCH('Retail Sales'!$A$1,Database!$A$1:$K$1,),)</f>
        <v>376455</v>
      </c>
      <c r="C204" s="15">
        <f t="shared" si="6"/>
        <v>1.1142550181365615E-3</v>
      </c>
      <c r="D204" s="16">
        <f t="shared" si="5"/>
        <v>2.2547629524601119E-2</v>
      </c>
    </row>
    <row r="205" spans="1:4" x14ac:dyDescent="0.2">
      <c r="A205" s="13">
        <v>39630</v>
      </c>
      <c r="B205" s="18">
        <f>VLOOKUP(A205,Database!A:K,MATCH('Retail Sales'!$A$1,Database!$A$1:$K$1,),)</f>
        <v>375038</v>
      </c>
      <c r="C205" s="15">
        <f t="shared" si="6"/>
        <v>-3.7640621056965638E-3</v>
      </c>
      <c r="D205" s="16">
        <f t="shared" si="5"/>
        <v>1.4674768812869643E-2</v>
      </c>
    </row>
    <row r="206" spans="1:4" x14ac:dyDescent="0.2">
      <c r="A206" s="14">
        <v>39661</v>
      </c>
      <c r="B206" s="18">
        <f>VLOOKUP(A206,Database!A:K,MATCH('Retail Sales'!$A$1,Database!$A$1:$K$1,),)</f>
        <v>372284</v>
      </c>
      <c r="C206" s="15">
        <f t="shared" si="6"/>
        <v>-7.3432558834038153E-3</v>
      </c>
      <c r="D206" s="16">
        <f t="shared" si="5"/>
        <v>2.493550697709488E-3</v>
      </c>
    </row>
    <row r="207" spans="1:4" x14ac:dyDescent="0.2">
      <c r="A207" s="13">
        <v>39692</v>
      </c>
      <c r="B207" s="18">
        <f>VLOOKUP(A207,Database!A:K,MATCH('Retail Sales'!$A$1,Database!$A$1:$K$1,),)</f>
        <v>366729</v>
      </c>
      <c r="C207" s="15">
        <f t="shared" si="6"/>
        <v>-1.492140408935114E-2</v>
      </c>
      <c r="D207" s="16">
        <f t="shared" si="5"/>
        <v>-1.6466909289857831E-2</v>
      </c>
    </row>
    <row r="208" spans="1:4" x14ac:dyDescent="0.2">
      <c r="A208" s="14">
        <v>39722</v>
      </c>
      <c r="B208" s="18">
        <f>VLOOKUP(A208,Database!A:K,MATCH('Retail Sales'!$A$1,Database!$A$1:$K$1,),)</f>
        <v>352950</v>
      </c>
      <c r="C208" s="15">
        <f t="shared" si="6"/>
        <v>-3.7572703549487496E-2</v>
      </c>
      <c r="D208" s="16">
        <f t="shared" si="5"/>
        <v>-5.9524792892943837E-2</v>
      </c>
    </row>
    <row r="209" spans="1:4" x14ac:dyDescent="0.2">
      <c r="A209" s="13">
        <v>39753</v>
      </c>
      <c r="B209" s="18">
        <f>VLOOKUP(A209,Database!A:K,MATCH('Retail Sales'!$A$1,Database!$A$1:$K$1,),)</f>
        <v>339350</v>
      </c>
      <c r="C209" s="15">
        <f t="shared" si="6"/>
        <v>-3.8532370024082732E-2</v>
      </c>
      <c r="D209" s="16">
        <f t="shared" si="5"/>
        <v>-0.10428654384205248</v>
      </c>
    </row>
    <row r="210" spans="1:4" x14ac:dyDescent="0.2">
      <c r="A210" s="14">
        <v>39783</v>
      </c>
      <c r="B210" s="18">
        <f>VLOOKUP(A210,Database!A:K,MATCH('Retail Sales'!$A$1,Database!$A$1:$K$1,),)</f>
        <v>332091</v>
      </c>
      <c r="C210" s="15">
        <f t="shared" si="6"/>
        <v>-2.1390894356858699E-2</v>
      </c>
      <c r="D210" s="16">
        <f t="shared" si="5"/>
        <v>-0.11276309250917718</v>
      </c>
    </row>
    <row r="211" spans="1:4" x14ac:dyDescent="0.2">
      <c r="A211" s="13">
        <v>39814</v>
      </c>
      <c r="B211" s="18">
        <f>VLOOKUP(A211,Database!A:K,MATCH('Retail Sales'!$A$1,Database!$A$1:$K$1,),)</f>
        <v>336929</v>
      </c>
      <c r="C211" s="15">
        <f t="shared" si="6"/>
        <v>1.4568296039338615E-2</v>
      </c>
      <c r="D211" s="16">
        <f t="shared" si="5"/>
        <v>-0.10208775277425407</v>
      </c>
    </row>
    <row r="212" spans="1:4" x14ac:dyDescent="0.2">
      <c r="A212" s="14">
        <v>39845</v>
      </c>
      <c r="B212" s="18">
        <f>VLOOKUP(A212,Database!A:K,MATCH('Retail Sales'!$A$1,Database!$A$1:$K$1,),)</f>
        <v>335576</v>
      </c>
      <c r="C212" s="15">
        <f t="shared" si="6"/>
        <v>-4.0156828293201234E-3</v>
      </c>
      <c r="D212" s="16">
        <f t="shared" ref="D212:D275" si="7">(B212-B200)/B200</f>
        <v>-9.7508827887788335E-2</v>
      </c>
    </row>
    <row r="213" spans="1:4" x14ac:dyDescent="0.2">
      <c r="A213" s="13">
        <v>39873</v>
      </c>
      <c r="B213" s="18">
        <f>VLOOKUP(A213,Database!A:K,MATCH('Retail Sales'!$A$1,Database!$A$1:$K$1,),)</f>
        <v>329747</v>
      </c>
      <c r="C213" s="15">
        <f t="shared" si="6"/>
        <v>-1.7370133740195963E-2</v>
      </c>
      <c r="D213" s="16">
        <f t="shared" si="7"/>
        <v>-0.1153550014084696</v>
      </c>
    </row>
    <row r="214" spans="1:4" x14ac:dyDescent="0.2">
      <c r="A214" s="14">
        <v>39904</v>
      </c>
      <c r="B214" s="18">
        <f>VLOOKUP(A214,Database!A:K,MATCH('Retail Sales'!$A$1,Database!$A$1:$K$1,),)</f>
        <v>331352</v>
      </c>
      <c r="C214" s="15">
        <f t="shared" si="6"/>
        <v>4.8673680124459058E-3</v>
      </c>
      <c r="D214" s="16">
        <f t="shared" si="7"/>
        <v>-0.11063633337985677</v>
      </c>
    </row>
    <row r="215" spans="1:4" x14ac:dyDescent="0.2">
      <c r="A215" s="13">
        <v>39934</v>
      </c>
      <c r="B215" s="18">
        <f>VLOOKUP(A215,Database!A:K,MATCH('Retail Sales'!$A$1,Database!$A$1:$K$1,),)</f>
        <v>334256</v>
      </c>
      <c r="C215" s="15">
        <f t="shared" si="6"/>
        <v>8.7640937733890235E-3</v>
      </c>
      <c r="D215" s="16">
        <f t="shared" si="7"/>
        <v>-0.11110638343137359</v>
      </c>
    </row>
    <row r="216" spans="1:4" x14ac:dyDescent="0.2">
      <c r="A216" s="14">
        <v>39965</v>
      </c>
      <c r="B216" s="18">
        <f>VLOOKUP(A216,Database!A:K,MATCH('Retail Sales'!$A$1,Database!$A$1:$K$1,),)</f>
        <v>339883</v>
      </c>
      <c r="C216" s="15">
        <f t="shared" si="6"/>
        <v>1.6834402374228136E-2</v>
      </c>
      <c r="D216" s="16">
        <f t="shared" si="7"/>
        <v>-9.7148397550836083E-2</v>
      </c>
    </row>
    <row r="217" spans="1:4" x14ac:dyDescent="0.2">
      <c r="A217" s="13">
        <v>39995</v>
      </c>
      <c r="B217" s="18">
        <f>VLOOKUP(A217,Database!A:K,MATCH('Retail Sales'!$A$1,Database!$A$1:$K$1,),)</f>
        <v>340517</v>
      </c>
      <c r="C217" s="15">
        <f t="shared" si="6"/>
        <v>1.8653477814424375E-3</v>
      </c>
      <c r="D217" s="16">
        <f t="shared" si="7"/>
        <v>-9.2046672603842805E-2</v>
      </c>
    </row>
    <row r="218" spans="1:4" x14ac:dyDescent="0.2">
      <c r="A218" s="14">
        <v>40026</v>
      </c>
      <c r="B218" s="18">
        <f>VLOOKUP(A218,Database!A:K,MATCH('Retail Sales'!$A$1,Database!$A$1:$K$1,),)</f>
        <v>346668</v>
      </c>
      <c r="C218" s="15">
        <f t="shared" si="6"/>
        <v>1.8063709007186131E-2</v>
      </c>
      <c r="D218" s="16">
        <f t="shared" si="7"/>
        <v>-6.8807684455952978E-2</v>
      </c>
    </row>
    <row r="219" spans="1:4" x14ac:dyDescent="0.2">
      <c r="A219" s="13">
        <v>40057</v>
      </c>
      <c r="B219" s="18">
        <f>VLOOKUP(A219,Database!A:K,MATCH('Retail Sales'!$A$1,Database!$A$1:$K$1,),)</f>
        <v>338507</v>
      </c>
      <c r="C219" s="15">
        <f t="shared" si="6"/>
        <v>-2.3541255610555343E-2</v>
      </c>
      <c r="D219" s="16">
        <f t="shared" si="7"/>
        <v>-7.6956008387665004E-2</v>
      </c>
    </row>
    <row r="220" spans="1:4" x14ac:dyDescent="0.2">
      <c r="A220" s="14">
        <v>40087</v>
      </c>
      <c r="B220" s="18">
        <f>VLOOKUP(A220,Database!A:K,MATCH('Retail Sales'!$A$1,Database!$A$1:$K$1,),)</f>
        <v>341654</v>
      </c>
      <c r="C220" s="15">
        <f t="shared" si="6"/>
        <v>9.2967058288307182E-3</v>
      </c>
      <c r="D220" s="16">
        <f t="shared" si="7"/>
        <v>-3.200453322000283E-2</v>
      </c>
    </row>
    <row r="221" spans="1:4" x14ac:dyDescent="0.2">
      <c r="A221" s="13">
        <v>40118</v>
      </c>
      <c r="B221" s="18">
        <f>VLOOKUP(A221,Database!A:K,MATCH('Retail Sales'!$A$1,Database!$A$1:$K$1,),)</f>
        <v>344375</v>
      </c>
      <c r="C221" s="15">
        <f t="shared" si="6"/>
        <v>7.9641976970853557E-3</v>
      </c>
      <c r="D221" s="16">
        <f t="shared" si="7"/>
        <v>1.4807720642404596E-2</v>
      </c>
    </row>
    <row r="222" spans="1:4" x14ac:dyDescent="0.2">
      <c r="A222" s="14">
        <v>40148</v>
      </c>
      <c r="B222" s="18">
        <f>VLOOKUP(A222,Database!A:K,MATCH('Retail Sales'!$A$1,Database!$A$1:$K$1,),)</f>
        <v>346072</v>
      </c>
      <c r="C222" s="15">
        <f t="shared" si="6"/>
        <v>4.9277676950998184E-3</v>
      </c>
      <c r="D222" s="16">
        <f t="shared" si="7"/>
        <v>4.2099906350970065E-2</v>
      </c>
    </row>
    <row r="223" spans="1:4" x14ac:dyDescent="0.2">
      <c r="A223" s="13">
        <v>40179</v>
      </c>
      <c r="B223" s="18">
        <f>VLOOKUP(A223,Database!A:K,MATCH('Retail Sales'!$A$1,Database!$A$1:$K$1,),)</f>
        <v>345959</v>
      </c>
      <c r="C223" s="15">
        <f t="shared" si="6"/>
        <v>-3.2652164867426434E-4</v>
      </c>
      <c r="D223" s="16">
        <f t="shared" si="7"/>
        <v>2.6800898705662025E-2</v>
      </c>
    </row>
    <row r="224" spans="1:4" x14ac:dyDescent="0.2">
      <c r="A224" s="14">
        <v>40210</v>
      </c>
      <c r="B224" s="18">
        <f>VLOOKUP(A224,Database!A:K,MATCH('Retail Sales'!$A$1,Database!$A$1:$K$1,),)</f>
        <v>346895</v>
      </c>
      <c r="C224" s="15">
        <f t="shared" si="6"/>
        <v>2.7055229087839887E-3</v>
      </c>
      <c r="D224" s="16">
        <f t="shared" si="7"/>
        <v>3.3730064128543159E-2</v>
      </c>
    </row>
    <row r="225" spans="1:4" x14ac:dyDescent="0.2">
      <c r="A225" s="13">
        <v>40238</v>
      </c>
      <c r="B225" s="18">
        <f>VLOOKUP(A225,Database!A:K,MATCH('Retail Sales'!$A$1,Database!$A$1:$K$1,),)</f>
        <v>354379</v>
      </c>
      <c r="C225" s="15">
        <f t="shared" si="6"/>
        <v>2.1574251574683984E-2</v>
      </c>
      <c r="D225" s="16">
        <f t="shared" si="7"/>
        <v>7.4699694007830247E-2</v>
      </c>
    </row>
    <row r="226" spans="1:4" x14ac:dyDescent="0.2">
      <c r="A226" s="14">
        <v>40269</v>
      </c>
      <c r="B226" s="18">
        <f>VLOOKUP(A226,Database!A:K,MATCH('Retail Sales'!$A$1,Database!$A$1:$K$1,),)</f>
        <v>357365</v>
      </c>
      <c r="C226" s="15">
        <f t="shared" si="6"/>
        <v>8.4260071843986241E-3</v>
      </c>
      <c r="D226" s="16">
        <f t="shared" si="7"/>
        <v>7.8505637509355616E-2</v>
      </c>
    </row>
    <row r="227" spans="1:4" x14ac:dyDescent="0.2">
      <c r="A227" s="13">
        <v>40299</v>
      </c>
      <c r="B227" s="18">
        <f>VLOOKUP(A227,Database!A:K,MATCH('Retail Sales'!$A$1,Database!$A$1:$K$1,),)</f>
        <v>354299</v>
      </c>
      <c r="C227" s="15">
        <f t="shared" si="6"/>
        <v>-8.579463573657185E-3</v>
      </c>
      <c r="D227" s="16">
        <f t="shared" si="7"/>
        <v>5.9963022354123784E-2</v>
      </c>
    </row>
    <row r="228" spans="1:4" x14ac:dyDescent="0.2">
      <c r="A228" s="14">
        <v>40330</v>
      </c>
      <c r="B228" s="18">
        <f>VLOOKUP(A228,Database!A:K,MATCH('Retail Sales'!$A$1,Database!$A$1:$K$1,),)</f>
        <v>353763</v>
      </c>
      <c r="C228" s="15">
        <f t="shared" si="6"/>
        <v>-1.5128464940629242E-3</v>
      </c>
      <c r="D228" s="16">
        <f t="shared" si="7"/>
        <v>4.0837582344512673E-2</v>
      </c>
    </row>
    <row r="229" spans="1:4" x14ac:dyDescent="0.2">
      <c r="A229" s="13">
        <v>40360</v>
      </c>
      <c r="B229" s="18">
        <f>VLOOKUP(A229,Database!A:K,MATCH('Retail Sales'!$A$1,Database!$A$1:$K$1,),)</f>
        <v>354665</v>
      </c>
      <c r="C229" s="15">
        <f t="shared" si="6"/>
        <v>2.549729621243601E-3</v>
      </c>
      <c r="D229" s="16">
        <f t="shared" si="7"/>
        <v>4.1548586414187835E-2</v>
      </c>
    </row>
    <row r="230" spans="1:4" x14ac:dyDescent="0.2">
      <c r="A230" s="14">
        <v>40391</v>
      </c>
      <c r="B230" s="18">
        <f>VLOOKUP(A230,Database!A:K,MATCH('Retail Sales'!$A$1,Database!$A$1:$K$1,),)</f>
        <v>356810</v>
      </c>
      <c r="C230" s="15">
        <f t="shared" si="6"/>
        <v>6.0479607516952614E-3</v>
      </c>
      <c r="D230" s="16">
        <f t="shared" si="7"/>
        <v>2.9255656709012659E-2</v>
      </c>
    </row>
    <row r="231" spans="1:4" x14ac:dyDescent="0.2">
      <c r="A231" s="13">
        <v>40422</v>
      </c>
      <c r="B231" s="18">
        <f>VLOOKUP(A231,Database!A:K,MATCH('Retail Sales'!$A$1,Database!$A$1:$K$1,),)</f>
        <v>359465</v>
      </c>
      <c r="C231" s="15">
        <f t="shared" si="6"/>
        <v>7.440934951374681E-3</v>
      </c>
      <c r="D231" s="16">
        <f t="shared" si="7"/>
        <v>6.1913047588380746E-2</v>
      </c>
    </row>
    <row r="232" spans="1:4" x14ac:dyDescent="0.2">
      <c r="A232" s="14">
        <v>40452</v>
      </c>
      <c r="B232" s="18">
        <f>VLOOKUP(A232,Database!A:K,MATCH('Retail Sales'!$A$1,Database!$A$1:$K$1,),)</f>
        <v>363340</v>
      </c>
      <c r="C232" s="15">
        <f t="shared" si="6"/>
        <v>1.0779909031477334E-2</v>
      </c>
      <c r="D232" s="16">
        <f t="shared" si="7"/>
        <v>6.3473572678792001E-2</v>
      </c>
    </row>
    <row r="233" spans="1:4" x14ac:dyDescent="0.2">
      <c r="A233" s="13">
        <v>40483</v>
      </c>
      <c r="B233" s="18">
        <f>VLOOKUP(A233,Database!A:K,MATCH('Retail Sales'!$A$1,Database!$A$1:$K$1,),)</f>
        <v>367455</v>
      </c>
      <c r="C233" s="15">
        <f t="shared" si="6"/>
        <v>1.132548026641713E-2</v>
      </c>
      <c r="D233" s="16">
        <f t="shared" si="7"/>
        <v>6.7019963702359353E-2</v>
      </c>
    </row>
    <row r="234" spans="1:4" x14ac:dyDescent="0.2">
      <c r="A234" s="14">
        <v>40513</v>
      </c>
      <c r="B234" s="18">
        <f>VLOOKUP(A234,Database!A:K,MATCH('Retail Sales'!$A$1,Database!$A$1:$K$1,),)</f>
        <v>369135</v>
      </c>
      <c r="C234" s="15">
        <f t="shared" si="6"/>
        <v>4.5719884067436829E-3</v>
      </c>
      <c r="D234" s="16">
        <f t="shared" si="7"/>
        <v>6.6642201622783698E-2</v>
      </c>
    </row>
    <row r="235" spans="1:4" x14ac:dyDescent="0.2">
      <c r="A235" s="13">
        <v>40544</v>
      </c>
      <c r="B235" s="18">
        <f>VLOOKUP(A235,Database!A:K,MATCH('Retail Sales'!$A$1,Database!$A$1:$K$1,),)</f>
        <v>372057</v>
      </c>
      <c r="C235" s="15">
        <f t="shared" si="6"/>
        <v>7.9158031614450005E-3</v>
      </c>
      <c r="D235" s="16">
        <f t="shared" si="7"/>
        <v>7.5436684693851008E-2</v>
      </c>
    </row>
    <row r="236" spans="1:4" x14ac:dyDescent="0.2">
      <c r="A236" s="14">
        <v>40575</v>
      </c>
      <c r="B236" s="18">
        <f>VLOOKUP(A236,Database!A:K,MATCH('Retail Sales'!$A$1,Database!$A$1:$K$1,),)</f>
        <v>375092</v>
      </c>
      <c r="C236" s="15">
        <f t="shared" si="6"/>
        <v>8.1573522336631215E-3</v>
      </c>
      <c r="D236" s="16">
        <f t="shared" si="7"/>
        <v>8.1283962005794255E-2</v>
      </c>
    </row>
    <row r="237" spans="1:4" x14ac:dyDescent="0.2">
      <c r="A237" s="13">
        <v>40603</v>
      </c>
      <c r="B237" s="18">
        <f>VLOOKUP(A237,Database!A:K,MATCH('Retail Sales'!$A$1,Database!$A$1:$K$1,),)</f>
        <v>378582</v>
      </c>
      <c r="C237" s="15">
        <f t="shared" si="6"/>
        <v>9.3043839911275093E-3</v>
      </c>
      <c r="D237" s="16">
        <f t="shared" si="7"/>
        <v>6.8296936330877397E-2</v>
      </c>
    </row>
    <row r="238" spans="1:4" x14ac:dyDescent="0.2">
      <c r="A238" s="14">
        <v>40634</v>
      </c>
      <c r="B238" s="18">
        <f>VLOOKUP(A238,Database!A:K,MATCH('Retail Sales'!$A$1,Database!$A$1:$K$1,),)</f>
        <v>380508</v>
      </c>
      <c r="C238" s="15">
        <f t="shared" si="6"/>
        <v>5.0874051064234435E-3</v>
      </c>
      <c r="D238" s="16">
        <f t="shared" si="7"/>
        <v>6.4760119205853964E-2</v>
      </c>
    </row>
    <row r="239" spans="1:4" x14ac:dyDescent="0.2">
      <c r="A239" s="13">
        <v>40664</v>
      </c>
      <c r="B239" s="18">
        <f>VLOOKUP(A239,Database!A:K,MATCH('Retail Sales'!$A$1,Database!$A$1:$K$1,),)</f>
        <v>380353</v>
      </c>
      <c r="C239" s="15">
        <f t="shared" si="6"/>
        <v>-4.0735017397794529E-4</v>
      </c>
      <c r="D239" s="16">
        <f t="shared" si="7"/>
        <v>7.3536758500588481E-2</v>
      </c>
    </row>
    <row r="240" spans="1:4" x14ac:dyDescent="0.2">
      <c r="A240" s="14">
        <v>40695</v>
      </c>
      <c r="B240" s="18">
        <f>VLOOKUP(A240,Database!A:K,MATCH('Retail Sales'!$A$1,Database!$A$1:$K$1,),)</f>
        <v>383140</v>
      </c>
      <c r="C240" s="15">
        <f t="shared" si="6"/>
        <v>7.3274037538812627E-3</v>
      </c>
      <c r="D240" s="16">
        <f t="shared" si="7"/>
        <v>8.3041471267486996E-2</v>
      </c>
    </row>
    <row r="241" spans="1:4" x14ac:dyDescent="0.2">
      <c r="A241" s="13">
        <v>40725</v>
      </c>
      <c r="B241" s="18">
        <f>VLOOKUP(A241,Database!A:K,MATCH('Retail Sales'!$A$1,Database!$A$1:$K$1,),)</f>
        <v>382889</v>
      </c>
      <c r="C241" s="15">
        <f t="shared" si="6"/>
        <v>-6.5511301351986223E-4</v>
      </c>
      <c r="D241" s="16">
        <f t="shared" si="7"/>
        <v>7.9579321331397238E-2</v>
      </c>
    </row>
    <row r="242" spans="1:4" x14ac:dyDescent="0.2">
      <c r="A242" s="14">
        <v>40756</v>
      </c>
      <c r="B242" s="18">
        <f>VLOOKUP(A242,Database!A:K,MATCH('Retail Sales'!$A$1,Database!$A$1:$K$1,),)</f>
        <v>384006</v>
      </c>
      <c r="C242" s="15">
        <f t="shared" si="6"/>
        <v>2.9172945683997192E-3</v>
      </c>
      <c r="D242" s="16">
        <f t="shared" si="7"/>
        <v>7.6219836887979592E-2</v>
      </c>
    </row>
    <row r="243" spans="1:4" x14ac:dyDescent="0.2">
      <c r="A243" s="13">
        <v>40787</v>
      </c>
      <c r="B243" s="18">
        <f>VLOOKUP(A243,Database!A:K,MATCH('Retail Sales'!$A$1,Database!$A$1:$K$1,),)</f>
        <v>387509</v>
      </c>
      <c r="C243" s="15">
        <f t="shared" si="6"/>
        <v>9.1222532981255506E-3</v>
      </c>
      <c r="D243" s="16">
        <f t="shared" si="7"/>
        <v>7.8015940355806543E-2</v>
      </c>
    </row>
    <row r="244" spans="1:4" x14ac:dyDescent="0.2">
      <c r="A244" s="14">
        <v>40817</v>
      </c>
      <c r="B244" s="18">
        <f>VLOOKUP(A244,Database!A:K,MATCH('Retail Sales'!$A$1,Database!$A$1:$K$1,),)</f>
        <v>390086</v>
      </c>
      <c r="C244" s="15">
        <f t="shared" si="6"/>
        <v>6.6501681251274168E-3</v>
      </c>
      <c r="D244" s="16">
        <f t="shared" si="7"/>
        <v>7.3611493367094188E-2</v>
      </c>
    </row>
    <row r="245" spans="1:4" x14ac:dyDescent="0.2">
      <c r="A245" s="13">
        <v>40848</v>
      </c>
      <c r="B245" s="18">
        <f>VLOOKUP(A245,Database!A:K,MATCH('Retail Sales'!$A$1,Database!$A$1:$K$1,),)</f>
        <v>391541</v>
      </c>
      <c r="C245" s="15">
        <f t="shared" si="6"/>
        <v>3.7299467296955028E-3</v>
      </c>
      <c r="D245" s="16">
        <f t="shared" si="7"/>
        <v>6.5548162360016871E-2</v>
      </c>
    </row>
    <row r="246" spans="1:4" x14ac:dyDescent="0.2">
      <c r="A246" s="14">
        <v>40878</v>
      </c>
      <c r="B246" s="18">
        <f>VLOOKUP(A246,Database!A:K,MATCH('Retail Sales'!$A$1,Database!$A$1:$K$1,),)</f>
        <v>391608</v>
      </c>
      <c r="C246" s="15">
        <f t="shared" si="6"/>
        <v>1.7111873341489142E-4</v>
      </c>
      <c r="D246" s="16">
        <f t="shared" si="7"/>
        <v>6.0880165793002559E-2</v>
      </c>
    </row>
    <row r="247" spans="1:4" x14ac:dyDescent="0.2">
      <c r="A247" s="13">
        <v>40909</v>
      </c>
      <c r="B247" s="18">
        <f>VLOOKUP(A247,Database!A:K,MATCH('Retail Sales'!$A$1,Database!$A$1:$K$1,),)</f>
        <v>395720</v>
      </c>
      <c r="C247" s="15">
        <f t="shared" si="6"/>
        <v>1.050029621458193E-2</v>
      </c>
      <c r="D247" s="16">
        <f t="shared" si="7"/>
        <v>6.3600469820484493E-2</v>
      </c>
    </row>
    <row r="248" spans="1:4" x14ac:dyDescent="0.2">
      <c r="A248" s="14">
        <v>40940</v>
      </c>
      <c r="B248" s="18">
        <f>VLOOKUP(A248,Database!A:K,MATCH('Retail Sales'!$A$1,Database!$A$1:$K$1,),)</f>
        <v>400329</v>
      </c>
      <c r="C248" s="15">
        <f t="shared" si="6"/>
        <v>1.1647124229253007E-2</v>
      </c>
      <c r="D248" s="16">
        <f t="shared" si="7"/>
        <v>6.7282160110053002E-2</v>
      </c>
    </row>
    <row r="249" spans="1:4" x14ac:dyDescent="0.2">
      <c r="A249" s="13">
        <v>40969</v>
      </c>
      <c r="B249" s="18">
        <f>VLOOKUP(A249,Database!A:K,MATCH('Retail Sales'!$A$1,Database!$A$1:$K$1,),)</f>
        <v>401661</v>
      </c>
      <c r="C249" s="15">
        <f t="shared" si="6"/>
        <v>3.3272633259144352E-3</v>
      </c>
      <c r="D249" s="16">
        <f t="shared" si="7"/>
        <v>6.0961693899868455E-2</v>
      </c>
    </row>
    <row r="250" spans="1:4" x14ac:dyDescent="0.2">
      <c r="A250" s="14">
        <v>41000</v>
      </c>
      <c r="B250" s="18">
        <f>VLOOKUP(A250,Database!A:K,MATCH('Retail Sales'!$A$1,Database!$A$1:$K$1,),)</f>
        <v>400214</v>
      </c>
      <c r="C250" s="15">
        <f t="shared" si="6"/>
        <v>-3.602540450778144E-3</v>
      </c>
      <c r="D250" s="16">
        <f t="shared" si="7"/>
        <v>5.1788661473608964E-2</v>
      </c>
    </row>
    <row r="251" spans="1:4" x14ac:dyDescent="0.2">
      <c r="A251" s="13">
        <v>41030</v>
      </c>
      <c r="B251" s="18">
        <f>VLOOKUP(A251,Database!A:K,MATCH('Retail Sales'!$A$1,Database!$A$1:$K$1,),)</f>
        <v>399331</v>
      </c>
      <c r="C251" s="15">
        <f t="shared" si="6"/>
        <v>-2.206319619003833E-3</v>
      </c>
      <c r="D251" s="16">
        <f t="shared" si="7"/>
        <v>4.9895754733103197E-2</v>
      </c>
    </row>
    <row r="252" spans="1:4" x14ac:dyDescent="0.2">
      <c r="A252" s="14">
        <v>41061</v>
      </c>
      <c r="B252" s="18">
        <f>VLOOKUP(A252,Database!A:K,MATCH('Retail Sales'!$A$1,Database!$A$1:$K$1,),)</f>
        <v>395585</v>
      </c>
      <c r="C252" s="15">
        <f t="shared" si="6"/>
        <v>-9.3806892026915018E-3</v>
      </c>
      <c r="D252" s="16">
        <f t="shared" si="7"/>
        <v>3.2481599415357311E-2</v>
      </c>
    </row>
    <row r="253" spans="1:4" x14ac:dyDescent="0.2">
      <c r="A253" s="13">
        <v>41091</v>
      </c>
      <c r="B253" s="18">
        <f>VLOOKUP(A253,Database!A:K,MATCH('Retail Sales'!$A$1,Database!$A$1:$K$1,),)</f>
        <v>397567</v>
      </c>
      <c r="C253" s="15">
        <f t="shared" si="6"/>
        <v>5.0103011994893643E-3</v>
      </c>
      <c r="D253" s="16">
        <f t="shared" si="7"/>
        <v>3.8334869897019765E-2</v>
      </c>
    </row>
    <row r="254" spans="1:4" x14ac:dyDescent="0.2">
      <c r="A254" s="14">
        <v>41122</v>
      </c>
      <c r="B254" s="18">
        <f>VLOOKUP(A254,Database!A:K,MATCH('Retail Sales'!$A$1,Database!$A$1:$K$1,),)</f>
        <v>402162</v>
      </c>
      <c r="C254" s="15">
        <f t="shared" si="6"/>
        <v>1.1557800320449133E-2</v>
      </c>
      <c r="D254" s="16">
        <f t="shared" si="7"/>
        <v>4.7280511242011845E-2</v>
      </c>
    </row>
    <row r="255" spans="1:4" x14ac:dyDescent="0.2">
      <c r="A255" s="13">
        <v>41153</v>
      </c>
      <c r="B255" s="18">
        <f>VLOOKUP(A255,Database!A:K,MATCH('Retail Sales'!$A$1,Database!$A$1:$K$1,),)</f>
        <v>405555</v>
      </c>
      <c r="C255" s="15">
        <f t="shared" si="6"/>
        <v>8.4368985632655505E-3</v>
      </c>
      <c r="D255" s="16">
        <f t="shared" si="7"/>
        <v>4.6569240972467736E-2</v>
      </c>
    </row>
    <row r="256" spans="1:4" x14ac:dyDescent="0.2">
      <c r="A256" s="14">
        <v>41183</v>
      </c>
      <c r="B256" s="18">
        <f>VLOOKUP(A256,Database!A:K,MATCH('Retail Sales'!$A$1,Database!$A$1:$K$1,),)</f>
        <v>405699</v>
      </c>
      <c r="C256" s="15">
        <f t="shared" si="6"/>
        <v>3.5506897954654733E-4</v>
      </c>
      <c r="D256" s="16">
        <f t="shared" si="7"/>
        <v>4.0024507416313325E-2</v>
      </c>
    </row>
    <row r="257" spans="1:4" x14ac:dyDescent="0.2">
      <c r="A257" s="13">
        <v>41214</v>
      </c>
      <c r="B257" s="18">
        <f>VLOOKUP(A257,Database!A:K,MATCH('Retail Sales'!$A$1,Database!$A$1:$K$1,),)</f>
        <v>407396</v>
      </c>
      <c r="C257" s="15">
        <f t="shared" si="6"/>
        <v>4.1829040742027953E-3</v>
      </c>
      <c r="D257" s="16">
        <f t="shared" si="7"/>
        <v>4.0493843556613486E-2</v>
      </c>
    </row>
    <row r="258" spans="1:4" x14ac:dyDescent="0.2">
      <c r="A258" s="14">
        <v>41244</v>
      </c>
      <c r="B258" s="18">
        <f>VLOOKUP(A258,Database!A:K,MATCH('Retail Sales'!$A$1,Database!$A$1:$K$1,),)</f>
        <v>409026</v>
      </c>
      <c r="C258" s="15">
        <f t="shared" si="6"/>
        <v>4.0010211195004369E-3</v>
      </c>
      <c r="D258" s="16">
        <f t="shared" si="7"/>
        <v>4.4478151621008766E-2</v>
      </c>
    </row>
    <row r="259" spans="1:4" x14ac:dyDescent="0.2">
      <c r="A259" s="13">
        <v>41275</v>
      </c>
      <c r="B259" s="18">
        <f>VLOOKUP(A259,Database!A:K,MATCH('Retail Sales'!$A$1,Database!$A$1:$K$1,),)</f>
        <v>412155</v>
      </c>
      <c r="C259" s="15">
        <f t="shared" si="6"/>
        <v>7.6498804476977014E-3</v>
      </c>
      <c r="D259" s="16">
        <f t="shared" si="7"/>
        <v>4.1531891236227636E-2</v>
      </c>
    </row>
    <row r="260" spans="1:4" x14ac:dyDescent="0.2">
      <c r="A260" s="14">
        <v>41306</v>
      </c>
      <c r="B260" s="18">
        <f>VLOOKUP(A260,Database!A:K,MATCH('Retail Sales'!$A$1,Database!$A$1:$K$1,),)</f>
        <v>417159</v>
      </c>
      <c r="C260" s="15">
        <f t="shared" si="6"/>
        <v>1.2141063434872803E-2</v>
      </c>
      <c r="D260" s="16">
        <f t="shared" si="7"/>
        <v>4.204042175310807E-2</v>
      </c>
    </row>
    <row r="261" spans="1:4" x14ac:dyDescent="0.2">
      <c r="A261" s="13">
        <v>41334</v>
      </c>
      <c r="B261" s="18">
        <f>VLOOKUP(A261,Database!A:K,MATCH('Retail Sales'!$A$1,Database!$A$1:$K$1,),)</f>
        <v>414092</v>
      </c>
      <c r="C261" s="15">
        <f t="shared" si="6"/>
        <v>-7.3521127435821829E-3</v>
      </c>
      <c r="D261" s="16">
        <f t="shared" si="7"/>
        <v>3.0948984342517694E-2</v>
      </c>
    </row>
    <row r="262" spans="1:4" x14ac:dyDescent="0.2">
      <c r="A262" s="14">
        <v>41365</v>
      </c>
      <c r="B262" s="18">
        <f>VLOOKUP(A262,Database!A:K,MATCH('Retail Sales'!$A$1,Database!$A$1:$K$1,),)</f>
        <v>412237</v>
      </c>
      <c r="C262" s="15">
        <f t="shared" si="6"/>
        <v>-4.4796808438704446E-3</v>
      </c>
      <c r="D262" s="16">
        <f t="shared" si="7"/>
        <v>3.0041427836107682E-2</v>
      </c>
    </row>
    <row r="263" spans="1:4" x14ac:dyDescent="0.2">
      <c r="A263" s="13">
        <v>41395</v>
      </c>
      <c r="B263" s="18">
        <f>VLOOKUP(A263,Database!A:K,MATCH('Retail Sales'!$A$1,Database!$A$1:$K$1,),)</f>
        <v>414309</v>
      </c>
      <c r="C263" s="15">
        <f t="shared" si="6"/>
        <v>5.0262349085598819E-3</v>
      </c>
      <c r="D263" s="16">
        <f t="shared" si="7"/>
        <v>3.7507731681236868E-2</v>
      </c>
    </row>
    <row r="264" spans="1:4" x14ac:dyDescent="0.2">
      <c r="A264" s="14">
        <v>41426</v>
      </c>
      <c r="B264" s="18">
        <f>VLOOKUP(A264,Database!A:K,MATCH('Retail Sales'!$A$1,Database!$A$1:$K$1,),)</f>
        <v>415742</v>
      </c>
      <c r="C264" s="15">
        <f t="shared" si="6"/>
        <v>3.4587711104513779E-3</v>
      </c>
      <c r="D264" s="16">
        <f t="shared" si="7"/>
        <v>5.0954914872909741E-2</v>
      </c>
    </row>
    <row r="265" spans="1:4" x14ac:dyDescent="0.2">
      <c r="A265" s="13">
        <v>41456</v>
      </c>
      <c r="B265" s="18">
        <f>VLOOKUP(A265,Database!A:K,MATCH('Retail Sales'!$A$1,Database!$A$1:$K$1,),)</f>
        <v>418604</v>
      </c>
      <c r="C265" s="15">
        <f t="shared" ref="C265:C320" si="8">(B265-B264)/B264</f>
        <v>6.88407714399796E-3</v>
      </c>
      <c r="D265" s="16">
        <f t="shared" si="7"/>
        <v>5.2914351543261892E-2</v>
      </c>
    </row>
    <row r="266" spans="1:4" x14ac:dyDescent="0.2">
      <c r="A266" s="14">
        <v>41487</v>
      </c>
      <c r="B266" s="18">
        <f>VLOOKUP(A266,Database!A:K,MATCH('Retail Sales'!$A$1,Database!$A$1:$K$1,),)</f>
        <v>417644</v>
      </c>
      <c r="C266" s="15">
        <f t="shared" si="8"/>
        <v>-2.29333690074629E-3</v>
      </c>
      <c r="D266" s="16">
        <f t="shared" si="7"/>
        <v>3.8496924125103811E-2</v>
      </c>
    </row>
    <row r="267" spans="1:4" x14ac:dyDescent="0.2">
      <c r="A267" s="13">
        <v>41518</v>
      </c>
      <c r="B267" s="18">
        <f>VLOOKUP(A267,Database!A:K,MATCH('Retail Sales'!$A$1,Database!$A$1:$K$1,),)</f>
        <v>417849</v>
      </c>
      <c r="C267" s="15">
        <f t="shared" si="8"/>
        <v>4.9084866537050696E-4</v>
      </c>
      <c r="D267" s="16">
        <f t="shared" si="7"/>
        <v>3.0314014128786478E-2</v>
      </c>
    </row>
    <row r="268" spans="1:4" x14ac:dyDescent="0.2">
      <c r="A268" s="14">
        <v>41548</v>
      </c>
      <c r="B268" s="18">
        <f>VLOOKUP(A268,Database!A:K,MATCH('Retail Sales'!$A$1,Database!$A$1:$K$1,),)</f>
        <v>419599</v>
      </c>
      <c r="C268" s="15">
        <f t="shared" si="8"/>
        <v>4.1881158025985467E-3</v>
      </c>
      <c r="D268" s="16">
        <f t="shared" si="7"/>
        <v>3.4261854231831972E-2</v>
      </c>
    </row>
    <row r="269" spans="1:4" x14ac:dyDescent="0.2">
      <c r="A269" s="13">
        <v>41579</v>
      </c>
      <c r="B269" s="18">
        <f>VLOOKUP(A269,Database!A:K,MATCH('Retail Sales'!$A$1,Database!$A$1:$K$1,),)</f>
        <v>420658</v>
      </c>
      <c r="C269" s="15">
        <f t="shared" si="8"/>
        <v>2.5238382360301143E-3</v>
      </c>
      <c r="D269" s="16">
        <f t="shared" si="7"/>
        <v>3.2553093304794355E-2</v>
      </c>
    </row>
    <row r="270" spans="1:4" x14ac:dyDescent="0.2">
      <c r="A270" s="14">
        <v>41609</v>
      </c>
      <c r="B270" s="18">
        <f>VLOOKUP(A270,Database!A:K,MATCH('Retail Sales'!$A$1,Database!$A$1:$K$1,),)</f>
        <v>423362</v>
      </c>
      <c r="C270" s="15">
        <f t="shared" si="8"/>
        <v>6.4280246661183194E-3</v>
      </c>
      <c r="D270" s="16">
        <f t="shared" si="7"/>
        <v>3.5049116682069108E-2</v>
      </c>
    </row>
    <row r="271" spans="1:4" x14ac:dyDescent="0.2">
      <c r="A271" s="13">
        <v>41640</v>
      </c>
      <c r="B271" s="18">
        <f>VLOOKUP(A271,Database!A:K,MATCH('Retail Sales'!$A$1,Database!$A$1:$K$1,),)</f>
        <v>418947</v>
      </c>
      <c r="C271" s="15">
        <f t="shared" si="8"/>
        <v>-1.0428427681275125E-2</v>
      </c>
      <c r="D271" s="16">
        <f t="shared" si="7"/>
        <v>1.6479237180187064E-2</v>
      </c>
    </row>
    <row r="272" spans="1:4" x14ac:dyDescent="0.2">
      <c r="A272" s="14">
        <v>41671</v>
      </c>
      <c r="B272" s="18">
        <f>VLOOKUP(A272,Database!A:K,MATCH('Retail Sales'!$A$1,Database!$A$1:$K$1,),)</f>
        <v>425005</v>
      </c>
      <c r="C272" s="15">
        <f t="shared" si="8"/>
        <v>1.4460062967392056E-2</v>
      </c>
      <c r="D272" s="16">
        <f t="shared" si="7"/>
        <v>1.8808176258932444E-2</v>
      </c>
    </row>
    <row r="273" spans="1:4" x14ac:dyDescent="0.2">
      <c r="A273" s="13">
        <v>41699</v>
      </c>
      <c r="B273" s="18">
        <f>VLOOKUP(A273,Database!A:K,MATCH('Retail Sales'!$A$1,Database!$A$1:$K$1,),)</f>
        <v>429658</v>
      </c>
      <c r="C273" s="15">
        <f t="shared" si="8"/>
        <v>1.094810649286479E-2</v>
      </c>
      <c r="D273" s="16">
        <f t="shared" si="7"/>
        <v>3.759068033190692E-2</v>
      </c>
    </row>
    <row r="274" spans="1:4" x14ac:dyDescent="0.2">
      <c r="A274" s="14">
        <v>41730</v>
      </c>
      <c r="B274" s="18">
        <f>VLOOKUP(A274,Database!A:K,MATCH('Retail Sales'!$A$1,Database!$A$1:$K$1,),)</f>
        <v>433826</v>
      </c>
      <c r="C274" s="15">
        <f t="shared" si="8"/>
        <v>9.7007387270806079E-3</v>
      </c>
      <c r="D274" s="16">
        <f t="shared" si="7"/>
        <v>5.2370359768773786E-2</v>
      </c>
    </row>
    <row r="275" spans="1:4" x14ac:dyDescent="0.2">
      <c r="A275" s="13">
        <v>41760</v>
      </c>
      <c r="B275" s="18">
        <f>VLOOKUP(A275,Database!A:K,MATCH('Retail Sales'!$A$1,Database!$A$1:$K$1,),)</f>
        <v>434640</v>
      </c>
      <c r="C275" s="15">
        <f t="shared" si="8"/>
        <v>1.876328297520204E-3</v>
      </c>
      <c r="D275" s="16">
        <f t="shared" si="7"/>
        <v>4.9072069397478692E-2</v>
      </c>
    </row>
    <row r="276" spans="1:4" x14ac:dyDescent="0.2">
      <c r="A276" s="14">
        <v>41791</v>
      </c>
      <c r="B276" s="18">
        <f>VLOOKUP(A276,Database!A:K,MATCH('Retail Sales'!$A$1,Database!$A$1:$K$1,),)</f>
        <v>435816</v>
      </c>
      <c r="C276" s="15">
        <f t="shared" si="8"/>
        <v>2.7056874654886802E-3</v>
      </c>
      <c r="D276" s="16">
        <f t="shared" ref="D276:D320" si="9">(B276-B264)/B264</f>
        <v>4.8284753525022733E-2</v>
      </c>
    </row>
    <row r="277" spans="1:4" x14ac:dyDescent="0.2">
      <c r="A277" s="13">
        <v>41821</v>
      </c>
      <c r="B277" s="18">
        <f>VLOOKUP(A277,Database!A:K,MATCH('Retail Sales'!$A$1,Database!$A$1:$K$1,),)</f>
        <v>436442</v>
      </c>
      <c r="C277" s="15">
        <f t="shared" si="8"/>
        <v>1.4363859977605227E-3</v>
      </c>
      <c r="D277" s="16">
        <f t="shared" si="9"/>
        <v>4.2613066286992005E-2</v>
      </c>
    </row>
    <row r="278" spans="1:4" x14ac:dyDescent="0.2">
      <c r="A278" s="14">
        <v>41852</v>
      </c>
      <c r="B278" s="18">
        <f>VLOOKUP(A278,Database!A:K,MATCH('Retail Sales'!$A$1,Database!$A$1:$K$1,),)</f>
        <v>439680</v>
      </c>
      <c r="C278" s="15">
        <f t="shared" si="8"/>
        <v>7.4190843227737021E-3</v>
      </c>
      <c r="D278" s="16">
        <f t="shared" si="9"/>
        <v>5.2762639951729223E-2</v>
      </c>
    </row>
    <row r="279" spans="1:4" x14ac:dyDescent="0.2">
      <c r="A279" s="13">
        <v>41883</v>
      </c>
      <c r="B279" s="18">
        <f>VLOOKUP(A279,Database!A:K,MATCH('Retail Sales'!$A$1,Database!$A$1:$K$1,),)</f>
        <v>438842</v>
      </c>
      <c r="C279" s="15">
        <f t="shared" si="8"/>
        <v>-1.9059315866084424E-3</v>
      </c>
      <c r="D279" s="16">
        <f t="shared" si="9"/>
        <v>5.0240637167972162E-2</v>
      </c>
    </row>
    <row r="280" spans="1:4" x14ac:dyDescent="0.2">
      <c r="A280" s="14">
        <v>41913</v>
      </c>
      <c r="B280" s="18">
        <f>VLOOKUP(A280,Database!A:K,MATCH('Retail Sales'!$A$1,Database!$A$1:$K$1,),)</f>
        <v>440164</v>
      </c>
      <c r="C280" s="15">
        <f t="shared" si="8"/>
        <v>3.0124737377005845E-3</v>
      </c>
      <c r="D280" s="16">
        <f t="shared" si="9"/>
        <v>4.9011079626023892E-2</v>
      </c>
    </row>
    <row r="281" spans="1:4" x14ac:dyDescent="0.2">
      <c r="A281" s="13">
        <v>41944</v>
      </c>
      <c r="B281" s="18">
        <f>VLOOKUP(A281,Database!A:K,MATCH('Retail Sales'!$A$1,Database!$A$1:$K$1,),)</f>
        <v>441536</v>
      </c>
      <c r="C281" s="15">
        <f t="shared" si="8"/>
        <v>3.1170200198107978E-3</v>
      </c>
      <c r="D281" s="16">
        <f t="shared" si="9"/>
        <v>4.9631767373971257E-2</v>
      </c>
    </row>
    <row r="282" spans="1:4" x14ac:dyDescent="0.2">
      <c r="A282" s="14">
        <v>41974</v>
      </c>
      <c r="B282" s="18">
        <f>VLOOKUP(A282,Database!A:K,MATCH('Retail Sales'!$A$1,Database!$A$1:$K$1,),)</f>
        <v>439077</v>
      </c>
      <c r="C282" s="15">
        <f t="shared" si="8"/>
        <v>-5.5691948108421508E-3</v>
      </c>
      <c r="D282" s="16">
        <f t="shared" si="9"/>
        <v>3.7119533637879641E-2</v>
      </c>
    </row>
    <row r="283" spans="1:4" x14ac:dyDescent="0.2">
      <c r="A283" s="13">
        <v>42005</v>
      </c>
      <c r="B283" s="18">
        <f>VLOOKUP(A283,Database!A:K,MATCH('Retail Sales'!$A$1,Database!$A$1:$K$1,),)</f>
        <v>436482</v>
      </c>
      <c r="C283" s="15">
        <f t="shared" si="8"/>
        <v>-5.9101251033417826E-3</v>
      </c>
      <c r="D283" s="16">
        <f t="shared" si="9"/>
        <v>4.1854936304592229E-2</v>
      </c>
    </row>
    <row r="284" spans="1:4" x14ac:dyDescent="0.2">
      <c r="A284" s="14">
        <v>42036</v>
      </c>
      <c r="B284" s="18">
        <f>VLOOKUP(A284,Database!A:K,MATCH('Retail Sales'!$A$1,Database!$A$1:$K$1,),)</f>
        <v>435847</v>
      </c>
      <c r="C284" s="15">
        <f t="shared" si="8"/>
        <v>-1.4548137151131088E-3</v>
      </c>
      <c r="D284" s="16">
        <f t="shared" si="9"/>
        <v>2.5510288114257481E-2</v>
      </c>
    </row>
    <row r="285" spans="1:4" x14ac:dyDescent="0.2">
      <c r="A285" s="13">
        <v>42064</v>
      </c>
      <c r="B285" s="18">
        <f>VLOOKUP(A285,Database!A:K,MATCH('Retail Sales'!$A$1,Database!$A$1:$K$1,),)</f>
        <v>442487</v>
      </c>
      <c r="C285" s="15">
        <f t="shared" si="8"/>
        <v>1.5234703921330191E-2</v>
      </c>
      <c r="D285" s="16">
        <f t="shared" si="9"/>
        <v>2.985863174897244E-2</v>
      </c>
    </row>
    <row r="286" spans="1:4" x14ac:dyDescent="0.2">
      <c r="A286" s="14">
        <v>42095</v>
      </c>
      <c r="B286" s="18">
        <f>VLOOKUP(A286,Database!A:K,MATCH('Retail Sales'!$A$1,Database!$A$1:$K$1,),)</f>
        <v>443095</v>
      </c>
      <c r="C286" s="15">
        <f t="shared" si="8"/>
        <v>1.3740516670546253E-3</v>
      </c>
      <c r="D286" s="16">
        <f t="shared" si="9"/>
        <v>2.1365708832573427E-2</v>
      </c>
    </row>
    <row r="287" spans="1:4" x14ac:dyDescent="0.2">
      <c r="A287" s="13">
        <v>42125</v>
      </c>
      <c r="B287" s="18">
        <f>VLOOKUP(A287,Database!A:K,MATCH('Retail Sales'!$A$1,Database!$A$1:$K$1,),)</f>
        <v>446529</v>
      </c>
      <c r="C287" s="15">
        <f t="shared" si="8"/>
        <v>7.7500310317200598E-3</v>
      </c>
      <c r="D287" s="16">
        <f t="shared" si="9"/>
        <v>2.7353672004417448E-2</v>
      </c>
    </row>
    <row r="288" spans="1:4" x14ac:dyDescent="0.2">
      <c r="A288" s="14">
        <v>42156</v>
      </c>
      <c r="B288" s="18">
        <f>VLOOKUP(A288,Database!A:K,MATCH('Retail Sales'!$A$1,Database!$A$1:$K$1,),)</f>
        <v>447343</v>
      </c>
      <c r="C288" s="15">
        <f t="shared" si="8"/>
        <v>1.8229499091884289E-3</v>
      </c>
      <c r="D288" s="16">
        <f t="shared" si="9"/>
        <v>2.6449235457165408E-2</v>
      </c>
    </row>
    <row r="289" spans="1:4" x14ac:dyDescent="0.2">
      <c r="A289" s="13">
        <v>42186</v>
      </c>
      <c r="B289" s="18">
        <f>VLOOKUP(A289,Database!A:K,MATCH('Retail Sales'!$A$1,Database!$A$1:$K$1,),)</f>
        <v>450350</v>
      </c>
      <c r="C289" s="15">
        <f t="shared" si="8"/>
        <v>6.7219113744933978E-3</v>
      </c>
      <c r="D289" s="16">
        <f t="shared" si="9"/>
        <v>3.1866777257917429E-2</v>
      </c>
    </row>
    <row r="290" spans="1:4" x14ac:dyDescent="0.2">
      <c r="A290" s="14">
        <v>42217</v>
      </c>
      <c r="B290" s="18">
        <f>VLOOKUP(A290,Database!A:K,MATCH('Retail Sales'!$A$1,Database!$A$1:$K$1,),)</f>
        <v>450521</v>
      </c>
      <c r="C290" s="15">
        <f t="shared" si="8"/>
        <v>3.7970467414233372E-4</v>
      </c>
      <c r="D290" s="16">
        <f t="shared" si="9"/>
        <v>2.4656568413391557E-2</v>
      </c>
    </row>
    <row r="291" spans="1:4" x14ac:dyDescent="0.2">
      <c r="A291" s="13">
        <v>42248</v>
      </c>
      <c r="B291" s="18">
        <f>VLOOKUP(A291,Database!A:K,MATCH('Retail Sales'!$A$1,Database!$A$1:$K$1,),)</f>
        <v>448635</v>
      </c>
      <c r="C291" s="15">
        <f t="shared" si="8"/>
        <v>-4.1862643472779289E-3</v>
      </c>
      <c r="D291" s="16">
        <f t="shared" si="9"/>
        <v>2.2315548648488521E-2</v>
      </c>
    </row>
    <row r="292" spans="1:4" x14ac:dyDescent="0.2">
      <c r="A292" s="14">
        <v>42278</v>
      </c>
      <c r="B292" s="18">
        <f>VLOOKUP(A292,Database!A:K,MATCH('Retail Sales'!$A$1,Database!$A$1:$K$1,),)</f>
        <v>447262</v>
      </c>
      <c r="C292" s="15">
        <f t="shared" si="8"/>
        <v>-3.0603943071762121E-3</v>
      </c>
      <c r="D292" s="16">
        <f t="shared" si="9"/>
        <v>1.6125807653510963E-2</v>
      </c>
    </row>
    <row r="293" spans="1:4" x14ac:dyDescent="0.2">
      <c r="A293" s="13">
        <v>42309</v>
      </c>
      <c r="B293" s="18">
        <f>VLOOKUP(A293,Database!A:K,MATCH('Retail Sales'!$A$1,Database!$A$1:$K$1,),)</f>
        <v>449121</v>
      </c>
      <c r="C293" s="15">
        <f t="shared" si="8"/>
        <v>4.1564004990363593E-3</v>
      </c>
      <c r="D293" s="16">
        <f t="shared" si="9"/>
        <v>1.7178667198144659E-2</v>
      </c>
    </row>
    <row r="294" spans="1:4" x14ac:dyDescent="0.2">
      <c r="A294" s="14">
        <v>42339</v>
      </c>
      <c r="B294" s="18">
        <f>VLOOKUP(A294,Database!A:K,MATCH('Retail Sales'!$A$1,Database!$A$1:$K$1,),)</f>
        <v>450792</v>
      </c>
      <c r="C294" s="15">
        <f t="shared" si="8"/>
        <v>3.7206009071052122E-3</v>
      </c>
      <c r="D294" s="16">
        <f t="shared" si="9"/>
        <v>2.6680969397167239E-2</v>
      </c>
    </row>
    <row r="295" spans="1:4" x14ac:dyDescent="0.2">
      <c r="A295" s="13">
        <v>42370</v>
      </c>
      <c r="B295" s="18">
        <f>VLOOKUP(A295,Database!A:K,MATCH('Retail Sales'!$A$1,Database!$A$1:$K$1,),)</f>
        <v>447794</v>
      </c>
      <c r="C295" s="15">
        <f t="shared" si="8"/>
        <v>-6.6505173117535361E-3</v>
      </c>
      <c r="D295" s="16">
        <f t="shared" si="9"/>
        <v>2.5916303535999195E-2</v>
      </c>
    </row>
    <row r="296" spans="1:4" x14ac:dyDescent="0.2">
      <c r="A296" s="14">
        <v>42401</v>
      </c>
      <c r="B296" s="18">
        <f>VLOOKUP(A296,Database!A:K,MATCH('Retail Sales'!$A$1,Database!$A$1:$K$1,),)</f>
        <v>452342</v>
      </c>
      <c r="C296" s="15">
        <f t="shared" si="8"/>
        <v>1.0156455870333234E-2</v>
      </c>
      <c r="D296" s="16">
        <f t="shared" si="9"/>
        <v>3.7845849575653845E-2</v>
      </c>
    </row>
    <row r="297" spans="1:4" x14ac:dyDescent="0.2">
      <c r="A297" s="13">
        <v>42430</v>
      </c>
      <c r="B297" s="18">
        <f>VLOOKUP(A297,Database!A:K,MATCH('Retail Sales'!$A$1,Database!$A$1:$K$1,),)</f>
        <v>450830</v>
      </c>
      <c r="C297" s="15">
        <f t="shared" si="8"/>
        <v>-3.3426036052367457E-3</v>
      </c>
      <c r="D297" s="16">
        <f t="shared" si="9"/>
        <v>1.8854791214205163E-2</v>
      </c>
    </row>
    <row r="298" spans="1:4" x14ac:dyDescent="0.2">
      <c r="A298" s="14">
        <v>42461</v>
      </c>
      <c r="B298" s="18">
        <f>VLOOKUP(A298,Database!A:K,MATCH('Retail Sales'!$A$1,Database!$A$1:$K$1,),)</f>
        <v>452430</v>
      </c>
      <c r="C298" s="15">
        <f t="shared" si="8"/>
        <v>3.5490096045072421E-3</v>
      </c>
      <c r="D298" s="16">
        <f t="shared" si="9"/>
        <v>2.1067716855301909E-2</v>
      </c>
    </row>
    <row r="299" spans="1:4" x14ac:dyDescent="0.2">
      <c r="A299" s="13">
        <v>42491</v>
      </c>
      <c r="B299" s="18">
        <f>VLOOKUP(A299,Database!A:K,MATCH('Retail Sales'!$A$1,Database!$A$1:$K$1,),)</f>
        <v>454443</v>
      </c>
      <c r="C299" s="15">
        <f t="shared" si="8"/>
        <v>4.4493070751276441E-3</v>
      </c>
      <c r="D299" s="16">
        <f t="shared" si="9"/>
        <v>1.7723372950021164E-2</v>
      </c>
    </row>
    <row r="300" spans="1:4" x14ac:dyDescent="0.2">
      <c r="A300" s="14">
        <v>42522</v>
      </c>
      <c r="B300" s="18">
        <f>VLOOKUP(A300,Database!A:K,MATCH('Retail Sales'!$A$1,Database!$A$1:$K$1,),)</f>
        <v>459052</v>
      </c>
      <c r="C300" s="15">
        <f t="shared" si="8"/>
        <v>1.0142086026190303E-2</v>
      </c>
      <c r="D300" s="16">
        <f t="shared" si="9"/>
        <v>2.6174546153622611E-2</v>
      </c>
    </row>
    <row r="301" spans="1:4" x14ac:dyDescent="0.2">
      <c r="A301" s="13">
        <v>42552</v>
      </c>
      <c r="B301" s="18">
        <f>VLOOKUP(A301,Database!A:K,MATCH('Retail Sales'!$A$1,Database!$A$1:$K$1,),)</f>
        <v>458060</v>
      </c>
      <c r="C301" s="15">
        <f t="shared" si="8"/>
        <v>-2.1609752272073752E-3</v>
      </c>
      <c r="D301" s="16">
        <f t="shared" si="9"/>
        <v>1.7120017763961364E-2</v>
      </c>
    </row>
    <row r="302" spans="1:4" x14ac:dyDescent="0.2">
      <c r="A302" s="14">
        <v>42583</v>
      </c>
      <c r="B302" s="18">
        <f>VLOOKUP(A302,Database!A:K,MATCH('Retail Sales'!$A$1,Database!$A$1:$K$1,),)</f>
        <v>458771</v>
      </c>
      <c r="C302" s="15">
        <f t="shared" si="8"/>
        <v>1.5521984019560757E-3</v>
      </c>
      <c r="D302" s="16">
        <f t="shared" si="9"/>
        <v>1.831213195389338E-2</v>
      </c>
    </row>
    <row r="303" spans="1:4" x14ac:dyDescent="0.2">
      <c r="A303" s="13">
        <v>42614</v>
      </c>
      <c r="B303" s="18">
        <f>VLOOKUP(A303,Database!A:K,MATCH('Retail Sales'!$A$1,Database!$A$1:$K$1,),)</f>
        <v>461324</v>
      </c>
      <c r="C303" s="15">
        <f t="shared" si="8"/>
        <v>5.564867875258026E-3</v>
      </c>
      <c r="D303" s="16">
        <f t="shared" si="9"/>
        <v>2.8283571277318977E-2</v>
      </c>
    </row>
    <row r="304" spans="1:4" x14ac:dyDescent="0.2">
      <c r="A304" s="14">
        <v>42644</v>
      </c>
      <c r="B304" s="18">
        <f>VLOOKUP(A304,Database!A:K,MATCH('Retail Sales'!$A$1,Database!$A$1:$K$1,),)</f>
        <v>462770</v>
      </c>
      <c r="C304" s="15">
        <f t="shared" si="8"/>
        <v>3.1344564774431851E-3</v>
      </c>
      <c r="D304" s="16">
        <f t="shared" si="9"/>
        <v>3.467318931632913E-2</v>
      </c>
    </row>
    <row r="305" spans="1:4" x14ac:dyDescent="0.2">
      <c r="A305" s="13">
        <v>42675</v>
      </c>
      <c r="B305" s="18">
        <f>VLOOKUP(A305,Database!A:K,MATCH('Retail Sales'!$A$1,Database!$A$1:$K$1,),)</f>
        <v>462407</v>
      </c>
      <c r="C305" s="15">
        <f t="shared" si="8"/>
        <v>-7.8440694081293079E-4</v>
      </c>
      <c r="D305" s="16">
        <f t="shared" si="9"/>
        <v>2.9582228397247067E-2</v>
      </c>
    </row>
    <row r="306" spans="1:4" x14ac:dyDescent="0.2">
      <c r="A306" s="14">
        <v>42705</v>
      </c>
      <c r="B306" s="18">
        <f>VLOOKUP(A306,Database!A:K,MATCH('Retail Sales'!$A$1,Database!$A$1:$K$1,),)</f>
        <v>468061</v>
      </c>
      <c r="C306" s="15">
        <f t="shared" si="8"/>
        <v>1.2227323548302686E-2</v>
      </c>
      <c r="D306" s="16">
        <f t="shared" si="9"/>
        <v>3.8308133241051305E-2</v>
      </c>
    </row>
    <row r="307" spans="1:4" x14ac:dyDescent="0.2">
      <c r="A307" s="13">
        <v>42736</v>
      </c>
      <c r="B307" s="18">
        <f>VLOOKUP(A307,Database!A:K,MATCH('Retail Sales'!$A$1,Database!$A$1:$K$1,),)</f>
        <v>473484</v>
      </c>
      <c r="C307" s="15">
        <f t="shared" si="8"/>
        <v>1.1586096683979225E-2</v>
      </c>
      <c r="D307" s="16">
        <f t="shared" si="9"/>
        <v>5.7370130015140894E-2</v>
      </c>
    </row>
    <row r="308" spans="1:4" x14ac:dyDescent="0.2">
      <c r="A308" s="14">
        <v>42767</v>
      </c>
      <c r="B308" s="18">
        <f>VLOOKUP(A308,Database!A:K,MATCH('Retail Sales'!$A$1,Database!$A$1:$K$1,),)</f>
        <v>472995</v>
      </c>
      <c r="C308" s="15">
        <f t="shared" si="8"/>
        <v>-1.0327698507235725E-3</v>
      </c>
      <c r="D308" s="16">
        <f t="shared" si="9"/>
        <v>4.5657931388197424E-2</v>
      </c>
    </row>
    <row r="309" spans="1:4" x14ac:dyDescent="0.2">
      <c r="A309" s="13">
        <v>42795</v>
      </c>
      <c r="B309" s="18">
        <f>VLOOKUP(A309,Database!A:K,MATCH('Retail Sales'!$A$1,Database!$A$1:$K$1,),)</f>
        <v>471999</v>
      </c>
      <c r="C309" s="15">
        <f t="shared" si="8"/>
        <v>-2.105730504550788E-3</v>
      </c>
      <c r="D309" s="16">
        <f t="shared" si="9"/>
        <v>4.695561519863363E-2</v>
      </c>
    </row>
    <row r="310" spans="1:4" x14ac:dyDescent="0.2">
      <c r="A310" s="14">
        <v>42826</v>
      </c>
      <c r="B310" s="18">
        <f>VLOOKUP(A310,Database!A:K,MATCH('Retail Sales'!$A$1,Database!$A$1:$K$1,),)</f>
        <v>474363</v>
      </c>
      <c r="C310" s="15">
        <f t="shared" si="8"/>
        <v>5.0084851874686179E-3</v>
      </c>
      <c r="D310" s="16">
        <f t="shared" si="9"/>
        <v>4.8478217624825938E-2</v>
      </c>
    </row>
    <row r="311" spans="1:4" x14ac:dyDescent="0.2">
      <c r="A311" s="13">
        <v>42856</v>
      </c>
      <c r="B311" s="18">
        <f>VLOOKUP(A311,Database!A:K,MATCH('Retail Sales'!$A$1,Database!$A$1:$K$1,),)</f>
        <v>472010</v>
      </c>
      <c r="C311" s="15">
        <f t="shared" si="8"/>
        <v>-4.9603362825515482E-3</v>
      </c>
      <c r="D311" s="16">
        <f t="shared" si="9"/>
        <v>3.8656113087890014E-2</v>
      </c>
    </row>
    <row r="312" spans="1:4" x14ac:dyDescent="0.2">
      <c r="A312" s="14">
        <v>42887</v>
      </c>
      <c r="B312" s="18">
        <f>VLOOKUP(A312,Database!A:K,MATCH('Retail Sales'!$A$1,Database!$A$1:$K$1,),)</f>
        <v>473768</v>
      </c>
      <c r="C312" s="15">
        <f t="shared" si="8"/>
        <v>3.7244973623440183E-3</v>
      </c>
      <c r="D312" s="16">
        <f t="shared" si="9"/>
        <v>3.205737040683844E-2</v>
      </c>
    </row>
    <row r="313" spans="1:4" x14ac:dyDescent="0.2">
      <c r="A313" s="13">
        <v>42917</v>
      </c>
      <c r="B313" s="18">
        <f>VLOOKUP(A313,Database!A:K,MATCH('Retail Sales'!$A$1,Database!$A$1:$K$1,),)</f>
        <v>473959</v>
      </c>
      <c r="C313" s="15">
        <f t="shared" si="8"/>
        <v>4.031509093058206E-4</v>
      </c>
      <c r="D313" s="16">
        <f t="shared" si="9"/>
        <v>3.4709426712657733E-2</v>
      </c>
    </row>
    <row r="314" spans="1:4" x14ac:dyDescent="0.2">
      <c r="A314" s="14">
        <v>42948</v>
      </c>
      <c r="B314" s="18">
        <f>VLOOKUP(A314,Database!A:K,MATCH('Retail Sales'!$A$1,Database!$A$1:$K$1,),)</f>
        <v>474703</v>
      </c>
      <c r="C314" s="15">
        <f t="shared" si="8"/>
        <v>1.5697560337497548E-3</v>
      </c>
      <c r="D314" s="16">
        <f t="shared" si="9"/>
        <v>3.4727565604626275E-2</v>
      </c>
    </row>
    <row r="315" spans="1:4" x14ac:dyDescent="0.2">
      <c r="A315" s="13">
        <v>42979</v>
      </c>
      <c r="B315" s="18">
        <f>VLOOKUP(A315,Database!A:K,MATCH('Retail Sales'!$A$1,Database!$A$1:$K$1,),)</f>
        <v>484385</v>
      </c>
      <c r="C315" s="15">
        <f t="shared" si="8"/>
        <v>2.0395910706273186E-2</v>
      </c>
      <c r="D315" s="16">
        <f t="shared" si="9"/>
        <v>4.9988728095655112E-2</v>
      </c>
    </row>
    <row r="316" spans="1:4" x14ac:dyDescent="0.2">
      <c r="A316" s="14">
        <v>43009</v>
      </c>
      <c r="B316" s="18">
        <f>VLOOKUP(A316,Database!A:K,MATCH('Retail Sales'!$A$1,Database!$A$1:$K$1,),)</f>
        <v>485059</v>
      </c>
      <c r="C316" s="15">
        <f t="shared" si="8"/>
        <v>1.3914551441518627E-3</v>
      </c>
      <c r="D316" s="16">
        <f t="shared" si="9"/>
        <v>4.8164314886444667E-2</v>
      </c>
    </row>
    <row r="317" spans="1:4" x14ac:dyDescent="0.2">
      <c r="A317" s="13">
        <v>43040</v>
      </c>
      <c r="B317" s="18">
        <f>VLOOKUP(A317,Database!A:K,MATCH('Retail Sales'!$A$1,Database!$A$1:$K$1,),)</f>
        <v>490007</v>
      </c>
      <c r="C317" s="15">
        <f t="shared" si="8"/>
        <v>1.0200820931061994E-2</v>
      </c>
      <c r="D317" s="16">
        <f t="shared" si="9"/>
        <v>5.9687677738442538E-2</v>
      </c>
    </row>
    <row r="318" spans="1:4" x14ac:dyDescent="0.2">
      <c r="A318" s="14">
        <v>43070</v>
      </c>
      <c r="B318" s="18">
        <f>VLOOKUP(A318,Database!A:K,MATCH('Retail Sales'!$A$1,Database!$A$1:$K$1,),)</f>
        <v>492401</v>
      </c>
      <c r="C318" s="15">
        <f t="shared" si="8"/>
        <v>4.8856444907929885E-3</v>
      </c>
      <c r="D318" s="16">
        <f t="shared" si="9"/>
        <v>5.2001769000194417E-2</v>
      </c>
    </row>
    <row r="319" spans="1:4" x14ac:dyDescent="0.2">
      <c r="A319" s="13">
        <v>43101</v>
      </c>
      <c r="B319" s="18">
        <f>VLOOKUP(A319,Database!A:K,MATCH('Retail Sales'!$A$1,Database!$A$1:$K$1,),)</f>
        <v>491492</v>
      </c>
      <c r="C319" s="15">
        <f t="shared" si="8"/>
        <v>-1.8460563646296414E-3</v>
      </c>
      <c r="D319" s="16">
        <f t="shared" si="9"/>
        <v>3.8032964155071763E-2</v>
      </c>
    </row>
    <row r="320" spans="1:4" x14ac:dyDescent="0.2">
      <c r="A320" s="14">
        <v>43132</v>
      </c>
      <c r="B320" s="18">
        <f>VLOOKUP(A320,Database!A:K,MATCH('Retail Sales'!$A$1,Database!$A$1:$K$1,),)</f>
        <v>493759</v>
      </c>
      <c r="C320" s="15">
        <f t="shared" si="8"/>
        <v>4.6124860628453772E-3</v>
      </c>
      <c r="D320" s="16">
        <f t="shared" si="9"/>
        <v>4.3898984133024663E-2</v>
      </c>
    </row>
    <row r="321" spans="1:4" x14ac:dyDescent="0.2">
      <c r="A321" s="13">
        <v>43160</v>
      </c>
      <c r="B321" s="18">
        <f>VLOOKUP(A321,Database!A:K,MATCH('Retail Sales'!$A$1,Database!$A$1:$K$1,),)</f>
        <v>493373</v>
      </c>
      <c r="C321" s="15">
        <f t="shared" ref="C321:C322" si="10">(B321-B320)/B320</f>
        <v>-7.8175790213444213E-4</v>
      </c>
      <c r="D321" s="16">
        <f t="shared" ref="D321:D334" si="11">(B321-B309)/B309</f>
        <v>4.5283994245750518E-2</v>
      </c>
    </row>
    <row r="322" spans="1:4" x14ac:dyDescent="0.2">
      <c r="A322" s="14">
        <v>43191</v>
      </c>
      <c r="B322" s="18">
        <f>VLOOKUP(A322,Database!A:K,MATCH('Retail Sales'!$A$1,Database!$A$1:$K$1,),)</f>
        <v>495025</v>
      </c>
      <c r="C322" s="15">
        <f t="shared" si="10"/>
        <v>3.3483794208438644E-3</v>
      </c>
      <c r="D322" s="16">
        <f t="shared" si="11"/>
        <v>4.3557360080782016E-2</v>
      </c>
    </row>
    <row r="323" spans="1:4" x14ac:dyDescent="0.2">
      <c r="A323" s="13">
        <v>43221</v>
      </c>
      <c r="B323" s="18">
        <f>VLOOKUP(A323,Database!A:K,MATCH('Retail Sales'!$A$1,Database!$A$1:$K$1,),)</f>
        <v>500719</v>
      </c>
      <c r="C323" s="15">
        <f t="shared" ref="C323:C324" si="12">(B323-B322)/B322</f>
        <v>1.1502449371243877E-2</v>
      </c>
      <c r="D323" s="16">
        <f t="shared" si="11"/>
        <v>6.0822863922374529E-2</v>
      </c>
    </row>
    <row r="324" spans="1:4" x14ac:dyDescent="0.2">
      <c r="A324" s="14">
        <v>43252</v>
      </c>
      <c r="B324" s="18">
        <f>VLOOKUP(A324,Database!A:K,MATCH('Retail Sales'!$A$1,Database!$A$1:$K$1,),)</f>
        <v>499631</v>
      </c>
      <c r="C324" s="15">
        <f t="shared" si="12"/>
        <v>-2.1728754051673692E-3</v>
      </c>
      <c r="D324" s="16">
        <f t="shared" si="11"/>
        <v>5.4590010300400199E-2</v>
      </c>
    </row>
    <row r="325" spans="1:4" x14ac:dyDescent="0.2">
      <c r="A325" s="13">
        <v>43282</v>
      </c>
      <c r="B325" s="18">
        <f>VLOOKUP(A325,Database!A:K,MATCH('Retail Sales'!$A$1,Database!$A$1:$K$1,),)</f>
        <v>502962</v>
      </c>
      <c r="C325" s="15">
        <f t="shared" ref="C325:C326" si="13">(B325-B324)/B324</f>
        <v>6.6669201870980781E-3</v>
      </c>
      <c r="D325" s="16">
        <f t="shared" si="11"/>
        <v>6.1193056783392659E-2</v>
      </c>
    </row>
    <row r="326" spans="1:4" x14ac:dyDescent="0.2">
      <c r="A326" s="14">
        <v>43313</v>
      </c>
      <c r="B326" s="18">
        <f>VLOOKUP(A326,Database!A:K,MATCH('Retail Sales'!$A$1,Database!$A$1:$K$1,),)</f>
        <v>501913</v>
      </c>
      <c r="C326" s="15">
        <f t="shared" si="13"/>
        <v>-2.0856446411458519E-3</v>
      </c>
      <c r="D326" s="16">
        <f t="shared" si="11"/>
        <v>5.7320050642191013E-2</v>
      </c>
    </row>
    <row r="327" spans="1:4" x14ac:dyDescent="0.2">
      <c r="A327" s="13">
        <v>43344</v>
      </c>
      <c r="B327" s="18">
        <f>VLOOKUP(A327,Database!A:K,MATCH('Retail Sales'!$A$1,Database!$A$1:$K$1,),)</f>
        <v>500362</v>
      </c>
      <c r="C327" s="15">
        <f t="shared" ref="C327:C328" si="14">(B327-B326)/B326</f>
        <v>-3.090176982863564E-3</v>
      </c>
      <c r="D327" s="16">
        <f t="shared" si="11"/>
        <v>3.2984093231623608E-2</v>
      </c>
    </row>
    <row r="328" spans="1:4" x14ac:dyDescent="0.2">
      <c r="A328" s="14">
        <v>43374</v>
      </c>
      <c r="B328" s="18">
        <f>VLOOKUP(A328,Database!A:K,MATCH('Retail Sales'!$A$1,Database!$A$1:$K$1,),)</f>
        <v>506010</v>
      </c>
      <c r="C328" s="15">
        <f t="shared" si="14"/>
        <v>1.1287827612808327E-2</v>
      </c>
      <c r="D328" s="16">
        <f t="shared" si="11"/>
        <v>4.3192683776612742E-2</v>
      </c>
    </row>
    <row r="329" spans="1:4" x14ac:dyDescent="0.2">
      <c r="A329" s="13">
        <v>43405</v>
      </c>
      <c r="B329" s="18">
        <f>VLOOKUP(A329,Database!A:K,MATCH('Retail Sales'!$A$1,Database!$A$1:$K$1,),)</f>
        <v>506973</v>
      </c>
      <c r="C329" s="15">
        <f t="shared" ref="C329" si="15">(B329-B328)/B328</f>
        <v>1.903124444180945E-3</v>
      </c>
      <c r="D329" s="16">
        <f t="shared" si="11"/>
        <v>3.4623995167415975E-2</v>
      </c>
    </row>
    <row r="330" spans="1:4" x14ac:dyDescent="0.2">
      <c r="A330" s="14">
        <v>43435</v>
      </c>
      <c r="B330" s="18">
        <f>VLOOKUP(A330,Database!A:K,MATCH('Retail Sales'!$A$1,Database!$A$1:$K$1,),)</f>
        <v>496593</v>
      </c>
      <c r="C330" s="15">
        <f t="shared" ref="C330:C331" si="16">(B330-B329)/B329</f>
        <v>-2.047446313709014E-2</v>
      </c>
      <c r="D330" s="16">
        <f t="shared" si="11"/>
        <v>8.513386447224925E-3</v>
      </c>
    </row>
    <row r="331" spans="1:4" x14ac:dyDescent="0.2">
      <c r="A331" s="13">
        <v>43466</v>
      </c>
      <c r="B331" s="18">
        <f>VLOOKUP(A331,Database!A:K,MATCH('Retail Sales'!$A$1,Database!$A$1:$K$1,),)</f>
        <v>502724</v>
      </c>
      <c r="C331" s="15">
        <f t="shared" si="16"/>
        <v>1.2346126506011966E-2</v>
      </c>
      <c r="D331" s="16">
        <f t="shared" si="11"/>
        <v>2.285286433960268E-2</v>
      </c>
    </row>
    <row r="332" spans="1:4" x14ac:dyDescent="0.2">
      <c r="A332" s="14">
        <v>43497</v>
      </c>
      <c r="B332" s="18">
        <f>VLOOKUP(A332,Database!A:K,MATCH('Retail Sales'!$A$1,Database!$A$1:$K$1,),)</f>
        <v>502627</v>
      </c>
      <c r="C332" s="15">
        <f t="shared" ref="C332:C333" si="17">(B332-B331)/B331</f>
        <v>-1.929488148566609E-4</v>
      </c>
      <c r="D332" s="16">
        <f t="shared" si="11"/>
        <v>1.7960178953700084E-2</v>
      </c>
    </row>
    <row r="333" spans="1:4" x14ac:dyDescent="0.2">
      <c r="A333" s="13">
        <v>43525</v>
      </c>
      <c r="B333" s="18">
        <f>VLOOKUP(A333,Database!A:K,MATCH('Retail Sales'!$A$1,Database!$A$1:$K$1,),)</f>
        <v>510320</v>
      </c>
      <c r="C333" s="15">
        <f t="shared" si="17"/>
        <v>1.5305584459251094E-2</v>
      </c>
      <c r="D333" s="16">
        <f t="shared" si="11"/>
        <v>3.4349265160436425E-2</v>
      </c>
    </row>
    <row r="334" spans="1:4" x14ac:dyDescent="0.2">
      <c r="A334" s="14">
        <v>43556</v>
      </c>
      <c r="B334" s="18">
        <f>VLOOKUP(A334,Database!A:K,MATCH('Retail Sales'!$A$1,Database!$A$1:$K$1,),)</f>
        <v>512326</v>
      </c>
      <c r="C334" s="15">
        <f t="shared" ref="C334:C335" si="18">(B334-B333)/B333</f>
        <v>3.9308669070387209E-3</v>
      </c>
      <c r="D334" s="16">
        <f t="shared" si="11"/>
        <v>3.4949750012625624E-2</v>
      </c>
    </row>
    <row r="335" spans="1:4" x14ac:dyDescent="0.2">
      <c r="A335" s="13">
        <v>43586</v>
      </c>
      <c r="B335" s="18">
        <f>VLOOKUP(A335,Database!A:K,MATCH('Retail Sales'!$A$1,Database!$A$1:$K$1,),)</f>
        <v>513870</v>
      </c>
      <c r="C335" s="15">
        <f t="shared" si="18"/>
        <v>3.0137061168084385E-3</v>
      </c>
      <c r="D335" s="16">
        <f>(B335-B323)/B323</f>
        <v>2.6264232034334627E-2</v>
      </c>
    </row>
    <row r="336" spans="1:4" x14ac:dyDescent="0.2">
      <c r="A336" s="14">
        <v>43617</v>
      </c>
      <c r="B336" s="18">
        <f>VLOOKUP(A336,Database!A:K,MATCH('Retail Sales'!$A$1,Database!$A$1:$K$1,),)</f>
        <v>515911</v>
      </c>
      <c r="C336" s="15">
        <f t="shared" ref="C336:C337" si="19">(B336-B335)/B335</f>
        <v>3.9718216669585695E-3</v>
      </c>
      <c r="D336" s="16">
        <f t="shared" ref="D336:D337" si="20">(B336-B324)/B324</f>
        <v>3.2584047026705712E-2</v>
      </c>
    </row>
    <row r="337" spans="1:4" x14ac:dyDescent="0.2">
      <c r="A337" s="13">
        <v>43647</v>
      </c>
      <c r="B337" s="18">
        <f>VLOOKUP(A337,Database!A:K,MATCH('Retail Sales'!$A$1,Database!$A$1:$K$1,),)</f>
        <v>519447</v>
      </c>
      <c r="C337" s="15">
        <f t="shared" si="19"/>
        <v>6.8538953424137107E-3</v>
      </c>
      <c r="D337" s="16">
        <f t="shared" si="20"/>
        <v>3.2775835947844965E-2</v>
      </c>
    </row>
    <row r="338" spans="1:4" s="1" customFormat="1" x14ac:dyDescent="0.2">
      <c r="A338" s="14">
        <v>43678</v>
      </c>
      <c r="B338" s="18">
        <f>VLOOKUP(A338,Database!A:K,MATCH('Retail Sales'!$A$1,Database!$A$1:$K$1,),)</f>
        <v>521833</v>
      </c>
      <c r="C338" s="15">
        <f t="shared" ref="C338:C340" si="21">(B338-B337)/B337</f>
        <v>4.5933463856755357E-3</v>
      </c>
      <c r="D338" s="16">
        <f t="shared" ref="D338:D340" si="22">(B338-B326)/B326</f>
        <v>3.9688153126139387E-2</v>
      </c>
    </row>
    <row r="339" spans="1:4" s="1" customFormat="1" x14ac:dyDescent="0.2">
      <c r="A339" s="13">
        <v>43709</v>
      </c>
      <c r="B339" s="18">
        <f>VLOOKUP(A339,Database!A:K,MATCH('Retail Sales'!$A$1,Database!$A$1:$K$1,),)</f>
        <v>518605</v>
      </c>
      <c r="C339" s="15">
        <f t="shared" si="21"/>
        <v>-6.1858870558205402E-3</v>
      </c>
      <c r="D339" s="16">
        <f t="shared" si="22"/>
        <v>3.6459603247248992E-2</v>
      </c>
    </row>
    <row r="340" spans="1:4" s="1" customFormat="1" x14ac:dyDescent="0.2">
      <c r="A340" s="14">
        <v>43739</v>
      </c>
      <c r="B340" s="18">
        <f>VLOOKUP(A340,Database!A:K,MATCH('Retail Sales'!$A$1,Database!$A$1:$K$1,),)</f>
        <v>521114</v>
      </c>
      <c r="C340" s="15">
        <f t="shared" si="21"/>
        <v>4.8379788085344336E-3</v>
      </c>
      <c r="D340" s="16">
        <f t="shared" si="22"/>
        <v>2.9849212466156794E-2</v>
      </c>
    </row>
    <row r="341" spans="1:4" s="1" customFormat="1" x14ac:dyDescent="0.2">
      <c r="A341" s="13">
        <v>43770</v>
      </c>
      <c r="B341" s="18">
        <f>VLOOKUP(A341,Database!A:K,MATCH('Retail Sales'!$A$1,Database!$A$1:$K$1,),)</f>
        <v>522805</v>
      </c>
      <c r="C341" s="15">
        <f t="shared" ref="C341:C342" si="23">(B341-B340)/B340</f>
        <v>3.2449713498389986E-3</v>
      </c>
      <c r="D341" s="16">
        <f t="shared" ref="D341:D342" si="24">(B341-B329)/B329</f>
        <v>3.1228487513141726E-2</v>
      </c>
    </row>
    <row r="342" spans="1:4" s="1" customFormat="1" x14ac:dyDescent="0.2">
      <c r="A342" s="14">
        <v>43800</v>
      </c>
      <c r="B342" s="18">
        <f>VLOOKUP(A342,Database!A:K,MATCH('Retail Sales'!$A$1,Database!$A$1:$K$1,),)</f>
        <v>523862</v>
      </c>
      <c r="C342" s="15">
        <f t="shared" si="23"/>
        <v>2.0217863256854849E-3</v>
      </c>
      <c r="D342" s="16">
        <f t="shared" si="24"/>
        <v>5.4912171536852107E-2</v>
      </c>
    </row>
    <row r="343" spans="1:4" s="1" customFormat="1" x14ac:dyDescent="0.2">
      <c r="A343" s="13">
        <v>43831</v>
      </c>
      <c r="B343" s="18">
        <f>VLOOKUP(A343,Database!A:K,MATCH('Retail Sales'!$A$1,Database!$A$1:$K$1,),)</f>
        <v>526930</v>
      </c>
      <c r="C343" s="15">
        <f t="shared" ref="C343:C344" si="25">(B343-B342)/B342</f>
        <v>5.8565041938525792E-3</v>
      </c>
      <c r="D343" s="16">
        <f t="shared" ref="D343:D344" si="26">(B343-B331)/B331</f>
        <v>4.8149680540415817E-2</v>
      </c>
    </row>
    <row r="344" spans="1:4" s="1" customFormat="1" x14ac:dyDescent="0.2">
      <c r="A344" s="14">
        <v>43862</v>
      </c>
      <c r="B344" s="18">
        <f>VLOOKUP(A344,Database!A:K,MATCH('Retail Sales'!$A$1,Database!$A$1:$K$1,),)</f>
        <v>525810</v>
      </c>
      <c r="C344" s="15">
        <f t="shared" si="25"/>
        <v>-2.1255195187216518E-3</v>
      </c>
      <c r="D344" s="16">
        <f t="shared" si="26"/>
        <v>4.6123666257483181E-2</v>
      </c>
    </row>
    <row r="345" spans="1:4" s="1" customFormat="1" x14ac:dyDescent="0.2">
      <c r="A345" s="13">
        <v>43891</v>
      </c>
      <c r="B345" s="18">
        <f>VLOOKUP(A345,Database!A:K,MATCH('Retail Sales'!$A$1,Database!$A$1:$K$1,),)</f>
        <v>480407</v>
      </c>
      <c r="C345" s="15">
        <f t="shared" ref="C345:C346" si="27">(B345-B344)/B344</f>
        <v>-8.6348681082520307E-2</v>
      </c>
      <c r="D345" s="16">
        <f t="shared" ref="D345:D346" si="28">(B345-B333)/B333</f>
        <v>-5.8616162407900928E-2</v>
      </c>
    </row>
    <row r="346" spans="1:4" s="1" customFormat="1" x14ac:dyDescent="0.2">
      <c r="A346" s="14">
        <v>43922</v>
      </c>
      <c r="B346" s="18">
        <f>VLOOKUP(A346,Database!A:K,MATCH('Retail Sales'!$A$1,Database!$A$1:$K$1,),)</f>
        <v>409819</v>
      </c>
      <c r="C346" s="15">
        <f t="shared" si="27"/>
        <v>-0.14693374576140647</v>
      </c>
      <c r="D346" s="16">
        <f t="shared" si="28"/>
        <v>-0.20008158867596024</v>
      </c>
    </row>
    <row r="347" spans="1:4" s="1" customFormat="1" x14ac:dyDescent="0.2">
      <c r="A347" s="13">
        <v>43952</v>
      </c>
      <c r="B347" s="18">
        <f>VLOOKUP(A347,Database!A:K,MATCH('Retail Sales'!$A$1,Database!$A$1:$K$1,),)</f>
        <v>484295</v>
      </c>
      <c r="C347" s="15">
        <f t="shared" ref="C347:C348" si="29">(B347-B346)/B346</f>
        <v>0.18172900719585963</v>
      </c>
      <c r="D347" s="16">
        <f t="shared" ref="D347:D348" si="30">(B347-B335)/B335</f>
        <v>-5.7553466830132134E-2</v>
      </c>
    </row>
    <row r="348" spans="1:4" s="1" customFormat="1" x14ac:dyDescent="0.2">
      <c r="A348" s="14">
        <v>43983</v>
      </c>
      <c r="B348" s="18">
        <f>VLOOKUP(A348,Database!A:K,MATCH('Retail Sales'!$A$1,Database!$A$1:$K$1,),)</f>
        <v>526187</v>
      </c>
      <c r="C348" s="15">
        <f t="shared" si="29"/>
        <v>8.6500996293581392E-2</v>
      </c>
      <c r="D348" s="16">
        <f t="shared" si="30"/>
        <v>1.9918164179480568E-2</v>
      </c>
    </row>
    <row r="349" spans="1:4" s="1" customFormat="1" x14ac:dyDescent="0.2">
      <c r="A349" s="13">
        <v>44013</v>
      </c>
      <c r="B349" s="18">
        <f>VLOOKUP(A349,Database!A:K,MATCH('Retail Sales'!$A$1,Database!$A$1:$K$1,),)</f>
        <v>533517</v>
      </c>
      <c r="C349" s="15">
        <f t="shared" ref="C349:C350" si="31">(B349-B348)/B348</f>
        <v>1.3930408771026271E-2</v>
      </c>
      <c r="D349" s="16">
        <f t="shared" ref="D349:D350" si="32">(B349-B337)/B337</f>
        <v>2.7086497756267723E-2</v>
      </c>
    </row>
    <row r="350" spans="1:4" s="1" customFormat="1" x14ac:dyDescent="0.2">
      <c r="A350" s="14">
        <v>44044</v>
      </c>
      <c r="B350" s="18">
        <f>VLOOKUP(A350,Database!A:K,MATCH('Retail Sales'!$A$1,Database!$A$1:$K$1,),)</f>
        <v>537720</v>
      </c>
      <c r="C350" s="15">
        <f t="shared" si="31"/>
        <v>7.8779120440398333E-3</v>
      </c>
      <c r="D350" s="16">
        <f t="shared" si="32"/>
        <v>3.0444605841332382E-2</v>
      </c>
    </row>
    <row r="351" spans="1:4" s="1" customFormat="1" x14ac:dyDescent="0.2">
      <c r="A351" s="13">
        <v>44075</v>
      </c>
      <c r="B351" s="18">
        <f>VLOOKUP(A351,Database!A:K,MATCH('Retail Sales'!$A$1,Database!$A$1:$K$1,),)</f>
        <v>549528</v>
      </c>
      <c r="C351" s="15">
        <f t="shared" ref="C351:C352" si="33">(B351-B350)/B350</f>
        <v>2.1959384066056683E-2</v>
      </c>
      <c r="D351" s="16">
        <f t="shared" ref="D351:D352" si="34">(B351-B339)/B339</f>
        <v>5.9627269309011674E-2</v>
      </c>
    </row>
    <row r="352" spans="1:4" s="1" customFormat="1" x14ac:dyDescent="0.2">
      <c r="A352" s="14">
        <v>44105</v>
      </c>
      <c r="B352" s="18">
        <f>VLOOKUP(A352,Database!A:K,MATCH('Retail Sales'!$A$1,Database!$A$1:$K$1,),)</f>
        <v>550038</v>
      </c>
      <c r="C352" s="15">
        <f t="shared" si="33"/>
        <v>9.2806917936847624E-4</v>
      </c>
      <c r="D352" s="16">
        <f t="shared" si="34"/>
        <v>5.5504169912917324E-2</v>
      </c>
    </row>
    <row r="353" spans="1:4" s="1" customFormat="1" x14ac:dyDescent="0.2">
      <c r="A353" s="13">
        <v>44136</v>
      </c>
      <c r="B353" s="18">
        <f>VLOOKUP(A353,Database!A:K,MATCH('Retail Sales'!$A$1,Database!$A$1:$K$1,),)</f>
        <v>542583</v>
      </c>
      <c r="C353" s="15">
        <f t="shared" ref="C353:C354" si="35">(B353-B352)/B352</f>
        <v>-1.3553609023376567E-2</v>
      </c>
      <c r="D353" s="16">
        <f t="shared" ref="D353:D354" si="36">(B353-B341)/B341</f>
        <v>3.7830548674936161E-2</v>
      </c>
    </row>
    <row r="354" spans="1:4" s="1" customFormat="1" x14ac:dyDescent="0.2">
      <c r="A354" s="14">
        <v>44166</v>
      </c>
      <c r="B354" s="18">
        <f>VLOOKUP(A354,Database!A:K,MATCH('Retail Sales'!$A$1,Database!$A$1:$K$1,),)</f>
        <v>535972</v>
      </c>
      <c r="C354" s="15">
        <f t="shared" si="35"/>
        <v>-1.2184310971777589E-2</v>
      </c>
      <c r="D354" s="16">
        <f t="shared" si="36"/>
        <v>2.311677502853805E-2</v>
      </c>
    </row>
    <row r="355" spans="1:4" s="1" customFormat="1" x14ac:dyDescent="0.2">
      <c r="A355" s="13">
        <v>44197</v>
      </c>
      <c r="B355" s="18">
        <f>VLOOKUP(A355,Database!A:K,MATCH('Retail Sales'!$A$1,Database!$A$1:$K$1,),)</f>
        <v>576466</v>
      </c>
      <c r="C355" s="15">
        <f t="shared" ref="C355:C356" si="37">(B355-B354)/B354</f>
        <v>7.5552454232683794E-2</v>
      </c>
      <c r="D355" s="16">
        <f t="shared" ref="D355:D356" si="38">(B355-B343)/B343</f>
        <v>9.4008691856603349E-2</v>
      </c>
    </row>
    <row r="356" spans="1:4" s="1" customFormat="1" x14ac:dyDescent="0.2">
      <c r="A356" s="14">
        <v>44228</v>
      </c>
      <c r="B356" s="18">
        <f>VLOOKUP(A356,Database!A:K,MATCH('Retail Sales'!$A$1,Database!$A$1:$K$1,),)</f>
        <v>559970</v>
      </c>
      <c r="C356" s="15">
        <f t="shared" si="37"/>
        <v>-2.8615737961996023E-2</v>
      </c>
      <c r="D356" s="16">
        <f t="shared" si="38"/>
        <v>6.4966432741864935E-2</v>
      </c>
    </row>
    <row r="357" spans="1:4" s="1" customFormat="1" x14ac:dyDescent="0.2">
      <c r="A357" s="13">
        <v>44256</v>
      </c>
      <c r="B357" s="18">
        <f>VLOOKUP(A357,Database!A:K,MATCH('Retail Sales'!$A$1,Database!$A$1:$K$1,),)</f>
        <v>623119</v>
      </c>
      <c r="C357" s="15">
        <f t="shared" ref="C357:C358" si="39">(B357-B356)/B356</f>
        <v>0.1127721127917567</v>
      </c>
      <c r="D357" s="16">
        <f t="shared" ref="D357:D358" si="40">(B357-B345)/B345</f>
        <v>0.29706478048821106</v>
      </c>
    </row>
    <row r="358" spans="1:4" s="1" customFormat="1" x14ac:dyDescent="0.2">
      <c r="A358" s="14">
        <v>44287</v>
      </c>
      <c r="B358" s="18">
        <f>VLOOKUP(A358,Database!A:K,MATCH('Retail Sales'!$A$1,Database!$A$1:$K$1,),)</f>
        <v>628751</v>
      </c>
      <c r="C358" s="15">
        <f t="shared" si="39"/>
        <v>9.0384019745827042E-3</v>
      </c>
      <c r="D358" s="16">
        <f t="shared" si="40"/>
        <v>0.53421632476776337</v>
      </c>
    </row>
    <row r="359" spans="1:4" s="1" customFormat="1" x14ac:dyDescent="0.2">
      <c r="A359" s="13">
        <v>44317</v>
      </c>
      <c r="B359" s="18">
        <f>VLOOKUP(A359,Database!A:K,MATCH('Retail Sales'!$A$1,Database!$A$1:$K$1,),)</f>
        <v>620119</v>
      </c>
      <c r="C359" s="15">
        <f t="shared" ref="C359:C360" si="41">(B359-B358)/B358</f>
        <v>-1.3728805202695503E-2</v>
      </c>
      <c r="D359" s="16">
        <f t="shared" ref="D359:D360" si="42">(B359-B347)/B347</f>
        <v>0.28045715937600019</v>
      </c>
    </row>
    <row r="360" spans="1:4" s="1" customFormat="1" x14ac:dyDescent="0.2">
      <c r="A360" s="14">
        <v>44348</v>
      </c>
      <c r="B360" s="18">
        <f>VLOOKUP(A360,Database!A:K,MATCH('Retail Sales'!$A$1,Database!$A$1:$K$1,),)</f>
        <v>625405</v>
      </c>
      <c r="C360" s="15">
        <f t="shared" si="41"/>
        <v>8.5241703608500956E-3</v>
      </c>
      <c r="D360" s="16">
        <f t="shared" si="42"/>
        <v>0.18856034071537306</v>
      </c>
    </row>
    <row r="361" spans="1:4" s="1" customFormat="1" x14ac:dyDescent="0.2">
      <c r="A361" s="13">
        <v>44378</v>
      </c>
      <c r="B361" s="18">
        <f>VLOOKUP(A361,Database!A:K,MATCH('Retail Sales'!$A$1,Database!$A$1:$K$1,),)</f>
        <v>614313</v>
      </c>
      <c r="C361" s="15">
        <f t="shared" ref="C361:C362" si="43">(B361-B360)/B360</f>
        <v>-1.7735707261694423E-2</v>
      </c>
      <c r="D361" s="16">
        <f t="shared" ref="D361:D362" si="44">(B361-B349)/B349</f>
        <v>0.15144034773025039</v>
      </c>
    </row>
    <row r="362" spans="1:4" s="1" customFormat="1" x14ac:dyDescent="0.2">
      <c r="A362" s="14">
        <v>44409</v>
      </c>
      <c r="B362" s="18">
        <f>VLOOKUP(A362,Database!A:K,MATCH('Retail Sales'!$A$1,Database!$A$1:$K$1,),)</f>
        <v>618676</v>
      </c>
      <c r="C362" s="15">
        <f t="shared" si="43"/>
        <v>7.1022426678256853E-3</v>
      </c>
      <c r="D362" s="16">
        <f t="shared" si="44"/>
        <v>0.15055419177266979</v>
      </c>
    </row>
    <row r="363" spans="1:4" s="1" customFormat="1" x14ac:dyDescent="0.2">
      <c r="A363" s="11"/>
      <c r="B363" s="17"/>
      <c r="C363" s="11"/>
      <c r="D363" s="11"/>
    </row>
    <row r="364" spans="1:4" s="1" customFormat="1" x14ac:dyDescent="0.2">
      <c r="A364" s="11"/>
      <c r="B364" s="17"/>
      <c r="C364" s="11"/>
      <c r="D364" s="11"/>
    </row>
    <row r="365" spans="1:4" s="1" customFormat="1" x14ac:dyDescent="0.2">
      <c r="A365" s="11"/>
      <c r="B365" s="17"/>
      <c r="C365" s="11"/>
      <c r="D365" s="11"/>
    </row>
    <row r="366" spans="1:4" s="1" customFormat="1" x14ac:dyDescent="0.2">
      <c r="A366" s="11"/>
      <c r="B366" s="17"/>
      <c r="C366" s="11"/>
      <c r="D366" s="11"/>
    </row>
    <row r="367" spans="1:4" s="1" customFormat="1" x14ac:dyDescent="0.2">
      <c r="A367" s="11"/>
      <c r="B367" s="17"/>
      <c r="C367" s="11"/>
      <c r="D367" s="11"/>
    </row>
    <row r="368" spans="1:4" s="1" customFormat="1" x14ac:dyDescent="0.2">
      <c r="A368" s="11"/>
      <c r="B368" s="17"/>
      <c r="C368" s="11"/>
      <c r="D368" s="11"/>
    </row>
    <row r="369" spans="1:4" s="1" customFormat="1" x14ac:dyDescent="0.2">
      <c r="A369" s="11"/>
      <c r="B369" s="17"/>
      <c r="C369" s="11"/>
      <c r="D369" s="11"/>
    </row>
    <row r="370" spans="1:4" s="1" customFormat="1" x14ac:dyDescent="0.2">
      <c r="A370" s="11"/>
      <c r="B370" s="17"/>
      <c r="C370" s="11"/>
      <c r="D370" s="11"/>
    </row>
    <row r="371" spans="1:4" s="1" customFormat="1" x14ac:dyDescent="0.2">
      <c r="A371" s="11"/>
      <c r="B371" s="17"/>
      <c r="C371" s="11"/>
      <c r="D371" s="11"/>
    </row>
    <row r="372" spans="1:4" s="1" customFormat="1" x14ac:dyDescent="0.2">
      <c r="A372" s="11"/>
      <c r="B372" s="17"/>
      <c r="C372" s="11"/>
      <c r="D372" s="11"/>
    </row>
    <row r="373" spans="1:4" s="1" customFormat="1" x14ac:dyDescent="0.2">
      <c r="A373" s="11"/>
      <c r="B373" s="17"/>
      <c r="C373" s="11"/>
      <c r="D373" s="11"/>
    </row>
    <row r="374" spans="1:4" s="1" customFormat="1" x14ac:dyDescent="0.2">
      <c r="A374" s="11"/>
      <c r="B374" s="17"/>
      <c r="C374" s="11"/>
      <c r="D374" s="11"/>
    </row>
    <row r="375" spans="1:4" s="1" customFormat="1" x14ac:dyDescent="0.2">
      <c r="A375" s="11"/>
      <c r="B375" s="17"/>
      <c r="C375" s="11"/>
      <c r="D375" s="11"/>
    </row>
    <row r="376" spans="1:4" s="1" customFormat="1" x14ac:dyDescent="0.2">
      <c r="A376" s="11"/>
      <c r="B376" s="17"/>
      <c r="C376" s="11"/>
      <c r="D376" s="11"/>
    </row>
    <row r="377" spans="1:4" s="1" customFormat="1" x14ac:dyDescent="0.2">
      <c r="A377" s="11"/>
      <c r="B377" s="17"/>
      <c r="C377" s="11"/>
      <c r="D377" s="11"/>
    </row>
    <row r="378" spans="1:4" s="1" customFormat="1" x14ac:dyDescent="0.2">
      <c r="A378" s="11"/>
      <c r="B378" s="17"/>
      <c r="C378" s="11"/>
      <c r="D378" s="11"/>
    </row>
    <row r="379" spans="1:4" s="1" customFormat="1" x14ac:dyDescent="0.2">
      <c r="A379" s="11"/>
      <c r="B379" s="17"/>
      <c r="C379" s="11"/>
      <c r="D379" s="11"/>
    </row>
    <row r="380" spans="1:4" s="1" customFormat="1" x14ac:dyDescent="0.2">
      <c r="A380" s="11"/>
      <c r="B380" s="17"/>
      <c r="C380" s="11"/>
      <c r="D380" s="11"/>
    </row>
    <row r="381" spans="1:4" s="1" customFormat="1" x14ac:dyDescent="0.2">
      <c r="A381" s="11"/>
      <c r="B381" s="17"/>
      <c r="C381" s="11"/>
      <c r="D381" s="11"/>
    </row>
    <row r="382" spans="1:4" s="1" customFormat="1" x14ac:dyDescent="0.2">
      <c r="A382" s="11"/>
      <c r="B382" s="17"/>
      <c r="C382" s="11"/>
      <c r="D382" s="11"/>
    </row>
    <row r="383" spans="1:4" s="1" customFormat="1" x14ac:dyDescent="0.2">
      <c r="A383" s="11"/>
      <c r="B383" s="17"/>
      <c r="C383" s="11"/>
      <c r="D383" s="11"/>
    </row>
    <row r="384" spans="1:4" s="1" customFormat="1" x14ac:dyDescent="0.2">
      <c r="A384" s="11"/>
      <c r="B384" s="17"/>
      <c r="C384" s="11"/>
      <c r="D384" s="11"/>
    </row>
    <row r="385" spans="1:4" s="1" customFormat="1" x14ac:dyDescent="0.2">
      <c r="A385" s="11"/>
      <c r="B385" s="17"/>
      <c r="C385" s="11"/>
      <c r="D385" s="11"/>
    </row>
    <row r="386" spans="1:4" s="1" customFormat="1" x14ac:dyDescent="0.2">
      <c r="A386" s="11"/>
      <c r="B386" s="17"/>
      <c r="C386" s="11"/>
      <c r="D386" s="11"/>
    </row>
    <row r="387" spans="1:4" s="1" customFormat="1" x14ac:dyDescent="0.2">
      <c r="A387" s="11"/>
      <c r="B387" s="17"/>
      <c r="C387" s="11"/>
      <c r="D387" s="11"/>
    </row>
    <row r="388" spans="1:4" s="1" customFormat="1" x14ac:dyDescent="0.2">
      <c r="A388" s="11"/>
      <c r="B388" s="17"/>
      <c r="C388" s="11"/>
      <c r="D388" s="11"/>
    </row>
    <row r="389" spans="1:4" s="1" customFormat="1" x14ac:dyDescent="0.2">
      <c r="A389" s="11"/>
      <c r="B389" s="17"/>
      <c r="C389" s="11"/>
      <c r="D389" s="11"/>
    </row>
    <row r="390" spans="1:4" s="1" customFormat="1" x14ac:dyDescent="0.2">
      <c r="A390" s="11"/>
      <c r="B390" s="17"/>
      <c r="C390" s="11"/>
      <c r="D390" s="11"/>
    </row>
    <row r="391" spans="1:4" s="1" customFormat="1" x14ac:dyDescent="0.2">
      <c r="A391" s="11"/>
      <c r="B391" s="17"/>
      <c r="C391" s="11"/>
      <c r="D391" s="11"/>
    </row>
    <row r="392" spans="1:4" s="1" customFormat="1" x14ac:dyDescent="0.2">
      <c r="A392" s="11"/>
      <c r="B392" s="17"/>
      <c r="C392" s="11"/>
      <c r="D392" s="11"/>
    </row>
    <row r="393" spans="1:4" s="1" customFormat="1" x14ac:dyDescent="0.2">
      <c r="A393" s="11"/>
      <c r="B393" s="17"/>
      <c r="C393" s="11"/>
      <c r="D393" s="11"/>
    </row>
    <row r="394" spans="1:4" s="1" customFormat="1" x14ac:dyDescent="0.2">
      <c r="A394" s="11"/>
      <c r="B394" s="17"/>
      <c r="C394" s="11"/>
      <c r="D394" s="11"/>
    </row>
    <row r="395" spans="1:4" s="1" customFormat="1" x14ac:dyDescent="0.2">
      <c r="A395" s="11"/>
      <c r="B395" s="17"/>
      <c r="C395" s="11"/>
      <c r="D395" s="11"/>
    </row>
    <row r="396" spans="1:4" s="1" customFormat="1" x14ac:dyDescent="0.2">
      <c r="A396" s="11"/>
      <c r="B396" s="17"/>
      <c r="C396" s="11"/>
      <c r="D396" s="11"/>
    </row>
    <row r="397" spans="1:4" s="1" customFormat="1" x14ac:dyDescent="0.2">
      <c r="A397" s="11"/>
      <c r="B397" s="17"/>
      <c r="C397" s="11"/>
      <c r="D397" s="11"/>
    </row>
    <row r="398" spans="1:4" s="1" customFormat="1" x14ac:dyDescent="0.2">
      <c r="A398" s="11"/>
      <c r="B398" s="17"/>
      <c r="C398" s="11"/>
      <c r="D398" s="11"/>
    </row>
    <row r="399" spans="1:4" s="1" customFormat="1" x14ac:dyDescent="0.2">
      <c r="A399" s="11"/>
      <c r="B399" s="17"/>
      <c r="C399" s="11"/>
      <c r="D399" s="11"/>
    </row>
    <row r="400" spans="1:4" s="1" customFormat="1" x14ac:dyDescent="0.2">
      <c r="A400" s="11"/>
      <c r="B400" s="17"/>
      <c r="C400" s="11"/>
      <c r="D400" s="11"/>
    </row>
    <row r="401" spans="1:4" s="1" customFormat="1" x14ac:dyDescent="0.2">
      <c r="A401" s="11"/>
      <c r="B401" s="17"/>
      <c r="C401" s="11"/>
      <c r="D401" s="11"/>
    </row>
    <row r="402" spans="1:4" s="1" customFormat="1" x14ac:dyDescent="0.2">
      <c r="A402" s="11"/>
      <c r="B402" s="17"/>
      <c r="C402" s="11"/>
      <c r="D402" s="11"/>
    </row>
    <row r="403" spans="1:4" s="1" customFormat="1" x14ac:dyDescent="0.2">
      <c r="A403" s="11"/>
      <c r="B403" s="17"/>
      <c r="C403" s="11"/>
      <c r="D403" s="11"/>
    </row>
    <row r="404" spans="1:4" s="1" customFormat="1" x14ac:dyDescent="0.2">
      <c r="A404" s="11"/>
      <c r="B404" s="17"/>
      <c r="C404" s="11"/>
      <c r="D404" s="11"/>
    </row>
    <row r="405" spans="1:4" s="1" customFormat="1" x14ac:dyDescent="0.2">
      <c r="A405" s="11"/>
      <c r="B405" s="17"/>
      <c r="C405" s="11"/>
      <c r="D405" s="11"/>
    </row>
    <row r="406" spans="1:4" s="1" customFormat="1" x14ac:dyDescent="0.2">
      <c r="A406" s="11"/>
      <c r="B406" s="17"/>
      <c r="C406" s="11"/>
      <c r="D406" s="11"/>
    </row>
    <row r="407" spans="1:4" s="1" customFormat="1" x14ac:dyDescent="0.2">
      <c r="A407" s="11"/>
      <c r="B407" s="17"/>
      <c r="C407" s="11"/>
      <c r="D407" s="11"/>
    </row>
    <row r="408" spans="1:4" s="1" customFormat="1" x14ac:dyDescent="0.2">
      <c r="A408" s="11"/>
      <c r="B408" s="17"/>
      <c r="C408" s="11"/>
      <c r="D408" s="11"/>
    </row>
    <row r="409" spans="1:4" s="1" customFormat="1" x14ac:dyDescent="0.2">
      <c r="A409" s="11"/>
      <c r="B409" s="17"/>
      <c r="C409" s="11"/>
      <c r="D409" s="11"/>
    </row>
    <row r="410" spans="1:4" s="1" customFormat="1" x14ac:dyDescent="0.2">
      <c r="A410" s="11"/>
      <c r="B410" s="17"/>
      <c r="C410" s="11"/>
      <c r="D410" s="11"/>
    </row>
    <row r="411" spans="1:4" s="1" customFormat="1" x14ac:dyDescent="0.2">
      <c r="A411" s="11"/>
      <c r="B411" s="17"/>
      <c r="C411" s="11"/>
      <c r="D411" s="11"/>
    </row>
    <row r="412" spans="1:4" s="1" customFormat="1" x14ac:dyDescent="0.2">
      <c r="A412" s="11"/>
      <c r="B412" s="17"/>
      <c r="C412" s="11"/>
      <c r="D412" s="11"/>
    </row>
    <row r="413" spans="1:4" s="1" customFormat="1" x14ac:dyDescent="0.2">
      <c r="A413" s="11"/>
      <c r="B413" s="17"/>
      <c r="C413" s="11"/>
      <c r="D413" s="11"/>
    </row>
    <row r="414" spans="1:4" s="1" customFormat="1" x14ac:dyDescent="0.2">
      <c r="A414" s="11"/>
      <c r="B414" s="17"/>
      <c r="C414" s="11"/>
      <c r="D414" s="11"/>
    </row>
    <row r="415" spans="1:4" s="1" customFormat="1" x14ac:dyDescent="0.2">
      <c r="A415" s="11"/>
      <c r="B415" s="17"/>
      <c r="C415" s="11"/>
      <c r="D415" s="11"/>
    </row>
    <row r="416" spans="1:4" s="1" customFormat="1" x14ac:dyDescent="0.2">
      <c r="A416" s="11"/>
      <c r="B416" s="17"/>
      <c r="C416" s="11"/>
      <c r="D416" s="11"/>
    </row>
    <row r="417" spans="1:4" s="1" customFormat="1" x14ac:dyDescent="0.2">
      <c r="A417" s="11"/>
      <c r="B417" s="17"/>
      <c r="C417" s="11"/>
      <c r="D417" s="11"/>
    </row>
    <row r="418" spans="1:4" s="1" customFormat="1" x14ac:dyDescent="0.2">
      <c r="A418" s="11"/>
      <c r="B418" s="17"/>
      <c r="C418" s="11"/>
      <c r="D418" s="11"/>
    </row>
    <row r="419" spans="1:4" s="1" customFormat="1" x14ac:dyDescent="0.2">
      <c r="A419" s="11"/>
      <c r="B419" s="17"/>
      <c r="C419" s="11"/>
      <c r="D419" s="11"/>
    </row>
    <row r="420" spans="1:4" s="1" customFormat="1" x14ac:dyDescent="0.2">
      <c r="A420" s="11"/>
      <c r="B420" s="17"/>
      <c r="C420" s="11"/>
      <c r="D420" s="11"/>
    </row>
    <row r="421" spans="1:4" s="1" customFormat="1" x14ac:dyDescent="0.2">
      <c r="A421" s="11"/>
      <c r="B421" s="17"/>
      <c r="C421" s="11"/>
      <c r="D421" s="11"/>
    </row>
    <row r="422" spans="1:4" s="1" customFormat="1" x14ac:dyDescent="0.2">
      <c r="A422" s="11"/>
      <c r="B422" s="17"/>
      <c r="C422" s="11"/>
      <c r="D422" s="11"/>
    </row>
    <row r="423" spans="1:4" s="1" customFormat="1" x14ac:dyDescent="0.2">
      <c r="A423" s="11"/>
      <c r="B423" s="17"/>
      <c r="C423" s="11"/>
      <c r="D423" s="11"/>
    </row>
    <row r="424" spans="1:4" s="1" customFormat="1" x14ac:dyDescent="0.2">
      <c r="A424" s="11"/>
      <c r="B424" s="17"/>
      <c r="C424" s="11"/>
      <c r="D424" s="11"/>
    </row>
    <row r="425" spans="1:4" s="1" customFormat="1" x14ac:dyDescent="0.2">
      <c r="A425" s="11"/>
      <c r="B425" s="17"/>
      <c r="C425" s="11"/>
      <c r="D425" s="11"/>
    </row>
    <row r="426" spans="1:4" s="1" customFormat="1" x14ac:dyDescent="0.2">
      <c r="A426" s="11"/>
      <c r="B426" s="17"/>
      <c r="C426" s="11"/>
      <c r="D426" s="11"/>
    </row>
    <row r="427" spans="1:4" s="1" customFormat="1" x14ac:dyDescent="0.2">
      <c r="A427" s="11"/>
      <c r="B427" s="17"/>
      <c r="C427" s="11"/>
      <c r="D427" s="11"/>
    </row>
    <row r="428" spans="1:4" s="1" customFormat="1" x14ac:dyDescent="0.2">
      <c r="A428" s="11"/>
      <c r="B428" s="17"/>
      <c r="C428" s="11"/>
      <c r="D428" s="11"/>
    </row>
    <row r="429" spans="1:4" s="1" customFormat="1" x14ac:dyDescent="0.2">
      <c r="A429" s="11"/>
      <c r="B429" s="17"/>
      <c r="C429" s="11"/>
      <c r="D429" s="11"/>
    </row>
    <row r="430" spans="1:4" s="1" customFormat="1" x14ac:dyDescent="0.2">
      <c r="A430" s="11"/>
      <c r="B430" s="17"/>
      <c r="C430" s="11"/>
      <c r="D430" s="11"/>
    </row>
    <row r="431" spans="1:4" s="1" customFormat="1" x14ac:dyDescent="0.2">
      <c r="A431" s="11"/>
      <c r="B431" s="17"/>
      <c r="C431" s="11"/>
      <c r="D431" s="11"/>
    </row>
    <row r="432" spans="1:4" s="1" customFormat="1" x14ac:dyDescent="0.2">
      <c r="A432" s="11"/>
      <c r="B432" s="17"/>
      <c r="C432" s="11"/>
      <c r="D432" s="11"/>
    </row>
    <row r="433" spans="1:4" s="1" customFormat="1" x14ac:dyDescent="0.2">
      <c r="A433" s="11"/>
      <c r="B433" s="17"/>
      <c r="C433" s="11"/>
      <c r="D433" s="11"/>
    </row>
    <row r="434" spans="1:4" s="1" customFormat="1" x14ac:dyDescent="0.2">
      <c r="A434" s="11"/>
      <c r="B434" s="17"/>
      <c r="C434" s="11"/>
      <c r="D434" s="11"/>
    </row>
    <row r="435" spans="1:4" s="1" customFormat="1" x14ac:dyDescent="0.2">
      <c r="A435" s="11"/>
      <c r="B435" s="17"/>
      <c r="C435" s="11"/>
      <c r="D435" s="11"/>
    </row>
    <row r="436" spans="1:4" s="1" customFormat="1" x14ac:dyDescent="0.2">
      <c r="A436" s="11"/>
      <c r="B436" s="17"/>
      <c r="C436" s="11"/>
      <c r="D436" s="11"/>
    </row>
    <row r="437" spans="1:4" s="1" customFormat="1" x14ac:dyDescent="0.2">
      <c r="A437" s="11"/>
      <c r="B437" s="17"/>
      <c r="C437" s="11"/>
      <c r="D437" s="11"/>
    </row>
    <row r="438" spans="1:4" s="1" customFormat="1" x14ac:dyDescent="0.2">
      <c r="A438" s="11"/>
      <c r="B438" s="17"/>
      <c r="C438" s="11"/>
      <c r="D438" s="11"/>
    </row>
    <row r="439" spans="1:4" s="1" customFormat="1" x14ac:dyDescent="0.2">
      <c r="A439" s="11"/>
      <c r="B439" s="17"/>
      <c r="C439" s="11"/>
      <c r="D439" s="11"/>
    </row>
    <row r="440" spans="1:4" s="1" customFormat="1" x14ac:dyDescent="0.2">
      <c r="A440" s="11"/>
      <c r="B440" s="17"/>
      <c r="C440" s="11"/>
      <c r="D440" s="11"/>
    </row>
    <row r="441" spans="1:4" s="1" customFormat="1" x14ac:dyDescent="0.2">
      <c r="A441" s="11"/>
      <c r="B441" s="17"/>
      <c r="C441" s="11"/>
      <c r="D441" s="11"/>
    </row>
    <row r="442" spans="1:4" s="1" customFormat="1" x14ac:dyDescent="0.2">
      <c r="A442" s="11"/>
      <c r="B442" s="17"/>
      <c r="C442" s="11"/>
      <c r="D442" s="11"/>
    </row>
    <row r="443" spans="1:4" s="1" customFormat="1" x14ac:dyDescent="0.2">
      <c r="A443" s="11"/>
      <c r="B443" s="17"/>
      <c r="C443" s="11"/>
      <c r="D443" s="11"/>
    </row>
    <row r="444" spans="1:4" s="1" customFormat="1" x14ac:dyDescent="0.2">
      <c r="A444" s="11"/>
      <c r="B444" s="17"/>
      <c r="C444" s="11"/>
      <c r="D444" s="11"/>
    </row>
    <row r="445" spans="1:4" s="1" customFormat="1" x14ac:dyDescent="0.2">
      <c r="A445" s="11"/>
      <c r="B445" s="17"/>
      <c r="C445" s="11"/>
      <c r="D445" s="11"/>
    </row>
    <row r="446" spans="1:4" s="1" customFormat="1" x14ac:dyDescent="0.2">
      <c r="A446" s="11"/>
      <c r="B446" s="17"/>
      <c r="C446" s="11"/>
      <c r="D446" s="11"/>
    </row>
    <row r="447" spans="1:4" s="1" customFormat="1" x14ac:dyDescent="0.2">
      <c r="A447" s="11"/>
      <c r="B447" s="17"/>
      <c r="C447" s="11"/>
      <c r="D447" s="11"/>
    </row>
    <row r="448" spans="1:4" s="1" customFormat="1" x14ac:dyDescent="0.2">
      <c r="A448" s="11"/>
      <c r="B448" s="17"/>
      <c r="C448" s="11"/>
      <c r="D448" s="11"/>
    </row>
    <row r="449" spans="1:4" s="1" customFormat="1" x14ac:dyDescent="0.2">
      <c r="A449" s="11"/>
      <c r="B449" s="17"/>
      <c r="C449" s="11"/>
      <c r="D449" s="11"/>
    </row>
    <row r="450" spans="1:4" s="1" customFormat="1" x14ac:dyDescent="0.2">
      <c r="A450" s="11"/>
      <c r="B450" s="17"/>
      <c r="C450" s="11"/>
      <c r="D450" s="11"/>
    </row>
    <row r="451" spans="1:4" s="1" customFormat="1" x14ac:dyDescent="0.2">
      <c r="A451" s="11"/>
      <c r="B451" s="17"/>
      <c r="C451" s="11"/>
      <c r="D451" s="11"/>
    </row>
    <row r="452" spans="1:4" s="1" customFormat="1" x14ac:dyDescent="0.2">
      <c r="A452" s="11"/>
      <c r="B452" s="17"/>
      <c r="C452" s="11"/>
      <c r="D452" s="11"/>
    </row>
    <row r="453" spans="1:4" s="1" customFormat="1" x14ac:dyDescent="0.2">
      <c r="A453" s="11"/>
      <c r="B453" s="17"/>
      <c r="C453" s="11"/>
      <c r="D453" s="11"/>
    </row>
    <row r="454" spans="1:4" s="1" customFormat="1" x14ac:dyDescent="0.2">
      <c r="A454" s="11"/>
      <c r="B454" s="17"/>
      <c r="C454" s="11"/>
      <c r="D454" s="11"/>
    </row>
    <row r="455" spans="1:4" s="1" customFormat="1" x14ac:dyDescent="0.2">
      <c r="A455" s="11"/>
      <c r="B455" s="17"/>
      <c r="C455" s="11"/>
      <c r="D455" s="11"/>
    </row>
    <row r="456" spans="1:4" s="1" customFormat="1" x14ac:dyDescent="0.2">
      <c r="A456" s="11"/>
      <c r="B456" s="17"/>
      <c r="C456" s="11"/>
      <c r="D456" s="11"/>
    </row>
    <row r="457" spans="1:4" s="1" customFormat="1" x14ac:dyDescent="0.2">
      <c r="A457" s="11"/>
      <c r="B457" s="17"/>
      <c r="C457" s="11"/>
      <c r="D457" s="11"/>
    </row>
    <row r="458" spans="1:4" s="1" customFormat="1" x14ac:dyDescent="0.2">
      <c r="A458" s="11"/>
      <c r="B458" s="17"/>
      <c r="C458" s="11"/>
      <c r="D458" s="11"/>
    </row>
    <row r="459" spans="1:4" s="1" customFormat="1" x14ac:dyDescent="0.2">
      <c r="A459" s="11"/>
      <c r="B459" s="17"/>
      <c r="C459" s="11"/>
      <c r="D459" s="11"/>
    </row>
    <row r="460" spans="1:4" s="1" customFormat="1" x14ac:dyDescent="0.2">
      <c r="A460" s="11"/>
      <c r="B460" s="17"/>
      <c r="C460" s="11"/>
      <c r="D460" s="11"/>
    </row>
    <row r="461" spans="1:4" s="1" customFormat="1" x14ac:dyDescent="0.2">
      <c r="A461" s="11"/>
      <c r="B461" s="17"/>
      <c r="C461" s="11"/>
      <c r="D461" s="11"/>
    </row>
    <row r="462" spans="1:4" s="1" customFormat="1" x14ac:dyDescent="0.2">
      <c r="A462" s="11"/>
      <c r="B462" s="17"/>
      <c r="C462" s="11"/>
      <c r="D462" s="11"/>
    </row>
    <row r="463" spans="1:4" s="1" customFormat="1" x14ac:dyDescent="0.2">
      <c r="A463" s="11"/>
      <c r="B463" s="17"/>
      <c r="C463" s="11"/>
      <c r="D463" s="11"/>
    </row>
    <row r="464" spans="1:4" s="1" customFormat="1" x14ac:dyDescent="0.2">
      <c r="A464" s="11"/>
      <c r="B464" s="17"/>
      <c r="C464" s="11"/>
      <c r="D464" s="11"/>
    </row>
    <row r="465" spans="1:4" s="1" customFormat="1" x14ac:dyDescent="0.2">
      <c r="A465" s="11"/>
      <c r="B465" s="17"/>
      <c r="C465" s="11"/>
      <c r="D465" s="11"/>
    </row>
    <row r="466" spans="1:4" s="1" customFormat="1" x14ac:dyDescent="0.2">
      <c r="A466" s="11"/>
      <c r="B466" s="17"/>
      <c r="C466" s="11"/>
      <c r="D466" s="11"/>
    </row>
    <row r="467" spans="1:4" s="1" customFormat="1" x14ac:dyDescent="0.2">
      <c r="A467" s="11"/>
      <c r="B467" s="17"/>
      <c r="C467" s="11"/>
      <c r="D467" s="11"/>
    </row>
    <row r="468" spans="1:4" s="1" customFormat="1" x14ac:dyDescent="0.2">
      <c r="A468" s="11"/>
      <c r="B468" s="17"/>
      <c r="C468" s="11"/>
      <c r="D468" s="11"/>
    </row>
    <row r="469" spans="1:4" s="1" customFormat="1" x14ac:dyDescent="0.2">
      <c r="A469" s="11"/>
      <c r="B469" s="17"/>
      <c r="C469" s="11"/>
      <c r="D469" s="11"/>
    </row>
    <row r="470" spans="1:4" s="1" customFormat="1" x14ac:dyDescent="0.2">
      <c r="A470" s="11"/>
      <c r="B470" s="17"/>
      <c r="C470" s="11"/>
      <c r="D470" s="11"/>
    </row>
    <row r="471" spans="1:4" s="1" customFormat="1" x14ac:dyDescent="0.2">
      <c r="A471" s="11"/>
      <c r="B471" s="17"/>
      <c r="C471" s="11"/>
      <c r="D471" s="11"/>
    </row>
    <row r="472" spans="1:4" s="1" customFormat="1" x14ac:dyDescent="0.2">
      <c r="A472" s="11"/>
      <c r="B472" s="17"/>
      <c r="C472" s="11"/>
      <c r="D472" s="11"/>
    </row>
    <row r="473" spans="1:4" s="1" customFormat="1" x14ac:dyDescent="0.2">
      <c r="A473" s="11"/>
      <c r="B473" s="17"/>
      <c r="C473" s="11"/>
      <c r="D473" s="11"/>
    </row>
    <row r="474" spans="1:4" s="1" customFormat="1" x14ac:dyDescent="0.2">
      <c r="A474" s="11"/>
      <c r="B474" s="17"/>
      <c r="C474" s="11"/>
      <c r="D474" s="11"/>
    </row>
    <row r="475" spans="1:4" s="1" customFormat="1" x14ac:dyDescent="0.2">
      <c r="A475" s="11"/>
      <c r="B475" s="17"/>
      <c r="C475" s="11"/>
      <c r="D475" s="11"/>
    </row>
    <row r="476" spans="1:4" s="1" customFormat="1" x14ac:dyDescent="0.2">
      <c r="A476" s="11"/>
      <c r="B476" s="17"/>
      <c r="C476" s="11"/>
      <c r="D476" s="11"/>
    </row>
    <row r="477" spans="1:4" s="1" customFormat="1" x14ac:dyDescent="0.2">
      <c r="A477" s="11"/>
      <c r="B477" s="17"/>
      <c r="C477" s="11"/>
      <c r="D477" s="11"/>
    </row>
    <row r="478" spans="1:4" s="1" customFormat="1" x14ac:dyDescent="0.2">
      <c r="A478" s="11"/>
      <c r="B478" s="17"/>
      <c r="C478" s="11"/>
      <c r="D478" s="11"/>
    </row>
    <row r="479" spans="1:4" s="1" customFormat="1" x14ac:dyDescent="0.2">
      <c r="A479" s="11"/>
      <c r="B479" s="17"/>
      <c r="C479" s="11"/>
      <c r="D479" s="11"/>
    </row>
    <row r="480" spans="1:4" s="1" customFormat="1" x14ac:dyDescent="0.2">
      <c r="A480" s="11"/>
      <c r="B480" s="17"/>
      <c r="C480" s="11"/>
      <c r="D480" s="11"/>
    </row>
    <row r="481" spans="1:4" s="1" customFormat="1" x14ac:dyDescent="0.2">
      <c r="A481" s="11"/>
      <c r="B481" s="17"/>
      <c r="C481" s="11"/>
      <c r="D481" s="11"/>
    </row>
    <row r="482" spans="1:4" s="1" customFormat="1" x14ac:dyDescent="0.2">
      <c r="A482" s="11"/>
      <c r="B482" s="17"/>
      <c r="C482" s="11"/>
      <c r="D482" s="11"/>
    </row>
    <row r="483" spans="1:4" s="1" customFormat="1" x14ac:dyDescent="0.2">
      <c r="A483" s="11"/>
      <c r="B483" s="17"/>
      <c r="C483" s="11"/>
      <c r="D483" s="11"/>
    </row>
    <row r="484" spans="1:4" s="1" customFormat="1" x14ac:dyDescent="0.2">
      <c r="A484" s="11"/>
      <c r="B484" s="17"/>
      <c r="C484" s="11"/>
      <c r="D484" s="11"/>
    </row>
    <row r="485" spans="1:4" s="1" customFormat="1" x14ac:dyDescent="0.2">
      <c r="A485" s="11"/>
      <c r="B485" s="17"/>
      <c r="C485" s="11"/>
      <c r="D485" s="11"/>
    </row>
    <row r="486" spans="1:4" s="1" customFormat="1" x14ac:dyDescent="0.2">
      <c r="A486" s="11"/>
      <c r="B486" s="17"/>
      <c r="C486" s="11"/>
      <c r="D486" s="11"/>
    </row>
    <row r="487" spans="1:4" s="1" customFormat="1" x14ac:dyDescent="0.2">
      <c r="A487" s="11"/>
      <c r="B487" s="17"/>
      <c r="C487" s="11"/>
      <c r="D487" s="11"/>
    </row>
    <row r="488" spans="1:4" s="1" customFormat="1" x14ac:dyDescent="0.2">
      <c r="A488" s="11"/>
      <c r="B488" s="17"/>
      <c r="C488" s="11"/>
      <c r="D488" s="11"/>
    </row>
    <row r="489" spans="1:4" s="1" customFormat="1" x14ac:dyDescent="0.2">
      <c r="A489" s="11"/>
      <c r="B489" s="17"/>
      <c r="C489" s="11"/>
      <c r="D489" s="11"/>
    </row>
    <row r="490" spans="1:4" s="1" customFormat="1" x14ac:dyDescent="0.2">
      <c r="A490" s="11"/>
      <c r="B490" s="17"/>
      <c r="C490" s="11"/>
      <c r="D490" s="11"/>
    </row>
    <row r="491" spans="1:4" s="1" customFormat="1" x14ac:dyDescent="0.2">
      <c r="A491" s="11"/>
      <c r="B491" s="17"/>
      <c r="C491" s="11"/>
      <c r="D491" s="11"/>
    </row>
    <row r="492" spans="1:4" s="1" customFormat="1" x14ac:dyDescent="0.2">
      <c r="A492" s="11"/>
      <c r="B492" s="17"/>
      <c r="C492" s="11"/>
      <c r="D492" s="11"/>
    </row>
    <row r="493" spans="1:4" s="1" customFormat="1" x14ac:dyDescent="0.2">
      <c r="A493" s="11"/>
      <c r="B493" s="17"/>
      <c r="C493" s="11"/>
      <c r="D493" s="11"/>
    </row>
    <row r="494" spans="1:4" s="1" customFormat="1" x14ac:dyDescent="0.2">
      <c r="A494" s="11"/>
      <c r="B494" s="17"/>
      <c r="C494" s="11"/>
      <c r="D494" s="11"/>
    </row>
    <row r="495" spans="1:4" s="1" customFormat="1" x14ac:dyDescent="0.2">
      <c r="A495" s="11"/>
      <c r="B495" s="17"/>
      <c r="C495" s="11"/>
      <c r="D495" s="11"/>
    </row>
    <row r="496" spans="1:4" s="1" customFormat="1" x14ac:dyDescent="0.2">
      <c r="A496" s="11"/>
      <c r="B496" s="17"/>
      <c r="C496" s="11"/>
      <c r="D496" s="11"/>
    </row>
    <row r="497" spans="1:4" s="1" customFormat="1" x14ac:dyDescent="0.2">
      <c r="A497" s="11"/>
      <c r="B497" s="17"/>
      <c r="C497" s="11"/>
      <c r="D497" s="11"/>
    </row>
    <row r="498" spans="1:4" s="1" customFormat="1" x14ac:dyDescent="0.2">
      <c r="A498" s="11"/>
      <c r="B498" s="17"/>
      <c r="C498" s="11"/>
      <c r="D498" s="11"/>
    </row>
    <row r="499" spans="1:4" s="1" customFormat="1" x14ac:dyDescent="0.2">
      <c r="A499" s="11"/>
      <c r="B499" s="17"/>
      <c r="C499" s="11"/>
      <c r="D499" s="11"/>
    </row>
    <row r="500" spans="1:4" s="1" customFormat="1" x14ac:dyDescent="0.2">
      <c r="A500" s="11"/>
      <c r="B500" s="17"/>
      <c r="C500" s="11"/>
      <c r="D500" s="11"/>
    </row>
    <row r="501" spans="1:4" s="1" customFormat="1" x14ac:dyDescent="0.2">
      <c r="A501" s="11"/>
      <c r="B501" s="17"/>
      <c r="C501" s="11"/>
      <c r="D501" s="11"/>
    </row>
    <row r="502" spans="1:4" s="1" customFormat="1" x14ac:dyDescent="0.2">
      <c r="A502" s="11"/>
      <c r="B502" s="17"/>
      <c r="C502" s="11"/>
      <c r="D502" s="11"/>
    </row>
    <row r="503" spans="1:4" s="1" customFormat="1" x14ac:dyDescent="0.2">
      <c r="A503" s="11"/>
      <c r="B503" s="17"/>
      <c r="C503" s="11"/>
      <c r="D503" s="11"/>
    </row>
    <row r="504" spans="1:4" s="1" customFormat="1" x14ac:dyDescent="0.2">
      <c r="A504" s="11"/>
      <c r="B504" s="17"/>
      <c r="C504" s="11"/>
      <c r="D504" s="11"/>
    </row>
    <row r="505" spans="1:4" s="1" customFormat="1" x14ac:dyDescent="0.2">
      <c r="A505" s="11"/>
      <c r="B505" s="17"/>
      <c r="C505" s="11"/>
      <c r="D505" s="11"/>
    </row>
    <row r="506" spans="1:4" s="1" customFormat="1" x14ac:dyDescent="0.2">
      <c r="A506" s="11"/>
      <c r="B506" s="17"/>
      <c r="C506" s="11"/>
      <c r="D506" s="11"/>
    </row>
    <row r="507" spans="1:4" s="1" customFormat="1" x14ac:dyDescent="0.2">
      <c r="A507" s="11"/>
      <c r="B507" s="17"/>
      <c r="C507" s="11"/>
      <c r="D507" s="11"/>
    </row>
    <row r="508" spans="1:4" s="1" customFormat="1" x14ac:dyDescent="0.2">
      <c r="A508" s="11"/>
      <c r="B508" s="17"/>
      <c r="C508" s="11"/>
      <c r="D508" s="11"/>
    </row>
    <row r="509" spans="1:4" s="1" customFormat="1" x14ac:dyDescent="0.2">
      <c r="A509" s="11"/>
      <c r="B509" s="17"/>
      <c r="C509" s="11"/>
      <c r="D509" s="11"/>
    </row>
    <row r="510" spans="1:4" x14ac:dyDescent="0.2">
      <c r="A510" s="11"/>
      <c r="B510" s="17"/>
      <c r="C510" s="11"/>
      <c r="D510" s="11"/>
    </row>
    <row r="511" spans="1:4" x14ac:dyDescent="0.2">
      <c r="A511" s="11"/>
      <c r="B511" s="17"/>
      <c r="C511" s="11"/>
      <c r="D511" s="11"/>
    </row>
    <row r="512" spans="1:4" x14ac:dyDescent="0.2">
      <c r="A512" s="11"/>
      <c r="B512" s="17"/>
      <c r="C512" s="11"/>
      <c r="D512" s="11"/>
    </row>
    <row r="513" spans="1:4" x14ac:dyDescent="0.2">
      <c r="A513" s="11"/>
      <c r="B513" s="17"/>
      <c r="C513" s="11"/>
      <c r="D513" s="11"/>
    </row>
    <row r="514" spans="1:4" x14ac:dyDescent="0.2">
      <c r="A514" s="11"/>
      <c r="B514" s="17"/>
      <c r="C514" s="11"/>
      <c r="D514" s="11"/>
    </row>
    <row r="515" spans="1:4" x14ac:dyDescent="0.2">
      <c r="A515" s="11"/>
      <c r="B515" s="17"/>
      <c r="C515" s="11"/>
      <c r="D515" s="11"/>
    </row>
    <row r="516" spans="1:4" x14ac:dyDescent="0.2">
      <c r="A516" s="11"/>
      <c r="B516" s="17"/>
      <c r="C516" s="11"/>
      <c r="D516" s="11"/>
    </row>
    <row r="517" spans="1:4" x14ac:dyDescent="0.2">
      <c r="A517" s="11"/>
      <c r="B517" s="17"/>
      <c r="C517" s="11"/>
      <c r="D517" s="11"/>
    </row>
    <row r="518" spans="1:4" x14ac:dyDescent="0.2">
      <c r="A518" s="11"/>
      <c r="B518" s="17"/>
      <c r="C518" s="11"/>
      <c r="D518" s="11"/>
    </row>
    <row r="519" spans="1:4" x14ac:dyDescent="0.2">
      <c r="A519" s="11"/>
      <c r="B519" s="17"/>
      <c r="C519" s="11"/>
      <c r="D519" s="11"/>
    </row>
    <row r="520" spans="1:4" x14ac:dyDescent="0.2">
      <c r="A520" s="11"/>
      <c r="B520" s="17"/>
      <c r="C520" s="11"/>
      <c r="D520" s="11"/>
    </row>
    <row r="521" spans="1:4" x14ac:dyDescent="0.2">
      <c r="A521" s="11"/>
      <c r="B521" s="17"/>
      <c r="C521" s="11"/>
      <c r="D521" s="11"/>
    </row>
    <row r="522" spans="1:4" x14ac:dyDescent="0.2">
      <c r="A522" s="11"/>
      <c r="B522" s="17"/>
      <c r="C522" s="11"/>
      <c r="D522" s="11"/>
    </row>
    <row r="523" spans="1:4" x14ac:dyDescent="0.2">
      <c r="A523" s="11"/>
      <c r="B523" s="17"/>
      <c r="C523" s="11"/>
      <c r="D523" s="11"/>
    </row>
    <row r="524" spans="1:4" x14ac:dyDescent="0.2">
      <c r="A524" s="11"/>
      <c r="B524" s="17"/>
      <c r="C524" s="11"/>
      <c r="D524" s="11"/>
    </row>
    <row r="525" spans="1:4" x14ac:dyDescent="0.2">
      <c r="A525" s="11"/>
      <c r="B525" s="17"/>
      <c r="C525" s="11"/>
      <c r="D525" s="11"/>
    </row>
    <row r="526" spans="1:4" x14ac:dyDescent="0.2">
      <c r="A526" s="11"/>
      <c r="B526" s="17"/>
      <c r="C526" s="11"/>
      <c r="D526" s="11"/>
    </row>
    <row r="527" spans="1:4" x14ac:dyDescent="0.2">
      <c r="A527" s="11"/>
      <c r="B527" s="17"/>
      <c r="C527" s="11"/>
      <c r="D527" s="11"/>
    </row>
    <row r="528" spans="1:4" x14ac:dyDescent="0.2">
      <c r="A528" s="11"/>
      <c r="B528" s="17"/>
      <c r="C528" s="11"/>
      <c r="D528" s="11"/>
    </row>
    <row r="529" spans="1:4" x14ac:dyDescent="0.2">
      <c r="A529" s="11"/>
      <c r="B529" s="17"/>
      <c r="C529" s="11"/>
      <c r="D529" s="11"/>
    </row>
    <row r="530" spans="1:4" x14ac:dyDescent="0.2">
      <c r="A530" s="11"/>
      <c r="B530" s="17"/>
      <c r="C530" s="11"/>
      <c r="D530" s="11"/>
    </row>
    <row r="531" spans="1:4" x14ac:dyDescent="0.2">
      <c r="A531" s="11"/>
      <c r="B531" s="17"/>
      <c r="C531" s="11"/>
      <c r="D531" s="11"/>
    </row>
    <row r="532" spans="1:4" x14ac:dyDescent="0.2">
      <c r="A532" s="11"/>
      <c r="B532" s="17"/>
      <c r="C532" s="11"/>
      <c r="D532" s="11"/>
    </row>
    <row r="533" spans="1:4" x14ac:dyDescent="0.2">
      <c r="A533" s="11"/>
      <c r="B533" s="17"/>
      <c r="C533" s="11"/>
      <c r="D533" s="11"/>
    </row>
    <row r="534" spans="1:4" x14ac:dyDescent="0.2">
      <c r="A534" s="11"/>
      <c r="B534" s="17"/>
      <c r="C534" s="11"/>
      <c r="D534" s="11"/>
    </row>
  </sheetData>
  <conditionalFormatting sqref="C8:C362">
    <cfRule type="colorScale" priority="42">
      <colorScale>
        <cfvo type="min"/>
        <cfvo type="percentile" val="50"/>
        <cfvo type="max"/>
        <color rgb="FFF8696B"/>
        <color rgb="FFFFEB84"/>
        <color rgb="FF63BE7B"/>
      </colorScale>
    </cfRule>
  </conditionalFormatting>
  <conditionalFormatting sqref="D19:D362">
    <cfRule type="colorScale" priority="43">
      <colorScale>
        <cfvo type="min"/>
        <cfvo type="percentile" val="50"/>
        <cfvo type="max"/>
        <color rgb="FFF8696B"/>
        <color rgb="FFFFEB84"/>
        <color rgb="FF63BE7B"/>
      </colorScale>
    </cfRule>
  </conditionalFormatting>
  <hyperlinks>
    <hyperlink ref="A2" r:id="rId1" xr:uid="{00000000-0004-0000-0400-000000000000}"/>
  </hyperlinks>
  <pageMargins left="0.7" right="0.7" top="0.75" bottom="0.75" header="0.3" footer="0.3"/>
  <pageSetup paperSize="9" orientation="portrait" r:id="rId2"/>
  <drawing r:id="rId3"/>
  <tableParts count="1">
    <tablePart r:id="rId4"/>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BA800"/>
  <sheetViews>
    <sheetView zoomScale="160" zoomScaleNormal="160" workbookViewId="0">
      <pane ySplit="6" topLeftCell="A330" activePane="bottomLeft" state="frozen"/>
      <selection pane="bottomLeft" activeCell="A363" sqref="A363"/>
    </sheetView>
  </sheetViews>
  <sheetFormatPr baseColWidth="10" defaultColWidth="8.83203125" defaultRowHeight="15" x14ac:dyDescent="0.2"/>
  <cols>
    <col min="1" max="1" width="14" customWidth="1"/>
    <col min="2" max="2" width="23.6640625" style="26" customWidth="1"/>
    <col min="3" max="3" width="14.33203125" customWidth="1"/>
    <col min="4" max="4" width="14.1640625" customWidth="1"/>
    <col min="5" max="5" width="14.1640625" style="1" customWidth="1"/>
    <col min="6" max="53" width="9.1640625" style="1"/>
  </cols>
  <sheetData>
    <row r="1" spans="1:10" s="1" customFormat="1" x14ac:dyDescent="0.2">
      <c r="A1" s="23" t="s">
        <v>58</v>
      </c>
      <c r="B1" s="27" t="s">
        <v>59</v>
      </c>
      <c r="I1" s="24"/>
      <c r="J1" s="24"/>
    </row>
    <row r="2" spans="1:10" s="1" customFormat="1" x14ac:dyDescent="0.2">
      <c r="A2" s="2" t="s">
        <v>60</v>
      </c>
      <c r="B2" s="25"/>
    </row>
    <row r="3" spans="1:10" s="1" customFormat="1" x14ac:dyDescent="0.2">
      <c r="A3" s="2"/>
      <c r="B3" s="25"/>
    </row>
    <row r="4" spans="1:10" s="1" customFormat="1" x14ac:dyDescent="0.2">
      <c r="A4" s="2"/>
      <c r="B4" s="25"/>
    </row>
    <row r="5" spans="1:10" s="1" customFormat="1" ht="16" thickBot="1" x14ac:dyDescent="0.25">
      <c r="B5" s="25"/>
      <c r="I5" s="24"/>
      <c r="J5" s="24"/>
    </row>
    <row r="6" spans="1:10" ht="45.75" customHeight="1" thickBot="1" x14ac:dyDescent="0.25">
      <c r="A6" s="93" t="s">
        <v>2</v>
      </c>
      <c r="B6" s="94" t="s">
        <v>103</v>
      </c>
      <c r="C6" s="95" t="s">
        <v>90</v>
      </c>
      <c r="D6" s="96" t="s">
        <v>91</v>
      </c>
      <c r="I6" s="24"/>
      <c r="J6" s="24"/>
    </row>
    <row r="7" spans="1:10" x14ac:dyDescent="0.2">
      <c r="A7" s="20">
        <v>33604</v>
      </c>
      <c r="B7" s="21">
        <f>VLOOKUP(A7,Database!A:M,MATCH($A$1,Database!$A$1:$M$1,),)</f>
        <v>130617</v>
      </c>
      <c r="C7" s="22"/>
      <c r="D7" s="22"/>
    </row>
    <row r="8" spans="1:10" x14ac:dyDescent="0.2">
      <c r="A8" s="14">
        <v>33635</v>
      </c>
      <c r="B8" s="18">
        <f>VLOOKUP(A8,Database!A:M,MATCH($A$1,Database!$A$1:$M$1,),)</f>
        <v>130396</v>
      </c>
      <c r="C8" s="15">
        <f>(B8-B7)/B7</f>
        <v>-1.6919696517298667E-3</v>
      </c>
      <c r="D8" s="3"/>
    </row>
    <row r="9" spans="1:10" x14ac:dyDescent="0.2">
      <c r="A9" s="13">
        <v>33664</v>
      </c>
      <c r="B9" s="18">
        <f>VLOOKUP(A9,Database!A:M,MATCH($A$1,Database!$A$1:$M$1,),)</f>
        <v>130385</v>
      </c>
      <c r="C9" s="15">
        <f t="shared" ref="C9:C72" si="0">(B9-B8)/B8</f>
        <v>-8.4358415902328291E-5</v>
      </c>
      <c r="D9" s="3"/>
    </row>
    <row r="10" spans="1:10" x14ac:dyDescent="0.2">
      <c r="A10" s="14">
        <v>33695</v>
      </c>
      <c r="B10" s="18">
        <f>VLOOKUP(A10,Database!A:M,MATCH($A$1,Database!$A$1:$M$1,),)</f>
        <v>130933</v>
      </c>
      <c r="C10" s="15">
        <f t="shared" si="0"/>
        <v>4.2029374544617863E-3</v>
      </c>
      <c r="D10" s="3"/>
    </row>
    <row r="11" spans="1:10" x14ac:dyDescent="0.2">
      <c r="A11" s="13">
        <v>33725</v>
      </c>
      <c r="B11" s="18">
        <f>VLOOKUP(A11,Database!A:M,MATCH($A$1,Database!$A$1:$M$1,),)</f>
        <v>131255</v>
      </c>
      <c r="C11" s="15">
        <f t="shared" si="0"/>
        <v>2.4592730633224628E-3</v>
      </c>
      <c r="D11" s="3"/>
    </row>
    <row r="12" spans="1:10" x14ac:dyDescent="0.2">
      <c r="A12" s="14">
        <v>33756</v>
      </c>
      <c r="B12" s="18">
        <f>VLOOKUP(A12,Database!A:M,MATCH($A$1,Database!$A$1:$M$1,),)</f>
        <v>131296</v>
      </c>
      <c r="C12" s="15">
        <f t="shared" si="0"/>
        <v>3.1236905260751969E-4</v>
      </c>
      <c r="D12" s="3"/>
    </row>
    <row r="13" spans="1:10" x14ac:dyDescent="0.2">
      <c r="A13" s="13">
        <v>33786</v>
      </c>
      <c r="B13" s="18">
        <f>VLOOKUP(A13,Database!A:M,MATCH($A$1,Database!$A$1:$M$1,),)</f>
        <v>132058</v>
      </c>
      <c r="C13" s="15">
        <f t="shared" si="0"/>
        <v>5.8036802339751399E-3</v>
      </c>
      <c r="D13" s="3"/>
    </row>
    <row r="14" spans="1:10" x14ac:dyDescent="0.2">
      <c r="A14" s="14">
        <v>33817</v>
      </c>
      <c r="B14" s="18">
        <f>VLOOKUP(A14,Database!A:M,MATCH($A$1,Database!$A$1:$M$1,),)</f>
        <v>133215</v>
      </c>
      <c r="C14" s="15">
        <f t="shared" si="0"/>
        <v>8.761301852216451E-3</v>
      </c>
      <c r="D14" s="3"/>
    </row>
    <row r="15" spans="1:10" x14ac:dyDescent="0.2">
      <c r="A15" s="13">
        <v>33848</v>
      </c>
      <c r="B15" s="18">
        <f>VLOOKUP(A15,Database!A:M,MATCH($A$1,Database!$A$1:$M$1,),)</f>
        <v>133510</v>
      </c>
      <c r="C15" s="15">
        <f t="shared" si="0"/>
        <v>2.2144653379874641E-3</v>
      </c>
      <c r="D15" s="3"/>
    </row>
    <row r="16" spans="1:10" x14ac:dyDescent="0.2">
      <c r="A16" s="14">
        <v>33878</v>
      </c>
      <c r="B16" s="18">
        <f>VLOOKUP(A16,Database!A:M,MATCH($A$1,Database!$A$1:$M$1,),)</f>
        <v>134653</v>
      </c>
      <c r="C16" s="15">
        <f t="shared" si="0"/>
        <v>8.5611564676803236E-3</v>
      </c>
      <c r="D16" s="3"/>
    </row>
    <row r="17" spans="1:4" x14ac:dyDescent="0.2">
      <c r="A17" s="13">
        <v>33909</v>
      </c>
      <c r="B17" s="18">
        <f>VLOOKUP(A17,Database!A:M,MATCH($A$1,Database!$A$1:$M$1,),)</f>
        <v>135075</v>
      </c>
      <c r="C17" s="15">
        <f t="shared" si="0"/>
        <v>3.1339814189063741E-3</v>
      </c>
      <c r="D17" s="3"/>
    </row>
    <row r="18" spans="1:4" x14ac:dyDescent="0.2">
      <c r="A18" s="14">
        <v>33939</v>
      </c>
      <c r="B18" s="18">
        <f>VLOOKUP(A18,Database!A:M,MATCH($A$1,Database!$A$1:$M$1,),)</f>
        <v>136833</v>
      </c>
      <c r="C18" s="15">
        <f t="shared" si="0"/>
        <v>1.3014991671293726E-2</v>
      </c>
      <c r="D18" s="3"/>
    </row>
    <row r="19" spans="1:4" x14ac:dyDescent="0.2">
      <c r="A19" s="13">
        <v>33970</v>
      </c>
      <c r="B19" s="18">
        <f>VLOOKUP(A19,Database!A:M,MATCH($A$1,Database!$A$1:$M$1,),)</f>
        <v>137487</v>
      </c>
      <c r="C19" s="15">
        <f t="shared" si="0"/>
        <v>4.7795487930543069E-3</v>
      </c>
      <c r="D19" s="16">
        <f>(B19-B7)/B7</f>
        <v>5.2596522657846985E-2</v>
      </c>
    </row>
    <row r="20" spans="1:4" x14ac:dyDescent="0.2">
      <c r="A20" s="14">
        <v>34001</v>
      </c>
      <c r="B20" s="18">
        <f>VLOOKUP(A20,Database!A:M,MATCH($A$1,Database!$A$1:$M$1,),)</f>
        <v>137021</v>
      </c>
      <c r="C20" s="15">
        <f t="shared" si="0"/>
        <v>-3.3894113625288209E-3</v>
      </c>
      <c r="D20" s="16">
        <f t="shared" ref="D20:D83" si="1">(B20-B8)/B8</f>
        <v>5.0806773213902263E-2</v>
      </c>
    </row>
    <row r="21" spans="1:4" x14ac:dyDescent="0.2">
      <c r="A21" s="13">
        <v>34029</v>
      </c>
      <c r="B21" s="18">
        <f>VLOOKUP(A21,Database!A:M,MATCH($A$1,Database!$A$1:$M$1,),)</f>
        <v>136351</v>
      </c>
      <c r="C21" s="15">
        <f t="shared" si="0"/>
        <v>-4.8897614234314447E-3</v>
      </c>
      <c r="D21" s="16">
        <f t="shared" si="1"/>
        <v>4.5756797177589445E-2</v>
      </c>
    </row>
    <row r="22" spans="1:4" x14ac:dyDescent="0.2">
      <c r="A22" s="14">
        <v>34060</v>
      </c>
      <c r="B22" s="18">
        <f>VLOOKUP(A22,Database!A:M,MATCH($A$1,Database!$A$1:$M$1,),)</f>
        <v>138228</v>
      </c>
      <c r="C22" s="15">
        <f t="shared" si="0"/>
        <v>1.376594231065412E-2</v>
      </c>
      <c r="D22" s="16">
        <f t="shared" si="1"/>
        <v>5.5715518624029084E-2</v>
      </c>
    </row>
    <row r="23" spans="1:4" x14ac:dyDescent="0.2">
      <c r="A23" s="13">
        <v>34090</v>
      </c>
      <c r="B23" s="18">
        <f>VLOOKUP(A23,Database!A:M,MATCH($A$1,Database!$A$1:$M$1,),)</f>
        <v>139420</v>
      </c>
      <c r="C23" s="15">
        <f t="shared" si="0"/>
        <v>8.6234337471424016E-3</v>
      </c>
      <c r="D23" s="16">
        <f t="shared" si="1"/>
        <v>6.220715401318045E-2</v>
      </c>
    </row>
    <row r="24" spans="1:4" x14ac:dyDescent="0.2">
      <c r="A24" s="14">
        <v>34121</v>
      </c>
      <c r="B24" s="18">
        <f>VLOOKUP(A24,Database!A:M,MATCH($A$1,Database!$A$1:$M$1,),)</f>
        <v>139265</v>
      </c>
      <c r="C24" s="15">
        <f t="shared" si="0"/>
        <v>-1.1117486730741644E-3</v>
      </c>
      <c r="D24" s="16">
        <f t="shared" si="1"/>
        <v>6.0694918352425055E-2</v>
      </c>
    </row>
    <row r="25" spans="1:4" x14ac:dyDescent="0.2">
      <c r="A25" s="13">
        <v>34151</v>
      </c>
      <c r="B25" s="18">
        <f>VLOOKUP(A25,Database!A:M,MATCH($A$1,Database!$A$1:$M$1,),)</f>
        <v>140453</v>
      </c>
      <c r="C25" s="15">
        <f t="shared" si="0"/>
        <v>8.5304994076042077E-3</v>
      </c>
      <c r="D25" s="16">
        <f t="shared" si="1"/>
        <v>6.3570552333065772E-2</v>
      </c>
    </row>
    <row r="26" spans="1:4" x14ac:dyDescent="0.2">
      <c r="A26" s="14">
        <v>34182</v>
      </c>
      <c r="B26" s="18">
        <f>VLOOKUP(A26,Database!A:M,MATCH($A$1,Database!$A$1:$M$1,),)</f>
        <v>140203</v>
      </c>
      <c r="C26" s="15">
        <f t="shared" si="0"/>
        <v>-1.7799548603447417E-3</v>
      </c>
      <c r="D26" s="16">
        <f t="shared" si="1"/>
        <v>5.2456555192733553E-2</v>
      </c>
    </row>
    <row r="27" spans="1:4" x14ac:dyDescent="0.2">
      <c r="A27" s="13">
        <v>34213</v>
      </c>
      <c r="B27" s="18">
        <f>VLOOKUP(A27,Database!A:M,MATCH($A$1,Database!$A$1:$M$1,),)</f>
        <v>141570</v>
      </c>
      <c r="C27" s="15">
        <f t="shared" si="0"/>
        <v>9.7501479996861696E-3</v>
      </c>
      <c r="D27" s="16">
        <f t="shared" si="1"/>
        <v>6.0370009737098343E-2</v>
      </c>
    </row>
    <row r="28" spans="1:4" x14ac:dyDescent="0.2">
      <c r="A28" s="14">
        <v>34243</v>
      </c>
      <c r="B28" s="18">
        <f>VLOOKUP(A28,Database!A:M,MATCH($A$1,Database!$A$1:$M$1,),)</f>
        <v>142027</v>
      </c>
      <c r="C28" s="15">
        <f t="shared" si="0"/>
        <v>3.2280850462668644E-3</v>
      </c>
      <c r="D28" s="16">
        <f t="shared" si="1"/>
        <v>5.4762983372074886E-2</v>
      </c>
    </row>
    <row r="29" spans="1:4" x14ac:dyDescent="0.2">
      <c r="A29" s="13">
        <v>34274</v>
      </c>
      <c r="B29" s="18">
        <f>VLOOKUP(A29,Database!A:M,MATCH($A$1,Database!$A$1:$M$1,),)</f>
        <v>142670</v>
      </c>
      <c r="C29" s="15">
        <f t="shared" si="0"/>
        <v>4.5273081878797698E-3</v>
      </c>
      <c r="D29" s="16">
        <f t="shared" si="1"/>
        <v>5.6228021469553954E-2</v>
      </c>
    </row>
    <row r="30" spans="1:4" x14ac:dyDescent="0.2">
      <c r="A30" s="14">
        <v>34304</v>
      </c>
      <c r="B30" s="18">
        <f>VLOOKUP(A30,Database!A:M,MATCH($A$1,Database!$A$1:$M$1,),)</f>
        <v>143603</v>
      </c>
      <c r="C30" s="15">
        <f t="shared" si="0"/>
        <v>6.5395668325506414E-3</v>
      </c>
      <c r="D30" s="16">
        <f t="shared" si="1"/>
        <v>4.9476369004552996E-2</v>
      </c>
    </row>
    <row r="31" spans="1:4" x14ac:dyDescent="0.2">
      <c r="A31" s="13">
        <v>34335</v>
      </c>
      <c r="B31" s="18">
        <f>VLOOKUP(A31,Database!A:M,MATCH($A$1,Database!$A$1:$M$1,),)</f>
        <v>142482</v>
      </c>
      <c r="C31" s="15">
        <f t="shared" si="0"/>
        <v>-7.8062436021531581E-3</v>
      </c>
      <c r="D31" s="16">
        <f t="shared" si="1"/>
        <v>3.6330707630539617E-2</v>
      </c>
    </row>
    <row r="32" spans="1:4" x14ac:dyDescent="0.2">
      <c r="A32" s="14">
        <v>34366</v>
      </c>
      <c r="B32" s="18">
        <f>VLOOKUP(A32,Database!A:M,MATCH($A$1,Database!$A$1:$M$1,),)</f>
        <v>144389</v>
      </c>
      <c r="C32" s="15">
        <f t="shared" si="0"/>
        <v>1.3384146769416488E-2</v>
      </c>
      <c r="D32" s="16">
        <f t="shared" si="1"/>
        <v>5.3772779354989378E-2</v>
      </c>
    </row>
    <row r="33" spans="1:4" x14ac:dyDescent="0.2">
      <c r="A33" s="13">
        <v>34394</v>
      </c>
      <c r="B33" s="18">
        <f>VLOOKUP(A33,Database!A:M,MATCH($A$1,Database!$A$1:$M$1,),)</f>
        <v>147104</v>
      </c>
      <c r="C33" s="15">
        <f t="shared" si="0"/>
        <v>1.8803371447963488E-2</v>
      </c>
      <c r="D33" s="16">
        <f t="shared" si="1"/>
        <v>7.8862641271424491E-2</v>
      </c>
    </row>
    <row r="34" spans="1:4" x14ac:dyDescent="0.2">
      <c r="A34" s="14">
        <v>34425</v>
      </c>
      <c r="B34" s="18">
        <f>VLOOKUP(A34,Database!A:M,MATCH($A$1,Database!$A$1:$M$1,),)</f>
        <v>146567</v>
      </c>
      <c r="C34" s="15">
        <f t="shared" si="0"/>
        <v>-3.6504785729823798E-3</v>
      </c>
      <c r="D34" s="16">
        <f t="shared" si="1"/>
        <v>6.0327864108574242E-2</v>
      </c>
    </row>
    <row r="35" spans="1:4" x14ac:dyDescent="0.2">
      <c r="A35" s="13">
        <v>34455</v>
      </c>
      <c r="B35" s="18">
        <f>VLOOKUP(A35,Database!A:M,MATCH($A$1,Database!$A$1:$M$1,),)</f>
        <v>146831</v>
      </c>
      <c r="C35" s="15">
        <f t="shared" si="0"/>
        <v>1.801224013591054E-3</v>
      </c>
      <c r="D35" s="16">
        <f t="shared" si="1"/>
        <v>5.3155931717113754E-2</v>
      </c>
    </row>
    <row r="36" spans="1:4" x14ac:dyDescent="0.2">
      <c r="A36" s="14">
        <v>34486</v>
      </c>
      <c r="B36" s="18">
        <f>VLOOKUP(A36,Database!A:M,MATCH($A$1,Database!$A$1:$M$1,),)</f>
        <v>148589</v>
      </c>
      <c r="C36" s="15">
        <f t="shared" si="0"/>
        <v>1.1972948491803501E-2</v>
      </c>
      <c r="D36" s="16">
        <f t="shared" si="1"/>
        <v>6.6951495350590598E-2</v>
      </c>
    </row>
    <row r="37" spans="1:4" x14ac:dyDescent="0.2">
      <c r="A37" s="13">
        <v>34516</v>
      </c>
      <c r="B37" s="18">
        <f>VLOOKUP(A37,Database!A:M,MATCH($A$1,Database!$A$1:$M$1,),)</f>
        <v>149266</v>
      </c>
      <c r="C37" s="15">
        <f t="shared" si="0"/>
        <v>4.5561919119181098E-3</v>
      </c>
      <c r="D37" s="16">
        <f t="shared" si="1"/>
        <v>6.2746968736872827E-2</v>
      </c>
    </row>
    <row r="38" spans="1:4" x14ac:dyDescent="0.2">
      <c r="A38" s="14">
        <v>34547</v>
      </c>
      <c r="B38" s="18">
        <f>VLOOKUP(A38,Database!A:M,MATCH($A$1,Database!$A$1:$M$1,),)</f>
        <v>150931</v>
      </c>
      <c r="C38" s="15">
        <f t="shared" si="0"/>
        <v>1.1154583093269733E-2</v>
      </c>
      <c r="D38" s="16">
        <f t="shared" si="1"/>
        <v>7.6517620878297901E-2</v>
      </c>
    </row>
    <row r="39" spans="1:4" x14ac:dyDescent="0.2">
      <c r="A39" s="13">
        <v>34578</v>
      </c>
      <c r="B39" s="18">
        <f>VLOOKUP(A39,Database!A:M,MATCH($A$1,Database!$A$1:$M$1,),)</f>
        <v>151451</v>
      </c>
      <c r="C39" s="15">
        <f t="shared" si="0"/>
        <v>3.4452829438617648E-3</v>
      </c>
      <c r="D39" s="16">
        <f t="shared" si="1"/>
        <v>6.9795860704951612E-2</v>
      </c>
    </row>
    <row r="40" spans="1:4" x14ac:dyDescent="0.2">
      <c r="A40" s="14">
        <v>34608</v>
      </c>
      <c r="B40" s="18">
        <f>VLOOKUP(A40,Database!A:M,MATCH($A$1,Database!$A$1:$M$1,),)</f>
        <v>152530</v>
      </c>
      <c r="C40" s="15">
        <f t="shared" si="0"/>
        <v>7.1244164779367585E-3</v>
      </c>
      <c r="D40" s="16">
        <f t="shared" si="1"/>
        <v>7.3950727678539996E-2</v>
      </c>
    </row>
    <row r="41" spans="1:4" x14ac:dyDescent="0.2">
      <c r="A41" s="13">
        <v>34639</v>
      </c>
      <c r="B41" s="18">
        <f>VLOOKUP(A41,Database!A:M,MATCH($A$1,Database!$A$1:$M$1,),)</f>
        <v>152528</v>
      </c>
      <c r="C41" s="15">
        <f t="shared" si="0"/>
        <v>-1.3112174654166393E-5</v>
      </c>
      <c r="D41" s="16">
        <f t="shared" si="1"/>
        <v>6.9096516436531863E-2</v>
      </c>
    </row>
    <row r="42" spans="1:4" x14ac:dyDescent="0.2">
      <c r="A42" s="14">
        <v>34669</v>
      </c>
      <c r="B42" s="18">
        <f>VLOOKUP(A42,Database!A:M,MATCH($A$1,Database!$A$1:$M$1,),)</f>
        <v>153761</v>
      </c>
      <c r="C42" s="15">
        <f t="shared" si="0"/>
        <v>8.0837616699884606E-3</v>
      </c>
      <c r="D42" s="16">
        <f t="shared" si="1"/>
        <v>7.073668377401586E-2</v>
      </c>
    </row>
    <row r="43" spans="1:4" x14ac:dyDescent="0.2">
      <c r="A43" s="13">
        <v>34700</v>
      </c>
      <c r="B43" s="18">
        <f>VLOOKUP(A43,Database!A:M,MATCH($A$1,Database!$A$1:$M$1,),)</f>
        <v>154349</v>
      </c>
      <c r="C43" s="15">
        <f t="shared" si="0"/>
        <v>3.8241166485649806E-3</v>
      </c>
      <c r="D43" s="16">
        <f t="shared" si="1"/>
        <v>8.3287713535744864E-2</v>
      </c>
    </row>
    <row r="44" spans="1:4" x14ac:dyDescent="0.2">
      <c r="A44" s="14">
        <v>34731</v>
      </c>
      <c r="B44" s="18">
        <f>VLOOKUP(A44,Database!A:M,MATCH($A$1,Database!$A$1:$M$1,),)</f>
        <v>152497</v>
      </c>
      <c r="C44" s="15">
        <f t="shared" si="0"/>
        <v>-1.1998781981094792E-2</v>
      </c>
      <c r="D44" s="16">
        <f t="shared" si="1"/>
        <v>5.6153862136312321E-2</v>
      </c>
    </row>
    <row r="45" spans="1:4" x14ac:dyDescent="0.2">
      <c r="A45" s="13">
        <v>34759</v>
      </c>
      <c r="B45" s="18">
        <f>VLOOKUP(A45,Database!A:M,MATCH($A$1,Database!$A$1:$M$1,),)</f>
        <v>153566</v>
      </c>
      <c r="C45" s="15">
        <f t="shared" si="0"/>
        <v>7.0099739667009841E-3</v>
      </c>
      <c r="D45" s="16">
        <f t="shared" si="1"/>
        <v>4.3928105286056125E-2</v>
      </c>
    </row>
    <row r="46" spans="1:4" x14ac:dyDescent="0.2">
      <c r="A46" s="14">
        <v>34790</v>
      </c>
      <c r="B46" s="18">
        <f>VLOOKUP(A46,Database!A:M,MATCH($A$1,Database!$A$1:$M$1,),)</f>
        <v>153976</v>
      </c>
      <c r="C46" s="15">
        <f t="shared" si="0"/>
        <v>2.6698618183712539E-3</v>
      </c>
      <c r="D46" s="16">
        <f t="shared" si="1"/>
        <v>5.0550260290515597E-2</v>
      </c>
    </row>
    <row r="47" spans="1:4" x14ac:dyDescent="0.2">
      <c r="A47" s="13">
        <v>34820</v>
      </c>
      <c r="B47" s="18">
        <f>VLOOKUP(A47,Database!A:M,MATCH($A$1,Database!$A$1:$M$1,),)</f>
        <v>155268</v>
      </c>
      <c r="C47" s="15">
        <f t="shared" si="0"/>
        <v>8.3909180651530104E-3</v>
      </c>
      <c r="D47" s="16">
        <f t="shared" si="1"/>
        <v>5.7460617989389159E-2</v>
      </c>
    </row>
    <row r="48" spans="1:4" x14ac:dyDescent="0.2">
      <c r="A48" s="14">
        <v>34851</v>
      </c>
      <c r="B48" s="18">
        <f>VLOOKUP(A48,Database!A:M,MATCH($A$1,Database!$A$1:$M$1,),)</f>
        <v>155848</v>
      </c>
      <c r="C48" s="15">
        <f t="shared" si="0"/>
        <v>3.7354767241157224E-3</v>
      </c>
      <c r="D48" s="16">
        <f t="shared" si="1"/>
        <v>4.8852876054082069E-2</v>
      </c>
    </row>
    <row r="49" spans="1:4" x14ac:dyDescent="0.2">
      <c r="A49" s="13">
        <v>34881</v>
      </c>
      <c r="B49" s="18">
        <f>VLOOKUP(A49,Database!A:M,MATCH($A$1,Database!$A$1:$M$1,),)</f>
        <v>156088</v>
      </c>
      <c r="C49" s="15">
        <f t="shared" si="0"/>
        <v>1.5399620142703147E-3</v>
      </c>
      <c r="D49" s="16">
        <f t="shared" si="1"/>
        <v>4.5703643160532208E-2</v>
      </c>
    </row>
    <row r="50" spans="1:4" x14ac:dyDescent="0.2">
      <c r="A50" s="14">
        <v>34912</v>
      </c>
      <c r="B50" s="18">
        <f>VLOOKUP(A50,Database!A:M,MATCH($A$1,Database!$A$1:$M$1,),)</f>
        <v>156773</v>
      </c>
      <c r="C50" s="15">
        <f t="shared" si="0"/>
        <v>4.3885500486904819E-3</v>
      </c>
      <c r="D50" s="16">
        <f t="shared" si="1"/>
        <v>3.8706428765462361E-2</v>
      </c>
    </row>
    <row r="51" spans="1:4" x14ac:dyDescent="0.2">
      <c r="A51" s="13">
        <v>34943</v>
      </c>
      <c r="B51" s="18">
        <f>VLOOKUP(A51,Database!A:M,MATCH($A$1,Database!$A$1:$M$1,),)</f>
        <v>157818</v>
      </c>
      <c r="C51" s="15">
        <f t="shared" si="0"/>
        <v>6.6656886070943335E-3</v>
      </c>
      <c r="D51" s="16">
        <f t="shared" si="1"/>
        <v>4.2039999735888178E-2</v>
      </c>
    </row>
    <row r="52" spans="1:4" x14ac:dyDescent="0.2">
      <c r="A52" s="14">
        <v>34973</v>
      </c>
      <c r="B52" s="18">
        <f>VLOOKUP(A52,Database!A:M,MATCH($A$1,Database!$A$1:$M$1,),)</f>
        <v>156905</v>
      </c>
      <c r="C52" s="15">
        <f t="shared" si="0"/>
        <v>-5.7851449137614214E-3</v>
      </c>
      <c r="D52" s="16">
        <f t="shared" si="1"/>
        <v>2.8682882055988984E-2</v>
      </c>
    </row>
    <row r="53" spans="1:4" x14ac:dyDescent="0.2">
      <c r="A53" s="13">
        <v>35004</v>
      </c>
      <c r="B53" s="18">
        <f>VLOOKUP(A53,Database!A:M,MATCH($A$1,Database!$A$1:$M$1,),)</f>
        <v>158801</v>
      </c>
      <c r="C53" s="15">
        <f t="shared" si="0"/>
        <v>1.2083744941206462E-2</v>
      </c>
      <c r="D53" s="16">
        <f t="shared" si="1"/>
        <v>4.112687506556173E-2</v>
      </c>
    </row>
    <row r="54" spans="1:4" x14ac:dyDescent="0.2">
      <c r="A54" s="14">
        <v>35034</v>
      </c>
      <c r="B54" s="18">
        <f>VLOOKUP(A54,Database!A:M,MATCH($A$1,Database!$A$1:$M$1,),)</f>
        <v>160236</v>
      </c>
      <c r="C54" s="15">
        <f t="shared" si="0"/>
        <v>9.036467024766846E-3</v>
      </c>
      <c r="D54" s="16">
        <f t="shared" si="1"/>
        <v>4.2110808332411993E-2</v>
      </c>
    </row>
    <row r="55" spans="1:4" x14ac:dyDescent="0.2">
      <c r="A55" s="13">
        <v>35065</v>
      </c>
      <c r="B55" s="18">
        <f>VLOOKUP(A55,Database!A:M,MATCH($A$1,Database!$A$1:$M$1,),)</f>
        <v>158350</v>
      </c>
      <c r="C55" s="15">
        <f t="shared" si="0"/>
        <v>-1.177013904490876E-2</v>
      </c>
      <c r="D55" s="16">
        <f t="shared" si="1"/>
        <v>2.5921774679460184E-2</v>
      </c>
    </row>
    <row r="56" spans="1:4" x14ac:dyDescent="0.2">
      <c r="A56" s="14">
        <v>35096</v>
      </c>
      <c r="B56" s="18">
        <f>VLOOKUP(A56,Database!A:M,MATCH($A$1,Database!$A$1:$M$1,),)</f>
        <v>159720</v>
      </c>
      <c r="C56" s="15">
        <f t="shared" si="0"/>
        <v>8.6517208714872122E-3</v>
      </c>
      <c r="D56" s="16">
        <f t="shared" si="1"/>
        <v>4.7364866194089063E-2</v>
      </c>
    </row>
    <row r="57" spans="1:4" x14ac:dyDescent="0.2">
      <c r="A57" s="13">
        <v>35125</v>
      </c>
      <c r="B57" s="18">
        <f>VLOOKUP(A57,Database!A:M,MATCH($A$1,Database!$A$1:$M$1,),)</f>
        <v>161543</v>
      </c>
      <c r="C57" s="15">
        <f t="shared" si="0"/>
        <v>1.1413724017029803E-2</v>
      </c>
      <c r="D57" s="16">
        <f t="shared" si="1"/>
        <v>5.1945092012554865E-2</v>
      </c>
    </row>
    <row r="58" spans="1:4" x14ac:dyDescent="0.2">
      <c r="A58" s="14">
        <v>35156</v>
      </c>
      <c r="B58" s="18">
        <f>VLOOKUP(A58,Database!A:M,MATCH($A$1,Database!$A$1:$M$1,),)</f>
        <v>163145</v>
      </c>
      <c r="C58" s="15">
        <f t="shared" si="0"/>
        <v>9.9168642404808618E-3</v>
      </c>
      <c r="D58" s="16">
        <f t="shared" si="1"/>
        <v>5.9548241284356006E-2</v>
      </c>
    </row>
    <row r="59" spans="1:4" x14ac:dyDescent="0.2">
      <c r="A59" s="13">
        <v>35186</v>
      </c>
      <c r="B59" s="18">
        <f>VLOOKUP(A59,Database!A:M,MATCH($A$1,Database!$A$1:$M$1,),)</f>
        <v>164099</v>
      </c>
      <c r="C59" s="15">
        <f t="shared" si="0"/>
        <v>5.8475589199791598E-3</v>
      </c>
      <c r="D59" s="16">
        <f t="shared" si="1"/>
        <v>5.6875853363217148E-2</v>
      </c>
    </row>
    <row r="60" spans="1:4" x14ac:dyDescent="0.2">
      <c r="A60" s="14">
        <v>35217</v>
      </c>
      <c r="B60" s="18">
        <f>VLOOKUP(A60,Database!A:M,MATCH($A$1,Database!$A$1:$M$1,),)</f>
        <v>164270</v>
      </c>
      <c r="C60" s="15">
        <f t="shared" si="0"/>
        <v>1.0420538821077521E-3</v>
      </c>
      <c r="D60" s="16">
        <f t="shared" si="1"/>
        <v>5.4039833684102458E-2</v>
      </c>
    </row>
    <row r="61" spans="1:4" x14ac:dyDescent="0.2">
      <c r="A61" s="13">
        <v>35247</v>
      </c>
      <c r="B61" s="18">
        <f>VLOOKUP(A61,Database!A:M,MATCH($A$1,Database!$A$1:$M$1,),)</f>
        <v>164328</v>
      </c>
      <c r="C61" s="15">
        <f t="shared" si="0"/>
        <v>3.5307725086747429E-4</v>
      </c>
      <c r="D61" s="16">
        <f t="shared" si="1"/>
        <v>5.2790733432422736E-2</v>
      </c>
    </row>
    <row r="62" spans="1:4" x14ac:dyDescent="0.2">
      <c r="A62" s="14">
        <v>35278</v>
      </c>
      <c r="B62" s="18">
        <f>VLOOKUP(A62,Database!A:M,MATCH($A$1,Database!$A$1:$M$1,),)</f>
        <v>164886</v>
      </c>
      <c r="C62" s="15">
        <f t="shared" si="0"/>
        <v>3.3956477289323792E-3</v>
      </c>
      <c r="D62" s="16">
        <f t="shared" si="1"/>
        <v>5.1749982458714192E-2</v>
      </c>
    </row>
    <row r="63" spans="1:4" x14ac:dyDescent="0.2">
      <c r="A63" s="13">
        <v>35309</v>
      </c>
      <c r="B63" s="18">
        <f>VLOOKUP(A63,Database!A:M,MATCH($A$1,Database!$A$1:$M$1,),)</f>
        <v>166072</v>
      </c>
      <c r="C63" s="15">
        <f t="shared" si="0"/>
        <v>7.1928483922225053E-3</v>
      </c>
      <c r="D63" s="16">
        <f t="shared" si="1"/>
        <v>5.2300751498561636E-2</v>
      </c>
    </row>
    <row r="64" spans="1:4" x14ac:dyDescent="0.2">
      <c r="A64" s="14">
        <v>35339</v>
      </c>
      <c r="B64" s="18">
        <f>VLOOKUP(A64,Database!A:M,MATCH($A$1,Database!$A$1:$M$1,),)</f>
        <v>167610</v>
      </c>
      <c r="C64" s="15">
        <f t="shared" si="0"/>
        <v>9.2610434028614092E-3</v>
      </c>
      <c r="D64" s="16">
        <f t="shared" si="1"/>
        <v>6.8225996622159904E-2</v>
      </c>
    </row>
    <row r="65" spans="1:4" x14ac:dyDescent="0.2">
      <c r="A65" s="13">
        <v>35370</v>
      </c>
      <c r="B65" s="18">
        <f>VLOOKUP(A65,Database!A:M,MATCH($A$1,Database!$A$1:$M$1,),)</f>
        <v>168253</v>
      </c>
      <c r="C65" s="15">
        <f t="shared" si="0"/>
        <v>3.8362866177435715E-3</v>
      </c>
      <c r="D65" s="16">
        <f t="shared" si="1"/>
        <v>5.9521035761739532E-2</v>
      </c>
    </row>
    <row r="66" spans="1:4" x14ac:dyDescent="0.2">
      <c r="A66" s="14">
        <v>35400</v>
      </c>
      <c r="B66" s="18">
        <f>VLOOKUP(A66,Database!A:M,MATCH($A$1,Database!$A$1:$M$1,),)</f>
        <v>169156</v>
      </c>
      <c r="C66" s="15">
        <f t="shared" si="0"/>
        <v>5.3669176775451256E-3</v>
      </c>
      <c r="D66" s="16">
        <f t="shared" si="1"/>
        <v>5.5667889862452885E-2</v>
      </c>
    </row>
    <row r="67" spans="1:4" x14ac:dyDescent="0.2">
      <c r="A67" s="13">
        <v>35431</v>
      </c>
      <c r="B67" s="18">
        <f>VLOOKUP(A67,Database!A:M,MATCH($A$1,Database!$A$1:$M$1,),)</f>
        <v>169471</v>
      </c>
      <c r="C67" s="15">
        <f t="shared" si="0"/>
        <v>1.8621863841660953E-3</v>
      </c>
      <c r="D67" s="16">
        <f t="shared" si="1"/>
        <v>7.023050205241553E-2</v>
      </c>
    </row>
    <row r="68" spans="1:4" x14ac:dyDescent="0.2">
      <c r="A68" s="14">
        <v>35462</v>
      </c>
      <c r="B68" s="18">
        <f>VLOOKUP(A68,Database!A:M,MATCH($A$1,Database!$A$1:$M$1,),)</f>
        <v>170821</v>
      </c>
      <c r="C68" s="15">
        <f t="shared" si="0"/>
        <v>7.9659646783225447E-3</v>
      </c>
      <c r="D68" s="16">
        <f t="shared" si="1"/>
        <v>6.9502880040070117E-2</v>
      </c>
    </row>
    <row r="69" spans="1:4" x14ac:dyDescent="0.2">
      <c r="A69" s="13">
        <v>35490</v>
      </c>
      <c r="B69" s="18">
        <f>VLOOKUP(A69,Database!A:M,MATCH($A$1,Database!$A$1:$M$1,),)</f>
        <v>171928</v>
      </c>
      <c r="C69" s="15">
        <f t="shared" si="0"/>
        <v>6.4804678581673212E-3</v>
      </c>
      <c r="D69" s="16">
        <f t="shared" si="1"/>
        <v>6.4286289099496727E-2</v>
      </c>
    </row>
    <row r="70" spans="1:4" x14ac:dyDescent="0.2">
      <c r="A70" s="14">
        <v>35521</v>
      </c>
      <c r="B70" s="18">
        <f>VLOOKUP(A70,Database!A:M,MATCH($A$1,Database!$A$1:$M$1,),)</f>
        <v>170754</v>
      </c>
      <c r="C70" s="15">
        <f t="shared" si="0"/>
        <v>-6.8284398120143312E-3</v>
      </c>
      <c r="D70" s="16">
        <f t="shared" si="1"/>
        <v>4.6639492476018264E-2</v>
      </c>
    </row>
    <row r="71" spans="1:4" x14ac:dyDescent="0.2">
      <c r="A71" s="13">
        <v>35551</v>
      </c>
      <c r="B71" s="18">
        <f>VLOOKUP(A71,Database!A:M,MATCH($A$1,Database!$A$1:$M$1,),)</f>
        <v>170738</v>
      </c>
      <c r="C71" s="15">
        <f t="shared" si="0"/>
        <v>-9.3702050903639151E-5</v>
      </c>
      <c r="D71" s="16">
        <f t="shared" si="1"/>
        <v>4.0457284931657109E-2</v>
      </c>
    </row>
    <row r="72" spans="1:4" x14ac:dyDescent="0.2">
      <c r="A72" s="14">
        <v>35582</v>
      </c>
      <c r="B72" s="18">
        <f>VLOOKUP(A72,Database!A:M,MATCH($A$1,Database!$A$1:$M$1,),)</f>
        <v>171991</v>
      </c>
      <c r="C72" s="15">
        <f t="shared" si="0"/>
        <v>7.3387295153978611E-3</v>
      </c>
      <c r="D72" s="16">
        <f t="shared" si="1"/>
        <v>4.7001887137030497E-2</v>
      </c>
    </row>
    <row r="73" spans="1:4" x14ac:dyDescent="0.2">
      <c r="A73" s="13">
        <v>35612</v>
      </c>
      <c r="B73" s="18">
        <f>VLOOKUP(A73,Database!A:M,MATCH($A$1,Database!$A$1:$M$1,),)</f>
        <v>173448</v>
      </c>
      <c r="C73" s="15">
        <f t="shared" ref="C73:C136" si="2">(B73-B72)/B72</f>
        <v>8.4713735021018539E-3</v>
      </c>
      <c r="D73" s="16">
        <f t="shared" si="1"/>
        <v>5.5498758580400175E-2</v>
      </c>
    </row>
    <row r="74" spans="1:4" x14ac:dyDescent="0.2">
      <c r="A74" s="14">
        <v>35643</v>
      </c>
      <c r="B74" s="18">
        <f>VLOOKUP(A74,Database!A:M,MATCH($A$1,Database!$A$1:$M$1,),)</f>
        <v>173821</v>
      </c>
      <c r="C74" s="15">
        <f t="shared" si="2"/>
        <v>2.1505004381716709E-3</v>
      </c>
      <c r="D74" s="16">
        <f t="shared" si="1"/>
        <v>5.4188954793008504E-2</v>
      </c>
    </row>
    <row r="75" spans="1:4" x14ac:dyDescent="0.2">
      <c r="A75" s="13">
        <v>35674</v>
      </c>
      <c r="B75" s="18">
        <f>VLOOKUP(A75,Database!A:M,MATCH($A$1,Database!$A$1:$M$1,),)</f>
        <v>174978</v>
      </c>
      <c r="C75" s="15">
        <f t="shared" si="2"/>
        <v>6.6562728323965462E-3</v>
      </c>
      <c r="D75" s="16">
        <f t="shared" si="1"/>
        <v>5.3627342357531672E-2</v>
      </c>
    </row>
    <row r="76" spans="1:4" x14ac:dyDescent="0.2">
      <c r="A76" s="14">
        <v>35704</v>
      </c>
      <c r="B76" s="18">
        <f>VLOOKUP(A76,Database!A:M,MATCH($A$1,Database!$A$1:$M$1,),)</f>
        <v>174980</v>
      </c>
      <c r="C76" s="15">
        <f t="shared" si="2"/>
        <v>1.1430008343906091E-5</v>
      </c>
      <c r="D76" s="16">
        <f t="shared" si="1"/>
        <v>4.3971123441322119E-2</v>
      </c>
    </row>
    <row r="77" spans="1:4" x14ac:dyDescent="0.2">
      <c r="A77" s="13">
        <v>35735</v>
      </c>
      <c r="B77" s="18">
        <f>VLOOKUP(A77,Database!A:M,MATCH($A$1,Database!$A$1:$M$1,),)</f>
        <v>175126</v>
      </c>
      <c r="C77" s="15">
        <f t="shared" si="2"/>
        <v>8.3438107212252825E-4</v>
      </c>
      <c r="D77" s="16">
        <f t="shared" si="1"/>
        <v>4.084919733972054E-2</v>
      </c>
    </row>
    <row r="78" spans="1:4" x14ac:dyDescent="0.2">
      <c r="A78" s="14">
        <v>35765</v>
      </c>
      <c r="B78" s="18">
        <f>VLOOKUP(A78,Database!A:M,MATCH($A$1,Database!$A$1:$M$1,),)</f>
        <v>175418</v>
      </c>
      <c r="C78" s="15">
        <f t="shared" si="2"/>
        <v>1.6673709215079429E-3</v>
      </c>
      <c r="D78" s="16">
        <f t="shared" si="1"/>
        <v>3.7019082976660594E-2</v>
      </c>
    </row>
    <row r="79" spans="1:4" x14ac:dyDescent="0.2">
      <c r="A79" s="13">
        <v>35796</v>
      </c>
      <c r="B79" s="18">
        <f>VLOOKUP(A79,Database!A:M,MATCH($A$1,Database!$A$1:$M$1,),)</f>
        <v>176093</v>
      </c>
      <c r="C79" s="15">
        <f t="shared" si="2"/>
        <v>3.8479517495353956E-3</v>
      </c>
      <c r="D79" s="16">
        <f t="shared" si="1"/>
        <v>3.9074531925816218E-2</v>
      </c>
    </row>
    <row r="80" spans="1:4" x14ac:dyDescent="0.2">
      <c r="A80" s="14">
        <v>35827</v>
      </c>
      <c r="B80" s="18">
        <f>VLOOKUP(A80,Database!A:M,MATCH($A$1,Database!$A$1:$M$1,),)</f>
        <v>176843</v>
      </c>
      <c r="C80" s="15">
        <f t="shared" si="2"/>
        <v>4.2591130822917439E-3</v>
      </c>
      <c r="D80" s="16">
        <f t="shared" si="1"/>
        <v>3.5253276821936415E-2</v>
      </c>
    </row>
    <row r="81" spans="1:4" x14ac:dyDescent="0.2">
      <c r="A81" s="13">
        <v>35855</v>
      </c>
      <c r="B81" s="18">
        <f>VLOOKUP(A81,Database!A:M,MATCH($A$1,Database!$A$1:$M$1,),)</f>
        <v>176948</v>
      </c>
      <c r="C81" s="15">
        <f t="shared" si="2"/>
        <v>5.9374699592293725E-4</v>
      </c>
      <c r="D81" s="16">
        <f t="shared" si="1"/>
        <v>2.9198269042855149E-2</v>
      </c>
    </row>
    <row r="82" spans="1:4" x14ac:dyDescent="0.2">
      <c r="A82" s="14">
        <v>35886</v>
      </c>
      <c r="B82" s="18">
        <f>VLOOKUP(A82,Database!A:M,MATCH($A$1,Database!$A$1:$M$1,),)</f>
        <v>178522</v>
      </c>
      <c r="C82" s="15">
        <f t="shared" si="2"/>
        <v>8.8952686665008922E-3</v>
      </c>
      <c r="D82" s="16">
        <f t="shared" si="1"/>
        <v>4.5492345713716811E-2</v>
      </c>
    </row>
    <row r="83" spans="1:4" x14ac:dyDescent="0.2">
      <c r="A83" s="13">
        <v>35916</v>
      </c>
      <c r="B83" s="18">
        <f>VLOOKUP(A83,Database!A:M,MATCH($A$1,Database!$A$1:$M$1,),)</f>
        <v>179193</v>
      </c>
      <c r="C83" s="15">
        <f t="shared" si="2"/>
        <v>3.7586403916604117E-3</v>
      </c>
      <c r="D83" s="16">
        <f t="shared" si="1"/>
        <v>4.9520317679719802E-2</v>
      </c>
    </row>
    <row r="84" spans="1:4" x14ac:dyDescent="0.2">
      <c r="A84" s="14">
        <v>35947</v>
      </c>
      <c r="B84" s="18">
        <f>VLOOKUP(A84,Database!A:M,MATCH($A$1,Database!$A$1:$M$1,),)</f>
        <v>179707</v>
      </c>
      <c r="C84" s="15">
        <f t="shared" si="2"/>
        <v>2.8684156189136851E-3</v>
      </c>
      <c r="D84" s="16">
        <f t="shared" ref="D84:D147" si="3">(B84-B72)/B72</f>
        <v>4.4862812589030819E-2</v>
      </c>
    </row>
    <row r="85" spans="1:4" x14ac:dyDescent="0.2">
      <c r="A85" s="13">
        <v>35977</v>
      </c>
      <c r="B85" s="18">
        <f>VLOOKUP(A85,Database!A:M,MATCH($A$1,Database!$A$1:$M$1,),)</f>
        <v>181091</v>
      </c>
      <c r="C85" s="15">
        <f t="shared" si="2"/>
        <v>7.701425097519852E-3</v>
      </c>
      <c r="D85" s="16">
        <f t="shared" si="3"/>
        <v>4.4065080023984134E-2</v>
      </c>
    </row>
    <row r="86" spans="1:4" x14ac:dyDescent="0.2">
      <c r="A86" s="14">
        <v>36008</v>
      </c>
      <c r="B86" s="18">
        <f>VLOOKUP(A86,Database!A:M,MATCH($A$1,Database!$A$1:$M$1,),)</f>
        <v>181382</v>
      </c>
      <c r="C86" s="15">
        <f t="shared" si="2"/>
        <v>1.6069269041531606E-3</v>
      </c>
      <c r="D86" s="16">
        <f t="shared" si="3"/>
        <v>4.3498771724935423E-2</v>
      </c>
    </row>
    <row r="87" spans="1:4" x14ac:dyDescent="0.2">
      <c r="A87" s="13">
        <v>36039</v>
      </c>
      <c r="B87" s="18">
        <f>VLOOKUP(A87,Database!A:M,MATCH($A$1,Database!$A$1:$M$1,),)</f>
        <v>181354</v>
      </c>
      <c r="C87" s="15">
        <f t="shared" si="2"/>
        <v>-1.5437033443230309E-4</v>
      </c>
      <c r="D87" s="16">
        <f t="shared" si="3"/>
        <v>3.643886660037262E-2</v>
      </c>
    </row>
    <row r="88" spans="1:4" x14ac:dyDescent="0.2">
      <c r="A88" s="14">
        <v>36069</v>
      </c>
      <c r="B88" s="18">
        <f>VLOOKUP(A88,Database!A:M,MATCH($A$1,Database!$A$1:$M$1,),)</f>
        <v>183255</v>
      </c>
      <c r="C88" s="15">
        <f t="shared" si="2"/>
        <v>1.0482261212876473E-2</v>
      </c>
      <c r="D88" s="16">
        <f t="shared" si="3"/>
        <v>4.7291118985026859E-2</v>
      </c>
    </row>
    <row r="89" spans="1:4" x14ac:dyDescent="0.2">
      <c r="A89" s="13">
        <v>36100</v>
      </c>
      <c r="B89" s="18">
        <f>VLOOKUP(A89,Database!A:M,MATCH($A$1,Database!$A$1:$M$1,),)</f>
        <v>184474</v>
      </c>
      <c r="C89" s="15">
        <f t="shared" si="2"/>
        <v>6.6519330986876211E-3</v>
      </c>
      <c r="D89" s="16">
        <f t="shared" si="3"/>
        <v>5.3378710185809072E-2</v>
      </c>
    </row>
    <row r="90" spans="1:4" x14ac:dyDescent="0.2">
      <c r="A90" s="14">
        <v>36130</v>
      </c>
      <c r="B90" s="18">
        <f>VLOOKUP(A90,Database!A:M,MATCH($A$1,Database!$A$1:$M$1,),)</f>
        <v>186057</v>
      </c>
      <c r="C90" s="15">
        <f t="shared" si="2"/>
        <v>8.5811550679228514E-3</v>
      </c>
      <c r="D90" s="16">
        <f t="shared" si="3"/>
        <v>6.0649420241936404E-2</v>
      </c>
    </row>
    <row r="91" spans="1:4" x14ac:dyDescent="0.2">
      <c r="A91" s="13">
        <v>36161</v>
      </c>
      <c r="B91" s="18">
        <f>VLOOKUP(A91,Database!A:M,MATCH($A$1,Database!$A$1:$M$1,),)</f>
        <v>186333</v>
      </c>
      <c r="C91" s="15">
        <f t="shared" si="2"/>
        <v>1.4834163724020059E-3</v>
      </c>
      <c r="D91" s="16">
        <f t="shared" si="3"/>
        <v>5.8151090616889937E-2</v>
      </c>
    </row>
    <row r="92" spans="1:4" x14ac:dyDescent="0.2">
      <c r="A92" s="14">
        <v>36192</v>
      </c>
      <c r="B92" s="18">
        <f>VLOOKUP(A92,Database!A:M,MATCH($A$1,Database!$A$1:$M$1,),)</f>
        <v>188260</v>
      </c>
      <c r="C92" s="15">
        <f t="shared" si="2"/>
        <v>1.0341700074597629E-2</v>
      </c>
      <c r="D92" s="16">
        <f t="shared" si="3"/>
        <v>6.4560090023354055E-2</v>
      </c>
    </row>
    <row r="93" spans="1:4" x14ac:dyDescent="0.2">
      <c r="A93" s="13">
        <v>36220</v>
      </c>
      <c r="B93" s="18">
        <f>VLOOKUP(A93,Database!A:M,MATCH($A$1,Database!$A$1:$M$1,),)</f>
        <v>189026</v>
      </c>
      <c r="C93" s="15">
        <f t="shared" si="2"/>
        <v>4.0688409646233931E-3</v>
      </c>
      <c r="D93" s="16">
        <f t="shared" si="3"/>
        <v>6.8257341139769875E-2</v>
      </c>
    </row>
    <row r="94" spans="1:4" x14ac:dyDescent="0.2">
      <c r="A94" s="14">
        <v>36251</v>
      </c>
      <c r="B94" s="18">
        <f>VLOOKUP(A94,Database!A:M,MATCH($A$1,Database!$A$1:$M$1,),)</f>
        <v>190327</v>
      </c>
      <c r="C94" s="15">
        <f t="shared" si="2"/>
        <v>6.8826510638748109E-3</v>
      </c>
      <c r="D94" s="16">
        <f t="shared" si="3"/>
        <v>6.6126303760881008E-2</v>
      </c>
    </row>
    <row r="95" spans="1:4" x14ac:dyDescent="0.2">
      <c r="A95" s="13">
        <v>36281</v>
      </c>
      <c r="B95" s="18">
        <f>VLOOKUP(A95,Database!A:M,MATCH($A$1,Database!$A$1:$M$1,),)</f>
        <v>191524</v>
      </c>
      <c r="C95" s="15">
        <f t="shared" si="2"/>
        <v>6.2891759970997285E-3</v>
      </c>
      <c r="D95" s="16">
        <f t="shared" si="3"/>
        <v>6.8814071978258076E-2</v>
      </c>
    </row>
    <row r="96" spans="1:4" x14ac:dyDescent="0.2">
      <c r="A96" s="14">
        <v>36312</v>
      </c>
      <c r="B96" s="18">
        <f>VLOOKUP(A96,Database!A:M,MATCH($A$1,Database!$A$1:$M$1,),)</f>
        <v>191997</v>
      </c>
      <c r="C96" s="15">
        <f t="shared" si="2"/>
        <v>2.46966437626616E-3</v>
      </c>
      <c r="D96" s="16">
        <f t="shared" si="3"/>
        <v>6.8389100035057063E-2</v>
      </c>
    </row>
    <row r="97" spans="1:4" x14ac:dyDescent="0.2">
      <c r="A97" s="13">
        <v>36342</v>
      </c>
      <c r="B97" s="18">
        <f>VLOOKUP(A97,Database!A:M,MATCH($A$1,Database!$A$1:$M$1,),)</f>
        <v>192947</v>
      </c>
      <c r="C97" s="15">
        <f t="shared" si="2"/>
        <v>4.9479939790725899E-3</v>
      </c>
      <c r="D97" s="16">
        <f t="shared" si="3"/>
        <v>6.5469846651683414E-2</v>
      </c>
    </row>
    <row r="98" spans="1:4" x14ac:dyDescent="0.2">
      <c r="A98" s="14">
        <v>36373</v>
      </c>
      <c r="B98" s="18">
        <f>VLOOKUP(A98,Database!A:M,MATCH($A$1,Database!$A$1:$M$1,),)</f>
        <v>194517</v>
      </c>
      <c r="C98" s="15">
        <f t="shared" si="2"/>
        <v>8.1369495249990938E-3</v>
      </c>
      <c r="D98" s="16">
        <f t="shared" si="3"/>
        <v>7.2416226527439329E-2</v>
      </c>
    </row>
    <row r="99" spans="1:4" x14ac:dyDescent="0.2">
      <c r="A99" s="13">
        <v>36404</v>
      </c>
      <c r="B99" s="18">
        <f>VLOOKUP(A99,Database!A:M,MATCH($A$1,Database!$A$1:$M$1,),)</f>
        <v>196167</v>
      </c>
      <c r="C99" s="15">
        <f t="shared" si="2"/>
        <v>8.4825490831135584E-3</v>
      </c>
      <c r="D99" s="16">
        <f t="shared" si="3"/>
        <v>8.1680029114328881E-2</v>
      </c>
    </row>
    <row r="100" spans="1:4" x14ac:dyDescent="0.2">
      <c r="A100" s="14">
        <v>36434</v>
      </c>
      <c r="B100" s="18">
        <f>VLOOKUP(A100,Database!A:M,MATCH($A$1,Database!$A$1:$M$1,),)</f>
        <v>197299</v>
      </c>
      <c r="C100" s="15">
        <f t="shared" si="2"/>
        <v>5.7705934229508532E-3</v>
      </c>
      <c r="D100" s="16">
        <f t="shared" si="3"/>
        <v>7.663638099915418E-2</v>
      </c>
    </row>
    <row r="101" spans="1:4" x14ac:dyDescent="0.2">
      <c r="A101" s="13">
        <v>36465</v>
      </c>
      <c r="B101" s="18">
        <f>VLOOKUP(A101,Database!A:M,MATCH($A$1,Database!$A$1:$M$1,),)</f>
        <v>198696</v>
      </c>
      <c r="C101" s="15">
        <f t="shared" si="2"/>
        <v>7.0806238247532929E-3</v>
      </c>
      <c r="D101" s="16">
        <f t="shared" si="3"/>
        <v>7.7094875158558923E-2</v>
      </c>
    </row>
    <row r="102" spans="1:4" x14ac:dyDescent="0.2">
      <c r="A102" s="14">
        <v>36495</v>
      </c>
      <c r="B102" s="18">
        <f>VLOOKUP(A102,Database!A:M,MATCH($A$1,Database!$A$1:$M$1,),)</f>
        <v>203954</v>
      </c>
      <c r="C102" s="15">
        <f t="shared" si="2"/>
        <v>2.6462535732979024E-2</v>
      </c>
      <c r="D102" s="16">
        <f t="shared" si="3"/>
        <v>9.6190952235067753E-2</v>
      </c>
    </row>
    <row r="103" spans="1:4" x14ac:dyDescent="0.2">
      <c r="A103" s="13">
        <v>36526</v>
      </c>
      <c r="B103" s="18">
        <f>VLOOKUP(A103,Database!A:M,MATCH($A$1,Database!$A$1:$M$1,),)</f>
        <v>200365</v>
      </c>
      <c r="C103" s="15">
        <f t="shared" si="2"/>
        <v>-1.75971052296106E-2</v>
      </c>
      <c r="D103" s="16">
        <f t="shared" si="3"/>
        <v>7.5306038114558341E-2</v>
      </c>
    </row>
    <row r="104" spans="1:4" x14ac:dyDescent="0.2">
      <c r="A104" s="14">
        <v>36557</v>
      </c>
      <c r="B104" s="18">
        <f>VLOOKUP(A104,Database!A:M,MATCH($A$1,Database!$A$1:$M$1,),)</f>
        <v>202935</v>
      </c>
      <c r="C104" s="15">
        <f t="shared" si="2"/>
        <v>1.2826591470566216E-2</v>
      </c>
      <c r="D104" s="16">
        <f t="shared" si="3"/>
        <v>7.7950706469775838E-2</v>
      </c>
    </row>
    <row r="105" spans="1:4" x14ac:dyDescent="0.2">
      <c r="A105" s="13">
        <v>36586</v>
      </c>
      <c r="B105" s="18">
        <f>VLOOKUP(A105,Database!A:M,MATCH($A$1,Database!$A$1:$M$1,),)</f>
        <v>206759</v>
      </c>
      <c r="C105" s="15">
        <f t="shared" si="2"/>
        <v>1.8843472047700004E-2</v>
      </c>
      <c r="D105" s="16">
        <f t="shared" si="3"/>
        <v>9.3812491403299017E-2</v>
      </c>
    </row>
    <row r="106" spans="1:4" x14ac:dyDescent="0.2">
      <c r="A106" s="14">
        <v>36617</v>
      </c>
      <c r="B106" s="18">
        <f>VLOOKUP(A106,Database!A:M,MATCH($A$1,Database!$A$1:$M$1,),)</f>
        <v>205234</v>
      </c>
      <c r="C106" s="15">
        <f t="shared" si="2"/>
        <v>-7.3757369691283088E-3</v>
      </c>
      <c r="D106" s="16">
        <f t="shared" si="3"/>
        <v>7.8323096565384831E-2</v>
      </c>
    </row>
    <row r="107" spans="1:4" x14ac:dyDescent="0.2">
      <c r="A107" s="13">
        <v>36647</v>
      </c>
      <c r="B107" s="18">
        <f>VLOOKUP(A107,Database!A:M,MATCH($A$1,Database!$A$1:$M$1,),)</f>
        <v>205613</v>
      </c>
      <c r="C107" s="15">
        <f t="shared" si="2"/>
        <v>1.8466725786175781E-3</v>
      </c>
      <c r="D107" s="16">
        <f t="shared" si="3"/>
        <v>7.3562582235124574E-2</v>
      </c>
    </row>
    <row r="108" spans="1:4" x14ac:dyDescent="0.2">
      <c r="A108" s="14">
        <v>36678</v>
      </c>
      <c r="B108" s="18">
        <f>VLOOKUP(A108,Database!A:M,MATCH($A$1,Database!$A$1:$M$1,),)</f>
        <v>206784</v>
      </c>
      <c r="C108" s="15">
        <f t="shared" si="2"/>
        <v>5.6951651889715141E-3</v>
      </c>
      <c r="D108" s="16">
        <f t="shared" si="3"/>
        <v>7.7016828387943562E-2</v>
      </c>
    </row>
    <row r="109" spans="1:4" x14ac:dyDescent="0.2">
      <c r="A109" s="13">
        <v>36708</v>
      </c>
      <c r="B109" s="18">
        <f>VLOOKUP(A109,Database!A:M,MATCH($A$1,Database!$A$1:$M$1,),)</f>
        <v>207425</v>
      </c>
      <c r="C109" s="15">
        <f t="shared" si="2"/>
        <v>3.0998529866914266E-3</v>
      </c>
      <c r="D109" s="16">
        <f t="shared" si="3"/>
        <v>7.5036149823526674E-2</v>
      </c>
    </row>
    <row r="110" spans="1:4" x14ac:dyDescent="0.2">
      <c r="A110" s="14">
        <v>36739</v>
      </c>
      <c r="B110" s="18">
        <f>VLOOKUP(A110,Database!A:M,MATCH($A$1,Database!$A$1:$M$1,),)</f>
        <v>207607</v>
      </c>
      <c r="C110" s="15">
        <f t="shared" si="2"/>
        <v>8.7742557550922018E-4</v>
      </c>
      <c r="D110" s="16">
        <f t="shared" si="3"/>
        <v>6.7294889392700896E-2</v>
      </c>
    </row>
    <row r="111" spans="1:4" x14ac:dyDescent="0.2">
      <c r="A111" s="13">
        <v>36770</v>
      </c>
      <c r="B111" s="18">
        <f>VLOOKUP(A111,Database!A:M,MATCH($A$1,Database!$A$1:$M$1,),)</f>
        <v>210698</v>
      </c>
      <c r="C111" s="15">
        <f t="shared" si="2"/>
        <v>1.4888707991541711E-2</v>
      </c>
      <c r="D111" s="16">
        <f t="shared" si="3"/>
        <v>7.407464048489297E-2</v>
      </c>
    </row>
    <row r="112" spans="1:4" x14ac:dyDescent="0.2">
      <c r="A112" s="14">
        <v>36800</v>
      </c>
      <c r="B112" s="18">
        <f>VLOOKUP(A112,Database!A:M,MATCH($A$1,Database!$A$1:$M$1,),)</f>
        <v>210719</v>
      </c>
      <c r="C112" s="15">
        <f t="shared" si="2"/>
        <v>9.9668720158710574E-5</v>
      </c>
      <c r="D112" s="16">
        <f t="shared" si="3"/>
        <v>6.8018591072433215E-2</v>
      </c>
    </row>
    <row r="113" spans="1:4" x14ac:dyDescent="0.2">
      <c r="A113" s="13">
        <v>36831</v>
      </c>
      <c r="B113" s="18">
        <f>VLOOKUP(A113,Database!A:M,MATCH($A$1,Database!$A$1:$M$1,),)</f>
        <v>211384</v>
      </c>
      <c r="C113" s="15">
        <f t="shared" si="2"/>
        <v>3.1558615976727301E-3</v>
      </c>
      <c r="D113" s="16">
        <f t="shared" si="3"/>
        <v>6.3856343358698719E-2</v>
      </c>
    </row>
    <row r="114" spans="1:4" x14ac:dyDescent="0.2">
      <c r="A114" s="14">
        <v>36861</v>
      </c>
      <c r="B114" s="18">
        <f>VLOOKUP(A114,Database!A:M,MATCH($A$1,Database!$A$1:$M$1,),)</f>
        <v>212267</v>
      </c>
      <c r="C114" s="15">
        <f t="shared" si="2"/>
        <v>4.1772319570071532E-3</v>
      </c>
      <c r="D114" s="16">
        <f t="shared" si="3"/>
        <v>4.0759190797925025E-2</v>
      </c>
    </row>
    <row r="115" spans="1:4" x14ac:dyDescent="0.2">
      <c r="A115" s="13">
        <v>36892</v>
      </c>
      <c r="B115" s="18">
        <f>VLOOKUP(A115,Database!A:M,MATCH($A$1,Database!$A$1:$M$1,),)</f>
        <v>212908</v>
      </c>
      <c r="C115" s="15">
        <f t="shared" si="2"/>
        <v>3.0197816900413158E-3</v>
      </c>
      <c r="D115" s="16">
        <f t="shared" si="3"/>
        <v>6.2600753624635047E-2</v>
      </c>
    </row>
    <row r="116" spans="1:4" x14ac:dyDescent="0.2">
      <c r="A116" s="14">
        <v>36923</v>
      </c>
      <c r="B116" s="18">
        <f>VLOOKUP(A116,Database!A:M,MATCH($A$1,Database!$A$1:$M$1,),)</f>
        <v>212585</v>
      </c>
      <c r="C116" s="15">
        <f t="shared" si="2"/>
        <v>-1.5170871925902268E-3</v>
      </c>
      <c r="D116" s="16">
        <f t="shared" si="3"/>
        <v>4.7552171877694831E-2</v>
      </c>
    </row>
    <row r="117" spans="1:4" x14ac:dyDescent="0.2">
      <c r="A117" s="13">
        <v>36951</v>
      </c>
      <c r="B117" s="18">
        <f>VLOOKUP(A117,Database!A:M,MATCH($A$1,Database!$A$1:$M$1,),)</f>
        <v>210779</v>
      </c>
      <c r="C117" s="15">
        <f t="shared" si="2"/>
        <v>-8.4954253592680572E-3</v>
      </c>
      <c r="D117" s="16">
        <f t="shared" si="3"/>
        <v>1.9442926305505443E-2</v>
      </c>
    </row>
    <row r="118" spans="1:4" x14ac:dyDescent="0.2">
      <c r="A118" s="14">
        <v>36982</v>
      </c>
      <c r="B118" s="18">
        <f>VLOOKUP(A118,Database!A:M,MATCH($A$1,Database!$A$1:$M$1,),)</f>
        <v>213875</v>
      </c>
      <c r="C118" s="15">
        <f t="shared" si="2"/>
        <v>1.4688370283567148E-2</v>
      </c>
      <c r="D118" s="16">
        <f t="shared" si="3"/>
        <v>4.2103160295077817E-2</v>
      </c>
    </row>
    <row r="119" spans="1:4" x14ac:dyDescent="0.2">
      <c r="A119" s="13">
        <v>37012</v>
      </c>
      <c r="B119" s="18">
        <f>VLOOKUP(A119,Database!A:M,MATCH($A$1,Database!$A$1:$M$1,),)</f>
        <v>214457</v>
      </c>
      <c r="C119" s="15">
        <f t="shared" si="2"/>
        <v>2.7212156633547634E-3</v>
      </c>
      <c r="D119" s="16">
        <f t="shared" si="3"/>
        <v>4.3012844518585884E-2</v>
      </c>
    </row>
    <row r="120" spans="1:4" x14ac:dyDescent="0.2">
      <c r="A120" s="14">
        <v>37043</v>
      </c>
      <c r="B120" s="18">
        <f>VLOOKUP(A120,Database!A:M,MATCH($A$1,Database!$A$1:$M$1,),)</f>
        <v>213691</v>
      </c>
      <c r="C120" s="15">
        <f t="shared" si="2"/>
        <v>-3.5718115985955228E-3</v>
      </c>
      <c r="D120" s="16">
        <f t="shared" si="3"/>
        <v>3.3402004023522128E-2</v>
      </c>
    </row>
    <row r="121" spans="1:4" x14ac:dyDescent="0.2">
      <c r="A121" s="13">
        <v>37073</v>
      </c>
      <c r="B121" s="18">
        <f>VLOOKUP(A121,Database!A:M,MATCH($A$1,Database!$A$1:$M$1,),)</f>
        <v>213437</v>
      </c>
      <c r="C121" s="15">
        <f t="shared" si="2"/>
        <v>-1.1886321838542569E-3</v>
      </c>
      <c r="D121" s="16">
        <f t="shared" si="3"/>
        <v>2.8983970109678198E-2</v>
      </c>
    </row>
    <row r="122" spans="1:4" x14ac:dyDescent="0.2">
      <c r="A122" s="14">
        <v>37104</v>
      </c>
      <c r="B122" s="18">
        <f>VLOOKUP(A122,Database!A:M,MATCH($A$1,Database!$A$1:$M$1,),)</f>
        <v>215063</v>
      </c>
      <c r="C122" s="15">
        <f t="shared" si="2"/>
        <v>7.6181730440364132E-3</v>
      </c>
      <c r="D122" s="16">
        <f t="shared" si="3"/>
        <v>3.5914010606578776E-2</v>
      </c>
    </row>
    <row r="123" spans="1:4" x14ac:dyDescent="0.2">
      <c r="A123" s="13">
        <v>37135</v>
      </c>
      <c r="B123" s="18">
        <f>VLOOKUP(A123,Database!A:M,MATCH($A$1,Database!$A$1:$M$1,),)</f>
        <v>212155</v>
      </c>
      <c r="C123" s="15">
        <f t="shared" si="2"/>
        <v>-1.3521619246453365E-2</v>
      </c>
      <c r="D123" s="16">
        <f t="shared" si="3"/>
        <v>6.9151107272019665E-3</v>
      </c>
    </row>
    <row r="124" spans="1:4" x14ac:dyDescent="0.2">
      <c r="A124" s="14">
        <v>37165</v>
      </c>
      <c r="B124" s="18">
        <f>VLOOKUP(A124,Database!A:M,MATCH($A$1,Database!$A$1:$M$1,),)</f>
        <v>214085</v>
      </c>
      <c r="C124" s="15">
        <f t="shared" si="2"/>
        <v>9.0971223869340812E-3</v>
      </c>
      <c r="D124" s="16">
        <f t="shared" si="3"/>
        <v>1.5973879906415654E-2</v>
      </c>
    </row>
    <row r="125" spans="1:4" x14ac:dyDescent="0.2">
      <c r="A125" s="13">
        <v>37196</v>
      </c>
      <c r="B125" s="18">
        <f>VLOOKUP(A125,Database!A:M,MATCH($A$1,Database!$A$1:$M$1,),)</f>
        <v>214698</v>
      </c>
      <c r="C125" s="15">
        <f t="shared" si="2"/>
        <v>2.8633486699208258E-3</v>
      </c>
      <c r="D125" s="16">
        <f t="shared" si="3"/>
        <v>1.5677629338076676E-2</v>
      </c>
    </row>
    <row r="126" spans="1:4" x14ac:dyDescent="0.2">
      <c r="A126" s="14">
        <v>37226</v>
      </c>
      <c r="B126" s="18">
        <f>VLOOKUP(A126,Database!A:M,MATCH($A$1,Database!$A$1:$M$1,),)</f>
        <v>215485</v>
      </c>
      <c r="C126" s="15">
        <f t="shared" si="2"/>
        <v>3.6656140252820241E-3</v>
      </c>
      <c r="D126" s="16">
        <f t="shared" si="3"/>
        <v>1.5160152072625515E-2</v>
      </c>
    </row>
    <row r="127" spans="1:4" x14ac:dyDescent="0.2">
      <c r="A127" s="13">
        <v>37257</v>
      </c>
      <c r="B127" s="18">
        <f>VLOOKUP(A127,Database!A:M,MATCH($A$1,Database!$A$1:$M$1,),)</f>
        <v>215843</v>
      </c>
      <c r="C127" s="15">
        <f t="shared" si="2"/>
        <v>1.6613685407336938E-3</v>
      </c>
      <c r="D127" s="16">
        <f t="shared" si="3"/>
        <v>1.3785296935765683E-2</v>
      </c>
    </row>
    <row r="128" spans="1:4" x14ac:dyDescent="0.2">
      <c r="A128" s="14">
        <v>37288</v>
      </c>
      <c r="B128" s="18">
        <f>VLOOKUP(A128,Database!A:M,MATCH($A$1,Database!$A$1:$M$1,),)</f>
        <v>216886</v>
      </c>
      <c r="C128" s="15">
        <f t="shared" si="2"/>
        <v>4.8322160088582903E-3</v>
      </c>
      <c r="D128" s="16">
        <f t="shared" si="3"/>
        <v>2.0231907237105159E-2</v>
      </c>
    </row>
    <row r="129" spans="1:4" x14ac:dyDescent="0.2">
      <c r="A129" s="13">
        <v>37316</v>
      </c>
      <c r="B129" s="18">
        <f>VLOOKUP(A129,Database!A:M,MATCH($A$1,Database!$A$1:$M$1,),)</f>
        <v>217692</v>
      </c>
      <c r="C129" s="15">
        <f t="shared" si="2"/>
        <v>3.7162380236622004E-3</v>
      </c>
      <c r="D129" s="16">
        <f t="shared" si="3"/>
        <v>3.2797384938727289E-2</v>
      </c>
    </row>
    <row r="130" spans="1:4" x14ac:dyDescent="0.2">
      <c r="A130" s="14">
        <v>37347</v>
      </c>
      <c r="B130" s="18">
        <f>VLOOKUP(A130,Database!A:M,MATCH($A$1,Database!$A$1:$M$1,),)</f>
        <v>220582</v>
      </c>
      <c r="C130" s="15">
        <f t="shared" si="2"/>
        <v>1.3275637138709736E-2</v>
      </c>
      <c r="D130" s="16">
        <f t="shared" si="3"/>
        <v>3.1359438924605493E-2</v>
      </c>
    </row>
    <row r="131" spans="1:4" x14ac:dyDescent="0.2">
      <c r="A131" s="13">
        <v>37377</v>
      </c>
      <c r="B131" s="18">
        <f>VLOOKUP(A131,Database!A:M,MATCH($A$1,Database!$A$1:$M$1,),)</f>
        <v>219889</v>
      </c>
      <c r="C131" s="15">
        <f t="shared" si="2"/>
        <v>-3.1416888050702233E-3</v>
      </c>
      <c r="D131" s="16">
        <f t="shared" si="3"/>
        <v>2.5329086949831436E-2</v>
      </c>
    </row>
    <row r="132" spans="1:4" x14ac:dyDescent="0.2">
      <c r="A132" s="14">
        <v>37408</v>
      </c>
      <c r="B132" s="18">
        <f>VLOOKUP(A132,Database!A:M,MATCH($A$1,Database!$A$1:$M$1,),)</f>
        <v>220018</v>
      </c>
      <c r="C132" s="15">
        <f t="shared" si="2"/>
        <v>5.8665963281473834E-4</v>
      </c>
      <c r="D132" s="16">
        <f t="shared" si="3"/>
        <v>2.9608172548212137E-2</v>
      </c>
    </row>
    <row r="133" spans="1:4" x14ac:dyDescent="0.2">
      <c r="A133" s="13">
        <v>37438</v>
      </c>
      <c r="B133" s="18">
        <f>VLOOKUP(A133,Database!A:M,MATCH($A$1,Database!$A$1:$M$1,),)</f>
        <v>220441</v>
      </c>
      <c r="C133" s="15">
        <f t="shared" si="2"/>
        <v>1.9225699715477824E-3</v>
      </c>
      <c r="D133" s="16">
        <f t="shared" si="3"/>
        <v>3.281530381330322E-2</v>
      </c>
    </row>
    <row r="134" spans="1:4" x14ac:dyDescent="0.2">
      <c r="A134" s="14">
        <v>37469</v>
      </c>
      <c r="B134" s="18">
        <f>VLOOKUP(A134,Database!A:M,MATCH($A$1,Database!$A$1:$M$1,),)</f>
        <v>220446</v>
      </c>
      <c r="C134" s="15">
        <f t="shared" si="2"/>
        <v>2.2681806016122229E-5</v>
      </c>
      <c r="D134" s="16">
        <f t="shared" si="3"/>
        <v>2.5029874966870171E-2</v>
      </c>
    </row>
    <row r="135" spans="1:4" x14ac:dyDescent="0.2">
      <c r="A135" s="13">
        <v>37500</v>
      </c>
      <c r="B135" s="18">
        <f>VLOOKUP(A135,Database!A:M,MATCH($A$1,Database!$A$1:$M$1,),)</f>
        <v>220344</v>
      </c>
      <c r="C135" s="15">
        <f t="shared" si="2"/>
        <v>-4.6269834789472252E-4</v>
      </c>
      <c r="D135" s="16">
        <f t="shared" si="3"/>
        <v>3.8599137423110462E-2</v>
      </c>
    </row>
    <row r="136" spans="1:4" x14ac:dyDescent="0.2">
      <c r="A136" s="14">
        <v>37530</v>
      </c>
      <c r="B136" s="18">
        <f>VLOOKUP(A136,Database!A:M,MATCH($A$1,Database!$A$1:$M$1,),)</f>
        <v>222023</v>
      </c>
      <c r="C136" s="15">
        <f t="shared" si="2"/>
        <v>7.6199034237374287E-3</v>
      </c>
      <c r="D136" s="16">
        <f t="shared" si="3"/>
        <v>3.7078730410818134E-2</v>
      </c>
    </row>
    <row r="137" spans="1:4" x14ac:dyDescent="0.2">
      <c r="A137" s="13">
        <v>37561</v>
      </c>
      <c r="B137" s="18">
        <f>VLOOKUP(A137,Database!A:M,MATCH($A$1,Database!$A$1:$M$1,),)</f>
        <v>223553</v>
      </c>
      <c r="C137" s="15">
        <f t="shared" ref="C137:C200" si="4">(B137-B136)/B136</f>
        <v>6.8911779410241285E-3</v>
      </c>
      <c r="D137" s="16">
        <f t="shared" si="3"/>
        <v>4.1243979915974997E-2</v>
      </c>
    </row>
    <row r="138" spans="1:4" x14ac:dyDescent="0.2">
      <c r="A138" s="14">
        <v>37591</v>
      </c>
      <c r="B138" s="18">
        <f>VLOOKUP(A138,Database!A:M,MATCH($A$1,Database!$A$1:$M$1,),)</f>
        <v>224153</v>
      </c>
      <c r="C138" s="15">
        <f t="shared" si="4"/>
        <v>2.6839273013558305E-3</v>
      </c>
      <c r="D138" s="16">
        <f t="shared" si="3"/>
        <v>4.0225537740445974E-2</v>
      </c>
    </row>
    <row r="139" spans="1:4" x14ac:dyDescent="0.2">
      <c r="A139" s="13">
        <v>37622</v>
      </c>
      <c r="B139" s="18">
        <f>VLOOKUP(A139,Database!A:M,MATCH($A$1,Database!$A$1:$M$1,),)</f>
        <v>225575</v>
      </c>
      <c r="C139" s="15">
        <f t="shared" si="4"/>
        <v>6.3438811882954946E-3</v>
      </c>
      <c r="D139" s="16">
        <f t="shared" si="3"/>
        <v>4.5088328090324911E-2</v>
      </c>
    </row>
    <row r="140" spans="1:4" x14ac:dyDescent="0.2">
      <c r="A140" s="14">
        <v>37653</v>
      </c>
      <c r="B140" s="18">
        <f>VLOOKUP(A140,Database!A:M,MATCH($A$1,Database!$A$1:$M$1,),)</f>
        <v>224632</v>
      </c>
      <c r="C140" s="15">
        <f t="shared" si="4"/>
        <v>-4.1804277956333817E-3</v>
      </c>
      <c r="D140" s="16">
        <f t="shared" si="3"/>
        <v>3.5714615051225071E-2</v>
      </c>
    </row>
    <row r="141" spans="1:4" x14ac:dyDescent="0.2">
      <c r="A141" s="13">
        <v>37681</v>
      </c>
      <c r="B141" s="18">
        <f>VLOOKUP(A141,Database!A:M,MATCH($A$1,Database!$A$1:$M$1,),)</f>
        <v>227697</v>
      </c>
      <c r="C141" s="15">
        <f t="shared" si="4"/>
        <v>1.3644538623170341E-2</v>
      </c>
      <c r="D141" s="16">
        <f t="shared" si="3"/>
        <v>4.5959428917920729E-2</v>
      </c>
    </row>
    <row r="142" spans="1:4" x14ac:dyDescent="0.2">
      <c r="A142" s="14">
        <v>37712</v>
      </c>
      <c r="B142" s="18">
        <f>VLOOKUP(A142,Database!A:M,MATCH($A$1,Database!$A$1:$M$1,),)</f>
        <v>226020</v>
      </c>
      <c r="C142" s="15">
        <f t="shared" si="4"/>
        <v>-7.3650509229370607E-3</v>
      </c>
      <c r="D142" s="16">
        <f t="shared" si="3"/>
        <v>2.4652963523768938E-2</v>
      </c>
    </row>
    <row r="143" spans="1:4" x14ac:dyDescent="0.2">
      <c r="A143" s="13">
        <v>37742</v>
      </c>
      <c r="B143" s="18">
        <f>VLOOKUP(A143,Database!A:M,MATCH($A$1,Database!$A$1:$M$1,),)</f>
        <v>226750</v>
      </c>
      <c r="C143" s="15">
        <f t="shared" si="4"/>
        <v>3.2298026723298822E-3</v>
      </c>
      <c r="D143" s="16">
        <f t="shared" si="3"/>
        <v>3.1202106517379223E-2</v>
      </c>
    </row>
    <row r="144" spans="1:4" x14ac:dyDescent="0.2">
      <c r="A144" s="14">
        <v>37773</v>
      </c>
      <c r="B144" s="18">
        <f>VLOOKUP(A144,Database!A:M,MATCH($A$1,Database!$A$1:$M$1,),)</f>
        <v>229301</v>
      </c>
      <c r="C144" s="15">
        <f t="shared" si="4"/>
        <v>1.1250275633958104E-2</v>
      </c>
      <c r="D144" s="16">
        <f t="shared" si="3"/>
        <v>4.2192002472524977E-2</v>
      </c>
    </row>
    <row r="145" spans="1:4" x14ac:dyDescent="0.2">
      <c r="A145" s="13">
        <v>37803</v>
      </c>
      <c r="B145" s="18">
        <f>VLOOKUP(A145,Database!A:M,MATCH($A$1,Database!$A$1:$M$1,),)</f>
        <v>231698</v>
      </c>
      <c r="C145" s="15">
        <f t="shared" si="4"/>
        <v>1.0453508706896176E-2</v>
      </c>
      <c r="D145" s="16">
        <f t="shared" si="3"/>
        <v>5.1065818064697586E-2</v>
      </c>
    </row>
    <row r="146" spans="1:4" x14ac:dyDescent="0.2">
      <c r="A146" s="14">
        <v>37834</v>
      </c>
      <c r="B146" s="18">
        <f>VLOOKUP(A146,Database!A:M,MATCH($A$1,Database!$A$1:$M$1,),)</f>
        <v>234890</v>
      </c>
      <c r="C146" s="15">
        <f t="shared" si="4"/>
        <v>1.3776553962485649E-2</v>
      </c>
      <c r="D146" s="16">
        <f t="shared" si="3"/>
        <v>6.552171506854286E-2</v>
      </c>
    </row>
    <row r="147" spans="1:4" x14ac:dyDescent="0.2">
      <c r="A147" s="13">
        <v>37865</v>
      </c>
      <c r="B147" s="18">
        <f>VLOOKUP(A147,Database!A:M,MATCH($A$1,Database!$A$1:$M$1,),)</f>
        <v>234749</v>
      </c>
      <c r="C147" s="15">
        <f t="shared" si="4"/>
        <v>-6.0028098258759421E-4</v>
      </c>
      <c r="D147" s="16">
        <f t="shared" si="3"/>
        <v>6.5375049921940237E-2</v>
      </c>
    </row>
    <row r="148" spans="1:4" x14ac:dyDescent="0.2">
      <c r="A148" s="14">
        <v>37895</v>
      </c>
      <c r="B148" s="18">
        <f>VLOOKUP(A148,Database!A:M,MATCH($A$1,Database!$A$1:$M$1,),)</f>
        <v>234992</v>
      </c>
      <c r="C148" s="15">
        <f t="shared" si="4"/>
        <v>1.0351481795449608E-3</v>
      </c>
      <c r="D148" s="16">
        <f t="shared" ref="D148:D211" si="5">(B148-B136)/B136</f>
        <v>5.8412867135386876E-2</v>
      </c>
    </row>
    <row r="149" spans="1:4" x14ac:dyDescent="0.2">
      <c r="A149" s="13">
        <v>37926</v>
      </c>
      <c r="B149" s="18">
        <f>VLOOKUP(A149,Database!A:M,MATCH($A$1,Database!$A$1:$M$1,),)</f>
        <v>236789</v>
      </c>
      <c r="C149" s="15">
        <f t="shared" si="4"/>
        <v>7.6470688363859196E-3</v>
      </c>
      <c r="D149" s="16">
        <f t="shared" si="5"/>
        <v>5.920743626790962E-2</v>
      </c>
    </row>
    <row r="150" spans="1:4" x14ac:dyDescent="0.2">
      <c r="A150" s="14">
        <v>37956</v>
      </c>
      <c r="B150" s="18">
        <f>VLOOKUP(A150,Database!A:M,MATCH($A$1,Database!$A$1:$M$1,),)</f>
        <v>237304</v>
      </c>
      <c r="C150" s="15">
        <f t="shared" si="4"/>
        <v>2.1749321125559043E-3</v>
      </c>
      <c r="D150" s="16">
        <f t="shared" si="5"/>
        <v>5.8669747895410726E-2</v>
      </c>
    </row>
    <row r="151" spans="1:4" x14ac:dyDescent="0.2">
      <c r="A151" s="13">
        <v>37987</v>
      </c>
      <c r="B151" s="18">
        <f>VLOOKUP(A151,Database!A:M,MATCH($A$1,Database!$A$1:$M$1,),)</f>
        <v>239984</v>
      </c>
      <c r="C151" s="15">
        <f t="shared" si="4"/>
        <v>1.1293530661092944E-2</v>
      </c>
      <c r="D151" s="16">
        <f t="shared" si="5"/>
        <v>6.3876759392663199E-2</v>
      </c>
    </row>
    <row r="152" spans="1:4" x14ac:dyDescent="0.2">
      <c r="A152" s="14">
        <v>38018</v>
      </c>
      <c r="B152" s="18">
        <f>VLOOKUP(A152,Database!A:M,MATCH($A$1,Database!$A$1:$M$1,),)</f>
        <v>240300</v>
      </c>
      <c r="C152" s="15">
        <f t="shared" si="4"/>
        <v>1.3167544502966865E-3</v>
      </c>
      <c r="D152" s="16">
        <f t="shared" si="5"/>
        <v>6.9749634958509915E-2</v>
      </c>
    </row>
    <row r="153" spans="1:4" x14ac:dyDescent="0.2">
      <c r="A153" s="13">
        <v>38047</v>
      </c>
      <c r="B153" s="18">
        <f>VLOOKUP(A153,Database!A:M,MATCH($A$1,Database!$A$1:$M$1,),)</f>
        <v>244775</v>
      </c>
      <c r="C153" s="15">
        <f t="shared" si="4"/>
        <v>1.8622555139409074E-2</v>
      </c>
      <c r="D153" s="16">
        <f t="shared" si="5"/>
        <v>7.5003184056004257E-2</v>
      </c>
    </row>
    <row r="154" spans="1:4" x14ac:dyDescent="0.2">
      <c r="A154" s="14">
        <v>38078</v>
      </c>
      <c r="B154" s="18">
        <f>VLOOKUP(A154,Database!A:M,MATCH($A$1,Database!$A$1:$M$1,),)</f>
        <v>243552</v>
      </c>
      <c r="C154" s="15">
        <f t="shared" si="4"/>
        <v>-4.9964252885302827E-3</v>
      </c>
      <c r="D154" s="16">
        <f t="shared" si="5"/>
        <v>7.7568356782585612E-2</v>
      </c>
    </row>
    <row r="155" spans="1:4" x14ac:dyDescent="0.2">
      <c r="A155" s="13">
        <v>38108</v>
      </c>
      <c r="B155" s="18">
        <f>VLOOKUP(A155,Database!A:M,MATCH($A$1,Database!$A$1:$M$1,),)</f>
        <v>246143</v>
      </c>
      <c r="C155" s="15">
        <f t="shared" si="4"/>
        <v>1.0638385231901196E-2</v>
      </c>
      <c r="D155" s="16">
        <f t="shared" si="5"/>
        <v>8.5525909592061744E-2</v>
      </c>
    </row>
    <row r="156" spans="1:4" x14ac:dyDescent="0.2">
      <c r="A156" s="14">
        <v>38139</v>
      </c>
      <c r="B156" s="18">
        <f>VLOOKUP(A156,Database!A:M,MATCH($A$1,Database!$A$1:$M$1,),)</f>
        <v>245967</v>
      </c>
      <c r="C156" s="15">
        <f t="shared" si="4"/>
        <v>-7.1503150607573642E-4</v>
      </c>
      <c r="D156" s="16">
        <f t="shared" si="5"/>
        <v>7.2681758910776662E-2</v>
      </c>
    </row>
    <row r="157" spans="1:4" x14ac:dyDescent="0.2">
      <c r="A157" s="13">
        <v>38169</v>
      </c>
      <c r="B157" s="18">
        <f>VLOOKUP(A157,Database!A:M,MATCH($A$1,Database!$A$1:$M$1,),)</f>
        <v>247311</v>
      </c>
      <c r="C157" s="15">
        <f t="shared" si="4"/>
        <v>5.4641476295600629E-3</v>
      </c>
      <c r="D157" s="16">
        <f t="shared" si="5"/>
        <v>6.7385130644200639E-2</v>
      </c>
    </row>
    <row r="158" spans="1:4" x14ac:dyDescent="0.2">
      <c r="A158" s="14">
        <v>38200</v>
      </c>
      <c r="B158" s="18">
        <f>VLOOKUP(A158,Database!A:M,MATCH($A$1,Database!$A$1:$M$1,),)</f>
        <v>247612</v>
      </c>
      <c r="C158" s="15">
        <f t="shared" si="4"/>
        <v>1.2170910311308434E-3</v>
      </c>
      <c r="D158" s="16">
        <f t="shared" si="5"/>
        <v>5.416152241474733E-2</v>
      </c>
    </row>
    <row r="159" spans="1:4" x14ac:dyDescent="0.2">
      <c r="A159" s="13">
        <v>38231</v>
      </c>
      <c r="B159" s="18">
        <f>VLOOKUP(A159,Database!A:M,MATCH($A$1,Database!$A$1:$M$1,),)</f>
        <v>249840</v>
      </c>
      <c r="C159" s="15">
        <f t="shared" si="4"/>
        <v>8.9979484031468583E-3</v>
      </c>
      <c r="D159" s="16">
        <f t="shared" si="5"/>
        <v>6.4285683858078202E-2</v>
      </c>
    </row>
    <row r="160" spans="1:4" x14ac:dyDescent="0.2">
      <c r="A160" s="14">
        <v>38261</v>
      </c>
      <c r="B160" s="18">
        <f>VLOOKUP(A160,Database!A:M,MATCH($A$1,Database!$A$1:$M$1,),)</f>
        <v>252882</v>
      </c>
      <c r="C160" s="15">
        <f t="shared" si="4"/>
        <v>1.2175792507204611E-2</v>
      </c>
      <c r="D160" s="16">
        <f t="shared" si="5"/>
        <v>7.6130251242595495E-2</v>
      </c>
    </row>
    <row r="161" spans="1:4" x14ac:dyDescent="0.2">
      <c r="A161" s="13">
        <v>38292</v>
      </c>
      <c r="B161" s="18">
        <f>VLOOKUP(A161,Database!A:M,MATCH($A$1,Database!$A$1:$M$1,),)</f>
        <v>254429</v>
      </c>
      <c r="C161" s="15">
        <f t="shared" si="4"/>
        <v>6.1174777168798095E-3</v>
      </c>
      <c r="D161" s="16">
        <f t="shared" si="5"/>
        <v>7.4496703816477966E-2</v>
      </c>
    </row>
    <row r="162" spans="1:4" x14ac:dyDescent="0.2">
      <c r="A162" s="14">
        <v>38322</v>
      </c>
      <c r="B162" s="18">
        <f>VLOOKUP(A162,Database!A:M,MATCH($A$1,Database!$A$1:$M$1,),)</f>
        <v>256487</v>
      </c>
      <c r="C162" s="15">
        <f t="shared" si="4"/>
        <v>8.088700580515586E-3</v>
      </c>
      <c r="D162" s="16">
        <f t="shared" si="5"/>
        <v>8.0837238310352971E-2</v>
      </c>
    </row>
    <row r="163" spans="1:4" x14ac:dyDescent="0.2">
      <c r="A163" s="13">
        <v>38353</v>
      </c>
      <c r="B163" s="18">
        <f>VLOOKUP(A163,Database!A:M,MATCH($A$1,Database!$A$1:$M$1,),)</f>
        <v>256613</v>
      </c>
      <c r="C163" s="15">
        <f t="shared" si="4"/>
        <v>4.9125296798668155E-4</v>
      </c>
      <c r="D163" s="16">
        <f t="shared" si="5"/>
        <v>6.9292119474631639E-2</v>
      </c>
    </row>
    <row r="164" spans="1:4" x14ac:dyDescent="0.2">
      <c r="A164" s="14">
        <v>38384</v>
      </c>
      <c r="B164" s="18">
        <f>VLOOKUP(A164,Database!A:M,MATCH($A$1,Database!$A$1:$M$1,),)</f>
        <v>259253</v>
      </c>
      <c r="C164" s="15">
        <f t="shared" si="4"/>
        <v>1.0287865384840207E-2</v>
      </c>
      <c r="D164" s="16">
        <f t="shared" si="5"/>
        <v>7.8872243029546402E-2</v>
      </c>
    </row>
    <row r="165" spans="1:4" x14ac:dyDescent="0.2">
      <c r="A165" s="13">
        <v>38412</v>
      </c>
      <c r="B165" s="18">
        <f>VLOOKUP(A165,Database!A:M,MATCH($A$1,Database!$A$1:$M$1,),)</f>
        <v>259434</v>
      </c>
      <c r="C165" s="15">
        <f t="shared" si="4"/>
        <v>6.9815971271306408E-4</v>
      </c>
      <c r="D165" s="16">
        <f t="shared" si="5"/>
        <v>5.9887651925237463E-2</v>
      </c>
    </row>
    <row r="166" spans="1:4" x14ac:dyDescent="0.2">
      <c r="A166" s="14">
        <v>38443</v>
      </c>
      <c r="B166" s="18">
        <f>VLOOKUP(A166,Database!A:M,MATCH($A$1,Database!$A$1:$M$1,),)</f>
        <v>262934</v>
      </c>
      <c r="C166" s="15">
        <f t="shared" si="4"/>
        <v>1.3490907128595327E-2</v>
      </c>
      <c r="D166" s="16">
        <f t="shared" si="5"/>
        <v>7.9580541321771114E-2</v>
      </c>
    </row>
    <row r="167" spans="1:4" x14ac:dyDescent="0.2">
      <c r="A167" s="13">
        <v>38473</v>
      </c>
      <c r="B167" s="18">
        <f>VLOOKUP(A167,Database!A:M,MATCH($A$1,Database!$A$1:$M$1,),)</f>
        <v>261297</v>
      </c>
      <c r="C167" s="15">
        <f t="shared" si="4"/>
        <v>-6.2258969931617818E-3</v>
      </c>
      <c r="D167" s="16">
        <f t="shared" si="5"/>
        <v>6.1565837744725627E-2</v>
      </c>
    </row>
    <row r="168" spans="1:4" x14ac:dyDescent="0.2">
      <c r="A168" s="14">
        <v>38504</v>
      </c>
      <c r="B168" s="18">
        <f>VLOOKUP(A168,Database!A:M,MATCH($A$1,Database!$A$1:$M$1,),)</f>
        <v>264359</v>
      </c>
      <c r="C168" s="15">
        <f t="shared" si="4"/>
        <v>1.1718465960190895E-2</v>
      </c>
      <c r="D168" s="16">
        <f t="shared" si="5"/>
        <v>7.4774258335467761E-2</v>
      </c>
    </row>
    <row r="169" spans="1:4" x14ac:dyDescent="0.2">
      <c r="A169" s="13">
        <v>38534</v>
      </c>
      <c r="B169" s="18">
        <f>VLOOKUP(A169,Database!A:M,MATCH($A$1,Database!$A$1:$M$1,),)</f>
        <v>264971</v>
      </c>
      <c r="C169" s="15">
        <f t="shared" si="4"/>
        <v>2.315033723081113E-3</v>
      </c>
      <c r="D169" s="16">
        <f t="shared" si="5"/>
        <v>7.1408065148739847E-2</v>
      </c>
    </row>
    <row r="170" spans="1:4" x14ac:dyDescent="0.2">
      <c r="A170" s="14">
        <v>38565</v>
      </c>
      <c r="B170" s="18">
        <f>VLOOKUP(A170,Database!A:M,MATCH($A$1,Database!$A$1:$M$1,),)</f>
        <v>269520</v>
      </c>
      <c r="C170" s="15">
        <f t="shared" si="4"/>
        <v>1.7167916488974266E-2</v>
      </c>
      <c r="D170" s="16">
        <f t="shared" si="5"/>
        <v>8.8477133579955736E-2</v>
      </c>
    </row>
    <row r="171" spans="1:4" x14ac:dyDescent="0.2">
      <c r="A171" s="13">
        <v>38596</v>
      </c>
      <c r="B171" s="18">
        <f>VLOOKUP(A171,Database!A:M,MATCH($A$1,Database!$A$1:$M$1,),)</f>
        <v>273329</v>
      </c>
      <c r="C171" s="15">
        <f t="shared" si="4"/>
        <v>1.4132531908578213E-2</v>
      </c>
      <c r="D171" s="16">
        <f t="shared" si="5"/>
        <v>9.4016170349023376E-2</v>
      </c>
    </row>
    <row r="172" spans="1:4" x14ac:dyDescent="0.2">
      <c r="A172" s="14">
        <v>38626</v>
      </c>
      <c r="B172" s="18">
        <f>VLOOKUP(A172,Database!A:M,MATCH($A$1,Database!$A$1:$M$1,),)</f>
        <v>276244</v>
      </c>
      <c r="C172" s="15">
        <f t="shared" si="4"/>
        <v>1.0664803222490112E-2</v>
      </c>
      <c r="D172" s="16">
        <f t="shared" si="5"/>
        <v>9.2383008675983258E-2</v>
      </c>
    </row>
    <row r="173" spans="1:4" x14ac:dyDescent="0.2">
      <c r="A173" s="13">
        <v>38657</v>
      </c>
      <c r="B173" s="18">
        <f>VLOOKUP(A173,Database!A:M,MATCH($A$1,Database!$A$1:$M$1,),)</f>
        <v>274114</v>
      </c>
      <c r="C173" s="15">
        <f t="shared" si="4"/>
        <v>-7.7105747093149535E-3</v>
      </c>
      <c r="D173" s="16">
        <f t="shared" si="5"/>
        <v>7.7369325037633288E-2</v>
      </c>
    </row>
    <row r="174" spans="1:4" x14ac:dyDescent="0.2">
      <c r="A174" s="14">
        <v>38687</v>
      </c>
      <c r="B174" s="18">
        <f>VLOOKUP(A174,Database!A:M,MATCH($A$1,Database!$A$1:$M$1,),)</f>
        <v>274073</v>
      </c>
      <c r="C174" s="15">
        <f t="shared" si="4"/>
        <v>-1.4957280547509431E-4</v>
      </c>
      <c r="D174" s="16">
        <f t="shared" si="5"/>
        <v>6.8564878531855417E-2</v>
      </c>
    </row>
    <row r="175" spans="1:4" x14ac:dyDescent="0.2">
      <c r="A175" s="13">
        <v>38718</v>
      </c>
      <c r="B175" s="18">
        <f>VLOOKUP(A175,Database!A:M,MATCH($A$1,Database!$A$1:$M$1,),)</f>
        <v>280574</v>
      </c>
      <c r="C175" s="15">
        <f t="shared" si="4"/>
        <v>2.3719957821456326E-2</v>
      </c>
      <c r="D175" s="16">
        <f t="shared" si="5"/>
        <v>9.3374069123544012E-2</v>
      </c>
    </row>
    <row r="176" spans="1:4" x14ac:dyDescent="0.2">
      <c r="A176" s="14">
        <v>38749</v>
      </c>
      <c r="B176" s="18">
        <f>VLOOKUP(A176,Database!A:M,MATCH($A$1,Database!$A$1:$M$1,),)</f>
        <v>280598</v>
      </c>
      <c r="C176" s="15">
        <f t="shared" si="4"/>
        <v>8.5538930905928562E-5</v>
      </c>
      <c r="D176" s="16">
        <f t="shared" si="5"/>
        <v>8.2332702032377636E-2</v>
      </c>
    </row>
    <row r="177" spans="1:4" x14ac:dyDescent="0.2">
      <c r="A177" s="13">
        <v>38777</v>
      </c>
      <c r="B177" s="18">
        <f>VLOOKUP(A177,Database!A:M,MATCH($A$1,Database!$A$1:$M$1,),)</f>
        <v>281056</v>
      </c>
      <c r="C177" s="15">
        <f t="shared" si="4"/>
        <v>1.6322283123899671E-3</v>
      </c>
      <c r="D177" s="16">
        <f t="shared" si="5"/>
        <v>8.334296969556805E-2</v>
      </c>
    </row>
    <row r="178" spans="1:4" x14ac:dyDescent="0.2">
      <c r="A178" s="14">
        <v>38808</v>
      </c>
      <c r="B178" s="18">
        <f>VLOOKUP(A178,Database!A:M,MATCH($A$1,Database!$A$1:$M$1,),)</f>
        <v>282525</v>
      </c>
      <c r="C178" s="15">
        <f t="shared" si="4"/>
        <v>5.2267163839234887E-3</v>
      </c>
      <c r="D178" s="16">
        <f t="shared" si="5"/>
        <v>7.450919242091171E-2</v>
      </c>
    </row>
    <row r="179" spans="1:4" x14ac:dyDescent="0.2">
      <c r="A179" s="13">
        <v>38838</v>
      </c>
      <c r="B179" s="18">
        <f>VLOOKUP(A179,Database!A:M,MATCH($A$1,Database!$A$1:$M$1,),)</f>
        <v>282623</v>
      </c>
      <c r="C179" s="15">
        <f t="shared" si="4"/>
        <v>3.4687195823378464E-4</v>
      </c>
      <c r="D179" s="16">
        <f t="shared" si="5"/>
        <v>8.1615938950695952E-2</v>
      </c>
    </row>
    <row r="180" spans="1:4" x14ac:dyDescent="0.2">
      <c r="A180" s="14">
        <v>38869</v>
      </c>
      <c r="B180" s="18">
        <f>VLOOKUP(A180,Database!A:M,MATCH($A$1,Database!$A$1:$M$1,),)</f>
        <v>282510</v>
      </c>
      <c r="C180" s="15">
        <f t="shared" si="4"/>
        <v>-3.9982591650361083E-4</v>
      </c>
      <c r="D180" s="16">
        <f t="shared" si="5"/>
        <v>6.8660420110531514E-2</v>
      </c>
    </row>
    <row r="181" spans="1:4" x14ac:dyDescent="0.2">
      <c r="A181" s="13">
        <v>38899</v>
      </c>
      <c r="B181" s="18">
        <f>VLOOKUP(A181,Database!A:M,MATCH($A$1,Database!$A$1:$M$1,),)</f>
        <v>283042</v>
      </c>
      <c r="C181" s="15">
        <f t="shared" si="4"/>
        <v>1.8831191816218896E-3</v>
      </c>
      <c r="D181" s="16">
        <f t="shared" si="5"/>
        <v>6.8199916217246415E-2</v>
      </c>
    </row>
    <row r="182" spans="1:4" x14ac:dyDescent="0.2">
      <c r="A182" s="14">
        <v>38930</v>
      </c>
      <c r="B182" s="18">
        <f>VLOOKUP(A182,Database!A:M,MATCH($A$1,Database!$A$1:$M$1,),)</f>
        <v>285504</v>
      </c>
      <c r="C182" s="15">
        <f t="shared" si="4"/>
        <v>8.6983557210590663E-3</v>
      </c>
      <c r="D182" s="16">
        <f t="shared" si="5"/>
        <v>5.9305431878895816E-2</v>
      </c>
    </row>
    <row r="183" spans="1:4" x14ac:dyDescent="0.2">
      <c r="A183" s="13">
        <v>38961</v>
      </c>
      <c r="B183" s="18">
        <f>VLOOKUP(A183,Database!A:M,MATCH($A$1,Database!$A$1:$M$1,),)</f>
        <v>284382</v>
      </c>
      <c r="C183" s="15">
        <f t="shared" si="4"/>
        <v>-3.9298924008069943E-3</v>
      </c>
      <c r="D183" s="16">
        <f t="shared" si="5"/>
        <v>4.0438445975363023E-2</v>
      </c>
    </row>
    <row r="184" spans="1:4" x14ac:dyDescent="0.2">
      <c r="A184" s="14">
        <v>38991</v>
      </c>
      <c r="B184" s="18">
        <f>VLOOKUP(A184,Database!A:M,MATCH($A$1,Database!$A$1:$M$1,),)</f>
        <v>283015</v>
      </c>
      <c r="C184" s="15">
        <f t="shared" si="4"/>
        <v>-4.8069146429802166E-3</v>
      </c>
      <c r="D184" s="16">
        <f t="shared" si="5"/>
        <v>2.4510939604118098E-2</v>
      </c>
    </row>
    <row r="185" spans="1:4" x14ac:dyDescent="0.2">
      <c r="A185" s="13">
        <v>39022</v>
      </c>
      <c r="B185" s="18">
        <f>VLOOKUP(A185,Database!A:M,MATCH($A$1,Database!$A$1:$M$1,),)</f>
        <v>283202</v>
      </c>
      <c r="C185" s="15">
        <f t="shared" si="4"/>
        <v>6.607423634789676E-4</v>
      </c>
      <c r="D185" s="16">
        <f t="shared" si="5"/>
        <v>3.3154089174577003E-2</v>
      </c>
    </row>
    <row r="186" spans="1:4" x14ac:dyDescent="0.2">
      <c r="A186" s="14">
        <v>39052</v>
      </c>
      <c r="B186" s="18">
        <f>VLOOKUP(A186,Database!A:M,MATCH($A$1,Database!$A$1:$M$1,),)</f>
        <v>288292</v>
      </c>
      <c r="C186" s="15">
        <f t="shared" si="4"/>
        <v>1.7973036913581118E-2</v>
      </c>
      <c r="D186" s="16">
        <f t="shared" si="5"/>
        <v>5.1880338449975007E-2</v>
      </c>
    </row>
    <row r="187" spans="1:4" x14ac:dyDescent="0.2">
      <c r="A187" s="13">
        <v>39083</v>
      </c>
      <c r="B187" s="18">
        <f>VLOOKUP(A187,Database!A:M,MATCH($A$1,Database!$A$1:$M$1,),)</f>
        <v>288217</v>
      </c>
      <c r="C187" s="15">
        <f t="shared" si="4"/>
        <v>-2.6015290053140567E-4</v>
      </c>
      <c r="D187" s="16">
        <f t="shared" si="5"/>
        <v>2.7240585371417166E-2</v>
      </c>
    </row>
    <row r="188" spans="1:4" x14ac:dyDescent="0.2">
      <c r="A188" s="14">
        <v>39114</v>
      </c>
      <c r="B188" s="18">
        <f>VLOOKUP(A188,Database!A:M,MATCH($A$1,Database!$A$1:$M$1,),)</f>
        <v>288165</v>
      </c>
      <c r="C188" s="15">
        <f t="shared" si="4"/>
        <v>-1.8041961438777034E-4</v>
      </c>
      <c r="D188" s="16">
        <f t="shared" si="5"/>
        <v>2.6967405327194063E-2</v>
      </c>
    </row>
    <row r="189" spans="1:4" x14ac:dyDescent="0.2">
      <c r="A189" s="13">
        <v>39142</v>
      </c>
      <c r="B189" s="18">
        <f>VLOOKUP(A189,Database!A:M,MATCH($A$1,Database!$A$1:$M$1,),)</f>
        <v>291686</v>
      </c>
      <c r="C189" s="15">
        <f t="shared" si="4"/>
        <v>1.221869415092048E-2</v>
      </c>
      <c r="D189" s="16">
        <f t="shared" si="5"/>
        <v>3.7821644085164523E-2</v>
      </c>
    </row>
    <row r="190" spans="1:4" x14ac:dyDescent="0.2">
      <c r="A190" s="14">
        <v>39173</v>
      </c>
      <c r="B190" s="18">
        <f>VLOOKUP(A190,Database!A:M,MATCH($A$1,Database!$A$1:$M$1,),)</f>
        <v>289982</v>
      </c>
      <c r="C190" s="15">
        <f t="shared" si="4"/>
        <v>-5.8418984798721913E-3</v>
      </c>
      <c r="D190" s="16">
        <f t="shared" si="5"/>
        <v>2.6394124413768694E-2</v>
      </c>
    </row>
    <row r="191" spans="1:4" x14ac:dyDescent="0.2">
      <c r="A191" s="13">
        <v>39203</v>
      </c>
      <c r="B191" s="18">
        <f>VLOOKUP(A191,Database!A:M,MATCH($A$1,Database!$A$1:$M$1,),)</f>
        <v>293748</v>
      </c>
      <c r="C191" s="15">
        <f t="shared" si="4"/>
        <v>1.2987012987012988E-2</v>
      </c>
      <c r="D191" s="16">
        <f t="shared" si="5"/>
        <v>3.9363392222147527E-2</v>
      </c>
    </row>
    <row r="192" spans="1:4" x14ac:dyDescent="0.2">
      <c r="A192" s="14">
        <v>39234</v>
      </c>
      <c r="B192" s="18">
        <f>VLOOKUP(A192,Database!A:M,MATCH($A$1,Database!$A$1:$M$1,),)</f>
        <v>293360</v>
      </c>
      <c r="C192" s="15">
        <f t="shared" si="4"/>
        <v>-1.3208600569195364E-3</v>
      </c>
      <c r="D192" s="16">
        <f t="shared" si="5"/>
        <v>3.8405720151499061E-2</v>
      </c>
    </row>
    <row r="193" spans="1:4" x14ac:dyDescent="0.2">
      <c r="A193" s="13">
        <v>39264</v>
      </c>
      <c r="B193" s="18">
        <f>VLOOKUP(A193,Database!A:M,MATCH($A$1,Database!$A$1:$M$1,),)</f>
        <v>294682</v>
      </c>
      <c r="C193" s="15">
        <f t="shared" si="4"/>
        <v>4.5064085083174254E-3</v>
      </c>
      <c r="D193" s="16">
        <f t="shared" si="5"/>
        <v>4.1124638746193147E-2</v>
      </c>
    </row>
    <row r="194" spans="1:4" x14ac:dyDescent="0.2">
      <c r="A194" s="14">
        <v>39295</v>
      </c>
      <c r="B194" s="18">
        <f>VLOOKUP(A194,Database!A:M,MATCH($A$1,Database!$A$1:$M$1,),)</f>
        <v>294809</v>
      </c>
      <c r="C194" s="15">
        <f t="shared" si="4"/>
        <v>4.3097304891374433E-4</v>
      </c>
      <c r="D194" s="16">
        <f t="shared" si="5"/>
        <v>3.2591487334678322E-2</v>
      </c>
    </row>
    <row r="195" spans="1:4" x14ac:dyDescent="0.2">
      <c r="A195" s="13">
        <v>39326</v>
      </c>
      <c r="B195" s="18">
        <f>VLOOKUP(A195,Database!A:M,MATCH($A$1,Database!$A$1:$M$1,),)</f>
        <v>295693</v>
      </c>
      <c r="C195" s="15">
        <f t="shared" si="4"/>
        <v>2.9985516045982312E-3</v>
      </c>
      <c r="D195" s="16">
        <f t="shared" si="5"/>
        <v>3.9773966003474201E-2</v>
      </c>
    </row>
    <row r="196" spans="1:4" x14ac:dyDescent="0.2">
      <c r="A196" s="14">
        <v>39356</v>
      </c>
      <c r="B196" s="18">
        <f>VLOOKUP(A196,Database!A:M,MATCH($A$1,Database!$A$1:$M$1,),)</f>
        <v>297672</v>
      </c>
      <c r="C196" s="15">
        <f t="shared" si="4"/>
        <v>6.6927522802365967E-3</v>
      </c>
      <c r="D196" s="16">
        <f t="shared" si="5"/>
        <v>5.1788774446584106E-2</v>
      </c>
    </row>
    <row r="197" spans="1:4" x14ac:dyDescent="0.2">
      <c r="A197" s="13">
        <v>39387</v>
      </c>
      <c r="B197" s="18">
        <f>VLOOKUP(A197,Database!A:M,MATCH($A$1,Database!$A$1:$M$1,),)</f>
        <v>302939</v>
      </c>
      <c r="C197" s="15">
        <f t="shared" si="4"/>
        <v>1.7693971888521596E-2</v>
      </c>
      <c r="D197" s="16">
        <f t="shared" si="5"/>
        <v>6.9692304432878299E-2</v>
      </c>
    </row>
    <row r="198" spans="1:4" x14ac:dyDescent="0.2">
      <c r="A198" s="14">
        <v>39417</v>
      </c>
      <c r="B198" s="18">
        <f>VLOOKUP(A198,Database!A:M,MATCH($A$1,Database!$A$1:$M$1,),)</f>
        <v>300953</v>
      </c>
      <c r="C198" s="15">
        <f t="shared" si="4"/>
        <v>-6.5557752550843571E-3</v>
      </c>
      <c r="D198" s="16">
        <f t="shared" si="5"/>
        <v>4.3917278315041691E-2</v>
      </c>
    </row>
    <row r="199" spans="1:4" x14ac:dyDescent="0.2">
      <c r="A199" s="13">
        <v>39448</v>
      </c>
      <c r="B199" s="18">
        <f>VLOOKUP(A199,Database!A:M,MATCH($A$1,Database!$A$1:$M$1,),)</f>
        <v>301402</v>
      </c>
      <c r="C199" s="15">
        <f t="shared" si="4"/>
        <v>1.4919273109090124E-3</v>
      </c>
      <c r="D199" s="16">
        <f t="shared" si="5"/>
        <v>4.5746781071206763E-2</v>
      </c>
    </row>
    <row r="200" spans="1:4" x14ac:dyDescent="0.2">
      <c r="A200" s="14">
        <v>39479</v>
      </c>
      <c r="B200" s="18">
        <f>VLOOKUP(A200,Database!A:M,MATCH($A$1,Database!$A$1:$M$1,),)</f>
        <v>299627</v>
      </c>
      <c r="C200" s="15">
        <f t="shared" si="4"/>
        <v>-5.8891447302937602E-3</v>
      </c>
      <c r="D200" s="16">
        <f t="shared" si="5"/>
        <v>3.9775822879253207E-2</v>
      </c>
    </row>
    <row r="201" spans="1:4" x14ac:dyDescent="0.2">
      <c r="A201" s="13">
        <v>39508</v>
      </c>
      <c r="B201" s="18">
        <f>VLOOKUP(A201,Database!A:M,MATCH($A$1,Database!$A$1:$M$1,),)</f>
        <v>300971</v>
      </c>
      <c r="C201" s="15">
        <f t="shared" ref="C201:C264" si="6">(B201-B200)/B200</f>
        <v>4.4855770674872425E-3</v>
      </c>
      <c r="D201" s="16">
        <f t="shared" si="5"/>
        <v>3.183217569578245E-2</v>
      </c>
    </row>
    <row r="202" spans="1:4" x14ac:dyDescent="0.2">
      <c r="A202" s="14">
        <v>39539</v>
      </c>
      <c r="B202" s="18">
        <f>VLOOKUP(A202,Database!A:M,MATCH($A$1,Database!$A$1:$M$1,),)</f>
        <v>302520</v>
      </c>
      <c r="C202" s="15">
        <f t="shared" si="6"/>
        <v>5.146675261071665E-3</v>
      </c>
      <c r="D202" s="16">
        <f t="shared" si="5"/>
        <v>4.3237166444813818E-2</v>
      </c>
    </row>
    <row r="203" spans="1:4" x14ac:dyDescent="0.2">
      <c r="A203" s="13">
        <v>39569</v>
      </c>
      <c r="B203" s="18">
        <f>VLOOKUP(A203,Database!A:M,MATCH($A$1,Database!$A$1:$M$1,),)</f>
        <v>306893</v>
      </c>
      <c r="C203" s="15">
        <f t="shared" si="6"/>
        <v>1.4455242628586541E-2</v>
      </c>
      <c r="D203" s="16">
        <f t="shared" si="5"/>
        <v>4.474924084589512E-2</v>
      </c>
    </row>
    <row r="204" spans="1:4" x14ac:dyDescent="0.2">
      <c r="A204" s="14">
        <v>39600</v>
      </c>
      <c r="B204" s="18">
        <f>VLOOKUP(A204,Database!A:M,MATCH($A$1,Database!$A$1:$M$1,),)</f>
        <v>309294</v>
      </c>
      <c r="C204" s="15">
        <f t="shared" si="6"/>
        <v>7.8235736885494296E-3</v>
      </c>
      <c r="D204" s="16">
        <f t="shared" si="5"/>
        <v>5.4315516771202617E-2</v>
      </c>
    </row>
    <row r="205" spans="1:4" x14ac:dyDescent="0.2">
      <c r="A205" s="13">
        <v>39630</v>
      </c>
      <c r="B205" s="18">
        <f>VLOOKUP(A205,Database!A:M,MATCH($A$1,Database!$A$1:$M$1,),)</f>
        <v>310641</v>
      </c>
      <c r="C205" s="15">
        <f t="shared" si="6"/>
        <v>4.3550796329705713E-3</v>
      </c>
      <c r="D205" s="16">
        <f t="shared" si="5"/>
        <v>5.4156684154444454E-2</v>
      </c>
    </row>
    <row r="206" spans="1:4" x14ac:dyDescent="0.2">
      <c r="A206" s="14">
        <v>39661</v>
      </c>
      <c r="B206" s="18">
        <f>VLOOKUP(A206,Database!A:M,MATCH($A$1,Database!$A$1:$M$1,),)</f>
        <v>307299</v>
      </c>
      <c r="C206" s="15">
        <f t="shared" si="6"/>
        <v>-1.0758399567346229E-2</v>
      </c>
      <c r="D206" s="16">
        <f t="shared" si="5"/>
        <v>4.2366413508407141E-2</v>
      </c>
    </row>
    <row r="207" spans="1:4" x14ac:dyDescent="0.2">
      <c r="A207" s="13">
        <v>39692</v>
      </c>
      <c r="B207" s="18">
        <f>VLOOKUP(A207,Database!A:M,MATCH($A$1,Database!$A$1:$M$1,),)</f>
        <v>304180</v>
      </c>
      <c r="C207" s="15">
        <f t="shared" si="6"/>
        <v>-1.0149723884555433E-2</v>
      </c>
      <c r="D207" s="16">
        <f t="shared" si="5"/>
        <v>2.8702065994122283E-2</v>
      </c>
    </row>
    <row r="208" spans="1:4" x14ac:dyDescent="0.2">
      <c r="A208" s="14">
        <v>39722</v>
      </c>
      <c r="B208" s="18">
        <f>VLOOKUP(A208,Database!A:M,MATCH($A$1,Database!$A$1:$M$1,),)</f>
        <v>296351</v>
      </c>
      <c r="C208" s="15">
        <f t="shared" si="6"/>
        <v>-2.5738049838911172E-2</v>
      </c>
      <c r="D208" s="16">
        <f t="shared" si="5"/>
        <v>-4.4377704318847595E-3</v>
      </c>
    </row>
    <row r="209" spans="1:4" x14ac:dyDescent="0.2">
      <c r="A209" s="13">
        <v>39753</v>
      </c>
      <c r="B209" s="18">
        <f>VLOOKUP(A209,Database!A:M,MATCH($A$1,Database!$A$1:$M$1,),)</f>
        <v>284366</v>
      </c>
      <c r="C209" s="15">
        <f t="shared" si="6"/>
        <v>-4.0441908412659315E-2</v>
      </c>
      <c r="D209" s="16">
        <f t="shared" si="5"/>
        <v>-6.1309372513938448E-2</v>
      </c>
    </row>
    <row r="210" spans="1:4" x14ac:dyDescent="0.2">
      <c r="A210" s="14">
        <v>39783</v>
      </c>
      <c r="B210" s="18">
        <f>VLOOKUP(A210,Database!A:M,MATCH($A$1,Database!$A$1:$M$1,),)</f>
        <v>277968</v>
      </c>
      <c r="C210" s="15">
        <f t="shared" si="6"/>
        <v>-2.2499173600219434E-2</v>
      </c>
      <c r="D210" s="16">
        <f t="shared" si="5"/>
        <v>-7.6374051762235301E-2</v>
      </c>
    </row>
    <row r="211" spans="1:4" x14ac:dyDescent="0.2">
      <c r="A211" s="13">
        <v>39814</v>
      </c>
      <c r="B211" s="18">
        <f>VLOOKUP(A211,Database!A:M,MATCH($A$1,Database!$A$1:$M$1,),)</f>
        <v>281139</v>
      </c>
      <c r="C211" s="15">
        <f t="shared" si="6"/>
        <v>1.1407787946814022E-2</v>
      </c>
      <c r="D211" s="16">
        <f t="shared" si="5"/>
        <v>-6.7229149109826747E-2</v>
      </c>
    </row>
    <row r="212" spans="1:4" x14ac:dyDescent="0.2">
      <c r="A212" s="14">
        <v>39845</v>
      </c>
      <c r="B212" s="18">
        <f>VLOOKUP(A212,Database!A:M,MATCH($A$1,Database!$A$1:$M$1,),)</f>
        <v>281388</v>
      </c>
      <c r="C212" s="15">
        <f t="shared" si="6"/>
        <v>8.8568288284442923E-4</v>
      </c>
      <c r="D212" s="16">
        <f t="shared" ref="D212:D275" si="7">(B212-B200)/B200</f>
        <v>-6.0872351290104029E-2</v>
      </c>
    </row>
    <row r="213" spans="1:4" x14ac:dyDescent="0.2">
      <c r="A213" s="13">
        <v>39873</v>
      </c>
      <c r="B213" s="18">
        <f>VLOOKUP(A213,Database!A:M,MATCH($A$1,Database!$A$1:$M$1,),)</f>
        <v>276647</v>
      </c>
      <c r="C213" s="15">
        <f t="shared" si="6"/>
        <v>-1.6848621831776763E-2</v>
      </c>
      <c r="D213" s="16">
        <f t="shared" si="7"/>
        <v>-8.0818417721308697E-2</v>
      </c>
    </row>
    <row r="214" spans="1:4" x14ac:dyDescent="0.2">
      <c r="A214" s="14">
        <v>39904</v>
      </c>
      <c r="B214" s="18">
        <f>VLOOKUP(A214,Database!A:M,MATCH($A$1,Database!$A$1:$M$1,),)</f>
        <v>277795</v>
      </c>
      <c r="C214" s="15">
        <f t="shared" si="6"/>
        <v>4.1496925685078822E-3</v>
      </c>
      <c r="D214" s="16">
        <f t="shared" si="7"/>
        <v>-8.1730133544889588E-2</v>
      </c>
    </row>
    <row r="215" spans="1:4" x14ac:dyDescent="0.2">
      <c r="A215" s="13">
        <v>39934</v>
      </c>
      <c r="B215" s="18">
        <f>VLOOKUP(A215,Database!A:M,MATCH($A$1,Database!$A$1:$M$1,),)</f>
        <v>280167</v>
      </c>
      <c r="C215" s="15">
        <f t="shared" si="6"/>
        <v>8.5386706024226499E-3</v>
      </c>
      <c r="D215" s="16">
        <f t="shared" si="7"/>
        <v>-8.7085726947177033E-2</v>
      </c>
    </row>
    <row r="216" spans="1:4" x14ac:dyDescent="0.2">
      <c r="A216" s="14">
        <v>39965</v>
      </c>
      <c r="B216" s="18">
        <f>VLOOKUP(A216,Database!A:M,MATCH($A$1,Database!$A$1:$M$1,),)</f>
        <v>283272</v>
      </c>
      <c r="C216" s="15">
        <f t="shared" si="6"/>
        <v>1.1082675689856407E-2</v>
      </c>
      <c r="D216" s="16">
        <f t="shared" si="7"/>
        <v>-8.4133542842732154E-2</v>
      </c>
    </row>
    <row r="217" spans="1:4" x14ac:dyDescent="0.2">
      <c r="A217" s="13">
        <v>39995</v>
      </c>
      <c r="B217" s="18">
        <f>VLOOKUP(A217,Database!A:M,MATCH($A$1,Database!$A$1:$M$1,),)</f>
        <v>282769</v>
      </c>
      <c r="C217" s="15">
        <f t="shared" si="6"/>
        <v>-1.7756784998164308E-3</v>
      </c>
      <c r="D217" s="16">
        <f t="shared" si="7"/>
        <v>-8.9724151029645149E-2</v>
      </c>
    </row>
    <row r="218" spans="1:4" x14ac:dyDescent="0.2">
      <c r="A218" s="14">
        <v>40026</v>
      </c>
      <c r="B218" s="18">
        <f>VLOOKUP(A218,Database!A:M,MATCH($A$1,Database!$A$1:$M$1,),)</f>
        <v>284405</v>
      </c>
      <c r="C218" s="15">
        <f t="shared" si="6"/>
        <v>5.7856412831675322E-3</v>
      </c>
      <c r="D218" s="16">
        <f t="shared" si="7"/>
        <v>-7.4500730558836839E-2</v>
      </c>
    </row>
    <row r="219" spans="1:4" x14ac:dyDescent="0.2">
      <c r="A219" s="13">
        <v>40057</v>
      </c>
      <c r="B219" s="18">
        <f>VLOOKUP(A219,Database!A:M,MATCH($A$1,Database!$A$1:$M$1,),)</f>
        <v>284973</v>
      </c>
      <c r="C219" s="15">
        <f t="shared" si="6"/>
        <v>1.997151948805401E-3</v>
      </c>
      <c r="D219" s="16">
        <f t="shared" si="7"/>
        <v>-6.3143533434150828E-2</v>
      </c>
    </row>
    <row r="220" spans="1:4" x14ac:dyDescent="0.2">
      <c r="A220" s="14">
        <v>40087</v>
      </c>
      <c r="B220" s="18">
        <f>VLOOKUP(A220,Database!A:M,MATCH($A$1,Database!$A$1:$M$1,),)</f>
        <v>285185</v>
      </c>
      <c r="C220" s="15">
        <f t="shared" si="6"/>
        <v>7.439301267137588E-4</v>
      </c>
      <c r="D220" s="16">
        <f t="shared" si="7"/>
        <v>-3.7678293645035783E-2</v>
      </c>
    </row>
    <row r="221" spans="1:4" x14ac:dyDescent="0.2">
      <c r="A221" s="13">
        <v>40118</v>
      </c>
      <c r="B221" s="18">
        <f>VLOOKUP(A221,Database!A:M,MATCH($A$1,Database!$A$1:$M$1,),)</f>
        <v>287020</v>
      </c>
      <c r="C221" s="15">
        <f t="shared" si="6"/>
        <v>6.4344197626102356E-3</v>
      </c>
      <c r="D221" s="16">
        <f t="shared" si="7"/>
        <v>9.3330426281622979E-3</v>
      </c>
    </row>
    <row r="222" spans="1:4" x14ac:dyDescent="0.2">
      <c r="A222" s="14">
        <v>40148</v>
      </c>
      <c r="B222" s="18">
        <f>VLOOKUP(A222,Database!A:M,MATCH($A$1,Database!$A$1:$M$1,),)</f>
        <v>288993</v>
      </c>
      <c r="C222" s="15">
        <f t="shared" si="6"/>
        <v>6.8740854295867883E-3</v>
      </c>
      <c r="D222" s="16">
        <f t="shared" si="7"/>
        <v>3.9662838887929548E-2</v>
      </c>
    </row>
    <row r="223" spans="1:4" x14ac:dyDescent="0.2">
      <c r="A223" s="13">
        <v>40179</v>
      </c>
      <c r="B223" s="18">
        <f>VLOOKUP(A223,Database!A:M,MATCH($A$1,Database!$A$1:$M$1,),)</f>
        <v>289219</v>
      </c>
      <c r="C223" s="15">
        <f t="shared" si="6"/>
        <v>7.8202586221811602E-4</v>
      </c>
      <c r="D223" s="16">
        <f t="shared" si="7"/>
        <v>2.8740231700333286E-2</v>
      </c>
    </row>
    <row r="224" spans="1:4" x14ac:dyDescent="0.2">
      <c r="A224" s="14">
        <v>40210</v>
      </c>
      <c r="B224" s="18">
        <f>VLOOKUP(A224,Database!A:M,MATCH($A$1,Database!$A$1:$M$1,),)</f>
        <v>291039</v>
      </c>
      <c r="C224" s="15">
        <f t="shared" si="6"/>
        <v>6.2928092552702276E-3</v>
      </c>
      <c r="D224" s="16">
        <f t="shared" si="7"/>
        <v>3.4297837860889593E-2</v>
      </c>
    </row>
    <row r="225" spans="1:4" x14ac:dyDescent="0.2">
      <c r="A225" s="13">
        <v>40238</v>
      </c>
      <c r="B225" s="18">
        <f>VLOOKUP(A225,Database!A:M,MATCH($A$1,Database!$A$1:$M$1,),)</f>
        <v>293482</v>
      </c>
      <c r="C225" s="15">
        <f t="shared" si="6"/>
        <v>8.3940640257834861E-3</v>
      </c>
      <c r="D225" s="16">
        <f t="shared" si="7"/>
        <v>6.0853723336960097E-2</v>
      </c>
    </row>
    <row r="226" spans="1:4" x14ac:dyDescent="0.2">
      <c r="A226" s="14">
        <v>40269</v>
      </c>
      <c r="B226" s="18">
        <f>VLOOKUP(A226,Database!A:M,MATCH($A$1,Database!$A$1:$M$1,),)</f>
        <v>295536</v>
      </c>
      <c r="C226" s="15">
        <f t="shared" si="6"/>
        <v>6.9987256458658451E-3</v>
      </c>
      <c r="D226" s="16">
        <f t="shared" si="7"/>
        <v>6.386364045429184E-2</v>
      </c>
    </row>
    <row r="227" spans="1:4" x14ac:dyDescent="0.2">
      <c r="A227" s="13">
        <v>40299</v>
      </c>
      <c r="B227" s="18">
        <f>VLOOKUP(A227,Database!A:M,MATCH($A$1,Database!$A$1:$M$1,),)</f>
        <v>292676</v>
      </c>
      <c r="C227" s="15">
        <f t="shared" si="6"/>
        <v>-9.6773320339992412E-3</v>
      </c>
      <c r="D227" s="16">
        <f t="shared" si="7"/>
        <v>4.4648370436204121E-2</v>
      </c>
    </row>
    <row r="228" spans="1:4" x14ac:dyDescent="0.2">
      <c r="A228" s="14">
        <v>40330</v>
      </c>
      <c r="B228" s="18">
        <f>VLOOKUP(A228,Database!A:M,MATCH($A$1,Database!$A$1:$M$1,),)</f>
        <v>292396</v>
      </c>
      <c r="C228" s="15">
        <f t="shared" si="6"/>
        <v>-9.5668930831363009E-4</v>
      </c>
      <c r="D228" s="16">
        <f t="shared" si="7"/>
        <v>3.2209325312773589E-2</v>
      </c>
    </row>
    <row r="229" spans="1:4" x14ac:dyDescent="0.2">
      <c r="A229" s="13">
        <v>40360</v>
      </c>
      <c r="B229" s="18">
        <f>VLOOKUP(A229,Database!A:M,MATCH($A$1,Database!$A$1:$M$1,),)</f>
        <v>292045</v>
      </c>
      <c r="C229" s="15">
        <f t="shared" si="6"/>
        <v>-1.2004268184243286E-3</v>
      </c>
      <c r="D229" s="16">
        <f t="shared" si="7"/>
        <v>3.2804161700893661E-2</v>
      </c>
    </row>
    <row r="230" spans="1:4" x14ac:dyDescent="0.2">
      <c r="A230" s="14">
        <v>40391</v>
      </c>
      <c r="B230" s="18">
        <f>VLOOKUP(A230,Database!A:M,MATCH($A$1,Database!$A$1:$M$1,),)</f>
        <v>294159</v>
      </c>
      <c r="C230" s="15">
        <f t="shared" si="6"/>
        <v>7.2386104881097093E-3</v>
      </c>
      <c r="D230" s="16">
        <f t="shared" si="7"/>
        <v>3.4296162163112466E-2</v>
      </c>
    </row>
    <row r="231" spans="1:4" x14ac:dyDescent="0.2">
      <c r="A231" s="13">
        <v>40422</v>
      </c>
      <c r="B231" s="18">
        <f>VLOOKUP(A231,Database!A:M,MATCH($A$1,Database!$A$1:$M$1,),)</f>
        <v>296205</v>
      </c>
      <c r="C231" s="15">
        <f t="shared" si="6"/>
        <v>6.9554220676572871E-3</v>
      </c>
      <c r="D231" s="16">
        <f t="shared" si="7"/>
        <v>3.941426029834405E-2</v>
      </c>
    </row>
    <row r="232" spans="1:4" x14ac:dyDescent="0.2">
      <c r="A232" s="14">
        <v>40452</v>
      </c>
      <c r="B232" s="18">
        <f>VLOOKUP(A232,Database!A:M,MATCH($A$1,Database!$A$1:$M$1,),)</f>
        <v>298610</v>
      </c>
      <c r="C232" s="15">
        <f t="shared" si="6"/>
        <v>8.1193767829712531E-3</v>
      </c>
      <c r="D232" s="16">
        <f t="shared" si="7"/>
        <v>4.7074705892666165E-2</v>
      </c>
    </row>
    <row r="233" spans="1:4" x14ac:dyDescent="0.2">
      <c r="A233" s="13">
        <v>40483</v>
      </c>
      <c r="B233" s="18">
        <f>VLOOKUP(A233,Database!A:M,MATCH($A$1,Database!$A$1:$M$1,),)</f>
        <v>301943</v>
      </c>
      <c r="C233" s="15">
        <f t="shared" si="6"/>
        <v>1.1161715950570979E-2</v>
      </c>
      <c r="D233" s="16">
        <f t="shared" si="7"/>
        <v>5.1992892481360187E-2</v>
      </c>
    </row>
    <row r="234" spans="1:4" x14ac:dyDescent="0.2">
      <c r="A234" s="14">
        <v>40513</v>
      </c>
      <c r="B234" s="18">
        <f>VLOOKUP(A234,Database!A:M,MATCH($A$1,Database!$A$1:$M$1,),)</f>
        <v>303898</v>
      </c>
      <c r="C234" s="15">
        <f t="shared" si="6"/>
        <v>6.4747319858383867E-3</v>
      </c>
      <c r="D234" s="16">
        <f t="shared" si="7"/>
        <v>5.1575643700712472E-2</v>
      </c>
    </row>
    <row r="235" spans="1:4" x14ac:dyDescent="0.2">
      <c r="A235" s="13">
        <v>40544</v>
      </c>
      <c r="B235" s="18">
        <f>VLOOKUP(A235,Database!A:M,MATCH($A$1,Database!$A$1:$M$1,),)</f>
        <v>305771</v>
      </c>
      <c r="C235" s="15">
        <f t="shared" si="6"/>
        <v>6.1632521438114108E-3</v>
      </c>
      <c r="D235" s="16">
        <f t="shared" si="7"/>
        <v>5.7229988347930118E-2</v>
      </c>
    </row>
    <row r="236" spans="1:4" x14ac:dyDescent="0.2">
      <c r="A236" s="14">
        <v>40575</v>
      </c>
      <c r="B236" s="18">
        <f>VLOOKUP(A236,Database!A:M,MATCH($A$1,Database!$A$1:$M$1,),)</f>
        <v>307772</v>
      </c>
      <c r="C236" s="15">
        <f t="shared" si="6"/>
        <v>6.5441130780878503E-3</v>
      </c>
      <c r="D236" s="16">
        <f t="shared" si="7"/>
        <v>5.7494012829895649E-2</v>
      </c>
    </row>
    <row r="237" spans="1:4" x14ac:dyDescent="0.2">
      <c r="A237" s="13">
        <v>40603</v>
      </c>
      <c r="B237" s="18">
        <f>VLOOKUP(A237,Database!A:M,MATCH($A$1,Database!$A$1:$M$1,),)</f>
        <v>311008</v>
      </c>
      <c r="C237" s="15">
        <f t="shared" si="6"/>
        <v>1.0514276802308202E-2</v>
      </c>
      <c r="D237" s="16">
        <f t="shared" si="7"/>
        <v>5.9717461377529119E-2</v>
      </c>
    </row>
    <row r="238" spans="1:4" x14ac:dyDescent="0.2">
      <c r="A238" s="14">
        <v>40634</v>
      </c>
      <c r="B238" s="18">
        <f>VLOOKUP(A238,Database!A:M,MATCH($A$1,Database!$A$1:$M$1,),)</f>
        <v>313791</v>
      </c>
      <c r="C238" s="15">
        <f t="shared" si="6"/>
        <v>8.9483228727235305E-3</v>
      </c>
      <c r="D238" s="16">
        <f t="shared" si="7"/>
        <v>6.1769124573655999E-2</v>
      </c>
    </row>
    <row r="239" spans="1:4" x14ac:dyDescent="0.2">
      <c r="A239" s="13">
        <v>40664</v>
      </c>
      <c r="B239" s="18">
        <f>VLOOKUP(A239,Database!A:M,MATCH($A$1,Database!$A$1:$M$1,),)</f>
        <v>314442</v>
      </c>
      <c r="C239" s="15">
        <f t="shared" si="6"/>
        <v>2.0746292914710748E-3</v>
      </c>
      <c r="D239" s="16">
        <f t="shared" si="7"/>
        <v>7.436892673126598E-2</v>
      </c>
    </row>
    <row r="240" spans="1:4" x14ac:dyDescent="0.2">
      <c r="A240" s="14">
        <v>40695</v>
      </c>
      <c r="B240" s="18">
        <f>VLOOKUP(A240,Database!A:M,MATCH($A$1,Database!$A$1:$M$1,),)</f>
        <v>316372</v>
      </c>
      <c r="C240" s="15">
        <f t="shared" si="6"/>
        <v>6.13785690206779E-3</v>
      </c>
      <c r="D240" s="16">
        <f t="shared" si="7"/>
        <v>8.1998385750831071E-2</v>
      </c>
    </row>
    <row r="241" spans="1:4" x14ac:dyDescent="0.2">
      <c r="A241" s="13">
        <v>40725</v>
      </c>
      <c r="B241" s="18">
        <f>VLOOKUP(A241,Database!A:M,MATCH($A$1,Database!$A$1:$M$1,),)</f>
        <v>316467</v>
      </c>
      <c r="C241" s="15">
        <f t="shared" si="6"/>
        <v>3.0027941790044632E-4</v>
      </c>
      <c r="D241" s="16">
        <f t="shared" si="7"/>
        <v>8.3624099025835064E-2</v>
      </c>
    </row>
    <row r="242" spans="1:4" x14ac:dyDescent="0.2">
      <c r="A242" s="14">
        <v>40756</v>
      </c>
      <c r="B242" s="18">
        <f>VLOOKUP(A242,Database!A:M,MATCH($A$1,Database!$A$1:$M$1,),)</f>
        <v>318147</v>
      </c>
      <c r="C242" s="15">
        <f t="shared" si="6"/>
        <v>5.3086103764373536E-3</v>
      </c>
      <c r="D242" s="16">
        <f t="shared" si="7"/>
        <v>8.1547734388544971E-2</v>
      </c>
    </row>
    <row r="243" spans="1:4" x14ac:dyDescent="0.2">
      <c r="A243" s="13">
        <v>40787</v>
      </c>
      <c r="B243" s="18">
        <f>VLOOKUP(A243,Database!A:M,MATCH($A$1,Database!$A$1:$M$1,),)</f>
        <v>318693</v>
      </c>
      <c r="C243" s="15">
        <f t="shared" si="6"/>
        <v>1.7161877999792548E-3</v>
      </c>
      <c r="D243" s="16">
        <f t="shared" si="7"/>
        <v>7.5920392971084216E-2</v>
      </c>
    </row>
    <row r="244" spans="1:4" x14ac:dyDescent="0.2">
      <c r="A244" s="14">
        <v>40817</v>
      </c>
      <c r="B244" s="18">
        <f>VLOOKUP(A244,Database!A:M,MATCH($A$1,Database!$A$1:$M$1,),)</f>
        <v>320206</v>
      </c>
      <c r="C244" s="15">
        <f t="shared" si="6"/>
        <v>4.7475156341683063E-3</v>
      </c>
      <c r="D244" s="16">
        <f t="shared" si="7"/>
        <v>7.2321757476306883E-2</v>
      </c>
    </row>
    <row r="245" spans="1:4" x14ac:dyDescent="0.2">
      <c r="A245" s="13">
        <v>40848</v>
      </c>
      <c r="B245" s="18">
        <f>VLOOKUP(A245,Database!A:M,MATCH($A$1,Database!$A$1:$M$1,),)</f>
        <v>321318</v>
      </c>
      <c r="C245" s="15">
        <f t="shared" si="6"/>
        <v>3.4727644079124063E-3</v>
      </c>
      <c r="D245" s="16">
        <f t="shared" si="7"/>
        <v>6.4167740268858686E-2</v>
      </c>
    </row>
    <row r="246" spans="1:4" x14ac:dyDescent="0.2">
      <c r="A246" s="14">
        <v>40878</v>
      </c>
      <c r="B246" s="18">
        <f>VLOOKUP(A246,Database!A:M,MATCH($A$1,Database!$A$1:$M$1,),)</f>
        <v>320123</v>
      </c>
      <c r="C246" s="15">
        <f t="shared" si="6"/>
        <v>-3.7190571334316785E-3</v>
      </c>
      <c r="D246" s="16">
        <f t="shared" si="7"/>
        <v>5.3389624150208294E-2</v>
      </c>
    </row>
    <row r="247" spans="1:4" x14ac:dyDescent="0.2">
      <c r="A247" s="13">
        <v>40909</v>
      </c>
      <c r="B247" s="18">
        <f>VLOOKUP(A247,Database!A:M,MATCH($A$1,Database!$A$1:$M$1,),)</f>
        <v>324000</v>
      </c>
      <c r="C247" s="15">
        <f t="shared" si="6"/>
        <v>1.2110969845965457E-2</v>
      </c>
      <c r="D247" s="16">
        <f t="shared" si="7"/>
        <v>5.961651039503419E-2</v>
      </c>
    </row>
    <row r="248" spans="1:4" x14ac:dyDescent="0.2">
      <c r="A248" s="14">
        <v>40940</v>
      </c>
      <c r="B248" s="18">
        <f>VLOOKUP(A248,Database!A:M,MATCH($A$1,Database!$A$1:$M$1,),)</f>
        <v>327740</v>
      </c>
      <c r="C248" s="15">
        <f t="shared" si="6"/>
        <v>1.154320987654321E-2</v>
      </c>
      <c r="D248" s="16">
        <f t="shared" si="7"/>
        <v>6.487919628816137E-2</v>
      </c>
    </row>
    <row r="249" spans="1:4" x14ac:dyDescent="0.2">
      <c r="A249" s="13">
        <v>40969</v>
      </c>
      <c r="B249" s="18">
        <f>VLOOKUP(A249,Database!A:M,MATCH($A$1,Database!$A$1:$M$1,),)</f>
        <v>329010</v>
      </c>
      <c r="C249" s="15">
        <f t="shared" si="6"/>
        <v>3.8750228839934094E-3</v>
      </c>
      <c r="D249" s="16">
        <f t="shared" si="7"/>
        <v>5.7882755427513116E-2</v>
      </c>
    </row>
    <row r="250" spans="1:4" x14ac:dyDescent="0.2">
      <c r="A250" s="14">
        <v>41000</v>
      </c>
      <c r="B250" s="18">
        <f>VLOOKUP(A250,Database!A:M,MATCH($A$1,Database!$A$1:$M$1,),)</f>
        <v>327270</v>
      </c>
      <c r="C250" s="15">
        <f t="shared" si="6"/>
        <v>-5.2885930518829219E-3</v>
      </c>
      <c r="D250" s="16">
        <f t="shared" si="7"/>
        <v>4.2955342887463312E-2</v>
      </c>
    </row>
    <row r="251" spans="1:4" x14ac:dyDescent="0.2">
      <c r="A251" s="13">
        <v>41030</v>
      </c>
      <c r="B251" s="18">
        <f>VLOOKUP(A251,Database!A:M,MATCH($A$1,Database!$A$1:$M$1,),)</f>
        <v>325692</v>
      </c>
      <c r="C251" s="15">
        <f t="shared" si="6"/>
        <v>-4.821706847557063E-3</v>
      </c>
      <c r="D251" s="16">
        <f t="shared" si="7"/>
        <v>3.5777663289255253E-2</v>
      </c>
    </row>
    <row r="252" spans="1:4" x14ac:dyDescent="0.2">
      <c r="A252" s="14">
        <v>41061</v>
      </c>
      <c r="B252" s="18">
        <f>VLOOKUP(A252,Database!A:M,MATCH($A$1,Database!$A$1:$M$1,),)</f>
        <v>323199</v>
      </c>
      <c r="C252" s="15">
        <f t="shared" si="6"/>
        <v>-7.6544710953907373E-3</v>
      </c>
      <c r="D252" s="16">
        <f t="shared" si="7"/>
        <v>2.1579027221119443E-2</v>
      </c>
    </row>
    <row r="253" spans="1:4" x14ac:dyDescent="0.2">
      <c r="A253" s="13">
        <v>41091</v>
      </c>
      <c r="B253" s="18">
        <f>VLOOKUP(A253,Database!A:M,MATCH($A$1,Database!$A$1:$M$1,),)</f>
        <v>324442</v>
      </c>
      <c r="C253" s="15">
        <f t="shared" si="6"/>
        <v>3.8459277411130605E-3</v>
      </c>
      <c r="D253" s="16">
        <f t="shared" si="7"/>
        <v>2.520009985243327E-2</v>
      </c>
    </row>
    <row r="254" spans="1:4" x14ac:dyDescent="0.2">
      <c r="A254" s="14">
        <v>41122</v>
      </c>
      <c r="B254" s="18">
        <f>VLOOKUP(A254,Database!A:M,MATCH($A$1,Database!$A$1:$M$1,),)</f>
        <v>328242</v>
      </c>
      <c r="C254" s="15">
        <f t="shared" si="6"/>
        <v>1.1712417011361045E-2</v>
      </c>
      <c r="D254" s="16">
        <f t="shared" si="7"/>
        <v>3.1730615093023037E-2</v>
      </c>
    </row>
    <row r="255" spans="1:4" x14ac:dyDescent="0.2">
      <c r="A255" s="13">
        <v>41153</v>
      </c>
      <c r="B255" s="18">
        <f>VLOOKUP(A255,Database!A:M,MATCH($A$1,Database!$A$1:$M$1,),)</f>
        <v>330360</v>
      </c>
      <c r="C255" s="15">
        <f t="shared" si="6"/>
        <v>6.4525563456230466E-3</v>
      </c>
      <c r="D255" s="16">
        <f t="shared" si="7"/>
        <v>3.6608899473788252E-2</v>
      </c>
    </row>
    <row r="256" spans="1:4" x14ac:dyDescent="0.2">
      <c r="A256" s="14">
        <v>41183</v>
      </c>
      <c r="B256" s="18">
        <f>VLOOKUP(A256,Database!A:M,MATCH($A$1,Database!$A$1:$M$1,),)</f>
        <v>330886</v>
      </c>
      <c r="C256" s="15">
        <f t="shared" si="6"/>
        <v>1.5922024458166848E-3</v>
      </c>
      <c r="D256" s="16">
        <f t="shared" si="7"/>
        <v>3.3353528665921311E-2</v>
      </c>
    </row>
    <row r="257" spans="1:4" x14ac:dyDescent="0.2">
      <c r="A257" s="13">
        <v>41214</v>
      </c>
      <c r="B257" s="18">
        <f>VLOOKUP(A257,Database!A:M,MATCH($A$1,Database!$A$1:$M$1,),)</f>
        <v>331558</v>
      </c>
      <c r="C257" s="15">
        <f t="shared" si="6"/>
        <v>2.0309109481815488E-3</v>
      </c>
      <c r="D257" s="16">
        <f t="shared" si="7"/>
        <v>3.1868740624552624E-2</v>
      </c>
    </row>
    <row r="258" spans="1:4" x14ac:dyDescent="0.2">
      <c r="A258" s="14">
        <v>41244</v>
      </c>
      <c r="B258" s="18">
        <f>VLOOKUP(A258,Database!A:M,MATCH($A$1,Database!$A$1:$M$1,),)</f>
        <v>332159</v>
      </c>
      <c r="C258" s="15">
        <f t="shared" si="6"/>
        <v>1.8126541962492234E-3</v>
      </c>
      <c r="D258" s="16">
        <f t="shared" si="7"/>
        <v>3.7598048250203825E-2</v>
      </c>
    </row>
    <row r="259" spans="1:4" x14ac:dyDescent="0.2">
      <c r="A259" s="13">
        <v>41275</v>
      </c>
      <c r="B259" s="18">
        <f>VLOOKUP(A259,Database!A:M,MATCH($A$1,Database!$A$1:$M$1,),)</f>
        <v>334456</v>
      </c>
      <c r="C259" s="15">
        <f t="shared" si="6"/>
        <v>6.9153628232262263E-3</v>
      </c>
      <c r="D259" s="16">
        <f t="shared" si="7"/>
        <v>3.2271604938271602E-2</v>
      </c>
    </row>
    <row r="260" spans="1:4" x14ac:dyDescent="0.2">
      <c r="A260" s="14">
        <v>41306</v>
      </c>
      <c r="B260" s="18">
        <f>VLOOKUP(A260,Database!A:M,MATCH($A$1,Database!$A$1:$M$1,),)</f>
        <v>338338</v>
      </c>
      <c r="C260" s="15">
        <f t="shared" si="6"/>
        <v>1.1606907934078025E-2</v>
      </c>
      <c r="D260" s="16">
        <f t="shared" si="7"/>
        <v>3.2336608287056812E-2</v>
      </c>
    </row>
    <row r="261" spans="1:4" x14ac:dyDescent="0.2">
      <c r="A261" s="13">
        <v>41334</v>
      </c>
      <c r="B261" s="18">
        <f>VLOOKUP(A261,Database!A:M,MATCH($A$1,Database!$A$1:$M$1,),)</f>
        <v>336182</v>
      </c>
      <c r="C261" s="15">
        <f t="shared" si="6"/>
        <v>-6.3723258989531175E-3</v>
      </c>
      <c r="D261" s="16">
        <f t="shared" si="7"/>
        <v>2.179872952189903E-2</v>
      </c>
    </row>
    <row r="262" spans="1:4" x14ac:dyDescent="0.2">
      <c r="A262" s="14">
        <v>41365</v>
      </c>
      <c r="B262" s="18">
        <f>VLOOKUP(A262,Database!A:M,MATCH($A$1,Database!$A$1:$M$1,),)</f>
        <v>333848</v>
      </c>
      <c r="C262" s="15">
        <f t="shared" si="6"/>
        <v>-6.9426679596171119E-3</v>
      </c>
      <c r="D262" s="16">
        <f t="shared" si="7"/>
        <v>2.009961194121062E-2</v>
      </c>
    </row>
    <row r="263" spans="1:4" x14ac:dyDescent="0.2">
      <c r="A263" s="13">
        <v>41395</v>
      </c>
      <c r="B263" s="18">
        <f>VLOOKUP(A263,Database!A:M,MATCH($A$1,Database!$A$1:$M$1,),)</f>
        <v>334591</v>
      </c>
      <c r="C263" s="15">
        <f t="shared" si="6"/>
        <v>2.2255637296014954E-3</v>
      </c>
      <c r="D263" s="16">
        <f t="shared" si="7"/>
        <v>2.7323360721172151E-2</v>
      </c>
    </row>
    <row r="264" spans="1:4" x14ac:dyDescent="0.2">
      <c r="A264" s="14">
        <v>41426</v>
      </c>
      <c r="B264" s="18">
        <f>VLOOKUP(A264,Database!A:M,MATCH($A$1,Database!$A$1:$M$1,),)</f>
        <v>334425</v>
      </c>
      <c r="C264" s="15">
        <f t="shared" si="6"/>
        <v>-4.9612810864607833E-4</v>
      </c>
      <c r="D264" s="16">
        <f t="shared" si="7"/>
        <v>3.4734018360205322E-2</v>
      </c>
    </row>
    <row r="265" spans="1:4" x14ac:dyDescent="0.2">
      <c r="A265" s="13">
        <v>41456</v>
      </c>
      <c r="B265" s="18">
        <f>VLOOKUP(A265,Database!A:M,MATCH($A$1,Database!$A$1:$M$1,),)</f>
        <v>336889</v>
      </c>
      <c r="C265" s="15">
        <f t="shared" ref="C265:C324" si="8">(B265-B264)/B264</f>
        <v>7.3678702250130823E-3</v>
      </c>
      <c r="D265" s="16">
        <f t="shared" si="7"/>
        <v>3.8364330142213403E-2</v>
      </c>
    </row>
    <row r="266" spans="1:4" x14ac:dyDescent="0.2">
      <c r="A266" s="14">
        <v>41487</v>
      </c>
      <c r="B266" s="18">
        <f>VLOOKUP(A266,Database!A:M,MATCH($A$1,Database!$A$1:$M$1,),)</f>
        <v>336272</v>
      </c>
      <c r="C266" s="15">
        <f t="shared" si="8"/>
        <v>-1.8314637759024486E-3</v>
      </c>
      <c r="D266" s="16">
        <f t="shared" si="7"/>
        <v>2.446365791093157E-2</v>
      </c>
    </row>
    <row r="267" spans="1:4" x14ac:dyDescent="0.2">
      <c r="A267" s="13">
        <v>41518</v>
      </c>
      <c r="B267" s="18">
        <f>VLOOKUP(A267,Database!A:M,MATCH($A$1,Database!$A$1:$M$1,),)</f>
        <v>337653</v>
      </c>
      <c r="C267" s="15">
        <f t="shared" si="8"/>
        <v>4.1067944996907267E-3</v>
      </c>
      <c r="D267" s="16">
        <f t="shared" si="7"/>
        <v>2.2075917181256812E-2</v>
      </c>
    </row>
    <row r="268" spans="1:4" x14ac:dyDescent="0.2">
      <c r="A268" s="14">
        <v>41548</v>
      </c>
      <c r="B268" s="18">
        <f>VLOOKUP(A268,Database!A:M,MATCH($A$1,Database!$A$1:$M$1,),)</f>
        <v>338108</v>
      </c>
      <c r="C268" s="15">
        <f t="shared" si="8"/>
        <v>1.3475372645882014E-3</v>
      </c>
      <c r="D268" s="16">
        <f t="shared" si="7"/>
        <v>2.1826248315129682E-2</v>
      </c>
    </row>
    <row r="269" spans="1:4" x14ac:dyDescent="0.2">
      <c r="A269" s="13">
        <v>41579</v>
      </c>
      <c r="B269" s="18">
        <f>VLOOKUP(A269,Database!A:M,MATCH($A$1,Database!$A$1:$M$1,),)</f>
        <v>338836</v>
      </c>
      <c r="C269" s="15">
        <f t="shared" si="8"/>
        <v>2.1531581624806275E-3</v>
      </c>
      <c r="D269" s="16">
        <f t="shared" si="7"/>
        <v>2.1950910549587102E-2</v>
      </c>
    </row>
    <row r="270" spans="1:4" x14ac:dyDescent="0.2">
      <c r="A270" s="14">
        <v>41609</v>
      </c>
      <c r="B270" s="18">
        <f>VLOOKUP(A270,Database!A:M,MATCH($A$1,Database!$A$1:$M$1,),)</f>
        <v>341898</v>
      </c>
      <c r="C270" s="15">
        <f t="shared" si="8"/>
        <v>9.0368201725908696E-3</v>
      </c>
      <c r="D270" s="16">
        <f t="shared" si="7"/>
        <v>2.9320295400696653E-2</v>
      </c>
    </row>
    <row r="271" spans="1:4" x14ac:dyDescent="0.2">
      <c r="A271" s="13">
        <v>41640</v>
      </c>
      <c r="B271" s="18">
        <f>VLOOKUP(A271,Database!A:M,MATCH($A$1,Database!$A$1:$M$1,),)</f>
        <v>339912</v>
      </c>
      <c r="C271" s="15">
        <f t="shared" si="8"/>
        <v>-5.8087499780636329E-3</v>
      </c>
      <c r="D271" s="16">
        <f t="shared" si="7"/>
        <v>1.6313057621929344E-2</v>
      </c>
    </row>
    <row r="272" spans="1:4" x14ac:dyDescent="0.2">
      <c r="A272" s="14">
        <v>41671</v>
      </c>
      <c r="B272" s="18">
        <f>VLOOKUP(A272,Database!A:M,MATCH($A$1,Database!$A$1:$M$1,),)</f>
        <v>343436</v>
      </c>
      <c r="C272" s="15">
        <f t="shared" si="8"/>
        <v>1.0367389206618184E-2</v>
      </c>
      <c r="D272" s="16">
        <f t="shared" si="7"/>
        <v>1.5067772464222168E-2</v>
      </c>
    </row>
    <row r="273" spans="1:4" x14ac:dyDescent="0.2">
      <c r="A273" s="13">
        <v>41699</v>
      </c>
      <c r="B273" s="18">
        <f>VLOOKUP(A273,Database!A:M,MATCH($A$1,Database!$A$1:$M$1,),)</f>
        <v>345152</v>
      </c>
      <c r="C273" s="15">
        <f t="shared" si="8"/>
        <v>4.9965641342200589E-3</v>
      </c>
      <c r="D273" s="16">
        <f t="shared" si="7"/>
        <v>2.6681975834518208E-2</v>
      </c>
    </row>
    <row r="274" spans="1:4" x14ac:dyDescent="0.2">
      <c r="A274" s="14">
        <v>41730</v>
      </c>
      <c r="B274" s="18">
        <f>VLOOKUP(A274,Database!A:M,MATCH($A$1,Database!$A$1:$M$1,),)</f>
        <v>348010</v>
      </c>
      <c r="C274" s="15">
        <f t="shared" si="8"/>
        <v>8.2804097904691266E-3</v>
      </c>
      <c r="D274" s="16">
        <f t="shared" si="7"/>
        <v>4.2420502743763626E-2</v>
      </c>
    </row>
    <row r="275" spans="1:4" x14ac:dyDescent="0.2">
      <c r="A275" s="13">
        <v>41760</v>
      </c>
      <c r="B275" s="18">
        <f>VLOOKUP(A275,Database!A:M,MATCH($A$1,Database!$A$1:$M$1,),)</f>
        <v>348656</v>
      </c>
      <c r="C275" s="15">
        <f t="shared" si="8"/>
        <v>1.8562684980316657E-3</v>
      </c>
      <c r="D275" s="16">
        <f t="shared" si="7"/>
        <v>4.203639667534393E-2</v>
      </c>
    </row>
    <row r="276" spans="1:4" x14ac:dyDescent="0.2">
      <c r="A276" s="14">
        <v>41791</v>
      </c>
      <c r="B276" s="18">
        <f>VLOOKUP(A276,Database!A:M,MATCH($A$1,Database!$A$1:$M$1,),)</f>
        <v>349588</v>
      </c>
      <c r="C276" s="15">
        <f t="shared" si="8"/>
        <v>2.673121931072461E-3</v>
      </c>
      <c r="D276" s="16">
        <f t="shared" ref="D276:D324" si="9">(B276-B264)/B264</f>
        <v>4.5340509830305749E-2</v>
      </c>
    </row>
    <row r="277" spans="1:4" x14ac:dyDescent="0.2">
      <c r="A277" s="13">
        <v>41821</v>
      </c>
      <c r="B277" s="18">
        <f>VLOOKUP(A277,Database!A:M,MATCH($A$1,Database!$A$1:$M$1,),)</f>
        <v>349853</v>
      </c>
      <c r="C277" s="15">
        <f t="shared" si="8"/>
        <v>7.5803517283201942E-4</v>
      </c>
      <c r="D277" s="16">
        <f t="shared" si="9"/>
        <v>3.8481517651214492E-2</v>
      </c>
    </row>
    <row r="278" spans="1:4" x14ac:dyDescent="0.2">
      <c r="A278" s="14">
        <v>41852</v>
      </c>
      <c r="B278" s="18">
        <f>VLOOKUP(A278,Database!A:M,MATCH($A$1,Database!$A$1:$M$1,),)</f>
        <v>352463</v>
      </c>
      <c r="C278" s="15">
        <f t="shared" si="8"/>
        <v>7.4602761731355745E-3</v>
      </c>
      <c r="D278" s="16">
        <f t="shared" si="9"/>
        <v>4.8148522624542035E-2</v>
      </c>
    </row>
    <row r="279" spans="1:4" x14ac:dyDescent="0.2">
      <c r="A279" s="13">
        <v>41883</v>
      </c>
      <c r="B279" s="18">
        <f>VLOOKUP(A279,Database!A:M,MATCH($A$1,Database!$A$1:$M$1,),)</f>
        <v>352332</v>
      </c>
      <c r="C279" s="15">
        <f t="shared" si="8"/>
        <v>-3.7167021786683991E-4</v>
      </c>
      <c r="D279" s="16">
        <f t="shared" si="9"/>
        <v>4.3473625289868596E-2</v>
      </c>
    </row>
    <row r="280" spans="1:4" x14ac:dyDescent="0.2">
      <c r="A280" s="14">
        <v>41913</v>
      </c>
      <c r="B280" s="18">
        <f>VLOOKUP(A280,Database!A:M,MATCH($A$1,Database!$A$1:$M$1,),)</f>
        <v>353409</v>
      </c>
      <c r="C280" s="15">
        <f t="shared" si="8"/>
        <v>3.0567759953680053E-3</v>
      </c>
      <c r="D280" s="16">
        <f t="shared" si="9"/>
        <v>4.5254770664994615E-2</v>
      </c>
    </row>
    <row r="281" spans="1:4" x14ac:dyDescent="0.2">
      <c r="A281" s="13">
        <v>41944</v>
      </c>
      <c r="B281" s="18">
        <f>VLOOKUP(A281,Database!A:M,MATCH($A$1,Database!$A$1:$M$1,),)</f>
        <v>353721</v>
      </c>
      <c r="C281" s="15">
        <f t="shared" si="8"/>
        <v>8.8282980908805384E-4</v>
      </c>
      <c r="D281" s="16">
        <f t="shared" si="9"/>
        <v>4.3929806750168221E-2</v>
      </c>
    </row>
    <row r="282" spans="1:4" x14ac:dyDescent="0.2">
      <c r="A282" s="14">
        <v>41974</v>
      </c>
      <c r="B282" s="18">
        <f>VLOOKUP(A282,Database!A:M,MATCH($A$1,Database!$A$1:$M$1,),)</f>
        <v>351611</v>
      </c>
      <c r="C282" s="15">
        <f t="shared" si="8"/>
        <v>-5.9651533270572007E-3</v>
      </c>
      <c r="D282" s="16">
        <f t="shared" si="9"/>
        <v>2.8409057672171233E-2</v>
      </c>
    </row>
    <row r="283" spans="1:4" x14ac:dyDescent="0.2">
      <c r="A283" s="13">
        <v>42005</v>
      </c>
      <c r="B283" s="18">
        <f>VLOOKUP(A283,Database!A:M,MATCH($A$1,Database!$A$1:$M$1,),)</f>
        <v>347963</v>
      </c>
      <c r="C283" s="15">
        <f t="shared" si="8"/>
        <v>-1.0375102030368788E-2</v>
      </c>
      <c r="D283" s="16">
        <f t="shared" si="9"/>
        <v>2.368554214031867E-2</v>
      </c>
    </row>
    <row r="284" spans="1:4" x14ac:dyDescent="0.2">
      <c r="A284" s="14">
        <v>42036</v>
      </c>
      <c r="B284" s="18">
        <f>VLOOKUP(A284,Database!A:M,MATCH($A$1,Database!$A$1:$M$1,),)</f>
        <v>348562</v>
      </c>
      <c r="C284" s="15">
        <f t="shared" si="8"/>
        <v>1.7214473952690372E-3</v>
      </c>
      <c r="D284" s="16">
        <f t="shared" si="9"/>
        <v>1.4925633888118893E-2</v>
      </c>
    </row>
    <row r="285" spans="1:4" x14ac:dyDescent="0.2">
      <c r="A285" s="13">
        <v>42064</v>
      </c>
      <c r="B285" s="18">
        <f>VLOOKUP(A285,Database!A:M,MATCH($A$1,Database!$A$1:$M$1,),)</f>
        <v>351347</v>
      </c>
      <c r="C285" s="15">
        <f t="shared" si="8"/>
        <v>7.9899702205059649E-3</v>
      </c>
      <c r="D285" s="16">
        <f t="shared" si="9"/>
        <v>1.7948613944001483E-2</v>
      </c>
    </row>
    <row r="286" spans="1:4" x14ac:dyDescent="0.2">
      <c r="A286" s="14">
        <v>42095</v>
      </c>
      <c r="B286" s="18">
        <f>VLOOKUP(A286,Database!A:M,MATCH($A$1,Database!$A$1:$M$1,),)</f>
        <v>351403</v>
      </c>
      <c r="C286" s="15">
        <f t="shared" si="8"/>
        <v>1.5938658932622166E-4</v>
      </c>
      <c r="D286" s="16">
        <f t="shared" si="9"/>
        <v>9.7497198356369073E-3</v>
      </c>
    </row>
    <row r="287" spans="1:4" x14ac:dyDescent="0.2">
      <c r="A287" s="13">
        <v>42125</v>
      </c>
      <c r="B287" s="18">
        <f>VLOOKUP(A287,Database!A:M,MATCH($A$1,Database!$A$1:$M$1,),)</f>
        <v>354216</v>
      </c>
      <c r="C287" s="15">
        <f t="shared" si="8"/>
        <v>8.0050540262889044E-3</v>
      </c>
      <c r="D287" s="16">
        <f t="shared" si="9"/>
        <v>1.594695057592584E-2</v>
      </c>
    </row>
    <row r="288" spans="1:4" x14ac:dyDescent="0.2">
      <c r="A288" s="14">
        <v>42156</v>
      </c>
      <c r="B288" s="18">
        <f>VLOOKUP(A288,Database!A:M,MATCH($A$1,Database!$A$1:$M$1,),)</f>
        <v>354938</v>
      </c>
      <c r="C288" s="15">
        <f t="shared" si="8"/>
        <v>2.0383043114935518E-3</v>
      </c>
      <c r="D288" s="16">
        <f t="shared" si="9"/>
        <v>1.5303728960948317E-2</v>
      </c>
    </row>
    <row r="289" spans="1:4" x14ac:dyDescent="0.2">
      <c r="A289" s="13">
        <v>42186</v>
      </c>
      <c r="B289" s="18">
        <f>VLOOKUP(A289,Database!A:M,MATCH($A$1,Database!$A$1:$M$1,),)</f>
        <v>357855</v>
      </c>
      <c r="C289" s="15">
        <f t="shared" si="8"/>
        <v>8.2183367235967968E-3</v>
      </c>
      <c r="D289" s="16">
        <f t="shared" si="9"/>
        <v>2.2872463577559718E-2</v>
      </c>
    </row>
    <row r="290" spans="1:4" x14ac:dyDescent="0.2">
      <c r="A290" s="14">
        <v>42217</v>
      </c>
      <c r="B290" s="18">
        <f>VLOOKUP(A290,Database!A:M,MATCH($A$1,Database!$A$1:$M$1,),)</f>
        <v>357320</v>
      </c>
      <c r="C290" s="15">
        <f t="shared" si="8"/>
        <v>-1.4950189322490953E-3</v>
      </c>
      <c r="D290" s="16">
        <f t="shared" si="9"/>
        <v>1.3780169833429324E-2</v>
      </c>
    </row>
    <row r="291" spans="1:4" x14ac:dyDescent="0.2">
      <c r="A291" s="13">
        <v>42248</v>
      </c>
      <c r="B291" s="18">
        <f>VLOOKUP(A291,Database!A:M,MATCH($A$1,Database!$A$1:$M$1,),)</f>
        <v>355035</v>
      </c>
      <c r="C291" s="15">
        <f t="shared" si="8"/>
        <v>-6.3948281652300458E-3</v>
      </c>
      <c r="D291" s="16">
        <f t="shared" si="9"/>
        <v>7.6717414257007595E-3</v>
      </c>
    </row>
    <row r="292" spans="1:4" x14ac:dyDescent="0.2">
      <c r="A292" s="14">
        <v>42278</v>
      </c>
      <c r="B292" s="18">
        <f>VLOOKUP(A292,Database!A:M,MATCH($A$1,Database!$A$1:$M$1,),)</f>
        <v>354371</v>
      </c>
      <c r="C292" s="15">
        <f t="shared" si="8"/>
        <v>-1.8702381455349474E-3</v>
      </c>
      <c r="D292" s="16">
        <f t="shared" si="9"/>
        <v>2.722058578021499E-3</v>
      </c>
    </row>
    <row r="293" spans="1:4" x14ac:dyDescent="0.2">
      <c r="A293" s="13">
        <v>42309</v>
      </c>
      <c r="B293" s="18">
        <f>VLOOKUP(A293,Database!A:M,MATCH($A$1,Database!$A$1:$M$1,),)</f>
        <v>355197</v>
      </c>
      <c r="C293" s="15">
        <f t="shared" si="8"/>
        <v>2.3308905074060802E-3</v>
      </c>
      <c r="D293" s="16">
        <f t="shared" si="9"/>
        <v>4.1727802420551789E-3</v>
      </c>
    </row>
    <row r="294" spans="1:4" x14ac:dyDescent="0.2">
      <c r="A294" s="14">
        <v>42339</v>
      </c>
      <c r="B294" s="18">
        <f>VLOOKUP(A294,Database!A:M,MATCH($A$1,Database!$A$1:$M$1,),)</f>
        <v>357320</v>
      </c>
      <c r="C294" s="15">
        <f t="shared" si="8"/>
        <v>5.976964895536843E-3</v>
      </c>
      <c r="D294" s="16">
        <f t="shared" si="9"/>
        <v>1.6236693391276154E-2</v>
      </c>
    </row>
    <row r="295" spans="1:4" x14ac:dyDescent="0.2">
      <c r="A295" s="13">
        <v>42370</v>
      </c>
      <c r="B295" s="18">
        <f>VLOOKUP(A295,Database!A:M,MATCH($A$1,Database!$A$1:$M$1,),)</f>
        <v>354701</v>
      </c>
      <c r="C295" s="15">
        <f t="shared" si="8"/>
        <v>-7.3295645359901492E-3</v>
      </c>
      <c r="D295" s="16">
        <f t="shared" si="9"/>
        <v>1.9364127795196615E-2</v>
      </c>
    </row>
    <row r="296" spans="1:4" x14ac:dyDescent="0.2">
      <c r="A296" s="14">
        <v>42401</v>
      </c>
      <c r="B296" s="18">
        <f>VLOOKUP(A296,Database!A:M,MATCH($A$1,Database!$A$1:$M$1,),)</f>
        <v>356770</v>
      </c>
      <c r="C296" s="15">
        <f t="shared" si="8"/>
        <v>5.833081947894142E-3</v>
      </c>
      <c r="D296" s="16">
        <f t="shared" si="9"/>
        <v>2.3548177942518116E-2</v>
      </c>
    </row>
    <row r="297" spans="1:4" x14ac:dyDescent="0.2">
      <c r="A297" s="13">
        <v>42430</v>
      </c>
      <c r="B297" s="18">
        <f>VLOOKUP(A297,Database!A:M,MATCH($A$1,Database!$A$1:$M$1,),)</f>
        <v>357273</v>
      </c>
      <c r="C297" s="15">
        <f t="shared" si="8"/>
        <v>1.409871906270146E-3</v>
      </c>
      <c r="D297" s="16">
        <f t="shared" si="9"/>
        <v>1.6866516577628384E-2</v>
      </c>
    </row>
    <row r="298" spans="1:4" x14ac:dyDescent="0.2">
      <c r="A298" s="14">
        <v>42461</v>
      </c>
      <c r="B298" s="18">
        <f>VLOOKUP(A298,Database!A:M,MATCH($A$1,Database!$A$1:$M$1,),)</f>
        <v>358691</v>
      </c>
      <c r="C298" s="15">
        <f t="shared" si="8"/>
        <v>3.9689537132668855E-3</v>
      </c>
      <c r="D298" s="16">
        <f t="shared" si="9"/>
        <v>2.0739720491856926E-2</v>
      </c>
    </row>
    <row r="299" spans="1:4" x14ac:dyDescent="0.2">
      <c r="A299" s="13">
        <v>42491</v>
      </c>
      <c r="B299" s="18">
        <f>VLOOKUP(A299,Database!A:M,MATCH($A$1,Database!$A$1:$M$1,),)</f>
        <v>360322</v>
      </c>
      <c r="C299" s="15">
        <f t="shared" si="8"/>
        <v>4.5470892774003248E-3</v>
      </c>
      <c r="D299" s="16">
        <f t="shared" si="9"/>
        <v>1.723806942656458E-2</v>
      </c>
    </row>
    <row r="300" spans="1:4" x14ac:dyDescent="0.2">
      <c r="A300" s="14">
        <v>42522</v>
      </c>
      <c r="B300" s="18">
        <f>VLOOKUP(A300,Database!A:M,MATCH($A$1,Database!$A$1:$M$1,),)</f>
        <v>364300</v>
      </c>
      <c r="C300" s="15">
        <f t="shared" si="8"/>
        <v>1.104012522132981E-2</v>
      </c>
      <c r="D300" s="16">
        <f t="shared" si="9"/>
        <v>2.6376437575013102E-2</v>
      </c>
    </row>
    <row r="301" spans="1:4" x14ac:dyDescent="0.2">
      <c r="A301" s="13">
        <v>42552</v>
      </c>
      <c r="B301" s="18">
        <f>VLOOKUP(A301,Database!A:M,MATCH($A$1,Database!$A$1:$M$1,),)</f>
        <v>362118</v>
      </c>
      <c r="C301" s="15">
        <f t="shared" si="8"/>
        <v>-5.989569036508372E-3</v>
      </c>
      <c r="D301" s="16">
        <f t="shared" si="9"/>
        <v>1.1912646183510081E-2</v>
      </c>
    </row>
    <row r="302" spans="1:4" x14ac:dyDescent="0.2">
      <c r="A302" s="14">
        <v>42583</v>
      </c>
      <c r="B302" s="18">
        <f>VLOOKUP(A302,Database!A:M,MATCH($A$1,Database!$A$1:$M$1,),)</f>
        <v>362435</v>
      </c>
      <c r="C302" s="15">
        <f t="shared" si="8"/>
        <v>8.7540525464075249E-4</v>
      </c>
      <c r="D302" s="16">
        <f t="shared" si="9"/>
        <v>1.4314899809694392E-2</v>
      </c>
    </row>
    <row r="303" spans="1:4" x14ac:dyDescent="0.2">
      <c r="A303" s="13">
        <v>42614</v>
      </c>
      <c r="B303" s="18">
        <f>VLOOKUP(A303,Database!A:M,MATCH($A$1,Database!$A$1:$M$1,),)</f>
        <v>364147</v>
      </c>
      <c r="C303" s="15">
        <f t="shared" si="8"/>
        <v>4.7236056120407797E-3</v>
      </c>
      <c r="D303" s="16">
        <f t="shared" si="9"/>
        <v>2.5665075274268735E-2</v>
      </c>
    </row>
    <row r="304" spans="1:4" x14ac:dyDescent="0.2">
      <c r="A304" s="14">
        <v>42644</v>
      </c>
      <c r="B304" s="18">
        <f>VLOOKUP(A304,Database!A:M,MATCH($A$1,Database!$A$1:$M$1,),)</f>
        <v>365738</v>
      </c>
      <c r="C304" s="15">
        <f t="shared" si="8"/>
        <v>4.3691146707236367E-3</v>
      </c>
      <c r="D304" s="16">
        <f t="shared" si="9"/>
        <v>3.2076552539570112E-2</v>
      </c>
    </row>
    <row r="305" spans="1:4" x14ac:dyDescent="0.2">
      <c r="A305" s="13">
        <v>42675</v>
      </c>
      <c r="B305" s="18">
        <f>VLOOKUP(A305,Database!A:M,MATCH($A$1,Database!$A$1:$M$1,),)</f>
        <v>365795</v>
      </c>
      <c r="C305" s="15">
        <f t="shared" si="8"/>
        <v>1.5584926914895362E-4</v>
      </c>
      <c r="D305" s="16">
        <f t="shared" si="9"/>
        <v>2.9836963713094425E-2</v>
      </c>
    </row>
    <row r="306" spans="1:4" x14ac:dyDescent="0.2">
      <c r="A306" s="14">
        <v>42705</v>
      </c>
      <c r="B306" s="18">
        <f>VLOOKUP(A306,Database!A:M,MATCH($A$1,Database!$A$1:$M$1,),)</f>
        <v>368617</v>
      </c>
      <c r="C306" s="15">
        <f t="shared" si="8"/>
        <v>7.7147035908090595E-3</v>
      </c>
      <c r="D306" s="16">
        <f t="shared" si="9"/>
        <v>3.161591850442181E-2</v>
      </c>
    </row>
    <row r="307" spans="1:4" x14ac:dyDescent="0.2">
      <c r="A307" s="13">
        <v>42736</v>
      </c>
      <c r="B307" s="18">
        <f>VLOOKUP(A307,Database!A:M,MATCH($A$1,Database!$A$1:$M$1,),)</f>
        <v>374064</v>
      </c>
      <c r="C307" s="15">
        <f t="shared" si="8"/>
        <v>1.4776855109775187E-2</v>
      </c>
      <c r="D307" s="16">
        <f t="shared" si="9"/>
        <v>5.4589640288581084E-2</v>
      </c>
    </row>
    <row r="308" spans="1:4" x14ac:dyDescent="0.2">
      <c r="A308" s="14">
        <v>42767</v>
      </c>
      <c r="B308" s="18">
        <f>VLOOKUP(A308,Database!A:M,MATCH($A$1,Database!$A$1:$M$1,),)</f>
        <v>374178</v>
      </c>
      <c r="C308" s="15">
        <f t="shared" si="8"/>
        <v>3.0476068266392919E-4</v>
      </c>
      <c r="D308" s="16">
        <f t="shared" si="9"/>
        <v>4.8793340247218098E-2</v>
      </c>
    </row>
    <row r="309" spans="1:4" x14ac:dyDescent="0.2">
      <c r="A309" s="13">
        <v>42795</v>
      </c>
      <c r="B309" s="18">
        <f>VLOOKUP(A309,Database!A:M,MATCH($A$1,Database!$A$1:$M$1,),)</f>
        <v>375294</v>
      </c>
      <c r="C309" s="15">
        <f t="shared" si="8"/>
        <v>2.9825377226881324E-3</v>
      </c>
      <c r="D309" s="16">
        <f t="shared" si="9"/>
        <v>5.0440419511130145E-2</v>
      </c>
    </row>
    <row r="310" spans="1:4" x14ac:dyDescent="0.2">
      <c r="A310" s="14">
        <v>42826</v>
      </c>
      <c r="B310" s="18">
        <f>VLOOKUP(A310,Database!A:M,MATCH($A$1,Database!$A$1:$M$1,),)</f>
        <v>376910</v>
      </c>
      <c r="C310" s="15">
        <f t="shared" si="8"/>
        <v>4.3059574626825902E-3</v>
      </c>
      <c r="D310" s="16">
        <f t="shared" si="9"/>
        <v>5.0793022406472425E-2</v>
      </c>
    </row>
    <row r="311" spans="1:4" x14ac:dyDescent="0.2">
      <c r="A311" s="13">
        <v>42856</v>
      </c>
      <c r="B311" s="18">
        <f>VLOOKUP(A311,Database!A:M,MATCH($A$1,Database!$A$1:$M$1,),)</f>
        <v>374147</v>
      </c>
      <c r="C311" s="15">
        <f t="shared" si="8"/>
        <v>-7.3306624923721846E-3</v>
      </c>
      <c r="D311" s="16">
        <f t="shared" si="9"/>
        <v>3.8368459322494879E-2</v>
      </c>
    </row>
    <row r="312" spans="1:4" x14ac:dyDescent="0.2">
      <c r="A312" s="14">
        <v>42887</v>
      </c>
      <c r="B312" s="18">
        <f>VLOOKUP(A312,Database!A:M,MATCH($A$1,Database!$A$1:$M$1,),)</f>
        <v>375072</v>
      </c>
      <c r="C312" s="15">
        <f t="shared" si="8"/>
        <v>2.4722903030092451E-3</v>
      </c>
      <c r="D312" s="16">
        <f t="shared" si="9"/>
        <v>2.9569036508372219E-2</v>
      </c>
    </row>
    <row r="313" spans="1:4" x14ac:dyDescent="0.2">
      <c r="A313" s="13">
        <v>42917</v>
      </c>
      <c r="B313" s="18">
        <f>VLOOKUP(A313,Database!A:M,MATCH($A$1,Database!$A$1:$M$1,),)</f>
        <v>375038</v>
      </c>
      <c r="C313" s="15">
        <f t="shared" si="8"/>
        <v>-9.0649262008361058E-5</v>
      </c>
      <c r="D313" s="16">
        <f t="shared" si="9"/>
        <v>3.5678977570847072E-2</v>
      </c>
    </row>
    <row r="314" spans="1:4" x14ac:dyDescent="0.2">
      <c r="A314" s="14">
        <v>42948</v>
      </c>
      <c r="B314" s="18">
        <f>VLOOKUP(A314,Database!A:M,MATCH($A$1,Database!$A$1:$M$1,),)</f>
        <v>378044</v>
      </c>
      <c r="C314" s="15">
        <f t="shared" si="8"/>
        <v>8.0151877943035101E-3</v>
      </c>
      <c r="D314" s="16">
        <f t="shared" si="9"/>
        <v>4.3067032709313391E-2</v>
      </c>
    </row>
    <row r="315" spans="1:4" x14ac:dyDescent="0.2">
      <c r="A315" s="13">
        <v>42979</v>
      </c>
      <c r="B315" s="18">
        <f>VLOOKUP(A315,Database!A:M,MATCH($A$1,Database!$A$1:$M$1,),)</f>
        <v>383436</v>
      </c>
      <c r="C315" s="15">
        <f t="shared" si="8"/>
        <v>1.42628900339643E-2</v>
      </c>
      <c r="D315" s="16">
        <f t="shared" si="9"/>
        <v>5.2970366363034711E-2</v>
      </c>
    </row>
    <row r="316" spans="1:4" x14ac:dyDescent="0.2">
      <c r="A316" s="14">
        <v>43009</v>
      </c>
      <c r="B316" s="18">
        <f>VLOOKUP(A316,Database!A:M,MATCH($A$1,Database!$A$1:$M$1,),)</f>
        <v>383559</v>
      </c>
      <c r="C316" s="15">
        <f t="shared" si="8"/>
        <v>3.2078365098738774E-4</v>
      </c>
      <c r="D316" s="16">
        <f t="shared" si="9"/>
        <v>4.8726137289535135E-2</v>
      </c>
    </row>
    <row r="317" spans="1:4" x14ac:dyDescent="0.2">
      <c r="A317" s="13">
        <v>43040</v>
      </c>
      <c r="B317" s="18">
        <f>VLOOKUP(A317,Database!A:M,MATCH($A$1,Database!$A$1:$M$1,),)</f>
        <v>389394</v>
      </c>
      <c r="C317" s="15">
        <f t="shared" si="8"/>
        <v>1.5212783430971506E-2</v>
      </c>
      <c r="D317" s="16">
        <f t="shared" si="9"/>
        <v>6.4514277122431962E-2</v>
      </c>
    </row>
    <row r="318" spans="1:4" x14ac:dyDescent="0.2">
      <c r="A318" s="14">
        <v>43070</v>
      </c>
      <c r="B318" s="18">
        <f>VLOOKUP(A318,Database!A:M,MATCH($A$1,Database!$A$1:$M$1,),)</f>
        <v>392021</v>
      </c>
      <c r="C318" s="15">
        <f t="shared" si="8"/>
        <v>6.7463802729369228E-3</v>
      </c>
      <c r="D318" s="16">
        <f t="shared" si="9"/>
        <v>6.3491374516096655E-2</v>
      </c>
    </row>
    <row r="319" spans="1:4" x14ac:dyDescent="0.2">
      <c r="A319" s="13">
        <v>43101</v>
      </c>
      <c r="B319" s="18">
        <f>VLOOKUP(A319,Database!A:M,MATCH($A$1,Database!$A$1:$M$1,),)</f>
        <v>391213</v>
      </c>
      <c r="C319" s="15">
        <f t="shared" si="8"/>
        <v>-2.0611140729705807E-3</v>
      </c>
      <c r="D319" s="16">
        <f t="shared" si="9"/>
        <v>4.5845096026348432E-2</v>
      </c>
    </row>
    <row r="320" spans="1:4" x14ac:dyDescent="0.2">
      <c r="A320" s="14">
        <v>43132</v>
      </c>
      <c r="B320" s="18">
        <f>VLOOKUP(A320,Database!A:M,MATCH($A$1,Database!$A$1:$M$1,),)</f>
        <v>393942</v>
      </c>
      <c r="C320" s="15">
        <f t="shared" si="8"/>
        <v>6.9757395587569946E-3</v>
      </c>
      <c r="D320" s="16">
        <f t="shared" si="9"/>
        <v>5.2819780959864025E-2</v>
      </c>
    </row>
    <row r="321" spans="1:4" x14ac:dyDescent="0.2">
      <c r="A321" s="13">
        <v>43160</v>
      </c>
      <c r="B321" s="18">
        <f>VLOOKUP(A321,Database!A:M,MATCH($A$1,Database!$A$1:$M$1,),)</f>
        <v>393244</v>
      </c>
      <c r="C321" s="15">
        <f t="shared" si="8"/>
        <v>-1.7718344324799081E-3</v>
      </c>
      <c r="D321" s="16">
        <f t="shared" si="9"/>
        <v>4.7829168598485454E-2</v>
      </c>
    </row>
    <row r="322" spans="1:4" x14ac:dyDescent="0.2">
      <c r="A322" s="14">
        <v>43191</v>
      </c>
      <c r="B322" s="18">
        <f>VLOOKUP(A322,Database!A:M,MATCH($A$1,Database!$A$1:$M$1,),)</f>
        <v>394562</v>
      </c>
      <c r="C322" s="15">
        <f t="shared" si="8"/>
        <v>3.3516086704437958E-3</v>
      </c>
      <c r="D322" s="16">
        <f t="shared" si="9"/>
        <v>4.6833461569074843E-2</v>
      </c>
    </row>
    <row r="323" spans="1:4" x14ac:dyDescent="0.2">
      <c r="A323" s="13">
        <v>43221</v>
      </c>
      <c r="B323" s="18">
        <f>VLOOKUP(A323,Database!A:M,MATCH($A$1,Database!$A$1:$M$1,),)</f>
        <v>399841</v>
      </c>
      <c r="C323" s="15">
        <f t="shared" si="8"/>
        <v>1.3379392845737805E-2</v>
      </c>
      <c r="D323" s="16">
        <f t="shared" si="9"/>
        <v>6.8673542751913022E-2</v>
      </c>
    </row>
    <row r="324" spans="1:4" x14ac:dyDescent="0.2">
      <c r="A324" s="14">
        <v>43252</v>
      </c>
      <c r="B324" s="18">
        <f>VLOOKUP(A324,Database!A:M,MATCH($A$1,Database!$A$1:$M$1,),)</f>
        <v>399038</v>
      </c>
      <c r="C324" s="15">
        <f t="shared" si="8"/>
        <v>-2.0082982985736831E-3</v>
      </c>
      <c r="D324" s="16">
        <f t="shared" si="9"/>
        <v>6.3897065096834738E-2</v>
      </c>
    </row>
    <row r="325" spans="1:4" x14ac:dyDescent="0.2">
      <c r="A325" s="13">
        <v>43282</v>
      </c>
      <c r="B325" s="18">
        <f>VLOOKUP(A325,Database!A:M,MATCH($A$1,Database!$A$1:$M$1,),)</f>
        <v>401779</v>
      </c>
      <c r="C325" s="15">
        <f t="shared" ref="C325:C326" si="10">(B325-B324)/B324</f>
        <v>6.8690199930833652E-3</v>
      </c>
      <c r="D325" s="16">
        <f t="shared" ref="D325:D326" si="11">(B325-B313)/B313</f>
        <v>7.1302108053050622E-2</v>
      </c>
    </row>
    <row r="326" spans="1:4" x14ac:dyDescent="0.2">
      <c r="A326" s="14">
        <v>43313</v>
      </c>
      <c r="B326" s="18">
        <f>VLOOKUP(A326,Database!A:M,MATCH($A$1,Database!$A$1:$M$1,),)</f>
        <v>402204</v>
      </c>
      <c r="C326" s="15">
        <f t="shared" si="10"/>
        <v>1.0577954547151542E-3</v>
      </c>
      <c r="D326" s="16">
        <f t="shared" si="11"/>
        <v>6.3907904899958734E-2</v>
      </c>
    </row>
    <row r="327" spans="1:4" x14ac:dyDescent="0.2">
      <c r="A327" s="13">
        <v>43344</v>
      </c>
      <c r="B327" s="18">
        <f>VLOOKUP(A327,Database!A:M,MATCH($A$1,Database!$A$1:$M$1,),)</f>
        <v>400948</v>
      </c>
      <c r="C327" s="15">
        <f t="shared" ref="C327:C328" si="12">(B327-B326)/B326</f>
        <v>-3.1227934083201559E-3</v>
      </c>
      <c r="D327" s="16">
        <f t="shared" ref="D327:D328" si="13">(B327-B315)/B315</f>
        <v>4.5671246309684013E-2</v>
      </c>
    </row>
    <row r="328" spans="1:4" x14ac:dyDescent="0.2">
      <c r="A328" s="14">
        <v>43374</v>
      </c>
      <c r="B328" s="18">
        <f>VLOOKUP(A328,Database!A:M,MATCH($A$1,Database!$A$1:$M$1,),)</f>
        <v>406131</v>
      </c>
      <c r="C328" s="15">
        <f t="shared" si="12"/>
        <v>1.2926863333898661E-2</v>
      </c>
      <c r="D328" s="16">
        <f t="shared" si="13"/>
        <v>5.8848834208035793E-2</v>
      </c>
    </row>
    <row r="329" spans="1:4" x14ac:dyDescent="0.2">
      <c r="A329" s="13">
        <v>43405</v>
      </c>
      <c r="B329" s="18">
        <f>VLOOKUP(A329,Database!A:M,MATCH($A$1,Database!$A$1:$M$1,),)</f>
        <v>406277</v>
      </c>
      <c r="C329" s="15">
        <f t="shared" ref="C329:C330" si="14">(B329-B328)/B328</f>
        <v>3.5948991827760006E-4</v>
      </c>
      <c r="D329" s="16">
        <f t="shared" ref="D329:D330" si="15">(B329-B317)/B317</f>
        <v>4.3357113874379162E-2</v>
      </c>
    </row>
    <row r="330" spans="1:4" x14ac:dyDescent="0.2">
      <c r="A330" s="14">
        <v>43435</v>
      </c>
      <c r="B330" s="18">
        <f>VLOOKUP(A330,Database!A:M,MATCH($A$1,Database!$A$1:$M$1,),)</f>
        <v>394822</v>
      </c>
      <c r="C330" s="15">
        <f t="shared" si="14"/>
        <v>-2.8195049190576874E-2</v>
      </c>
      <c r="D330" s="16">
        <f t="shared" si="15"/>
        <v>7.1450253940477677E-3</v>
      </c>
    </row>
    <row r="331" spans="1:4" x14ac:dyDescent="0.2">
      <c r="A331" s="13">
        <v>43466</v>
      </c>
      <c r="B331" s="18">
        <f>VLOOKUP(A331,Database!A:M,MATCH($A$1,Database!$A$1:$M$1,),)</f>
        <v>403119</v>
      </c>
      <c r="C331" s="15">
        <f t="shared" ref="C331:C332" si="16">(B331-B330)/B330</f>
        <v>2.101453313138579E-2</v>
      </c>
      <c r="D331" s="16">
        <f t="shared" ref="D331:D332" si="17">(B331-B319)/B319</f>
        <v>3.0433548987380276E-2</v>
      </c>
    </row>
    <row r="332" spans="1:4" x14ac:dyDescent="0.2">
      <c r="A332" s="14">
        <v>43497</v>
      </c>
      <c r="B332" s="18">
        <f>VLOOKUP(A332,Database!A:M,MATCH($A$1,Database!$A$1:$M$1,),)</f>
        <v>402274</v>
      </c>
      <c r="C332" s="15">
        <f t="shared" si="16"/>
        <v>-2.0961552295972155E-3</v>
      </c>
      <c r="D332" s="16">
        <f t="shared" si="17"/>
        <v>2.1150321620949278E-2</v>
      </c>
    </row>
    <row r="333" spans="1:4" x14ac:dyDescent="0.2">
      <c r="A333" s="13">
        <v>43525</v>
      </c>
      <c r="B333" s="18">
        <f>VLOOKUP(A333,Database!A:M,MATCH($A$1,Database!$A$1:$M$1,),)</f>
        <v>407080</v>
      </c>
      <c r="C333" s="15">
        <f t="shared" ref="C333:C334" si="18">(B333-B332)/B332</f>
        <v>1.1947080845393936E-2</v>
      </c>
      <c r="D333" s="16">
        <f t="shared" ref="D333:D334" si="19">(B333-B321)/B321</f>
        <v>3.5184262188361425E-2</v>
      </c>
    </row>
    <row r="334" spans="1:4" x14ac:dyDescent="0.2">
      <c r="A334" s="14">
        <v>43556</v>
      </c>
      <c r="B334" s="18">
        <f>VLOOKUP(A334,Database!A:M,MATCH($A$1,Database!$A$1:$M$1,),)</f>
        <v>410137</v>
      </c>
      <c r="C334" s="15">
        <f t="shared" si="18"/>
        <v>7.5095804264518028E-3</v>
      </c>
      <c r="D334" s="16">
        <f t="shared" si="19"/>
        <v>3.9474151083986803E-2</v>
      </c>
    </row>
    <row r="335" spans="1:4" x14ac:dyDescent="0.2">
      <c r="A335" s="13">
        <v>43586</v>
      </c>
      <c r="B335" s="18">
        <f>VLOOKUP(A335,Database!A:M,MATCH($A$1,Database!$A$1:$M$1,),)</f>
        <v>411251</v>
      </c>
      <c r="C335" s="15">
        <f t="shared" ref="C335:C336" si="20">(B335-B334)/B334</f>
        <v>2.7161655739423654E-3</v>
      </c>
      <c r="D335" s="16">
        <f t="shared" ref="D335:D336" si="21">(B335-B323)/B323</f>
        <v>2.8536343196420576E-2</v>
      </c>
    </row>
    <row r="336" spans="1:4" s="1" customFormat="1" x14ac:dyDescent="0.2">
      <c r="A336" s="14">
        <v>43617</v>
      </c>
      <c r="B336" s="18">
        <f>VLOOKUP(A336,Database!A:M,MATCH($A$1,Database!$A$1:$M$1,),)</f>
        <v>412955</v>
      </c>
      <c r="C336" s="15">
        <f t="shared" si="20"/>
        <v>4.1434549703222604E-3</v>
      </c>
      <c r="D336" s="16">
        <f t="shared" si="21"/>
        <v>3.4876377688340461E-2</v>
      </c>
    </row>
    <row r="337" spans="1:4" s="1" customFormat="1" x14ac:dyDescent="0.2">
      <c r="A337" s="13">
        <v>43647</v>
      </c>
      <c r="B337" s="18">
        <f>VLOOKUP(A337,Database!A:M,MATCH($A$1,Database!$A$1:$M$1,),)</f>
        <v>415767</v>
      </c>
      <c r="C337" s="15">
        <f t="shared" ref="C337:C338" si="22">(B337-B336)/B336</f>
        <v>6.8094586577229967E-3</v>
      </c>
      <c r="D337" s="16">
        <f t="shared" ref="D337:D338" si="23">(B337-B325)/B325</f>
        <v>3.4815159577777831E-2</v>
      </c>
    </row>
    <row r="338" spans="1:4" s="1" customFormat="1" x14ac:dyDescent="0.2">
      <c r="A338" s="14">
        <v>43678</v>
      </c>
      <c r="B338" s="18">
        <f>VLOOKUP(A338,Database!A:M,MATCH($A$1,Database!$A$1:$M$1,),)</f>
        <v>416233</v>
      </c>
      <c r="C338" s="15">
        <f t="shared" si="22"/>
        <v>1.1208200747053036E-3</v>
      </c>
      <c r="D338" s="16">
        <f t="shared" si="23"/>
        <v>3.4880309494684292E-2</v>
      </c>
    </row>
    <row r="339" spans="1:4" s="1" customFormat="1" x14ac:dyDescent="0.2">
      <c r="A339" s="13">
        <v>43709</v>
      </c>
      <c r="B339" s="18">
        <f>VLOOKUP(A339,Database!A:M,MATCH($A$1,Database!$A$1:$M$1,),)</f>
        <v>414893</v>
      </c>
      <c r="C339" s="15">
        <f t="shared" ref="C339:C340" si="24">(B339-B338)/B338</f>
        <v>-3.2193507002087774E-3</v>
      </c>
      <c r="D339" s="16">
        <f t="shared" ref="D339:D340" si="25">(B339-B327)/B327</f>
        <v>3.4780071231182097E-2</v>
      </c>
    </row>
    <row r="340" spans="1:4" s="1" customFormat="1" x14ac:dyDescent="0.2">
      <c r="A340" s="14">
        <v>43739</v>
      </c>
      <c r="B340" s="18">
        <f>VLOOKUP(A340,Database!A:M,MATCH($A$1,Database!$A$1:$M$1,),)</f>
        <v>417017</v>
      </c>
      <c r="C340" s="15">
        <f t="shared" si="24"/>
        <v>5.1193922288397253E-3</v>
      </c>
      <c r="D340" s="16">
        <f t="shared" si="25"/>
        <v>2.6804159249109276E-2</v>
      </c>
    </row>
    <row r="341" spans="1:4" s="1" customFormat="1" x14ac:dyDescent="0.2">
      <c r="A341" s="13">
        <v>43770</v>
      </c>
      <c r="B341" s="18">
        <f>VLOOKUP(A341,Database!A:M,MATCH($A$1,Database!$A$1:$M$1,),)</f>
        <v>416225</v>
      </c>
      <c r="C341" s="15">
        <f t="shared" ref="C341:C342" si="26">(B341-B340)/B340</f>
        <v>-1.8992031499914872E-3</v>
      </c>
      <c r="D341" s="16">
        <f t="shared" ref="D341:D342" si="27">(B341-B329)/B329</f>
        <v>2.4485757254287099E-2</v>
      </c>
    </row>
    <row r="342" spans="1:4" s="1" customFormat="1" x14ac:dyDescent="0.2">
      <c r="A342" s="14">
        <v>43800</v>
      </c>
      <c r="B342" s="18">
        <f>VLOOKUP(A342,Database!A:M,MATCH($A$1,Database!$A$1:$M$1,),)</f>
        <v>419039</v>
      </c>
      <c r="C342" s="15">
        <f t="shared" si="26"/>
        <v>6.7607664123971413E-3</v>
      </c>
      <c r="D342" s="16">
        <f t="shared" si="27"/>
        <v>6.1336501005516408E-2</v>
      </c>
    </row>
    <row r="343" spans="1:4" s="1" customFormat="1" x14ac:dyDescent="0.2">
      <c r="A343" s="13">
        <v>43831</v>
      </c>
      <c r="B343" s="18">
        <f>VLOOKUP(A343,Database!A:M,MATCH($A$1,Database!$A$1:$M$1,),)</f>
        <v>421768</v>
      </c>
      <c r="C343" s="15">
        <f t="shared" ref="C343:C344" si="28">(B343-B342)/B342</f>
        <v>6.5125203143382836E-3</v>
      </c>
      <c r="D343" s="16">
        <f t="shared" ref="D343:D344" si="29">(B343-B331)/B331</f>
        <v>4.6261773818649085E-2</v>
      </c>
    </row>
    <row r="344" spans="1:4" s="1" customFormat="1" x14ac:dyDescent="0.2">
      <c r="A344" s="14">
        <v>43862</v>
      </c>
      <c r="B344" s="18">
        <f>VLOOKUP(A344,Database!A:M,MATCH($A$1,Database!$A$1:$M$1,),)</f>
        <v>420290</v>
      </c>
      <c r="C344" s="15">
        <f t="shared" si="28"/>
        <v>-3.5042962007549175E-3</v>
      </c>
      <c r="D344" s="16">
        <f t="shared" si="29"/>
        <v>4.4785395029258664E-2</v>
      </c>
    </row>
    <row r="345" spans="1:4" s="1" customFormat="1" x14ac:dyDescent="0.2">
      <c r="A345" s="13">
        <v>43891</v>
      </c>
      <c r="B345" s="18">
        <f>VLOOKUP(A345,Database!A:M,MATCH($A$1,Database!$A$1:$M$1,),)</f>
        <v>402361</v>
      </c>
      <c r="C345" s="15">
        <f t="shared" ref="C345:C346" si="30">(B345-B344)/B344</f>
        <v>-4.265864046253777E-2</v>
      </c>
      <c r="D345" s="16">
        <f t="shared" ref="D345:D346" si="31">(B345-B333)/B333</f>
        <v>-1.1592316006681733E-2</v>
      </c>
    </row>
    <row r="346" spans="1:4" s="1" customFormat="1" x14ac:dyDescent="0.2">
      <c r="A346" s="14">
        <v>43922</v>
      </c>
      <c r="B346" s="18">
        <f>VLOOKUP(A346,Database!A:M,MATCH($A$1,Database!$A$1:$M$1,),)</f>
        <v>341621</v>
      </c>
      <c r="C346" s="15">
        <f t="shared" si="30"/>
        <v>-0.15095896471079454</v>
      </c>
      <c r="D346" s="16">
        <f t="shared" si="31"/>
        <v>-0.16705637384581248</v>
      </c>
    </row>
    <row r="347" spans="1:4" s="1" customFormat="1" x14ac:dyDescent="0.2">
      <c r="A347" s="13">
        <v>43952</v>
      </c>
      <c r="B347" s="18">
        <f>VLOOKUP(A347,Database!A:M,MATCH($A$1,Database!$A$1:$M$1,),)</f>
        <v>383353</v>
      </c>
      <c r="C347" s="15">
        <f t="shared" ref="C347:C348" si="32">(B347-B346)/B346</f>
        <v>0.12215876658636325</v>
      </c>
      <c r="D347" s="16">
        <f t="shared" ref="D347:D348" si="33">(B347-B335)/B335</f>
        <v>-6.7836917113879361E-2</v>
      </c>
    </row>
    <row r="348" spans="1:4" s="1" customFormat="1" x14ac:dyDescent="0.2">
      <c r="A348" s="14">
        <v>43983</v>
      </c>
      <c r="B348" s="18">
        <f>VLOOKUP(A348,Database!A:M,MATCH($A$1,Database!$A$1:$M$1,),)</f>
        <v>415613</v>
      </c>
      <c r="C348" s="15">
        <f t="shared" si="32"/>
        <v>8.4152204365167349E-2</v>
      </c>
      <c r="D348" s="16">
        <f t="shared" si="33"/>
        <v>6.4365366686442837E-3</v>
      </c>
    </row>
    <row r="349" spans="1:4" s="1" customFormat="1" x14ac:dyDescent="0.2">
      <c r="A349" s="13">
        <v>44013</v>
      </c>
      <c r="B349" s="18">
        <f>VLOOKUP(A349,Database!A:M,MATCH($A$1,Database!$A$1:$M$1,),)</f>
        <v>424069</v>
      </c>
      <c r="C349" s="15">
        <f t="shared" ref="C349:C350" si="34">(B349-B348)/B348</f>
        <v>2.0345850586964316E-2</v>
      </c>
      <c r="D349" s="16">
        <f t="shared" ref="D349:D350" si="35">(B349-B337)/B337</f>
        <v>1.9967914721466591E-2</v>
      </c>
    </row>
    <row r="350" spans="1:4" s="1" customFormat="1" x14ac:dyDescent="0.2">
      <c r="A350" s="14">
        <v>44044</v>
      </c>
      <c r="B350" s="18">
        <f>VLOOKUP(A350,Database!A:M,MATCH($A$1,Database!$A$1:$M$1,),)</f>
        <v>428004</v>
      </c>
      <c r="C350" s="15">
        <f t="shared" si="34"/>
        <v>9.2791503269515109E-3</v>
      </c>
      <c r="D350" s="16">
        <f t="shared" si="35"/>
        <v>2.8279833650863818E-2</v>
      </c>
    </row>
    <row r="351" spans="1:4" s="1" customFormat="1" x14ac:dyDescent="0.2">
      <c r="A351" s="13">
        <v>44075</v>
      </c>
      <c r="B351" s="18">
        <f>VLOOKUP(A351,Database!A:M,MATCH($A$1,Database!$A$1:$M$1,),)</f>
        <v>435154</v>
      </c>
      <c r="C351" s="15">
        <f t="shared" ref="C351:C352" si="36">(B351-B350)/B350</f>
        <v>1.6705451350921954E-2</v>
      </c>
      <c r="D351" s="16">
        <f t="shared" ref="D351:D352" si="37">(B351-B339)/B339</f>
        <v>4.8834277753541273E-2</v>
      </c>
    </row>
    <row r="352" spans="1:4" s="1" customFormat="1" x14ac:dyDescent="0.2">
      <c r="A352" s="14">
        <v>44105</v>
      </c>
      <c r="B352" s="18">
        <f>VLOOKUP(A352,Database!A:M,MATCH($A$1,Database!$A$1:$M$1,),)</f>
        <v>435791</v>
      </c>
      <c r="C352" s="15">
        <f t="shared" si="36"/>
        <v>1.4638495796890296E-3</v>
      </c>
      <c r="D352" s="16">
        <f t="shared" si="37"/>
        <v>4.5019747396389115E-2</v>
      </c>
    </row>
    <row r="353" spans="1:4" s="1" customFormat="1" x14ac:dyDescent="0.2">
      <c r="A353" s="13">
        <v>44136</v>
      </c>
      <c r="B353" s="18">
        <f>VLOOKUP(A353,Database!A:M,MATCH($A$1,Database!$A$1:$M$1,),)</f>
        <v>430381</v>
      </c>
      <c r="C353" s="15">
        <f t="shared" ref="C353:C354" si="38">(B353-B352)/B352</f>
        <v>-1.2414207728016411E-2</v>
      </c>
      <c r="D353" s="16">
        <f t="shared" ref="D353:D354" si="39">(B353-B341)/B341</f>
        <v>3.401045107814283E-2</v>
      </c>
    </row>
    <row r="354" spans="1:4" s="1" customFormat="1" x14ac:dyDescent="0.2">
      <c r="A354" s="14">
        <v>44166</v>
      </c>
      <c r="B354" s="18">
        <f>VLOOKUP(A354,Database!A:M,MATCH($A$1,Database!$A$1:$M$1,),)</f>
        <v>421525</v>
      </c>
      <c r="C354" s="15">
        <f t="shared" si="38"/>
        <v>-2.0577116554866503E-2</v>
      </c>
      <c r="D354" s="16">
        <f t="shared" si="39"/>
        <v>5.9326220232484329E-3</v>
      </c>
    </row>
    <row r="355" spans="1:4" s="1" customFormat="1" x14ac:dyDescent="0.2">
      <c r="A355" s="13">
        <v>44197</v>
      </c>
      <c r="B355" s="18">
        <f>VLOOKUP(A355,Database!A:M,MATCH($A$1,Database!$A$1:$M$1,),)</f>
        <v>456387</v>
      </c>
      <c r="C355" s="15">
        <f t="shared" ref="C355:C356" si="40">(B355-B354)/B354</f>
        <v>8.2704465927287821E-2</v>
      </c>
      <c r="D355" s="16">
        <f t="shared" ref="D355:D356" si="41">(B355-B343)/B343</f>
        <v>8.2080669941768936E-2</v>
      </c>
    </row>
    <row r="356" spans="1:4" s="1" customFormat="1" x14ac:dyDescent="0.2">
      <c r="A356" s="14">
        <v>44228</v>
      </c>
      <c r="B356" s="18">
        <f>VLOOKUP(A356,Database!A:M,MATCH($A$1,Database!$A$1:$M$1,),)</f>
        <v>444228</v>
      </c>
      <c r="C356" s="15">
        <f t="shared" si="40"/>
        <v>-2.6641863155611355E-2</v>
      </c>
      <c r="D356" s="16">
        <f t="shared" si="41"/>
        <v>5.6955911394513309E-2</v>
      </c>
    </row>
    <row r="357" spans="1:4" s="1" customFormat="1" x14ac:dyDescent="0.2">
      <c r="A357" s="13">
        <v>44256</v>
      </c>
      <c r="B357" s="18">
        <f>VLOOKUP(A357,Database!A:M,MATCH($A$1,Database!$A$1:$M$1,),)</f>
        <v>487687</v>
      </c>
      <c r="C357" s="15">
        <f t="shared" ref="C357:C358" si="42">(B357-B356)/B356</f>
        <v>9.7830393401586571E-2</v>
      </c>
      <c r="D357" s="16">
        <f t="shared" ref="D357:D358" si="43">(B357-B345)/B345</f>
        <v>0.21206329639304008</v>
      </c>
    </row>
    <row r="358" spans="1:4" s="1" customFormat="1" x14ac:dyDescent="0.2">
      <c r="A358" s="14">
        <v>44287</v>
      </c>
      <c r="B358" s="18">
        <f>VLOOKUP(A358,Database!A:M,MATCH($A$1,Database!$A$1:$M$1,),)</f>
        <v>487364</v>
      </c>
      <c r="C358" s="15">
        <f t="shared" si="42"/>
        <v>-6.6231004722291139E-4</v>
      </c>
      <c r="D358" s="16">
        <f t="shared" si="43"/>
        <v>0.4266218997075707</v>
      </c>
    </row>
    <row r="359" spans="1:4" s="1" customFormat="1" x14ac:dyDescent="0.2">
      <c r="A359" s="13">
        <v>44317</v>
      </c>
      <c r="B359" s="18">
        <f>VLOOKUP(A359,Database!A:M,MATCH($A$1,Database!$A$1:$M$1,),)</f>
        <v>485272</v>
      </c>
      <c r="C359" s="15">
        <f t="shared" ref="C359:C360" si="44">(B359-B358)/B358</f>
        <v>-4.2924795430109731E-3</v>
      </c>
      <c r="D359" s="16">
        <f t="shared" ref="D359:D360" si="45">(B359-B347)/B347</f>
        <v>0.26586201229676043</v>
      </c>
    </row>
    <row r="360" spans="1:4" s="1" customFormat="1" x14ac:dyDescent="0.2">
      <c r="A360" s="14">
        <v>44348</v>
      </c>
      <c r="B360" s="18">
        <f>VLOOKUP(A360,Database!A:M,MATCH($A$1,Database!$A$1:$M$1,),)</f>
        <v>493387</v>
      </c>
      <c r="C360" s="15">
        <f t="shared" si="44"/>
        <v>1.6722580326085163E-2</v>
      </c>
      <c r="D360" s="16">
        <f t="shared" si="45"/>
        <v>0.18713081640853391</v>
      </c>
    </row>
    <row r="361" spans="1:4" s="1" customFormat="1" x14ac:dyDescent="0.2">
      <c r="A361" s="13">
        <v>44378</v>
      </c>
      <c r="B361" s="18">
        <f>VLOOKUP(A361,Database!A:M,MATCH($A$1,Database!$A$1:$M$1,),)</f>
        <v>488324</v>
      </c>
      <c r="C361" s="15">
        <f t="shared" ref="C361:C362" si="46">(B361-B360)/B360</f>
        <v>-1.0261721528941784E-2</v>
      </c>
      <c r="D361" s="16">
        <f t="shared" ref="D361:D362" si="47">(B361-B349)/B349</f>
        <v>0.15152015355991597</v>
      </c>
    </row>
    <row r="362" spans="1:4" s="1" customFormat="1" x14ac:dyDescent="0.2">
      <c r="A362" s="14">
        <v>44409</v>
      </c>
      <c r="B362" s="18">
        <f>VLOOKUP(A362,Database!A:M,MATCH($A$1,Database!$A$1:$M$1,),)</f>
        <v>497178</v>
      </c>
      <c r="C362" s="15">
        <f t="shared" si="46"/>
        <v>1.8131404559268028E-2</v>
      </c>
      <c r="D362" s="16">
        <f t="shared" si="47"/>
        <v>0.16161998485995457</v>
      </c>
    </row>
    <row r="363" spans="1:4" s="1" customFormat="1" x14ac:dyDescent="0.2">
      <c r="B363" s="25"/>
    </row>
    <row r="364" spans="1:4" s="1" customFormat="1" x14ac:dyDescent="0.2">
      <c r="B364" s="25"/>
    </row>
    <row r="365" spans="1:4" s="1" customFormat="1" x14ac:dyDescent="0.2">
      <c r="B365" s="25"/>
    </row>
    <row r="366" spans="1:4" s="1" customFormat="1" x14ac:dyDescent="0.2">
      <c r="B366" s="25"/>
    </row>
    <row r="367" spans="1:4" s="1" customFormat="1" x14ac:dyDescent="0.2">
      <c r="B367" s="25"/>
    </row>
    <row r="368" spans="1:4" s="1" customFormat="1" x14ac:dyDescent="0.2">
      <c r="B368" s="25"/>
    </row>
    <row r="369" spans="2:2" s="1" customFormat="1" x14ac:dyDescent="0.2">
      <c r="B369" s="25"/>
    </row>
    <row r="370" spans="2:2" s="1" customFormat="1" x14ac:dyDescent="0.2">
      <c r="B370" s="25"/>
    </row>
    <row r="371" spans="2:2" s="1" customFormat="1" x14ac:dyDescent="0.2">
      <c r="B371" s="25"/>
    </row>
    <row r="372" spans="2:2" s="1" customFormat="1" x14ac:dyDescent="0.2">
      <c r="B372" s="25"/>
    </row>
    <row r="373" spans="2:2" s="1" customFormat="1" x14ac:dyDescent="0.2">
      <c r="B373" s="25"/>
    </row>
    <row r="374" spans="2:2" s="1" customFormat="1" x14ac:dyDescent="0.2">
      <c r="B374" s="25"/>
    </row>
    <row r="375" spans="2:2" s="1" customFormat="1" x14ac:dyDescent="0.2">
      <c r="B375" s="25"/>
    </row>
    <row r="376" spans="2:2" s="1" customFormat="1" x14ac:dyDescent="0.2">
      <c r="B376" s="25"/>
    </row>
    <row r="377" spans="2:2" s="1" customFormat="1" x14ac:dyDescent="0.2">
      <c r="B377" s="25"/>
    </row>
    <row r="378" spans="2:2" s="1" customFormat="1" x14ac:dyDescent="0.2">
      <c r="B378" s="25"/>
    </row>
    <row r="379" spans="2:2" s="1" customFormat="1" x14ac:dyDescent="0.2">
      <c r="B379" s="25"/>
    </row>
    <row r="380" spans="2:2" s="1" customFormat="1" x14ac:dyDescent="0.2">
      <c r="B380" s="25"/>
    </row>
    <row r="381" spans="2:2" s="1" customFormat="1" x14ac:dyDescent="0.2">
      <c r="B381" s="25"/>
    </row>
    <row r="382" spans="2:2" s="1" customFormat="1" x14ac:dyDescent="0.2">
      <c r="B382" s="25"/>
    </row>
    <row r="383" spans="2:2" s="1" customFormat="1" x14ac:dyDescent="0.2">
      <c r="B383" s="25"/>
    </row>
    <row r="384" spans="2:2" s="1" customFormat="1" x14ac:dyDescent="0.2">
      <c r="B384" s="25"/>
    </row>
    <row r="385" spans="2:2" s="1" customFormat="1" x14ac:dyDescent="0.2">
      <c r="B385" s="25"/>
    </row>
    <row r="386" spans="2:2" s="1" customFormat="1" x14ac:dyDescent="0.2">
      <c r="B386" s="25"/>
    </row>
    <row r="387" spans="2:2" s="1" customFormat="1" x14ac:dyDescent="0.2">
      <c r="B387" s="25"/>
    </row>
    <row r="388" spans="2:2" s="1" customFormat="1" x14ac:dyDescent="0.2">
      <c r="B388" s="25"/>
    </row>
    <row r="389" spans="2:2" s="1" customFormat="1" x14ac:dyDescent="0.2">
      <c r="B389" s="25"/>
    </row>
    <row r="390" spans="2:2" s="1" customFormat="1" x14ac:dyDescent="0.2">
      <c r="B390" s="25"/>
    </row>
    <row r="391" spans="2:2" s="1" customFormat="1" x14ac:dyDescent="0.2">
      <c r="B391" s="25"/>
    </row>
    <row r="392" spans="2:2" s="1" customFormat="1" x14ac:dyDescent="0.2">
      <c r="B392" s="25"/>
    </row>
    <row r="393" spans="2:2" s="1" customFormat="1" x14ac:dyDescent="0.2">
      <c r="B393" s="25"/>
    </row>
    <row r="394" spans="2:2" s="1" customFormat="1" x14ac:dyDescent="0.2">
      <c r="B394" s="25"/>
    </row>
    <row r="395" spans="2:2" s="1" customFormat="1" x14ac:dyDescent="0.2">
      <c r="B395" s="25"/>
    </row>
    <row r="396" spans="2:2" s="1" customFormat="1" x14ac:dyDescent="0.2">
      <c r="B396" s="25"/>
    </row>
    <row r="397" spans="2:2" s="1" customFormat="1" x14ac:dyDescent="0.2">
      <c r="B397" s="25"/>
    </row>
    <row r="398" spans="2:2" s="1" customFormat="1" x14ac:dyDescent="0.2">
      <c r="B398" s="25"/>
    </row>
    <row r="399" spans="2:2" s="1" customFormat="1" x14ac:dyDescent="0.2">
      <c r="B399" s="25"/>
    </row>
    <row r="400" spans="2:2" s="1" customFormat="1" x14ac:dyDescent="0.2">
      <c r="B400" s="25"/>
    </row>
    <row r="401" spans="2:2" s="1" customFormat="1" x14ac:dyDescent="0.2">
      <c r="B401" s="25"/>
    </row>
    <row r="402" spans="2:2" s="1" customFormat="1" x14ac:dyDescent="0.2">
      <c r="B402" s="25"/>
    </row>
    <row r="403" spans="2:2" s="1" customFormat="1" x14ac:dyDescent="0.2">
      <c r="B403" s="25"/>
    </row>
    <row r="404" spans="2:2" s="1" customFormat="1" x14ac:dyDescent="0.2">
      <c r="B404" s="25"/>
    </row>
    <row r="405" spans="2:2" s="1" customFormat="1" x14ac:dyDescent="0.2">
      <c r="B405" s="25"/>
    </row>
    <row r="406" spans="2:2" s="1" customFormat="1" x14ac:dyDescent="0.2">
      <c r="B406" s="25"/>
    </row>
    <row r="407" spans="2:2" s="1" customFormat="1" x14ac:dyDescent="0.2">
      <c r="B407" s="25"/>
    </row>
    <row r="408" spans="2:2" s="1" customFormat="1" x14ac:dyDescent="0.2">
      <c r="B408" s="25"/>
    </row>
    <row r="409" spans="2:2" s="1" customFormat="1" x14ac:dyDescent="0.2">
      <c r="B409" s="25"/>
    </row>
    <row r="410" spans="2:2" s="1" customFormat="1" x14ac:dyDescent="0.2">
      <c r="B410" s="25"/>
    </row>
    <row r="411" spans="2:2" s="1" customFormat="1" x14ac:dyDescent="0.2">
      <c r="B411" s="25"/>
    </row>
    <row r="412" spans="2:2" s="1" customFormat="1" x14ac:dyDescent="0.2">
      <c r="B412" s="25"/>
    </row>
    <row r="413" spans="2:2" s="1" customFormat="1" x14ac:dyDescent="0.2">
      <c r="B413" s="25"/>
    </row>
    <row r="414" spans="2:2" s="1" customFormat="1" x14ac:dyDescent="0.2">
      <c r="B414" s="25"/>
    </row>
    <row r="415" spans="2:2" s="1" customFormat="1" x14ac:dyDescent="0.2">
      <c r="B415" s="25"/>
    </row>
    <row r="416" spans="2:2" s="1" customFormat="1" x14ac:dyDescent="0.2">
      <c r="B416" s="25"/>
    </row>
    <row r="417" spans="2:2" s="1" customFormat="1" x14ac:dyDescent="0.2">
      <c r="B417" s="25"/>
    </row>
    <row r="418" spans="2:2" s="1" customFormat="1" x14ac:dyDescent="0.2">
      <c r="B418" s="25"/>
    </row>
    <row r="419" spans="2:2" s="1" customFormat="1" x14ac:dyDescent="0.2">
      <c r="B419" s="25"/>
    </row>
    <row r="420" spans="2:2" s="1" customFormat="1" x14ac:dyDescent="0.2">
      <c r="B420" s="25"/>
    </row>
    <row r="421" spans="2:2" s="1" customFormat="1" x14ac:dyDescent="0.2">
      <c r="B421" s="25"/>
    </row>
    <row r="422" spans="2:2" s="1" customFormat="1" x14ac:dyDescent="0.2">
      <c r="B422" s="25"/>
    </row>
    <row r="423" spans="2:2" s="1" customFormat="1" x14ac:dyDescent="0.2">
      <c r="B423" s="25"/>
    </row>
    <row r="424" spans="2:2" s="1" customFormat="1" x14ac:dyDescent="0.2">
      <c r="B424" s="25"/>
    </row>
    <row r="425" spans="2:2" s="1" customFormat="1" x14ac:dyDescent="0.2">
      <c r="B425" s="25"/>
    </row>
    <row r="426" spans="2:2" s="1" customFormat="1" x14ac:dyDescent="0.2">
      <c r="B426" s="25"/>
    </row>
    <row r="427" spans="2:2" s="1" customFormat="1" x14ac:dyDescent="0.2">
      <c r="B427" s="25"/>
    </row>
    <row r="428" spans="2:2" s="1" customFormat="1" x14ac:dyDescent="0.2">
      <c r="B428" s="25"/>
    </row>
    <row r="429" spans="2:2" s="1" customFormat="1" x14ac:dyDescent="0.2">
      <c r="B429" s="25"/>
    </row>
    <row r="430" spans="2:2" s="1" customFormat="1" x14ac:dyDescent="0.2">
      <c r="B430" s="25"/>
    </row>
    <row r="431" spans="2:2" s="1" customFormat="1" x14ac:dyDescent="0.2">
      <c r="B431" s="25"/>
    </row>
    <row r="432" spans="2:2" s="1" customFormat="1" x14ac:dyDescent="0.2">
      <c r="B432" s="25"/>
    </row>
    <row r="433" spans="2:2" s="1" customFormat="1" x14ac:dyDescent="0.2">
      <c r="B433" s="25"/>
    </row>
    <row r="434" spans="2:2" s="1" customFormat="1" x14ac:dyDescent="0.2">
      <c r="B434" s="25"/>
    </row>
    <row r="435" spans="2:2" s="1" customFormat="1" x14ac:dyDescent="0.2">
      <c r="B435" s="25"/>
    </row>
    <row r="436" spans="2:2" s="1" customFormat="1" x14ac:dyDescent="0.2">
      <c r="B436" s="25"/>
    </row>
    <row r="437" spans="2:2" s="1" customFormat="1" x14ac:dyDescent="0.2">
      <c r="B437" s="25"/>
    </row>
    <row r="438" spans="2:2" s="1" customFormat="1" x14ac:dyDescent="0.2">
      <c r="B438" s="25"/>
    </row>
    <row r="439" spans="2:2" s="1" customFormat="1" x14ac:dyDescent="0.2">
      <c r="B439" s="25"/>
    </row>
    <row r="440" spans="2:2" s="1" customFormat="1" x14ac:dyDescent="0.2">
      <c r="B440" s="25"/>
    </row>
    <row r="441" spans="2:2" s="1" customFormat="1" x14ac:dyDescent="0.2">
      <c r="B441" s="25"/>
    </row>
    <row r="442" spans="2:2" s="1" customFormat="1" x14ac:dyDescent="0.2">
      <c r="B442" s="25"/>
    </row>
    <row r="443" spans="2:2" s="1" customFormat="1" x14ac:dyDescent="0.2">
      <c r="B443" s="25"/>
    </row>
    <row r="444" spans="2:2" s="1" customFormat="1" x14ac:dyDescent="0.2">
      <c r="B444" s="25"/>
    </row>
    <row r="445" spans="2:2" s="1" customFormat="1" x14ac:dyDescent="0.2">
      <c r="B445" s="25"/>
    </row>
    <row r="446" spans="2:2" s="1" customFormat="1" x14ac:dyDescent="0.2">
      <c r="B446" s="25"/>
    </row>
    <row r="447" spans="2:2" s="1" customFormat="1" x14ac:dyDescent="0.2">
      <c r="B447" s="25"/>
    </row>
    <row r="448" spans="2:2" s="1" customFormat="1" x14ac:dyDescent="0.2">
      <c r="B448" s="25"/>
    </row>
    <row r="449" spans="2:2" s="1" customFormat="1" x14ac:dyDescent="0.2">
      <c r="B449" s="25"/>
    </row>
    <row r="450" spans="2:2" s="1" customFormat="1" x14ac:dyDescent="0.2">
      <c r="B450" s="25"/>
    </row>
    <row r="451" spans="2:2" s="1" customFormat="1" x14ac:dyDescent="0.2">
      <c r="B451" s="25"/>
    </row>
    <row r="452" spans="2:2" s="1" customFormat="1" x14ac:dyDescent="0.2">
      <c r="B452" s="25"/>
    </row>
    <row r="453" spans="2:2" s="1" customFormat="1" x14ac:dyDescent="0.2">
      <c r="B453" s="25"/>
    </row>
    <row r="454" spans="2:2" s="1" customFormat="1" x14ac:dyDescent="0.2">
      <c r="B454" s="25"/>
    </row>
    <row r="455" spans="2:2" s="1" customFormat="1" x14ac:dyDescent="0.2">
      <c r="B455" s="25"/>
    </row>
    <row r="456" spans="2:2" s="1" customFormat="1" x14ac:dyDescent="0.2">
      <c r="B456" s="25"/>
    </row>
    <row r="457" spans="2:2" s="1" customFormat="1" x14ac:dyDescent="0.2">
      <c r="B457" s="25"/>
    </row>
    <row r="458" spans="2:2" s="1" customFormat="1" x14ac:dyDescent="0.2">
      <c r="B458" s="25"/>
    </row>
    <row r="459" spans="2:2" s="1" customFormat="1" x14ac:dyDescent="0.2">
      <c r="B459" s="25"/>
    </row>
    <row r="460" spans="2:2" s="1" customFormat="1" x14ac:dyDescent="0.2">
      <c r="B460" s="25"/>
    </row>
    <row r="461" spans="2:2" s="1" customFormat="1" x14ac:dyDescent="0.2">
      <c r="B461" s="25"/>
    </row>
    <row r="462" spans="2:2" s="1" customFormat="1" x14ac:dyDescent="0.2">
      <c r="B462" s="25"/>
    </row>
    <row r="463" spans="2:2" s="1" customFormat="1" x14ac:dyDescent="0.2">
      <c r="B463" s="25"/>
    </row>
    <row r="464" spans="2:2" s="1" customFormat="1" x14ac:dyDescent="0.2">
      <c r="B464" s="25"/>
    </row>
    <row r="465" spans="2:2" s="1" customFormat="1" x14ac:dyDescent="0.2">
      <c r="B465" s="25"/>
    </row>
    <row r="466" spans="2:2" s="1" customFormat="1" x14ac:dyDescent="0.2">
      <c r="B466" s="25"/>
    </row>
    <row r="467" spans="2:2" s="1" customFormat="1" x14ac:dyDescent="0.2">
      <c r="B467" s="25"/>
    </row>
    <row r="468" spans="2:2" s="1" customFormat="1" x14ac:dyDescent="0.2">
      <c r="B468" s="25"/>
    </row>
    <row r="469" spans="2:2" s="1" customFormat="1" x14ac:dyDescent="0.2">
      <c r="B469" s="25"/>
    </row>
    <row r="470" spans="2:2" s="1" customFormat="1" x14ac:dyDescent="0.2">
      <c r="B470" s="25"/>
    </row>
    <row r="471" spans="2:2" s="1" customFormat="1" x14ac:dyDescent="0.2">
      <c r="B471" s="25"/>
    </row>
    <row r="472" spans="2:2" s="1" customFormat="1" x14ac:dyDescent="0.2">
      <c r="B472" s="25"/>
    </row>
    <row r="473" spans="2:2" s="1" customFormat="1" x14ac:dyDescent="0.2">
      <c r="B473" s="25"/>
    </row>
    <row r="474" spans="2:2" s="1" customFormat="1" x14ac:dyDescent="0.2">
      <c r="B474" s="25"/>
    </row>
    <row r="475" spans="2:2" s="1" customFormat="1" x14ac:dyDescent="0.2">
      <c r="B475" s="25"/>
    </row>
    <row r="476" spans="2:2" s="1" customFormat="1" x14ac:dyDescent="0.2">
      <c r="B476" s="25"/>
    </row>
    <row r="477" spans="2:2" s="1" customFormat="1" x14ac:dyDescent="0.2">
      <c r="B477" s="25"/>
    </row>
    <row r="478" spans="2:2" s="1" customFormat="1" x14ac:dyDescent="0.2">
      <c r="B478" s="25"/>
    </row>
    <row r="479" spans="2:2" s="1" customFormat="1" x14ac:dyDescent="0.2">
      <c r="B479" s="25"/>
    </row>
    <row r="480" spans="2:2" s="1" customFormat="1" x14ac:dyDescent="0.2">
      <c r="B480" s="25"/>
    </row>
    <row r="481" spans="2:2" s="1" customFormat="1" x14ac:dyDescent="0.2">
      <c r="B481" s="25"/>
    </row>
    <row r="482" spans="2:2" s="1" customFormat="1" x14ac:dyDescent="0.2">
      <c r="B482" s="25"/>
    </row>
    <row r="483" spans="2:2" s="1" customFormat="1" x14ac:dyDescent="0.2">
      <c r="B483" s="25"/>
    </row>
    <row r="484" spans="2:2" s="1" customFormat="1" x14ac:dyDescent="0.2">
      <c r="B484" s="25"/>
    </row>
    <row r="485" spans="2:2" s="1" customFormat="1" x14ac:dyDescent="0.2">
      <c r="B485" s="25"/>
    </row>
    <row r="486" spans="2:2" s="1" customFormat="1" x14ac:dyDescent="0.2">
      <c r="B486" s="25"/>
    </row>
    <row r="487" spans="2:2" s="1" customFormat="1" x14ac:dyDescent="0.2">
      <c r="B487" s="25"/>
    </row>
    <row r="488" spans="2:2" s="1" customFormat="1" x14ac:dyDescent="0.2">
      <c r="B488" s="25"/>
    </row>
    <row r="489" spans="2:2" s="1" customFormat="1" x14ac:dyDescent="0.2">
      <c r="B489" s="25"/>
    </row>
    <row r="490" spans="2:2" s="1" customFormat="1" x14ac:dyDescent="0.2">
      <c r="B490" s="25"/>
    </row>
    <row r="491" spans="2:2" s="1" customFormat="1" x14ac:dyDescent="0.2">
      <c r="B491" s="25"/>
    </row>
    <row r="492" spans="2:2" s="1" customFormat="1" x14ac:dyDescent="0.2">
      <c r="B492" s="25"/>
    </row>
    <row r="493" spans="2:2" s="1" customFormat="1" x14ac:dyDescent="0.2">
      <c r="B493" s="25"/>
    </row>
    <row r="494" spans="2:2" s="1" customFormat="1" x14ac:dyDescent="0.2">
      <c r="B494" s="25"/>
    </row>
    <row r="495" spans="2:2" s="1" customFormat="1" x14ac:dyDescent="0.2">
      <c r="B495" s="25"/>
    </row>
    <row r="496" spans="2:2" s="1" customFormat="1" x14ac:dyDescent="0.2">
      <c r="B496" s="25"/>
    </row>
    <row r="497" spans="2:2" s="1" customFormat="1" x14ac:dyDescent="0.2">
      <c r="B497" s="25"/>
    </row>
    <row r="498" spans="2:2" s="1" customFormat="1" x14ac:dyDescent="0.2">
      <c r="B498" s="25"/>
    </row>
    <row r="499" spans="2:2" s="1" customFormat="1" x14ac:dyDescent="0.2">
      <c r="B499" s="25"/>
    </row>
    <row r="500" spans="2:2" s="1" customFormat="1" x14ac:dyDescent="0.2">
      <c r="B500" s="25"/>
    </row>
    <row r="501" spans="2:2" s="1" customFormat="1" x14ac:dyDescent="0.2">
      <c r="B501" s="25"/>
    </row>
    <row r="502" spans="2:2" s="1" customFormat="1" x14ac:dyDescent="0.2">
      <c r="B502" s="25"/>
    </row>
    <row r="503" spans="2:2" s="1" customFormat="1" x14ac:dyDescent="0.2">
      <c r="B503" s="25"/>
    </row>
    <row r="504" spans="2:2" s="1" customFormat="1" x14ac:dyDescent="0.2">
      <c r="B504" s="25"/>
    </row>
    <row r="505" spans="2:2" s="1" customFormat="1" x14ac:dyDescent="0.2">
      <c r="B505" s="25"/>
    </row>
    <row r="506" spans="2:2" s="1" customFormat="1" x14ac:dyDescent="0.2">
      <c r="B506" s="25"/>
    </row>
    <row r="507" spans="2:2" s="1" customFormat="1" x14ac:dyDescent="0.2">
      <c r="B507" s="25"/>
    </row>
    <row r="508" spans="2:2" s="1" customFormat="1" x14ac:dyDescent="0.2">
      <c r="B508" s="25"/>
    </row>
    <row r="509" spans="2:2" s="1" customFormat="1" x14ac:dyDescent="0.2">
      <c r="B509" s="25"/>
    </row>
    <row r="510" spans="2:2" s="1" customFormat="1" x14ac:dyDescent="0.2">
      <c r="B510" s="25"/>
    </row>
    <row r="511" spans="2:2" s="1" customFormat="1" x14ac:dyDescent="0.2">
      <c r="B511" s="25"/>
    </row>
    <row r="512" spans="2:2" s="1" customFormat="1" x14ac:dyDescent="0.2">
      <c r="B512" s="25"/>
    </row>
    <row r="513" spans="2:2" s="1" customFormat="1" x14ac:dyDescent="0.2">
      <c r="B513" s="25"/>
    </row>
    <row r="514" spans="2:2" s="1" customFormat="1" x14ac:dyDescent="0.2">
      <c r="B514" s="25"/>
    </row>
    <row r="515" spans="2:2" s="1" customFormat="1" x14ac:dyDescent="0.2">
      <c r="B515" s="25"/>
    </row>
    <row r="516" spans="2:2" s="1" customFormat="1" x14ac:dyDescent="0.2">
      <c r="B516" s="25"/>
    </row>
    <row r="517" spans="2:2" s="1" customFormat="1" x14ac:dyDescent="0.2">
      <c r="B517" s="25"/>
    </row>
    <row r="518" spans="2:2" s="1" customFormat="1" x14ac:dyDescent="0.2">
      <c r="B518" s="25"/>
    </row>
    <row r="519" spans="2:2" s="1" customFormat="1" x14ac:dyDescent="0.2">
      <c r="B519" s="25"/>
    </row>
    <row r="520" spans="2:2" s="1" customFormat="1" x14ac:dyDescent="0.2">
      <c r="B520" s="25"/>
    </row>
    <row r="521" spans="2:2" s="1" customFormat="1" x14ac:dyDescent="0.2">
      <c r="B521" s="25"/>
    </row>
    <row r="522" spans="2:2" s="1" customFormat="1" x14ac:dyDescent="0.2">
      <c r="B522" s="25"/>
    </row>
    <row r="523" spans="2:2" s="1" customFormat="1" x14ac:dyDescent="0.2">
      <c r="B523" s="25"/>
    </row>
    <row r="524" spans="2:2" s="1" customFormat="1" x14ac:dyDescent="0.2">
      <c r="B524" s="25"/>
    </row>
    <row r="525" spans="2:2" s="1" customFormat="1" x14ac:dyDescent="0.2">
      <c r="B525" s="25"/>
    </row>
    <row r="526" spans="2:2" s="1" customFormat="1" x14ac:dyDescent="0.2">
      <c r="B526" s="25"/>
    </row>
    <row r="527" spans="2:2" s="1" customFormat="1" x14ac:dyDescent="0.2">
      <c r="B527" s="25"/>
    </row>
    <row r="528" spans="2:2" s="1" customFormat="1" x14ac:dyDescent="0.2">
      <c r="B528" s="25"/>
    </row>
    <row r="529" spans="2:2" s="1" customFormat="1" x14ac:dyDescent="0.2">
      <c r="B529" s="25"/>
    </row>
    <row r="530" spans="2:2" s="1" customFormat="1" x14ac:dyDescent="0.2">
      <c r="B530" s="25"/>
    </row>
    <row r="531" spans="2:2" s="1" customFormat="1" x14ac:dyDescent="0.2">
      <c r="B531" s="25"/>
    </row>
    <row r="532" spans="2:2" s="1" customFormat="1" x14ac:dyDescent="0.2">
      <c r="B532" s="25"/>
    </row>
    <row r="533" spans="2:2" s="1" customFormat="1" x14ac:dyDescent="0.2">
      <c r="B533" s="25"/>
    </row>
    <row r="534" spans="2:2" s="1" customFormat="1" x14ac:dyDescent="0.2">
      <c r="B534" s="25"/>
    </row>
    <row r="535" spans="2:2" s="1" customFormat="1" x14ac:dyDescent="0.2">
      <c r="B535" s="25"/>
    </row>
    <row r="536" spans="2:2" s="1" customFormat="1" x14ac:dyDescent="0.2">
      <c r="B536" s="25"/>
    </row>
    <row r="537" spans="2:2" s="1" customFormat="1" x14ac:dyDescent="0.2">
      <c r="B537" s="25"/>
    </row>
    <row r="538" spans="2:2" s="1" customFormat="1" x14ac:dyDescent="0.2">
      <c r="B538" s="25"/>
    </row>
    <row r="539" spans="2:2" s="1" customFormat="1" x14ac:dyDescent="0.2">
      <c r="B539" s="25"/>
    </row>
    <row r="540" spans="2:2" s="1" customFormat="1" x14ac:dyDescent="0.2">
      <c r="B540" s="25"/>
    </row>
    <row r="541" spans="2:2" s="1" customFormat="1" x14ac:dyDescent="0.2">
      <c r="B541" s="25"/>
    </row>
    <row r="542" spans="2:2" s="1" customFormat="1" x14ac:dyDescent="0.2">
      <c r="B542" s="25"/>
    </row>
    <row r="543" spans="2:2" s="1" customFormat="1" x14ac:dyDescent="0.2">
      <c r="B543" s="25"/>
    </row>
    <row r="544" spans="2:2" s="1" customFormat="1" x14ac:dyDescent="0.2">
      <c r="B544" s="25"/>
    </row>
    <row r="545" spans="2:2" s="1" customFormat="1" x14ac:dyDescent="0.2">
      <c r="B545" s="25"/>
    </row>
    <row r="546" spans="2:2" s="1" customFormat="1" x14ac:dyDescent="0.2">
      <c r="B546" s="25"/>
    </row>
    <row r="547" spans="2:2" s="1" customFormat="1" x14ac:dyDescent="0.2">
      <c r="B547" s="25"/>
    </row>
    <row r="548" spans="2:2" s="1" customFormat="1" x14ac:dyDescent="0.2">
      <c r="B548" s="25"/>
    </row>
    <row r="549" spans="2:2" s="1" customFormat="1" x14ac:dyDescent="0.2">
      <c r="B549" s="25"/>
    </row>
    <row r="550" spans="2:2" s="1" customFormat="1" x14ac:dyDescent="0.2">
      <c r="B550" s="25"/>
    </row>
    <row r="551" spans="2:2" s="1" customFormat="1" x14ac:dyDescent="0.2">
      <c r="B551" s="25"/>
    </row>
    <row r="552" spans="2:2" s="1" customFormat="1" x14ac:dyDescent="0.2">
      <c r="B552" s="25"/>
    </row>
    <row r="553" spans="2:2" s="1" customFormat="1" x14ac:dyDescent="0.2">
      <c r="B553" s="25"/>
    </row>
    <row r="554" spans="2:2" s="1" customFormat="1" x14ac:dyDescent="0.2">
      <c r="B554" s="25"/>
    </row>
    <row r="555" spans="2:2" s="1" customFormat="1" x14ac:dyDescent="0.2">
      <c r="B555" s="25"/>
    </row>
    <row r="556" spans="2:2" s="1" customFormat="1" x14ac:dyDescent="0.2">
      <c r="B556" s="25"/>
    </row>
    <row r="557" spans="2:2" s="1" customFormat="1" x14ac:dyDescent="0.2">
      <c r="B557" s="25"/>
    </row>
    <row r="558" spans="2:2" s="1" customFormat="1" x14ac:dyDescent="0.2">
      <c r="B558" s="25"/>
    </row>
    <row r="559" spans="2:2" s="1" customFormat="1" x14ac:dyDescent="0.2">
      <c r="B559" s="25"/>
    </row>
    <row r="560" spans="2:2" s="1" customFormat="1" x14ac:dyDescent="0.2">
      <c r="B560" s="25"/>
    </row>
    <row r="561" spans="2:2" s="1" customFormat="1" x14ac:dyDescent="0.2">
      <c r="B561" s="25"/>
    </row>
    <row r="562" spans="2:2" s="1" customFormat="1" x14ac:dyDescent="0.2">
      <c r="B562" s="25"/>
    </row>
    <row r="563" spans="2:2" s="1" customFormat="1" x14ac:dyDescent="0.2">
      <c r="B563" s="25"/>
    </row>
    <row r="564" spans="2:2" s="1" customFormat="1" x14ac:dyDescent="0.2">
      <c r="B564" s="25"/>
    </row>
    <row r="565" spans="2:2" s="1" customFormat="1" x14ac:dyDescent="0.2">
      <c r="B565" s="25"/>
    </row>
    <row r="566" spans="2:2" s="1" customFormat="1" x14ac:dyDescent="0.2">
      <c r="B566" s="25"/>
    </row>
    <row r="567" spans="2:2" s="1" customFormat="1" x14ac:dyDescent="0.2">
      <c r="B567" s="25"/>
    </row>
    <row r="568" spans="2:2" s="1" customFormat="1" x14ac:dyDescent="0.2">
      <c r="B568" s="25"/>
    </row>
    <row r="569" spans="2:2" s="1" customFormat="1" x14ac:dyDescent="0.2">
      <c r="B569" s="25"/>
    </row>
    <row r="570" spans="2:2" s="1" customFormat="1" x14ac:dyDescent="0.2">
      <c r="B570" s="25"/>
    </row>
    <row r="571" spans="2:2" s="1" customFormat="1" x14ac:dyDescent="0.2">
      <c r="B571" s="25"/>
    </row>
    <row r="572" spans="2:2" s="1" customFormat="1" x14ac:dyDescent="0.2">
      <c r="B572" s="25"/>
    </row>
    <row r="573" spans="2:2" s="1" customFormat="1" x14ac:dyDescent="0.2">
      <c r="B573" s="25"/>
    </row>
    <row r="574" spans="2:2" s="1" customFormat="1" x14ac:dyDescent="0.2">
      <c r="B574" s="25"/>
    </row>
    <row r="575" spans="2:2" s="1" customFormat="1" x14ac:dyDescent="0.2">
      <c r="B575" s="25"/>
    </row>
    <row r="576" spans="2:2" s="1" customFormat="1" x14ac:dyDescent="0.2">
      <c r="B576" s="25"/>
    </row>
    <row r="577" spans="2:2" s="1" customFormat="1" x14ac:dyDescent="0.2">
      <c r="B577" s="25"/>
    </row>
    <row r="578" spans="2:2" s="1" customFormat="1" x14ac:dyDescent="0.2">
      <c r="B578" s="25"/>
    </row>
    <row r="579" spans="2:2" s="1" customFormat="1" x14ac:dyDescent="0.2">
      <c r="B579" s="25"/>
    </row>
    <row r="580" spans="2:2" s="1" customFormat="1" x14ac:dyDescent="0.2">
      <c r="B580" s="25"/>
    </row>
    <row r="581" spans="2:2" s="1" customFormat="1" x14ac:dyDescent="0.2">
      <c r="B581" s="25"/>
    </row>
    <row r="582" spans="2:2" s="1" customFormat="1" x14ac:dyDescent="0.2">
      <c r="B582" s="25"/>
    </row>
    <row r="583" spans="2:2" s="1" customFormat="1" x14ac:dyDescent="0.2">
      <c r="B583" s="25"/>
    </row>
    <row r="584" spans="2:2" s="1" customFormat="1" x14ac:dyDescent="0.2">
      <c r="B584" s="25"/>
    </row>
    <row r="585" spans="2:2" s="1" customFormat="1" x14ac:dyDescent="0.2">
      <c r="B585" s="25"/>
    </row>
    <row r="586" spans="2:2" s="1" customFormat="1" x14ac:dyDescent="0.2">
      <c r="B586" s="25"/>
    </row>
    <row r="587" spans="2:2" s="1" customFormat="1" x14ac:dyDescent="0.2">
      <c r="B587" s="25"/>
    </row>
    <row r="588" spans="2:2" s="1" customFormat="1" x14ac:dyDescent="0.2">
      <c r="B588" s="25"/>
    </row>
    <row r="589" spans="2:2" s="1" customFormat="1" x14ac:dyDescent="0.2">
      <c r="B589" s="25"/>
    </row>
    <row r="590" spans="2:2" s="1" customFormat="1" x14ac:dyDescent="0.2">
      <c r="B590" s="25"/>
    </row>
    <row r="591" spans="2:2" s="1" customFormat="1" x14ac:dyDescent="0.2">
      <c r="B591" s="25"/>
    </row>
    <row r="592" spans="2:2" s="1" customFormat="1" x14ac:dyDescent="0.2">
      <c r="B592" s="25"/>
    </row>
    <row r="593" spans="2:2" s="1" customFormat="1" x14ac:dyDescent="0.2">
      <c r="B593" s="25"/>
    </row>
    <row r="594" spans="2:2" s="1" customFormat="1" x14ac:dyDescent="0.2">
      <c r="B594" s="25"/>
    </row>
    <row r="595" spans="2:2" s="1" customFormat="1" x14ac:dyDescent="0.2">
      <c r="B595" s="25"/>
    </row>
    <row r="596" spans="2:2" s="1" customFormat="1" x14ac:dyDescent="0.2">
      <c r="B596" s="25"/>
    </row>
    <row r="597" spans="2:2" s="1" customFormat="1" x14ac:dyDescent="0.2">
      <c r="B597" s="25"/>
    </row>
    <row r="598" spans="2:2" s="1" customFormat="1" x14ac:dyDescent="0.2">
      <c r="B598" s="25"/>
    </row>
    <row r="599" spans="2:2" s="1" customFormat="1" x14ac:dyDescent="0.2">
      <c r="B599" s="25"/>
    </row>
    <row r="600" spans="2:2" s="1" customFormat="1" x14ac:dyDescent="0.2">
      <c r="B600" s="25"/>
    </row>
    <row r="601" spans="2:2" s="1" customFormat="1" x14ac:dyDescent="0.2">
      <c r="B601" s="25"/>
    </row>
    <row r="602" spans="2:2" s="1" customFormat="1" x14ac:dyDescent="0.2">
      <c r="B602" s="25"/>
    </row>
    <row r="603" spans="2:2" s="1" customFormat="1" x14ac:dyDescent="0.2">
      <c r="B603" s="25"/>
    </row>
    <row r="604" spans="2:2" s="1" customFormat="1" x14ac:dyDescent="0.2">
      <c r="B604" s="25"/>
    </row>
    <row r="605" spans="2:2" s="1" customFormat="1" x14ac:dyDescent="0.2">
      <c r="B605" s="25"/>
    </row>
    <row r="606" spans="2:2" s="1" customFormat="1" x14ac:dyDescent="0.2">
      <c r="B606" s="25"/>
    </row>
    <row r="607" spans="2:2" s="1" customFormat="1" x14ac:dyDescent="0.2">
      <c r="B607" s="25"/>
    </row>
    <row r="608" spans="2:2" s="1" customFormat="1" x14ac:dyDescent="0.2">
      <c r="B608" s="25"/>
    </row>
    <row r="609" spans="2:2" s="1" customFormat="1" x14ac:dyDescent="0.2">
      <c r="B609" s="25"/>
    </row>
    <row r="610" spans="2:2" s="1" customFormat="1" x14ac:dyDescent="0.2">
      <c r="B610" s="25"/>
    </row>
    <row r="611" spans="2:2" s="1" customFormat="1" x14ac:dyDescent="0.2">
      <c r="B611" s="25"/>
    </row>
    <row r="612" spans="2:2" s="1" customFormat="1" x14ac:dyDescent="0.2">
      <c r="B612" s="25"/>
    </row>
    <row r="613" spans="2:2" s="1" customFormat="1" x14ac:dyDescent="0.2">
      <c r="B613" s="25"/>
    </row>
    <row r="614" spans="2:2" s="1" customFormat="1" x14ac:dyDescent="0.2">
      <c r="B614" s="25"/>
    </row>
    <row r="615" spans="2:2" s="1" customFormat="1" x14ac:dyDescent="0.2">
      <c r="B615" s="25"/>
    </row>
    <row r="616" spans="2:2" s="1" customFormat="1" x14ac:dyDescent="0.2">
      <c r="B616" s="25"/>
    </row>
    <row r="617" spans="2:2" s="1" customFormat="1" x14ac:dyDescent="0.2">
      <c r="B617" s="25"/>
    </row>
    <row r="618" spans="2:2" s="1" customFormat="1" x14ac:dyDescent="0.2">
      <c r="B618" s="25"/>
    </row>
    <row r="619" spans="2:2" s="1" customFormat="1" x14ac:dyDescent="0.2">
      <c r="B619" s="25"/>
    </row>
    <row r="620" spans="2:2" s="1" customFormat="1" x14ac:dyDescent="0.2">
      <c r="B620" s="25"/>
    </row>
    <row r="621" spans="2:2" s="1" customFormat="1" x14ac:dyDescent="0.2">
      <c r="B621" s="25"/>
    </row>
    <row r="622" spans="2:2" s="1" customFormat="1" x14ac:dyDescent="0.2">
      <c r="B622" s="25"/>
    </row>
    <row r="623" spans="2:2" s="1" customFormat="1" x14ac:dyDescent="0.2">
      <c r="B623" s="25"/>
    </row>
    <row r="624" spans="2:2" s="1" customFormat="1" x14ac:dyDescent="0.2">
      <c r="B624" s="25"/>
    </row>
    <row r="625" spans="2:2" s="1" customFormat="1" x14ac:dyDescent="0.2">
      <c r="B625" s="25"/>
    </row>
    <row r="626" spans="2:2" s="1" customFormat="1" x14ac:dyDescent="0.2">
      <c r="B626" s="25"/>
    </row>
    <row r="627" spans="2:2" s="1" customFormat="1" x14ac:dyDescent="0.2">
      <c r="B627" s="25"/>
    </row>
    <row r="628" spans="2:2" s="1" customFormat="1" x14ac:dyDescent="0.2">
      <c r="B628" s="25"/>
    </row>
    <row r="629" spans="2:2" s="1" customFormat="1" x14ac:dyDescent="0.2">
      <c r="B629" s="25"/>
    </row>
    <row r="630" spans="2:2" s="1" customFormat="1" x14ac:dyDescent="0.2">
      <c r="B630" s="25"/>
    </row>
    <row r="631" spans="2:2" s="1" customFormat="1" x14ac:dyDescent="0.2">
      <c r="B631" s="25"/>
    </row>
    <row r="632" spans="2:2" s="1" customFormat="1" x14ac:dyDescent="0.2">
      <c r="B632" s="25"/>
    </row>
    <row r="633" spans="2:2" s="1" customFormat="1" x14ac:dyDescent="0.2">
      <c r="B633" s="25"/>
    </row>
    <row r="634" spans="2:2" s="1" customFormat="1" x14ac:dyDescent="0.2">
      <c r="B634" s="25"/>
    </row>
    <row r="635" spans="2:2" s="1" customFormat="1" x14ac:dyDescent="0.2">
      <c r="B635" s="25"/>
    </row>
    <row r="636" spans="2:2" s="1" customFormat="1" x14ac:dyDescent="0.2">
      <c r="B636" s="25"/>
    </row>
    <row r="637" spans="2:2" s="1" customFormat="1" x14ac:dyDescent="0.2">
      <c r="B637" s="25"/>
    </row>
    <row r="638" spans="2:2" s="1" customFormat="1" x14ac:dyDescent="0.2">
      <c r="B638" s="25"/>
    </row>
    <row r="639" spans="2:2" s="1" customFormat="1" x14ac:dyDescent="0.2">
      <c r="B639" s="25"/>
    </row>
    <row r="640" spans="2:2" s="1" customFormat="1" x14ac:dyDescent="0.2">
      <c r="B640" s="25"/>
    </row>
    <row r="641" spans="2:2" s="1" customFormat="1" x14ac:dyDescent="0.2">
      <c r="B641" s="25"/>
    </row>
    <row r="642" spans="2:2" s="1" customFormat="1" x14ac:dyDescent="0.2">
      <c r="B642" s="25"/>
    </row>
    <row r="643" spans="2:2" s="1" customFormat="1" x14ac:dyDescent="0.2">
      <c r="B643" s="25"/>
    </row>
    <row r="644" spans="2:2" s="1" customFormat="1" x14ac:dyDescent="0.2">
      <c r="B644" s="25"/>
    </row>
    <row r="645" spans="2:2" s="1" customFormat="1" x14ac:dyDescent="0.2">
      <c r="B645" s="25"/>
    </row>
    <row r="646" spans="2:2" s="1" customFormat="1" x14ac:dyDescent="0.2">
      <c r="B646" s="25"/>
    </row>
    <row r="647" spans="2:2" s="1" customFormat="1" x14ac:dyDescent="0.2">
      <c r="B647" s="25"/>
    </row>
    <row r="648" spans="2:2" s="1" customFormat="1" x14ac:dyDescent="0.2">
      <c r="B648" s="25"/>
    </row>
    <row r="649" spans="2:2" s="1" customFormat="1" x14ac:dyDescent="0.2">
      <c r="B649" s="25"/>
    </row>
    <row r="650" spans="2:2" s="1" customFormat="1" x14ac:dyDescent="0.2">
      <c r="B650" s="25"/>
    </row>
    <row r="651" spans="2:2" s="1" customFormat="1" x14ac:dyDescent="0.2">
      <c r="B651" s="25"/>
    </row>
    <row r="652" spans="2:2" s="1" customFormat="1" x14ac:dyDescent="0.2">
      <c r="B652" s="25"/>
    </row>
    <row r="653" spans="2:2" s="1" customFormat="1" x14ac:dyDescent="0.2">
      <c r="B653" s="25"/>
    </row>
    <row r="654" spans="2:2" s="1" customFormat="1" x14ac:dyDescent="0.2">
      <c r="B654" s="25"/>
    </row>
    <row r="655" spans="2:2" s="1" customFormat="1" x14ac:dyDescent="0.2">
      <c r="B655" s="25"/>
    </row>
    <row r="656" spans="2:2" s="1" customFormat="1" x14ac:dyDescent="0.2">
      <c r="B656" s="25"/>
    </row>
    <row r="657" spans="2:2" s="1" customFormat="1" x14ac:dyDescent="0.2">
      <c r="B657" s="25"/>
    </row>
    <row r="658" spans="2:2" s="1" customFormat="1" x14ac:dyDescent="0.2">
      <c r="B658" s="25"/>
    </row>
    <row r="659" spans="2:2" s="1" customFormat="1" x14ac:dyDescent="0.2">
      <c r="B659" s="25"/>
    </row>
    <row r="660" spans="2:2" s="1" customFormat="1" x14ac:dyDescent="0.2">
      <c r="B660" s="25"/>
    </row>
    <row r="661" spans="2:2" s="1" customFormat="1" x14ac:dyDescent="0.2">
      <c r="B661" s="25"/>
    </row>
    <row r="662" spans="2:2" s="1" customFormat="1" x14ac:dyDescent="0.2">
      <c r="B662" s="25"/>
    </row>
    <row r="663" spans="2:2" s="1" customFormat="1" x14ac:dyDescent="0.2">
      <c r="B663" s="25"/>
    </row>
    <row r="664" spans="2:2" s="1" customFormat="1" x14ac:dyDescent="0.2">
      <c r="B664" s="25"/>
    </row>
    <row r="665" spans="2:2" s="1" customFormat="1" x14ac:dyDescent="0.2">
      <c r="B665" s="25"/>
    </row>
    <row r="666" spans="2:2" s="1" customFormat="1" x14ac:dyDescent="0.2">
      <c r="B666" s="25"/>
    </row>
    <row r="667" spans="2:2" s="1" customFormat="1" x14ac:dyDescent="0.2">
      <c r="B667" s="25"/>
    </row>
    <row r="668" spans="2:2" s="1" customFormat="1" x14ac:dyDescent="0.2">
      <c r="B668" s="25"/>
    </row>
    <row r="669" spans="2:2" s="1" customFormat="1" x14ac:dyDescent="0.2">
      <c r="B669" s="25"/>
    </row>
    <row r="670" spans="2:2" s="1" customFormat="1" x14ac:dyDescent="0.2">
      <c r="B670" s="25"/>
    </row>
    <row r="671" spans="2:2" s="1" customFormat="1" x14ac:dyDescent="0.2">
      <c r="B671" s="25"/>
    </row>
    <row r="672" spans="2:2" s="1" customFormat="1" x14ac:dyDescent="0.2">
      <c r="B672" s="25"/>
    </row>
    <row r="673" spans="2:2" s="1" customFormat="1" x14ac:dyDescent="0.2">
      <c r="B673" s="25"/>
    </row>
    <row r="674" spans="2:2" s="1" customFormat="1" x14ac:dyDescent="0.2">
      <c r="B674" s="25"/>
    </row>
    <row r="675" spans="2:2" s="1" customFormat="1" x14ac:dyDescent="0.2">
      <c r="B675" s="25"/>
    </row>
    <row r="676" spans="2:2" s="1" customFormat="1" x14ac:dyDescent="0.2">
      <c r="B676" s="25"/>
    </row>
    <row r="677" spans="2:2" s="1" customFormat="1" x14ac:dyDescent="0.2">
      <c r="B677" s="25"/>
    </row>
    <row r="678" spans="2:2" s="1" customFormat="1" x14ac:dyDescent="0.2">
      <c r="B678" s="25"/>
    </row>
    <row r="679" spans="2:2" s="1" customFormat="1" x14ac:dyDescent="0.2">
      <c r="B679" s="25"/>
    </row>
    <row r="680" spans="2:2" s="1" customFormat="1" x14ac:dyDescent="0.2">
      <c r="B680" s="25"/>
    </row>
    <row r="681" spans="2:2" s="1" customFormat="1" x14ac:dyDescent="0.2">
      <c r="B681" s="25"/>
    </row>
    <row r="682" spans="2:2" s="1" customFormat="1" x14ac:dyDescent="0.2">
      <c r="B682" s="25"/>
    </row>
    <row r="683" spans="2:2" s="1" customFormat="1" x14ac:dyDescent="0.2">
      <c r="B683" s="25"/>
    </row>
    <row r="684" spans="2:2" s="1" customFormat="1" x14ac:dyDescent="0.2">
      <c r="B684" s="25"/>
    </row>
    <row r="685" spans="2:2" s="1" customFormat="1" x14ac:dyDescent="0.2">
      <c r="B685" s="25"/>
    </row>
    <row r="686" spans="2:2" s="1" customFormat="1" x14ac:dyDescent="0.2">
      <c r="B686" s="25"/>
    </row>
    <row r="687" spans="2:2" s="1" customFormat="1" x14ac:dyDescent="0.2">
      <c r="B687" s="25"/>
    </row>
    <row r="688" spans="2:2" s="1" customFormat="1" x14ac:dyDescent="0.2">
      <c r="B688" s="25"/>
    </row>
    <row r="689" spans="2:2" s="1" customFormat="1" x14ac:dyDescent="0.2">
      <c r="B689" s="25"/>
    </row>
    <row r="690" spans="2:2" s="1" customFormat="1" x14ac:dyDescent="0.2">
      <c r="B690" s="25"/>
    </row>
    <row r="691" spans="2:2" s="1" customFormat="1" x14ac:dyDescent="0.2">
      <c r="B691" s="25"/>
    </row>
    <row r="692" spans="2:2" s="1" customFormat="1" x14ac:dyDescent="0.2">
      <c r="B692" s="25"/>
    </row>
    <row r="693" spans="2:2" s="1" customFormat="1" x14ac:dyDescent="0.2">
      <c r="B693" s="25"/>
    </row>
    <row r="694" spans="2:2" s="1" customFormat="1" x14ac:dyDescent="0.2">
      <c r="B694" s="25"/>
    </row>
    <row r="695" spans="2:2" s="1" customFormat="1" x14ac:dyDescent="0.2">
      <c r="B695" s="25"/>
    </row>
    <row r="696" spans="2:2" s="1" customFormat="1" x14ac:dyDescent="0.2">
      <c r="B696" s="25"/>
    </row>
    <row r="697" spans="2:2" s="1" customFormat="1" x14ac:dyDescent="0.2">
      <c r="B697" s="25"/>
    </row>
    <row r="698" spans="2:2" s="1" customFormat="1" x14ac:dyDescent="0.2">
      <c r="B698" s="25"/>
    </row>
    <row r="699" spans="2:2" s="1" customFormat="1" x14ac:dyDescent="0.2">
      <c r="B699" s="25"/>
    </row>
    <row r="700" spans="2:2" s="1" customFormat="1" x14ac:dyDescent="0.2">
      <c r="B700" s="25"/>
    </row>
    <row r="701" spans="2:2" s="1" customFormat="1" x14ac:dyDescent="0.2">
      <c r="B701" s="25"/>
    </row>
    <row r="702" spans="2:2" s="1" customFormat="1" x14ac:dyDescent="0.2">
      <c r="B702" s="25"/>
    </row>
    <row r="703" spans="2:2" s="1" customFormat="1" x14ac:dyDescent="0.2">
      <c r="B703" s="25"/>
    </row>
    <row r="704" spans="2:2" s="1" customFormat="1" x14ac:dyDescent="0.2">
      <c r="B704" s="25"/>
    </row>
    <row r="705" spans="2:2" s="1" customFormat="1" x14ac:dyDescent="0.2">
      <c r="B705" s="25"/>
    </row>
    <row r="706" spans="2:2" s="1" customFormat="1" x14ac:dyDescent="0.2">
      <c r="B706" s="25"/>
    </row>
    <row r="707" spans="2:2" s="1" customFormat="1" x14ac:dyDescent="0.2">
      <c r="B707" s="25"/>
    </row>
    <row r="708" spans="2:2" s="1" customFormat="1" x14ac:dyDescent="0.2">
      <c r="B708" s="25"/>
    </row>
    <row r="709" spans="2:2" s="1" customFormat="1" x14ac:dyDescent="0.2">
      <c r="B709" s="25"/>
    </row>
    <row r="710" spans="2:2" s="1" customFormat="1" x14ac:dyDescent="0.2">
      <c r="B710" s="25"/>
    </row>
    <row r="711" spans="2:2" s="1" customFormat="1" x14ac:dyDescent="0.2">
      <c r="B711" s="25"/>
    </row>
    <row r="712" spans="2:2" s="1" customFormat="1" x14ac:dyDescent="0.2">
      <c r="B712" s="25"/>
    </row>
    <row r="713" spans="2:2" s="1" customFormat="1" x14ac:dyDescent="0.2">
      <c r="B713" s="25"/>
    </row>
    <row r="714" spans="2:2" s="1" customFormat="1" x14ac:dyDescent="0.2">
      <c r="B714" s="25"/>
    </row>
    <row r="715" spans="2:2" s="1" customFormat="1" x14ac:dyDescent="0.2">
      <c r="B715" s="25"/>
    </row>
    <row r="716" spans="2:2" s="1" customFormat="1" x14ac:dyDescent="0.2">
      <c r="B716" s="25"/>
    </row>
    <row r="717" spans="2:2" s="1" customFormat="1" x14ac:dyDescent="0.2">
      <c r="B717" s="25"/>
    </row>
    <row r="718" spans="2:2" s="1" customFormat="1" x14ac:dyDescent="0.2">
      <c r="B718" s="25"/>
    </row>
    <row r="719" spans="2:2" s="1" customFormat="1" x14ac:dyDescent="0.2">
      <c r="B719" s="25"/>
    </row>
    <row r="720" spans="2:2" s="1" customFormat="1" x14ac:dyDescent="0.2">
      <c r="B720" s="25"/>
    </row>
    <row r="721" spans="2:2" s="1" customFormat="1" x14ac:dyDescent="0.2">
      <c r="B721" s="25"/>
    </row>
    <row r="722" spans="2:2" s="1" customFormat="1" x14ac:dyDescent="0.2">
      <c r="B722" s="25"/>
    </row>
    <row r="723" spans="2:2" s="1" customFormat="1" x14ac:dyDescent="0.2">
      <c r="B723" s="25"/>
    </row>
    <row r="724" spans="2:2" s="1" customFormat="1" x14ac:dyDescent="0.2">
      <c r="B724" s="25"/>
    </row>
    <row r="725" spans="2:2" s="1" customFormat="1" x14ac:dyDescent="0.2">
      <c r="B725" s="25"/>
    </row>
    <row r="726" spans="2:2" s="1" customFormat="1" x14ac:dyDescent="0.2">
      <c r="B726" s="25"/>
    </row>
    <row r="727" spans="2:2" s="1" customFormat="1" x14ac:dyDescent="0.2">
      <c r="B727" s="25"/>
    </row>
    <row r="728" spans="2:2" s="1" customFormat="1" x14ac:dyDescent="0.2">
      <c r="B728" s="25"/>
    </row>
    <row r="729" spans="2:2" s="1" customFormat="1" x14ac:dyDescent="0.2">
      <c r="B729" s="25"/>
    </row>
    <row r="730" spans="2:2" s="1" customFormat="1" x14ac:dyDescent="0.2">
      <c r="B730" s="25"/>
    </row>
    <row r="731" spans="2:2" s="1" customFormat="1" x14ac:dyDescent="0.2">
      <c r="B731" s="25"/>
    </row>
    <row r="732" spans="2:2" s="1" customFormat="1" x14ac:dyDescent="0.2">
      <c r="B732" s="25"/>
    </row>
    <row r="733" spans="2:2" s="1" customFormat="1" x14ac:dyDescent="0.2">
      <c r="B733" s="25"/>
    </row>
    <row r="734" spans="2:2" s="1" customFormat="1" x14ac:dyDescent="0.2">
      <c r="B734" s="25"/>
    </row>
    <row r="735" spans="2:2" s="1" customFormat="1" x14ac:dyDescent="0.2">
      <c r="B735" s="25"/>
    </row>
    <row r="736" spans="2:2" s="1" customFormat="1" x14ac:dyDescent="0.2">
      <c r="B736" s="25"/>
    </row>
    <row r="737" spans="2:2" s="1" customFormat="1" x14ac:dyDescent="0.2">
      <c r="B737" s="25"/>
    </row>
    <row r="738" spans="2:2" s="1" customFormat="1" x14ac:dyDescent="0.2">
      <c r="B738" s="25"/>
    </row>
    <row r="739" spans="2:2" s="1" customFormat="1" x14ac:dyDescent="0.2">
      <c r="B739" s="25"/>
    </row>
    <row r="740" spans="2:2" s="1" customFormat="1" x14ac:dyDescent="0.2">
      <c r="B740" s="25"/>
    </row>
    <row r="741" spans="2:2" s="1" customFormat="1" x14ac:dyDescent="0.2">
      <c r="B741" s="25"/>
    </row>
    <row r="742" spans="2:2" s="1" customFormat="1" x14ac:dyDescent="0.2">
      <c r="B742" s="25"/>
    </row>
    <row r="743" spans="2:2" s="1" customFormat="1" x14ac:dyDescent="0.2">
      <c r="B743" s="25"/>
    </row>
    <row r="744" spans="2:2" s="1" customFormat="1" x14ac:dyDescent="0.2">
      <c r="B744" s="25"/>
    </row>
    <row r="745" spans="2:2" s="1" customFormat="1" x14ac:dyDescent="0.2">
      <c r="B745" s="25"/>
    </row>
    <row r="746" spans="2:2" s="1" customFormat="1" x14ac:dyDescent="0.2">
      <c r="B746" s="25"/>
    </row>
    <row r="747" spans="2:2" s="1" customFormat="1" x14ac:dyDescent="0.2">
      <c r="B747" s="25"/>
    </row>
    <row r="748" spans="2:2" s="1" customFormat="1" x14ac:dyDescent="0.2">
      <c r="B748" s="25"/>
    </row>
    <row r="749" spans="2:2" s="1" customFormat="1" x14ac:dyDescent="0.2">
      <c r="B749" s="25"/>
    </row>
    <row r="750" spans="2:2" s="1" customFormat="1" x14ac:dyDescent="0.2">
      <c r="B750" s="25"/>
    </row>
    <row r="751" spans="2:2" s="1" customFormat="1" x14ac:dyDescent="0.2">
      <c r="B751" s="25"/>
    </row>
    <row r="752" spans="2:2" s="1" customFormat="1" x14ac:dyDescent="0.2">
      <c r="B752" s="25"/>
    </row>
    <row r="753" spans="2:2" s="1" customFormat="1" x14ac:dyDescent="0.2">
      <c r="B753" s="25"/>
    </row>
    <row r="754" spans="2:2" s="1" customFormat="1" x14ac:dyDescent="0.2">
      <c r="B754" s="25"/>
    </row>
    <row r="755" spans="2:2" s="1" customFormat="1" x14ac:dyDescent="0.2">
      <c r="B755" s="25"/>
    </row>
    <row r="756" spans="2:2" s="1" customFormat="1" x14ac:dyDescent="0.2">
      <c r="B756" s="25"/>
    </row>
    <row r="757" spans="2:2" s="1" customFormat="1" x14ac:dyDescent="0.2">
      <c r="B757" s="25"/>
    </row>
    <row r="758" spans="2:2" s="1" customFormat="1" x14ac:dyDescent="0.2">
      <c r="B758" s="25"/>
    </row>
    <row r="759" spans="2:2" s="1" customFormat="1" x14ac:dyDescent="0.2">
      <c r="B759" s="25"/>
    </row>
    <row r="760" spans="2:2" s="1" customFormat="1" x14ac:dyDescent="0.2">
      <c r="B760" s="25"/>
    </row>
    <row r="761" spans="2:2" s="1" customFormat="1" x14ac:dyDescent="0.2">
      <c r="B761" s="25"/>
    </row>
    <row r="762" spans="2:2" s="1" customFormat="1" x14ac:dyDescent="0.2">
      <c r="B762" s="25"/>
    </row>
    <row r="763" spans="2:2" s="1" customFormat="1" x14ac:dyDescent="0.2">
      <c r="B763" s="25"/>
    </row>
    <row r="764" spans="2:2" s="1" customFormat="1" x14ac:dyDescent="0.2">
      <c r="B764" s="25"/>
    </row>
    <row r="765" spans="2:2" s="1" customFormat="1" x14ac:dyDescent="0.2">
      <c r="B765" s="25"/>
    </row>
    <row r="766" spans="2:2" s="1" customFormat="1" x14ac:dyDescent="0.2">
      <c r="B766" s="25"/>
    </row>
    <row r="767" spans="2:2" s="1" customFormat="1" x14ac:dyDescent="0.2">
      <c r="B767" s="25"/>
    </row>
    <row r="768" spans="2:2" s="1" customFormat="1" x14ac:dyDescent="0.2">
      <c r="B768" s="25"/>
    </row>
    <row r="769" spans="1:4" s="1" customFormat="1" x14ac:dyDescent="0.2">
      <c r="B769" s="25"/>
    </row>
    <row r="770" spans="1:4" s="1" customFormat="1" x14ac:dyDescent="0.2">
      <c r="B770" s="25"/>
    </row>
    <row r="771" spans="1:4" s="1" customFormat="1" x14ac:dyDescent="0.2">
      <c r="B771" s="25"/>
    </row>
    <row r="772" spans="1:4" s="1" customFormat="1" x14ac:dyDescent="0.2">
      <c r="B772" s="25"/>
    </row>
    <row r="773" spans="1:4" s="1" customFormat="1" x14ac:dyDescent="0.2">
      <c r="B773" s="25"/>
    </row>
    <row r="774" spans="1:4" x14ac:dyDescent="0.2">
      <c r="A774" s="1"/>
      <c r="B774" s="25"/>
      <c r="C774" s="1"/>
      <c r="D774" s="1"/>
    </row>
    <row r="775" spans="1:4" x14ac:dyDescent="0.2">
      <c r="A775" s="1"/>
      <c r="B775" s="25"/>
      <c r="C775" s="1"/>
      <c r="D775" s="1"/>
    </row>
    <row r="776" spans="1:4" x14ac:dyDescent="0.2">
      <c r="A776" s="1"/>
      <c r="B776" s="25"/>
      <c r="C776" s="1"/>
      <c r="D776" s="1"/>
    </row>
    <row r="777" spans="1:4" x14ac:dyDescent="0.2">
      <c r="A777" s="1"/>
      <c r="B777" s="25"/>
      <c r="C777" s="1"/>
      <c r="D777" s="1"/>
    </row>
    <row r="778" spans="1:4" x14ac:dyDescent="0.2">
      <c r="A778" s="1"/>
      <c r="B778" s="25"/>
      <c r="C778" s="1"/>
      <c r="D778" s="1"/>
    </row>
    <row r="779" spans="1:4" x14ac:dyDescent="0.2">
      <c r="A779" s="1"/>
      <c r="B779" s="25"/>
      <c r="C779" s="1"/>
      <c r="D779" s="1"/>
    </row>
    <row r="780" spans="1:4" x14ac:dyDescent="0.2">
      <c r="A780" s="1"/>
      <c r="B780" s="25"/>
      <c r="C780" s="1"/>
      <c r="D780" s="1"/>
    </row>
    <row r="781" spans="1:4" x14ac:dyDescent="0.2">
      <c r="A781" s="1"/>
      <c r="B781" s="25"/>
      <c r="C781" s="1"/>
      <c r="D781" s="1"/>
    </row>
    <row r="782" spans="1:4" x14ac:dyDescent="0.2">
      <c r="A782" s="1"/>
      <c r="B782" s="25"/>
      <c r="C782" s="1"/>
      <c r="D782" s="1"/>
    </row>
    <row r="783" spans="1:4" x14ac:dyDescent="0.2">
      <c r="A783" s="1"/>
      <c r="B783" s="25"/>
      <c r="C783" s="1"/>
      <c r="D783" s="1"/>
    </row>
    <row r="784" spans="1:4" x14ac:dyDescent="0.2">
      <c r="A784" s="1"/>
      <c r="B784" s="25"/>
      <c r="C784" s="1"/>
      <c r="D784" s="1"/>
    </row>
    <row r="785" spans="1:4" x14ac:dyDescent="0.2">
      <c r="A785" s="1"/>
      <c r="B785" s="25"/>
      <c r="C785" s="1"/>
      <c r="D785" s="1"/>
    </row>
    <row r="786" spans="1:4" x14ac:dyDescent="0.2">
      <c r="A786" s="1"/>
      <c r="B786" s="25"/>
      <c r="C786" s="1"/>
      <c r="D786" s="1"/>
    </row>
    <row r="787" spans="1:4" x14ac:dyDescent="0.2">
      <c r="A787" s="1"/>
      <c r="B787" s="25"/>
      <c r="C787" s="1"/>
      <c r="D787" s="1"/>
    </row>
    <row r="788" spans="1:4" x14ac:dyDescent="0.2">
      <c r="A788" s="1"/>
      <c r="B788" s="25"/>
      <c r="C788" s="1"/>
      <c r="D788" s="1"/>
    </row>
    <row r="789" spans="1:4" x14ac:dyDescent="0.2">
      <c r="A789" s="1"/>
      <c r="B789" s="25"/>
      <c r="C789" s="1"/>
      <c r="D789" s="1"/>
    </row>
    <row r="790" spans="1:4" x14ac:dyDescent="0.2">
      <c r="A790" s="1"/>
      <c r="B790" s="25"/>
      <c r="C790" s="1"/>
      <c r="D790" s="1"/>
    </row>
    <row r="791" spans="1:4" x14ac:dyDescent="0.2">
      <c r="A791" s="1"/>
      <c r="B791" s="25"/>
      <c r="C791" s="1"/>
      <c r="D791" s="1"/>
    </row>
    <row r="792" spans="1:4" x14ac:dyDescent="0.2">
      <c r="A792" s="1"/>
      <c r="B792" s="25"/>
      <c r="C792" s="1"/>
      <c r="D792" s="1"/>
    </row>
    <row r="793" spans="1:4" x14ac:dyDescent="0.2">
      <c r="A793" s="1"/>
      <c r="B793" s="25"/>
      <c r="C793" s="1"/>
      <c r="D793" s="1"/>
    </row>
    <row r="794" spans="1:4" x14ac:dyDescent="0.2">
      <c r="A794" s="1"/>
      <c r="B794" s="25"/>
      <c r="C794" s="1"/>
      <c r="D794" s="1"/>
    </row>
    <row r="795" spans="1:4" x14ac:dyDescent="0.2">
      <c r="A795" s="1"/>
      <c r="B795" s="25"/>
      <c r="C795" s="1"/>
      <c r="D795" s="1"/>
    </row>
    <row r="796" spans="1:4" x14ac:dyDescent="0.2">
      <c r="A796" s="1"/>
      <c r="B796" s="25"/>
      <c r="C796" s="1"/>
      <c r="D796" s="1"/>
    </row>
    <row r="797" spans="1:4" x14ac:dyDescent="0.2">
      <c r="A797" s="1"/>
      <c r="B797" s="25"/>
      <c r="C797" s="1"/>
      <c r="D797" s="1"/>
    </row>
    <row r="798" spans="1:4" x14ac:dyDescent="0.2">
      <c r="A798" s="1"/>
      <c r="B798" s="25"/>
      <c r="C798" s="1"/>
      <c r="D798" s="1"/>
    </row>
    <row r="799" spans="1:4" x14ac:dyDescent="0.2">
      <c r="A799" s="1"/>
      <c r="B799" s="25"/>
      <c r="C799" s="1"/>
      <c r="D799" s="1"/>
    </row>
    <row r="800" spans="1:4" x14ac:dyDescent="0.2">
      <c r="A800" s="1"/>
      <c r="B800" s="25"/>
      <c r="C800" s="1"/>
      <c r="D800" s="1"/>
    </row>
  </sheetData>
  <conditionalFormatting sqref="C8:C362">
    <cfRule type="colorScale" priority="2">
      <colorScale>
        <cfvo type="min"/>
        <cfvo type="percentile" val="50"/>
        <cfvo type="max"/>
        <color rgb="FFF8696B"/>
        <color rgb="FFFFEB84"/>
        <color rgb="FF63BE7B"/>
      </colorScale>
    </cfRule>
  </conditionalFormatting>
  <conditionalFormatting sqref="D19:D362">
    <cfRule type="colorScale" priority="1">
      <colorScale>
        <cfvo type="min"/>
        <cfvo type="percentile" val="50"/>
        <cfvo type="max"/>
        <color rgb="FFF8696B"/>
        <color rgb="FFFFEB84"/>
        <color rgb="FF63BE7B"/>
      </colorScale>
    </cfRule>
  </conditionalFormatting>
  <pageMargins left="0.7" right="0.7" top="0.75" bottom="0.75" header="0.3" footer="0.3"/>
  <pageSetup paperSize="9" orientation="portrait" r:id="rId1"/>
  <drawing r:id="rId2"/>
  <tableParts count="1">
    <tablePart r:id="rId3"/>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dimension ref="A1:BQ362"/>
  <sheetViews>
    <sheetView zoomScale="160" zoomScaleNormal="160" workbookViewId="0">
      <pane ySplit="6" topLeftCell="A328" activePane="bottomLeft" state="frozen"/>
      <selection pane="bottomLeft" activeCell="B365" sqref="B365"/>
    </sheetView>
  </sheetViews>
  <sheetFormatPr baseColWidth="10" defaultColWidth="8.83203125" defaultRowHeight="15" x14ac:dyDescent="0.2"/>
  <cols>
    <col min="1" max="1" width="14" style="11" customWidth="1"/>
    <col min="2" max="2" width="23.1640625" style="11" customWidth="1"/>
    <col min="3" max="4" width="14.1640625" style="11" customWidth="1"/>
    <col min="5" max="69" width="9.1640625" style="1"/>
  </cols>
  <sheetData>
    <row r="1" spans="1:4" s="1" customFormat="1" x14ac:dyDescent="0.2">
      <c r="A1" s="33" t="s">
        <v>11</v>
      </c>
      <c r="B1" s="34" t="s">
        <v>12</v>
      </c>
      <c r="C1" s="11"/>
      <c r="D1" s="11"/>
    </row>
    <row r="2" spans="1:4" s="1" customFormat="1" x14ac:dyDescent="0.2">
      <c r="A2" s="35" t="s">
        <v>10</v>
      </c>
      <c r="B2" s="33"/>
      <c r="C2" s="11"/>
      <c r="D2" s="11"/>
    </row>
    <row r="3" spans="1:4" s="1" customFormat="1" x14ac:dyDescent="0.2">
      <c r="A3" s="12"/>
      <c r="B3" s="11"/>
      <c r="C3" s="11"/>
      <c r="D3" s="11"/>
    </row>
    <row r="4" spans="1:4" s="1" customFormat="1" x14ac:dyDescent="0.2">
      <c r="A4" s="12"/>
      <c r="B4" s="11"/>
      <c r="C4" s="11"/>
      <c r="D4" s="11"/>
    </row>
    <row r="5" spans="1:4" s="1" customFormat="1" ht="16" thickBot="1" x14ac:dyDescent="0.25">
      <c r="A5" s="11"/>
      <c r="B5" s="11"/>
      <c r="C5" s="11"/>
      <c r="D5" s="11"/>
    </row>
    <row r="6" spans="1:4" ht="43.5" customHeight="1" x14ac:dyDescent="0.2">
      <c r="A6" s="97" t="s">
        <v>2</v>
      </c>
      <c r="B6" s="98" t="s">
        <v>92</v>
      </c>
      <c r="C6" s="99" t="s">
        <v>82</v>
      </c>
      <c r="D6" s="100" t="s">
        <v>83</v>
      </c>
    </row>
    <row r="7" spans="1:4" x14ac:dyDescent="0.2">
      <c r="A7" s="13">
        <v>33604</v>
      </c>
      <c r="B7" s="18">
        <f>VLOOKUP(A7,Database!A:K,MATCH($A$1,Database!$A$1:$K$1,),)</f>
        <v>30437</v>
      </c>
      <c r="C7" s="3"/>
      <c r="D7" s="3"/>
    </row>
    <row r="8" spans="1:4" x14ac:dyDescent="0.2">
      <c r="A8" s="14">
        <v>33635</v>
      </c>
      <c r="B8" s="18">
        <f>VLOOKUP(A8,Database!A:K,MATCH($A$1,Database!$A$1:$K$1,),)</f>
        <v>30382</v>
      </c>
      <c r="C8" s="15">
        <f>(B8-B7)/B7</f>
        <v>-1.8070112034694614E-3</v>
      </c>
      <c r="D8" s="3"/>
    </row>
    <row r="9" spans="1:4" x14ac:dyDescent="0.2">
      <c r="A9" s="13">
        <v>33664</v>
      </c>
      <c r="B9" s="18">
        <f>VLOOKUP(A9,Database!A:K,MATCH($A$1,Database!$A$1:$K$1,),)</f>
        <v>30526</v>
      </c>
      <c r="C9" s="15">
        <f t="shared" ref="C9:C72" si="0">(B9-B8)/B8</f>
        <v>4.7396484760713576E-3</v>
      </c>
      <c r="D9" s="3"/>
    </row>
    <row r="10" spans="1:4" x14ac:dyDescent="0.2">
      <c r="A10" s="14">
        <v>33695</v>
      </c>
      <c r="B10" s="18">
        <f>VLOOKUP(A10,Database!A:K,MATCH($A$1,Database!$A$1:$K$1,),)</f>
        <v>30602</v>
      </c>
      <c r="C10" s="15">
        <f t="shared" si="0"/>
        <v>2.4896809277337351E-3</v>
      </c>
      <c r="D10" s="3"/>
    </row>
    <row r="11" spans="1:4" x14ac:dyDescent="0.2">
      <c r="A11" s="13">
        <v>33725</v>
      </c>
      <c r="B11" s="18">
        <f>VLOOKUP(A11,Database!A:K,MATCH($A$1,Database!$A$1:$K$1,),)</f>
        <v>30718</v>
      </c>
      <c r="C11" s="15">
        <f t="shared" si="0"/>
        <v>3.7906019214430427E-3</v>
      </c>
      <c r="D11" s="3"/>
    </row>
    <row r="12" spans="1:4" x14ac:dyDescent="0.2">
      <c r="A12" s="14">
        <v>33756</v>
      </c>
      <c r="B12" s="18">
        <f>VLOOKUP(A12,Database!A:K,MATCH($A$1,Database!$A$1:$K$1,),)</f>
        <v>30761</v>
      </c>
      <c r="C12" s="15">
        <f t="shared" si="0"/>
        <v>1.3998307181457125E-3</v>
      </c>
      <c r="D12" s="3"/>
    </row>
    <row r="13" spans="1:4" x14ac:dyDescent="0.2">
      <c r="A13" s="13">
        <v>33786</v>
      </c>
      <c r="B13" s="18">
        <f>VLOOKUP(A13,Database!A:K,MATCH($A$1,Database!$A$1:$K$1,),)</f>
        <v>30963</v>
      </c>
      <c r="C13" s="15">
        <f t="shared" si="0"/>
        <v>6.5667566073924774E-3</v>
      </c>
      <c r="D13" s="3"/>
    </row>
    <row r="14" spans="1:4" x14ac:dyDescent="0.2">
      <c r="A14" s="14">
        <v>33817</v>
      </c>
      <c r="B14" s="18">
        <f>VLOOKUP(A14,Database!A:K,MATCH($A$1,Database!$A$1:$K$1,),)</f>
        <v>31041</v>
      </c>
      <c r="C14" s="15">
        <f t="shared" si="0"/>
        <v>2.519135742660595E-3</v>
      </c>
      <c r="D14" s="3"/>
    </row>
    <row r="15" spans="1:4" x14ac:dyDescent="0.2">
      <c r="A15" s="13">
        <v>33848</v>
      </c>
      <c r="B15" s="18">
        <f>VLOOKUP(A15,Database!A:K,MATCH($A$1,Database!$A$1:$K$1,),)</f>
        <v>30942</v>
      </c>
      <c r="C15" s="15">
        <f t="shared" si="0"/>
        <v>-3.1893302406494637E-3</v>
      </c>
      <c r="D15" s="3"/>
    </row>
    <row r="16" spans="1:4" x14ac:dyDescent="0.2">
      <c r="A16" s="14">
        <v>33878</v>
      </c>
      <c r="B16" s="18">
        <f>VLOOKUP(A16,Database!A:K,MATCH($A$1,Database!$A$1:$K$1,),)</f>
        <v>31148</v>
      </c>
      <c r="C16" s="15">
        <f t="shared" si="0"/>
        <v>6.6576174778618059E-3</v>
      </c>
      <c r="D16" s="3"/>
    </row>
    <row r="17" spans="1:4" x14ac:dyDescent="0.2">
      <c r="A17" s="13">
        <v>33909</v>
      </c>
      <c r="B17" s="18">
        <f>VLOOKUP(A17,Database!A:K,MATCH($A$1,Database!$A$1:$K$1,),)</f>
        <v>30992</v>
      </c>
      <c r="C17" s="15">
        <f t="shared" si="0"/>
        <v>-5.008347245409015E-3</v>
      </c>
      <c r="D17" s="3"/>
    </row>
    <row r="18" spans="1:4" x14ac:dyDescent="0.2">
      <c r="A18" s="14">
        <v>33939</v>
      </c>
      <c r="B18" s="18">
        <f>VLOOKUP(A18,Database!A:K,MATCH($A$1,Database!$A$1:$K$1,),)</f>
        <v>31057</v>
      </c>
      <c r="C18" s="15">
        <f t="shared" si="0"/>
        <v>2.0973154362416107E-3</v>
      </c>
      <c r="D18" s="3"/>
    </row>
    <row r="19" spans="1:4" x14ac:dyDescent="0.2">
      <c r="A19" s="13">
        <v>33970</v>
      </c>
      <c r="B19" s="18">
        <f>VLOOKUP(A19,Database!A:K,MATCH($A$1,Database!$A$1:$K$1,),)</f>
        <v>31045</v>
      </c>
      <c r="C19" s="15">
        <f t="shared" si="0"/>
        <v>-3.8638632192420388E-4</v>
      </c>
      <c r="D19" s="16">
        <f>(B19-B7)/B7</f>
        <v>1.9975687485626049E-2</v>
      </c>
    </row>
    <row r="20" spans="1:4" x14ac:dyDescent="0.2">
      <c r="A20" s="14">
        <v>34001</v>
      </c>
      <c r="B20" s="18">
        <f>VLOOKUP(A20,Database!A:K,MATCH($A$1,Database!$A$1:$K$1,),)</f>
        <v>31233</v>
      </c>
      <c r="C20" s="15">
        <f t="shared" si="0"/>
        <v>6.0557255596714443E-3</v>
      </c>
      <c r="D20" s="16">
        <f t="shared" ref="D20:D83" si="1">(B20-B8)/B8</f>
        <v>2.8010005924560596E-2</v>
      </c>
    </row>
    <row r="21" spans="1:4" x14ac:dyDescent="0.2">
      <c r="A21" s="13">
        <v>34029</v>
      </c>
      <c r="B21" s="18">
        <f>VLOOKUP(A21,Database!A:K,MATCH($A$1,Database!$A$1:$K$1,),)</f>
        <v>31058</v>
      </c>
      <c r="C21" s="15">
        <f t="shared" si="0"/>
        <v>-5.6030480581436299E-3</v>
      </c>
      <c r="D21" s="16">
        <f t="shared" si="1"/>
        <v>1.7427766494136146E-2</v>
      </c>
    </row>
    <row r="22" spans="1:4" x14ac:dyDescent="0.2">
      <c r="A22" s="14">
        <v>34060</v>
      </c>
      <c r="B22" s="18">
        <f>VLOOKUP(A22,Database!A:K,MATCH($A$1,Database!$A$1:$K$1,),)</f>
        <v>31129</v>
      </c>
      <c r="C22" s="15">
        <f t="shared" si="0"/>
        <v>2.2860454633266791E-3</v>
      </c>
      <c r="D22" s="16">
        <f t="shared" si="1"/>
        <v>1.7221096660348996E-2</v>
      </c>
    </row>
    <row r="23" spans="1:4" x14ac:dyDescent="0.2">
      <c r="A23" s="13">
        <v>34090</v>
      </c>
      <c r="B23" s="18">
        <f>VLOOKUP(A23,Database!A:K,MATCH($A$1,Database!$A$1:$K$1,),)</f>
        <v>31164</v>
      </c>
      <c r="C23" s="15">
        <f t="shared" si="0"/>
        <v>1.1243534967393749E-3</v>
      </c>
      <c r="D23" s="16">
        <f t="shared" si="1"/>
        <v>1.4519174425418321E-2</v>
      </c>
    </row>
    <row r="24" spans="1:4" x14ac:dyDescent="0.2">
      <c r="A24" s="14">
        <v>34121</v>
      </c>
      <c r="B24" s="18">
        <f>VLOOKUP(A24,Database!A:K,MATCH($A$1,Database!$A$1:$K$1,),)</f>
        <v>31168</v>
      </c>
      <c r="C24" s="15">
        <f t="shared" si="0"/>
        <v>1.2835322808368629E-4</v>
      </c>
      <c r="D24" s="16">
        <f t="shared" si="1"/>
        <v>1.3231039303013557E-2</v>
      </c>
    </row>
    <row r="25" spans="1:4" x14ac:dyDescent="0.2">
      <c r="A25" s="13">
        <v>34151</v>
      </c>
      <c r="B25" s="18">
        <f>VLOOKUP(A25,Database!A:K,MATCH($A$1,Database!$A$1:$K$1,),)</f>
        <v>31349</v>
      </c>
      <c r="C25" s="15">
        <f t="shared" si="0"/>
        <v>5.8072381930184807E-3</v>
      </c>
      <c r="D25" s="16">
        <f t="shared" si="1"/>
        <v>1.2466492264961406E-2</v>
      </c>
    </row>
    <row r="26" spans="1:4" x14ac:dyDescent="0.2">
      <c r="A26" s="14">
        <v>34182</v>
      </c>
      <c r="B26" s="18">
        <f>VLOOKUP(A26,Database!A:K,MATCH($A$1,Database!$A$1:$K$1,),)</f>
        <v>31126</v>
      </c>
      <c r="C26" s="15">
        <f t="shared" si="0"/>
        <v>-7.1134645443235826E-3</v>
      </c>
      <c r="D26" s="16">
        <f t="shared" si="1"/>
        <v>2.7383138429818627E-3</v>
      </c>
    </row>
    <row r="27" spans="1:4" x14ac:dyDescent="0.2">
      <c r="A27" s="13">
        <v>34213</v>
      </c>
      <c r="B27" s="18">
        <f>VLOOKUP(A27,Database!A:K,MATCH($A$1,Database!$A$1:$K$1,),)</f>
        <v>31201</v>
      </c>
      <c r="C27" s="15">
        <f t="shared" si="0"/>
        <v>2.4095611385979566E-3</v>
      </c>
      <c r="D27" s="16">
        <f t="shared" si="1"/>
        <v>8.3704996444961544E-3</v>
      </c>
    </row>
    <row r="28" spans="1:4" x14ac:dyDescent="0.2">
      <c r="A28" s="14">
        <v>34243</v>
      </c>
      <c r="B28" s="18">
        <f>VLOOKUP(A28,Database!A:K,MATCH($A$1,Database!$A$1:$K$1,),)</f>
        <v>31346</v>
      </c>
      <c r="C28" s="15">
        <f t="shared" si="0"/>
        <v>4.6472869459312201E-3</v>
      </c>
      <c r="D28" s="16">
        <f t="shared" si="1"/>
        <v>6.3567484268652885E-3</v>
      </c>
    </row>
    <row r="29" spans="1:4" x14ac:dyDescent="0.2">
      <c r="A29" s="13">
        <v>34274</v>
      </c>
      <c r="B29" s="18">
        <f>VLOOKUP(A29,Database!A:K,MATCH($A$1,Database!$A$1:$K$1,),)</f>
        <v>31363</v>
      </c>
      <c r="C29" s="15">
        <f t="shared" si="0"/>
        <v>5.4233395010527656E-4</v>
      </c>
      <c r="D29" s="16">
        <f t="shared" si="1"/>
        <v>1.1970831182240578E-2</v>
      </c>
    </row>
    <row r="30" spans="1:4" x14ac:dyDescent="0.2">
      <c r="A30" s="14">
        <v>34304</v>
      </c>
      <c r="B30" s="18">
        <f>VLOOKUP(A30,Database!A:K,MATCH($A$1,Database!$A$1:$K$1,),)</f>
        <v>31499</v>
      </c>
      <c r="C30" s="15">
        <f t="shared" si="0"/>
        <v>4.3363198673596276E-3</v>
      </c>
      <c r="D30" s="16">
        <f t="shared" si="1"/>
        <v>1.4231896190874843E-2</v>
      </c>
    </row>
    <row r="31" spans="1:4" x14ac:dyDescent="0.2">
      <c r="A31" s="13">
        <v>34335</v>
      </c>
      <c r="B31" s="18">
        <f>VLOOKUP(A31,Database!A:K,MATCH($A$1,Database!$A$1:$K$1,),)</f>
        <v>31468</v>
      </c>
      <c r="C31" s="15">
        <f t="shared" si="0"/>
        <v>-9.8415822724530933E-4</v>
      </c>
      <c r="D31" s="16">
        <f t="shared" si="1"/>
        <v>1.362538250926075E-2</v>
      </c>
    </row>
    <row r="32" spans="1:4" x14ac:dyDescent="0.2">
      <c r="A32" s="14">
        <v>34366</v>
      </c>
      <c r="B32" s="18">
        <f>VLOOKUP(A32,Database!A:K,MATCH($A$1,Database!$A$1:$K$1,),)</f>
        <v>31688</v>
      </c>
      <c r="C32" s="15">
        <f t="shared" si="0"/>
        <v>6.9912291852040169E-3</v>
      </c>
      <c r="D32" s="16">
        <f t="shared" si="1"/>
        <v>1.4567924951173438E-2</v>
      </c>
    </row>
    <row r="33" spans="1:4" x14ac:dyDescent="0.2">
      <c r="A33" s="13">
        <v>34394</v>
      </c>
      <c r="B33" s="18">
        <f>VLOOKUP(A33,Database!A:K,MATCH($A$1,Database!$A$1:$K$1,),)</f>
        <v>31700</v>
      </c>
      <c r="C33" s="15">
        <f t="shared" si="0"/>
        <v>3.786922494319616E-4</v>
      </c>
      <c r="D33" s="16">
        <f t="shared" si="1"/>
        <v>2.0671002640221522E-2</v>
      </c>
    </row>
    <row r="34" spans="1:4" x14ac:dyDescent="0.2">
      <c r="A34" s="14">
        <v>34425</v>
      </c>
      <c r="B34" s="18">
        <f>VLOOKUP(A34,Database!A:K,MATCH($A$1,Database!$A$1:$K$1,),)</f>
        <v>31899</v>
      </c>
      <c r="C34" s="15">
        <f t="shared" si="0"/>
        <v>6.2776025236593062E-3</v>
      </c>
      <c r="D34" s="16">
        <f t="shared" si="1"/>
        <v>2.4735776928266246E-2</v>
      </c>
    </row>
    <row r="35" spans="1:4" x14ac:dyDescent="0.2">
      <c r="A35" s="13">
        <v>34455</v>
      </c>
      <c r="B35" s="18">
        <f>VLOOKUP(A35,Database!A:K,MATCH($A$1,Database!$A$1:$K$1,),)</f>
        <v>31858</v>
      </c>
      <c r="C35" s="15">
        <f t="shared" si="0"/>
        <v>-1.2853067494278817E-3</v>
      </c>
      <c r="D35" s="16">
        <f t="shared" si="1"/>
        <v>2.2269285072519573E-2</v>
      </c>
    </row>
    <row r="36" spans="1:4" x14ac:dyDescent="0.2">
      <c r="A36" s="14">
        <v>34486</v>
      </c>
      <c r="B36" s="18">
        <f>VLOOKUP(A36,Database!A:K,MATCH($A$1,Database!$A$1:$K$1,),)</f>
        <v>32123</v>
      </c>
      <c r="C36" s="15">
        <f t="shared" si="0"/>
        <v>8.3181618431791074E-3</v>
      </c>
      <c r="D36" s="16">
        <f t="shared" si="1"/>
        <v>3.0640400410677619E-2</v>
      </c>
    </row>
    <row r="37" spans="1:4" x14ac:dyDescent="0.2">
      <c r="A37" s="13">
        <v>34516</v>
      </c>
      <c r="B37" s="18">
        <f>VLOOKUP(A37,Database!A:K,MATCH($A$1,Database!$A$1:$K$1,),)</f>
        <v>31964</v>
      </c>
      <c r="C37" s="15">
        <f t="shared" si="0"/>
        <v>-4.9497244964667063E-3</v>
      </c>
      <c r="D37" s="16">
        <f t="shared" si="1"/>
        <v>1.9617850649143512E-2</v>
      </c>
    </row>
    <row r="38" spans="1:4" x14ac:dyDescent="0.2">
      <c r="A38" s="14">
        <v>34547</v>
      </c>
      <c r="B38" s="18">
        <f>VLOOKUP(A38,Database!A:K,MATCH($A$1,Database!$A$1:$K$1,),)</f>
        <v>32222</v>
      </c>
      <c r="C38" s="15">
        <f t="shared" si="0"/>
        <v>8.0715805280941067E-3</v>
      </c>
      <c r="D38" s="16">
        <f t="shared" si="1"/>
        <v>3.5211720105378139E-2</v>
      </c>
    </row>
    <row r="39" spans="1:4" x14ac:dyDescent="0.2">
      <c r="A39" s="13">
        <v>34578</v>
      </c>
      <c r="B39" s="18">
        <f>VLOOKUP(A39,Database!A:K,MATCH($A$1,Database!$A$1:$K$1,),)</f>
        <v>32401</v>
      </c>
      <c r="C39" s="15">
        <f t="shared" si="0"/>
        <v>5.5552107255912109E-3</v>
      </c>
      <c r="D39" s="16">
        <f t="shared" si="1"/>
        <v>3.8460305759430789E-2</v>
      </c>
    </row>
    <row r="40" spans="1:4" x14ac:dyDescent="0.2">
      <c r="A40" s="14">
        <v>34608</v>
      </c>
      <c r="B40" s="18">
        <f>VLOOKUP(A40,Database!A:K,MATCH($A$1,Database!$A$1:$K$1,),)</f>
        <v>32196</v>
      </c>
      <c r="C40" s="15">
        <f t="shared" si="0"/>
        <v>-6.3269652171229285E-3</v>
      </c>
      <c r="D40" s="16">
        <f t="shared" si="1"/>
        <v>2.7116697505263829E-2</v>
      </c>
    </row>
    <row r="41" spans="1:4" x14ac:dyDescent="0.2">
      <c r="A41" s="13">
        <v>34639</v>
      </c>
      <c r="B41" s="18">
        <f>VLOOKUP(A41,Database!A:K,MATCH($A$1,Database!$A$1:$K$1,),)</f>
        <v>32370</v>
      </c>
      <c r="C41" s="15">
        <f t="shared" si="0"/>
        <v>5.4043980618710399E-3</v>
      </c>
      <c r="D41" s="16">
        <f t="shared" si="1"/>
        <v>3.2107897841405476E-2</v>
      </c>
    </row>
    <row r="42" spans="1:4" x14ac:dyDescent="0.2">
      <c r="A42" s="14">
        <v>34669</v>
      </c>
      <c r="B42" s="18">
        <f>VLOOKUP(A42,Database!A:K,MATCH($A$1,Database!$A$1:$K$1,),)</f>
        <v>32294</v>
      </c>
      <c r="C42" s="15">
        <f t="shared" si="0"/>
        <v>-2.3478529502625888E-3</v>
      </c>
      <c r="D42" s="16">
        <f t="shared" si="1"/>
        <v>2.52388964729039E-2</v>
      </c>
    </row>
    <row r="43" spans="1:4" x14ac:dyDescent="0.2">
      <c r="A43" s="13">
        <v>34700</v>
      </c>
      <c r="B43" s="18">
        <f>VLOOKUP(A43,Database!A:K,MATCH($A$1,Database!$A$1:$K$1,),)</f>
        <v>32625</v>
      </c>
      <c r="C43" s="15">
        <f t="shared" si="0"/>
        <v>1.0249581965690221E-2</v>
      </c>
      <c r="D43" s="16">
        <f t="shared" si="1"/>
        <v>3.676750985127749E-2</v>
      </c>
    </row>
    <row r="44" spans="1:4" x14ac:dyDescent="0.2">
      <c r="A44" s="14">
        <v>34731</v>
      </c>
      <c r="B44" s="18">
        <f>VLOOKUP(A44,Database!A:K,MATCH($A$1,Database!$A$1:$K$1,),)</f>
        <v>32399</v>
      </c>
      <c r="C44" s="15">
        <f t="shared" si="0"/>
        <v>-6.9272030651340993E-3</v>
      </c>
      <c r="D44" s="16">
        <f t="shared" si="1"/>
        <v>2.2437515778843727E-2</v>
      </c>
    </row>
    <row r="45" spans="1:4" x14ac:dyDescent="0.2">
      <c r="A45" s="13">
        <v>34759</v>
      </c>
      <c r="B45" s="18">
        <f>VLOOKUP(A45,Database!A:K,MATCH($A$1,Database!$A$1:$K$1,),)</f>
        <v>32415</v>
      </c>
      <c r="C45" s="15">
        <f t="shared" si="0"/>
        <v>4.9384240254328839E-4</v>
      </c>
      <c r="D45" s="16">
        <f t="shared" si="1"/>
        <v>2.2555205047318613E-2</v>
      </c>
    </row>
    <row r="46" spans="1:4" x14ac:dyDescent="0.2">
      <c r="A46" s="14">
        <v>34790</v>
      </c>
      <c r="B46" s="18">
        <f>VLOOKUP(A46,Database!A:K,MATCH($A$1,Database!$A$1:$K$1,),)</f>
        <v>32312</v>
      </c>
      <c r="C46" s="15">
        <f t="shared" si="0"/>
        <v>-3.1775412617615303E-3</v>
      </c>
      <c r="D46" s="16">
        <f t="shared" si="1"/>
        <v>1.2947114329602809E-2</v>
      </c>
    </row>
    <row r="47" spans="1:4" x14ac:dyDescent="0.2">
      <c r="A47" s="13">
        <v>34820</v>
      </c>
      <c r="B47" s="18">
        <f>VLOOKUP(A47,Database!A:K,MATCH($A$1,Database!$A$1:$K$1,),)</f>
        <v>32540</v>
      </c>
      <c r="C47" s="15">
        <f t="shared" si="0"/>
        <v>7.0562020302054962E-3</v>
      </c>
      <c r="D47" s="16">
        <f t="shared" si="1"/>
        <v>2.1407495762445855E-2</v>
      </c>
    </row>
    <row r="48" spans="1:4" x14ac:dyDescent="0.2">
      <c r="A48" s="14">
        <v>34851</v>
      </c>
      <c r="B48" s="18">
        <f>VLOOKUP(A48,Database!A:K,MATCH($A$1,Database!$A$1:$K$1,),)</f>
        <v>32597</v>
      </c>
      <c r="C48" s="15">
        <f t="shared" si="0"/>
        <v>1.7516902274124155E-3</v>
      </c>
      <c r="D48" s="16">
        <f t="shared" si="1"/>
        <v>1.4755782461164898E-2</v>
      </c>
    </row>
    <row r="49" spans="1:4" x14ac:dyDescent="0.2">
      <c r="A49" s="13">
        <v>34881</v>
      </c>
      <c r="B49" s="18">
        <f>VLOOKUP(A49,Database!A:K,MATCH($A$1,Database!$A$1:$K$1,),)</f>
        <v>32466</v>
      </c>
      <c r="C49" s="15">
        <f t="shared" si="0"/>
        <v>-4.0187747338712148E-3</v>
      </c>
      <c r="D49" s="16">
        <f t="shared" si="1"/>
        <v>1.5705168314353649E-2</v>
      </c>
    </row>
    <row r="50" spans="1:4" x14ac:dyDescent="0.2">
      <c r="A50" s="14">
        <v>34912</v>
      </c>
      <c r="B50" s="18">
        <f>VLOOKUP(A50,Database!A:K,MATCH($A$1,Database!$A$1:$K$1,),)</f>
        <v>32547</v>
      </c>
      <c r="C50" s="15">
        <f t="shared" si="0"/>
        <v>2.4949177601182775E-3</v>
      </c>
      <c r="D50" s="16">
        <f t="shared" si="1"/>
        <v>1.0086276457079015E-2</v>
      </c>
    </row>
    <row r="51" spans="1:4" x14ac:dyDescent="0.2">
      <c r="A51" s="13">
        <v>34943</v>
      </c>
      <c r="B51" s="18">
        <f>VLOOKUP(A51,Database!A:K,MATCH($A$1,Database!$A$1:$K$1,),)</f>
        <v>32625</v>
      </c>
      <c r="C51" s="15">
        <f t="shared" si="0"/>
        <v>2.3965342427873537E-3</v>
      </c>
      <c r="D51" s="16">
        <f t="shared" si="1"/>
        <v>6.9133668713928578E-3</v>
      </c>
    </row>
    <row r="52" spans="1:4" x14ac:dyDescent="0.2">
      <c r="A52" s="14">
        <v>34973</v>
      </c>
      <c r="B52" s="18">
        <f>VLOOKUP(A52,Database!A:K,MATCH($A$1,Database!$A$1:$K$1,),)</f>
        <v>32578</v>
      </c>
      <c r="C52" s="15">
        <f t="shared" si="0"/>
        <v>-1.4406130268199233E-3</v>
      </c>
      <c r="D52" s="16">
        <f t="shared" si="1"/>
        <v>1.1864827928935272E-2</v>
      </c>
    </row>
    <row r="53" spans="1:4" x14ac:dyDescent="0.2">
      <c r="A53" s="13">
        <v>35004</v>
      </c>
      <c r="B53" s="18">
        <f>VLOOKUP(A53,Database!A:K,MATCH($A$1,Database!$A$1:$K$1,),)</f>
        <v>32744</v>
      </c>
      <c r="C53" s="15">
        <f t="shared" si="0"/>
        <v>5.0954631960218556E-3</v>
      </c>
      <c r="D53" s="16">
        <f t="shared" si="1"/>
        <v>1.1553907939450108E-2</v>
      </c>
    </row>
    <row r="54" spans="1:4" x14ac:dyDescent="0.2">
      <c r="A54" s="14">
        <v>35034</v>
      </c>
      <c r="B54" s="18">
        <f>VLOOKUP(A54,Database!A:K,MATCH($A$1,Database!$A$1:$K$1,),)</f>
        <v>32903</v>
      </c>
      <c r="C54" s="15">
        <f t="shared" si="0"/>
        <v>4.8558514537014414E-3</v>
      </c>
      <c r="D54" s="16">
        <f t="shared" si="1"/>
        <v>1.8857992196692885E-2</v>
      </c>
    </row>
    <row r="55" spans="1:4" x14ac:dyDescent="0.2">
      <c r="A55" s="13">
        <v>35065</v>
      </c>
      <c r="B55" s="18">
        <f>VLOOKUP(A55,Database!A:K,MATCH($A$1,Database!$A$1:$K$1,),)</f>
        <v>33085</v>
      </c>
      <c r="C55" s="15">
        <f t="shared" si="0"/>
        <v>5.531410509679968E-3</v>
      </c>
      <c r="D55" s="16">
        <f t="shared" si="1"/>
        <v>1.4099616858237548E-2</v>
      </c>
    </row>
    <row r="56" spans="1:4" x14ac:dyDescent="0.2">
      <c r="A56" s="14">
        <v>35096</v>
      </c>
      <c r="B56" s="18">
        <f>VLOOKUP(A56,Database!A:K,MATCH($A$1,Database!$A$1:$K$1,),)</f>
        <v>32928</v>
      </c>
      <c r="C56" s="15">
        <f t="shared" si="0"/>
        <v>-4.7453528789481638E-3</v>
      </c>
      <c r="D56" s="16">
        <f t="shared" si="1"/>
        <v>1.6327664434087473E-2</v>
      </c>
    </row>
    <row r="57" spans="1:4" x14ac:dyDescent="0.2">
      <c r="A57" s="13">
        <v>35125</v>
      </c>
      <c r="B57" s="18">
        <f>VLOOKUP(A57,Database!A:K,MATCH($A$1,Database!$A$1:$K$1,),)</f>
        <v>33076</v>
      </c>
      <c r="C57" s="15">
        <f t="shared" si="0"/>
        <v>4.4946550048590864E-3</v>
      </c>
      <c r="D57" s="16">
        <f t="shared" si="1"/>
        <v>2.0391793922566712E-2</v>
      </c>
    </row>
    <row r="58" spans="1:4" x14ac:dyDescent="0.2">
      <c r="A58" s="14">
        <v>35156</v>
      </c>
      <c r="B58" s="18">
        <f>VLOOKUP(A58,Database!A:K,MATCH($A$1,Database!$A$1:$K$1,),)</f>
        <v>33174</v>
      </c>
      <c r="C58" s="15">
        <f t="shared" si="0"/>
        <v>2.9628733825130004E-3</v>
      </c>
      <c r="D58" s="16">
        <f t="shared" si="1"/>
        <v>2.6677395394899727E-2</v>
      </c>
    </row>
    <row r="59" spans="1:4" x14ac:dyDescent="0.2">
      <c r="A59" s="13">
        <v>35186</v>
      </c>
      <c r="B59" s="18">
        <f>VLOOKUP(A59,Database!A:K,MATCH($A$1,Database!$A$1:$K$1,),)</f>
        <v>33178</v>
      </c>
      <c r="C59" s="15">
        <f t="shared" si="0"/>
        <v>1.2057635497678906E-4</v>
      </c>
      <c r="D59" s="16">
        <f t="shared" si="1"/>
        <v>1.9606637984019668E-2</v>
      </c>
    </row>
    <row r="60" spans="1:4" x14ac:dyDescent="0.2">
      <c r="A60" s="14">
        <v>35217</v>
      </c>
      <c r="B60" s="18">
        <f>VLOOKUP(A60,Database!A:K,MATCH($A$1,Database!$A$1:$K$1,),)</f>
        <v>33281</v>
      </c>
      <c r="C60" s="15">
        <f t="shared" si="0"/>
        <v>3.1044668153595756E-3</v>
      </c>
      <c r="D60" s="16">
        <f t="shared" si="1"/>
        <v>2.0983526091358101E-2</v>
      </c>
    </row>
    <row r="61" spans="1:4" x14ac:dyDescent="0.2">
      <c r="A61" s="13">
        <v>35247</v>
      </c>
      <c r="B61" s="18">
        <f>VLOOKUP(A61,Database!A:K,MATCH($A$1,Database!$A$1:$K$1,),)</f>
        <v>33470</v>
      </c>
      <c r="C61" s="15">
        <f t="shared" si="0"/>
        <v>5.6789158979597965E-3</v>
      </c>
      <c r="D61" s="16">
        <f t="shared" si="1"/>
        <v>3.0924659643935194E-2</v>
      </c>
    </row>
    <row r="62" spans="1:4" x14ac:dyDescent="0.2">
      <c r="A62" s="14">
        <v>35278</v>
      </c>
      <c r="B62" s="18">
        <f>VLOOKUP(A62,Database!A:K,MATCH($A$1,Database!$A$1:$K$1,),)</f>
        <v>33542</v>
      </c>
      <c r="C62" s="15">
        <f t="shared" si="0"/>
        <v>2.1511801613385119E-3</v>
      </c>
      <c r="D62" s="16">
        <f t="shared" si="1"/>
        <v>3.0571173994530985E-2</v>
      </c>
    </row>
    <row r="63" spans="1:4" x14ac:dyDescent="0.2">
      <c r="A63" s="13">
        <v>35309</v>
      </c>
      <c r="B63" s="18">
        <f>VLOOKUP(A63,Database!A:K,MATCH($A$1,Database!$A$1:$K$1,),)</f>
        <v>33494</v>
      </c>
      <c r="C63" s="15">
        <f t="shared" si="0"/>
        <v>-1.4310416790889035E-3</v>
      </c>
      <c r="D63" s="16">
        <f t="shared" si="1"/>
        <v>2.6636015325670497E-2</v>
      </c>
    </row>
    <row r="64" spans="1:4" x14ac:dyDescent="0.2">
      <c r="A64" s="14">
        <v>35339</v>
      </c>
      <c r="B64" s="18">
        <f>VLOOKUP(A64,Database!A:K,MATCH($A$1,Database!$A$1:$K$1,),)</f>
        <v>33704</v>
      </c>
      <c r="C64" s="15">
        <f t="shared" si="0"/>
        <v>6.2697796620290198E-3</v>
      </c>
      <c r="D64" s="16">
        <f t="shared" si="1"/>
        <v>3.4563202160967525E-2</v>
      </c>
    </row>
    <row r="65" spans="1:4" x14ac:dyDescent="0.2">
      <c r="A65" s="13">
        <v>35370</v>
      </c>
      <c r="B65" s="18">
        <f>VLOOKUP(A65,Database!A:K,MATCH($A$1,Database!$A$1:$K$1,),)</f>
        <v>33734</v>
      </c>
      <c r="C65" s="15">
        <f t="shared" si="0"/>
        <v>8.9010206503679088E-4</v>
      </c>
      <c r="D65" s="16">
        <f t="shared" si="1"/>
        <v>3.0234546787197655E-2</v>
      </c>
    </row>
    <row r="66" spans="1:4" x14ac:dyDescent="0.2">
      <c r="A66" s="14">
        <v>35400</v>
      </c>
      <c r="B66" s="18">
        <f>VLOOKUP(A66,Database!A:K,MATCH($A$1,Database!$A$1:$K$1,),)</f>
        <v>33819</v>
      </c>
      <c r="C66" s="15">
        <f t="shared" si="0"/>
        <v>2.5197130491492262E-3</v>
      </c>
      <c r="D66" s="16">
        <f t="shared" si="1"/>
        <v>2.7839406741026654E-2</v>
      </c>
    </row>
    <row r="67" spans="1:4" x14ac:dyDescent="0.2">
      <c r="A67" s="13">
        <v>35431</v>
      </c>
      <c r="B67" s="18">
        <f>VLOOKUP(A67,Database!A:K,MATCH($A$1,Database!$A$1:$K$1,),)</f>
        <v>34049</v>
      </c>
      <c r="C67" s="15">
        <f t="shared" si="0"/>
        <v>6.8009107306543663E-3</v>
      </c>
      <c r="D67" s="16">
        <f t="shared" si="1"/>
        <v>2.9137071180293184E-2</v>
      </c>
    </row>
    <row r="68" spans="1:4" x14ac:dyDescent="0.2">
      <c r="A68" s="14">
        <v>35462</v>
      </c>
      <c r="B68" s="18">
        <f>VLOOKUP(A68,Database!A:K,MATCH($A$1,Database!$A$1:$K$1,),)</f>
        <v>33989</v>
      </c>
      <c r="C68" s="15">
        <f t="shared" si="0"/>
        <v>-1.762166289758877E-3</v>
      </c>
      <c r="D68" s="16">
        <f t="shared" si="1"/>
        <v>3.2221817298347909E-2</v>
      </c>
    </row>
    <row r="69" spans="1:4" x14ac:dyDescent="0.2">
      <c r="A69" s="13">
        <v>35490</v>
      </c>
      <c r="B69" s="18">
        <f>VLOOKUP(A69,Database!A:K,MATCH($A$1,Database!$A$1:$K$1,),)</f>
        <v>34156</v>
      </c>
      <c r="C69" s="15">
        <f t="shared" si="0"/>
        <v>4.9133543205154605E-3</v>
      </c>
      <c r="D69" s="16">
        <f t="shared" si="1"/>
        <v>3.2652074011367757E-2</v>
      </c>
    </row>
    <row r="70" spans="1:4" x14ac:dyDescent="0.2">
      <c r="A70" s="14">
        <v>35521</v>
      </c>
      <c r="B70" s="18">
        <f>VLOOKUP(A70,Database!A:K,MATCH($A$1,Database!$A$1:$K$1,),)</f>
        <v>34056</v>
      </c>
      <c r="C70" s="15">
        <f t="shared" si="0"/>
        <v>-2.9277432954678533E-3</v>
      </c>
      <c r="D70" s="16">
        <f t="shared" si="1"/>
        <v>2.6587086272381984E-2</v>
      </c>
    </row>
    <row r="71" spans="1:4" x14ac:dyDescent="0.2">
      <c r="A71" s="13">
        <v>35551</v>
      </c>
      <c r="B71" s="18">
        <f>VLOOKUP(A71,Database!A:K,MATCH($A$1,Database!$A$1:$K$1,),)</f>
        <v>33978</v>
      </c>
      <c r="C71" s="15">
        <f t="shared" si="0"/>
        <v>-2.2903453136011278E-3</v>
      </c>
      <c r="D71" s="16">
        <f t="shared" si="1"/>
        <v>2.4112363614443307E-2</v>
      </c>
    </row>
    <row r="72" spans="1:4" x14ac:dyDescent="0.2">
      <c r="A72" s="14">
        <v>35582</v>
      </c>
      <c r="B72" s="18">
        <f>VLOOKUP(A72,Database!A:K,MATCH($A$1,Database!$A$1:$K$1,),)</f>
        <v>33892</v>
      </c>
      <c r="C72" s="15">
        <f t="shared" si="0"/>
        <v>-2.531049502619342E-3</v>
      </c>
      <c r="D72" s="16">
        <f t="shared" si="1"/>
        <v>1.8358823352663683E-2</v>
      </c>
    </row>
    <row r="73" spans="1:4" x14ac:dyDescent="0.2">
      <c r="A73" s="13">
        <v>35612</v>
      </c>
      <c r="B73" s="18">
        <f>VLOOKUP(A73,Database!A:K,MATCH($A$1,Database!$A$1:$K$1,),)</f>
        <v>34106</v>
      </c>
      <c r="C73" s="15">
        <f t="shared" ref="C73:C136" si="2">(B73-B72)/B72</f>
        <v>6.3141744364451791E-3</v>
      </c>
      <c r="D73" s="16">
        <f t="shared" si="1"/>
        <v>1.9002091425156856E-2</v>
      </c>
    </row>
    <row r="74" spans="1:4" x14ac:dyDescent="0.2">
      <c r="A74" s="14">
        <v>35643</v>
      </c>
      <c r="B74" s="18">
        <f>VLOOKUP(A74,Database!A:K,MATCH($A$1,Database!$A$1:$K$1,),)</f>
        <v>34256</v>
      </c>
      <c r="C74" s="15">
        <f t="shared" si="2"/>
        <v>4.3980531284817919E-3</v>
      </c>
      <c r="D74" s="16">
        <f t="shared" si="1"/>
        <v>2.128674497644744E-2</v>
      </c>
    </row>
    <row r="75" spans="1:4" x14ac:dyDescent="0.2">
      <c r="A75" s="13">
        <v>35674</v>
      </c>
      <c r="B75" s="18">
        <f>VLOOKUP(A75,Database!A:K,MATCH($A$1,Database!$A$1:$K$1,),)</f>
        <v>34281</v>
      </c>
      <c r="C75" s="15">
        <f t="shared" si="2"/>
        <v>7.297991592713685E-4</v>
      </c>
      <c r="D75" s="16">
        <f t="shared" si="1"/>
        <v>2.3496745685794469E-2</v>
      </c>
    </row>
    <row r="76" spans="1:4" x14ac:dyDescent="0.2">
      <c r="A76" s="14">
        <v>35704</v>
      </c>
      <c r="B76" s="18">
        <f>VLOOKUP(A76,Database!A:K,MATCH($A$1,Database!$A$1:$K$1,),)</f>
        <v>34348</v>
      </c>
      <c r="C76" s="15">
        <f t="shared" si="2"/>
        <v>1.9544354015343778E-3</v>
      </c>
      <c r="D76" s="16">
        <f t="shared" si="1"/>
        <v>1.9107524329456445E-2</v>
      </c>
    </row>
    <row r="77" spans="1:4" x14ac:dyDescent="0.2">
      <c r="A77" s="13">
        <v>35735</v>
      </c>
      <c r="B77" s="18">
        <f>VLOOKUP(A77,Database!A:K,MATCH($A$1,Database!$A$1:$K$1,),)</f>
        <v>34230</v>
      </c>
      <c r="C77" s="15">
        <f t="shared" si="2"/>
        <v>-3.4354256434144638E-3</v>
      </c>
      <c r="D77" s="16">
        <f t="shared" si="1"/>
        <v>1.4703266733859015E-2</v>
      </c>
    </row>
    <row r="78" spans="1:4" x14ac:dyDescent="0.2">
      <c r="A78" s="14">
        <v>35765</v>
      </c>
      <c r="B78" s="18">
        <f>VLOOKUP(A78,Database!A:K,MATCH($A$1,Database!$A$1:$K$1,),)</f>
        <v>34190</v>
      </c>
      <c r="C78" s="15">
        <f t="shared" si="2"/>
        <v>-1.1685655857434998E-3</v>
      </c>
      <c r="D78" s="16">
        <f t="shared" si="1"/>
        <v>1.0970164700316391E-2</v>
      </c>
    </row>
    <row r="79" spans="1:4" x14ac:dyDescent="0.2">
      <c r="A79" s="13">
        <v>35796</v>
      </c>
      <c r="B79" s="18">
        <f>VLOOKUP(A79,Database!A:K,MATCH($A$1,Database!$A$1:$K$1,),)</f>
        <v>34126</v>
      </c>
      <c r="C79" s="15">
        <f t="shared" si="2"/>
        <v>-1.8718923661889442E-3</v>
      </c>
      <c r="D79" s="16">
        <f t="shared" si="1"/>
        <v>2.2614467385238921E-3</v>
      </c>
    </row>
    <row r="80" spans="1:4" x14ac:dyDescent="0.2">
      <c r="A80" s="14">
        <v>35827</v>
      </c>
      <c r="B80" s="18">
        <f>VLOOKUP(A80,Database!A:K,MATCH($A$1,Database!$A$1:$K$1,),)</f>
        <v>34102</v>
      </c>
      <c r="C80" s="15">
        <f t="shared" si="2"/>
        <v>-7.03276094473422E-4</v>
      </c>
      <c r="D80" s="16">
        <f t="shared" si="1"/>
        <v>3.3246050192709408E-3</v>
      </c>
    </row>
    <row r="81" spans="1:4" x14ac:dyDescent="0.2">
      <c r="A81" s="13">
        <v>35855</v>
      </c>
      <c r="B81" s="18">
        <f>VLOOKUP(A81,Database!A:K,MATCH($A$1,Database!$A$1:$K$1,),)</f>
        <v>34275</v>
      </c>
      <c r="C81" s="15">
        <f t="shared" si="2"/>
        <v>5.0730162453815029E-3</v>
      </c>
      <c r="D81" s="16">
        <f t="shared" si="1"/>
        <v>3.4840145216067453E-3</v>
      </c>
    </row>
    <row r="82" spans="1:4" x14ac:dyDescent="0.2">
      <c r="A82" s="14">
        <v>35886</v>
      </c>
      <c r="B82" s="18">
        <f>VLOOKUP(A82,Database!A:K,MATCH($A$1,Database!$A$1:$K$1,),)</f>
        <v>34374</v>
      </c>
      <c r="C82" s="15">
        <f t="shared" si="2"/>
        <v>2.888402625820569E-3</v>
      </c>
      <c r="D82" s="16">
        <f t="shared" si="1"/>
        <v>9.337561663143059E-3</v>
      </c>
    </row>
    <row r="83" spans="1:4" x14ac:dyDescent="0.2">
      <c r="A83" s="13">
        <v>35916</v>
      </c>
      <c r="B83" s="18">
        <f>VLOOKUP(A83,Database!A:K,MATCH($A$1,Database!$A$1:$K$1,),)</f>
        <v>34534</v>
      </c>
      <c r="C83" s="15">
        <f t="shared" si="2"/>
        <v>4.6546808634432999E-3</v>
      </c>
      <c r="D83" s="16">
        <f t="shared" si="1"/>
        <v>1.6363529342515747E-2</v>
      </c>
    </row>
    <row r="84" spans="1:4" x14ac:dyDescent="0.2">
      <c r="A84" s="14">
        <v>35947</v>
      </c>
      <c r="B84" s="18">
        <f>VLOOKUP(A84,Database!A:K,MATCH($A$1,Database!$A$1:$K$1,),)</f>
        <v>34592</v>
      </c>
      <c r="C84" s="15">
        <f t="shared" si="2"/>
        <v>1.6795042566745816E-3</v>
      </c>
      <c r="D84" s="16">
        <f t="shared" ref="D84:D147" si="3">(B84-B72)/B72</f>
        <v>2.0653841614540303E-2</v>
      </c>
    </row>
    <row r="85" spans="1:4" x14ac:dyDescent="0.2">
      <c r="A85" s="13">
        <v>35977</v>
      </c>
      <c r="B85" s="18">
        <f>VLOOKUP(A85,Database!A:K,MATCH($A$1,Database!$A$1:$K$1,),)</f>
        <v>34856</v>
      </c>
      <c r="C85" s="15">
        <f t="shared" si="2"/>
        <v>7.6318223866790012E-3</v>
      </c>
      <c r="D85" s="16">
        <f t="shared" si="3"/>
        <v>2.1990265642408961E-2</v>
      </c>
    </row>
    <row r="86" spans="1:4" x14ac:dyDescent="0.2">
      <c r="A86" s="14">
        <v>36008</v>
      </c>
      <c r="B86" s="18">
        <f>VLOOKUP(A86,Database!A:K,MATCH($A$1,Database!$A$1:$K$1,),)</f>
        <v>34950</v>
      </c>
      <c r="C86" s="15">
        <f t="shared" si="2"/>
        <v>2.6968097314666053E-3</v>
      </c>
      <c r="D86" s="16">
        <f t="shared" si="3"/>
        <v>2.0259224661373192E-2</v>
      </c>
    </row>
    <row r="87" spans="1:4" x14ac:dyDescent="0.2">
      <c r="A87" s="13">
        <v>36039</v>
      </c>
      <c r="B87" s="18">
        <f>VLOOKUP(A87,Database!A:K,MATCH($A$1,Database!$A$1:$K$1,),)</f>
        <v>34916</v>
      </c>
      <c r="C87" s="15">
        <f t="shared" si="2"/>
        <v>-9.7281831187410583E-4</v>
      </c>
      <c r="D87" s="16">
        <f t="shared" si="3"/>
        <v>1.8523380298124326E-2</v>
      </c>
    </row>
    <row r="88" spans="1:4" x14ac:dyDescent="0.2">
      <c r="A88" s="14">
        <v>36069</v>
      </c>
      <c r="B88" s="18">
        <f>VLOOKUP(A88,Database!A:K,MATCH($A$1,Database!$A$1:$K$1,),)</f>
        <v>35093</v>
      </c>
      <c r="C88" s="15">
        <f t="shared" si="2"/>
        <v>5.0693091992209879E-3</v>
      </c>
      <c r="D88" s="16">
        <f t="shared" si="3"/>
        <v>2.1689763596133692E-2</v>
      </c>
    </row>
    <row r="89" spans="1:4" x14ac:dyDescent="0.2">
      <c r="A89" s="13">
        <v>36100</v>
      </c>
      <c r="B89" s="18">
        <f>VLOOKUP(A89,Database!A:K,MATCH($A$1,Database!$A$1:$K$1,),)</f>
        <v>35140</v>
      </c>
      <c r="C89" s="15">
        <f t="shared" si="2"/>
        <v>1.3392984355854443E-3</v>
      </c>
      <c r="D89" s="16">
        <f t="shared" si="3"/>
        <v>2.6584867075664622E-2</v>
      </c>
    </row>
    <row r="90" spans="1:4" x14ac:dyDescent="0.2">
      <c r="A90" s="14">
        <v>36130</v>
      </c>
      <c r="B90" s="18">
        <f>VLOOKUP(A90,Database!A:K,MATCH($A$1,Database!$A$1:$K$1,),)</f>
        <v>35533</v>
      </c>
      <c r="C90" s="15">
        <f t="shared" si="2"/>
        <v>1.118383608423449E-2</v>
      </c>
      <c r="D90" s="16">
        <f t="shared" si="3"/>
        <v>3.9280491371746128E-2</v>
      </c>
    </row>
    <row r="91" spans="1:4" x14ac:dyDescent="0.2">
      <c r="A91" s="13">
        <v>36161</v>
      </c>
      <c r="B91" s="18">
        <f>VLOOKUP(A91,Database!A:K,MATCH($A$1,Database!$A$1:$K$1,),)</f>
        <v>35447</v>
      </c>
      <c r="C91" s="15">
        <f t="shared" si="2"/>
        <v>-2.4202853685306616E-3</v>
      </c>
      <c r="D91" s="16">
        <f t="shared" si="3"/>
        <v>3.8709488366641273E-2</v>
      </c>
    </row>
    <row r="92" spans="1:4" x14ac:dyDescent="0.2">
      <c r="A92" s="14">
        <v>36192</v>
      </c>
      <c r="B92" s="18">
        <f>VLOOKUP(A92,Database!A:K,MATCH($A$1,Database!$A$1:$K$1,),)</f>
        <v>35707</v>
      </c>
      <c r="C92" s="15">
        <f t="shared" si="2"/>
        <v>7.3348943493102376E-3</v>
      </c>
      <c r="D92" s="16">
        <f t="shared" si="3"/>
        <v>4.7064688288076945E-2</v>
      </c>
    </row>
    <row r="93" spans="1:4" x14ac:dyDescent="0.2">
      <c r="A93" s="13">
        <v>36220</v>
      </c>
      <c r="B93" s="18">
        <f>VLOOKUP(A93,Database!A:K,MATCH($A$1,Database!$A$1:$K$1,),)</f>
        <v>35652</v>
      </c>
      <c r="C93" s="15">
        <f t="shared" si="2"/>
        <v>-1.5403142241017167E-3</v>
      </c>
      <c r="D93" s="16">
        <f t="shared" si="3"/>
        <v>4.0175054704595189E-2</v>
      </c>
    </row>
    <row r="94" spans="1:4" x14ac:dyDescent="0.2">
      <c r="A94" s="14">
        <v>36251</v>
      </c>
      <c r="B94" s="18">
        <f>VLOOKUP(A94,Database!A:K,MATCH($A$1,Database!$A$1:$K$1,),)</f>
        <v>36013</v>
      </c>
      <c r="C94" s="15">
        <f t="shared" si="2"/>
        <v>1.0125659149556827E-2</v>
      </c>
      <c r="D94" s="16">
        <f t="shared" si="3"/>
        <v>4.7681387094897304E-2</v>
      </c>
    </row>
    <row r="95" spans="1:4" x14ac:dyDescent="0.2">
      <c r="A95" s="13">
        <v>36281</v>
      </c>
      <c r="B95" s="18">
        <f>VLOOKUP(A95,Database!A:K,MATCH($A$1,Database!$A$1:$K$1,),)</f>
        <v>36060</v>
      </c>
      <c r="C95" s="15">
        <f t="shared" si="2"/>
        <v>1.3050842751228724E-3</v>
      </c>
      <c r="D95" s="16">
        <f t="shared" si="3"/>
        <v>4.4188336132507097E-2</v>
      </c>
    </row>
    <row r="96" spans="1:4" x14ac:dyDescent="0.2">
      <c r="A96" s="14">
        <v>36312</v>
      </c>
      <c r="B96" s="18">
        <f>VLOOKUP(A96,Database!A:K,MATCH($A$1,Database!$A$1:$K$1,),)</f>
        <v>35872</v>
      </c>
      <c r="C96" s="15">
        <f t="shared" si="2"/>
        <v>-5.2135330005546312E-3</v>
      </c>
      <c r="D96" s="16">
        <f t="shared" si="3"/>
        <v>3.7002775208140611E-2</v>
      </c>
    </row>
    <row r="97" spans="1:4" x14ac:dyDescent="0.2">
      <c r="A97" s="13">
        <v>36342</v>
      </c>
      <c r="B97" s="18">
        <f>VLOOKUP(A97,Database!A:K,MATCH($A$1,Database!$A$1:$K$1,),)</f>
        <v>36126</v>
      </c>
      <c r="C97" s="15">
        <f t="shared" si="2"/>
        <v>7.080731489741302E-3</v>
      </c>
      <c r="D97" s="16">
        <f t="shared" si="3"/>
        <v>3.6435620840027542E-2</v>
      </c>
    </row>
    <row r="98" spans="1:4" x14ac:dyDescent="0.2">
      <c r="A98" s="14">
        <v>36373</v>
      </c>
      <c r="B98" s="18">
        <f>VLOOKUP(A98,Database!A:K,MATCH($A$1,Database!$A$1:$K$1,),)</f>
        <v>36117</v>
      </c>
      <c r="C98" s="15">
        <f t="shared" si="2"/>
        <v>-2.4912805181863477E-4</v>
      </c>
      <c r="D98" s="16">
        <f t="shared" si="3"/>
        <v>3.3390557939914162E-2</v>
      </c>
    </row>
    <row r="99" spans="1:4" x14ac:dyDescent="0.2">
      <c r="A99" s="13">
        <v>36404</v>
      </c>
      <c r="B99" s="18">
        <f>VLOOKUP(A99,Database!A:K,MATCH($A$1,Database!$A$1:$K$1,),)</f>
        <v>36411</v>
      </c>
      <c r="C99" s="15">
        <f t="shared" si="2"/>
        <v>8.1402109809784861E-3</v>
      </c>
      <c r="D99" s="16">
        <f t="shared" si="3"/>
        <v>4.2817046626188564E-2</v>
      </c>
    </row>
    <row r="100" spans="1:4" x14ac:dyDescent="0.2">
      <c r="A100" s="14">
        <v>36434</v>
      </c>
      <c r="B100" s="18">
        <f>VLOOKUP(A100,Database!A:K,MATCH($A$1,Database!$A$1:$K$1,),)</f>
        <v>36271</v>
      </c>
      <c r="C100" s="15">
        <f t="shared" si="2"/>
        <v>-3.8449918980527861E-3</v>
      </c>
      <c r="D100" s="16">
        <f t="shared" si="3"/>
        <v>3.3567948023822416E-2</v>
      </c>
    </row>
    <row r="101" spans="1:4" x14ac:dyDescent="0.2">
      <c r="A101" s="13">
        <v>36465</v>
      </c>
      <c r="B101" s="18">
        <f>VLOOKUP(A101,Database!A:K,MATCH($A$1,Database!$A$1:$K$1,),)</f>
        <v>36300</v>
      </c>
      <c r="C101" s="15">
        <f t="shared" si="2"/>
        <v>7.9953682004907497E-4</v>
      </c>
      <c r="D101" s="16">
        <f t="shared" si="3"/>
        <v>3.3010813887307915E-2</v>
      </c>
    </row>
    <row r="102" spans="1:4" x14ac:dyDescent="0.2">
      <c r="A102" s="14">
        <v>36495</v>
      </c>
      <c r="B102" s="18">
        <f>VLOOKUP(A102,Database!A:K,MATCH($A$1,Database!$A$1:$K$1,),)</f>
        <v>37665</v>
      </c>
      <c r="C102" s="15">
        <f t="shared" si="2"/>
        <v>3.7603305785123969E-2</v>
      </c>
      <c r="D102" s="16">
        <f t="shared" si="3"/>
        <v>6.0000562857062449E-2</v>
      </c>
    </row>
    <row r="103" spans="1:4" x14ac:dyDescent="0.2">
      <c r="A103" s="13">
        <v>36526</v>
      </c>
      <c r="B103" s="18">
        <f>VLOOKUP(A103,Database!A:K,MATCH($A$1,Database!$A$1:$K$1,),)</f>
        <v>35613</v>
      </c>
      <c r="C103" s="15">
        <f t="shared" si="2"/>
        <v>-5.4480286738351258E-2</v>
      </c>
      <c r="D103" s="16">
        <f t="shared" si="3"/>
        <v>4.6830479307134595E-3</v>
      </c>
    </row>
    <row r="104" spans="1:4" x14ac:dyDescent="0.2">
      <c r="A104" s="14">
        <v>36557</v>
      </c>
      <c r="B104" s="18">
        <f>VLOOKUP(A104,Database!A:K,MATCH($A$1,Database!$A$1:$K$1,),)</f>
        <v>35980</v>
      </c>
      <c r="C104" s="15">
        <f t="shared" si="2"/>
        <v>1.0305225619857916E-2</v>
      </c>
      <c r="D104" s="16">
        <f t="shared" si="3"/>
        <v>7.6455596941776127E-3</v>
      </c>
    </row>
    <row r="105" spans="1:4" x14ac:dyDescent="0.2">
      <c r="A105" s="13">
        <v>36586</v>
      </c>
      <c r="B105" s="18">
        <f>VLOOKUP(A105,Database!A:K,MATCH($A$1,Database!$A$1:$K$1,),)</f>
        <v>36559</v>
      </c>
      <c r="C105" s="15">
        <f t="shared" si="2"/>
        <v>1.6092273485269593E-2</v>
      </c>
      <c r="D105" s="16">
        <f t="shared" si="3"/>
        <v>2.5440368001795131E-2</v>
      </c>
    </row>
    <row r="106" spans="1:4" x14ac:dyDescent="0.2">
      <c r="A106" s="14">
        <v>36617</v>
      </c>
      <c r="B106" s="18">
        <f>VLOOKUP(A106,Database!A:K,MATCH($A$1,Database!$A$1:$K$1,),)</f>
        <v>37008</v>
      </c>
      <c r="C106" s="15">
        <f t="shared" si="2"/>
        <v>1.2281517546978857E-2</v>
      </c>
      <c r="D106" s="16">
        <f t="shared" si="3"/>
        <v>2.7628911781856551E-2</v>
      </c>
    </row>
    <row r="107" spans="1:4" x14ac:dyDescent="0.2">
      <c r="A107" s="13">
        <v>36647</v>
      </c>
      <c r="B107" s="18">
        <f>VLOOKUP(A107,Database!A:K,MATCH($A$1,Database!$A$1:$K$1,),)</f>
        <v>36717</v>
      </c>
      <c r="C107" s="15">
        <f t="shared" si="2"/>
        <v>-7.8631647211413747E-3</v>
      </c>
      <c r="D107" s="16">
        <f t="shared" si="3"/>
        <v>1.821963394342762E-2</v>
      </c>
    </row>
    <row r="108" spans="1:4" x14ac:dyDescent="0.2">
      <c r="A108" s="14">
        <v>36678</v>
      </c>
      <c r="B108" s="18">
        <f>VLOOKUP(A108,Database!A:K,MATCH($A$1,Database!$A$1:$K$1,),)</f>
        <v>37175</v>
      </c>
      <c r="C108" s="15">
        <f t="shared" si="2"/>
        <v>1.2473785984693739E-2</v>
      </c>
      <c r="D108" s="16">
        <f t="shared" si="3"/>
        <v>3.63235950044603E-2</v>
      </c>
    </row>
    <row r="109" spans="1:4" x14ac:dyDescent="0.2">
      <c r="A109" s="13">
        <v>36708</v>
      </c>
      <c r="B109" s="18">
        <f>VLOOKUP(A109,Database!A:K,MATCH($A$1,Database!$A$1:$K$1,),)</f>
        <v>37038</v>
      </c>
      <c r="C109" s="15">
        <f t="shared" si="2"/>
        <v>-3.6852723604572967E-3</v>
      </c>
      <c r="D109" s="16">
        <f t="shared" si="3"/>
        <v>2.5244975917621659E-2</v>
      </c>
    </row>
    <row r="110" spans="1:4" x14ac:dyDescent="0.2">
      <c r="A110" s="14">
        <v>36739</v>
      </c>
      <c r="B110" s="18">
        <f>VLOOKUP(A110,Database!A:K,MATCH($A$1,Database!$A$1:$K$1,),)</f>
        <v>37110</v>
      </c>
      <c r="C110" s="15">
        <f t="shared" si="2"/>
        <v>1.9439494573141099E-3</v>
      </c>
      <c r="D110" s="16">
        <f t="shared" si="3"/>
        <v>2.7493977905141624E-2</v>
      </c>
    </row>
    <row r="111" spans="1:4" x14ac:dyDescent="0.2">
      <c r="A111" s="13">
        <v>36770</v>
      </c>
      <c r="B111" s="18">
        <f>VLOOKUP(A111,Database!A:K,MATCH($A$1,Database!$A$1:$K$1,),)</f>
        <v>37308</v>
      </c>
      <c r="C111" s="15">
        <f t="shared" si="2"/>
        <v>5.3354890864995954E-3</v>
      </c>
      <c r="D111" s="16">
        <f t="shared" si="3"/>
        <v>2.4635412375381065E-2</v>
      </c>
    </row>
    <row r="112" spans="1:4" x14ac:dyDescent="0.2">
      <c r="A112" s="14">
        <v>36800</v>
      </c>
      <c r="B112" s="18">
        <f>VLOOKUP(A112,Database!A:K,MATCH($A$1,Database!$A$1:$K$1,),)</f>
        <v>37476</v>
      </c>
      <c r="C112" s="15">
        <f t="shared" si="2"/>
        <v>4.5030556449018981E-3</v>
      </c>
      <c r="D112" s="16">
        <f t="shared" si="3"/>
        <v>3.3222133384797771E-2</v>
      </c>
    </row>
    <row r="113" spans="1:4" x14ac:dyDescent="0.2">
      <c r="A113" s="13">
        <v>36831</v>
      </c>
      <c r="B113" s="18">
        <f>VLOOKUP(A113,Database!A:K,MATCH($A$1,Database!$A$1:$K$1,),)</f>
        <v>37700</v>
      </c>
      <c r="C113" s="15">
        <f t="shared" si="2"/>
        <v>5.9771587149108759E-3</v>
      </c>
      <c r="D113" s="16">
        <f t="shared" si="3"/>
        <v>3.8567493112947659E-2</v>
      </c>
    </row>
    <row r="114" spans="1:4" x14ac:dyDescent="0.2">
      <c r="A114" s="14">
        <v>36861</v>
      </c>
      <c r="B114" s="18">
        <f>VLOOKUP(A114,Database!A:K,MATCH($A$1,Database!$A$1:$K$1,),)</f>
        <v>38033</v>
      </c>
      <c r="C114" s="15">
        <f t="shared" si="2"/>
        <v>8.8328912466843507E-3</v>
      </c>
      <c r="D114" s="16">
        <f t="shared" si="3"/>
        <v>9.7703438205230322E-3</v>
      </c>
    </row>
    <row r="115" spans="1:4" x14ac:dyDescent="0.2">
      <c r="A115" s="13">
        <v>36892</v>
      </c>
      <c r="B115" s="18">
        <f>VLOOKUP(A115,Database!A:K,MATCH($A$1,Database!$A$1:$K$1,),)</f>
        <v>37903</v>
      </c>
      <c r="C115" s="15">
        <f t="shared" si="2"/>
        <v>-3.4180842952173112E-3</v>
      </c>
      <c r="D115" s="16">
        <f t="shared" si="3"/>
        <v>6.430236149720607E-2</v>
      </c>
    </row>
    <row r="116" spans="1:4" x14ac:dyDescent="0.2">
      <c r="A116" s="14">
        <v>36923</v>
      </c>
      <c r="B116" s="18">
        <f>VLOOKUP(A116,Database!A:K,MATCH($A$1,Database!$A$1:$K$1,),)</f>
        <v>38252</v>
      </c>
      <c r="C116" s="15">
        <f t="shared" si="2"/>
        <v>9.2077144289370236E-3</v>
      </c>
      <c r="D116" s="16">
        <f t="shared" si="3"/>
        <v>6.3146192329071704E-2</v>
      </c>
    </row>
    <row r="117" spans="1:4" x14ac:dyDescent="0.2">
      <c r="A117" s="13">
        <v>36951</v>
      </c>
      <c r="B117" s="18">
        <f>VLOOKUP(A117,Database!A:K,MATCH($A$1,Database!$A$1:$K$1,),)</f>
        <v>38133</v>
      </c>
      <c r="C117" s="15">
        <f t="shared" si="2"/>
        <v>-3.1109484471400187E-3</v>
      </c>
      <c r="D117" s="16">
        <f t="shared" si="3"/>
        <v>4.3053694028830108E-2</v>
      </c>
    </row>
    <row r="118" spans="1:4" x14ac:dyDescent="0.2">
      <c r="A118" s="14">
        <v>36982</v>
      </c>
      <c r="B118" s="18">
        <f>VLOOKUP(A118,Database!A:K,MATCH($A$1,Database!$A$1:$K$1,),)</f>
        <v>38369</v>
      </c>
      <c r="C118" s="15">
        <f t="shared" si="2"/>
        <v>6.1888652872839796E-3</v>
      </c>
      <c r="D118" s="16">
        <f t="shared" si="3"/>
        <v>3.677583225248595E-2</v>
      </c>
    </row>
    <row r="119" spans="1:4" x14ac:dyDescent="0.2">
      <c r="A119" s="13">
        <v>37012</v>
      </c>
      <c r="B119" s="18">
        <f>VLOOKUP(A119,Database!A:K,MATCH($A$1,Database!$A$1:$K$1,),)</f>
        <v>38439</v>
      </c>
      <c r="C119" s="15">
        <f t="shared" si="2"/>
        <v>1.8243894810915061E-3</v>
      </c>
      <c r="D119" s="16">
        <f t="shared" si="3"/>
        <v>4.6899256475202225E-2</v>
      </c>
    </row>
    <row r="120" spans="1:4" x14ac:dyDescent="0.2">
      <c r="A120" s="14">
        <v>37043</v>
      </c>
      <c r="B120" s="18">
        <f>VLOOKUP(A120,Database!A:K,MATCH($A$1,Database!$A$1:$K$1,),)</f>
        <v>38569</v>
      </c>
      <c r="C120" s="15">
        <f t="shared" si="2"/>
        <v>3.3819818413590363E-3</v>
      </c>
      <c r="D120" s="16">
        <f t="shared" si="3"/>
        <v>3.7498318762609277E-2</v>
      </c>
    </row>
    <row r="121" spans="1:4" x14ac:dyDescent="0.2">
      <c r="A121" s="13">
        <v>37073</v>
      </c>
      <c r="B121" s="18">
        <f>VLOOKUP(A121,Database!A:K,MATCH($A$1,Database!$A$1:$K$1,),)</f>
        <v>38506</v>
      </c>
      <c r="C121" s="15">
        <f t="shared" si="2"/>
        <v>-1.6334361793149939E-3</v>
      </c>
      <c r="D121" s="16">
        <f t="shared" si="3"/>
        <v>3.9634969490793238E-2</v>
      </c>
    </row>
    <row r="122" spans="1:4" x14ac:dyDescent="0.2">
      <c r="A122" s="14">
        <v>37104</v>
      </c>
      <c r="B122" s="18">
        <f>VLOOKUP(A122,Database!A:K,MATCH($A$1,Database!$A$1:$K$1,),)</f>
        <v>38738</v>
      </c>
      <c r="C122" s="15">
        <f t="shared" si="2"/>
        <v>6.0250350594712515E-3</v>
      </c>
      <c r="D122" s="16">
        <f t="shared" si="3"/>
        <v>4.3869576933441123E-2</v>
      </c>
    </row>
    <row r="123" spans="1:4" x14ac:dyDescent="0.2">
      <c r="A123" s="13">
        <v>37135</v>
      </c>
      <c r="B123" s="18">
        <f>VLOOKUP(A123,Database!A:K,MATCH($A$1,Database!$A$1:$K$1,),)</f>
        <v>38832</v>
      </c>
      <c r="C123" s="15">
        <f t="shared" si="2"/>
        <v>2.4265579018018482E-3</v>
      </c>
      <c r="D123" s="16">
        <f t="shared" si="3"/>
        <v>4.084914763589579E-2</v>
      </c>
    </row>
    <row r="124" spans="1:4" x14ac:dyDescent="0.2">
      <c r="A124" s="14">
        <v>37165</v>
      </c>
      <c r="B124" s="18">
        <f>VLOOKUP(A124,Database!A:K,MATCH($A$1,Database!$A$1:$K$1,),)</f>
        <v>38944</v>
      </c>
      <c r="C124" s="15">
        <f t="shared" si="2"/>
        <v>2.88421920065925E-3</v>
      </c>
      <c r="D124" s="16">
        <f t="shared" si="3"/>
        <v>3.9171736578076634E-2</v>
      </c>
    </row>
    <row r="125" spans="1:4" x14ac:dyDescent="0.2">
      <c r="A125" s="13">
        <v>37196</v>
      </c>
      <c r="B125" s="18">
        <f>VLOOKUP(A125,Database!A:K,MATCH($A$1,Database!$A$1:$K$1,),)</f>
        <v>39161</v>
      </c>
      <c r="C125" s="15">
        <f t="shared" si="2"/>
        <v>5.5721035332785543E-3</v>
      </c>
      <c r="D125" s="16">
        <f t="shared" si="3"/>
        <v>3.8753315649867372E-2</v>
      </c>
    </row>
    <row r="126" spans="1:4" x14ac:dyDescent="0.2">
      <c r="A126" s="14">
        <v>37226</v>
      </c>
      <c r="B126" s="18">
        <f>VLOOKUP(A126,Database!A:K,MATCH($A$1,Database!$A$1:$K$1,),)</f>
        <v>38996</v>
      </c>
      <c r="C126" s="15">
        <f t="shared" si="2"/>
        <v>-4.2133755522075532E-3</v>
      </c>
      <c r="D126" s="16">
        <f t="shared" si="3"/>
        <v>2.5320116740725158E-2</v>
      </c>
    </row>
    <row r="127" spans="1:4" x14ac:dyDescent="0.2">
      <c r="A127" s="13">
        <v>37257</v>
      </c>
      <c r="B127" s="18">
        <f>VLOOKUP(A127,Database!A:K,MATCH($A$1,Database!$A$1:$K$1,),)</f>
        <v>38833</v>
      </c>
      <c r="C127" s="15">
        <f t="shared" si="2"/>
        <v>-4.179915888809109E-3</v>
      </c>
      <c r="D127" s="16">
        <f t="shared" si="3"/>
        <v>2.4536316386565706E-2</v>
      </c>
    </row>
    <row r="128" spans="1:4" x14ac:dyDescent="0.2">
      <c r="A128" s="14">
        <v>37288</v>
      </c>
      <c r="B128" s="18">
        <f>VLOOKUP(A128,Database!A:K,MATCH($A$1,Database!$A$1:$K$1,),)</f>
        <v>38885</v>
      </c>
      <c r="C128" s="15">
        <f t="shared" si="2"/>
        <v>1.3390672881312285E-3</v>
      </c>
      <c r="D128" s="16">
        <f t="shared" si="3"/>
        <v>1.6548154344870857E-2</v>
      </c>
    </row>
    <row r="129" spans="1:4" x14ac:dyDescent="0.2">
      <c r="A129" s="13">
        <v>37316</v>
      </c>
      <c r="B129" s="18">
        <f>VLOOKUP(A129,Database!A:K,MATCH($A$1,Database!$A$1:$K$1,),)</f>
        <v>38913</v>
      </c>
      <c r="C129" s="15">
        <f t="shared" si="2"/>
        <v>7.2007200720072004E-4</v>
      </c>
      <c r="D129" s="16">
        <f t="shared" si="3"/>
        <v>2.0454724254582644E-2</v>
      </c>
    </row>
    <row r="130" spans="1:4" x14ac:dyDescent="0.2">
      <c r="A130" s="14">
        <v>37347</v>
      </c>
      <c r="B130" s="18">
        <f>VLOOKUP(A130,Database!A:K,MATCH($A$1,Database!$A$1:$K$1,),)</f>
        <v>38568</v>
      </c>
      <c r="C130" s="15">
        <f t="shared" si="2"/>
        <v>-8.8659316937784293E-3</v>
      </c>
      <c r="D130" s="16">
        <f t="shared" si="3"/>
        <v>5.1864786676744249E-3</v>
      </c>
    </row>
    <row r="131" spans="1:4" x14ac:dyDescent="0.2">
      <c r="A131" s="13">
        <v>37377</v>
      </c>
      <c r="B131" s="18">
        <f>VLOOKUP(A131,Database!A:K,MATCH($A$1,Database!$A$1:$K$1,),)</f>
        <v>38713</v>
      </c>
      <c r="C131" s="15">
        <f t="shared" si="2"/>
        <v>3.7595934453432899E-3</v>
      </c>
      <c r="D131" s="16">
        <f t="shared" si="3"/>
        <v>7.1281771117875075E-3</v>
      </c>
    </row>
    <row r="132" spans="1:4" x14ac:dyDescent="0.2">
      <c r="A132" s="14">
        <v>37408</v>
      </c>
      <c r="B132" s="18">
        <f>VLOOKUP(A132,Database!A:K,MATCH($A$1,Database!$A$1:$K$1,),)</f>
        <v>38723</v>
      </c>
      <c r="C132" s="15">
        <f t="shared" si="2"/>
        <v>2.5831116162529382E-4</v>
      </c>
      <c r="D132" s="16">
        <f t="shared" si="3"/>
        <v>3.9928439938810966E-3</v>
      </c>
    </row>
    <row r="133" spans="1:4" x14ac:dyDescent="0.2">
      <c r="A133" s="13">
        <v>37438</v>
      </c>
      <c r="B133" s="18">
        <f>VLOOKUP(A133,Database!A:K,MATCH($A$1,Database!$A$1:$K$1,),)</f>
        <v>38834</v>
      </c>
      <c r="C133" s="15">
        <f t="shared" si="2"/>
        <v>2.866513441623841E-3</v>
      </c>
      <c r="D133" s="16">
        <f t="shared" si="3"/>
        <v>8.5181530151145282E-3</v>
      </c>
    </row>
    <row r="134" spans="1:4" x14ac:dyDescent="0.2">
      <c r="A134" s="14">
        <v>37469</v>
      </c>
      <c r="B134" s="18">
        <f>VLOOKUP(A134,Database!A:K,MATCH($A$1,Database!$A$1:$K$1,),)</f>
        <v>38647</v>
      </c>
      <c r="C134" s="15">
        <f t="shared" si="2"/>
        <v>-4.815367976515425E-3</v>
      </c>
      <c r="D134" s="16">
        <f t="shared" si="3"/>
        <v>-2.3491145645102999E-3</v>
      </c>
    </row>
    <row r="135" spans="1:4" x14ac:dyDescent="0.2">
      <c r="A135" s="13">
        <v>37500</v>
      </c>
      <c r="B135" s="18">
        <f>VLOOKUP(A135,Database!A:K,MATCH($A$1,Database!$A$1:$K$1,),)</f>
        <v>38599</v>
      </c>
      <c r="C135" s="15">
        <f t="shared" si="2"/>
        <v>-1.2420110228478277E-3</v>
      </c>
      <c r="D135" s="16">
        <f t="shared" si="3"/>
        <v>-6.0002060156571901E-3</v>
      </c>
    </row>
    <row r="136" spans="1:4" x14ac:dyDescent="0.2">
      <c r="A136" s="14">
        <v>37530</v>
      </c>
      <c r="B136" s="18">
        <f>VLOOKUP(A136,Database!A:K,MATCH($A$1,Database!$A$1:$K$1,),)</f>
        <v>38693</v>
      </c>
      <c r="C136" s="15">
        <f t="shared" si="2"/>
        <v>2.4352962511982176E-3</v>
      </c>
      <c r="D136" s="16">
        <f t="shared" si="3"/>
        <v>-6.4451520131470832E-3</v>
      </c>
    </row>
    <row r="137" spans="1:4" x14ac:dyDescent="0.2">
      <c r="A137" s="13">
        <v>37561</v>
      </c>
      <c r="B137" s="18">
        <f>VLOOKUP(A137,Database!A:K,MATCH($A$1,Database!$A$1:$K$1,),)</f>
        <v>38886</v>
      </c>
      <c r="C137" s="15">
        <f t="shared" ref="C137:C200" si="4">(B137-B136)/B136</f>
        <v>4.9879823223838941E-3</v>
      </c>
      <c r="D137" s="16">
        <f t="shared" si="3"/>
        <v>-7.022292587012589E-3</v>
      </c>
    </row>
    <row r="138" spans="1:4" x14ac:dyDescent="0.2">
      <c r="A138" s="14">
        <v>37591</v>
      </c>
      <c r="B138" s="18">
        <f>VLOOKUP(A138,Database!A:K,MATCH($A$1,Database!$A$1:$K$1,),)</f>
        <v>39072</v>
      </c>
      <c r="C138" s="15">
        <f t="shared" si="4"/>
        <v>4.7832124672118502E-3</v>
      </c>
      <c r="D138" s="16">
        <f t="shared" si="3"/>
        <v>1.9489178377269463E-3</v>
      </c>
    </row>
    <row r="139" spans="1:4" x14ac:dyDescent="0.2">
      <c r="A139" s="13">
        <v>37622</v>
      </c>
      <c r="B139" s="18">
        <f>VLOOKUP(A139,Database!A:K,MATCH($A$1,Database!$A$1:$K$1,),)</f>
        <v>39412</v>
      </c>
      <c r="C139" s="15">
        <f t="shared" si="4"/>
        <v>8.7018837018837027E-3</v>
      </c>
      <c r="D139" s="16">
        <f t="shared" si="3"/>
        <v>1.490999922746118E-2</v>
      </c>
    </row>
    <row r="140" spans="1:4" x14ac:dyDescent="0.2">
      <c r="A140" s="14">
        <v>37653</v>
      </c>
      <c r="B140" s="18">
        <f>VLOOKUP(A140,Database!A:K,MATCH($A$1,Database!$A$1:$K$1,),)</f>
        <v>39285</v>
      </c>
      <c r="C140" s="15">
        <f t="shared" si="4"/>
        <v>-3.2223688216786767E-3</v>
      </c>
      <c r="D140" s="16">
        <f t="shared" si="3"/>
        <v>1.0286742960010286E-2</v>
      </c>
    </row>
    <row r="141" spans="1:4" x14ac:dyDescent="0.2">
      <c r="A141" s="13">
        <v>37681</v>
      </c>
      <c r="B141" s="18">
        <f>VLOOKUP(A141,Database!A:K,MATCH($A$1,Database!$A$1:$K$1,),)</f>
        <v>39318</v>
      </c>
      <c r="C141" s="15">
        <f t="shared" si="4"/>
        <v>8.4001527300496374E-4</v>
      </c>
      <c r="D141" s="16">
        <f t="shared" si="3"/>
        <v>1.0407832857913808E-2</v>
      </c>
    </row>
    <row r="142" spans="1:4" x14ac:dyDescent="0.2">
      <c r="A142" s="14">
        <v>37712</v>
      </c>
      <c r="B142" s="18">
        <f>VLOOKUP(A142,Database!A:K,MATCH($A$1,Database!$A$1:$K$1,),)</f>
        <v>39441</v>
      </c>
      <c r="C142" s="15">
        <f t="shared" si="4"/>
        <v>3.1283381657256221E-3</v>
      </c>
      <c r="D142" s="16">
        <f t="shared" si="3"/>
        <v>2.2635345364032358E-2</v>
      </c>
    </row>
    <row r="143" spans="1:4" x14ac:dyDescent="0.2">
      <c r="A143" s="13">
        <v>37742</v>
      </c>
      <c r="B143" s="18">
        <f>VLOOKUP(A143,Database!A:K,MATCH($A$1,Database!$A$1:$K$1,),)</f>
        <v>39019</v>
      </c>
      <c r="C143" s="15">
        <f t="shared" si="4"/>
        <v>-1.0699525874090414E-2</v>
      </c>
      <c r="D143" s="16">
        <f t="shared" si="3"/>
        <v>7.9043215457339916E-3</v>
      </c>
    </row>
    <row r="144" spans="1:4" x14ac:dyDescent="0.2">
      <c r="A144" s="14">
        <v>37773</v>
      </c>
      <c r="B144" s="18">
        <f>VLOOKUP(A144,Database!A:K,MATCH($A$1,Database!$A$1:$K$1,),)</f>
        <v>39480</v>
      </c>
      <c r="C144" s="15">
        <f t="shared" si="4"/>
        <v>1.1814756913298649E-2</v>
      </c>
      <c r="D144" s="16">
        <f t="shared" si="3"/>
        <v>1.9549105182966195E-2</v>
      </c>
    </row>
    <row r="145" spans="1:4" x14ac:dyDescent="0.2">
      <c r="A145" s="13">
        <v>37803</v>
      </c>
      <c r="B145" s="18">
        <f>VLOOKUP(A145,Database!A:K,MATCH($A$1,Database!$A$1:$K$1,),)</f>
        <v>39808</v>
      </c>
      <c r="C145" s="15">
        <f t="shared" si="4"/>
        <v>8.3080040526849041E-3</v>
      </c>
      <c r="D145" s="16">
        <f t="shared" si="3"/>
        <v>2.5081114487304938E-2</v>
      </c>
    </row>
    <row r="146" spans="1:4" x14ac:dyDescent="0.2">
      <c r="A146" s="14">
        <v>37834</v>
      </c>
      <c r="B146" s="18">
        <f>VLOOKUP(A146,Database!A:K,MATCH($A$1,Database!$A$1:$K$1,),)</f>
        <v>39833</v>
      </c>
      <c r="C146" s="15">
        <f t="shared" si="4"/>
        <v>6.2801446945337622E-4</v>
      </c>
      <c r="D146" s="16">
        <f t="shared" si="3"/>
        <v>3.068802235619841E-2</v>
      </c>
    </row>
    <row r="147" spans="1:4" x14ac:dyDescent="0.2">
      <c r="A147" s="13">
        <v>37865</v>
      </c>
      <c r="B147" s="18">
        <f>VLOOKUP(A147,Database!A:K,MATCH($A$1,Database!$A$1:$K$1,),)</f>
        <v>39878</v>
      </c>
      <c r="C147" s="15">
        <f t="shared" si="4"/>
        <v>1.1297165666658299E-3</v>
      </c>
      <c r="D147" s="16">
        <f t="shared" si="3"/>
        <v>3.3135573460452344E-2</v>
      </c>
    </row>
    <row r="148" spans="1:4" x14ac:dyDescent="0.2">
      <c r="A148" s="14">
        <v>37895</v>
      </c>
      <c r="B148" s="18">
        <f>VLOOKUP(A148,Database!A:K,MATCH($A$1,Database!$A$1:$K$1,),)</f>
        <v>39776</v>
      </c>
      <c r="C148" s="15">
        <f t="shared" si="4"/>
        <v>-2.557801293946537E-3</v>
      </c>
      <c r="D148" s="16">
        <f t="shared" ref="D148:D211" si="5">(B148-B136)/B136</f>
        <v>2.7989558834931382E-2</v>
      </c>
    </row>
    <row r="149" spans="1:4" x14ac:dyDescent="0.2">
      <c r="A149" s="13">
        <v>37926</v>
      </c>
      <c r="B149" s="18">
        <f>VLOOKUP(A149,Database!A:K,MATCH($A$1,Database!$A$1:$K$1,),)</f>
        <v>39631</v>
      </c>
      <c r="C149" s="15">
        <f t="shared" si="4"/>
        <v>-3.6454143201930813E-3</v>
      </c>
      <c r="D149" s="16">
        <f t="shared" si="5"/>
        <v>1.9158566064907678E-2</v>
      </c>
    </row>
    <row r="150" spans="1:4" x14ac:dyDescent="0.2">
      <c r="A150" s="14">
        <v>37956</v>
      </c>
      <c r="B150" s="18">
        <f>VLOOKUP(A150,Database!A:K,MATCH($A$1,Database!$A$1:$K$1,),)</f>
        <v>39809</v>
      </c>
      <c r="C150" s="15">
        <f t="shared" si="4"/>
        <v>4.491433473795766E-3</v>
      </c>
      <c r="D150" s="16">
        <f t="shared" si="5"/>
        <v>1.8862612612612614E-2</v>
      </c>
    </row>
    <row r="151" spans="1:4" x14ac:dyDescent="0.2">
      <c r="A151" s="13">
        <v>37987</v>
      </c>
      <c r="B151" s="18">
        <f>VLOOKUP(A151,Database!A:K,MATCH($A$1,Database!$A$1:$K$1,),)</f>
        <v>40443</v>
      </c>
      <c r="C151" s="15">
        <f t="shared" si="4"/>
        <v>1.5926046873822503E-2</v>
      </c>
      <c r="D151" s="16">
        <f t="shared" si="5"/>
        <v>2.6159545316147365E-2</v>
      </c>
    </row>
    <row r="152" spans="1:4" x14ac:dyDescent="0.2">
      <c r="A152" s="14">
        <v>38018</v>
      </c>
      <c r="B152" s="18">
        <f>VLOOKUP(A152,Database!A:K,MATCH($A$1,Database!$A$1:$K$1,),)</f>
        <v>39922</v>
      </c>
      <c r="C152" s="15">
        <f t="shared" si="4"/>
        <v>-1.2882328215018668E-2</v>
      </c>
      <c r="D152" s="16">
        <f t="shared" si="5"/>
        <v>1.6214840269823089E-2</v>
      </c>
    </row>
    <row r="153" spans="1:4" x14ac:dyDescent="0.2">
      <c r="A153" s="13">
        <v>38047</v>
      </c>
      <c r="B153" s="18">
        <f>VLOOKUP(A153,Database!A:K,MATCH($A$1,Database!$A$1:$K$1,),)</f>
        <v>40419</v>
      </c>
      <c r="C153" s="15">
        <f t="shared" si="4"/>
        <v>1.2449276088372326E-2</v>
      </c>
      <c r="D153" s="16">
        <f t="shared" si="5"/>
        <v>2.8002441629787884E-2</v>
      </c>
    </row>
    <row r="154" spans="1:4" x14ac:dyDescent="0.2">
      <c r="A154" s="14">
        <v>38078</v>
      </c>
      <c r="B154" s="18">
        <f>VLOOKUP(A154,Database!A:K,MATCH($A$1,Database!$A$1:$K$1,),)</f>
        <v>40399</v>
      </c>
      <c r="C154" s="15">
        <f t="shared" si="4"/>
        <v>-4.9481679408199116E-4</v>
      </c>
      <c r="D154" s="16">
        <f t="shared" si="5"/>
        <v>2.4289444993788191E-2</v>
      </c>
    </row>
    <row r="155" spans="1:4" x14ac:dyDescent="0.2">
      <c r="A155" s="13">
        <v>38108</v>
      </c>
      <c r="B155" s="18">
        <f>VLOOKUP(A155,Database!A:K,MATCH($A$1,Database!$A$1:$K$1,),)</f>
        <v>40635</v>
      </c>
      <c r="C155" s="15">
        <f t="shared" si="4"/>
        <v>5.8417287556622689E-3</v>
      </c>
      <c r="D155" s="16">
        <f t="shared" si="5"/>
        <v>4.141572054640047E-2</v>
      </c>
    </row>
    <row r="156" spans="1:4" x14ac:dyDescent="0.2">
      <c r="A156" s="14">
        <v>38139</v>
      </c>
      <c r="B156" s="18">
        <f>VLOOKUP(A156,Database!A:K,MATCH($A$1,Database!$A$1:$K$1,),)</f>
        <v>40608</v>
      </c>
      <c r="C156" s="15">
        <f t="shared" si="4"/>
        <v>-6.6445182724252495E-4</v>
      </c>
      <c r="D156" s="16">
        <f t="shared" si="5"/>
        <v>2.8571428571428571E-2</v>
      </c>
    </row>
    <row r="157" spans="1:4" x14ac:dyDescent="0.2">
      <c r="A157" s="13">
        <v>38169</v>
      </c>
      <c r="B157" s="18">
        <f>VLOOKUP(A157,Database!A:K,MATCH($A$1,Database!$A$1:$K$1,),)</f>
        <v>40631</v>
      </c>
      <c r="C157" s="15">
        <f t="shared" si="4"/>
        <v>5.6639085894405038E-4</v>
      </c>
      <c r="D157" s="16">
        <f t="shared" si="5"/>
        <v>2.0674236334405145E-2</v>
      </c>
    </row>
    <row r="158" spans="1:4" x14ac:dyDescent="0.2">
      <c r="A158" s="14">
        <v>38200</v>
      </c>
      <c r="B158" s="18">
        <f>VLOOKUP(A158,Database!A:K,MATCH($A$1,Database!$A$1:$K$1,),)</f>
        <v>40771</v>
      </c>
      <c r="C158" s="15">
        <f t="shared" si="4"/>
        <v>3.4456449508995595E-3</v>
      </c>
      <c r="D158" s="16">
        <f t="shared" si="5"/>
        <v>2.3548314211834408E-2</v>
      </c>
    </row>
    <row r="159" spans="1:4" x14ac:dyDescent="0.2">
      <c r="A159" s="13">
        <v>38231</v>
      </c>
      <c r="B159" s="18">
        <f>VLOOKUP(A159,Database!A:K,MATCH($A$1,Database!$A$1:$K$1,),)</f>
        <v>41045</v>
      </c>
      <c r="C159" s="15">
        <f t="shared" si="4"/>
        <v>6.7204630742439481E-3</v>
      </c>
      <c r="D159" s="16">
        <f t="shared" si="5"/>
        <v>2.9264255980741262E-2</v>
      </c>
    </row>
    <row r="160" spans="1:4" x14ac:dyDescent="0.2">
      <c r="A160" s="14">
        <v>38261</v>
      </c>
      <c r="B160" s="18">
        <f>VLOOKUP(A160,Database!A:K,MATCH($A$1,Database!$A$1:$K$1,),)</f>
        <v>41177</v>
      </c>
      <c r="C160" s="15">
        <f t="shared" si="4"/>
        <v>3.2159824582775002E-3</v>
      </c>
      <c r="D160" s="16">
        <f t="shared" si="5"/>
        <v>3.5222244569589702E-2</v>
      </c>
    </row>
    <row r="161" spans="1:4" x14ac:dyDescent="0.2">
      <c r="A161" s="13">
        <v>38292</v>
      </c>
      <c r="B161" s="18">
        <f>VLOOKUP(A161,Database!A:K,MATCH($A$1,Database!$A$1:$K$1,),)</f>
        <v>41404</v>
      </c>
      <c r="C161" s="15">
        <f t="shared" si="4"/>
        <v>5.5127862641766038E-3</v>
      </c>
      <c r="D161" s="16">
        <f t="shared" si="5"/>
        <v>4.4737705331684793E-2</v>
      </c>
    </row>
    <row r="162" spans="1:4" x14ac:dyDescent="0.2">
      <c r="A162" s="14">
        <v>38322</v>
      </c>
      <c r="B162" s="18">
        <f>VLOOKUP(A162,Database!A:K,MATCH($A$1,Database!$A$1:$K$1,),)</f>
        <v>41534</v>
      </c>
      <c r="C162" s="15">
        <f t="shared" si="4"/>
        <v>3.1397932566901749E-3</v>
      </c>
      <c r="D162" s="16">
        <f t="shared" si="5"/>
        <v>4.3331909869627469E-2</v>
      </c>
    </row>
    <row r="163" spans="1:4" x14ac:dyDescent="0.2">
      <c r="A163" s="13">
        <v>38353</v>
      </c>
      <c r="B163" s="18">
        <f>VLOOKUP(A163,Database!A:K,MATCH($A$1,Database!$A$1:$K$1,),)</f>
        <v>41691</v>
      </c>
      <c r="C163" s="15">
        <f t="shared" si="4"/>
        <v>3.7800356334569268E-3</v>
      </c>
      <c r="D163" s="16">
        <f t="shared" si="5"/>
        <v>3.0858244937319191E-2</v>
      </c>
    </row>
    <row r="164" spans="1:4" x14ac:dyDescent="0.2">
      <c r="A164" s="14">
        <v>38384</v>
      </c>
      <c r="B164" s="18">
        <f>VLOOKUP(A164,Database!A:K,MATCH($A$1,Database!$A$1:$K$1,),)</f>
        <v>41757</v>
      </c>
      <c r="C164" s="15">
        <f t="shared" si="4"/>
        <v>1.5830754839173922E-3</v>
      </c>
      <c r="D164" s="16">
        <f t="shared" si="5"/>
        <v>4.5964631030509497E-2</v>
      </c>
    </row>
    <row r="165" spans="1:4" x14ac:dyDescent="0.2">
      <c r="A165" s="13">
        <v>38412</v>
      </c>
      <c r="B165" s="18">
        <f>VLOOKUP(A165,Database!A:K,MATCH($A$1,Database!$A$1:$K$1,),)</f>
        <v>41800</v>
      </c>
      <c r="C165" s="15">
        <f t="shared" si="4"/>
        <v>1.0297674641377493E-3</v>
      </c>
      <c r="D165" s="16">
        <f t="shared" si="5"/>
        <v>3.416709963136149E-2</v>
      </c>
    </row>
    <row r="166" spans="1:4" x14ac:dyDescent="0.2">
      <c r="A166" s="14">
        <v>38443</v>
      </c>
      <c r="B166" s="18">
        <f>VLOOKUP(A166,Database!A:K,MATCH($A$1,Database!$A$1:$K$1,),)</f>
        <v>42283</v>
      </c>
      <c r="C166" s="15">
        <f t="shared" si="4"/>
        <v>1.1555023923444976E-2</v>
      </c>
      <c r="D166" s="16">
        <f t="shared" si="5"/>
        <v>4.6634817693507268E-2</v>
      </c>
    </row>
    <row r="167" spans="1:4" x14ac:dyDescent="0.2">
      <c r="A167" s="13">
        <v>38473</v>
      </c>
      <c r="B167" s="18">
        <f>VLOOKUP(A167,Database!A:K,MATCH($A$1,Database!$A$1:$K$1,),)</f>
        <v>42081</v>
      </c>
      <c r="C167" s="15">
        <f t="shared" si="4"/>
        <v>-4.7773336802024455E-3</v>
      </c>
      <c r="D167" s="16">
        <f t="shared" si="5"/>
        <v>3.5585086747877442E-2</v>
      </c>
    </row>
    <row r="168" spans="1:4" x14ac:dyDescent="0.2">
      <c r="A168" s="14">
        <v>38504</v>
      </c>
      <c r="B168" s="18">
        <f>VLOOKUP(A168,Database!A:K,MATCH($A$1,Database!$A$1:$K$1,),)</f>
        <v>42363</v>
      </c>
      <c r="C168" s="15">
        <f t="shared" si="4"/>
        <v>6.7013616596563767E-3</v>
      </c>
      <c r="D168" s="16">
        <f t="shared" si="5"/>
        <v>4.3218085106382982E-2</v>
      </c>
    </row>
    <row r="169" spans="1:4" x14ac:dyDescent="0.2">
      <c r="A169" s="13">
        <v>38534</v>
      </c>
      <c r="B169" s="18">
        <f>VLOOKUP(A169,Database!A:K,MATCH($A$1,Database!$A$1:$K$1,),)</f>
        <v>42184</v>
      </c>
      <c r="C169" s="15">
        <f t="shared" si="4"/>
        <v>-4.2253853598659208E-3</v>
      </c>
      <c r="D169" s="16">
        <f t="shared" si="5"/>
        <v>3.8222047205335827E-2</v>
      </c>
    </row>
    <row r="170" spans="1:4" x14ac:dyDescent="0.2">
      <c r="A170" s="14">
        <v>38565</v>
      </c>
      <c r="B170" s="18">
        <f>VLOOKUP(A170,Database!A:K,MATCH($A$1,Database!$A$1:$K$1,),)</f>
        <v>42542</v>
      </c>
      <c r="C170" s="15">
        <f t="shared" si="4"/>
        <v>8.4866300018964537E-3</v>
      </c>
      <c r="D170" s="16">
        <f t="shared" si="5"/>
        <v>4.3437737607613255E-2</v>
      </c>
    </row>
    <row r="171" spans="1:4" x14ac:dyDescent="0.2">
      <c r="A171" s="13">
        <v>38596</v>
      </c>
      <c r="B171" s="18">
        <f>VLOOKUP(A171,Database!A:K,MATCH($A$1,Database!$A$1:$K$1,),)</f>
        <v>42845</v>
      </c>
      <c r="C171" s="15">
        <f t="shared" si="4"/>
        <v>7.1223731841474304E-3</v>
      </c>
      <c r="D171" s="16">
        <f t="shared" si="5"/>
        <v>4.3854306249238639E-2</v>
      </c>
    </row>
    <row r="172" spans="1:4" x14ac:dyDescent="0.2">
      <c r="A172" s="14">
        <v>38626</v>
      </c>
      <c r="B172" s="18">
        <f>VLOOKUP(A172,Database!A:K,MATCH($A$1,Database!$A$1:$K$1,),)</f>
        <v>42842</v>
      </c>
      <c r="C172" s="15">
        <f t="shared" si="4"/>
        <v>-7.0019838954370406E-5</v>
      </c>
      <c r="D172" s="16">
        <f t="shared" si="5"/>
        <v>4.0435194404643368E-2</v>
      </c>
    </row>
    <row r="173" spans="1:4" x14ac:dyDescent="0.2">
      <c r="A173" s="13">
        <v>38657</v>
      </c>
      <c r="B173" s="18">
        <f>VLOOKUP(A173,Database!A:K,MATCH($A$1,Database!$A$1:$K$1,),)</f>
        <v>42823</v>
      </c>
      <c r="C173" s="15">
        <f t="shared" si="4"/>
        <v>-4.4349003314504459E-4</v>
      </c>
      <c r="D173" s="16">
        <f t="shared" si="5"/>
        <v>3.4272051009564292E-2</v>
      </c>
    </row>
    <row r="174" spans="1:4" x14ac:dyDescent="0.2">
      <c r="A174" s="14">
        <v>38687</v>
      </c>
      <c r="B174" s="18">
        <f>VLOOKUP(A174,Database!A:K,MATCH($A$1,Database!$A$1:$K$1,),)</f>
        <v>43191</v>
      </c>
      <c r="C174" s="15">
        <f t="shared" si="4"/>
        <v>8.5935128318894057E-3</v>
      </c>
      <c r="D174" s="16">
        <f t="shared" si="5"/>
        <v>3.989502576202629E-2</v>
      </c>
    </row>
    <row r="175" spans="1:4" x14ac:dyDescent="0.2">
      <c r="A175" s="13">
        <v>38718</v>
      </c>
      <c r="B175" s="18">
        <f>VLOOKUP(A175,Database!A:K,MATCH($A$1,Database!$A$1:$K$1,),)</f>
        <v>42681</v>
      </c>
      <c r="C175" s="15">
        <f t="shared" si="4"/>
        <v>-1.1808015558796972E-2</v>
      </c>
      <c r="D175" s="16">
        <f t="shared" si="5"/>
        <v>2.3746132258760884E-2</v>
      </c>
    </row>
    <row r="176" spans="1:4" x14ac:dyDescent="0.2">
      <c r="A176" s="14">
        <v>38749</v>
      </c>
      <c r="B176" s="18">
        <f>VLOOKUP(A176,Database!A:K,MATCH($A$1,Database!$A$1:$K$1,),)</f>
        <v>43379</v>
      </c>
      <c r="C176" s="15">
        <f t="shared" si="4"/>
        <v>1.6353881118061901E-2</v>
      </c>
      <c r="D176" s="16">
        <f t="shared" si="5"/>
        <v>3.8843786670498356E-2</v>
      </c>
    </row>
    <row r="177" spans="1:4" x14ac:dyDescent="0.2">
      <c r="A177" s="13">
        <v>38777</v>
      </c>
      <c r="B177" s="18">
        <f>VLOOKUP(A177,Database!A:K,MATCH($A$1,Database!$A$1:$K$1,),)</f>
        <v>43233</v>
      </c>
      <c r="C177" s="15">
        <f t="shared" si="4"/>
        <v>-3.3656838562438045E-3</v>
      </c>
      <c r="D177" s="16">
        <f t="shared" si="5"/>
        <v>3.4282296650717706E-2</v>
      </c>
    </row>
    <row r="178" spans="1:4" x14ac:dyDescent="0.2">
      <c r="A178" s="14">
        <v>38808</v>
      </c>
      <c r="B178" s="18">
        <f>VLOOKUP(A178,Database!A:K,MATCH($A$1,Database!$A$1:$K$1,),)</f>
        <v>43269</v>
      </c>
      <c r="C178" s="15">
        <f t="shared" si="4"/>
        <v>8.3269724515994722E-4</v>
      </c>
      <c r="D178" s="16">
        <f t="shared" si="5"/>
        <v>2.3319064399404017E-2</v>
      </c>
    </row>
    <row r="179" spans="1:4" x14ac:dyDescent="0.2">
      <c r="A179" s="13">
        <v>38838</v>
      </c>
      <c r="B179" s="18">
        <f>VLOOKUP(A179,Database!A:K,MATCH($A$1,Database!$A$1:$K$1,),)</f>
        <v>43654</v>
      </c>
      <c r="C179" s="15">
        <f t="shared" si="4"/>
        <v>8.897825232845687E-3</v>
      </c>
      <c r="D179" s="16">
        <f t="shared" si="5"/>
        <v>3.7380290392338582E-2</v>
      </c>
    </row>
    <row r="180" spans="1:4" x14ac:dyDescent="0.2">
      <c r="A180" s="14">
        <v>38869</v>
      </c>
      <c r="B180" s="18">
        <f>VLOOKUP(A180,Database!A:K,MATCH($A$1,Database!$A$1:$K$1,),)</f>
        <v>43782</v>
      </c>
      <c r="C180" s="15">
        <f t="shared" si="4"/>
        <v>2.9321482567462318E-3</v>
      </c>
      <c r="D180" s="16">
        <f t="shared" si="5"/>
        <v>3.3496211316479001E-2</v>
      </c>
    </row>
    <row r="181" spans="1:4" x14ac:dyDescent="0.2">
      <c r="A181" s="13">
        <v>38899</v>
      </c>
      <c r="B181" s="18">
        <f>VLOOKUP(A181,Database!A:K,MATCH($A$1,Database!$A$1:$K$1,),)</f>
        <v>43827</v>
      </c>
      <c r="C181" s="15">
        <f t="shared" si="4"/>
        <v>1.0278196519117446E-3</v>
      </c>
      <c r="D181" s="16">
        <f t="shared" si="5"/>
        <v>3.8948416461217522E-2</v>
      </c>
    </row>
    <row r="182" spans="1:4" x14ac:dyDescent="0.2">
      <c r="A182" s="14">
        <v>38930</v>
      </c>
      <c r="B182" s="18">
        <f>VLOOKUP(A182,Database!A:K,MATCH($A$1,Database!$A$1:$K$1,),)</f>
        <v>44160</v>
      </c>
      <c r="C182" s="15">
        <f t="shared" si="4"/>
        <v>7.5980559928811005E-3</v>
      </c>
      <c r="D182" s="16">
        <f t="shared" si="5"/>
        <v>3.8033002679704761E-2</v>
      </c>
    </row>
    <row r="183" spans="1:4" x14ac:dyDescent="0.2">
      <c r="A183" s="13">
        <v>38961</v>
      </c>
      <c r="B183" s="18">
        <f>VLOOKUP(A183,Database!A:K,MATCH($A$1,Database!$A$1:$K$1,),)</f>
        <v>43846</v>
      </c>
      <c r="C183" s="15">
        <f t="shared" si="4"/>
        <v>-7.1105072463768116E-3</v>
      </c>
      <c r="D183" s="16">
        <f t="shared" si="5"/>
        <v>2.3363286264441591E-2</v>
      </c>
    </row>
    <row r="184" spans="1:4" x14ac:dyDescent="0.2">
      <c r="A184" s="14">
        <v>38991</v>
      </c>
      <c r="B184" s="18">
        <f>VLOOKUP(A184,Database!A:K,MATCH($A$1,Database!$A$1:$K$1,),)</f>
        <v>44542</v>
      </c>
      <c r="C184" s="15">
        <f t="shared" si="4"/>
        <v>1.5873739907859327E-2</v>
      </c>
      <c r="D184" s="16">
        <f t="shared" si="5"/>
        <v>3.9680687176135571E-2</v>
      </c>
    </row>
    <row r="185" spans="1:4" x14ac:dyDescent="0.2">
      <c r="A185" s="13">
        <v>39022</v>
      </c>
      <c r="B185" s="18">
        <f>VLOOKUP(A185,Database!A:K,MATCH($A$1,Database!$A$1:$K$1,),)</f>
        <v>44572</v>
      </c>
      <c r="C185" s="15">
        <f t="shared" si="4"/>
        <v>6.735216200440034E-4</v>
      </c>
      <c r="D185" s="16">
        <f t="shared" si="5"/>
        <v>4.0842537888517855E-2</v>
      </c>
    </row>
    <row r="186" spans="1:4" x14ac:dyDescent="0.2">
      <c r="A186" s="14">
        <v>39052</v>
      </c>
      <c r="B186" s="18">
        <f>VLOOKUP(A186,Database!A:K,MATCH($A$1,Database!$A$1:$K$1,),)</f>
        <v>44730</v>
      </c>
      <c r="C186" s="15">
        <f t="shared" si="4"/>
        <v>3.544826348380149E-3</v>
      </c>
      <c r="D186" s="16">
        <f t="shared" si="5"/>
        <v>3.5632423421546155E-2</v>
      </c>
    </row>
    <row r="187" spans="1:4" x14ac:dyDescent="0.2">
      <c r="A187" s="13">
        <v>39083</v>
      </c>
      <c r="B187" s="18">
        <f>VLOOKUP(A187,Database!A:K,MATCH($A$1,Database!$A$1:$K$1,),)</f>
        <v>44856</v>
      </c>
      <c r="C187" s="15">
        <f t="shared" si="4"/>
        <v>2.8169014084507044E-3</v>
      </c>
      <c r="D187" s="16">
        <f t="shared" si="5"/>
        <v>5.0959443312012367E-2</v>
      </c>
    </row>
    <row r="188" spans="1:4" x14ac:dyDescent="0.2">
      <c r="A188" s="14">
        <v>39114</v>
      </c>
      <c r="B188" s="18">
        <f>VLOOKUP(A188,Database!A:K,MATCH($A$1,Database!$A$1:$K$1,),)</f>
        <v>45274</v>
      </c>
      <c r="C188" s="15">
        <f t="shared" si="4"/>
        <v>9.3187087569110046E-3</v>
      </c>
      <c r="D188" s="16">
        <f t="shared" si="5"/>
        <v>4.3684732243712394E-2</v>
      </c>
    </row>
    <row r="189" spans="1:4" x14ac:dyDescent="0.2">
      <c r="A189" s="13">
        <v>39142</v>
      </c>
      <c r="B189" s="18">
        <f>VLOOKUP(A189,Database!A:K,MATCH($A$1,Database!$A$1:$K$1,),)</f>
        <v>45271</v>
      </c>
      <c r="C189" s="15">
        <f t="shared" si="4"/>
        <v>-6.6263197420152843E-5</v>
      </c>
      <c r="D189" s="16">
        <f t="shared" si="5"/>
        <v>4.71399162676659E-2</v>
      </c>
    </row>
    <row r="190" spans="1:4" x14ac:dyDescent="0.2">
      <c r="A190" s="14">
        <v>39173</v>
      </c>
      <c r="B190" s="18">
        <f>VLOOKUP(A190,Database!A:K,MATCH($A$1,Database!$A$1:$K$1,),)</f>
        <v>44988</v>
      </c>
      <c r="C190" s="15">
        <f t="shared" si="4"/>
        <v>-6.2512425172847963E-3</v>
      </c>
      <c r="D190" s="16">
        <f t="shared" si="5"/>
        <v>3.9728211883796716E-2</v>
      </c>
    </row>
    <row r="191" spans="1:4" x14ac:dyDescent="0.2">
      <c r="A191" s="13">
        <v>39203</v>
      </c>
      <c r="B191" s="18">
        <f>VLOOKUP(A191,Database!A:K,MATCH($A$1,Database!$A$1:$K$1,),)</f>
        <v>45454</v>
      </c>
      <c r="C191" s="15">
        <f t="shared" si="4"/>
        <v>1.0358317773628523E-2</v>
      </c>
      <c r="D191" s="16">
        <f t="shared" si="5"/>
        <v>4.1233334860493881E-2</v>
      </c>
    </row>
    <row r="192" spans="1:4" x14ac:dyDescent="0.2">
      <c r="A192" s="14">
        <v>39234</v>
      </c>
      <c r="B192" s="18">
        <f>VLOOKUP(A192,Database!A:K,MATCH($A$1,Database!$A$1:$K$1,),)</f>
        <v>45627</v>
      </c>
      <c r="C192" s="15">
        <f t="shared" si="4"/>
        <v>3.8060456725480707E-3</v>
      </c>
      <c r="D192" s="16">
        <f t="shared" si="5"/>
        <v>4.2140605728381526E-2</v>
      </c>
    </row>
    <row r="193" spans="1:4" x14ac:dyDescent="0.2">
      <c r="A193" s="13">
        <v>39264</v>
      </c>
      <c r="B193" s="18">
        <f>VLOOKUP(A193,Database!A:K,MATCH($A$1,Database!$A$1:$K$1,),)</f>
        <v>45754</v>
      </c>
      <c r="C193" s="15">
        <f t="shared" si="4"/>
        <v>2.7834396300436145E-3</v>
      </c>
      <c r="D193" s="16">
        <f t="shared" si="5"/>
        <v>4.3968330024870515E-2</v>
      </c>
    </row>
    <row r="194" spans="1:4" x14ac:dyDescent="0.2">
      <c r="A194" s="14">
        <v>39295</v>
      </c>
      <c r="B194" s="18">
        <f>VLOOKUP(A194,Database!A:K,MATCH($A$1,Database!$A$1:$K$1,),)</f>
        <v>45643</v>
      </c>
      <c r="C194" s="15">
        <f t="shared" si="4"/>
        <v>-2.4260173973860207E-3</v>
      </c>
      <c r="D194" s="16">
        <f t="shared" si="5"/>
        <v>3.3582427536231883E-2</v>
      </c>
    </row>
    <row r="195" spans="1:4" x14ac:dyDescent="0.2">
      <c r="A195" s="13">
        <v>39326</v>
      </c>
      <c r="B195" s="18">
        <f>VLOOKUP(A195,Database!A:K,MATCH($A$1,Database!$A$1:$K$1,),)</f>
        <v>45853</v>
      </c>
      <c r="C195" s="15">
        <f t="shared" si="4"/>
        <v>4.6009245667462699E-3</v>
      </c>
      <c r="D195" s="16">
        <f t="shared" si="5"/>
        <v>4.5773844820508142E-2</v>
      </c>
    </row>
    <row r="196" spans="1:4" x14ac:dyDescent="0.2">
      <c r="A196" s="14">
        <v>39356</v>
      </c>
      <c r="B196" s="18">
        <f>VLOOKUP(A196,Database!A:K,MATCH($A$1,Database!$A$1:$K$1,),)</f>
        <v>46113</v>
      </c>
      <c r="C196" s="15">
        <f t="shared" si="4"/>
        <v>5.6702942010337385E-3</v>
      </c>
      <c r="D196" s="16">
        <f t="shared" si="5"/>
        <v>3.5270082169637645E-2</v>
      </c>
    </row>
    <row r="197" spans="1:4" x14ac:dyDescent="0.2">
      <c r="A197" s="13">
        <v>39387</v>
      </c>
      <c r="B197" s="18">
        <f>VLOOKUP(A197,Database!A:K,MATCH($A$1,Database!$A$1:$K$1,),)</f>
        <v>46624</v>
      </c>
      <c r="C197" s="15">
        <f t="shared" si="4"/>
        <v>1.108147377095396E-2</v>
      </c>
      <c r="D197" s="16">
        <f t="shared" si="5"/>
        <v>4.6037871309342185E-2</v>
      </c>
    </row>
    <row r="198" spans="1:4" x14ac:dyDescent="0.2">
      <c r="A198" s="14">
        <v>39417</v>
      </c>
      <c r="B198" s="18">
        <f>VLOOKUP(A198,Database!A:K,MATCH($A$1,Database!$A$1:$K$1,),)</f>
        <v>46831</v>
      </c>
      <c r="C198" s="15">
        <f t="shared" si="4"/>
        <v>4.4397735072065885E-3</v>
      </c>
      <c r="D198" s="16">
        <f t="shared" si="5"/>
        <v>4.6970713167896264E-2</v>
      </c>
    </row>
    <row r="199" spans="1:4" x14ac:dyDescent="0.2">
      <c r="A199" s="13">
        <v>39448</v>
      </c>
      <c r="B199" s="18">
        <f>VLOOKUP(A199,Database!A:K,MATCH($A$1,Database!$A$1:$K$1,),)</f>
        <v>46862</v>
      </c>
      <c r="C199" s="15">
        <f t="shared" si="4"/>
        <v>6.6195468813392839E-4</v>
      </c>
      <c r="D199" s="16">
        <f t="shared" si="5"/>
        <v>4.4720884608525059E-2</v>
      </c>
    </row>
    <row r="200" spans="1:4" x14ac:dyDescent="0.2">
      <c r="A200" s="14">
        <v>39479</v>
      </c>
      <c r="B200" s="18">
        <f>VLOOKUP(A200,Database!A:K,MATCH($A$1,Database!$A$1:$K$1,),)</f>
        <v>46707</v>
      </c>
      <c r="C200" s="15">
        <f t="shared" si="4"/>
        <v>-3.3075839699543341E-3</v>
      </c>
      <c r="D200" s="16">
        <f t="shared" si="5"/>
        <v>3.1651720634359677E-2</v>
      </c>
    </row>
    <row r="201" spans="1:4" x14ac:dyDescent="0.2">
      <c r="A201" s="13">
        <v>39508</v>
      </c>
      <c r="B201" s="18">
        <f>VLOOKUP(A201,Database!A:K,MATCH($A$1,Database!$A$1:$K$1,),)</f>
        <v>46883</v>
      </c>
      <c r="C201" s="15">
        <f t="shared" ref="C201:C264" si="6">(B201-B200)/B200</f>
        <v>3.7681717943777162E-3</v>
      </c>
      <c r="D201" s="16">
        <f t="shared" si="5"/>
        <v>3.5607784232731768E-2</v>
      </c>
    </row>
    <row r="202" spans="1:4" x14ac:dyDescent="0.2">
      <c r="A202" s="14">
        <v>39539</v>
      </c>
      <c r="B202" s="18">
        <f>VLOOKUP(A202,Database!A:K,MATCH($A$1,Database!$A$1:$K$1,),)</f>
        <v>47356</v>
      </c>
      <c r="C202" s="15">
        <f t="shared" si="6"/>
        <v>1.008894482008404E-2</v>
      </c>
      <c r="D202" s="16">
        <f t="shared" si="5"/>
        <v>5.2636258557837642E-2</v>
      </c>
    </row>
    <row r="203" spans="1:4" x14ac:dyDescent="0.2">
      <c r="A203" s="13">
        <v>39569</v>
      </c>
      <c r="B203" s="18">
        <f>VLOOKUP(A203,Database!A:K,MATCH($A$1,Database!$A$1:$K$1,),)</f>
        <v>47355</v>
      </c>
      <c r="C203" s="15">
        <f t="shared" si="6"/>
        <v>-2.1116648365571416E-5</v>
      </c>
      <c r="D203" s="16">
        <f t="shared" si="5"/>
        <v>4.1822501870022441E-2</v>
      </c>
    </row>
    <row r="204" spans="1:4" x14ac:dyDescent="0.2">
      <c r="A204" s="14">
        <v>39600</v>
      </c>
      <c r="B204" s="18">
        <f>VLOOKUP(A204,Database!A:K,MATCH($A$1,Database!$A$1:$K$1,),)</f>
        <v>47568</v>
      </c>
      <c r="C204" s="15">
        <f t="shared" si="6"/>
        <v>4.497941083306937E-3</v>
      </c>
      <c r="D204" s="16">
        <f t="shared" si="5"/>
        <v>4.2540600959957917E-2</v>
      </c>
    </row>
    <row r="205" spans="1:4" x14ac:dyDescent="0.2">
      <c r="A205" s="13">
        <v>39630</v>
      </c>
      <c r="B205" s="18">
        <f>VLOOKUP(A205,Database!A:K,MATCH($A$1,Database!$A$1:$K$1,),)</f>
        <v>47845</v>
      </c>
      <c r="C205" s="15">
        <f t="shared" si="6"/>
        <v>5.8232425159771275E-3</v>
      </c>
      <c r="D205" s="16">
        <f t="shared" si="5"/>
        <v>4.5700922323731255E-2</v>
      </c>
    </row>
    <row r="206" spans="1:4" x14ac:dyDescent="0.2">
      <c r="A206" s="14">
        <v>39661</v>
      </c>
      <c r="B206" s="18">
        <f>VLOOKUP(A206,Database!A:K,MATCH($A$1,Database!$A$1:$K$1,),)</f>
        <v>47988</v>
      </c>
      <c r="C206" s="15">
        <f t="shared" si="6"/>
        <v>2.9888180583133033E-3</v>
      </c>
      <c r="D206" s="16">
        <f t="shared" si="5"/>
        <v>5.1376990995333348E-2</v>
      </c>
    </row>
    <row r="207" spans="1:4" x14ac:dyDescent="0.2">
      <c r="A207" s="13">
        <v>39692</v>
      </c>
      <c r="B207" s="18">
        <f>VLOOKUP(A207,Database!A:K,MATCH($A$1,Database!$A$1:$K$1,),)</f>
        <v>47740</v>
      </c>
      <c r="C207" s="15">
        <f t="shared" si="6"/>
        <v>-5.1679586563307496E-3</v>
      </c>
      <c r="D207" s="16">
        <f t="shared" si="5"/>
        <v>4.1153250605194862E-2</v>
      </c>
    </row>
    <row r="208" spans="1:4" x14ac:dyDescent="0.2">
      <c r="A208" s="14">
        <v>39722</v>
      </c>
      <c r="B208" s="18">
        <f>VLOOKUP(A208,Database!A:K,MATCH($A$1,Database!$A$1:$K$1,),)</f>
        <v>47703</v>
      </c>
      <c r="C208" s="15">
        <f t="shared" si="6"/>
        <v>-7.7503142019271051E-4</v>
      </c>
      <c r="D208" s="16">
        <f t="shared" si="5"/>
        <v>3.4480515256001563E-2</v>
      </c>
    </row>
    <row r="209" spans="1:4" x14ac:dyDescent="0.2">
      <c r="A209" s="13">
        <v>39753</v>
      </c>
      <c r="B209" s="18">
        <f>VLOOKUP(A209,Database!A:K,MATCH($A$1,Database!$A$1:$K$1,),)</f>
        <v>47363</v>
      </c>
      <c r="C209" s="15">
        <f t="shared" si="6"/>
        <v>-7.1274343332704444E-3</v>
      </c>
      <c r="D209" s="16">
        <f t="shared" si="5"/>
        <v>1.5850205902539466E-2</v>
      </c>
    </row>
    <row r="210" spans="1:4" x14ac:dyDescent="0.2">
      <c r="A210" s="14">
        <v>39783</v>
      </c>
      <c r="B210" s="18">
        <f>VLOOKUP(A210,Database!A:K,MATCH($A$1,Database!$A$1:$K$1,),)</f>
        <v>46942</v>
      </c>
      <c r="C210" s="15">
        <f t="shared" si="6"/>
        <v>-8.8887950509891692E-3</v>
      </c>
      <c r="D210" s="16">
        <f t="shared" si="5"/>
        <v>2.3702248510601952E-3</v>
      </c>
    </row>
    <row r="211" spans="1:4" x14ac:dyDescent="0.2">
      <c r="A211" s="13">
        <v>39814</v>
      </c>
      <c r="B211" s="18">
        <f>VLOOKUP(A211,Database!A:K,MATCH($A$1,Database!$A$1:$K$1,),)</f>
        <v>47639</v>
      </c>
      <c r="C211" s="15">
        <f t="shared" si="6"/>
        <v>1.4848110434152784E-2</v>
      </c>
      <c r="D211" s="16">
        <f t="shared" si="5"/>
        <v>1.6580598352609791E-2</v>
      </c>
    </row>
    <row r="212" spans="1:4" x14ac:dyDescent="0.2">
      <c r="A212" s="14">
        <v>39845</v>
      </c>
      <c r="B212" s="18">
        <f>VLOOKUP(A212,Database!A:K,MATCH($A$1,Database!$A$1:$K$1,),)</f>
        <v>46928</v>
      </c>
      <c r="C212" s="15">
        <f t="shared" si="6"/>
        <v>-1.4924746531203426E-2</v>
      </c>
      <c r="D212" s="16">
        <f t="shared" ref="D212:D275" si="7">(B212-B200)/B200</f>
        <v>4.7316248099856552E-3</v>
      </c>
    </row>
    <row r="213" spans="1:4" x14ac:dyDescent="0.2">
      <c r="A213" s="13">
        <v>39873</v>
      </c>
      <c r="B213" s="18">
        <f>VLOOKUP(A213,Database!A:K,MATCH($A$1,Database!$A$1:$K$1,),)</f>
        <v>46912</v>
      </c>
      <c r="C213" s="15">
        <f t="shared" si="6"/>
        <v>-3.4094783498124785E-4</v>
      </c>
      <c r="D213" s="16">
        <f t="shared" si="7"/>
        <v>6.1856109890578677E-4</v>
      </c>
    </row>
    <row r="214" spans="1:4" x14ac:dyDescent="0.2">
      <c r="A214" s="14">
        <v>39904</v>
      </c>
      <c r="B214" s="18">
        <f>VLOOKUP(A214,Database!A:K,MATCH($A$1,Database!$A$1:$K$1,),)</f>
        <v>47133</v>
      </c>
      <c r="C214" s="15">
        <f t="shared" si="6"/>
        <v>4.7109481582537516E-3</v>
      </c>
      <c r="D214" s="16">
        <f t="shared" si="7"/>
        <v>-4.709012585522426E-3</v>
      </c>
    </row>
    <row r="215" spans="1:4" x14ac:dyDescent="0.2">
      <c r="A215" s="13">
        <v>39934</v>
      </c>
      <c r="B215" s="18">
        <f>VLOOKUP(A215,Database!A:K,MATCH($A$1,Database!$A$1:$K$1,),)</f>
        <v>47219</v>
      </c>
      <c r="C215" s="15">
        <f t="shared" si="6"/>
        <v>1.8246239365200603E-3</v>
      </c>
      <c r="D215" s="16">
        <f t="shared" si="7"/>
        <v>-2.8719248231443353E-3</v>
      </c>
    </row>
    <row r="216" spans="1:4" x14ac:dyDescent="0.2">
      <c r="A216" s="14">
        <v>39965</v>
      </c>
      <c r="B216" s="18">
        <f>VLOOKUP(A216,Database!A:K,MATCH($A$1,Database!$A$1:$K$1,),)</f>
        <v>47350</v>
      </c>
      <c r="C216" s="15">
        <f t="shared" si="6"/>
        <v>2.7743069527097143E-3</v>
      </c>
      <c r="D216" s="16">
        <f t="shared" si="7"/>
        <v>-4.5829128826101583E-3</v>
      </c>
    </row>
    <row r="217" spans="1:4" x14ac:dyDescent="0.2">
      <c r="A217" s="13">
        <v>39995</v>
      </c>
      <c r="B217" s="18">
        <f>VLOOKUP(A217,Database!A:K,MATCH($A$1,Database!$A$1:$K$1,),)</f>
        <v>47330</v>
      </c>
      <c r="C217" s="15">
        <f t="shared" si="6"/>
        <v>-4.2238648363252375E-4</v>
      </c>
      <c r="D217" s="16">
        <f t="shared" si="7"/>
        <v>-1.0763925175044414E-2</v>
      </c>
    </row>
    <row r="218" spans="1:4" x14ac:dyDescent="0.2">
      <c r="A218" s="14">
        <v>40026</v>
      </c>
      <c r="B218" s="18">
        <f>VLOOKUP(A218,Database!A:K,MATCH($A$1,Database!$A$1:$K$1,),)</f>
        <v>47309</v>
      </c>
      <c r="C218" s="15">
        <f t="shared" si="6"/>
        <v>-4.4369321783224171E-4</v>
      </c>
      <c r="D218" s="16">
        <f t="shared" si="7"/>
        <v>-1.4149370676002334E-2</v>
      </c>
    </row>
    <row r="219" spans="1:4" x14ac:dyDescent="0.2">
      <c r="A219" s="13">
        <v>40057</v>
      </c>
      <c r="B219" s="18">
        <f>VLOOKUP(A219,Database!A:K,MATCH($A$1,Database!$A$1:$K$1,),)</f>
        <v>47559</v>
      </c>
      <c r="C219" s="15">
        <f t="shared" si="6"/>
        <v>5.2844067724957195E-3</v>
      </c>
      <c r="D219" s="16">
        <f t="shared" si="7"/>
        <v>-3.7913699204021787E-3</v>
      </c>
    </row>
    <row r="220" spans="1:4" x14ac:dyDescent="0.2">
      <c r="A220" s="14">
        <v>40087</v>
      </c>
      <c r="B220" s="18">
        <f>VLOOKUP(A220,Database!A:K,MATCH($A$1,Database!$A$1:$K$1,),)</f>
        <v>47603</v>
      </c>
      <c r="C220" s="15">
        <f t="shared" si="6"/>
        <v>9.2516663512689503E-4</v>
      </c>
      <c r="D220" s="16">
        <f t="shared" si="7"/>
        <v>-2.0963042156677777E-3</v>
      </c>
    </row>
    <row r="221" spans="1:4" x14ac:dyDescent="0.2">
      <c r="A221" s="13">
        <v>40118</v>
      </c>
      <c r="B221" s="18">
        <f>VLOOKUP(A221,Database!A:K,MATCH($A$1,Database!$A$1:$K$1,),)</f>
        <v>47689</v>
      </c>
      <c r="C221" s="15">
        <f t="shared" si="6"/>
        <v>1.8066088271747579E-3</v>
      </c>
      <c r="D221" s="16">
        <f t="shared" si="7"/>
        <v>6.8830099444714228E-3</v>
      </c>
    </row>
    <row r="222" spans="1:4" x14ac:dyDescent="0.2">
      <c r="A222" s="14">
        <v>40148</v>
      </c>
      <c r="B222" s="18">
        <f>VLOOKUP(A222,Database!A:K,MATCH($A$1,Database!$A$1:$K$1,),)</f>
        <v>48134</v>
      </c>
      <c r="C222" s="15">
        <f t="shared" si="6"/>
        <v>9.3312923315649315E-3</v>
      </c>
      <c r="D222" s="16">
        <f t="shared" si="7"/>
        <v>2.5393038217374632E-2</v>
      </c>
    </row>
    <row r="223" spans="1:4" x14ac:dyDescent="0.2">
      <c r="A223" s="13">
        <v>40179</v>
      </c>
      <c r="B223" s="18">
        <f>VLOOKUP(A223,Database!A:K,MATCH($A$1,Database!$A$1:$K$1,),)</f>
        <v>47877</v>
      </c>
      <c r="C223" s="15">
        <f t="shared" si="6"/>
        <v>-5.3392612290688495E-3</v>
      </c>
      <c r="D223" s="16">
        <f t="shared" si="7"/>
        <v>4.9959067150863786E-3</v>
      </c>
    </row>
    <row r="224" spans="1:4" x14ac:dyDescent="0.2">
      <c r="A224" s="14">
        <v>40210</v>
      </c>
      <c r="B224" s="18">
        <f>VLOOKUP(A224,Database!A:K,MATCH($A$1,Database!$A$1:$K$1,),)</f>
        <v>48699</v>
      </c>
      <c r="C224" s="15">
        <f t="shared" si="6"/>
        <v>1.7168995551099693E-2</v>
      </c>
      <c r="D224" s="16">
        <f t="shared" si="7"/>
        <v>3.7738663484486873E-2</v>
      </c>
    </row>
    <row r="225" spans="1:4" x14ac:dyDescent="0.2">
      <c r="A225" s="13">
        <v>40238</v>
      </c>
      <c r="B225" s="18">
        <f>VLOOKUP(A225,Database!A:K,MATCH($A$1,Database!$A$1:$K$1,),)</f>
        <v>48273</v>
      </c>
      <c r="C225" s="15">
        <f t="shared" si="6"/>
        <v>-8.7476128873282821E-3</v>
      </c>
      <c r="D225" s="16">
        <f t="shared" si="7"/>
        <v>2.9011766712141882E-2</v>
      </c>
    </row>
    <row r="226" spans="1:4" x14ac:dyDescent="0.2">
      <c r="A226" s="14">
        <v>40269</v>
      </c>
      <c r="B226" s="18">
        <f>VLOOKUP(A226,Database!A:K,MATCH($A$1,Database!$A$1:$K$1,),)</f>
        <v>48173</v>
      </c>
      <c r="C226" s="15">
        <f t="shared" si="6"/>
        <v>-2.0715513848321007E-3</v>
      </c>
      <c r="D226" s="16">
        <f t="shared" si="7"/>
        <v>2.2065219697451892E-2</v>
      </c>
    </row>
    <row r="227" spans="1:4" x14ac:dyDescent="0.2">
      <c r="A227" s="13">
        <v>40299</v>
      </c>
      <c r="B227" s="18">
        <f>VLOOKUP(A227,Database!A:K,MATCH($A$1,Database!$A$1:$K$1,),)</f>
        <v>48195</v>
      </c>
      <c r="C227" s="15">
        <f t="shared" si="6"/>
        <v>4.5668735598779398E-4</v>
      </c>
      <c r="D227" s="16">
        <f t="shared" si="7"/>
        <v>2.0669645693470847E-2</v>
      </c>
    </row>
    <row r="228" spans="1:4" x14ac:dyDescent="0.2">
      <c r="A228" s="14">
        <v>40330</v>
      </c>
      <c r="B228" s="18">
        <f>VLOOKUP(A228,Database!A:K,MATCH($A$1,Database!$A$1:$K$1,),)</f>
        <v>47913</v>
      </c>
      <c r="C228" s="15">
        <f t="shared" si="6"/>
        <v>-5.8512293806411457E-3</v>
      </c>
      <c r="D228" s="16">
        <f t="shared" si="7"/>
        <v>1.1890179514255543E-2</v>
      </c>
    </row>
    <row r="229" spans="1:4" x14ac:dyDescent="0.2">
      <c r="A229" s="13">
        <v>40360</v>
      </c>
      <c r="B229" s="18">
        <f>VLOOKUP(A229,Database!A:K,MATCH($A$1,Database!$A$1:$K$1,),)</f>
        <v>47907</v>
      </c>
      <c r="C229" s="15">
        <f t="shared" si="6"/>
        <v>-1.2522697389017595E-4</v>
      </c>
      <c r="D229" s="16">
        <f t="shared" si="7"/>
        <v>1.2190999366152547E-2</v>
      </c>
    </row>
    <row r="230" spans="1:4" x14ac:dyDescent="0.2">
      <c r="A230" s="14">
        <v>40391</v>
      </c>
      <c r="B230" s="18">
        <f>VLOOKUP(A230,Database!A:K,MATCH($A$1,Database!$A$1:$K$1,),)</f>
        <v>48263</v>
      </c>
      <c r="C230" s="15">
        <f t="shared" si="6"/>
        <v>7.431064353852255E-3</v>
      </c>
      <c r="D230" s="16">
        <f t="shared" si="7"/>
        <v>2.0165296243843667E-2</v>
      </c>
    </row>
    <row r="231" spans="1:4" x14ac:dyDescent="0.2">
      <c r="A231" s="13">
        <v>40422</v>
      </c>
      <c r="B231" s="18">
        <f>VLOOKUP(A231,Database!A:K,MATCH($A$1,Database!$A$1:$K$1,),)</f>
        <v>48675</v>
      </c>
      <c r="C231" s="15">
        <f t="shared" si="6"/>
        <v>8.536560097797484E-3</v>
      </c>
      <c r="D231" s="16">
        <f t="shared" si="7"/>
        <v>2.3465590109127611E-2</v>
      </c>
    </row>
    <row r="232" spans="1:4" x14ac:dyDescent="0.2">
      <c r="A232" s="14">
        <v>40452</v>
      </c>
      <c r="B232" s="18">
        <f>VLOOKUP(A232,Database!A:K,MATCH($A$1,Database!$A$1:$K$1,),)</f>
        <v>48568</v>
      </c>
      <c r="C232" s="15">
        <f t="shared" si="6"/>
        <v>-2.1982537236774524E-3</v>
      </c>
      <c r="D232" s="16">
        <f t="shared" si="7"/>
        <v>2.0271831607251645E-2</v>
      </c>
    </row>
    <row r="233" spans="1:4" x14ac:dyDescent="0.2">
      <c r="A233" s="13">
        <v>40483</v>
      </c>
      <c r="B233" s="18">
        <f>VLOOKUP(A233,Database!A:K,MATCH($A$1,Database!$A$1:$K$1,),)</f>
        <v>49133</v>
      </c>
      <c r="C233" s="15">
        <f t="shared" si="6"/>
        <v>1.1633174106407511E-2</v>
      </c>
      <c r="D233" s="16">
        <f t="shared" si="7"/>
        <v>3.0279519386021934E-2</v>
      </c>
    </row>
    <row r="234" spans="1:4" x14ac:dyDescent="0.2">
      <c r="A234" s="14">
        <v>40513</v>
      </c>
      <c r="B234" s="18">
        <f>VLOOKUP(A234,Database!A:K,MATCH($A$1,Database!$A$1:$K$1,),)</f>
        <v>49184</v>
      </c>
      <c r="C234" s="15">
        <f t="shared" si="6"/>
        <v>1.0379989009423401E-3</v>
      </c>
      <c r="D234" s="16">
        <f t="shared" si="7"/>
        <v>2.181410229775211E-2</v>
      </c>
    </row>
    <row r="235" spans="1:4" x14ac:dyDescent="0.2">
      <c r="A235" s="13">
        <v>40544</v>
      </c>
      <c r="B235" s="18">
        <f>VLOOKUP(A235,Database!A:K,MATCH($A$1,Database!$A$1:$K$1,),)</f>
        <v>49674</v>
      </c>
      <c r="C235" s="15">
        <f t="shared" si="6"/>
        <v>9.9625894599869869E-3</v>
      </c>
      <c r="D235" s="16">
        <f t="shared" si="7"/>
        <v>3.7533680055141301E-2</v>
      </c>
    </row>
    <row r="236" spans="1:4" x14ac:dyDescent="0.2">
      <c r="A236" s="14">
        <v>40575</v>
      </c>
      <c r="B236" s="18">
        <f>VLOOKUP(A236,Database!A:K,MATCH($A$1,Database!$A$1:$K$1,),)</f>
        <v>50017</v>
      </c>
      <c r="C236" s="15">
        <f t="shared" si="6"/>
        <v>6.9050207351934612E-3</v>
      </c>
      <c r="D236" s="16">
        <f t="shared" si="7"/>
        <v>2.7064210764081397E-2</v>
      </c>
    </row>
    <row r="237" spans="1:4" x14ac:dyDescent="0.2">
      <c r="A237" s="13">
        <v>40603</v>
      </c>
      <c r="B237" s="18">
        <f>VLOOKUP(A237,Database!A:K,MATCH($A$1,Database!$A$1:$K$1,),)</f>
        <v>50080</v>
      </c>
      <c r="C237" s="15">
        <f t="shared" si="6"/>
        <v>1.2595717456064938E-3</v>
      </c>
      <c r="D237" s="16">
        <f t="shared" si="7"/>
        <v>3.7432933523916058E-2</v>
      </c>
    </row>
    <row r="238" spans="1:4" x14ac:dyDescent="0.2">
      <c r="A238" s="14">
        <v>40634</v>
      </c>
      <c r="B238" s="18">
        <f>VLOOKUP(A238,Database!A:K,MATCH($A$1,Database!$A$1:$K$1,),)</f>
        <v>50836</v>
      </c>
      <c r="C238" s="15">
        <f t="shared" si="6"/>
        <v>1.5095846645367412E-2</v>
      </c>
      <c r="D238" s="16">
        <f t="shared" si="7"/>
        <v>5.5279928590704339E-2</v>
      </c>
    </row>
    <row r="239" spans="1:4" x14ac:dyDescent="0.2">
      <c r="A239" s="13">
        <v>40664</v>
      </c>
      <c r="B239" s="18">
        <f>VLOOKUP(A239,Database!A:K,MATCH($A$1,Database!$A$1:$K$1,),)</f>
        <v>50385</v>
      </c>
      <c r="C239" s="15">
        <f t="shared" si="6"/>
        <v>-8.8716657486820356E-3</v>
      </c>
      <c r="D239" s="16">
        <f t="shared" si="7"/>
        <v>4.5440398381574855E-2</v>
      </c>
    </row>
    <row r="240" spans="1:4" x14ac:dyDescent="0.2">
      <c r="A240" s="14">
        <v>40695</v>
      </c>
      <c r="B240" s="18">
        <f>VLOOKUP(A240,Database!A:K,MATCH($A$1,Database!$A$1:$K$1,),)</f>
        <v>50943</v>
      </c>
      <c r="C240" s="15">
        <f t="shared" si="6"/>
        <v>1.1074724620422745E-2</v>
      </c>
      <c r="D240" s="16">
        <f t="shared" si="7"/>
        <v>6.3239621814538849E-2</v>
      </c>
    </row>
    <row r="241" spans="1:4" x14ac:dyDescent="0.2">
      <c r="A241" s="13">
        <v>40725</v>
      </c>
      <c r="B241" s="18">
        <f>VLOOKUP(A241,Database!A:K,MATCH($A$1,Database!$A$1:$K$1,),)</f>
        <v>50984</v>
      </c>
      <c r="C241" s="15">
        <f t="shared" si="6"/>
        <v>8.0482107453428342E-4</v>
      </c>
      <c r="D241" s="16">
        <f t="shared" si="7"/>
        <v>6.4228609597762332E-2</v>
      </c>
    </row>
    <row r="242" spans="1:4" x14ac:dyDescent="0.2">
      <c r="A242" s="14">
        <v>40756</v>
      </c>
      <c r="B242" s="18">
        <f>VLOOKUP(A242,Database!A:K,MATCH($A$1,Database!$A$1:$K$1,),)</f>
        <v>51182</v>
      </c>
      <c r="C242" s="15">
        <f t="shared" si="6"/>
        <v>3.8835713164914482E-3</v>
      </c>
      <c r="D242" s="16">
        <f t="shared" si="7"/>
        <v>6.0481113896773929E-2</v>
      </c>
    </row>
    <row r="243" spans="1:4" x14ac:dyDescent="0.2">
      <c r="A243" s="13">
        <v>40787</v>
      </c>
      <c r="B243" s="18">
        <f>VLOOKUP(A243,Database!A:K,MATCH($A$1,Database!$A$1:$K$1,),)</f>
        <v>51049</v>
      </c>
      <c r="C243" s="15">
        <f t="shared" si="6"/>
        <v>-2.5985698096987224E-3</v>
      </c>
      <c r="D243" s="16">
        <f t="shared" si="7"/>
        <v>4.8772470467385719E-2</v>
      </c>
    </row>
    <row r="244" spans="1:4" x14ac:dyDescent="0.2">
      <c r="A244" s="14">
        <v>40817</v>
      </c>
      <c r="B244" s="18">
        <f>VLOOKUP(A244,Database!A:K,MATCH($A$1,Database!$A$1:$K$1,),)</f>
        <v>51324</v>
      </c>
      <c r="C244" s="15">
        <f t="shared" si="6"/>
        <v>5.3869811357715137E-3</v>
      </c>
      <c r="D244" s="16">
        <f t="shared" si="7"/>
        <v>5.6745182012847964E-2</v>
      </c>
    </row>
    <row r="245" spans="1:4" x14ac:dyDescent="0.2">
      <c r="A245" s="13">
        <v>40848</v>
      </c>
      <c r="B245" s="18">
        <f>VLOOKUP(A245,Database!A:K,MATCH($A$1,Database!$A$1:$K$1,),)</f>
        <v>51416</v>
      </c>
      <c r="C245" s="15">
        <f t="shared" si="6"/>
        <v>1.7925337074273244E-3</v>
      </c>
      <c r="D245" s="16">
        <f t="shared" si="7"/>
        <v>4.6465715506889466E-2</v>
      </c>
    </row>
    <row r="246" spans="1:4" x14ac:dyDescent="0.2">
      <c r="A246" s="14">
        <v>40878</v>
      </c>
      <c r="B246" s="18">
        <f>VLOOKUP(A246,Database!A:K,MATCH($A$1,Database!$A$1:$K$1,),)</f>
        <v>51215</v>
      </c>
      <c r="C246" s="15">
        <f t="shared" si="6"/>
        <v>-3.909288937295783E-3</v>
      </c>
      <c r="D246" s="16">
        <f t="shared" si="7"/>
        <v>4.1293916720884838E-2</v>
      </c>
    </row>
    <row r="247" spans="1:4" x14ac:dyDescent="0.2">
      <c r="A247" s="13">
        <v>40909</v>
      </c>
      <c r="B247" s="18">
        <f>VLOOKUP(A247,Database!A:K,MATCH($A$1,Database!$A$1:$K$1,),)</f>
        <v>51540</v>
      </c>
      <c r="C247" s="15">
        <f t="shared" si="6"/>
        <v>6.3457971297471447E-3</v>
      </c>
      <c r="D247" s="16">
        <f t="shared" si="7"/>
        <v>3.7564923299915447E-2</v>
      </c>
    </row>
    <row r="248" spans="1:4" x14ac:dyDescent="0.2">
      <c r="A248" s="14">
        <v>40940</v>
      </c>
      <c r="B248" s="18">
        <f>VLOOKUP(A248,Database!A:K,MATCH($A$1,Database!$A$1:$K$1,),)</f>
        <v>51658</v>
      </c>
      <c r="C248" s="15">
        <f t="shared" si="6"/>
        <v>2.2894838960031043E-3</v>
      </c>
      <c r="D248" s="16">
        <f t="shared" si="7"/>
        <v>3.2808844992702479E-2</v>
      </c>
    </row>
    <row r="249" spans="1:4" x14ac:dyDescent="0.2">
      <c r="A249" s="13">
        <v>40969</v>
      </c>
      <c r="B249" s="18">
        <f>VLOOKUP(A249,Database!A:K,MATCH($A$1,Database!$A$1:$K$1,),)</f>
        <v>52105</v>
      </c>
      <c r="C249" s="15">
        <f t="shared" si="6"/>
        <v>8.6530643849936119E-3</v>
      </c>
      <c r="D249" s="16">
        <f t="shared" si="7"/>
        <v>4.0435303514376998E-2</v>
      </c>
    </row>
    <row r="250" spans="1:4" x14ac:dyDescent="0.2">
      <c r="A250" s="14">
        <v>41000</v>
      </c>
      <c r="B250" s="18">
        <f>VLOOKUP(A250,Database!A:K,MATCH($A$1,Database!$A$1:$K$1,),)</f>
        <v>52296</v>
      </c>
      <c r="C250" s="15">
        <f t="shared" si="6"/>
        <v>3.6656750791670663E-3</v>
      </c>
      <c r="D250" s="16">
        <f t="shared" si="7"/>
        <v>2.8719804862695729E-2</v>
      </c>
    </row>
    <row r="251" spans="1:4" x14ac:dyDescent="0.2">
      <c r="A251" s="13">
        <v>41030</v>
      </c>
      <c r="B251" s="18">
        <f>VLOOKUP(A251,Database!A:K,MATCH($A$1,Database!$A$1:$K$1,),)</f>
        <v>52239</v>
      </c>
      <c r="C251" s="15">
        <f t="shared" si="6"/>
        <v>-1.0899495181275814E-3</v>
      </c>
      <c r="D251" s="16">
        <f t="shared" si="7"/>
        <v>3.6796665674307831E-2</v>
      </c>
    </row>
    <row r="252" spans="1:4" x14ac:dyDescent="0.2">
      <c r="A252" s="14">
        <v>41061</v>
      </c>
      <c r="B252" s="18">
        <f>VLOOKUP(A252,Database!A:K,MATCH($A$1,Database!$A$1:$K$1,),)</f>
        <v>52205</v>
      </c>
      <c r="C252" s="15">
        <f t="shared" si="6"/>
        <v>-6.5085472539673419E-4</v>
      </c>
      <c r="D252" s="16">
        <f t="shared" si="7"/>
        <v>2.4772785269811359E-2</v>
      </c>
    </row>
    <row r="253" spans="1:4" x14ac:dyDescent="0.2">
      <c r="A253" s="13">
        <v>41091</v>
      </c>
      <c r="B253" s="18">
        <f>VLOOKUP(A253,Database!A:K,MATCH($A$1,Database!$A$1:$K$1,),)</f>
        <v>52231</v>
      </c>
      <c r="C253" s="15">
        <f t="shared" si="6"/>
        <v>4.9803658653385695E-4</v>
      </c>
      <c r="D253" s="16">
        <f t="shared" si="7"/>
        <v>2.4458653695276951E-2</v>
      </c>
    </row>
    <row r="254" spans="1:4" x14ac:dyDescent="0.2">
      <c r="A254" s="14">
        <v>41122</v>
      </c>
      <c r="B254" s="18">
        <f>VLOOKUP(A254,Database!A:K,MATCH($A$1,Database!$A$1:$K$1,),)</f>
        <v>52359</v>
      </c>
      <c r="C254" s="15">
        <f t="shared" si="6"/>
        <v>2.4506519116999485E-3</v>
      </c>
      <c r="D254" s="16">
        <f t="shared" si="7"/>
        <v>2.2996365909890196E-2</v>
      </c>
    </row>
    <row r="255" spans="1:4" x14ac:dyDescent="0.2">
      <c r="A255" s="13">
        <v>41153</v>
      </c>
      <c r="B255" s="18">
        <f>VLOOKUP(A255,Database!A:K,MATCH($A$1,Database!$A$1:$K$1,),)</f>
        <v>52544</v>
      </c>
      <c r="C255" s="15">
        <f t="shared" si="6"/>
        <v>3.5332989552894442E-3</v>
      </c>
      <c r="D255" s="16">
        <f t="shared" si="7"/>
        <v>2.9285588356285138E-2</v>
      </c>
    </row>
    <row r="256" spans="1:4" x14ac:dyDescent="0.2">
      <c r="A256" s="14">
        <v>41183</v>
      </c>
      <c r="B256" s="18">
        <f>VLOOKUP(A256,Database!A:K,MATCH($A$1,Database!$A$1:$K$1,),)</f>
        <v>52856</v>
      </c>
      <c r="C256" s="15">
        <f t="shared" si="6"/>
        <v>5.9378806333739344E-3</v>
      </c>
      <c r="D256" s="16">
        <f t="shared" si="7"/>
        <v>2.9849583041072401E-2</v>
      </c>
    </row>
    <row r="257" spans="1:4" x14ac:dyDescent="0.2">
      <c r="A257" s="13">
        <v>41214</v>
      </c>
      <c r="B257" s="18">
        <f>VLOOKUP(A257,Database!A:K,MATCH($A$1,Database!$A$1:$K$1,),)</f>
        <v>52670</v>
      </c>
      <c r="C257" s="15">
        <f t="shared" si="6"/>
        <v>-3.5189950052974118E-3</v>
      </c>
      <c r="D257" s="16">
        <f t="shared" si="7"/>
        <v>2.4389295161039364E-2</v>
      </c>
    </row>
    <row r="258" spans="1:4" x14ac:dyDescent="0.2">
      <c r="A258" s="14">
        <v>41244</v>
      </c>
      <c r="B258" s="18">
        <f>VLOOKUP(A258,Database!A:K,MATCH($A$1,Database!$A$1:$K$1,),)</f>
        <v>52689</v>
      </c>
      <c r="C258" s="15">
        <f t="shared" si="6"/>
        <v>3.607366622365673E-4</v>
      </c>
      <c r="D258" s="16">
        <f t="shared" si="7"/>
        <v>2.8780630674607049E-2</v>
      </c>
    </row>
    <row r="259" spans="1:4" x14ac:dyDescent="0.2">
      <c r="A259" s="13">
        <v>41275</v>
      </c>
      <c r="B259" s="18">
        <f>VLOOKUP(A259,Database!A:K,MATCH($A$1,Database!$A$1:$K$1,),)</f>
        <v>52654</v>
      </c>
      <c r="C259" s="15">
        <f t="shared" si="6"/>
        <v>-6.6427527567423938E-4</v>
      </c>
      <c r="D259" s="16">
        <f t="shared" si="7"/>
        <v>2.1614280170741171E-2</v>
      </c>
    </row>
    <row r="260" spans="1:4" x14ac:dyDescent="0.2">
      <c r="A260" s="14">
        <v>41306</v>
      </c>
      <c r="B260" s="18">
        <f>VLOOKUP(A260,Database!A:K,MATCH($A$1,Database!$A$1:$K$1,),)</f>
        <v>53230</v>
      </c>
      <c r="C260" s="15">
        <f t="shared" si="6"/>
        <v>1.0939339841227637E-2</v>
      </c>
      <c r="D260" s="16">
        <f t="shared" si="7"/>
        <v>3.0430910991521159E-2</v>
      </c>
    </row>
    <row r="261" spans="1:4" x14ac:dyDescent="0.2">
      <c r="A261" s="13">
        <v>41334</v>
      </c>
      <c r="B261" s="18">
        <f>VLOOKUP(A261,Database!A:K,MATCH($A$1,Database!$A$1:$K$1,),)</f>
        <v>53103</v>
      </c>
      <c r="C261" s="15">
        <f t="shared" si="6"/>
        <v>-2.3858726282171708E-3</v>
      </c>
      <c r="D261" s="16">
        <f t="shared" si="7"/>
        <v>1.9153632089050954E-2</v>
      </c>
    </row>
    <row r="262" spans="1:4" x14ac:dyDescent="0.2">
      <c r="A262" s="14">
        <v>41365</v>
      </c>
      <c r="B262" s="18">
        <f>VLOOKUP(A262,Database!A:K,MATCH($A$1,Database!$A$1:$K$1,),)</f>
        <v>52733</v>
      </c>
      <c r="C262" s="15">
        <f t="shared" si="6"/>
        <v>-6.9675912848614959E-3</v>
      </c>
      <c r="D262" s="16">
        <f t="shared" si="7"/>
        <v>8.3562796389781251E-3</v>
      </c>
    </row>
    <row r="263" spans="1:4" x14ac:dyDescent="0.2">
      <c r="A263" s="13">
        <v>41395</v>
      </c>
      <c r="B263" s="18">
        <f>VLOOKUP(A263,Database!A:K,MATCH($A$1,Database!$A$1:$K$1,),)</f>
        <v>53253</v>
      </c>
      <c r="C263" s="15">
        <f t="shared" si="6"/>
        <v>9.8609978571293118E-3</v>
      </c>
      <c r="D263" s="16">
        <f t="shared" si="7"/>
        <v>1.9410785045655545E-2</v>
      </c>
    </row>
    <row r="264" spans="1:4" x14ac:dyDescent="0.2">
      <c r="A264" s="14">
        <v>41426</v>
      </c>
      <c r="B264" s="18">
        <f>VLOOKUP(A264,Database!A:K,MATCH($A$1,Database!$A$1:$K$1,),)</f>
        <v>53217</v>
      </c>
      <c r="C264" s="15">
        <f t="shared" si="6"/>
        <v>-6.7601825249281725E-4</v>
      </c>
      <c r="D264" s="16">
        <f t="shared" si="7"/>
        <v>1.9385116368163969E-2</v>
      </c>
    </row>
    <row r="265" spans="1:4" x14ac:dyDescent="0.2">
      <c r="A265" s="13">
        <v>41456</v>
      </c>
      <c r="B265" s="18">
        <f>VLOOKUP(A265,Database!A:K,MATCH($A$1,Database!$A$1:$K$1,),)</f>
        <v>53618</v>
      </c>
      <c r="C265" s="15">
        <f t="shared" ref="C265:C320" si="8">(B265-B264)/B264</f>
        <v>7.535186124734577E-3</v>
      </c>
      <c r="D265" s="16">
        <f t="shared" si="7"/>
        <v>2.6555110949436158E-2</v>
      </c>
    </row>
    <row r="266" spans="1:4" x14ac:dyDescent="0.2">
      <c r="A266" s="14">
        <v>41487</v>
      </c>
      <c r="B266" s="18">
        <f>VLOOKUP(A266,Database!A:K,MATCH($A$1,Database!$A$1:$K$1,),)</f>
        <v>53693</v>
      </c>
      <c r="C266" s="15">
        <f t="shared" si="8"/>
        <v>1.398783990450968E-3</v>
      </c>
      <c r="D266" s="16">
        <f t="shared" si="7"/>
        <v>2.5477950304627666E-2</v>
      </c>
    </row>
    <row r="267" spans="1:4" x14ac:dyDescent="0.2">
      <c r="A267" s="13">
        <v>41518</v>
      </c>
      <c r="B267" s="18">
        <f>VLOOKUP(A267,Database!A:K,MATCH($A$1,Database!$A$1:$K$1,),)</f>
        <v>53820</v>
      </c>
      <c r="C267" s="15">
        <f t="shared" si="8"/>
        <v>2.3652990147691507E-3</v>
      </c>
      <c r="D267" s="16">
        <f t="shared" si="7"/>
        <v>2.4284409257003654E-2</v>
      </c>
    </row>
    <row r="268" spans="1:4" x14ac:dyDescent="0.2">
      <c r="A268" s="14">
        <v>41548</v>
      </c>
      <c r="B268" s="18">
        <f>VLOOKUP(A268,Database!A:K,MATCH($A$1,Database!$A$1:$K$1,),)</f>
        <v>53943</v>
      </c>
      <c r="C268" s="15">
        <f t="shared" si="8"/>
        <v>2.2853957636566331E-3</v>
      </c>
      <c r="D268" s="16">
        <f t="shared" si="7"/>
        <v>2.0565309520205841E-2</v>
      </c>
    </row>
    <row r="269" spans="1:4" x14ac:dyDescent="0.2">
      <c r="A269" s="13">
        <v>41579</v>
      </c>
      <c r="B269" s="18">
        <f>VLOOKUP(A269,Database!A:K,MATCH($A$1,Database!$A$1:$K$1,),)</f>
        <v>54066</v>
      </c>
      <c r="C269" s="15">
        <f t="shared" si="8"/>
        <v>2.280184639341527E-3</v>
      </c>
      <c r="D269" s="16">
        <f t="shared" si="7"/>
        <v>2.6504651604328841E-2</v>
      </c>
    </row>
    <row r="270" spans="1:4" x14ac:dyDescent="0.2">
      <c r="A270" s="14">
        <v>41609</v>
      </c>
      <c r="B270" s="18">
        <f>VLOOKUP(A270,Database!A:K,MATCH($A$1,Database!$A$1:$K$1,),)</f>
        <v>54606</v>
      </c>
      <c r="C270" s="15">
        <f t="shared" si="8"/>
        <v>9.987792697813783E-3</v>
      </c>
      <c r="D270" s="16">
        <f t="shared" si="7"/>
        <v>3.6383305813357629E-2</v>
      </c>
    </row>
    <row r="271" spans="1:4" x14ac:dyDescent="0.2">
      <c r="A271" s="13">
        <v>41640</v>
      </c>
      <c r="B271" s="18">
        <f>VLOOKUP(A271,Database!A:K,MATCH($A$1,Database!$A$1:$K$1,),)</f>
        <v>54797</v>
      </c>
      <c r="C271" s="15">
        <f t="shared" si="8"/>
        <v>3.4977841262864885E-3</v>
      </c>
      <c r="D271" s="16">
        <f t="shared" si="7"/>
        <v>4.0699661944011853E-2</v>
      </c>
    </row>
    <row r="272" spans="1:4" x14ac:dyDescent="0.2">
      <c r="A272" s="14">
        <v>41671</v>
      </c>
      <c r="B272" s="18">
        <f>VLOOKUP(A272,Database!A:K,MATCH($A$1,Database!$A$1:$K$1,),)</f>
        <v>54759</v>
      </c>
      <c r="C272" s="15">
        <f t="shared" si="8"/>
        <v>-6.9346862054492039E-4</v>
      </c>
      <c r="D272" s="16">
        <f t="shared" si="7"/>
        <v>2.8724403531842947E-2</v>
      </c>
    </row>
    <row r="273" spans="1:4" x14ac:dyDescent="0.2">
      <c r="A273" s="13">
        <v>41699</v>
      </c>
      <c r="B273" s="18">
        <f>VLOOKUP(A273,Database!A:K,MATCH($A$1,Database!$A$1:$K$1,),)</f>
        <v>54888</v>
      </c>
      <c r="C273" s="15">
        <f t="shared" si="8"/>
        <v>2.3557771325261601E-3</v>
      </c>
      <c r="D273" s="16">
        <f t="shared" si="7"/>
        <v>3.3613920117507488E-2</v>
      </c>
    </row>
    <row r="274" spans="1:4" x14ac:dyDescent="0.2">
      <c r="A274" s="14">
        <v>41730</v>
      </c>
      <c r="B274" s="18">
        <f>VLOOKUP(A274,Database!A:K,MATCH($A$1,Database!$A$1:$K$1,),)</f>
        <v>55279</v>
      </c>
      <c r="C274" s="15">
        <f t="shared" si="8"/>
        <v>7.123597143273575E-3</v>
      </c>
      <c r="D274" s="16">
        <f t="shared" si="7"/>
        <v>4.8280962585098515E-2</v>
      </c>
    </row>
    <row r="275" spans="1:4" x14ac:dyDescent="0.2">
      <c r="A275" s="13">
        <v>41760</v>
      </c>
      <c r="B275" s="18">
        <f>VLOOKUP(A275,Database!A:K,MATCH($A$1,Database!$A$1:$K$1,),)</f>
        <v>55451</v>
      </c>
      <c r="C275" s="15">
        <f t="shared" si="8"/>
        <v>3.1114889922031876E-3</v>
      </c>
      <c r="D275" s="16">
        <f t="shared" si="7"/>
        <v>4.1274669971644792E-2</v>
      </c>
    </row>
    <row r="276" spans="1:4" x14ac:dyDescent="0.2">
      <c r="A276" s="14">
        <v>41791</v>
      </c>
      <c r="B276" s="18">
        <f>VLOOKUP(A276,Database!A:K,MATCH($A$1,Database!$A$1:$K$1,),)</f>
        <v>55966</v>
      </c>
      <c r="C276" s="15">
        <f t="shared" si="8"/>
        <v>9.2874790355448947E-3</v>
      </c>
      <c r="D276" s="16">
        <f t="shared" ref="D276:D320" si="9">(B276-B264)/B264</f>
        <v>5.1656425578292649E-2</v>
      </c>
    </row>
    <row r="277" spans="1:4" x14ac:dyDescent="0.2">
      <c r="A277" s="13">
        <v>41821</v>
      </c>
      <c r="B277" s="18">
        <f>VLOOKUP(A277,Database!A:K,MATCH($A$1,Database!$A$1:$K$1,),)</f>
        <v>56144</v>
      </c>
      <c r="C277" s="15">
        <f t="shared" si="8"/>
        <v>3.1805024479148055E-3</v>
      </c>
      <c r="D277" s="16">
        <f t="shared" si="9"/>
        <v>4.7111044798388603E-2</v>
      </c>
    </row>
    <row r="278" spans="1:4" x14ac:dyDescent="0.2">
      <c r="A278" s="14">
        <v>41852</v>
      </c>
      <c r="B278" s="18">
        <f>VLOOKUP(A278,Database!A:K,MATCH($A$1,Database!$A$1:$K$1,),)</f>
        <v>56299</v>
      </c>
      <c r="C278" s="15">
        <f t="shared" si="8"/>
        <v>2.7607580507267027E-3</v>
      </c>
      <c r="D278" s="16">
        <f t="shared" si="9"/>
        <v>4.8535190806995324E-2</v>
      </c>
    </row>
    <row r="279" spans="1:4" x14ac:dyDescent="0.2">
      <c r="A279" s="13">
        <v>41883</v>
      </c>
      <c r="B279" s="18">
        <f>VLOOKUP(A279,Database!A:K,MATCH($A$1,Database!$A$1:$K$1,),)</f>
        <v>56476</v>
      </c>
      <c r="C279" s="15">
        <f t="shared" si="8"/>
        <v>3.1439279560915826E-3</v>
      </c>
      <c r="D279" s="16">
        <f t="shared" si="9"/>
        <v>4.9349684132292827E-2</v>
      </c>
    </row>
    <row r="280" spans="1:4" x14ac:dyDescent="0.2">
      <c r="A280" s="14">
        <v>41913</v>
      </c>
      <c r="B280" s="18">
        <f>VLOOKUP(A280,Database!A:K,MATCH($A$1,Database!$A$1:$K$1,),)</f>
        <v>56776</v>
      </c>
      <c r="C280" s="15">
        <f t="shared" si="8"/>
        <v>5.3119909342021392E-3</v>
      </c>
      <c r="D280" s="16">
        <f t="shared" si="9"/>
        <v>5.251839905084997E-2</v>
      </c>
    </row>
    <row r="281" spans="1:4" x14ac:dyDescent="0.2">
      <c r="A281" s="13">
        <v>41944</v>
      </c>
      <c r="B281" s="18">
        <f>VLOOKUP(A281,Database!A:K,MATCH($A$1,Database!$A$1:$K$1,),)</f>
        <v>56764</v>
      </c>
      <c r="C281" s="15">
        <f t="shared" si="8"/>
        <v>-2.1135691137100183E-4</v>
      </c>
      <c r="D281" s="16">
        <f t="shared" si="9"/>
        <v>4.9901971664262197E-2</v>
      </c>
    </row>
    <row r="282" spans="1:4" x14ac:dyDescent="0.2">
      <c r="A282" s="14">
        <v>41974</v>
      </c>
      <c r="B282" s="18">
        <f>VLOOKUP(A282,Database!A:K,MATCH($A$1,Database!$A$1:$K$1,),)</f>
        <v>57113</v>
      </c>
      <c r="C282" s="15">
        <f t="shared" si="8"/>
        <v>6.1482629835811426E-3</v>
      </c>
      <c r="D282" s="16">
        <f t="shared" si="9"/>
        <v>4.5910705783247262E-2</v>
      </c>
    </row>
    <row r="283" spans="1:4" x14ac:dyDescent="0.2">
      <c r="A283" s="13">
        <v>42005</v>
      </c>
      <c r="B283" s="18">
        <f>VLOOKUP(A283,Database!A:K,MATCH($A$1,Database!$A$1:$K$1,),)</f>
        <v>57112</v>
      </c>
      <c r="C283" s="15">
        <f t="shared" si="8"/>
        <v>-1.7509148530106981E-5</v>
      </c>
      <c r="D283" s="16">
        <f t="shared" si="9"/>
        <v>4.2246838330565542E-2</v>
      </c>
    </row>
    <row r="284" spans="1:4" x14ac:dyDescent="0.2">
      <c r="A284" s="14">
        <v>42036</v>
      </c>
      <c r="B284" s="18">
        <f>VLOOKUP(A284,Database!A:K,MATCH($A$1,Database!$A$1:$K$1,),)</f>
        <v>57196</v>
      </c>
      <c r="C284" s="15">
        <f t="shared" si="8"/>
        <v>1.4707942288835971E-3</v>
      </c>
      <c r="D284" s="16">
        <f t="shared" si="9"/>
        <v>4.4504099782684124E-2</v>
      </c>
    </row>
    <row r="285" spans="1:4" x14ac:dyDescent="0.2">
      <c r="A285" s="13">
        <v>42064</v>
      </c>
      <c r="B285" s="18">
        <f>VLOOKUP(A285,Database!A:K,MATCH($A$1,Database!$A$1:$K$1,),)</f>
        <v>57188</v>
      </c>
      <c r="C285" s="15">
        <f t="shared" si="8"/>
        <v>-1.3986992097349466E-4</v>
      </c>
      <c r="D285" s="16">
        <f t="shared" si="9"/>
        <v>4.1903512607491616E-2</v>
      </c>
    </row>
    <row r="286" spans="1:4" x14ac:dyDescent="0.2">
      <c r="A286" s="14">
        <v>42095</v>
      </c>
      <c r="B286" s="18">
        <f>VLOOKUP(A286,Database!A:K,MATCH($A$1,Database!$A$1:$K$1,),)</f>
        <v>57092</v>
      </c>
      <c r="C286" s="15">
        <f t="shared" si="8"/>
        <v>-1.6786738476603483E-3</v>
      </c>
      <c r="D286" s="16">
        <f t="shared" si="9"/>
        <v>3.2797264784095226E-2</v>
      </c>
    </row>
    <row r="287" spans="1:4" x14ac:dyDescent="0.2">
      <c r="A287" s="13">
        <v>42125</v>
      </c>
      <c r="B287" s="18">
        <f>VLOOKUP(A287,Database!A:K,MATCH($A$1,Database!$A$1:$K$1,),)</f>
        <v>57163</v>
      </c>
      <c r="C287" s="15">
        <f t="shared" si="8"/>
        <v>1.2436068100609543E-3</v>
      </c>
      <c r="D287" s="16">
        <f t="shared" si="9"/>
        <v>3.0874105065733713E-2</v>
      </c>
    </row>
    <row r="288" spans="1:4" x14ac:dyDescent="0.2">
      <c r="A288" s="14">
        <v>42156</v>
      </c>
      <c r="B288" s="18">
        <f>VLOOKUP(A288,Database!A:K,MATCH($A$1,Database!$A$1:$K$1,),)</f>
        <v>57419</v>
      </c>
      <c r="C288" s="15">
        <f t="shared" si="8"/>
        <v>4.478421356471844E-3</v>
      </c>
      <c r="D288" s="16">
        <f t="shared" si="9"/>
        <v>2.5962191330450631E-2</v>
      </c>
    </row>
    <row r="289" spans="1:4" x14ac:dyDescent="0.2">
      <c r="A289" s="13">
        <v>42186</v>
      </c>
      <c r="B289" s="18">
        <f>VLOOKUP(A289,Database!A:K,MATCH($A$1,Database!$A$1:$K$1,),)</f>
        <v>57573</v>
      </c>
      <c r="C289" s="15">
        <f t="shared" si="8"/>
        <v>2.6820390463087132E-3</v>
      </c>
      <c r="D289" s="16">
        <f t="shared" si="9"/>
        <v>2.5452408093473926E-2</v>
      </c>
    </row>
    <row r="290" spans="1:4" x14ac:dyDescent="0.2">
      <c r="A290" s="14">
        <v>42217</v>
      </c>
      <c r="B290" s="18">
        <f>VLOOKUP(A290,Database!A:K,MATCH($A$1,Database!$A$1:$K$1,),)</f>
        <v>57593</v>
      </c>
      <c r="C290" s="15">
        <f t="shared" si="8"/>
        <v>3.4738505896861376E-4</v>
      </c>
      <c r="D290" s="16">
        <f t="shared" si="9"/>
        <v>2.2984422458658234E-2</v>
      </c>
    </row>
    <row r="291" spans="1:4" x14ac:dyDescent="0.2">
      <c r="A291" s="13">
        <v>42248</v>
      </c>
      <c r="B291" s="18">
        <f>VLOOKUP(A291,Database!A:K,MATCH($A$1,Database!$A$1:$K$1,),)</f>
        <v>57407</v>
      </c>
      <c r="C291" s="15">
        <f t="shared" si="8"/>
        <v>-3.2295591478131024E-3</v>
      </c>
      <c r="D291" s="16">
        <f t="shared" si="9"/>
        <v>1.6484878532473973E-2</v>
      </c>
    </row>
    <row r="292" spans="1:4" x14ac:dyDescent="0.2">
      <c r="A292" s="14">
        <v>42278</v>
      </c>
      <c r="B292" s="18">
        <f>VLOOKUP(A292,Database!A:K,MATCH($A$1,Database!$A$1:$K$1,),)</f>
        <v>57134</v>
      </c>
      <c r="C292" s="15">
        <f t="shared" si="8"/>
        <v>-4.7555176198024627E-3</v>
      </c>
      <c r="D292" s="16">
        <f t="shared" si="9"/>
        <v>6.3054811892348881E-3</v>
      </c>
    </row>
    <row r="293" spans="1:4" x14ac:dyDescent="0.2">
      <c r="A293" s="13">
        <v>42309</v>
      </c>
      <c r="B293" s="18">
        <f>VLOOKUP(A293,Database!A:K,MATCH($A$1,Database!$A$1:$K$1,),)</f>
        <v>57540</v>
      </c>
      <c r="C293" s="15">
        <f t="shared" si="8"/>
        <v>7.1061014457240871E-3</v>
      </c>
      <c r="D293" s="16">
        <f t="shared" si="9"/>
        <v>1.3670636318793601E-2</v>
      </c>
    </row>
    <row r="294" spans="1:4" x14ac:dyDescent="0.2">
      <c r="A294" s="14">
        <v>42339</v>
      </c>
      <c r="B294" s="18">
        <f>VLOOKUP(A294,Database!A:K,MATCH($A$1,Database!$A$1:$K$1,),)</f>
        <v>57365</v>
      </c>
      <c r="C294" s="15">
        <f t="shared" si="8"/>
        <v>-3.0413625304136255E-3</v>
      </c>
      <c r="D294" s="16">
        <f t="shared" si="9"/>
        <v>4.4123054295869589E-3</v>
      </c>
    </row>
    <row r="295" spans="1:4" x14ac:dyDescent="0.2">
      <c r="A295" s="13">
        <v>42370</v>
      </c>
      <c r="B295" s="18">
        <f>VLOOKUP(A295,Database!A:K,MATCH($A$1,Database!$A$1:$K$1,),)</f>
        <v>57620</v>
      </c>
      <c r="C295" s="15">
        <f t="shared" si="8"/>
        <v>4.4452192103198816E-3</v>
      </c>
      <c r="D295" s="16">
        <f t="shared" si="9"/>
        <v>8.8948031937246107E-3</v>
      </c>
    </row>
    <row r="296" spans="1:4" x14ac:dyDescent="0.2">
      <c r="A296" s="14">
        <v>42401</v>
      </c>
      <c r="B296" s="18">
        <f>VLOOKUP(A296,Database!A:K,MATCH($A$1,Database!$A$1:$K$1,),)</f>
        <v>57684</v>
      </c>
      <c r="C296" s="15">
        <f t="shared" si="8"/>
        <v>1.1107254425546686E-3</v>
      </c>
      <c r="D296" s="16">
        <f t="shared" si="9"/>
        <v>8.5320651793831734E-3</v>
      </c>
    </row>
    <row r="297" spans="1:4" x14ac:dyDescent="0.2">
      <c r="A297" s="13">
        <v>42430</v>
      </c>
      <c r="B297" s="18">
        <f>VLOOKUP(A297,Database!A:K,MATCH($A$1,Database!$A$1:$K$1,),)</f>
        <v>57195</v>
      </c>
      <c r="C297" s="15">
        <f t="shared" si="8"/>
        <v>-8.4772207197836482E-3</v>
      </c>
      <c r="D297" s="16">
        <f t="shared" si="9"/>
        <v>1.2240330139190041E-4</v>
      </c>
    </row>
    <row r="298" spans="1:4" x14ac:dyDescent="0.2">
      <c r="A298" s="14">
        <v>42461</v>
      </c>
      <c r="B298" s="18">
        <f>VLOOKUP(A298,Database!A:K,MATCH($A$1,Database!$A$1:$K$1,),)</f>
        <v>57861</v>
      </c>
      <c r="C298" s="15">
        <f t="shared" si="8"/>
        <v>1.1644374508261212E-2</v>
      </c>
      <c r="D298" s="16">
        <f t="shared" si="9"/>
        <v>1.3469487844181321E-2</v>
      </c>
    </row>
    <row r="299" spans="1:4" x14ac:dyDescent="0.2">
      <c r="A299" s="13">
        <v>42491</v>
      </c>
      <c r="B299" s="18">
        <f>VLOOKUP(A299,Database!A:K,MATCH($A$1,Database!$A$1:$K$1,),)</f>
        <v>58126</v>
      </c>
      <c r="C299" s="15">
        <f t="shared" si="8"/>
        <v>4.5799415841413045E-3</v>
      </c>
      <c r="D299" s="16">
        <f t="shared" si="9"/>
        <v>1.6846561587040568E-2</v>
      </c>
    </row>
    <row r="300" spans="1:4" x14ac:dyDescent="0.2">
      <c r="A300" s="14">
        <v>42522</v>
      </c>
      <c r="B300" s="18">
        <f>VLOOKUP(A300,Database!A:K,MATCH($A$1,Database!$A$1:$K$1,),)</f>
        <v>58527</v>
      </c>
      <c r="C300" s="15">
        <f t="shared" si="8"/>
        <v>6.8988060420465888E-3</v>
      </c>
      <c r="D300" s="16">
        <f t="shared" si="9"/>
        <v>1.92967484630523E-2</v>
      </c>
    </row>
    <row r="301" spans="1:4" x14ac:dyDescent="0.2">
      <c r="A301" s="13">
        <v>42552</v>
      </c>
      <c r="B301" s="18">
        <f>VLOOKUP(A301,Database!A:K,MATCH($A$1,Database!$A$1:$K$1,),)</f>
        <v>58172</v>
      </c>
      <c r="C301" s="15">
        <f t="shared" si="8"/>
        <v>-6.0655765714969162E-3</v>
      </c>
      <c r="D301" s="16">
        <f t="shared" si="9"/>
        <v>1.0404182516109983E-2</v>
      </c>
    </row>
    <row r="302" spans="1:4" x14ac:dyDescent="0.2">
      <c r="A302" s="14">
        <v>42583</v>
      </c>
      <c r="B302" s="18">
        <f>VLOOKUP(A302,Database!A:K,MATCH($A$1,Database!$A$1:$K$1,),)</f>
        <v>58446</v>
      </c>
      <c r="C302" s="15">
        <f t="shared" si="8"/>
        <v>4.7101698411606959E-3</v>
      </c>
      <c r="D302" s="16">
        <f t="shared" si="9"/>
        <v>1.4810827704755787E-2</v>
      </c>
    </row>
    <row r="303" spans="1:4" x14ac:dyDescent="0.2">
      <c r="A303" s="13">
        <v>42614</v>
      </c>
      <c r="B303" s="18">
        <f>VLOOKUP(A303,Database!A:K,MATCH($A$1,Database!$A$1:$K$1,),)</f>
        <v>58717</v>
      </c>
      <c r="C303" s="15">
        <f t="shared" si="8"/>
        <v>4.6367587174485853E-3</v>
      </c>
      <c r="D303" s="16">
        <f t="shared" si="9"/>
        <v>2.2819516783667497E-2</v>
      </c>
    </row>
    <row r="304" spans="1:4" x14ac:dyDescent="0.2">
      <c r="A304" s="14">
        <v>42644</v>
      </c>
      <c r="B304" s="18">
        <f>VLOOKUP(A304,Database!A:K,MATCH($A$1,Database!$A$1:$K$1,),)</f>
        <v>59054</v>
      </c>
      <c r="C304" s="15">
        <f t="shared" si="8"/>
        <v>5.739394042611169E-3</v>
      </c>
      <c r="D304" s="16">
        <f t="shared" si="9"/>
        <v>3.3605208807365144E-2</v>
      </c>
    </row>
    <row r="305" spans="1:4" x14ac:dyDescent="0.2">
      <c r="A305" s="13">
        <v>42675</v>
      </c>
      <c r="B305" s="18">
        <f>VLOOKUP(A305,Database!A:K,MATCH($A$1,Database!$A$1:$K$1,),)</f>
        <v>59105</v>
      </c>
      <c r="C305" s="15">
        <f t="shared" si="8"/>
        <v>8.6361635113624822E-4</v>
      </c>
      <c r="D305" s="16">
        <f t="shared" si="9"/>
        <v>2.7198470629127565E-2</v>
      </c>
    </row>
    <row r="306" spans="1:4" x14ac:dyDescent="0.2">
      <c r="A306" s="14">
        <v>42705</v>
      </c>
      <c r="B306" s="18">
        <f>VLOOKUP(A306,Database!A:K,MATCH($A$1,Database!$A$1:$K$1,),)</f>
        <v>59328</v>
      </c>
      <c r="C306" s="15">
        <f t="shared" si="8"/>
        <v>3.7729464512308605E-3</v>
      </c>
      <c r="D306" s="16">
        <f t="shared" si="9"/>
        <v>3.4219471803364418E-2</v>
      </c>
    </row>
    <row r="307" spans="1:4" x14ac:dyDescent="0.2">
      <c r="A307" s="13">
        <v>42736</v>
      </c>
      <c r="B307" s="18">
        <f>VLOOKUP(A307,Database!A:K,MATCH($A$1,Database!$A$1:$K$1,),)</f>
        <v>59561</v>
      </c>
      <c r="C307" s="15">
        <f t="shared" si="8"/>
        <v>3.9273193096008626E-3</v>
      </c>
      <c r="D307" s="16">
        <f t="shared" si="9"/>
        <v>3.3686220062478303E-2</v>
      </c>
    </row>
    <row r="308" spans="1:4" x14ac:dyDescent="0.2">
      <c r="A308" s="14">
        <v>42767</v>
      </c>
      <c r="B308" s="18">
        <f>VLOOKUP(A308,Database!A:K,MATCH($A$1,Database!$A$1:$K$1,),)</f>
        <v>59832</v>
      </c>
      <c r="C308" s="15">
        <f t="shared" si="8"/>
        <v>4.5499571867497184E-3</v>
      </c>
      <c r="D308" s="16">
        <f t="shared" si="9"/>
        <v>3.7237362180153943E-2</v>
      </c>
    </row>
    <row r="309" spans="1:4" x14ac:dyDescent="0.2">
      <c r="A309" s="13">
        <v>42795</v>
      </c>
      <c r="B309" s="18">
        <f>VLOOKUP(A309,Database!A:K,MATCH($A$1,Database!$A$1:$K$1,),)</f>
        <v>60322</v>
      </c>
      <c r="C309" s="15">
        <f t="shared" si="8"/>
        <v>8.189597539778045E-3</v>
      </c>
      <c r="D309" s="16">
        <f t="shared" si="9"/>
        <v>5.4672611242241452E-2</v>
      </c>
    </row>
    <row r="310" spans="1:4" x14ac:dyDescent="0.2">
      <c r="A310" s="14">
        <v>42826</v>
      </c>
      <c r="B310" s="18">
        <f>VLOOKUP(A310,Database!A:K,MATCH($A$1,Database!$A$1:$K$1,),)</f>
        <v>60461</v>
      </c>
      <c r="C310" s="15">
        <f t="shared" si="8"/>
        <v>2.3043002552965751E-3</v>
      </c>
      <c r="D310" s="16">
        <f t="shared" si="9"/>
        <v>4.4935275919876949E-2</v>
      </c>
    </row>
    <row r="311" spans="1:4" x14ac:dyDescent="0.2">
      <c r="A311" s="13">
        <v>42856</v>
      </c>
      <c r="B311" s="18">
        <f>VLOOKUP(A311,Database!A:K,MATCH($A$1,Database!$A$1:$K$1,),)</f>
        <v>60614</v>
      </c>
      <c r="C311" s="15">
        <f t="shared" si="8"/>
        <v>2.5305568879112157E-3</v>
      </c>
      <c r="D311" s="16">
        <f t="shared" si="9"/>
        <v>4.2803564669855139E-2</v>
      </c>
    </row>
    <row r="312" spans="1:4" x14ac:dyDescent="0.2">
      <c r="A312" s="14">
        <v>42887</v>
      </c>
      <c r="B312" s="18">
        <f>VLOOKUP(A312,Database!A:K,MATCH($A$1,Database!$A$1:$K$1,),)</f>
        <v>60413</v>
      </c>
      <c r="C312" s="15">
        <f t="shared" si="8"/>
        <v>-3.3160655954070019E-3</v>
      </c>
      <c r="D312" s="16">
        <f t="shared" si="9"/>
        <v>3.222444341927657E-2</v>
      </c>
    </row>
    <row r="313" spans="1:4" x14ac:dyDescent="0.2">
      <c r="A313" s="13">
        <v>42917</v>
      </c>
      <c r="B313" s="18">
        <f>VLOOKUP(A313,Database!A:K,MATCH($A$1,Database!$A$1:$K$1,),)</f>
        <v>60443</v>
      </c>
      <c r="C313" s="15">
        <f t="shared" si="8"/>
        <v>4.9658186151987156E-4</v>
      </c>
      <c r="D313" s="16">
        <f t="shared" si="9"/>
        <v>3.9039400398817301E-2</v>
      </c>
    </row>
    <row r="314" spans="1:4" x14ac:dyDescent="0.2">
      <c r="A314" s="14">
        <v>42948</v>
      </c>
      <c r="B314" s="18">
        <f>VLOOKUP(A314,Database!A:K,MATCH($A$1,Database!$A$1:$K$1,),)</f>
        <v>60762</v>
      </c>
      <c r="C314" s="15">
        <f t="shared" si="8"/>
        <v>5.2776996509107752E-3</v>
      </c>
      <c r="D314" s="16">
        <f t="shared" si="9"/>
        <v>3.9626321732881636E-2</v>
      </c>
    </row>
    <row r="315" spans="1:4" x14ac:dyDescent="0.2">
      <c r="A315" s="13">
        <v>42979</v>
      </c>
      <c r="B315" s="18">
        <f>VLOOKUP(A315,Database!A:K,MATCH($A$1,Database!$A$1:$K$1,),)</f>
        <v>61331</v>
      </c>
      <c r="C315" s="15">
        <f t="shared" si="8"/>
        <v>9.3644053849445373E-3</v>
      </c>
      <c r="D315" s="16">
        <f t="shared" si="9"/>
        <v>4.4518623226663487E-2</v>
      </c>
    </row>
    <row r="316" spans="1:4" x14ac:dyDescent="0.2">
      <c r="A316" s="14">
        <v>43009</v>
      </c>
      <c r="B316" s="18">
        <f>VLOOKUP(A316,Database!A:K,MATCH($A$1,Database!$A$1:$K$1,),)</f>
        <v>61563</v>
      </c>
      <c r="C316" s="15">
        <f t="shared" si="8"/>
        <v>3.7827526047186579E-3</v>
      </c>
      <c r="D316" s="16">
        <f t="shared" si="9"/>
        <v>4.2486537745114641E-2</v>
      </c>
    </row>
    <row r="317" spans="1:4" x14ac:dyDescent="0.2">
      <c r="A317" s="13">
        <v>43040</v>
      </c>
      <c r="B317" s="18">
        <f>VLOOKUP(A317,Database!A:K,MATCH($A$1,Database!$A$1:$K$1,),)</f>
        <v>61766</v>
      </c>
      <c r="C317" s="15">
        <f t="shared" si="8"/>
        <v>3.2974351477348409E-3</v>
      </c>
      <c r="D317" s="16">
        <f t="shared" si="9"/>
        <v>4.5021571779037303E-2</v>
      </c>
    </row>
    <row r="318" spans="1:4" x14ac:dyDescent="0.2">
      <c r="A318" s="14">
        <v>43070</v>
      </c>
      <c r="B318" s="18">
        <f>VLOOKUP(A318,Database!A:K,MATCH($A$1,Database!$A$1:$K$1,),)</f>
        <v>62282</v>
      </c>
      <c r="C318" s="15">
        <f t="shared" si="8"/>
        <v>8.3541106757763165E-3</v>
      </c>
      <c r="D318" s="16">
        <f t="shared" si="9"/>
        <v>4.9790992448759439E-2</v>
      </c>
    </row>
    <row r="319" spans="1:4" x14ac:dyDescent="0.2">
      <c r="A319" s="13">
        <v>43101</v>
      </c>
      <c r="B319" s="18">
        <f>VLOOKUP(A319,Database!A:K,MATCH($A$1,Database!$A$1:$K$1,),)</f>
        <v>61935</v>
      </c>
      <c r="C319" s="15">
        <f t="shared" si="8"/>
        <v>-5.5714331588580975E-3</v>
      </c>
      <c r="D319" s="16">
        <f t="shared" si="9"/>
        <v>3.9858296536324105E-2</v>
      </c>
    </row>
    <row r="320" spans="1:4" x14ac:dyDescent="0.2">
      <c r="A320" s="14">
        <v>43132</v>
      </c>
      <c r="B320" s="18">
        <f>VLOOKUP(A320,Database!A:K,MATCH($A$1,Database!$A$1:$K$1,),)</f>
        <v>62026</v>
      </c>
      <c r="C320" s="15">
        <f t="shared" si="8"/>
        <v>1.4692823121013967E-3</v>
      </c>
      <c r="D320" s="16">
        <f t="shared" si="9"/>
        <v>3.6669340820965367E-2</v>
      </c>
    </row>
    <row r="321" spans="1:4" x14ac:dyDescent="0.2">
      <c r="A321" s="13">
        <v>43160</v>
      </c>
      <c r="B321" s="18">
        <f>VLOOKUP(A321,Database!A:K,MATCH($A$1,Database!$A$1:$K$1,),)</f>
        <v>62166</v>
      </c>
      <c r="C321" s="15">
        <f t="shared" ref="C321:C322" si="10">(B321-B320)/B320</f>
        <v>2.2571179827814143E-3</v>
      </c>
      <c r="D321" s="16">
        <f t="shared" ref="D321:D322" si="11">(B321-B309)/B309</f>
        <v>3.0569278206956003E-2</v>
      </c>
    </row>
    <row r="322" spans="1:4" x14ac:dyDescent="0.2">
      <c r="A322" s="14">
        <v>43191</v>
      </c>
      <c r="B322" s="18">
        <f>VLOOKUP(A322,Database!A:K,MATCH($A$1,Database!$A$1:$K$1,),)</f>
        <v>62516</v>
      </c>
      <c r="C322" s="15">
        <f t="shared" si="10"/>
        <v>5.6300871859215652E-3</v>
      </c>
      <c r="D322" s="16">
        <f t="shared" si="11"/>
        <v>3.3988852318023191E-2</v>
      </c>
    </row>
    <row r="323" spans="1:4" x14ac:dyDescent="0.2">
      <c r="A323" s="13">
        <v>43221</v>
      </c>
      <c r="B323" s="18">
        <f>VLOOKUP(A323,Database!A:K,MATCH($A$1,Database!$A$1:$K$1,),)</f>
        <v>62516</v>
      </c>
      <c r="C323" s="15">
        <f t="shared" ref="C323:C324" si="12">(B323-B322)/B322</f>
        <v>0</v>
      </c>
      <c r="D323" s="16">
        <f t="shared" ref="D323:D324" si="13">(B323-B311)/B311</f>
        <v>3.1378889365493122E-2</v>
      </c>
    </row>
    <row r="324" spans="1:4" x14ac:dyDescent="0.2">
      <c r="A324" s="14">
        <v>43252</v>
      </c>
      <c r="B324" s="18">
        <f>VLOOKUP(A324,Database!A:K,MATCH($A$1,Database!$A$1:$K$1,),)</f>
        <v>62350</v>
      </c>
      <c r="C324" s="15">
        <f t="shared" si="12"/>
        <v>-2.6553202380190672E-3</v>
      </c>
      <c r="D324" s="16">
        <f t="shared" si="13"/>
        <v>3.2062635525466371E-2</v>
      </c>
    </row>
    <row r="325" spans="1:4" x14ac:dyDescent="0.2">
      <c r="A325" s="13">
        <v>43282</v>
      </c>
      <c r="B325" s="18">
        <f>VLOOKUP(A325,Database!A:K,MATCH($A$1,Database!$A$1:$K$1,),)</f>
        <v>62713</v>
      </c>
      <c r="C325" s="15">
        <f t="shared" ref="C325:C326" si="14">(B325-B324)/B324</f>
        <v>5.8219727345629512E-3</v>
      </c>
      <c r="D325" s="16">
        <f t="shared" ref="D325:D326" si="15">(B325-B313)/B313</f>
        <v>3.7556044537829028E-2</v>
      </c>
    </row>
    <row r="326" spans="1:4" x14ac:dyDescent="0.2">
      <c r="A326" s="14">
        <v>43313</v>
      </c>
      <c r="B326" s="18">
        <f>VLOOKUP(A326,Database!A:K,MATCH($A$1,Database!$A$1:$K$1,),)</f>
        <v>62510</v>
      </c>
      <c r="C326" s="15">
        <f t="shared" si="14"/>
        <v>-3.2369684116530864E-3</v>
      </c>
      <c r="D326" s="16">
        <f t="shared" si="15"/>
        <v>2.8767979987492184E-2</v>
      </c>
    </row>
    <row r="327" spans="1:4" x14ac:dyDescent="0.2">
      <c r="A327" s="13">
        <v>43344</v>
      </c>
      <c r="B327" s="18">
        <f>VLOOKUP(A327,Database!A:K,MATCH($A$1,Database!$A$1:$K$1,),)</f>
        <v>62813</v>
      </c>
      <c r="C327" s="15">
        <f t="shared" ref="C327:C328" si="16">(B327-B326)/B326</f>
        <v>4.847224444088946E-3</v>
      </c>
      <c r="D327" s="16">
        <f t="shared" ref="D327:D328" si="17">(B327-B315)/B315</f>
        <v>2.4163962759452807E-2</v>
      </c>
    </row>
    <row r="328" spans="1:4" x14ac:dyDescent="0.2">
      <c r="A328" s="14">
        <v>43374</v>
      </c>
      <c r="B328" s="18">
        <f>VLOOKUP(A328,Database!A:K,MATCH($A$1,Database!$A$1:$K$1,),)</f>
        <v>63056</v>
      </c>
      <c r="C328" s="15">
        <f t="shared" si="16"/>
        <v>3.8686259213857005E-3</v>
      </c>
      <c r="D328" s="16">
        <f t="shared" si="17"/>
        <v>2.4251579682601564E-2</v>
      </c>
    </row>
    <row r="329" spans="1:4" x14ac:dyDescent="0.2">
      <c r="A329" s="13">
        <v>43405</v>
      </c>
      <c r="B329" s="18">
        <f>VLOOKUP(A329,Database!A:K,MATCH($A$1,Database!$A$1:$K$1,),)</f>
        <v>63138</v>
      </c>
      <c r="C329" s="15">
        <f t="shared" ref="C329:C330" si="18">(B329-B328)/B328</f>
        <v>1.3004313625983254E-3</v>
      </c>
      <c r="D329" s="16">
        <f t="shared" ref="D329:D330" si="19">(B329-B317)/B317</f>
        <v>2.2212867920862609E-2</v>
      </c>
    </row>
    <row r="330" spans="1:4" x14ac:dyDescent="0.2">
      <c r="A330" s="14">
        <v>43435</v>
      </c>
      <c r="B330" s="18">
        <f>VLOOKUP(A330,Database!A:K,MATCH($A$1,Database!$A$1:$K$1,),)</f>
        <v>62979</v>
      </c>
      <c r="C330" s="15">
        <f t="shared" si="18"/>
        <v>-2.5182932623776491E-3</v>
      </c>
      <c r="D330" s="16">
        <f t="shared" si="19"/>
        <v>1.119103432773514E-2</v>
      </c>
    </row>
    <row r="331" spans="1:4" x14ac:dyDescent="0.2">
      <c r="A331" s="13">
        <v>43466</v>
      </c>
      <c r="B331" s="18">
        <f>VLOOKUP(A331,Database!A:K,MATCH($A$1,Database!$A$1:$K$1,),)</f>
        <v>63940</v>
      </c>
      <c r="C331" s="15">
        <f t="shared" ref="C331:C332" si="20">(B331-B330)/B330</f>
        <v>1.5259054605503421E-2</v>
      </c>
      <c r="D331" s="16">
        <f t="shared" ref="D331:D332" si="21">(B331-B319)/B319</f>
        <v>3.237264874465165E-2</v>
      </c>
    </row>
    <row r="332" spans="1:4" x14ac:dyDescent="0.2">
      <c r="A332" s="14">
        <v>43497</v>
      </c>
      <c r="B332" s="18">
        <f>VLOOKUP(A332,Database!A:K,MATCH($A$1,Database!$A$1:$K$1,),)</f>
        <v>62493</v>
      </c>
      <c r="C332" s="15">
        <f t="shared" si="20"/>
        <v>-2.2630591179230528E-2</v>
      </c>
      <c r="D332" s="16">
        <f t="shared" si="21"/>
        <v>7.5291006997065743E-3</v>
      </c>
    </row>
    <row r="333" spans="1:4" x14ac:dyDescent="0.2">
      <c r="A333" s="13">
        <v>43525</v>
      </c>
      <c r="B333" s="18">
        <f>VLOOKUP(A333,Database!A:K,MATCH($A$1,Database!$A$1:$K$1,),)</f>
        <v>63724</v>
      </c>
      <c r="C333" s="15">
        <f t="shared" ref="C333:C334" si="22">(B333-B332)/B332</f>
        <v>1.9698206199094299E-2</v>
      </c>
      <c r="D333" s="16">
        <f t="shared" ref="D333:D334" si="23">(B333-B321)/B321</f>
        <v>2.5061930959045138E-2</v>
      </c>
    </row>
    <row r="334" spans="1:4" x14ac:dyDescent="0.2">
      <c r="A334" s="14">
        <v>43556</v>
      </c>
      <c r="B334" s="18">
        <f>VLOOKUP(A334,Database!A:K,MATCH($A$1,Database!$A$1:$K$1,),)</f>
        <v>63950</v>
      </c>
      <c r="C334" s="15">
        <f t="shared" si="22"/>
        <v>3.5465444730399848E-3</v>
      </c>
      <c r="D334" s="16">
        <f t="shared" si="23"/>
        <v>2.2938127839273147E-2</v>
      </c>
    </row>
    <row r="335" spans="1:4" x14ac:dyDescent="0.2">
      <c r="A335" s="13">
        <v>43586</v>
      </c>
      <c r="B335" s="18">
        <f>VLOOKUP(A335,Database!A:K,MATCH($A$1,Database!$A$1:$K$1,),)</f>
        <v>64071</v>
      </c>
      <c r="C335" s="15">
        <f t="shared" ref="C335:C336" si="24">(B335-B334)/B334</f>
        <v>1.8921032056293981E-3</v>
      </c>
      <c r="D335" s="16">
        <f t="shared" ref="D335:D336" si="25">(B335-B323)/B323</f>
        <v>2.4873632350118368E-2</v>
      </c>
    </row>
    <row r="336" spans="1:4" x14ac:dyDescent="0.2">
      <c r="A336" s="14">
        <v>43617</v>
      </c>
      <c r="B336" s="18">
        <f>VLOOKUP(A336,Database!A:K,MATCH($A$1,Database!$A$1:$K$1,),)</f>
        <v>64557</v>
      </c>
      <c r="C336" s="15">
        <f t="shared" si="24"/>
        <v>7.5853350189633373E-3</v>
      </c>
      <c r="D336" s="16">
        <f t="shared" si="25"/>
        <v>3.5396952686447471E-2</v>
      </c>
    </row>
    <row r="337" spans="1:4" x14ac:dyDescent="0.2">
      <c r="A337" s="13">
        <v>43647</v>
      </c>
      <c r="B337" s="18">
        <f>VLOOKUP(A337,Database!A:K,MATCH($A$1,Database!$A$1:$K$1,),)</f>
        <v>65344</v>
      </c>
      <c r="C337" s="15">
        <f t="shared" ref="C337:C338" si="26">(B337-B336)/B336</f>
        <v>1.2190777142680112E-2</v>
      </c>
      <c r="D337" s="16">
        <f t="shared" ref="D337:D338" si="27">(B337-B325)/B325</f>
        <v>4.1953024093888028E-2</v>
      </c>
    </row>
    <row r="338" spans="1:4" x14ac:dyDescent="0.2">
      <c r="A338" s="14">
        <v>43678</v>
      </c>
      <c r="B338" s="18">
        <f>VLOOKUP(A338,Database!A:K,MATCH($A$1,Database!$A$1:$K$1,),)</f>
        <v>65328</v>
      </c>
      <c r="C338" s="15">
        <f t="shared" si="26"/>
        <v>-2.4485798237022528E-4</v>
      </c>
      <c r="D338" s="16">
        <f t="shared" si="27"/>
        <v>4.5080787074068152E-2</v>
      </c>
    </row>
    <row r="339" spans="1:4" x14ac:dyDescent="0.2">
      <c r="A339" s="13">
        <v>43709</v>
      </c>
      <c r="B339" s="18">
        <f>VLOOKUP(A339,Database!A:K,MATCH($A$1,Database!$A$1:$K$1,),)</f>
        <v>64871</v>
      </c>
      <c r="C339" s="15">
        <f t="shared" ref="C339:C340" si="28">(B339-B338)/B338</f>
        <v>-6.9954690178790106E-3</v>
      </c>
      <c r="D339" s="16">
        <f t="shared" ref="D339:D340" si="29">(B339-B327)/B327</f>
        <v>3.2763918297167786E-2</v>
      </c>
    </row>
    <row r="340" spans="1:4" x14ac:dyDescent="0.2">
      <c r="A340" s="14">
        <v>43739</v>
      </c>
      <c r="B340" s="18">
        <f>VLOOKUP(A340,Database!A:K,MATCH($A$1,Database!$A$1:$K$1,),)</f>
        <v>64915</v>
      </c>
      <c r="C340" s="15">
        <f t="shared" si="28"/>
        <v>6.7826918037335634E-4</v>
      </c>
      <c r="D340" s="16">
        <f t="shared" si="29"/>
        <v>2.9481730525247399E-2</v>
      </c>
    </row>
    <row r="341" spans="1:4" x14ac:dyDescent="0.2">
      <c r="A341" s="13">
        <v>43770</v>
      </c>
      <c r="B341" s="18">
        <f>VLOOKUP(A341,Database!A:K,MATCH($A$1,Database!$A$1:$K$1,),)</f>
        <v>65212</v>
      </c>
      <c r="C341" s="15">
        <f t="shared" ref="C341:C342" si="30">(B341-B340)/B340</f>
        <v>4.5752137410459831E-3</v>
      </c>
      <c r="D341" s="16">
        <f t="shared" ref="D341:D342" si="31">(B341-B329)/B329</f>
        <v>3.2848680667743671E-2</v>
      </c>
    </row>
    <row r="342" spans="1:4" x14ac:dyDescent="0.2">
      <c r="A342" s="14">
        <v>43800</v>
      </c>
      <c r="B342" s="18">
        <f>VLOOKUP(A342,Database!A:K,MATCH($A$1,Database!$A$1:$K$1,),)</f>
        <v>65676</v>
      </c>
      <c r="C342" s="15">
        <f t="shared" si="30"/>
        <v>7.1152548610685148E-3</v>
      </c>
      <c r="D342" s="16">
        <f t="shared" si="31"/>
        <v>4.2823798408993474E-2</v>
      </c>
    </row>
    <row r="343" spans="1:4" x14ac:dyDescent="0.2">
      <c r="A343" s="13">
        <v>43831</v>
      </c>
      <c r="B343" s="18">
        <f>VLOOKUP(A343,Database!A:K,MATCH($A$1,Database!$A$1:$K$1,),)</f>
        <v>65321</v>
      </c>
      <c r="C343" s="15">
        <f t="shared" ref="C343:C344" si="32">(B343-B342)/B342</f>
        <v>-5.4053231012850967E-3</v>
      </c>
      <c r="D343" s="16">
        <f t="shared" ref="D343:D344" si="33">(B343-B331)/B331</f>
        <v>2.1598373475132937E-2</v>
      </c>
    </row>
    <row r="344" spans="1:4" x14ac:dyDescent="0.2">
      <c r="A344" s="14">
        <v>43862</v>
      </c>
      <c r="B344" s="18">
        <f>VLOOKUP(A344,Database!A:K,MATCH($A$1,Database!$A$1:$K$1,),)</f>
        <v>65326</v>
      </c>
      <c r="C344" s="15">
        <f t="shared" si="32"/>
        <v>7.6545062078045348E-5</v>
      </c>
      <c r="D344" s="16">
        <f t="shared" si="33"/>
        <v>4.5333077304658125E-2</v>
      </c>
    </row>
    <row r="345" spans="1:4" x14ac:dyDescent="0.2">
      <c r="A345" s="13">
        <v>43891</v>
      </c>
      <c r="B345" s="18">
        <f>VLOOKUP(A345,Database!A:K,MATCH($A$1,Database!$A$1:$K$1,),)</f>
        <v>82743</v>
      </c>
      <c r="C345" s="15">
        <f t="shared" ref="C345:C346" si="34">(B345-B344)/B344</f>
        <v>0.26661666105379173</v>
      </c>
      <c r="D345" s="16">
        <f t="shared" ref="D345:D346" si="35">(B345-B333)/B333</f>
        <v>0.29845897934844012</v>
      </c>
    </row>
    <row r="346" spans="1:4" x14ac:dyDescent="0.2">
      <c r="A346" s="14">
        <v>43922</v>
      </c>
      <c r="B346" s="18">
        <f>VLOOKUP(A346,Database!A:K,MATCH($A$1,Database!$A$1:$K$1,),)</f>
        <v>72048</v>
      </c>
      <c r="C346" s="15">
        <f t="shared" si="34"/>
        <v>-0.12925564700337189</v>
      </c>
      <c r="D346" s="16">
        <f t="shared" si="35"/>
        <v>0.12663017982799063</v>
      </c>
    </row>
    <row r="347" spans="1:4" x14ac:dyDescent="0.2">
      <c r="A347" s="13">
        <v>43952</v>
      </c>
      <c r="B347" s="18">
        <f>VLOOKUP(A347,Database!A:K,MATCH($A$1,Database!$A$1:$K$1,),)</f>
        <v>73702</v>
      </c>
      <c r="C347" s="15">
        <f t="shared" ref="C347:C348" si="36">(B347-B346)/B346</f>
        <v>2.2956917610481901E-2</v>
      </c>
      <c r="D347" s="16">
        <f t="shared" ref="D347:D348" si="37">(B347-B335)/B335</f>
        <v>0.15031761639431257</v>
      </c>
    </row>
    <row r="348" spans="1:4" x14ac:dyDescent="0.2">
      <c r="A348" s="14">
        <v>43983</v>
      </c>
      <c r="B348" s="18">
        <f>VLOOKUP(A348,Database!A:K,MATCH($A$1,Database!$A$1:$K$1,),)</f>
        <v>72511</v>
      </c>
      <c r="C348" s="15">
        <f t="shared" si="36"/>
        <v>-1.6159670022523134E-2</v>
      </c>
      <c r="D348" s="16">
        <f t="shared" si="37"/>
        <v>0.12320894713199189</v>
      </c>
    </row>
    <row r="349" spans="1:4" x14ac:dyDescent="0.2">
      <c r="A349" s="13">
        <v>44013</v>
      </c>
      <c r="B349" s="18">
        <f>VLOOKUP(A349,Database!A:K,MATCH($A$1,Database!$A$1:$K$1,),)</f>
        <v>72715</v>
      </c>
      <c r="C349" s="15">
        <f t="shared" ref="C349:C350" si="38">(B349-B348)/B348</f>
        <v>2.8133662478796321E-3</v>
      </c>
      <c r="D349" s="16">
        <f t="shared" ref="D349:D350" si="39">(B349-B337)/B337</f>
        <v>0.11280301175318315</v>
      </c>
    </row>
    <row r="350" spans="1:4" x14ac:dyDescent="0.2">
      <c r="A350" s="14">
        <v>44044</v>
      </c>
      <c r="B350" s="18">
        <f>VLOOKUP(A350,Database!A:K,MATCH($A$1,Database!$A$1:$K$1,),)</f>
        <v>71772</v>
      </c>
      <c r="C350" s="15">
        <f t="shared" si="38"/>
        <v>-1.2968438423984048E-2</v>
      </c>
      <c r="D350" s="16">
        <f t="shared" si="39"/>
        <v>9.864070536370316E-2</v>
      </c>
    </row>
    <row r="351" spans="1:4" x14ac:dyDescent="0.2">
      <c r="A351" s="13">
        <v>44075</v>
      </c>
      <c r="B351" s="18">
        <f>VLOOKUP(A351,Database!A:K,MATCH($A$1,Database!$A$1:$K$1,),)</f>
        <v>71774</v>
      </c>
      <c r="C351" s="15">
        <f t="shared" ref="C351:C352" si="40">(B351-B350)/B350</f>
        <v>2.7866020174998608E-5</v>
      </c>
      <c r="D351" s="16">
        <f t="shared" ref="D351:D352" si="41">(B351-B339)/B339</f>
        <v>0.1064111852753927</v>
      </c>
    </row>
    <row r="352" spans="1:4" x14ac:dyDescent="0.2">
      <c r="A352" s="14">
        <v>44105</v>
      </c>
      <c r="B352" s="18">
        <f>VLOOKUP(A352,Database!A:K,MATCH($A$1,Database!$A$1:$K$1,),)</f>
        <v>71191</v>
      </c>
      <c r="C352" s="15">
        <f t="shared" si="40"/>
        <v>-8.1227185331735723E-3</v>
      </c>
      <c r="D352" s="16">
        <f t="shared" si="41"/>
        <v>9.6680274204729258E-2</v>
      </c>
    </row>
    <row r="353" spans="1:4" x14ac:dyDescent="0.2">
      <c r="A353" s="13">
        <v>44136</v>
      </c>
      <c r="B353" s="18">
        <f>VLOOKUP(A353,Database!A:K,MATCH($A$1,Database!$A$1:$K$1,),)</f>
        <v>72198</v>
      </c>
      <c r="C353" s="15">
        <f t="shared" ref="C353:C354" si="42">(B353-B352)/B352</f>
        <v>1.414504642440758E-2</v>
      </c>
      <c r="D353" s="16">
        <f t="shared" ref="D353:D354" si="43">(B353-B341)/B341</f>
        <v>0.10712752254186346</v>
      </c>
    </row>
    <row r="354" spans="1:4" x14ac:dyDescent="0.2">
      <c r="A354" s="14">
        <v>44166</v>
      </c>
      <c r="B354" s="18">
        <f>VLOOKUP(A354,Database!A:K,MATCH($A$1,Database!$A$1:$K$1,),)</f>
        <v>71382</v>
      </c>
      <c r="C354" s="15">
        <f t="shared" si="42"/>
        <v>-1.1302252139948475E-2</v>
      </c>
      <c r="D354" s="16">
        <f t="shared" si="43"/>
        <v>8.6881052439247208E-2</v>
      </c>
    </row>
    <row r="355" spans="1:4" x14ac:dyDescent="0.2">
      <c r="A355" s="13">
        <v>44197</v>
      </c>
      <c r="B355" s="18">
        <f>VLOOKUP(A355,Database!A:K,MATCH($A$1,Database!$A$1:$K$1,),)</f>
        <v>72730</v>
      </c>
      <c r="C355" s="15">
        <f t="shared" ref="C355:C356" si="44">(B355-B354)/B354</f>
        <v>1.8884312571796812E-2</v>
      </c>
      <c r="D355" s="16">
        <f t="shared" ref="D355:D356" si="45">(B355-B343)/B343</f>
        <v>0.11342447298724759</v>
      </c>
    </row>
    <row r="356" spans="1:4" x14ac:dyDescent="0.2">
      <c r="A356" s="14">
        <v>44228</v>
      </c>
      <c r="B356" s="18">
        <f>VLOOKUP(A356,Database!A:K,MATCH($A$1,Database!$A$1:$K$1,),)</f>
        <v>72343</v>
      </c>
      <c r="C356" s="15">
        <f t="shared" si="44"/>
        <v>-5.3210504606077272E-3</v>
      </c>
      <c r="D356" s="16">
        <f t="shared" si="45"/>
        <v>0.10741511802345161</v>
      </c>
    </row>
    <row r="357" spans="1:4" x14ac:dyDescent="0.2">
      <c r="A357" s="13">
        <v>44256</v>
      </c>
      <c r="B357" s="18">
        <f>VLOOKUP(A357,Database!A:K,MATCH($A$1,Database!$A$1:$K$1,),)</f>
        <v>72955</v>
      </c>
      <c r="C357" s="15">
        <f t="shared" ref="C357:C358" si="46">(B357-B356)/B356</f>
        <v>8.4596989342438107E-3</v>
      </c>
      <c r="D357" s="16">
        <f t="shared" ref="D357:D358" si="47">(B357-B345)/B345</f>
        <v>-0.11829399465815839</v>
      </c>
    </row>
    <row r="358" spans="1:4" x14ac:dyDescent="0.2">
      <c r="A358" s="14">
        <v>44287</v>
      </c>
      <c r="B358" s="18">
        <f>VLOOKUP(A358,Database!A:K,MATCH($A$1,Database!$A$1:$K$1,),)</f>
        <v>73492</v>
      </c>
      <c r="C358" s="15">
        <f t="shared" si="46"/>
        <v>7.3607018024809817E-3</v>
      </c>
      <c r="D358" s="16">
        <f t="shared" si="47"/>
        <v>2.0042194092827006E-2</v>
      </c>
    </row>
    <row r="359" spans="1:4" x14ac:dyDescent="0.2">
      <c r="A359" s="13">
        <v>44317</v>
      </c>
      <c r="B359" s="18">
        <f>VLOOKUP(A359,Database!A:K,MATCH($A$1,Database!$A$1:$K$1,),)</f>
        <v>74349</v>
      </c>
      <c r="C359" s="15">
        <f t="shared" ref="C359:C360" si="48">(B359-B358)/B358</f>
        <v>1.1661133184564307E-2</v>
      </c>
      <c r="D359" s="16">
        <f t="shared" ref="D359:D360" si="49">(B359-B347)/B347</f>
        <v>8.7785948820927519E-3</v>
      </c>
    </row>
    <row r="360" spans="1:4" x14ac:dyDescent="0.2">
      <c r="A360" s="14">
        <v>44348</v>
      </c>
      <c r="B360" s="18">
        <f>VLOOKUP(A360,Database!A:K,MATCH($A$1,Database!$A$1:$K$1,),)</f>
        <v>75073</v>
      </c>
      <c r="C360" s="15">
        <f t="shared" si="48"/>
        <v>9.7378579402547447E-3</v>
      </c>
      <c r="D360" s="16">
        <f t="shared" si="49"/>
        <v>3.5332570230723614E-2</v>
      </c>
    </row>
    <row r="361" spans="1:4" x14ac:dyDescent="0.2">
      <c r="A361" s="13">
        <v>44378</v>
      </c>
      <c r="B361" s="18">
        <f>VLOOKUP(A361,Database!A:K,MATCH($A$1,Database!$A$1:$K$1,),)</f>
        <v>74455</v>
      </c>
      <c r="C361" s="15">
        <f t="shared" ref="C361:C362" si="50">(B361-B360)/B360</f>
        <v>-8.2319875321353875E-3</v>
      </c>
      <c r="D361" s="16">
        <f t="shared" ref="D361:D362" si="51">(B361-B349)/B349</f>
        <v>2.3929038025166747E-2</v>
      </c>
    </row>
    <row r="362" spans="1:4" x14ac:dyDescent="0.2">
      <c r="A362" s="14">
        <v>44409</v>
      </c>
      <c r="B362" s="18">
        <f>VLOOKUP(A362,Database!A:K,MATCH($A$1,Database!$A$1:$K$1,),)</f>
        <v>75832</v>
      </c>
      <c r="C362" s="15">
        <f t="shared" si="50"/>
        <v>1.8494392586125848E-2</v>
      </c>
      <c r="D362" s="16">
        <f t="shared" si="51"/>
        <v>5.656802095524717E-2</v>
      </c>
    </row>
  </sheetData>
  <conditionalFormatting sqref="C8:C362">
    <cfRule type="colorScale" priority="2">
      <colorScale>
        <cfvo type="min"/>
        <cfvo type="percentile" val="50"/>
        <cfvo type="max"/>
        <color rgb="FFF8696B"/>
        <color rgb="FFFFEB84"/>
        <color rgb="FF63BE7B"/>
      </colorScale>
    </cfRule>
  </conditionalFormatting>
  <conditionalFormatting sqref="D19:D362">
    <cfRule type="colorScale" priority="1">
      <colorScale>
        <cfvo type="min"/>
        <cfvo type="percentile" val="50"/>
        <cfvo type="max"/>
        <color rgb="FFF8696B"/>
        <color rgb="FFFFEB84"/>
        <color rgb="FF63BE7B"/>
      </colorScale>
    </cfRule>
  </conditionalFormatting>
  <hyperlinks>
    <hyperlink ref="A2" r:id="rId1" xr:uid="{00000000-0004-0000-0700-000000000000}"/>
  </hyperlinks>
  <pageMargins left="0.7" right="0.7" top="0.75" bottom="0.75" header="0.3" footer="0.3"/>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dimension ref="A1:D362"/>
  <sheetViews>
    <sheetView zoomScale="160" zoomScaleNormal="160" workbookViewId="0">
      <pane ySplit="6" topLeftCell="A330" activePane="bottomLeft" state="frozen"/>
      <selection pane="bottomLeft" activeCell="C366" sqref="C366"/>
    </sheetView>
  </sheetViews>
  <sheetFormatPr baseColWidth="10" defaultColWidth="9.1640625" defaultRowHeight="15" x14ac:dyDescent="0.2"/>
  <cols>
    <col min="1" max="1" width="14" style="11" customWidth="1"/>
    <col min="2" max="4" width="14.1640625" style="11" customWidth="1"/>
    <col min="5" max="16384" width="9.1640625" style="1"/>
  </cols>
  <sheetData>
    <row r="1" spans="1:4" x14ac:dyDescent="0.2">
      <c r="A1" s="33" t="s">
        <v>13</v>
      </c>
      <c r="B1" s="34" t="s">
        <v>14</v>
      </c>
    </row>
    <row r="2" spans="1:4" x14ac:dyDescent="0.2">
      <c r="A2" s="35" t="s">
        <v>15</v>
      </c>
      <c r="B2" s="33"/>
    </row>
    <row r="3" spans="1:4" x14ac:dyDescent="0.2">
      <c r="A3" s="12"/>
    </row>
    <row r="4" spans="1:4" x14ac:dyDescent="0.2">
      <c r="A4" s="12"/>
    </row>
    <row r="5" spans="1:4" ht="16" thickBot="1" x14ac:dyDescent="0.25"/>
    <row r="6" spans="1:4" ht="57" x14ac:dyDescent="0.2">
      <c r="A6" s="101" t="s">
        <v>2</v>
      </c>
      <c r="B6" s="102" t="s">
        <v>93</v>
      </c>
      <c r="C6" s="99" t="s">
        <v>82</v>
      </c>
      <c r="D6" s="100" t="s">
        <v>83</v>
      </c>
    </row>
    <row r="7" spans="1:4" x14ac:dyDescent="0.2">
      <c r="A7" s="13">
        <v>33604</v>
      </c>
      <c r="B7" s="18">
        <f>VLOOKUP(A7,Database!A:Q,MATCH($A$1,Database!$A$1:$Q$1,),)</f>
        <v>6515</v>
      </c>
      <c r="C7" s="3"/>
      <c r="D7" s="3"/>
    </row>
    <row r="8" spans="1:4" x14ac:dyDescent="0.2">
      <c r="A8" s="14">
        <v>33635</v>
      </c>
      <c r="B8" s="18">
        <f>VLOOKUP(A8,Database!A:Q,MATCH($A$1,Database!$A$1:$Q$1,),)</f>
        <v>6110</v>
      </c>
      <c r="C8" s="15">
        <f>(B8-B7)/B7</f>
        <v>-6.2164236377590179E-2</v>
      </c>
      <c r="D8" s="3"/>
    </row>
    <row r="9" spans="1:4" x14ac:dyDescent="0.2">
      <c r="A9" s="13">
        <v>33664</v>
      </c>
      <c r="B9" s="18">
        <f>VLOOKUP(A9,Database!A:Q,MATCH($A$1,Database!$A$1:$Q$1,),)</f>
        <v>6018</v>
      </c>
      <c r="C9" s="15">
        <f t="shared" ref="C9:C72" si="0">(B9-B8)/B8</f>
        <v>-1.5057283142389525E-2</v>
      </c>
      <c r="D9" s="3"/>
    </row>
    <row r="10" spans="1:4" x14ac:dyDescent="0.2">
      <c r="A10" s="14">
        <v>33695</v>
      </c>
      <c r="B10" s="18">
        <f>VLOOKUP(A10,Database!A:Q,MATCH($A$1,Database!$A$1:$Q$1,),)</f>
        <v>6327</v>
      </c>
      <c r="C10" s="15">
        <f t="shared" si="0"/>
        <v>5.1345962113659022E-2</v>
      </c>
      <c r="D10" s="3"/>
    </row>
    <row r="11" spans="1:4" x14ac:dyDescent="0.2">
      <c r="A11" s="13">
        <v>33725</v>
      </c>
      <c r="B11" s="18">
        <f>VLOOKUP(A11,Database!A:Q,MATCH($A$1,Database!$A$1:$Q$1,),)</f>
        <v>6550</v>
      </c>
      <c r="C11" s="15">
        <f t="shared" si="0"/>
        <v>3.5245772087877353E-2</v>
      </c>
      <c r="D11" s="3"/>
    </row>
    <row r="12" spans="1:4" x14ac:dyDescent="0.2">
      <c r="A12" s="14">
        <v>33756</v>
      </c>
      <c r="B12" s="18">
        <f>VLOOKUP(A12,Database!A:Q,MATCH($A$1,Database!$A$1:$Q$1,),)</f>
        <v>6653</v>
      </c>
      <c r="C12" s="15">
        <f t="shared" si="0"/>
        <v>1.5725190839694658E-2</v>
      </c>
      <c r="D12" s="3"/>
    </row>
    <row r="13" spans="1:4" x14ac:dyDescent="0.2">
      <c r="A13" s="13">
        <v>33786</v>
      </c>
      <c r="B13" s="18">
        <f>VLOOKUP(A13,Database!A:Q,MATCH($A$1,Database!$A$1:$Q$1,),)</f>
        <v>6891</v>
      </c>
      <c r="C13" s="15">
        <f t="shared" si="0"/>
        <v>3.5773335337441758E-2</v>
      </c>
      <c r="D13" s="3"/>
    </row>
    <row r="14" spans="1:4" x14ac:dyDescent="0.2">
      <c r="A14" s="14">
        <v>33817</v>
      </c>
      <c r="B14" s="18">
        <f>VLOOKUP(A14,Database!A:Q,MATCH($A$1,Database!$A$1:$Q$1,),)</f>
        <v>6766</v>
      </c>
      <c r="C14" s="15">
        <f t="shared" si="0"/>
        <v>-1.8139602379915833E-2</v>
      </c>
      <c r="D14" s="3"/>
    </row>
    <row r="15" spans="1:4" x14ac:dyDescent="0.2">
      <c r="A15" s="13">
        <v>33848</v>
      </c>
      <c r="B15" s="18">
        <f>VLOOKUP(A15,Database!A:Q,MATCH($A$1,Database!$A$1:$Q$1,),)</f>
        <v>6714</v>
      </c>
      <c r="C15" s="15">
        <f t="shared" si="0"/>
        <v>-7.6854862548034293E-3</v>
      </c>
      <c r="D15" s="3"/>
    </row>
    <row r="16" spans="1:4" x14ac:dyDescent="0.2">
      <c r="A16" s="14">
        <v>33878</v>
      </c>
      <c r="B16" s="18">
        <f>VLOOKUP(A16,Database!A:Q,MATCH($A$1,Database!$A$1:$Q$1,),)</f>
        <v>6665</v>
      </c>
      <c r="C16" s="15">
        <f t="shared" si="0"/>
        <v>-7.2981829014000599E-3</v>
      </c>
      <c r="D16" s="3"/>
    </row>
    <row r="17" spans="1:4" x14ac:dyDescent="0.2">
      <c r="A17" s="13">
        <v>33909</v>
      </c>
      <c r="B17" s="18">
        <f>VLOOKUP(A17,Database!A:Q,MATCH($A$1,Database!$A$1:$Q$1,),)</f>
        <v>6610</v>
      </c>
      <c r="C17" s="15">
        <f t="shared" si="0"/>
        <v>-8.2520630157539385E-3</v>
      </c>
      <c r="D17" s="3"/>
    </row>
    <row r="18" spans="1:4" x14ac:dyDescent="0.2">
      <c r="A18" s="14">
        <v>33939</v>
      </c>
      <c r="B18" s="18">
        <f>VLOOKUP(A18,Database!A:Q,MATCH($A$1,Database!$A$1:$Q$1,),)</f>
        <v>6597</v>
      </c>
      <c r="C18" s="15">
        <f t="shared" si="0"/>
        <v>-1.9667170953101363E-3</v>
      </c>
      <c r="D18" s="3"/>
    </row>
    <row r="19" spans="1:4" x14ac:dyDescent="0.2">
      <c r="A19" s="13">
        <v>33970</v>
      </c>
      <c r="B19" s="18">
        <f>VLOOKUP(A19,Database!A:Q,MATCH($A$1,Database!$A$1:$Q$1,),)</f>
        <v>6644</v>
      </c>
      <c r="C19" s="15">
        <f t="shared" si="0"/>
        <v>7.124450507806579E-3</v>
      </c>
      <c r="D19" s="16">
        <f>(B19-B7)/B7</f>
        <v>1.9800460475825021E-2</v>
      </c>
    </row>
    <row r="20" spans="1:4" x14ac:dyDescent="0.2">
      <c r="A20" s="14">
        <v>34001</v>
      </c>
      <c r="B20" s="18">
        <f>VLOOKUP(A20,Database!A:Q,MATCH($A$1,Database!$A$1:$Q$1,),)</f>
        <v>6780</v>
      </c>
      <c r="C20" s="15">
        <f t="shared" si="0"/>
        <v>2.0469596628537028E-2</v>
      </c>
      <c r="D20" s="16">
        <f t="shared" ref="D20:D83" si="1">(B20-B8)/B8</f>
        <v>0.10965630114566285</v>
      </c>
    </row>
    <row r="21" spans="1:4" x14ac:dyDescent="0.2">
      <c r="A21" s="13">
        <v>34029</v>
      </c>
      <c r="B21" s="18">
        <f>VLOOKUP(A21,Database!A:Q,MATCH($A$1,Database!$A$1:$Q$1,),)</f>
        <v>7009</v>
      </c>
      <c r="C21" s="15">
        <f t="shared" si="0"/>
        <v>3.3775811209439531E-2</v>
      </c>
      <c r="D21" s="16">
        <f t="shared" si="1"/>
        <v>0.16467264872050516</v>
      </c>
    </row>
    <row r="22" spans="1:4" x14ac:dyDescent="0.2">
      <c r="A22" s="14">
        <v>34060</v>
      </c>
      <c r="B22" s="18">
        <f>VLOOKUP(A22,Database!A:Q,MATCH($A$1,Database!$A$1:$Q$1,),)</f>
        <v>6868</v>
      </c>
      <c r="C22" s="15">
        <f t="shared" si="0"/>
        <v>-2.0116992438293624E-2</v>
      </c>
      <c r="D22" s="16">
        <f t="shared" si="1"/>
        <v>8.5506559190769715E-2</v>
      </c>
    </row>
    <row r="23" spans="1:4" x14ac:dyDescent="0.2">
      <c r="A23" s="13">
        <v>34090</v>
      </c>
      <c r="B23" s="18">
        <f>VLOOKUP(A23,Database!A:Q,MATCH($A$1,Database!$A$1:$Q$1,),)</f>
        <v>7309</v>
      </c>
      <c r="C23" s="15">
        <f t="shared" si="0"/>
        <v>6.4210832847990687E-2</v>
      </c>
      <c r="D23" s="16">
        <f t="shared" si="1"/>
        <v>0.11587786259541985</v>
      </c>
    </row>
    <row r="24" spans="1:4" x14ac:dyDescent="0.2">
      <c r="A24" s="14">
        <v>34121</v>
      </c>
      <c r="B24" s="18">
        <f>VLOOKUP(A24,Database!A:Q,MATCH($A$1,Database!$A$1:$Q$1,),)</f>
        <v>6858</v>
      </c>
      <c r="C24" s="15">
        <f t="shared" si="0"/>
        <v>-6.1704747571487209E-2</v>
      </c>
      <c r="D24" s="16">
        <f t="shared" si="1"/>
        <v>3.0813166992334284E-2</v>
      </c>
    </row>
    <row r="25" spans="1:4" x14ac:dyDescent="0.2">
      <c r="A25" s="13">
        <v>34151</v>
      </c>
      <c r="B25" s="18">
        <f>VLOOKUP(A25,Database!A:Q,MATCH($A$1,Database!$A$1:$Q$1,),)</f>
        <v>7046</v>
      </c>
      <c r="C25" s="15">
        <f t="shared" si="0"/>
        <v>2.7413240011665209E-2</v>
      </c>
      <c r="D25" s="16">
        <f t="shared" si="1"/>
        <v>2.2493106951095632E-2</v>
      </c>
    </row>
    <row r="26" spans="1:4" x14ac:dyDescent="0.2">
      <c r="A26" s="14">
        <v>34182</v>
      </c>
      <c r="B26" s="18">
        <f>VLOOKUP(A26,Database!A:Q,MATCH($A$1,Database!$A$1:$Q$1,),)</f>
        <v>6999</v>
      </c>
      <c r="C26" s="15">
        <f t="shared" si="0"/>
        <v>-6.670451319897814E-3</v>
      </c>
      <c r="D26" s="16">
        <f t="shared" si="1"/>
        <v>3.4436890334023057E-2</v>
      </c>
    </row>
    <row r="27" spans="1:4" x14ac:dyDescent="0.2">
      <c r="A27" s="13">
        <v>34213</v>
      </c>
      <c r="B27" s="18">
        <f>VLOOKUP(A27,Database!A:Q,MATCH($A$1,Database!$A$1:$Q$1,),)</f>
        <v>7486</v>
      </c>
      <c r="C27" s="15">
        <f t="shared" si="0"/>
        <v>6.9581368766966703E-2</v>
      </c>
      <c r="D27" s="16">
        <f t="shared" si="1"/>
        <v>0.1149836163240989</v>
      </c>
    </row>
    <row r="28" spans="1:4" x14ac:dyDescent="0.2">
      <c r="A28" s="14">
        <v>34243</v>
      </c>
      <c r="B28" s="18">
        <f>VLOOKUP(A28,Database!A:Q,MATCH($A$1,Database!$A$1:$Q$1,),)</f>
        <v>7343</v>
      </c>
      <c r="C28" s="15">
        <f t="shared" si="0"/>
        <v>-1.9102324338765696E-2</v>
      </c>
      <c r="D28" s="16">
        <f t="shared" si="1"/>
        <v>0.10172543135783946</v>
      </c>
    </row>
    <row r="29" spans="1:4" x14ac:dyDescent="0.2">
      <c r="A29" s="13">
        <v>34274</v>
      </c>
      <c r="B29" s="18">
        <f>VLOOKUP(A29,Database!A:Q,MATCH($A$1,Database!$A$1:$Q$1,),)</f>
        <v>7561</v>
      </c>
      <c r="C29" s="15">
        <f t="shared" si="0"/>
        <v>2.9688138363066868E-2</v>
      </c>
      <c r="D29" s="16">
        <f t="shared" si="1"/>
        <v>0.14387291981845687</v>
      </c>
    </row>
    <row r="30" spans="1:4" x14ac:dyDescent="0.2">
      <c r="A30" s="14">
        <v>34304</v>
      </c>
      <c r="B30" s="18">
        <f>VLOOKUP(A30,Database!A:Q,MATCH($A$1,Database!$A$1:$Q$1,),)</f>
        <v>7438</v>
      </c>
      <c r="C30" s="15">
        <f t="shared" si="0"/>
        <v>-1.6267689459066263E-2</v>
      </c>
      <c r="D30" s="16">
        <f t="shared" si="1"/>
        <v>0.12748218887373047</v>
      </c>
    </row>
    <row r="31" spans="1:4" x14ac:dyDescent="0.2">
      <c r="A31" s="13">
        <v>34335</v>
      </c>
      <c r="B31" s="18">
        <f>VLOOKUP(A31,Database!A:Q,MATCH($A$1,Database!$A$1:$Q$1,),)</f>
        <v>7720</v>
      </c>
      <c r="C31" s="15">
        <f t="shared" si="0"/>
        <v>3.7913417585372415E-2</v>
      </c>
      <c r="D31" s="16">
        <f t="shared" si="1"/>
        <v>0.16195063214930763</v>
      </c>
    </row>
    <row r="32" spans="1:4" x14ac:dyDescent="0.2">
      <c r="A32" s="14">
        <v>34366</v>
      </c>
      <c r="B32" s="18">
        <f>VLOOKUP(A32,Database!A:Q,MATCH($A$1,Database!$A$1:$Q$1,),)</f>
        <v>7681</v>
      </c>
      <c r="C32" s="15">
        <f t="shared" si="0"/>
        <v>-5.0518134715025909E-3</v>
      </c>
      <c r="D32" s="16">
        <f t="shared" si="1"/>
        <v>0.13289085545722715</v>
      </c>
    </row>
    <row r="33" spans="1:4" x14ac:dyDescent="0.2">
      <c r="A33" s="13">
        <v>34394</v>
      </c>
      <c r="B33" s="18">
        <f>VLOOKUP(A33,Database!A:Q,MATCH($A$1,Database!$A$1:$Q$1,),)</f>
        <v>7853</v>
      </c>
      <c r="C33" s="15">
        <f t="shared" si="0"/>
        <v>2.2392917588855619E-2</v>
      </c>
      <c r="D33" s="16">
        <f t="shared" si="1"/>
        <v>0.12041660721928948</v>
      </c>
    </row>
    <row r="34" spans="1:4" x14ac:dyDescent="0.2">
      <c r="A34" s="14">
        <v>34425</v>
      </c>
      <c r="B34" s="18">
        <f>VLOOKUP(A34,Database!A:Q,MATCH($A$1,Database!$A$1:$Q$1,),)</f>
        <v>7941</v>
      </c>
      <c r="C34" s="15">
        <f t="shared" si="0"/>
        <v>1.1205908569973258E-2</v>
      </c>
      <c r="D34" s="16">
        <f t="shared" si="1"/>
        <v>0.15623179965055328</v>
      </c>
    </row>
    <row r="35" spans="1:4" x14ac:dyDescent="0.2">
      <c r="A35" s="13">
        <v>34455</v>
      </c>
      <c r="B35" s="18">
        <f>VLOOKUP(A35,Database!A:Q,MATCH($A$1,Database!$A$1:$Q$1,),)</f>
        <v>7859</v>
      </c>
      <c r="C35" s="15">
        <f t="shared" si="0"/>
        <v>-1.0326155396045839E-2</v>
      </c>
      <c r="D35" s="16">
        <f t="shared" si="1"/>
        <v>7.5249692160350254E-2</v>
      </c>
    </row>
    <row r="36" spans="1:4" x14ac:dyDescent="0.2">
      <c r="A36" s="14">
        <v>34486</v>
      </c>
      <c r="B36" s="18">
        <f>VLOOKUP(A36,Database!A:Q,MATCH($A$1,Database!$A$1:$Q$1,),)</f>
        <v>8074</v>
      </c>
      <c r="C36" s="15">
        <f t="shared" si="0"/>
        <v>2.7357170123425371E-2</v>
      </c>
      <c r="D36" s="16">
        <f t="shared" si="1"/>
        <v>0.17731116943715369</v>
      </c>
    </row>
    <row r="37" spans="1:4" x14ac:dyDescent="0.2">
      <c r="A37" s="13">
        <v>34516</v>
      </c>
      <c r="B37" s="18">
        <f>VLOOKUP(A37,Database!A:Q,MATCH($A$1,Database!$A$1:$Q$1,),)</f>
        <v>8077</v>
      </c>
      <c r="C37" s="15">
        <f t="shared" si="0"/>
        <v>3.7156304186276937E-4</v>
      </c>
      <c r="D37" s="16">
        <f t="shared" si="1"/>
        <v>0.1463241555492478</v>
      </c>
    </row>
    <row r="38" spans="1:4" x14ac:dyDescent="0.2">
      <c r="A38" s="14">
        <v>34547</v>
      </c>
      <c r="B38" s="18">
        <f>VLOOKUP(A38,Database!A:Q,MATCH($A$1,Database!$A$1:$Q$1,),)</f>
        <v>8241</v>
      </c>
      <c r="C38" s="15">
        <f t="shared" si="0"/>
        <v>2.030456852791878E-2</v>
      </c>
      <c r="D38" s="16">
        <f t="shared" si="1"/>
        <v>0.17745392198885554</v>
      </c>
    </row>
    <row r="39" spans="1:4" x14ac:dyDescent="0.2">
      <c r="A39" s="13">
        <v>34578</v>
      </c>
      <c r="B39" s="18">
        <f>VLOOKUP(A39,Database!A:Q,MATCH($A$1,Database!$A$1:$Q$1,),)</f>
        <v>8106</v>
      </c>
      <c r="C39" s="15">
        <f t="shared" si="0"/>
        <v>-1.6381507098653075E-2</v>
      </c>
      <c r="D39" s="16">
        <f t="shared" si="1"/>
        <v>8.2821266363879237E-2</v>
      </c>
    </row>
    <row r="40" spans="1:4" x14ac:dyDescent="0.2">
      <c r="A40" s="14">
        <v>34608</v>
      </c>
      <c r="B40" s="18">
        <f>VLOOKUP(A40,Database!A:Q,MATCH($A$1,Database!$A$1:$Q$1,),)</f>
        <v>8306</v>
      </c>
      <c r="C40" s="15">
        <f t="shared" si="0"/>
        <v>2.4673081667900321E-2</v>
      </c>
      <c r="D40" s="16">
        <f t="shared" si="1"/>
        <v>0.1311453084570339</v>
      </c>
    </row>
    <row r="41" spans="1:4" x14ac:dyDescent="0.2">
      <c r="A41" s="13">
        <v>34639</v>
      </c>
      <c r="B41" s="18">
        <f>VLOOKUP(A41,Database!A:Q,MATCH($A$1,Database!$A$1:$Q$1,),)</f>
        <v>8092</v>
      </c>
      <c r="C41" s="15">
        <f t="shared" si="0"/>
        <v>-2.5764507584878402E-2</v>
      </c>
      <c r="D41" s="16">
        <f t="shared" si="1"/>
        <v>7.0228805713529963E-2</v>
      </c>
    </row>
    <row r="42" spans="1:4" x14ac:dyDescent="0.2">
      <c r="A42" s="14">
        <v>34669</v>
      </c>
      <c r="B42" s="18">
        <f>VLOOKUP(A42,Database!A:Q,MATCH($A$1,Database!$A$1:$Q$1,),)</f>
        <v>8237</v>
      </c>
      <c r="C42" s="15">
        <f t="shared" si="0"/>
        <v>1.7918932278793872E-2</v>
      </c>
      <c r="D42" s="16">
        <f t="shared" si="1"/>
        <v>0.10742134982522183</v>
      </c>
    </row>
    <row r="43" spans="1:4" x14ac:dyDescent="0.2">
      <c r="A43" s="13">
        <v>34700</v>
      </c>
      <c r="B43" s="18">
        <f>VLOOKUP(A43,Database!A:Q,MATCH($A$1,Database!$A$1:$Q$1,),)</f>
        <v>8182</v>
      </c>
      <c r="C43" s="15">
        <f t="shared" si="0"/>
        <v>-6.6771882967099671E-3</v>
      </c>
      <c r="D43" s="16">
        <f t="shared" si="1"/>
        <v>5.984455958549223E-2</v>
      </c>
    </row>
    <row r="44" spans="1:4" x14ac:dyDescent="0.2">
      <c r="A44" s="14">
        <v>34731</v>
      </c>
      <c r="B44" s="18">
        <f>VLOOKUP(A44,Database!A:Q,MATCH($A$1,Database!$A$1:$Q$1,),)</f>
        <v>8307</v>
      </c>
      <c r="C44" s="15">
        <f t="shared" si="0"/>
        <v>1.5277438279149352E-2</v>
      </c>
      <c r="D44" s="16">
        <f t="shared" si="1"/>
        <v>8.1499804712928003E-2</v>
      </c>
    </row>
    <row r="45" spans="1:4" x14ac:dyDescent="0.2">
      <c r="A45" s="13">
        <v>34759</v>
      </c>
      <c r="B45" s="18">
        <f>VLOOKUP(A45,Database!A:Q,MATCH($A$1,Database!$A$1:$Q$1,),)</f>
        <v>8216</v>
      </c>
      <c r="C45" s="15">
        <f t="shared" si="0"/>
        <v>-1.0954616588419406E-2</v>
      </c>
      <c r="D45" s="16">
        <f t="shared" si="1"/>
        <v>4.6224372851139693E-2</v>
      </c>
    </row>
    <row r="46" spans="1:4" x14ac:dyDescent="0.2">
      <c r="A46" s="14">
        <v>34790</v>
      </c>
      <c r="B46" s="18">
        <f>VLOOKUP(A46,Database!A:Q,MATCH($A$1,Database!$A$1:$Q$1,),)</f>
        <v>8365</v>
      </c>
      <c r="C46" s="15">
        <f t="shared" si="0"/>
        <v>1.8135345666991237E-2</v>
      </c>
      <c r="D46" s="16">
        <f t="shared" si="1"/>
        <v>5.3393779121017504E-2</v>
      </c>
    </row>
    <row r="47" spans="1:4" x14ac:dyDescent="0.2">
      <c r="A47" s="13">
        <v>34820</v>
      </c>
      <c r="B47" s="18">
        <f>VLOOKUP(A47,Database!A:Q,MATCH($A$1,Database!$A$1:$Q$1,),)</f>
        <v>8518</v>
      </c>
      <c r="C47" s="15">
        <f t="shared" si="0"/>
        <v>1.8290496114763896E-2</v>
      </c>
      <c r="D47" s="16">
        <f t="shared" si="1"/>
        <v>8.3852907494592191E-2</v>
      </c>
    </row>
    <row r="48" spans="1:4" x14ac:dyDescent="0.2">
      <c r="A48" s="14">
        <v>34851</v>
      </c>
      <c r="B48" s="18">
        <f>VLOOKUP(A48,Database!A:Q,MATCH($A$1,Database!$A$1:$Q$1,),)</f>
        <v>8429</v>
      </c>
      <c r="C48" s="15">
        <f t="shared" si="0"/>
        <v>-1.0448462080300541E-2</v>
      </c>
      <c r="D48" s="16">
        <f t="shared" si="1"/>
        <v>4.3968293287094375E-2</v>
      </c>
    </row>
    <row r="49" spans="1:4" x14ac:dyDescent="0.2">
      <c r="A49" s="13">
        <v>34881</v>
      </c>
      <c r="B49" s="18">
        <f>VLOOKUP(A49,Database!A:Q,MATCH($A$1,Database!$A$1:$Q$1,),)</f>
        <v>8499</v>
      </c>
      <c r="C49" s="15">
        <f t="shared" si="0"/>
        <v>8.304662474789417E-3</v>
      </c>
      <c r="D49" s="16">
        <f t="shared" si="1"/>
        <v>5.2247121455986131E-2</v>
      </c>
    </row>
    <row r="50" spans="1:4" x14ac:dyDescent="0.2">
      <c r="A50" s="14">
        <v>34912</v>
      </c>
      <c r="B50" s="18">
        <f>VLOOKUP(A50,Database!A:Q,MATCH($A$1,Database!$A$1:$Q$1,),)</f>
        <v>8699</v>
      </c>
      <c r="C50" s="15">
        <f t="shared" si="0"/>
        <v>2.3532180256500765E-2</v>
      </c>
      <c r="D50" s="16">
        <f t="shared" si="1"/>
        <v>5.5575779638393399E-2</v>
      </c>
    </row>
    <row r="51" spans="1:4" x14ac:dyDescent="0.2">
      <c r="A51" s="13">
        <v>34943</v>
      </c>
      <c r="B51" s="18">
        <f>VLOOKUP(A51,Database!A:Q,MATCH($A$1,Database!$A$1:$Q$1,),)</f>
        <v>8842</v>
      </c>
      <c r="C51" s="15">
        <f t="shared" si="0"/>
        <v>1.6438671111622026E-2</v>
      </c>
      <c r="D51" s="16">
        <f t="shared" si="1"/>
        <v>9.0796940537873183E-2</v>
      </c>
    </row>
    <row r="52" spans="1:4" x14ac:dyDescent="0.2">
      <c r="A52" s="14">
        <v>34973</v>
      </c>
      <c r="B52" s="18">
        <f>VLOOKUP(A52,Database!A:Q,MATCH($A$1,Database!$A$1:$Q$1,),)</f>
        <v>8702</v>
      </c>
      <c r="C52" s="15">
        <f t="shared" si="0"/>
        <v>-1.5833521827640806E-2</v>
      </c>
      <c r="D52" s="16">
        <f t="shared" si="1"/>
        <v>4.7676378521550683E-2</v>
      </c>
    </row>
    <row r="53" spans="1:4" x14ac:dyDescent="0.2">
      <c r="A53" s="13">
        <v>35004</v>
      </c>
      <c r="B53" s="18">
        <f>VLOOKUP(A53,Database!A:Q,MATCH($A$1,Database!$A$1:$Q$1,),)</f>
        <v>9170</v>
      </c>
      <c r="C53" s="15">
        <f t="shared" si="0"/>
        <v>5.3780740059756381E-2</v>
      </c>
      <c r="D53" s="16">
        <f t="shared" si="1"/>
        <v>0.13321799307958476</v>
      </c>
    </row>
    <row r="54" spans="1:4" x14ac:dyDescent="0.2">
      <c r="A54" s="14">
        <v>35034</v>
      </c>
      <c r="B54" s="18">
        <f>VLOOKUP(A54,Database!A:Q,MATCH($A$1,Database!$A$1:$Q$1,),)</f>
        <v>9543</v>
      </c>
      <c r="C54" s="15">
        <f t="shared" si="0"/>
        <v>4.0676117775354417E-2</v>
      </c>
      <c r="D54" s="16">
        <f t="shared" si="1"/>
        <v>0.15855287119096759</v>
      </c>
    </row>
    <row r="55" spans="1:4" x14ac:dyDescent="0.2">
      <c r="A55" s="13">
        <v>35065</v>
      </c>
      <c r="B55" s="18">
        <f>VLOOKUP(A55,Database!A:Q,MATCH($A$1,Database!$A$1:$Q$1,),)</f>
        <v>9038</v>
      </c>
      <c r="C55" s="15">
        <f t="shared" si="0"/>
        <v>-5.2918369485486741E-2</v>
      </c>
      <c r="D55" s="16">
        <f t="shared" si="1"/>
        <v>0.10461989733561476</v>
      </c>
    </row>
    <row r="56" spans="1:4" x14ac:dyDescent="0.2">
      <c r="A56" s="14">
        <v>35096</v>
      </c>
      <c r="B56" s="18">
        <f>VLOOKUP(A56,Database!A:Q,MATCH($A$1,Database!$A$1:$Q$1,),)</f>
        <v>9400</v>
      </c>
      <c r="C56" s="15">
        <f t="shared" si="0"/>
        <v>4.005310909493251E-2</v>
      </c>
      <c r="D56" s="16">
        <f t="shared" si="1"/>
        <v>0.13157577946310342</v>
      </c>
    </row>
    <row r="57" spans="1:4" x14ac:dyDescent="0.2">
      <c r="A57" s="13">
        <v>35125</v>
      </c>
      <c r="B57" s="18">
        <f>VLOOKUP(A57,Database!A:Q,MATCH($A$1,Database!$A$1:$Q$1,),)</f>
        <v>9606</v>
      </c>
      <c r="C57" s="15">
        <f t="shared" si="0"/>
        <v>2.1914893617021276E-2</v>
      </c>
      <c r="D57" s="16">
        <f t="shared" si="1"/>
        <v>0.16918208373904575</v>
      </c>
    </row>
    <row r="58" spans="1:4" x14ac:dyDescent="0.2">
      <c r="A58" s="14">
        <v>35156</v>
      </c>
      <c r="B58" s="18">
        <f>VLOOKUP(A58,Database!A:Q,MATCH($A$1,Database!$A$1:$Q$1,),)</f>
        <v>9632</v>
      </c>
      <c r="C58" s="15">
        <f t="shared" si="0"/>
        <v>2.7066416822819073E-3</v>
      </c>
      <c r="D58" s="16">
        <f t="shared" si="1"/>
        <v>0.1514644351464435</v>
      </c>
    </row>
    <row r="59" spans="1:4" x14ac:dyDescent="0.2">
      <c r="A59" s="13">
        <v>35186</v>
      </c>
      <c r="B59" s="18">
        <f>VLOOKUP(A59,Database!A:Q,MATCH($A$1,Database!$A$1:$Q$1,),)</f>
        <v>9519</v>
      </c>
      <c r="C59" s="15">
        <f t="shared" si="0"/>
        <v>-1.1731727574750831E-2</v>
      </c>
      <c r="D59" s="16">
        <f t="shared" si="1"/>
        <v>0.11751584879079596</v>
      </c>
    </row>
    <row r="60" spans="1:4" x14ac:dyDescent="0.2">
      <c r="A60" s="14">
        <v>35217</v>
      </c>
      <c r="B60" s="18">
        <f>VLOOKUP(A60,Database!A:Q,MATCH($A$1,Database!$A$1:$Q$1,),)</f>
        <v>9610</v>
      </c>
      <c r="C60" s="15">
        <f t="shared" si="0"/>
        <v>9.5598277129950622E-3</v>
      </c>
      <c r="D60" s="16">
        <f t="shared" si="1"/>
        <v>0.14011151975323288</v>
      </c>
    </row>
    <row r="61" spans="1:4" x14ac:dyDescent="0.2">
      <c r="A61" s="13">
        <v>35247</v>
      </c>
      <c r="B61" s="18">
        <f>VLOOKUP(A61,Database!A:Q,MATCH($A$1,Database!$A$1:$Q$1,),)</f>
        <v>9550</v>
      </c>
      <c r="C61" s="15">
        <f t="shared" si="0"/>
        <v>-6.2434963579604576E-3</v>
      </c>
      <c r="D61" s="16">
        <f t="shared" si="1"/>
        <v>0.12366160724791152</v>
      </c>
    </row>
    <row r="62" spans="1:4" x14ac:dyDescent="0.2">
      <c r="A62" s="14">
        <v>35278</v>
      </c>
      <c r="B62" s="18">
        <f>VLOOKUP(A62,Database!A:Q,MATCH($A$1,Database!$A$1:$Q$1,),)</f>
        <v>9468</v>
      </c>
      <c r="C62" s="15">
        <f t="shared" si="0"/>
        <v>-8.5863874345549745E-3</v>
      </c>
      <c r="D62" s="16">
        <f t="shared" si="1"/>
        <v>8.840096562823313E-2</v>
      </c>
    </row>
    <row r="63" spans="1:4" x14ac:dyDescent="0.2">
      <c r="A63" s="13">
        <v>35309</v>
      </c>
      <c r="B63" s="18">
        <f>VLOOKUP(A63,Database!A:Q,MATCH($A$1,Database!$A$1:$Q$1,),)</f>
        <v>9889</v>
      </c>
      <c r="C63" s="15">
        <f t="shared" si="0"/>
        <v>4.4465568229826787E-2</v>
      </c>
      <c r="D63" s="16">
        <f t="shared" si="1"/>
        <v>0.1184121239538566</v>
      </c>
    </row>
    <row r="64" spans="1:4" x14ac:dyDescent="0.2">
      <c r="A64" s="14">
        <v>35339</v>
      </c>
      <c r="B64" s="18">
        <f>VLOOKUP(A64,Database!A:Q,MATCH($A$1,Database!$A$1:$Q$1,),)</f>
        <v>10025</v>
      </c>
      <c r="C64" s="15">
        <f t="shared" si="0"/>
        <v>1.3752654464556579E-2</v>
      </c>
      <c r="D64" s="16">
        <f t="shared" si="1"/>
        <v>0.15203401516892667</v>
      </c>
    </row>
    <row r="65" spans="1:4" x14ac:dyDescent="0.2">
      <c r="A65" s="13">
        <v>35370</v>
      </c>
      <c r="B65" s="18">
        <f>VLOOKUP(A65,Database!A:Q,MATCH($A$1,Database!$A$1:$Q$1,),)</f>
        <v>10390</v>
      </c>
      <c r="C65" s="15">
        <f t="shared" si="0"/>
        <v>3.6408977556109723E-2</v>
      </c>
      <c r="D65" s="16">
        <f t="shared" si="1"/>
        <v>0.13304252998909488</v>
      </c>
    </row>
    <row r="66" spans="1:4" x14ac:dyDescent="0.2">
      <c r="A66" s="14">
        <v>35400</v>
      </c>
      <c r="B66" s="18">
        <f>VLOOKUP(A66,Database!A:Q,MATCH($A$1,Database!$A$1:$Q$1,),)</f>
        <v>10765</v>
      </c>
      <c r="C66" s="15">
        <f t="shared" si="0"/>
        <v>3.6092396535129932E-2</v>
      </c>
      <c r="D66" s="16">
        <f t="shared" si="1"/>
        <v>0.12805197526983128</v>
      </c>
    </row>
    <row r="67" spans="1:4" x14ac:dyDescent="0.2">
      <c r="A67" s="13">
        <v>35431</v>
      </c>
      <c r="B67" s="18">
        <f>VLOOKUP(A67,Database!A:Q,MATCH($A$1,Database!$A$1:$Q$1,),)</f>
        <v>10006</v>
      </c>
      <c r="C67" s="15">
        <f t="shared" si="0"/>
        <v>-7.0506270320483053E-2</v>
      </c>
      <c r="D67" s="16">
        <f t="shared" si="1"/>
        <v>0.10710334144722283</v>
      </c>
    </row>
    <row r="68" spans="1:4" x14ac:dyDescent="0.2">
      <c r="A68" s="14">
        <v>35462</v>
      </c>
      <c r="B68" s="18">
        <f>VLOOKUP(A68,Database!A:Q,MATCH($A$1,Database!$A$1:$Q$1,),)</f>
        <v>10350</v>
      </c>
      <c r="C68" s="15">
        <f t="shared" si="0"/>
        <v>3.4379372376574055E-2</v>
      </c>
      <c r="D68" s="16">
        <f t="shared" si="1"/>
        <v>0.10106382978723404</v>
      </c>
    </row>
    <row r="69" spans="1:4" x14ac:dyDescent="0.2">
      <c r="A69" s="13">
        <v>35490</v>
      </c>
      <c r="B69" s="18">
        <f>VLOOKUP(A69,Database!A:Q,MATCH($A$1,Database!$A$1:$Q$1,),)</f>
        <v>10488</v>
      </c>
      <c r="C69" s="15">
        <f t="shared" si="0"/>
        <v>1.3333333333333334E-2</v>
      </c>
      <c r="D69" s="16">
        <f t="shared" si="1"/>
        <v>9.1817613991255459E-2</v>
      </c>
    </row>
    <row r="70" spans="1:4" x14ac:dyDescent="0.2">
      <c r="A70" s="14">
        <v>35521</v>
      </c>
      <c r="B70" s="18">
        <f>VLOOKUP(A70,Database!A:Q,MATCH($A$1,Database!$A$1:$Q$1,),)</f>
        <v>10642</v>
      </c>
      <c r="C70" s="15">
        <f t="shared" si="0"/>
        <v>1.4683447749809305E-2</v>
      </c>
      <c r="D70" s="16">
        <f t="shared" si="1"/>
        <v>0.10485880398671096</v>
      </c>
    </row>
    <row r="71" spans="1:4" x14ac:dyDescent="0.2">
      <c r="A71" s="13">
        <v>35551</v>
      </c>
      <c r="B71" s="18">
        <f>VLOOKUP(A71,Database!A:Q,MATCH($A$1,Database!$A$1:$Q$1,),)</f>
        <v>10547</v>
      </c>
      <c r="C71" s="15">
        <f t="shared" si="0"/>
        <v>-8.9268934410825038E-3</v>
      </c>
      <c r="D71" s="16">
        <f t="shared" si="1"/>
        <v>0.10799453724130686</v>
      </c>
    </row>
    <row r="72" spans="1:4" x14ac:dyDescent="0.2">
      <c r="A72" s="14">
        <v>35582</v>
      </c>
      <c r="B72" s="18">
        <f>VLOOKUP(A72,Database!A:Q,MATCH($A$1,Database!$A$1:$Q$1,),)</f>
        <v>10643</v>
      </c>
      <c r="C72" s="15">
        <f t="shared" si="0"/>
        <v>9.1021143453114631E-3</v>
      </c>
      <c r="D72" s="16">
        <f t="shared" si="1"/>
        <v>0.10749219562955255</v>
      </c>
    </row>
    <row r="73" spans="1:4" x14ac:dyDescent="0.2">
      <c r="A73" s="13">
        <v>35612</v>
      </c>
      <c r="B73" s="18">
        <f>VLOOKUP(A73,Database!A:Q,MATCH($A$1,Database!$A$1:$Q$1,),)</f>
        <v>10836</v>
      </c>
      <c r="C73" s="15">
        <f t="shared" ref="C73:C136" si="2">(B73-B72)/B72</f>
        <v>1.8133984778727803E-2</v>
      </c>
      <c r="D73" s="16">
        <f t="shared" si="1"/>
        <v>0.13465968586387433</v>
      </c>
    </row>
    <row r="74" spans="1:4" x14ac:dyDescent="0.2">
      <c r="A74" s="14">
        <v>35643</v>
      </c>
      <c r="B74" s="18">
        <f>VLOOKUP(A74,Database!A:Q,MATCH($A$1,Database!$A$1:$Q$1,),)</f>
        <v>10432</v>
      </c>
      <c r="C74" s="15">
        <f t="shared" si="2"/>
        <v>-3.7283130306386122E-2</v>
      </c>
      <c r="D74" s="16">
        <f t="shared" si="1"/>
        <v>0.10181664554288128</v>
      </c>
    </row>
    <row r="75" spans="1:4" x14ac:dyDescent="0.2">
      <c r="A75" s="13">
        <v>35674</v>
      </c>
      <c r="B75" s="18">
        <f>VLOOKUP(A75,Database!A:Q,MATCH($A$1,Database!$A$1:$Q$1,),)</f>
        <v>10669</v>
      </c>
      <c r="C75" s="15">
        <f t="shared" si="2"/>
        <v>2.271855828220859E-2</v>
      </c>
      <c r="D75" s="16">
        <f t="shared" si="1"/>
        <v>7.8875518252603902E-2</v>
      </c>
    </row>
    <row r="76" spans="1:4" x14ac:dyDescent="0.2">
      <c r="A76" s="14">
        <v>35704</v>
      </c>
      <c r="B76" s="18">
        <f>VLOOKUP(A76,Database!A:Q,MATCH($A$1,Database!$A$1:$Q$1,),)</f>
        <v>10529</v>
      </c>
      <c r="C76" s="15">
        <f t="shared" si="2"/>
        <v>-1.3122129534164402E-2</v>
      </c>
      <c r="D76" s="16">
        <f t="shared" si="1"/>
        <v>5.0274314214463843E-2</v>
      </c>
    </row>
    <row r="77" spans="1:4" x14ac:dyDescent="0.2">
      <c r="A77" s="13">
        <v>35735</v>
      </c>
      <c r="B77" s="18">
        <f>VLOOKUP(A77,Database!A:Q,MATCH($A$1,Database!$A$1:$Q$1,),)</f>
        <v>10675</v>
      </c>
      <c r="C77" s="15">
        <f t="shared" si="2"/>
        <v>1.3866464051666826E-2</v>
      </c>
      <c r="D77" s="16">
        <f t="shared" si="1"/>
        <v>2.7430221366698749E-2</v>
      </c>
    </row>
    <row r="78" spans="1:4" x14ac:dyDescent="0.2">
      <c r="A78" s="14">
        <v>35765</v>
      </c>
      <c r="B78" s="18">
        <f>VLOOKUP(A78,Database!A:Q,MATCH($A$1,Database!$A$1:$Q$1,),)</f>
        <v>10490</v>
      </c>
      <c r="C78" s="15">
        <f t="shared" si="2"/>
        <v>-1.7330210772833723E-2</v>
      </c>
      <c r="D78" s="16">
        <f t="shared" si="1"/>
        <v>-2.5545750116117046E-2</v>
      </c>
    </row>
    <row r="79" spans="1:4" x14ac:dyDescent="0.2">
      <c r="A79" s="13">
        <v>35796</v>
      </c>
      <c r="B79" s="18">
        <f>VLOOKUP(A79,Database!A:Q,MATCH($A$1,Database!$A$1:$Q$1,),)</f>
        <v>10390</v>
      </c>
      <c r="C79" s="15">
        <f t="shared" si="2"/>
        <v>-9.5328884652049577E-3</v>
      </c>
      <c r="D79" s="16">
        <f t="shared" si="1"/>
        <v>3.837697381571057E-2</v>
      </c>
    </row>
    <row r="80" spans="1:4" x14ac:dyDescent="0.2">
      <c r="A80" s="14">
        <v>35827</v>
      </c>
      <c r="B80" s="18">
        <f>VLOOKUP(A80,Database!A:Q,MATCH($A$1,Database!$A$1:$Q$1,),)</f>
        <v>10626</v>
      </c>
      <c r="C80" s="15">
        <f t="shared" si="2"/>
        <v>2.271414821944177E-2</v>
      </c>
      <c r="D80" s="16">
        <f t="shared" si="1"/>
        <v>2.6666666666666668E-2</v>
      </c>
    </row>
    <row r="81" spans="1:4" x14ac:dyDescent="0.2">
      <c r="A81" s="13">
        <v>35855</v>
      </c>
      <c r="B81" s="18">
        <f>VLOOKUP(A81,Database!A:Q,MATCH($A$1,Database!$A$1:$Q$1,),)</f>
        <v>10844</v>
      </c>
      <c r="C81" s="15">
        <f t="shared" si="2"/>
        <v>2.051571616789008E-2</v>
      </c>
      <c r="D81" s="16">
        <f t="shared" si="1"/>
        <v>3.3943554538520215E-2</v>
      </c>
    </row>
    <row r="82" spans="1:4" x14ac:dyDescent="0.2">
      <c r="A82" s="14">
        <v>35886</v>
      </c>
      <c r="B82" s="18">
        <f>VLOOKUP(A82,Database!A:Q,MATCH($A$1,Database!$A$1:$Q$1,),)</f>
        <v>10992</v>
      </c>
      <c r="C82" s="15">
        <f t="shared" si="2"/>
        <v>1.3648100331980819E-2</v>
      </c>
      <c r="D82" s="16">
        <f t="shared" si="1"/>
        <v>3.2888554782935536E-2</v>
      </c>
    </row>
    <row r="83" spans="1:4" x14ac:dyDescent="0.2">
      <c r="A83" s="13">
        <v>35916</v>
      </c>
      <c r="B83" s="18">
        <f>VLOOKUP(A83,Database!A:Q,MATCH($A$1,Database!$A$1:$Q$1,),)</f>
        <v>11189</v>
      </c>
      <c r="C83" s="15">
        <f t="shared" si="2"/>
        <v>1.7922125181950511E-2</v>
      </c>
      <c r="D83" s="16">
        <f t="shared" si="1"/>
        <v>6.0870389684270408E-2</v>
      </c>
    </row>
    <row r="84" spans="1:4" x14ac:dyDescent="0.2">
      <c r="A84" s="14">
        <v>35947</v>
      </c>
      <c r="B84" s="18">
        <f>VLOOKUP(A84,Database!A:Q,MATCH($A$1,Database!$A$1:$Q$1,),)</f>
        <v>11103</v>
      </c>
      <c r="C84" s="15">
        <f t="shared" si="2"/>
        <v>-7.6861202967199926E-3</v>
      </c>
      <c r="D84" s="16">
        <f t="shared" ref="D84:D147" si="3">(B84-B72)/B72</f>
        <v>4.3220896363807194E-2</v>
      </c>
    </row>
    <row r="85" spans="1:4" x14ac:dyDescent="0.2">
      <c r="A85" s="13">
        <v>35977</v>
      </c>
      <c r="B85" s="18">
        <f>VLOOKUP(A85,Database!A:Q,MATCH($A$1,Database!$A$1:$Q$1,),)</f>
        <v>11580</v>
      </c>
      <c r="C85" s="15">
        <f t="shared" si="2"/>
        <v>4.2961361794109698E-2</v>
      </c>
      <c r="D85" s="16">
        <f t="shared" si="3"/>
        <v>6.8660022148394242E-2</v>
      </c>
    </row>
    <row r="86" spans="1:4" x14ac:dyDescent="0.2">
      <c r="A86" s="14">
        <v>36008</v>
      </c>
      <c r="B86" s="18">
        <f>VLOOKUP(A86,Database!A:Q,MATCH($A$1,Database!$A$1:$Q$1,),)</f>
        <v>11375</v>
      </c>
      <c r="C86" s="15">
        <f t="shared" si="2"/>
        <v>-1.7702936096718479E-2</v>
      </c>
      <c r="D86" s="16">
        <f t="shared" si="3"/>
        <v>9.0394938650306747E-2</v>
      </c>
    </row>
    <row r="87" spans="1:4" x14ac:dyDescent="0.2">
      <c r="A87" s="13">
        <v>36039</v>
      </c>
      <c r="B87" s="18">
        <f>VLOOKUP(A87,Database!A:Q,MATCH($A$1,Database!$A$1:$Q$1,),)</f>
        <v>11302</v>
      </c>
      <c r="C87" s="15">
        <f t="shared" si="2"/>
        <v>-6.4175824175824172E-3</v>
      </c>
      <c r="D87" s="16">
        <f t="shared" si="3"/>
        <v>5.9330771393757614E-2</v>
      </c>
    </row>
    <row r="88" spans="1:4" x14ac:dyDescent="0.2">
      <c r="A88" s="14">
        <v>36069</v>
      </c>
      <c r="B88" s="18">
        <f>VLOOKUP(A88,Database!A:Q,MATCH($A$1,Database!$A$1:$Q$1,),)</f>
        <v>11577</v>
      </c>
      <c r="C88" s="15">
        <f t="shared" si="2"/>
        <v>2.4331976641302426E-2</v>
      </c>
      <c r="D88" s="16">
        <f t="shared" si="3"/>
        <v>9.9534618672238576E-2</v>
      </c>
    </row>
    <row r="89" spans="1:4" x14ac:dyDescent="0.2">
      <c r="A89" s="13">
        <v>36100</v>
      </c>
      <c r="B89" s="18">
        <f>VLOOKUP(A89,Database!A:Q,MATCH($A$1,Database!$A$1:$Q$1,),)</f>
        <v>11553</v>
      </c>
      <c r="C89" s="15">
        <f t="shared" si="2"/>
        <v>-2.0730759264058047E-3</v>
      </c>
      <c r="D89" s="16">
        <f t="shared" si="3"/>
        <v>8.2248243559718964E-2</v>
      </c>
    </row>
    <row r="90" spans="1:4" x14ac:dyDescent="0.2">
      <c r="A90" s="14">
        <v>36130</v>
      </c>
      <c r="B90" s="18">
        <f>VLOOKUP(A90,Database!A:Q,MATCH($A$1,Database!$A$1:$Q$1,),)</f>
        <v>11459</v>
      </c>
      <c r="C90" s="15">
        <f t="shared" si="2"/>
        <v>-8.1364147840387781E-3</v>
      </c>
      <c r="D90" s="16">
        <f t="shared" si="3"/>
        <v>9.2373689227836037E-2</v>
      </c>
    </row>
    <row r="91" spans="1:4" x14ac:dyDescent="0.2">
      <c r="A91" s="13">
        <v>36161</v>
      </c>
      <c r="B91" s="18">
        <f>VLOOKUP(A91,Database!A:Q,MATCH($A$1,Database!$A$1:$Q$1,),)</f>
        <v>11720</v>
      </c>
      <c r="C91" s="15">
        <f t="shared" si="2"/>
        <v>2.2776856619251242E-2</v>
      </c>
      <c r="D91" s="16">
        <f t="shared" si="3"/>
        <v>0.12800769971126083</v>
      </c>
    </row>
    <row r="92" spans="1:4" x14ac:dyDescent="0.2">
      <c r="A92" s="14">
        <v>36192</v>
      </c>
      <c r="B92" s="18">
        <f>VLOOKUP(A92,Database!A:Q,MATCH($A$1,Database!$A$1:$Q$1,),)</f>
        <v>11821</v>
      </c>
      <c r="C92" s="15">
        <f t="shared" si="2"/>
        <v>8.617747440273037E-3</v>
      </c>
      <c r="D92" s="16">
        <f t="shared" si="3"/>
        <v>0.11246000376435158</v>
      </c>
    </row>
    <row r="93" spans="1:4" x14ac:dyDescent="0.2">
      <c r="A93" s="13">
        <v>36220</v>
      </c>
      <c r="B93" s="18">
        <f>VLOOKUP(A93,Database!A:Q,MATCH($A$1,Database!$A$1:$Q$1,),)</f>
        <v>12052</v>
      </c>
      <c r="C93" s="15">
        <f t="shared" si="2"/>
        <v>1.9541493951442349E-2</v>
      </c>
      <c r="D93" s="16">
        <f t="shared" si="3"/>
        <v>0.11139800811508668</v>
      </c>
    </row>
    <row r="94" spans="1:4" x14ac:dyDescent="0.2">
      <c r="A94" s="14">
        <v>36251</v>
      </c>
      <c r="B94" s="18">
        <f>VLOOKUP(A94,Database!A:Q,MATCH($A$1,Database!$A$1:$Q$1,),)</f>
        <v>12345</v>
      </c>
      <c r="C94" s="15">
        <f t="shared" si="2"/>
        <v>2.4311317623630934E-2</v>
      </c>
      <c r="D94" s="16">
        <f t="shared" si="3"/>
        <v>0.12308951965065502</v>
      </c>
    </row>
    <row r="95" spans="1:4" x14ac:dyDescent="0.2">
      <c r="A95" s="13">
        <v>36281</v>
      </c>
      <c r="B95" s="18">
        <f>VLOOKUP(A95,Database!A:Q,MATCH($A$1,Database!$A$1:$Q$1,),)</f>
        <v>12558</v>
      </c>
      <c r="C95" s="15">
        <f t="shared" si="2"/>
        <v>1.7253948967193195E-2</v>
      </c>
      <c r="D95" s="16">
        <f t="shared" si="3"/>
        <v>0.12235231030476361</v>
      </c>
    </row>
    <row r="96" spans="1:4" x14ac:dyDescent="0.2">
      <c r="A96" s="14">
        <v>36312</v>
      </c>
      <c r="B96" s="18">
        <f>VLOOKUP(A96,Database!A:Q,MATCH($A$1,Database!$A$1:$Q$1,),)</f>
        <v>12558</v>
      </c>
      <c r="C96" s="15">
        <f t="shared" si="2"/>
        <v>0</v>
      </c>
      <c r="D96" s="16">
        <f t="shared" si="3"/>
        <v>0.13104566333423398</v>
      </c>
    </row>
    <row r="97" spans="1:4" x14ac:dyDescent="0.2">
      <c r="A97" s="13">
        <v>36342</v>
      </c>
      <c r="B97" s="18">
        <f>VLOOKUP(A97,Database!A:Q,MATCH($A$1,Database!$A$1:$Q$1,),)</f>
        <v>12742</v>
      </c>
      <c r="C97" s="15">
        <f t="shared" si="2"/>
        <v>1.4652014652014652E-2</v>
      </c>
      <c r="D97" s="16">
        <f t="shared" si="3"/>
        <v>0.1003454231433506</v>
      </c>
    </row>
    <row r="98" spans="1:4" x14ac:dyDescent="0.2">
      <c r="A98" s="14">
        <v>36373</v>
      </c>
      <c r="B98" s="18">
        <f>VLOOKUP(A98,Database!A:Q,MATCH($A$1,Database!$A$1:$Q$1,),)</f>
        <v>12965</v>
      </c>
      <c r="C98" s="15">
        <f t="shared" si="2"/>
        <v>1.7501177209229321E-2</v>
      </c>
      <c r="D98" s="16">
        <f t="shared" si="3"/>
        <v>0.13978021978021979</v>
      </c>
    </row>
    <row r="99" spans="1:4" x14ac:dyDescent="0.2">
      <c r="A99" s="13">
        <v>36404</v>
      </c>
      <c r="B99" s="18">
        <f>VLOOKUP(A99,Database!A:Q,MATCH($A$1,Database!$A$1:$Q$1,),)</f>
        <v>13196</v>
      </c>
      <c r="C99" s="15">
        <f t="shared" si="2"/>
        <v>1.7817200154261473E-2</v>
      </c>
      <c r="D99" s="16">
        <f t="shared" si="3"/>
        <v>0.16758095912227924</v>
      </c>
    </row>
    <row r="100" spans="1:4" x14ac:dyDescent="0.2">
      <c r="A100" s="14">
        <v>36434</v>
      </c>
      <c r="B100" s="18">
        <f>VLOOKUP(A100,Database!A:Q,MATCH($A$1,Database!$A$1:$Q$1,),)</f>
        <v>13127</v>
      </c>
      <c r="C100" s="15">
        <f t="shared" si="2"/>
        <v>-5.2288572294634742E-3</v>
      </c>
      <c r="D100" s="16">
        <f t="shared" si="3"/>
        <v>0.13388615358037489</v>
      </c>
    </row>
    <row r="101" spans="1:4" x14ac:dyDescent="0.2">
      <c r="A101" s="13">
        <v>36465</v>
      </c>
      <c r="B101" s="18">
        <f>VLOOKUP(A101,Database!A:Q,MATCH($A$1,Database!$A$1:$Q$1,),)</f>
        <v>13110</v>
      </c>
      <c r="C101" s="15">
        <f t="shared" si="2"/>
        <v>-1.2950407556943705E-3</v>
      </c>
      <c r="D101" s="16">
        <f t="shared" si="3"/>
        <v>0.13477018956115294</v>
      </c>
    </row>
    <row r="102" spans="1:4" x14ac:dyDescent="0.2">
      <c r="A102" s="14">
        <v>36495</v>
      </c>
      <c r="B102" s="18">
        <f>VLOOKUP(A102,Database!A:Q,MATCH($A$1,Database!$A$1:$Q$1,),)</f>
        <v>13528</v>
      </c>
      <c r="C102" s="15">
        <f t="shared" si="2"/>
        <v>3.1884057971014491E-2</v>
      </c>
      <c r="D102" s="16">
        <f t="shared" si="3"/>
        <v>0.18055676760624836</v>
      </c>
    </row>
    <row r="103" spans="1:4" x14ac:dyDescent="0.2">
      <c r="A103" s="13">
        <v>36526</v>
      </c>
      <c r="B103" s="18">
        <f>VLOOKUP(A103,Database!A:Q,MATCH($A$1,Database!$A$1:$Q$1,),)</f>
        <v>13855</v>
      </c>
      <c r="C103" s="15">
        <f t="shared" si="2"/>
        <v>2.4172087522176228E-2</v>
      </c>
      <c r="D103" s="16">
        <f t="shared" si="3"/>
        <v>0.18216723549488054</v>
      </c>
    </row>
    <row r="104" spans="1:4" x14ac:dyDescent="0.2">
      <c r="A104" s="14">
        <v>36557</v>
      </c>
      <c r="B104" s="18">
        <f>VLOOKUP(A104,Database!A:Q,MATCH($A$1,Database!$A$1:$Q$1,),)</f>
        <v>14241</v>
      </c>
      <c r="C104" s="15">
        <f t="shared" si="2"/>
        <v>2.7859978347167087E-2</v>
      </c>
      <c r="D104" s="16">
        <f t="shared" si="3"/>
        <v>0.20472041282463413</v>
      </c>
    </row>
    <row r="105" spans="1:4" x14ac:dyDescent="0.2">
      <c r="A105" s="13">
        <v>36586</v>
      </c>
      <c r="B105" s="18">
        <f>VLOOKUP(A105,Database!A:Q,MATCH($A$1,Database!$A$1:$Q$1,),)</f>
        <v>14261</v>
      </c>
      <c r="C105" s="15">
        <f t="shared" si="2"/>
        <v>1.4043957587248086E-3</v>
      </c>
      <c r="D105" s="16">
        <f t="shared" si="3"/>
        <v>0.18328908065051444</v>
      </c>
    </row>
    <row r="106" spans="1:4" x14ac:dyDescent="0.2">
      <c r="A106" s="14">
        <v>36617</v>
      </c>
      <c r="B106" s="18">
        <f>VLOOKUP(A106,Database!A:Q,MATCH($A$1,Database!$A$1:$Q$1,),)</f>
        <v>14458</v>
      </c>
      <c r="C106" s="15">
        <f t="shared" si="2"/>
        <v>1.3813898043615455E-2</v>
      </c>
      <c r="D106" s="16">
        <f t="shared" si="3"/>
        <v>0.17116241393276629</v>
      </c>
    </row>
    <row r="107" spans="1:4" x14ac:dyDescent="0.2">
      <c r="A107" s="13">
        <v>36647</v>
      </c>
      <c r="B107" s="18">
        <f>VLOOKUP(A107,Database!A:Q,MATCH($A$1,Database!$A$1:$Q$1,),)</f>
        <v>14539</v>
      </c>
      <c r="C107" s="15">
        <f t="shared" si="2"/>
        <v>5.6024346382625538E-3</v>
      </c>
      <c r="D107" s="16">
        <f t="shared" si="3"/>
        <v>0.15774804905239687</v>
      </c>
    </row>
    <row r="108" spans="1:4" x14ac:dyDescent="0.2">
      <c r="A108" s="14">
        <v>36678</v>
      </c>
      <c r="B108" s="18">
        <f>VLOOKUP(A108,Database!A:Q,MATCH($A$1,Database!$A$1:$Q$1,),)</f>
        <v>14949</v>
      </c>
      <c r="C108" s="15">
        <f t="shared" si="2"/>
        <v>2.8200013756104272E-2</v>
      </c>
      <c r="D108" s="16">
        <f t="shared" si="3"/>
        <v>0.19039655996177735</v>
      </c>
    </row>
    <row r="109" spans="1:4" x14ac:dyDescent="0.2">
      <c r="A109" s="13">
        <v>36708</v>
      </c>
      <c r="B109" s="18">
        <f>VLOOKUP(A109,Database!A:Q,MATCH($A$1,Database!$A$1:$Q$1,),)</f>
        <v>15037</v>
      </c>
      <c r="C109" s="15">
        <f t="shared" si="2"/>
        <v>5.8866813833701251E-3</v>
      </c>
      <c r="D109" s="16">
        <f t="shared" si="3"/>
        <v>0.18011301208601477</v>
      </c>
    </row>
    <row r="110" spans="1:4" x14ac:dyDescent="0.2">
      <c r="A110" s="14">
        <v>36739</v>
      </c>
      <c r="B110" s="18">
        <f>VLOOKUP(A110,Database!A:Q,MATCH($A$1,Database!$A$1:$Q$1,),)</f>
        <v>15280</v>
      </c>
      <c r="C110" s="15">
        <f t="shared" si="2"/>
        <v>1.6160138325463855E-2</v>
      </c>
      <c r="D110" s="16">
        <f t="shared" si="3"/>
        <v>0.1785576552256074</v>
      </c>
    </row>
    <row r="111" spans="1:4" x14ac:dyDescent="0.2">
      <c r="A111" s="13">
        <v>36770</v>
      </c>
      <c r="B111" s="18">
        <f>VLOOKUP(A111,Database!A:Q,MATCH($A$1,Database!$A$1:$Q$1,),)</f>
        <v>15775</v>
      </c>
      <c r="C111" s="15">
        <f t="shared" si="2"/>
        <v>3.2395287958115186E-2</v>
      </c>
      <c r="D111" s="16">
        <f t="shared" si="3"/>
        <v>0.19543801151864201</v>
      </c>
    </row>
    <row r="112" spans="1:4" x14ac:dyDescent="0.2">
      <c r="A112" s="14">
        <v>36800</v>
      </c>
      <c r="B112" s="18">
        <f>VLOOKUP(A112,Database!A:Q,MATCH($A$1,Database!$A$1:$Q$1,),)</f>
        <v>15698</v>
      </c>
      <c r="C112" s="15">
        <f t="shared" si="2"/>
        <v>-4.8811410459587952E-3</v>
      </c>
      <c r="D112" s="16">
        <f t="shared" si="3"/>
        <v>0.195855869581778</v>
      </c>
    </row>
    <row r="113" spans="1:4" x14ac:dyDescent="0.2">
      <c r="A113" s="13">
        <v>36831</v>
      </c>
      <c r="B113" s="18">
        <f>VLOOKUP(A113,Database!A:Q,MATCH($A$1,Database!$A$1:$Q$1,),)</f>
        <v>15883</v>
      </c>
      <c r="C113" s="15">
        <f t="shared" si="2"/>
        <v>1.1784940756784304E-2</v>
      </c>
      <c r="D113" s="16">
        <f t="shared" si="3"/>
        <v>0.21151792524790236</v>
      </c>
    </row>
    <row r="114" spans="1:4" x14ac:dyDescent="0.2">
      <c r="A114" s="14">
        <v>36861</v>
      </c>
      <c r="B114" s="18">
        <f>VLOOKUP(A114,Database!A:Q,MATCH($A$1,Database!$A$1:$Q$1,),)</f>
        <v>16538</v>
      </c>
      <c r="C114" s="15">
        <f t="shared" si="2"/>
        <v>4.1239060630863189E-2</v>
      </c>
      <c r="D114" s="16">
        <f t="shared" si="3"/>
        <v>0.22250147841513898</v>
      </c>
    </row>
    <row r="115" spans="1:4" x14ac:dyDescent="0.2">
      <c r="A115" s="13">
        <v>36892</v>
      </c>
      <c r="B115" s="18">
        <f>VLOOKUP(A115,Database!A:Q,MATCH($A$1,Database!$A$1:$Q$1,),)</f>
        <v>15505</v>
      </c>
      <c r="C115" s="15">
        <f t="shared" si="2"/>
        <v>-6.2462208247672027E-2</v>
      </c>
      <c r="D115" s="16">
        <f t="shared" si="3"/>
        <v>0.11909058101768315</v>
      </c>
    </row>
    <row r="116" spans="1:4" x14ac:dyDescent="0.2">
      <c r="A116" s="14">
        <v>36923</v>
      </c>
      <c r="B116" s="18">
        <f>VLOOKUP(A116,Database!A:Q,MATCH($A$1,Database!$A$1:$Q$1,),)</f>
        <v>15223</v>
      </c>
      <c r="C116" s="15">
        <f t="shared" si="2"/>
        <v>-1.8187681393099002E-2</v>
      </c>
      <c r="D116" s="16">
        <f t="shared" si="3"/>
        <v>6.8955831753388111E-2</v>
      </c>
    </row>
    <row r="117" spans="1:4" x14ac:dyDescent="0.2">
      <c r="A117" s="13">
        <v>36951</v>
      </c>
      <c r="B117" s="18">
        <f>VLOOKUP(A117,Database!A:Q,MATCH($A$1,Database!$A$1:$Q$1,),)</f>
        <v>15354</v>
      </c>
      <c r="C117" s="15">
        <f t="shared" si="2"/>
        <v>8.605399724101688E-3</v>
      </c>
      <c r="D117" s="16">
        <f t="shared" si="3"/>
        <v>7.6642591683612649E-2</v>
      </c>
    </row>
    <row r="118" spans="1:4" x14ac:dyDescent="0.2">
      <c r="A118" s="14">
        <v>36982</v>
      </c>
      <c r="B118" s="18">
        <f>VLOOKUP(A118,Database!A:Q,MATCH($A$1,Database!$A$1:$Q$1,),)</f>
        <v>15289</v>
      </c>
      <c r="C118" s="15">
        <f t="shared" si="2"/>
        <v>-4.2334245147844212E-3</v>
      </c>
      <c r="D118" s="16">
        <f t="shared" si="3"/>
        <v>5.7476829436989903E-2</v>
      </c>
    </row>
    <row r="119" spans="1:4" x14ac:dyDescent="0.2">
      <c r="A119" s="13">
        <v>37012</v>
      </c>
      <c r="B119" s="18">
        <f>VLOOKUP(A119,Database!A:Q,MATCH($A$1,Database!$A$1:$Q$1,),)</f>
        <v>14876</v>
      </c>
      <c r="C119" s="15">
        <f t="shared" si="2"/>
        <v>-2.7012885080777028E-2</v>
      </c>
      <c r="D119" s="16">
        <f t="shared" si="3"/>
        <v>2.3179035697090584E-2</v>
      </c>
    </row>
    <row r="120" spans="1:4" x14ac:dyDescent="0.2">
      <c r="A120" s="14">
        <v>37043</v>
      </c>
      <c r="B120" s="18">
        <f>VLOOKUP(A120,Database!A:Q,MATCH($A$1,Database!$A$1:$Q$1,),)</f>
        <v>14981</v>
      </c>
      <c r="C120" s="15">
        <f t="shared" si="2"/>
        <v>7.0583490185533743E-3</v>
      </c>
      <c r="D120" s="16">
        <f t="shared" si="3"/>
        <v>2.1406114121345909E-3</v>
      </c>
    </row>
    <row r="121" spans="1:4" x14ac:dyDescent="0.2">
      <c r="A121" s="13">
        <v>37073</v>
      </c>
      <c r="B121" s="18">
        <f>VLOOKUP(A121,Database!A:Q,MATCH($A$1,Database!$A$1:$Q$1,),)</f>
        <v>14964</v>
      </c>
      <c r="C121" s="15">
        <f t="shared" si="2"/>
        <v>-1.1347707095654496E-3</v>
      </c>
      <c r="D121" s="16">
        <f t="shared" si="3"/>
        <v>-4.8546917603245329E-3</v>
      </c>
    </row>
    <row r="122" spans="1:4" x14ac:dyDescent="0.2">
      <c r="A122" s="14">
        <v>37104</v>
      </c>
      <c r="B122" s="18">
        <f>VLOOKUP(A122,Database!A:Q,MATCH($A$1,Database!$A$1:$Q$1,),)</f>
        <v>15214</v>
      </c>
      <c r="C122" s="15">
        <f t="shared" si="2"/>
        <v>1.6706762897620957E-2</v>
      </c>
      <c r="D122" s="16">
        <f t="shared" si="3"/>
        <v>-4.319371727748691E-3</v>
      </c>
    </row>
    <row r="123" spans="1:4" x14ac:dyDescent="0.2">
      <c r="A123" s="13">
        <v>37135</v>
      </c>
      <c r="B123" s="18">
        <f>VLOOKUP(A123,Database!A:Q,MATCH($A$1,Database!$A$1:$Q$1,),)</f>
        <v>14473</v>
      </c>
      <c r="C123" s="15">
        <f t="shared" si="2"/>
        <v>-4.8705140002629155E-2</v>
      </c>
      <c r="D123" s="16">
        <f t="shared" si="3"/>
        <v>-8.2535657686212363E-2</v>
      </c>
    </row>
    <row r="124" spans="1:4" x14ac:dyDescent="0.2">
      <c r="A124" s="14">
        <v>37165</v>
      </c>
      <c r="B124" s="18">
        <f>VLOOKUP(A124,Database!A:Q,MATCH($A$1,Database!$A$1:$Q$1,),)</f>
        <v>14979</v>
      </c>
      <c r="C124" s="15">
        <f t="shared" si="2"/>
        <v>3.4961652732674632E-2</v>
      </c>
      <c r="D124" s="16">
        <f t="shared" si="3"/>
        <v>-4.5802012995286023E-2</v>
      </c>
    </row>
    <row r="125" spans="1:4" x14ac:dyDescent="0.2">
      <c r="A125" s="13">
        <v>37196</v>
      </c>
      <c r="B125" s="18">
        <f>VLOOKUP(A125,Database!A:Q,MATCH($A$1,Database!$A$1:$Q$1,),)</f>
        <v>14837</v>
      </c>
      <c r="C125" s="15">
        <f t="shared" si="2"/>
        <v>-9.4799385806796175E-3</v>
      </c>
      <c r="D125" s="16">
        <f t="shared" si="3"/>
        <v>-6.5856576213561668E-2</v>
      </c>
    </row>
    <row r="126" spans="1:4" x14ac:dyDescent="0.2">
      <c r="A126" s="14">
        <v>37226</v>
      </c>
      <c r="B126" s="18">
        <f>VLOOKUP(A126,Database!A:Q,MATCH($A$1,Database!$A$1:$Q$1,),)</f>
        <v>14810</v>
      </c>
      <c r="C126" s="15">
        <f t="shared" si="2"/>
        <v>-1.8197748871065578E-3</v>
      </c>
      <c r="D126" s="16">
        <f t="shared" si="3"/>
        <v>-0.10448663683637682</v>
      </c>
    </row>
    <row r="127" spans="1:4" x14ac:dyDescent="0.2">
      <c r="A127" s="13">
        <v>37257</v>
      </c>
      <c r="B127" s="18">
        <f>VLOOKUP(A127,Database!A:Q,MATCH($A$1,Database!$A$1:$Q$1,),)</f>
        <v>15091</v>
      </c>
      <c r="C127" s="15">
        <f t="shared" si="2"/>
        <v>1.8973666441593519E-2</v>
      </c>
      <c r="D127" s="16">
        <f t="shared" si="3"/>
        <v>-2.6701064172847469E-2</v>
      </c>
    </row>
    <row r="128" spans="1:4" x14ac:dyDescent="0.2">
      <c r="A128" s="14">
        <v>37288</v>
      </c>
      <c r="B128" s="18">
        <f>VLOOKUP(A128,Database!A:Q,MATCH($A$1,Database!$A$1:$Q$1,),)</f>
        <v>15054</v>
      </c>
      <c r="C128" s="15">
        <f t="shared" si="2"/>
        <v>-2.4517924590815717E-3</v>
      </c>
      <c r="D128" s="16">
        <f t="shared" si="3"/>
        <v>-1.1101622544833475E-2</v>
      </c>
    </row>
    <row r="129" spans="1:4" x14ac:dyDescent="0.2">
      <c r="A129" s="13">
        <v>37316</v>
      </c>
      <c r="B129" s="18">
        <f>VLOOKUP(A129,Database!A:Q,MATCH($A$1,Database!$A$1:$Q$1,),)</f>
        <v>15345</v>
      </c>
      <c r="C129" s="15">
        <f t="shared" si="2"/>
        <v>1.9330410522120367E-2</v>
      </c>
      <c r="D129" s="16">
        <f t="shared" si="3"/>
        <v>-5.8616647127784287E-4</v>
      </c>
    </row>
    <row r="130" spans="1:4" x14ac:dyDescent="0.2">
      <c r="A130" s="14">
        <v>37347</v>
      </c>
      <c r="B130" s="18">
        <f>VLOOKUP(A130,Database!A:Q,MATCH($A$1,Database!$A$1:$Q$1,),)</f>
        <v>15675</v>
      </c>
      <c r="C130" s="15">
        <f t="shared" si="2"/>
        <v>2.1505376344086023E-2</v>
      </c>
      <c r="D130" s="16">
        <f t="shared" si="3"/>
        <v>2.5246909542808556E-2</v>
      </c>
    </row>
    <row r="131" spans="1:4" x14ac:dyDescent="0.2">
      <c r="A131" s="13">
        <v>37377</v>
      </c>
      <c r="B131" s="18">
        <f>VLOOKUP(A131,Database!A:Q,MATCH($A$1,Database!$A$1:$Q$1,),)</f>
        <v>15850</v>
      </c>
      <c r="C131" s="15">
        <f t="shared" si="2"/>
        <v>1.1164274322169059E-2</v>
      </c>
      <c r="D131" s="16">
        <f t="shared" si="3"/>
        <v>6.547458994353321E-2</v>
      </c>
    </row>
    <row r="132" spans="1:4" x14ac:dyDescent="0.2">
      <c r="A132" s="14">
        <v>37408</v>
      </c>
      <c r="B132" s="18">
        <f>VLOOKUP(A132,Database!A:Q,MATCH($A$1,Database!$A$1:$Q$1,),)</f>
        <v>15725</v>
      </c>
      <c r="C132" s="15">
        <f t="shared" si="2"/>
        <v>-7.8864353312302835E-3</v>
      </c>
      <c r="D132" s="16">
        <f t="shared" si="3"/>
        <v>4.9662906348040853E-2</v>
      </c>
    </row>
    <row r="133" spans="1:4" x14ac:dyDescent="0.2">
      <c r="A133" s="13">
        <v>37438</v>
      </c>
      <c r="B133" s="18">
        <f>VLOOKUP(A133,Database!A:Q,MATCH($A$1,Database!$A$1:$Q$1,),)</f>
        <v>16018</v>
      </c>
      <c r="C133" s="15">
        <f t="shared" si="2"/>
        <v>1.863275039745628E-2</v>
      </c>
      <c r="D133" s="16">
        <f t="shared" si="3"/>
        <v>7.0435712376369961E-2</v>
      </c>
    </row>
    <row r="134" spans="1:4" x14ac:dyDescent="0.2">
      <c r="A134" s="14">
        <v>37469</v>
      </c>
      <c r="B134" s="18">
        <f>VLOOKUP(A134,Database!A:Q,MATCH($A$1,Database!$A$1:$Q$1,),)</f>
        <v>15881</v>
      </c>
      <c r="C134" s="15">
        <f t="shared" si="2"/>
        <v>-8.5528780122362345E-3</v>
      </c>
      <c r="D134" s="16">
        <f t="shared" si="3"/>
        <v>4.3841198895753913E-2</v>
      </c>
    </row>
    <row r="135" spans="1:4" x14ac:dyDescent="0.2">
      <c r="A135" s="13">
        <v>37500</v>
      </c>
      <c r="B135" s="18">
        <f>VLOOKUP(A135,Database!A:Q,MATCH($A$1,Database!$A$1:$Q$1,),)</f>
        <v>15725</v>
      </c>
      <c r="C135" s="15">
        <f t="shared" si="2"/>
        <v>-9.8230590013223349E-3</v>
      </c>
      <c r="D135" s="16">
        <f t="shared" si="3"/>
        <v>8.6505907551993361E-2</v>
      </c>
    </row>
    <row r="136" spans="1:4" x14ac:dyDescent="0.2">
      <c r="A136" s="14">
        <v>37530</v>
      </c>
      <c r="B136" s="18">
        <f>VLOOKUP(A136,Database!A:Q,MATCH($A$1,Database!$A$1:$Q$1,),)</f>
        <v>15977</v>
      </c>
      <c r="C136" s="15">
        <f t="shared" si="2"/>
        <v>1.6025437201907789E-2</v>
      </c>
      <c r="D136" s="16">
        <f t="shared" si="3"/>
        <v>6.6626610588156748E-2</v>
      </c>
    </row>
    <row r="137" spans="1:4" x14ac:dyDescent="0.2">
      <c r="A137" s="13">
        <v>37561</v>
      </c>
      <c r="B137" s="18">
        <f>VLOOKUP(A137,Database!A:Q,MATCH($A$1,Database!$A$1:$Q$1,),)</f>
        <v>16416</v>
      </c>
      <c r="C137" s="15">
        <f t="shared" ref="C137:C200" si="4">(B137-B136)/B136</f>
        <v>2.7476998184890779E-2</v>
      </c>
      <c r="D137" s="16">
        <f t="shared" si="3"/>
        <v>0.10642313136078722</v>
      </c>
    </row>
    <row r="138" spans="1:4" x14ac:dyDescent="0.2">
      <c r="A138" s="14">
        <v>37591</v>
      </c>
      <c r="B138" s="18">
        <f>VLOOKUP(A138,Database!A:Q,MATCH($A$1,Database!$A$1:$Q$1,),)</f>
        <v>16497</v>
      </c>
      <c r="C138" s="15">
        <f t="shared" si="4"/>
        <v>4.9342105263157892E-3</v>
      </c>
      <c r="D138" s="16">
        <f t="shared" si="3"/>
        <v>0.11390952059419311</v>
      </c>
    </row>
    <row r="139" spans="1:4" x14ac:dyDescent="0.2">
      <c r="A139" s="13">
        <v>37622</v>
      </c>
      <c r="B139" s="18">
        <f>VLOOKUP(A139,Database!A:Q,MATCH($A$1,Database!$A$1:$Q$1,),)</f>
        <v>16434</v>
      </c>
      <c r="C139" s="15">
        <f t="shared" si="4"/>
        <v>-3.8188761593016913E-3</v>
      </c>
      <c r="D139" s="16">
        <f t="shared" si="3"/>
        <v>8.8993439798555424E-2</v>
      </c>
    </row>
    <row r="140" spans="1:4" x14ac:dyDescent="0.2">
      <c r="A140" s="14">
        <v>37653</v>
      </c>
      <c r="B140" s="18">
        <f>VLOOKUP(A140,Database!A:Q,MATCH($A$1,Database!$A$1:$Q$1,),)</f>
        <v>16933</v>
      </c>
      <c r="C140" s="15">
        <f t="shared" si="4"/>
        <v>3.0363879761470123E-2</v>
      </c>
      <c r="D140" s="16">
        <f t="shared" si="3"/>
        <v>0.12481732429918958</v>
      </c>
    </row>
    <row r="141" spans="1:4" x14ac:dyDescent="0.2">
      <c r="A141" s="13">
        <v>37681</v>
      </c>
      <c r="B141" s="18">
        <f>VLOOKUP(A141,Database!A:Q,MATCH($A$1,Database!$A$1:$Q$1,),)</f>
        <v>16764</v>
      </c>
      <c r="C141" s="15">
        <f t="shared" si="4"/>
        <v>-9.9805114273903029E-3</v>
      </c>
      <c r="D141" s="16">
        <f t="shared" si="3"/>
        <v>9.2473118279569888E-2</v>
      </c>
    </row>
    <row r="142" spans="1:4" x14ac:dyDescent="0.2">
      <c r="A142" s="14">
        <v>37712</v>
      </c>
      <c r="B142" s="18">
        <f>VLOOKUP(A142,Database!A:Q,MATCH($A$1,Database!$A$1:$Q$1,),)</f>
        <v>16593</v>
      </c>
      <c r="C142" s="15">
        <f t="shared" si="4"/>
        <v>-1.0200429491768075E-2</v>
      </c>
      <c r="D142" s="16">
        <f t="shared" si="3"/>
        <v>5.8564593301435409E-2</v>
      </c>
    </row>
    <row r="143" spans="1:4" x14ac:dyDescent="0.2">
      <c r="A143" s="13">
        <v>37742</v>
      </c>
      <c r="B143" s="18">
        <f>VLOOKUP(A143,Database!A:Q,MATCH($A$1,Database!$A$1:$Q$1,),)</f>
        <v>16722</v>
      </c>
      <c r="C143" s="15">
        <f t="shared" si="4"/>
        <v>7.7743626830591214E-3</v>
      </c>
      <c r="D143" s="16">
        <f t="shared" si="3"/>
        <v>5.5015772870662463E-2</v>
      </c>
    </row>
    <row r="144" spans="1:4" x14ac:dyDescent="0.2">
      <c r="A144" s="14">
        <v>37773</v>
      </c>
      <c r="B144" s="18">
        <f>VLOOKUP(A144,Database!A:Q,MATCH($A$1,Database!$A$1:$Q$1,),)</f>
        <v>16938</v>
      </c>
      <c r="C144" s="15">
        <f t="shared" si="4"/>
        <v>1.2917115177610334E-2</v>
      </c>
      <c r="D144" s="16">
        <f t="shared" si="3"/>
        <v>7.7138314785373613E-2</v>
      </c>
    </row>
    <row r="145" spans="1:4" x14ac:dyDescent="0.2">
      <c r="A145" s="13">
        <v>37803</v>
      </c>
      <c r="B145" s="18">
        <f>VLOOKUP(A145,Database!A:Q,MATCH($A$1,Database!$A$1:$Q$1,),)</f>
        <v>17049</v>
      </c>
      <c r="C145" s="15">
        <f t="shared" si="4"/>
        <v>6.5533120793482115E-3</v>
      </c>
      <c r="D145" s="16">
        <f t="shared" si="3"/>
        <v>6.4365089274566106E-2</v>
      </c>
    </row>
    <row r="146" spans="1:4" x14ac:dyDescent="0.2">
      <c r="A146" s="14">
        <v>37834</v>
      </c>
      <c r="B146" s="18">
        <f>VLOOKUP(A146,Database!A:Q,MATCH($A$1,Database!$A$1:$Q$1,),)</f>
        <v>17312</v>
      </c>
      <c r="C146" s="15">
        <f t="shared" si="4"/>
        <v>1.5426124699395858E-2</v>
      </c>
      <c r="D146" s="16">
        <f t="shared" si="3"/>
        <v>9.010767583905295E-2</v>
      </c>
    </row>
    <row r="147" spans="1:4" x14ac:dyDescent="0.2">
      <c r="A147" s="13">
        <v>37865</v>
      </c>
      <c r="B147" s="18">
        <f>VLOOKUP(A147,Database!A:Q,MATCH($A$1,Database!$A$1:$Q$1,),)</f>
        <v>17595</v>
      </c>
      <c r="C147" s="15">
        <f t="shared" si="4"/>
        <v>1.6347042513863215E-2</v>
      </c>
      <c r="D147" s="16">
        <f t="shared" si="3"/>
        <v>0.11891891891891893</v>
      </c>
    </row>
    <row r="148" spans="1:4" x14ac:dyDescent="0.2">
      <c r="A148" s="14">
        <v>37895</v>
      </c>
      <c r="B148" s="18">
        <f>VLOOKUP(A148,Database!A:Q,MATCH($A$1,Database!$A$1:$Q$1,),)</f>
        <v>17778</v>
      </c>
      <c r="C148" s="15">
        <f t="shared" si="4"/>
        <v>1.0400682011935209E-2</v>
      </c>
      <c r="D148" s="16">
        <f t="shared" ref="D148:D211" si="5">(B148-B136)/B136</f>
        <v>0.11272454152844714</v>
      </c>
    </row>
    <row r="149" spans="1:4" x14ac:dyDescent="0.2">
      <c r="A149" s="13">
        <v>37926</v>
      </c>
      <c r="B149" s="18">
        <f>VLOOKUP(A149,Database!A:Q,MATCH($A$1,Database!$A$1:$Q$1,),)</f>
        <v>17881</v>
      </c>
      <c r="C149" s="15">
        <f t="shared" si="4"/>
        <v>5.7936775790302618E-3</v>
      </c>
      <c r="D149" s="16">
        <f t="shared" si="5"/>
        <v>8.9242202729044831E-2</v>
      </c>
    </row>
    <row r="150" spans="1:4" x14ac:dyDescent="0.2">
      <c r="A150" s="14">
        <v>37956</v>
      </c>
      <c r="B150" s="18">
        <f>VLOOKUP(A150,Database!A:Q,MATCH($A$1,Database!$A$1:$Q$1,),)</f>
        <v>17742</v>
      </c>
      <c r="C150" s="15">
        <f t="shared" si="4"/>
        <v>-7.7736144510933396E-3</v>
      </c>
      <c r="D150" s="16">
        <f t="shared" si="5"/>
        <v>7.5468266957628663E-2</v>
      </c>
    </row>
    <row r="151" spans="1:4" x14ac:dyDescent="0.2">
      <c r="A151" s="13">
        <v>37987</v>
      </c>
      <c r="B151" s="18">
        <f>VLOOKUP(A151,Database!A:Q,MATCH($A$1,Database!$A$1:$Q$1,),)</f>
        <v>18275</v>
      </c>
      <c r="C151" s="15">
        <f t="shared" si="4"/>
        <v>3.0041708939240221E-2</v>
      </c>
      <c r="D151" s="16">
        <f t="shared" si="5"/>
        <v>0.11202385298770841</v>
      </c>
    </row>
    <row r="152" spans="1:4" x14ac:dyDescent="0.2">
      <c r="A152" s="14">
        <v>38018</v>
      </c>
      <c r="B152" s="18">
        <f>VLOOKUP(A152,Database!A:Q,MATCH($A$1,Database!$A$1:$Q$1,),)</f>
        <v>18566</v>
      </c>
      <c r="C152" s="15">
        <f t="shared" si="4"/>
        <v>1.5923392612859098E-2</v>
      </c>
      <c r="D152" s="16">
        <f t="shared" si="5"/>
        <v>9.6438906277682632E-2</v>
      </c>
    </row>
    <row r="153" spans="1:4" x14ac:dyDescent="0.2">
      <c r="A153" s="13">
        <v>38047</v>
      </c>
      <c r="B153" s="18">
        <f>VLOOKUP(A153,Database!A:Q,MATCH($A$1,Database!$A$1:$Q$1,),)</f>
        <v>18072</v>
      </c>
      <c r="C153" s="15">
        <f t="shared" si="4"/>
        <v>-2.6607777658084669E-2</v>
      </c>
      <c r="D153" s="16">
        <f t="shared" si="5"/>
        <v>7.8024337866857557E-2</v>
      </c>
    </row>
    <row r="154" spans="1:4" x14ac:dyDescent="0.2">
      <c r="A154" s="14">
        <v>38078</v>
      </c>
      <c r="B154" s="18">
        <f>VLOOKUP(A154,Database!A:Q,MATCH($A$1,Database!$A$1:$Q$1,),)</f>
        <v>18442</v>
      </c>
      <c r="C154" s="15">
        <f t="shared" si="4"/>
        <v>2.0473660911907925E-2</v>
      </c>
      <c r="D154" s="16">
        <f t="shared" si="5"/>
        <v>0.11143253179051407</v>
      </c>
    </row>
    <row r="155" spans="1:4" x14ac:dyDescent="0.2">
      <c r="A155" s="13">
        <v>38108</v>
      </c>
      <c r="B155" s="18">
        <f>VLOOKUP(A155,Database!A:Q,MATCH($A$1,Database!$A$1:$Q$1,),)</f>
        <v>18351</v>
      </c>
      <c r="C155" s="15">
        <f t="shared" si="4"/>
        <v>-4.9343888949137833E-3</v>
      </c>
      <c r="D155" s="16">
        <f t="shared" si="5"/>
        <v>9.7416576964477933E-2</v>
      </c>
    </row>
    <row r="156" spans="1:4" x14ac:dyDescent="0.2">
      <c r="A156" s="14">
        <v>38139</v>
      </c>
      <c r="B156" s="18">
        <f>VLOOKUP(A156,Database!A:Q,MATCH($A$1,Database!$A$1:$Q$1,),)</f>
        <v>18649</v>
      </c>
      <c r="C156" s="15">
        <f t="shared" si="4"/>
        <v>1.6238897062830365E-2</v>
      </c>
      <c r="D156" s="16">
        <f t="shared" si="5"/>
        <v>0.10101546817806116</v>
      </c>
    </row>
    <row r="157" spans="1:4" x14ac:dyDescent="0.2">
      <c r="A157" s="13">
        <v>38169</v>
      </c>
      <c r="B157" s="18">
        <f>VLOOKUP(A157,Database!A:Q,MATCH($A$1,Database!$A$1:$Q$1,),)</f>
        <v>18927</v>
      </c>
      <c r="C157" s="15">
        <f t="shared" si="4"/>
        <v>1.4906965520939461E-2</v>
      </c>
      <c r="D157" s="16">
        <f t="shared" si="5"/>
        <v>0.11015308815766321</v>
      </c>
    </row>
    <row r="158" spans="1:4" x14ac:dyDescent="0.2">
      <c r="A158" s="14">
        <v>38200</v>
      </c>
      <c r="B158" s="18">
        <f>VLOOKUP(A158,Database!A:Q,MATCH($A$1,Database!$A$1:$Q$1,),)</f>
        <v>19178</v>
      </c>
      <c r="C158" s="15">
        <f t="shared" si="4"/>
        <v>1.3261478311406985E-2</v>
      </c>
      <c r="D158" s="16">
        <f t="shared" si="5"/>
        <v>0.10778650646950093</v>
      </c>
    </row>
    <row r="159" spans="1:4" x14ac:dyDescent="0.2">
      <c r="A159" s="13">
        <v>38231</v>
      </c>
      <c r="B159" s="18">
        <f>VLOOKUP(A159,Database!A:Q,MATCH($A$1,Database!$A$1:$Q$1,),)</f>
        <v>19472</v>
      </c>
      <c r="C159" s="15">
        <f t="shared" si="4"/>
        <v>1.5330065700281573E-2</v>
      </c>
      <c r="D159" s="16">
        <f t="shared" si="5"/>
        <v>0.10667803353225348</v>
      </c>
    </row>
    <row r="160" spans="1:4" x14ac:dyDescent="0.2">
      <c r="A160" s="14">
        <v>38261</v>
      </c>
      <c r="B160" s="18">
        <f>VLOOKUP(A160,Database!A:Q,MATCH($A$1,Database!$A$1:$Q$1,),)</f>
        <v>19675</v>
      </c>
      <c r="C160" s="15">
        <f t="shared" si="4"/>
        <v>1.0425225965488907E-2</v>
      </c>
      <c r="D160" s="16">
        <f t="shared" si="5"/>
        <v>0.10670491618854765</v>
      </c>
    </row>
    <row r="161" spans="1:4" x14ac:dyDescent="0.2">
      <c r="A161" s="13">
        <v>38292</v>
      </c>
      <c r="B161" s="18">
        <f>VLOOKUP(A161,Database!A:Q,MATCH($A$1,Database!$A$1:$Q$1,),)</f>
        <v>19789</v>
      </c>
      <c r="C161" s="15">
        <f t="shared" si="4"/>
        <v>5.7941550190597204E-3</v>
      </c>
      <c r="D161" s="16">
        <f t="shared" si="5"/>
        <v>0.10670544153011577</v>
      </c>
    </row>
    <row r="162" spans="1:4" x14ac:dyDescent="0.2">
      <c r="A162" s="14">
        <v>38322</v>
      </c>
      <c r="B162" s="18">
        <f>VLOOKUP(A162,Database!A:Q,MATCH($A$1,Database!$A$1:$Q$1,),)</f>
        <v>19942</v>
      </c>
      <c r="C162" s="15">
        <f t="shared" si="4"/>
        <v>7.7315680428520894E-3</v>
      </c>
      <c r="D162" s="16">
        <f t="shared" si="5"/>
        <v>0.12399954909254876</v>
      </c>
    </row>
    <row r="163" spans="1:4" x14ac:dyDescent="0.2">
      <c r="A163" s="13">
        <v>38353</v>
      </c>
      <c r="B163" s="18">
        <f>VLOOKUP(A163,Database!A:Q,MATCH($A$1,Database!$A$1:$Q$1,),)</f>
        <v>20237</v>
      </c>
      <c r="C163" s="15">
        <f t="shared" si="4"/>
        <v>1.4792899408284023E-2</v>
      </c>
      <c r="D163" s="16">
        <f t="shared" si="5"/>
        <v>0.10735978112175103</v>
      </c>
    </row>
    <row r="164" spans="1:4" x14ac:dyDescent="0.2">
      <c r="A164" s="14">
        <v>38384</v>
      </c>
      <c r="B164" s="18">
        <f>VLOOKUP(A164,Database!A:Q,MATCH($A$1,Database!$A$1:$Q$1,),)</f>
        <v>20175</v>
      </c>
      <c r="C164" s="15">
        <f t="shared" si="4"/>
        <v>-3.0636952117408709E-3</v>
      </c>
      <c r="D164" s="16">
        <f t="shared" si="5"/>
        <v>8.6663794032101685E-2</v>
      </c>
    </row>
    <row r="165" spans="1:4" x14ac:dyDescent="0.2">
      <c r="A165" s="13">
        <v>38412</v>
      </c>
      <c r="B165" s="18">
        <f>VLOOKUP(A165,Database!A:Q,MATCH($A$1,Database!$A$1:$Q$1,),)</f>
        <v>20506</v>
      </c>
      <c r="C165" s="15">
        <f t="shared" si="4"/>
        <v>1.6406443618339529E-2</v>
      </c>
      <c r="D165" s="16">
        <f t="shared" si="5"/>
        <v>0.13468348826914564</v>
      </c>
    </row>
    <row r="166" spans="1:4" x14ac:dyDescent="0.2">
      <c r="A166" s="14">
        <v>38443</v>
      </c>
      <c r="B166" s="18">
        <f>VLOOKUP(A166,Database!A:Q,MATCH($A$1,Database!$A$1:$Q$1,),)</f>
        <v>20741</v>
      </c>
      <c r="C166" s="15">
        <f t="shared" si="4"/>
        <v>1.1460060470106311E-2</v>
      </c>
      <c r="D166" s="16">
        <f t="shared" si="5"/>
        <v>0.12466109966381086</v>
      </c>
    </row>
    <row r="167" spans="1:4" x14ac:dyDescent="0.2">
      <c r="A167" s="13">
        <v>38473</v>
      </c>
      <c r="B167" s="18">
        <f>VLOOKUP(A167,Database!A:Q,MATCH($A$1,Database!$A$1:$Q$1,),)</f>
        <v>20568</v>
      </c>
      <c r="C167" s="15">
        <f t="shared" si="4"/>
        <v>-8.3409671664818469E-3</v>
      </c>
      <c r="D167" s="16">
        <f t="shared" si="5"/>
        <v>0.12081085499427824</v>
      </c>
    </row>
    <row r="168" spans="1:4" x14ac:dyDescent="0.2">
      <c r="A168" s="14">
        <v>38504</v>
      </c>
      <c r="B168" s="18">
        <f>VLOOKUP(A168,Database!A:Q,MATCH($A$1,Database!$A$1:$Q$1,),)</f>
        <v>21024</v>
      </c>
      <c r="C168" s="15">
        <f t="shared" si="4"/>
        <v>2.2170361726954493E-2</v>
      </c>
      <c r="D168" s="16">
        <f t="shared" si="5"/>
        <v>0.12735267306557993</v>
      </c>
    </row>
    <row r="169" spans="1:4" x14ac:dyDescent="0.2">
      <c r="A169" s="13">
        <v>38534</v>
      </c>
      <c r="B169" s="18">
        <f>VLOOKUP(A169,Database!A:Q,MATCH($A$1,Database!$A$1:$Q$1,),)</f>
        <v>20988</v>
      </c>
      <c r="C169" s="15">
        <f t="shared" si="4"/>
        <v>-1.7123287671232876E-3</v>
      </c>
      <c r="D169" s="16">
        <f t="shared" si="5"/>
        <v>0.10889205896338564</v>
      </c>
    </row>
    <row r="170" spans="1:4" x14ac:dyDescent="0.2">
      <c r="A170" s="14">
        <v>38565</v>
      </c>
      <c r="B170" s="18">
        <f>VLOOKUP(A170,Database!A:Q,MATCH($A$1,Database!$A$1:$Q$1,),)</f>
        <v>21767</v>
      </c>
      <c r="C170" s="15">
        <f t="shared" si="4"/>
        <v>3.7116447493805986E-2</v>
      </c>
      <c r="D170" s="16">
        <f t="shared" si="5"/>
        <v>0.1349984357075816</v>
      </c>
    </row>
    <row r="171" spans="1:4" x14ac:dyDescent="0.2">
      <c r="A171" s="13">
        <v>38596</v>
      </c>
      <c r="B171" s="18">
        <f>VLOOKUP(A171,Database!A:Q,MATCH($A$1,Database!$A$1:$Q$1,),)</f>
        <v>21951</v>
      </c>
      <c r="C171" s="15">
        <f t="shared" si="4"/>
        <v>8.45316304497634E-3</v>
      </c>
      <c r="D171" s="16">
        <f t="shared" si="5"/>
        <v>0.12731101068200493</v>
      </c>
    </row>
    <row r="172" spans="1:4" x14ac:dyDescent="0.2">
      <c r="A172" s="14">
        <v>38626</v>
      </c>
      <c r="B172" s="18">
        <f>VLOOKUP(A172,Database!A:Q,MATCH($A$1,Database!$A$1:$Q$1,),)</f>
        <v>22255</v>
      </c>
      <c r="C172" s="15">
        <f t="shared" si="4"/>
        <v>1.384902737916268E-2</v>
      </c>
      <c r="D172" s="16">
        <f t="shared" si="5"/>
        <v>0.13113087674714105</v>
      </c>
    </row>
    <row r="173" spans="1:4" x14ac:dyDescent="0.2">
      <c r="A173" s="13">
        <v>38657</v>
      </c>
      <c r="B173" s="18">
        <f>VLOOKUP(A173,Database!A:Q,MATCH($A$1,Database!$A$1:$Q$1,),)</f>
        <v>22461</v>
      </c>
      <c r="C173" s="15">
        <f t="shared" si="4"/>
        <v>9.256346888339699E-3</v>
      </c>
      <c r="D173" s="16">
        <f t="shared" si="5"/>
        <v>0.1350245085653646</v>
      </c>
    </row>
    <row r="174" spans="1:4" x14ac:dyDescent="0.2">
      <c r="A174" s="14">
        <v>38687</v>
      </c>
      <c r="B174" s="18">
        <f>VLOOKUP(A174,Database!A:Q,MATCH($A$1,Database!$A$1:$Q$1,),)</f>
        <v>22827</v>
      </c>
      <c r="C174" s="15">
        <f t="shared" si="4"/>
        <v>1.6294911179377588E-2</v>
      </c>
      <c r="D174" s="16">
        <f t="shared" si="5"/>
        <v>0.14466954167084545</v>
      </c>
    </row>
    <row r="175" spans="1:4" x14ac:dyDescent="0.2">
      <c r="A175" s="13">
        <v>38718</v>
      </c>
      <c r="B175" s="18">
        <f>VLOOKUP(A175,Database!A:Q,MATCH($A$1,Database!$A$1:$Q$1,),)</f>
        <v>22574</v>
      </c>
      <c r="C175" s="15">
        <f t="shared" si="4"/>
        <v>-1.1083366189161958E-2</v>
      </c>
      <c r="D175" s="16">
        <f t="shared" si="5"/>
        <v>0.11548154370707121</v>
      </c>
    </row>
    <row r="176" spans="1:4" x14ac:dyDescent="0.2">
      <c r="A176" s="14">
        <v>38749</v>
      </c>
      <c r="B176" s="18">
        <f>VLOOKUP(A176,Database!A:Q,MATCH($A$1,Database!$A$1:$Q$1,),)</f>
        <v>23068</v>
      </c>
      <c r="C176" s="15">
        <f t="shared" si="4"/>
        <v>2.1883582882962702E-2</v>
      </c>
      <c r="D176" s="16">
        <f t="shared" si="5"/>
        <v>0.14339529120198266</v>
      </c>
    </row>
    <row r="177" spans="1:4" x14ac:dyDescent="0.2">
      <c r="A177" s="13">
        <v>38777</v>
      </c>
      <c r="B177" s="18">
        <f>VLOOKUP(A177,Database!A:Q,MATCH($A$1,Database!$A$1:$Q$1,),)</f>
        <v>23677</v>
      </c>
      <c r="C177" s="15">
        <f t="shared" si="4"/>
        <v>2.6400208080457777E-2</v>
      </c>
      <c r="D177" s="16">
        <f t="shared" si="5"/>
        <v>0.15463766702428558</v>
      </c>
    </row>
    <row r="178" spans="1:4" x14ac:dyDescent="0.2">
      <c r="A178" s="14">
        <v>38808</v>
      </c>
      <c r="B178" s="18">
        <f>VLOOKUP(A178,Database!A:Q,MATCH($A$1,Database!$A$1:$Q$1,),)</f>
        <v>23305</v>
      </c>
      <c r="C178" s="15">
        <f t="shared" si="4"/>
        <v>-1.5711449930312118E-2</v>
      </c>
      <c r="D178" s="16">
        <f t="shared" si="5"/>
        <v>0.12361988332288704</v>
      </c>
    </row>
    <row r="179" spans="1:4" x14ac:dyDescent="0.2">
      <c r="A179" s="13">
        <v>38838</v>
      </c>
      <c r="B179" s="18">
        <f>VLOOKUP(A179,Database!A:Q,MATCH($A$1,Database!$A$1:$Q$1,),)</f>
        <v>23794</v>
      </c>
      <c r="C179" s="15">
        <f t="shared" si="4"/>
        <v>2.09826217549882E-2</v>
      </c>
      <c r="D179" s="16">
        <f t="shared" si="5"/>
        <v>0.15684558537534032</v>
      </c>
    </row>
    <row r="180" spans="1:4" x14ac:dyDescent="0.2">
      <c r="A180" s="14">
        <v>38869</v>
      </c>
      <c r="B180" s="18">
        <f>VLOOKUP(A180,Database!A:Q,MATCH($A$1,Database!$A$1:$Q$1,),)</f>
        <v>23762</v>
      </c>
      <c r="C180" s="15">
        <f t="shared" si="4"/>
        <v>-1.3448768597125326E-3</v>
      </c>
      <c r="D180" s="16">
        <f t="shared" si="5"/>
        <v>0.13023211567732115</v>
      </c>
    </row>
    <row r="181" spans="1:4" x14ac:dyDescent="0.2">
      <c r="A181" s="13">
        <v>38899</v>
      </c>
      <c r="B181" s="18">
        <f>VLOOKUP(A181,Database!A:Q,MATCH($A$1,Database!$A$1:$Q$1,),)</f>
        <v>23638</v>
      </c>
      <c r="C181" s="15">
        <f t="shared" si="4"/>
        <v>-5.2184159582526722E-3</v>
      </c>
      <c r="D181" s="16">
        <f t="shared" si="5"/>
        <v>0.12626262626262627</v>
      </c>
    </row>
    <row r="182" spans="1:4" x14ac:dyDescent="0.2">
      <c r="A182" s="14">
        <v>38930</v>
      </c>
      <c r="B182" s="18">
        <f>VLOOKUP(A182,Database!A:Q,MATCH($A$1,Database!$A$1:$Q$1,),)</f>
        <v>24225</v>
      </c>
      <c r="C182" s="15">
        <f t="shared" si="4"/>
        <v>2.4832896184110331E-2</v>
      </c>
      <c r="D182" s="16">
        <f t="shared" si="5"/>
        <v>0.11292323241604263</v>
      </c>
    </row>
    <row r="183" spans="1:4" x14ac:dyDescent="0.2">
      <c r="A183" s="13">
        <v>38961</v>
      </c>
      <c r="B183" s="18">
        <f>VLOOKUP(A183,Database!A:Q,MATCH($A$1,Database!$A$1:$Q$1,),)</f>
        <v>24206</v>
      </c>
      <c r="C183" s="15">
        <f t="shared" si="4"/>
        <v>-7.8431372549019605E-4</v>
      </c>
      <c r="D183" s="16">
        <f t="shared" si="5"/>
        <v>0.10272880506582843</v>
      </c>
    </row>
    <row r="184" spans="1:4" x14ac:dyDescent="0.2">
      <c r="A184" s="14">
        <v>38991</v>
      </c>
      <c r="B184" s="18">
        <f>VLOOKUP(A184,Database!A:Q,MATCH($A$1,Database!$A$1:$Q$1,),)</f>
        <v>24349</v>
      </c>
      <c r="C184" s="15">
        <f t="shared" si="4"/>
        <v>5.9076262083780882E-3</v>
      </c>
      <c r="D184" s="16">
        <f t="shared" si="5"/>
        <v>9.409121545720063E-2</v>
      </c>
    </row>
    <row r="185" spans="1:4" x14ac:dyDescent="0.2">
      <c r="A185" s="13">
        <v>39022</v>
      </c>
      <c r="B185" s="18">
        <f>VLOOKUP(A185,Database!A:Q,MATCH($A$1,Database!$A$1:$Q$1,),)</f>
        <v>24259</v>
      </c>
      <c r="C185" s="15">
        <f t="shared" si="4"/>
        <v>-3.6962503593576737E-3</v>
      </c>
      <c r="D185" s="16">
        <f t="shared" si="5"/>
        <v>8.0049864209073507E-2</v>
      </c>
    </row>
    <row r="186" spans="1:4" x14ac:dyDescent="0.2">
      <c r="A186" s="14">
        <v>39052</v>
      </c>
      <c r="B186" s="18">
        <f>VLOOKUP(A186,Database!A:Q,MATCH($A$1,Database!$A$1:$Q$1,),)</f>
        <v>24206</v>
      </c>
      <c r="C186" s="15">
        <f t="shared" si="4"/>
        <v>-2.1847561729667342E-3</v>
      </c>
      <c r="D186" s="16">
        <f t="shared" si="5"/>
        <v>6.0410916896657466E-2</v>
      </c>
    </row>
    <row r="187" spans="1:4" x14ac:dyDescent="0.2">
      <c r="A187" s="13">
        <v>39083</v>
      </c>
      <c r="B187" s="18">
        <f>VLOOKUP(A187,Database!A:Q,MATCH($A$1,Database!$A$1:$Q$1,),)</f>
        <v>24243</v>
      </c>
      <c r="C187" s="15">
        <f t="shared" si="4"/>
        <v>1.5285466413285961E-3</v>
      </c>
      <c r="D187" s="16">
        <f t="shared" si="5"/>
        <v>7.3934615043855761E-2</v>
      </c>
    </row>
    <row r="188" spans="1:4" x14ac:dyDescent="0.2">
      <c r="A188" s="14">
        <v>39114</v>
      </c>
      <c r="B188" s="18">
        <f>VLOOKUP(A188,Database!A:Q,MATCH($A$1,Database!$A$1:$Q$1,),)</f>
        <v>25505</v>
      </c>
      <c r="C188" s="15">
        <f t="shared" si="4"/>
        <v>5.2056263663737987E-2</v>
      </c>
      <c r="D188" s="16">
        <f t="shared" si="5"/>
        <v>0.10564418241720132</v>
      </c>
    </row>
    <row r="189" spans="1:4" x14ac:dyDescent="0.2">
      <c r="A189" s="13">
        <v>39142</v>
      </c>
      <c r="B189" s="18">
        <f>VLOOKUP(A189,Database!A:Q,MATCH($A$1,Database!$A$1:$Q$1,),)</f>
        <v>25034</v>
      </c>
      <c r="C189" s="15">
        <f t="shared" si="4"/>
        <v>-1.8466967261321309E-2</v>
      </c>
      <c r="D189" s="16">
        <f t="shared" si="5"/>
        <v>5.7313004181272963E-2</v>
      </c>
    </row>
    <row r="190" spans="1:4" x14ac:dyDescent="0.2">
      <c r="A190" s="14">
        <v>39173</v>
      </c>
      <c r="B190" s="18">
        <f>VLOOKUP(A190,Database!A:Q,MATCH($A$1,Database!$A$1:$Q$1,),)</f>
        <v>25303</v>
      </c>
      <c r="C190" s="15">
        <f t="shared" si="4"/>
        <v>1.0745386274666454E-2</v>
      </c>
      <c r="D190" s="16">
        <f t="shared" si="5"/>
        <v>8.5732675391546873E-2</v>
      </c>
    </row>
    <row r="191" spans="1:4" x14ac:dyDescent="0.2">
      <c r="A191" s="13">
        <v>39203</v>
      </c>
      <c r="B191" s="18">
        <f>VLOOKUP(A191,Database!A:Q,MATCH($A$1,Database!$A$1:$Q$1,),)</f>
        <v>25271</v>
      </c>
      <c r="C191" s="15">
        <f t="shared" si="4"/>
        <v>-1.2646721732600878E-3</v>
      </c>
      <c r="D191" s="16">
        <f t="shared" si="5"/>
        <v>6.2074472556106583E-2</v>
      </c>
    </row>
    <row r="192" spans="1:4" x14ac:dyDescent="0.2">
      <c r="A192" s="14">
        <v>39234</v>
      </c>
      <c r="B192" s="18">
        <f>VLOOKUP(A192,Database!A:Q,MATCH($A$1,Database!$A$1:$Q$1,),)</f>
        <v>25462</v>
      </c>
      <c r="C192" s="15">
        <f t="shared" si="4"/>
        <v>7.558070515610779E-3</v>
      </c>
      <c r="D192" s="16">
        <f t="shared" si="5"/>
        <v>7.1542799427657608E-2</v>
      </c>
    </row>
    <row r="193" spans="1:4" x14ac:dyDescent="0.2">
      <c r="A193" s="13">
        <v>39264</v>
      </c>
      <c r="B193" s="18">
        <f>VLOOKUP(A193,Database!A:Q,MATCH($A$1,Database!$A$1:$Q$1,),)</f>
        <v>25970</v>
      </c>
      <c r="C193" s="15">
        <f t="shared" si="4"/>
        <v>1.9951299976435473E-2</v>
      </c>
      <c r="D193" s="16">
        <f t="shared" si="5"/>
        <v>9.8654708520179366E-2</v>
      </c>
    </row>
    <row r="194" spans="1:4" x14ac:dyDescent="0.2">
      <c r="A194" s="14">
        <v>39295</v>
      </c>
      <c r="B194" s="18">
        <f>VLOOKUP(A194,Database!A:Q,MATCH($A$1,Database!$A$1:$Q$1,),)</f>
        <v>25826</v>
      </c>
      <c r="C194" s="15">
        <f t="shared" si="4"/>
        <v>-5.5448594532152484E-3</v>
      </c>
      <c r="D194" s="16">
        <f t="shared" si="5"/>
        <v>6.6088751289989686E-2</v>
      </c>
    </row>
    <row r="195" spans="1:4" x14ac:dyDescent="0.2">
      <c r="A195" s="13">
        <v>39326</v>
      </c>
      <c r="B195" s="18">
        <f>VLOOKUP(A195,Database!A:Q,MATCH($A$1,Database!$A$1:$Q$1,),)</f>
        <v>26112</v>
      </c>
      <c r="C195" s="15">
        <f t="shared" si="4"/>
        <v>1.1074111360644312E-2</v>
      </c>
      <c r="D195" s="16">
        <f t="shared" si="5"/>
        <v>7.8740808064116333E-2</v>
      </c>
    </row>
    <row r="196" spans="1:4" x14ac:dyDescent="0.2">
      <c r="A196" s="14">
        <v>39356</v>
      </c>
      <c r="B196" s="18">
        <f>VLOOKUP(A196,Database!A:Q,MATCH($A$1,Database!$A$1:$Q$1,),)</f>
        <v>26397</v>
      </c>
      <c r="C196" s="15">
        <f t="shared" si="4"/>
        <v>1.0914522058823529E-2</v>
      </c>
      <c r="D196" s="16">
        <f t="shared" si="5"/>
        <v>8.4110230399605732E-2</v>
      </c>
    </row>
    <row r="197" spans="1:4" x14ac:dyDescent="0.2">
      <c r="A197" s="13">
        <v>39387</v>
      </c>
      <c r="B197" s="18">
        <f>VLOOKUP(A197,Database!A:Q,MATCH($A$1,Database!$A$1:$Q$1,),)</f>
        <v>27065</v>
      </c>
      <c r="C197" s="15">
        <f t="shared" si="4"/>
        <v>2.5305905974163732E-2</v>
      </c>
      <c r="D197" s="16">
        <f t="shared" si="5"/>
        <v>0.11566841172348406</v>
      </c>
    </row>
    <row r="198" spans="1:4" x14ac:dyDescent="0.2">
      <c r="A198" s="14">
        <v>39417</v>
      </c>
      <c r="B198" s="18">
        <f>VLOOKUP(A198,Database!A:Q,MATCH($A$1,Database!$A$1:$Q$1,),)</f>
        <v>26268</v>
      </c>
      <c r="C198" s="15">
        <f t="shared" si="4"/>
        <v>-2.9447626085350082E-2</v>
      </c>
      <c r="D198" s="16">
        <f t="shared" si="5"/>
        <v>8.518549120052879E-2</v>
      </c>
    </row>
    <row r="199" spans="1:4" x14ac:dyDescent="0.2">
      <c r="A199" s="13">
        <v>39448</v>
      </c>
      <c r="B199" s="18">
        <f>VLOOKUP(A199,Database!A:Q,MATCH($A$1,Database!$A$1:$Q$1,),)</f>
        <v>26019</v>
      </c>
      <c r="C199" s="15">
        <f t="shared" si="4"/>
        <v>-9.4792142530836006E-3</v>
      </c>
      <c r="D199" s="16">
        <f t="shared" si="5"/>
        <v>7.3258260116322235E-2</v>
      </c>
    </row>
    <row r="200" spans="1:4" x14ac:dyDescent="0.2">
      <c r="A200" s="14">
        <v>39479</v>
      </c>
      <c r="B200" s="18">
        <f>VLOOKUP(A200,Database!A:Q,MATCH($A$1,Database!$A$1:$Q$1,),)</f>
        <v>26101</v>
      </c>
      <c r="C200" s="15">
        <f t="shared" si="4"/>
        <v>3.151543103116953E-3</v>
      </c>
      <c r="D200" s="16">
        <f t="shared" si="5"/>
        <v>2.3367967065281318E-2</v>
      </c>
    </row>
    <row r="201" spans="1:4" x14ac:dyDescent="0.2">
      <c r="A201" s="13">
        <v>39508</v>
      </c>
      <c r="B201" s="18">
        <f>VLOOKUP(A201,Database!A:Q,MATCH($A$1,Database!$A$1:$Q$1,),)</f>
        <v>26530</v>
      </c>
      <c r="C201" s="15">
        <f t="shared" ref="C201:C264" si="6">(B201-B200)/B200</f>
        <v>1.6436151871575801E-2</v>
      </c>
      <c r="D201" s="16">
        <f t="shared" si="5"/>
        <v>5.9758728129743546E-2</v>
      </c>
    </row>
    <row r="202" spans="1:4" x14ac:dyDescent="0.2">
      <c r="A202" s="14">
        <v>39539</v>
      </c>
      <c r="B202" s="18">
        <f>VLOOKUP(A202,Database!A:Q,MATCH($A$1,Database!$A$1:$Q$1,),)</f>
        <v>27243</v>
      </c>
      <c r="C202" s="15">
        <f t="shared" si="6"/>
        <v>2.6875235582359592E-2</v>
      </c>
      <c r="D202" s="16">
        <f t="shared" si="5"/>
        <v>7.6670750503892812E-2</v>
      </c>
    </row>
    <row r="203" spans="1:4" x14ac:dyDescent="0.2">
      <c r="A203" s="13">
        <v>39569</v>
      </c>
      <c r="B203" s="18">
        <f>VLOOKUP(A203,Database!A:Q,MATCH($A$1,Database!$A$1:$Q$1,),)</f>
        <v>27526</v>
      </c>
      <c r="C203" s="15">
        <f t="shared" si="6"/>
        <v>1.0387989575303748E-2</v>
      </c>
      <c r="D203" s="16">
        <f t="shared" si="5"/>
        <v>8.923271734399113E-2</v>
      </c>
    </row>
    <row r="204" spans="1:4" x14ac:dyDescent="0.2">
      <c r="A204" s="14">
        <v>39600</v>
      </c>
      <c r="B204" s="18">
        <f>VLOOKUP(A204,Database!A:Q,MATCH($A$1,Database!$A$1:$Q$1,),)</f>
        <v>27403</v>
      </c>
      <c r="C204" s="15">
        <f t="shared" si="6"/>
        <v>-4.4685025067209188E-3</v>
      </c>
      <c r="D204" s="16">
        <f t="shared" si="5"/>
        <v>7.6231246563506397E-2</v>
      </c>
    </row>
    <row r="205" spans="1:4" x14ac:dyDescent="0.2">
      <c r="A205" s="13">
        <v>39630</v>
      </c>
      <c r="B205" s="18">
        <f>VLOOKUP(A205,Database!A:Q,MATCH($A$1,Database!$A$1:$Q$1,),)</f>
        <v>27823</v>
      </c>
      <c r="C205" s="15">
        <f t="shared" si="6"/>
        <v>1.5326789037696603E-2</v>
      </c>
      <c r="D205" s="16">
        <f t="shared" si="5"/>
        <v>7.1351559491721214E-2</v>
      </c>
    </row>
    <row r="206" spans="1:4" x14ac:dyDescent="0.2">
      <c r="A206" s="14">
        <v>39661</v>
      </c>
      <c r="B206" s="18">
        <f>VLOOKUP(A206,Database!A:Q,MATCH($A$1,Database!$A$1:$Q$1,),)</f>
        <v>27374</v>
      </c>
      <c r="C206" s="15">
        <f t="shared" si="6"/>
        <v>-1.6137727779175503E-2</v>
      </c>
      <c r="D206" s="16">
        <f t="shared" si="5"/>
        <v>5.9939595756214666E-2</v>
      </c>
    </row>
    <row r="207" spans="1:4" x14ac:dyDescent="0.2">
      <c r="A207" s="13">
        <v>39692</v>
      </c>
      <c r="B207" s="18">
        <f>VLOOKUP(A207,Database!A:Q,MATCH($A$1,Database!$A$1:$Q$1,),)</f>
        <v>27258</v>
      </c>
      <c r="C207" s="15">
        <f t="shared" si="6"/>
        <v>-4.2375977204646741E-3</v>
      </c>
      <c r="D207" s="16">
        <f t="shared" si="5"/>
        <v>4.388786764705882E-2</v>
      </c>
    </row>
    <row r="208" spans="1:4" x14ac:dyDescent="0.2">
      <c r="A208" s="14">
        <v>39722</v>
      </c>
      <c r="B208" s="18">
        <f>VLOOKUP(A208,Database!A:Q,MATCH($A$1,Database!$A$1:$Q$1,),)</f>
        <v>26333</v>
      </c>
      <c r="C208" s="15">
        <f t="shared" si="6"/>
        <v>-3.3934991562110203E-2</v>
      </c>
      <c r="D208" s="16">
        <f t="shared" si="5"/>
        <v>-2.4245179376444293E-3</v>
      </c>
    </row>
    <row r="209" spans="1:4" x14ac:dyDescent="0.2">
      <c r="A209" s="13">
        <v>39753</v>
      </c>
      <c r="B209" s="18">
        <f>VLOOKUP(A209,Database!A:Q,MATCH($A$1,Database!$A$1:$Q$1,),)</f>
        <v>25149</v>
      </c>
      <c r="C209" s="15">
        <f t="shared" si="6"/>
        <v>-4.4962594463221053E-2</v>
      </c>
      <c r="D209" s="16">
        <f t="shared" si="5"/>
        <v>-7.0792536486236832E-2</v>
      </c>
    </row>
    <row r="210" spans="1:4" x14ac:dyDescent="0.2">
      <c r="A210" s="14">
        <v>39783</v>
      </c>
      <c r="B210" s="18">
        <f>VLOOKUP(A210,Database!A:Q,MATCH($A$1,Database!$A$1:$Q$1,),)</f>
        <v>24751</v>
      </c>
      <c r="C210" s="15">
        <f t="shared" si="6"/>
        <v>-1.5825678953437512E-2</v>
      </c>
      <c r="D210" s="16">
        <f t="shared" si="5"/>
        <v>-5.7750875590071568E-2</v>
      </c>
    </row>
    <row r="211" spans="1:4" x14ac:dyDescent="0.2">
      <c r="A211" s="13">
        <v>39814</v>
      </c>
      <c r="B211" s="18">
        <f>VLOOKUP(A211,Database!A:Q,MATCH($A$1,Database!$A$1:$Q$1,),)</f>
        <v>25049</v>
      </c>
      <c r="C211" s="15">
        <f t="shared" si="6"/>
        <v>1.2039917579087714E-2</v>
      </c>
      <c r="D211" s="16">
        <f t="shared" si="5"/>
        <v>-3.728044890272493E-2</v>
      </c>
    </row>
    <row r="212" spans="1:4" x14ac:dyDescent="0.2">
      <c r="A212" s="14">
        <v>39845</v>
      </c>
      <c r="B212" s="18">
        <f>VLOOKUP(A212,Database!A:Q,MATCH($A$1,Database!$A$1:$Q$1,),)</f>
        <v>25241</v>
      </c>
      <c r="C212" s="15">
        <f t="shared" si="6"/>
        <v>7.6649766457742826E-3</v>
      </c>
      <c r="D212" s="16">
        <f t="shared" ref="D212:D275" si="7">(B212-B200)/B200</f>
        <v>-3.2948929159802305E-2</v>
      </c>
    </row>
    <row r="213" spans="1:4" x14ac:dyDescent="0.2">
      <c r="A213" s="13">
        <v>39873</v>
      </c>
      <c r="B213" s="18">
        <f>VLOOKUP(A213,Database!A:Q,MATCH($A$1,Database!$A$1:$Q$1,),)</f>
        <v>24941</v>
      </c>
      <c r="C213" s="15">
        <f t="shared" si="6"/>
        <v>-1.1885424507745336E-2</v>
      </c>
      <c r="D213" s="16">
        <f t="shared" si="7"/>
        <v>-5.9894459102902371E-2</v>
      </c>
    </row>
    <row r="214" spans="1:4" x14ac:dyDescent="0.2">
      <c r="A214" s="14">
        <v>39904</v>
      </c>
      <c r="B214" s="18">
        <f>VLOOKUP(A214,Database!A:Q,MATCH($A$1,Database!$A$1:$Q$1,),)</f>
        <v>24932</v>
      </c>
      <c r="C214" s="15">
        <f t="shared" si="6"/>
        <v>-3.6085160979912594E-4</v>
      </c>
      <c r="D214" s="16">
        <f t="shared" si="7"/>
        <v>-8.4829130418823187E-2</v>
      </c>
    </row>
    <row r="215" spans="1:4" x14ac:dyDescent="0.2">
      <c r="A215" s="13">
        <v>39934</v>
      </c>
      <c r="B215" s="18">
        <f>VLOOKUP(A215,Database!A:Q,MATCH($A$1,Database!$A$1:$Q$1,),)</f>
        <v>25159</v>
      </c>
      <c r="C215" s="15">
        <f t="shared" si="6"/>
        <v>9.1047649606930854E-3</v>
      </c>
      <c r="D215" s="16">
        <f t="shared" si="7"/>
        <v>-8.5991426287873277E-2</v>
      </c>
    </row>
    <row r="216" spans="1:4" x14ac:dyDescent="0.2">
      <c r="A216" s="14">
        <v>39965</v>
      </c>
      <c r="B216" s="18">
        <f>VLOOKUP(A216,Database!A:Q,MATCH($A$1,Database!$A$1:$Q$1,),)</f>
        <v>25768</v>
      </c>
      <c r="C216" s="15">
        <f t="shared" si="6"/>
        <v>2.4206049525020867E-2</v>
      </c>
      <c r="D216" s="16">
        <f t="shared" si="7"/>
        <v>-5.9665000182461778E-2</v>
      </c>
    </row>
    <row r="217" spans="1:4" x14ac:dyDescent="0.2">
      <c r="A217" s="13">
        <v>39995</v>
      </c>
      <c r="B217" s="18">
        <f>VLOOKUP(A217,Database!A:Q,MATCH($A$1,Database!$A$1:$Q$1,),)</f>
        <v>26110</v>
      </c>
      <c r="C217" s="15">
        <f t="shared" si="6"/>
        <v>1.3272275690779262E-2</v>
      </c>
      <c r="D217" s="16">
        <f t="shared" si="7"/>
        <v>-6.1567767674226358E-2</v>
      </c>
    </row>
    <row r="218" spans="1:4" x14ac:dyDescent="0.2">
      <c r="A218" s="14">
        <v>40026</v>
      </c>
      <c r="B218" s="18">
        <f>VLOOKUP(A218,Database!A:Q,MATCH($A$1,Database!$A$1:$Q$1,),)</f>
        <v>26150</v>
      </c>
      <c r="C218" s="15">
        <f t="shared" si="6"/>
        <v>1.5319800842589046E-3</v>
      </c>
      <c r="D218" s="16">
        <f t="shared" si="7"/>
        <v>-4.4713962153868636E-2</v>
      </c>
    </row>
    <row r="219" spans="1:4" x14ac:dyDescent="0.2">
      <c r="A219" s="13">
        <v>40057</v>
      </c>
      <c r="B219" s="18">
        <f>VLOOKUP(A219,Database!A:Q,MATCH($A$1,Database!$A$1:$Q$1,),)</f>
        <v>26339</v>
      </c>
      <c r="C219" s="15">
        <f t="shared" si="6"/>
        <v>7.2275334608030593E-3</v>
      </c>
      <c r="D219" s="16">
        <f t="shared" si="7"/>
        <v>-3.3714872697923545E-2</v>
      </c>
    </row>
    <row r="220" spans="1:4" x14ac:dyDescent="0.2">
      <c r="A220" s="14">
        <v>40087</v>
      </c>
      <c r="B220" s="18">
        <f>VLOOKUP(A220,Database!A:Q,MATCH($A$1,Database!$A$1:$Q$1,),)</f>
        <v>26634</v>
      </c>
      <c r="C220" s="15">
        <f t="shared" si="6"/>
        <v>1.1200121492843312E-2</v>
      </c>
      <c r="D220" s="16">
        <f t="shared" si="7"/>
        <v>1.143052443701819E-2</v>
      </c>
    </row>
    <row r="221" spans="1:4" x14ac:dyDescent="0.2">
      <c r="A221" s="13">
        <v>40118</v>
      </c>
      <c r="B221" s="18">
        <f>VLOOKUP(A221,Database!A:Q,MATCH($A$1,Database!$A$1:$Q$1,),)</f>
        <v>26666</v>
      </c>
      <c r="C221" s="15">
        <f t="shared" si="6"/>
        <v>1.2014718029586242E-3</v>
      </c>
      <c r="D221" s="16">
        <f t="shared" si="7"/>
        <v>6.0320489880313334E-2</v>
      </c>
    </row>
    <row r="222" spans="1:4" x14ac:dyDescent="0.2">
      <c r="A222" s="14">
        <v>40148</v>
      </c>
      <c r="B222" s="18">
        <f>VLOOKUP(A222,Database!A:Q,MATCH($A$1,Database!$A$1:$Q$1,),)</f>
        <v>26984</v>
      </c>
      <c r="C222" s="15">
        <f t="shared" si="6"/>
        <v>1.1925298132453311E-2</v>
      </c>
      <c r="D222" s="16">
        <f t="shared" si="7"/>
        <v>9.0218577027190827E-2</v>
      </c>
    </row>
    <row r="223" spans="1:4" x14ac:dyDescent="0.2">
      <c r="A223" s="13">
        <v>40179</v>
      </c>
      <c r="B223" s="18">
        <f>VLOOKUP(A223,Database!A:Q,MATCH($A$1,Database!$A$1:$Q$1,),)</f>
        <v>27302</v>
      </c>
      <c r="C223" s="15">
        <f t="shared" si="6"/>
        <v>1.1784761340053365E-2</v>
      </c>
      <c r="D223" s="16">
        <f t="shared" si="7"/>
        <v>8.9943710327757595E-2</v>
      </c>
    </row>
    <row r="224" spans="1:4" x14ac:dyDescent="0.2">
      <c r="A224" s="14">
        <v>40210</v>
      </c>
      <c r="B224" s="18">
        <f>VLOOKUP(A224,Database!A:Q,MATCH($A$1,Database!$A$1:$Q$1,),)</f>
        <v>27253</v>
      </c>
      <c r="C224" s="15">
        <f t="shared" si="6"/>
        <v>-1.7947403120650502E-3</v>
      </c>
      <c r="D224" s="16">
        <f t="shared" si="7"/>
        <v>7.9711580365278714E-2</v>
      </c>
    </row>
    <row r="225" spans="1:4" x14ac:dyDescent="0.2">
      <c r="A225" s="13">
        <v>40238</v>
      </c>
      <c r="B225" s="18">
        <f>VLOOKUP(A225,Database!A:Q,MATCH($A$1,Database!$A$1:$Q$1,),)</f>
        <v>27854</v>
      </c>
      <c r="C225" s="15">
        <f t="shared" si="6"/>
        <v>2.205261806039702E-2</v>
      </c>
      <c r="D225" s="16">
        <f t="shared" si="7"/>
        <v>0.11679563770498376</v>
      </c>
    </row>
    <row r="226" spans="1:4" x14ac:dyDescent="0.2">
      <c r="A226" s="14">
        <v>40269</v>
      </c>
      <c r="B226" s="18">
        <f>VLOOKUP(A226,Database!A:Q,MATCH($A$1,Database!$A$1:$Q$1,),)</f>
        <v>27719</v>
      </c>
      <c r="C226" s="15">
        <f t="shared" si="6"/>
        <v>-4.8467006534070513E-3</v>
      </c>
      <c r="D226" s="16">
        <f t="shared" si="7"/>
        <v>0.11178405262313493</v>
      </c>
    </row>
    <row r="227" spans="1:4" x14ac:dyDescent="0.2">
      <c r="A227" s="13">
        <v>40299</v>
      </c>
      <c r="B227" s="18">
        <f>VLOOKUP(A227,Database!A:Q,MATCH($A$1,Database!$A$1:$Q$1,),)</f>
        <v>27799</v>
      </c>
      <c r="C227" s="15">
        <f t="shared" si="6"/>
        <v>2.8861070024171144E-3</v>
      </c>
      <c r="D227" s="16">
        <f t="shared" si="7"/>
        <v>0.10493262848284908</v>
      </c>
    </row>
    <row r="228" spans="1:4" x14ac:dyDescent="0.2">
      <c r="A228" s="14">
        <v>40330</v>
      </c>
      <c r="B228" s="18">
        <f>VLOOKUP(A228,Database!A:Q,MATCH($A$1,Database!$A$1:$Q$1,),)</f>
        <v>28462</v>
      </c>
      <c r="C228" s="15">
        <f t="shared" si="6"/>
        <v>2.3849778769020467E-2</v>
      </c>
      <c r="D228" s="16">
        <f t="shared" si="7"/>
        <v>0.10454827693262962</v>
      </c>
    </row>
    <row r="229" spans="1:4" x14ac:dyDescent="0.2">
      <c r="A229" s="13">
        <v>40360</v>
      </c>
      <c r="B229" s="18">
        <f>VLOOKUP(A229,Database!A:Q,MATCH($A$1,Database!$A$1:$Q$1,),)</f>
        <v>28114</v>
      </c>
      <c r="C229" s="15">
        <f t="shared" si="6"/>
        <v>-1.2226828754128312E-2</v>
      </c>
      <c r="D229" s="16">
        <f t="shared" si="7"/>
        <v>7.6752202221371121E-2</v>
      </c>
    </row>
    <row r="230" spans="1:4" x14ac:dyDescent="0.2">
      <c r="A230" s="14">
        <v>40391</v>
      </c>
      <c r="B230" s="18">
        <f>VLOOKUP(A230,Database!A:Q,MATCH($A$1,Database!$A$1:$Q$1,),)</f>
        <v>28756</v>
      </c>
      <c r="C230" s="15">
        <f t="shared" si="6"/>
        <v>2.2835597922743117E-2</v>
      </c>
      <c r="D230" s="16">
        <f t="shared" si="7"/>
        <v>9.9655831739961759E-2</v>
      </c>
    </row>
    <row r="231" spans="1:4" x14ac:dyDescent="0.2">
      <c r="A231" s="13">
        <v>40422</v>
      </c>
      <c r="B231" s="18">
        <f>VLOOKUP(A231,Database!A:Q,MATCH($A$1,Database!$A$1:$Q$1,),)</f>
        <v>28872</v>
      </c>
      <c r="C231" s="15">
        <f t="shared" si="6"/>
        <v>4.0339407428015023E-3</v>
      </c>
      <c r="D231" s="16">
        <f t="shared" si="7"/>
        <v>9.6169178784312234E-2</v>
      </c>
    </row>
    <row r="232" spans="1:4" x14ac:dyDescent="0.2">
      <c r="A232" s="14">
        <v>40452</v>
      </c>
      <c r="B232" s="18">
        <f>VLOOKUP(A232,Database!A:Q,MATCH($A$1,Database!$A$1:$Q$1,),)</f>
        <v>28946</v>
      </c>
      <c r="C232" s="15">
        <f t="shared" si="6"/>
        <v>2.5630368523136605E-3</v>
      </c>
      <c r="D232" s="16">
        <f t="shared" si="7"/>
        <v>8.6806337763760608E-2</v>
      </c>
    </row>
    <row r="233" spans="1:4" x14ac:dyDescent="0.2">
      <c r="A233" s="13">
        <v>40483</v>
      </c>
      <c r="B233" s="18">
        <f>VLOOKUP(A233,Database!A:Q,MATCH($A$1,Database!$A$1:$Q$1,),)</f>
        <v>28951</v>
      </c>
      <c r="C233" s="15">
        <f t="shared" si="6"/>
        <v>1.7273543840254265E-4</v>
      </c>
      <c r="D233" s="16">
        <f t="shared" si="7"/>
        <v>8.5689642241056033E-2</v>
      </c>
    </row>
    <row r="234" spans="1:4" x14ac:dyDescent="0.2">
      <c r="A234" s="14">
        <v>40513</v>
      </c>
      <c r="B234" s="18">
        <f>VLOOKUP(A234,Database!A:Q,MATCH($A$1,Database!$A$1:$Q$1,),)</f>
        <v>29642</v>
      </c>
      <c r="C234" s="15">
        <f t="shared" si="6"/>
        <v>2.3867914752512865E-2</v>
      </c>
      <c r="D234" s="16">
        <f t="shared" si="7"/>
        <v>9.8502816483842279E-2</v>
      </c>
    </row>
    <row r="235" spans="1:4" x14ac:dyDescent="0.2">
      <c r="A235" s="13">
        <v>40544</v>
      </c>
      <c r="B235" s="18">
        <f>VLOOKUP(A235,Database!A:Q,MATCH($A$1,Database!$A$1:$Q$1,),)</f>
        <v>30626</v>
      </c>
      <c r="C235" s="15">
        <f t="shared" si="6"/>
        <v>3.3196140611294785E-2</v>
      </c>
      <c r="D235" s="16">
        <f t="shared" si="7"/>
        <v>0.12174932239396381</v>
      </c>
    </row>
    <row r="236" spans="1:4" x14ac:dyDescent="0.2">
      <c r="A236" s="14">
        <v>40575</v>
      </c>
      <c r="B236" s="18">
        <f>VLOOKUP(A236,Database!A:Q,MATCH($A$1,Database!$A$1:$Q$1,),)</f>
        <v>30116</v>
      </c>
      <c r="C236" s="15">
        <f t="shared" si="6"/>
        <v>-1.6652517468817345E-2</v>
      </c>
      <c r="D236" s="16">
        <f t="shared" si="7"/>
        <v>0.1050526547536051</v>
      </c>
    </row>
    <row r="237" spans="1:4" x14ac:dyDescent="0.2">
      <c r="A237" s="13">
        <v>40603</v>
      </c>
      <c r="B237" s="18">
        <f>VLOOKUP(A237,Database!A:Q,MATCH($A$1,Database!$A$1:$Q$1,),)</f>
        <v>30457</v>
      </c>
      <c r="C237" s="15">
        <f t="shared" si="6"/>
        <v>1.1322884845264976E-2</v>
      </c>
      <c r="D237" s="16">
        <f t="shared" si="7"/>
        <v>9.345156889495225E-2</v>
      </c>
    </row>
    <row r="238" spans="1:4" x14ac:dyDescent="0.2">
      <c r="A238" s="14">
        <v>40634</v>
      </c>
      <c r="B238" s="18">
        <f>VLOOKUP(A238,Database!A:Q,MATCH($A$1,Database!$A$1:$Q$1,),)</f>
        <v>30751</v>
      </c>
      <c r="C238" s="15">
        <f t="shared" si="6"/>
        <v>9.6529533440588376E-3</v>
      </c>
      <c r="D238" s="16">
        <f t="shared" si="7"/>
        <v>0.10938345539160864</v>
      </c>
    </row>
    <row r="239" spans="1:4" x14ac:dyDescent="0.2">
      <c r="A239" s="13">
        <v>40664</v>
      </c>
      <c r="B239" s="18">
        <f>VLOOKUP(A239,Database!A:Q,MATCH($A$1,Database!$A$1:$Q$1,),)</f>
        <v>30950</v>
      </c>
      <c r="C239" s="15">
        <f t="shared" si="6"/>
        <v>6.4713342655523401E-3</v>
      </c>
      <c r="D239" s="16">
        <f t="shared" si="7"/>
        <v>0.113349401057592</v>
      </c>
    </row>
    <row r="240" spans="1:4" x14ac:dyDescent="0.2">
      <c r="A240" s="14">
        <v>40695</v>
      </c>
      <c r="B240" s="18">
        <f>VLOOKUP(A240,Database!A:Q,MATCH($A$1,Database!$A$1:$Q$1,),)</f>
        <v>31119</v>
      </c>
      <c r="C240" s="15">
        <f t="shared" si="6"/>
        <v>5.4604200323101777E-3</v>
      </c>
      <c r="D240" s="16">
        <f t="shared" si="7"/>
        <v>9.3352540229077366E-2</v>
      </c>
    </row>
    <row r="241" spans="1:4" x14ac:dyDescent="0.2">
      <c r="A241" s="13">
        <v>40725</v>
      </c>
      <c r="B241" s="18">
        <f>VLOOKUP(A241,Database!A:Q,MATCH($A$1,Database!$A$1:$Q$1,),)</f>
        <v>31208</v>
      </c>
      <c r="C241" s="15">
        <f t="shared" si="6"/>
        <v>2.8599890741990426E-3</v>
      </c>
      <c r="D241" s="16">
        <f t="shared" si="7"/>
        <v>0.1100519314220673</v>
      </c>
    </row>
    <row r="242" spans="1:4" x14ac:dyDescent="0.2">
      <c r="A242" s="14">
        <v>40756</v>
      </c>
      <c r="B242" s="18">
        <f>VLOOKUP(A242,Database!A:Q,MATCH($A$1,Database!$A$1:$Q$1,),)</f>
        <v>31679</v>
      </c>
      <c r="C242" s="15">
        <f t="shared" si="6"/>
        <v>1.5092284029735965E-2</v>
      </c>
      <c r="D242" s="16">
        <f t="shared" si="7"/>
        <v>0.10164835164835165</v>
      </c>
    </row>
    <row r="243" spans="1:4" x14ac:dyDescent="0.2">
      <c r="A243" s="13">
        <v>40787</v>
      </c>
      <c r="B243" s="18">
        <f>VLOOKUP(A243,Database!A:Q,MATCH($A$1,Database!$A$1:$Q$1,),)</f>
        <v>31417</v>
      </c>
      <c r="C243" s="15">
        <f t="shared" si="6"/>
        <v>-8.2704630827993304E-3</v>
      </c>
      <c r="D243" s="16">
        <f t="shared" si="7"/>
        <v>8.8147686339706294E-2</v>
      </c>
    </row>
    <row r="244" spans="1:4" x14ac:dyDescent="0.2">
      <c r="A244" s="14">
        <v>40817</v>
      </c>
      <c r="B244" s="18">
        <f>VLOOKUP(A244,Database!A:Q,MATCH($A$1,Database!$A$1:$Q$1,),)</f>
        <v>32499</v>
      </c>
      <c r="C244" s="15">
        <f t="shared" si="6"/>
        <v>3.4439952891746506E-2</v>
      </c>
      <c r="D244" s="16">
        <f t="shared" si="7"/>
        <v>0.12274580252884681</v>
      </c>
    </row>
    <row r="245" spans="1:4" x14ac:dyDescent="0.2">
      <c r="A245" s="13">
        <v>40848</v>
      </c>
      <c r="B245" s="18">
        <f>VLOOKUP(A245,Database!A:Q,MATCH($A$1,Database!$A$1:$Q$1,),)</f>
        <v>32762</v>
      </c>
      <c r="C245" s="15">
        <f t="shared" si="6"/>
        <v>8.0925566940521238E-3</v>
      </c>
      <c r="D245" s="16">
        <f t="shared" si="7"/>
        <v>0.1316362129114711</v>
      </c>
    </row>
    <row r="246" spans="1:4" x14ac:dyDescent="0.2">
      <c r="A246" s="14">
        <v>40878</v>
      </c>
      <c r="B246" s="18">
        <f>VLOOKUP(A246,Database!A:Q,MATCH($A$1,Database!$A$1:$Q$1,),)</f>
        <v>32468</v>
      </c>
      <c r="C246" s="15">
        <f t="shared" si="6"/>
        <v>-8.9738111226420857E-3</v>
      </c>
      <c r="D246" s="16">
        <f t="shared" si="7"/>
        <v>9.5337696511706357E-2</v>
      </c>
    </row>
    <row r="247" spans="1:4" x14ac:dyDescent="0.2">
      <c r="A247" s="13">
        <v>40909</v>
      </c>
      <c r="B247" s="18">
        <f>VLOOKUP(A247,Database!A:Q,MATCH($A$1,Database!$A$1:$Q$1,),)</f>
        <v>32433</v>
      </c>
      <c r="C247" s="15">
        <f t="shared" si="6"/>
        <v>-1.0779844770235308E-3</v>
      </c>
      <c r="D247" s="16">
        <f t="shared" si="7"/>
        <v>5.9002155031672436E-2</v>
      </c>
    </row>
    <row r="248" spans="1:4" x14ac:dyDescent="0.2">
      <c r="A248" s="14">
        <v>40940</v>
      </c>
      <c r="B248" s="18">
        <f>VLOOKUP(A248,Database!A:Q,MATCH($A$1,Database!$A$1:$Q$1,),)</f>
        <v>32918</v>
      </c>
      <c r="C248" s="15">
        <f t="shared" si="6"/>
        <v>1.4953904973329633E-2</v>
      </c>
      <c r="D248" s="16">
        <f t="shared" si="7"/>
        <v>9.3040244388364987E-2</v>
      </c>
    </row>
    <row r="249" spans="1:4" x14ac:dyDescent="0.2">
      <c r="A249" s="13">
        <v>40969</v>
      </c>
      <c r="B249" s="18">
        <f>VLOOKUP(A249,Database!A:Q,MATCH($A$1,Database!$A$1:$Q$1,),)</f>
        <v>32879</v>
      </c>
      <c r="C249" s="15">
        <f t="shared" si="6"/>
        <v>-1.1847621362172671E-3</v>
      </c>
      <c r="D249" s="16">
        <f t="shared" si="7"/>
        <v>7.9521948977246612E-2</v>
      </c>
    </row>
    <row r="250" spans="1:4" x14ac:dyDescent="0.2">
      <c r="A250" s="14">
        <v>41000</v>
      </c>
      <c r="B250" s="18">
        <f>VLOOKUP(A250,Database!A:Q,MATCH($A$1,Database!$A$1:$Q$1,),)</f>
        <v>33207</v>
      </c>
      <c r="C250" s="15">
        <f t="shared" si="6"/>
        <v>9.9759725052465092E-3</v>
      </c>
      <c r="D250" s="16">
        <f t="shared" si="7"/>
        <v>7.9867321387922338E-2</v>
      </c>
    </row>
    <row r="251" spans="1:4" x14ac:dyDescent="0.2">
      <c r="A251" s="13">
        <v>41030</v>
      </c>
      <c r="B251" s="18">
        <f>VLOOKUP(A251,Database!A:Q,MATCH($A$1,Database!$A$1:$Q$1,),)</f>
        <v>33790</v>
      </c>
      <c r="C251" s="15">
        <f t="shared" si="6"/>
        <v>1.7556539283885928E-2</v>
      </c>
      <c r="D251" s="16">
        <f t="shared" si="7"/>
        <v>9.1760904684975761E-2</v>
      </c>
    </row>
    <row r="252" spans="1:4" x14ac:dyDescent="0.2">
      <c r="A252" s="14">
        <v>41061</v>
      </c>
      <c r="B252" s="18">
        <f>VLOOKUP(A252,Database!A:Q,MATCH($A$1,Database!$A$1:$Q$1,),)</f>
        <v>33745</v>
      </c>
      <c r="C252" s="15">
        <f t="shared" si="6"/>
        <v>-1.3317549570878958E-3</v>
      </c>
      <c r="D252" s="16">
        <f t="shared" si="7"/>
        <v>8.4385745043221189E-2</v>
      </c>
    </row>
    <row r="253" spans="1:4" x14ac:dyDescent="0.2">
      <c r="A253" s="13">
        <v>41091</v>
      </c>
      <c r="B253" s="18">
        <f>VLOOKUP(A253,Database!A:Q,MATCH($A$1,Database!$A$1:$Q$1,),)</f>
        <v>34188</v>
      </c>
      <c r="C253" s="15">
        <f t="shared" si="6"/>
        <v>1.3127870795673433E-2</v>
      </c>
      <c r="D253" s="16">
        <f t="shared" si="7"/>
        <v>9.5488336324019485E-2</v>
      </c>
    </row>
    <row r="254" spans="1:4" x14ac:dyDescent="0.2">
      <c r="A254" s="14">
        <v>41122</v>
      </c>
      <c r="B254" s="18">
        <f>VLOOKUP(A254,Database!A:Q,MATCH($A$1,Database!$A$1:$Q$1,),)</f>
        <v>34407</v>
      </c>
      <c r="C254" s="15">
        <f t="shared" si="6"/>
        <v>6.4057564057564053E-3</v>
      </c>
      <c r="D254" s="16">
        <f t="shared" si="7"/>
        <v>8.6113829350673951E-2</v>
      </c>
    </row>
    <row r="255" spans="1:4" x14ac:dyDescent="0.2">
      <c r="A255" s="13">
        <v>41153</v>
      </c>
      <c r="B255" s="18">
        <f>VLOOKUP(A255,Database!A:Q,MATCH($A$1,Database!$A$1:$Q$1,),)</f>
        <v>34740</v>
      </c>
      <c r="C255" s="15">
        <f t="shared" si="6"/>
        <v>9.6782631441276485E-3</v>
      </c>
      <c r="D255" s="16">
        <f t="shared" si="7"/>
        <v>0.10577076105293312</v>
      </c>
    </row>
    <row r="256" spans="1:4" x14ac:dyDescent="0.2">
      <c r="A256" s="14">
        <v>41183</v>
      </c>
      <c r="B256" s="18">
        <f>VLOOKUP(A256,Database!A:Q,MATCH($A$1,Database!$A$1:$Q$1,),)</f>
        <v>34739</v>
      </c>
      <c r="C256" s="15">
        <f t="shared" si="6"/>
        <v>-2.8785261945883708E-5</v>
      </c>
      <c r="D256" s="16">
        <f t="shared" si="7"/>
        <v>6.8925197698390714E-2</v>
      </c>
    </row>
    <row r="257" spans="1:4" x14ac:dyDescent="0.2">
      <c r="A257" s="13">
        <v>41214</v>
      </c>
      <c r="B257" s="18">
        <f>VLOOKUP(A257,Database!A:Q,MATCH($A$1,Database!$A$1:$Q$1,),)</f>
        <v>35242</v>
      </c>
      <c r="C257" s="15">
        <f t="shared" si="6"/>
        <v>1.4479403552203575E-2</v>
      </c>
      <c r="D257" s="16">
        <f t="shared" si="7"/>
        <v>7.5697454367865208E-2</v>
      </c>
    </row>
    <row r="258" spans="1:4" x14ac:dyDescent="0.2">
      <c r="A258" s="14">
        <v>41244</v>
      </c>
      <c r="B258" s="18">
        <f>VLOOKUP(A258,Database!A:Q,MATCH($A$1,Database!$A$1:$Q$1,),)</f>
        <v>35266</v>
      </c>
      <c r="C258" s="15">
        <f t="shared" si="6"/>
        <v>6.810056182963509E-4</v>
      </c>
      <c r="D258" s="16">
        <f t="shared" si="7"/>
        <v>8.6177159048909699E-2</v>
      </c>
    </row>
    <row r="259" spans="1:4" x14ac:dyDescent="0.2">
      <c r="A259" s="13">
        <v>41275</v>
      </c>
      <c r="B259" s="18">
        <f>VLOOKUP(A259,Database!A:Q,MATCH($A$1,Database!$A$1:$Q$1,),)</f>
        <v>35599</v>
      </c>
      <c r="C259" s="15">
        <f t="shared" si="6"/>
        <v>9.4425225429592245E-3</v>
      </c>
      <c r="D259" s="16">
        <f t="shared" si="7"/>
        <v>9.7616625042395086E-2</v>
      </c>
    </row>
    <row r="260" spans="1:4" x14ac:dyDescent="0.2">
      <c r="A260" s="14">
        <v>41306</v>
      </c>
      <c r="B260" s="18">
        <f>VLOOKUP(A260,Database!A:Q,MATCH($A$1,Database!$A$1:$Q$1,),)</f>
        <v>35576</v>
      </c>
      <c r="C260" s="15">
        <f t="shared" si="6"/>
        <v>-6.4608556420124163E-4</v>
      </c>
      <c r="D260" s="16">
        <f t="shared" si="7"/>
        <v>8.0746096360653746E-2</v>
      </c>
    </row>
    <row r="261" spans="1:4" x14ac:dyDescent="0.2">
      <c r="A261" s="13">
        <v>41334</v>
      </c>
      <c r="B261" s="18">
        <f>VLOOKUP(A261,Database!A:Q,MATCH($A$1,Database!$A$1:$Q$1,),)</f>
        <v>35421</v>
      </c>
      <c r="C261" s="15">
        <f t="shared" si="6"/>
        <v>-4.356869799865078E-3</v>
      </c>
      <c r="D261" s="16">
        <f t="shared" si="7"/>
        <v>7.7313786915660446E-2</v>
      </c>
    </row>
    <row r="262" spans="1:4" x14ac:dyDescent="0.2">
      <c r="A262" s="14">
        <v>41365</v>
      </c>
      <c r="B262" s="18">
        <f>VLOOKUP(A262,Database!A:Q,MATCH($A$1,Database!$A$1:$Q$1,),)</f>
        <v>35140</v>
      </c>
      <c r="C262" s="15">
        <f t="shared" si="6"/>
        <v>-7.9331470031901979E-3</v>
      </c>
      <c r="D262" s="16">
        <f t="shared" si="7"/>
        <v>5.8210618243141506E-2</v>
      </c>
    </row>
    <row r="263" spans="1:4" x14ac:dyDescent="0.2">
      <c r="A263" s="13">
        <v>41395</v>
      </c>
      <c r="B263" s="18">
        <f>VLOOKUP(A263,Database!A:Q,MATCH($A$1,Database!$A$1:$Q$1,),)</f>
        <v>35127</v>
      </c>
      <c r="C263" s="15">
        <f t="shared" si="6"/>
        <v>-3.6994877632327833E-4</v>
      </c>
      <c r="D263" s="16">
        <f t="shared" si="7"/>
        <v>3.956791950281148E-2</v>
      </c>
    </row>
    <row r="264" spans="1:4" x14ac:dyDescent="0.2">
      <c r="A264" s="14">
        <v>41426</v>
      </c>
      <c r="B264" s="18">
        <f>VLOOKUP(A264,Database!A:Q,MATCH($A$1,Database!$A$1:$Q$1,),)</f>
        <v>35316</v>
      </c>
      <c r="C264" s="15">
        <f t="shared" si="6"/>
        <v>5.3804765564950041E-3</v>
      </c>
      <c r="D264" s="16">
        <f t="shared" si="7"/>
        <v>4.6555045191880279E-2</v>
      </c>
    </row>
    <row r="265" spans="1:4" x14ac:dyDescent="0.2">
      <c r="A265" s="13">
        <v>41456</v>
      </c>
      <c r="B265" s="18">
        <f>VLOOKUP(A265,Database!A:Q,MATCH($A$1,Database!$A$1:$Q$1,),)</f>
        <v>35628</v>
      </c>
      <c r="C265" s="15">
        <f t="shared" ref="C265:C320" si="8">(B265-B264)/B264</f>
        <v>8.8345225959904853E-3</v>
      </c>
      <c r="D265" s="16">
        <f t="shared" si="7"/>
        <v>4.2120042120042119E-2</v>
      </c>
    </row>
    <row r="266" spans="1:4" x14ac:dyDescent="0.2">
      <c r="A266" s="14">
        <v>41487</v>
      </c>
      <c r="B266" s="18">
        <f>VLOOKUP(A266,Database!A:Q,MATCH($A$1,Database!$A$1:$Q$1,),)</f>
        <v>35734</v>
      </c>
      <c r="C266" s="15">
        <f t="shared" si="8"/>
        <v>2.9751880543392836E-3</v>
      </c>
      <c r="D266" s="16">
        <f t="shared" si="7"/>
        <v>3.8567733310082251E-2</v>
      </c>
    </row>
    <row r="267" spans="1:4" x14ac:dyDescent="0.2">
      <c r="A267" s="13">
        <v>41518</v>
      </c>
      <c r="B267" s="18">
        <f>VLOOKUP(A267,Database!A:Q,MATCH($A$1,Database!$A$1:$Q$1,),)</f>
        <v>35619</v>
      </c>
      <c r="C267" s="15">
        <f t="shared" si="8"/>
        <v>-3.2182235406055856E-3</v>
      </c>
      <c r="D267" s="16">
        <f t="shared" si="7"/>
        <v>2.530224525043178E-2</v>
      </c>
    </row>
    <row r="268" spans="1:4" x14ac:dyDescent="0.2">
      <c r="A268" s="14">
        <v>41548</v>
      </c>
      <c r="B268" s="18">
        <f>VLOOKUP(A268,Database!A:Q,MATCH($A$1,Database!$A$1:$Q$1,),)</f>
        <v>35599</v>
      </c>
      <c r="C268" s="15">
        <f t="shared" si="8"/>
        <v>-5.6149807686908674E-4</v>
      </c>
      <c r="D268" s="16">
        <f t="shared" si="7"/>
        <v>2.4756037882495179E-2</v>
      </c>
    </row>
    <row r="269" spans="1:4" x14ac:dyDescent="0.2">
      <c r="A269" s="13">
        <v>41579</v>
      </c>
      <c r="B269" s="18">
        <f>VLOOKUP(A269,Database!A:Q,MATCH($A$1,Database!$A$1:$Q$1,),)</f>
        <v>36449</v>
      </c>
      <c r="C269" s="15">
        <f t="shared" si="8"/>
        <v>2.3877075198741538E-2</v>
      </c>
      <c r="D269" s="16">
        <f t="shared" si="7"/>
        <v>3.4248907553487314E-2</v>
      </c>
    </row>
    <row r="270" spans="1:4" x14ac:dyDescent="0.2">
      <c r="A270" s="14">
        <v>41609</v>
      </c>
      <c r="B270" s="18">
        <f>VLOOKUP(A270,Database!A:Q,MATCH($A$1,Database!$A$1:$Q$1,),)</f>
        <v>37559</v>
      </c>
      <c r="C270" s="15">
        <f t="shared" si="8"/>
        <v>3.0453510384372686E-2</v>
      </c>
      <c r="D270" s="16">
        <f t="shared" si="7"/>
        <v>6.5020132705722225E-2</v>
      </c>
    </row>
    <row r="271" spans="1:4" x14ac:dyDescent="0.2">
      <c r="A271" s="13">
        <v>41640</v>
      </c>
      <c r="B271" s="18">
        <f>VLOOKUP(A271,Database!A:Q,MATCH($A$1,Database!$A$1:$Q$1,),)</f>
        <v>36326</v>
      </c>
      <c r="C271" s="15">
        <f t="shared" si="8"/>
        <v>-3.2828350062568228E-2</v>
      </c>
      <c r="D271" s="16">
        <f t="shared" si="7"/>
        <v>2.0421921964100115E-2</v>
      </c>
    </row>
    <row r="272" spans="1:4" x14ac:dyDescent="0.2">
      <c r="A272" s="14">
        <v>41671</v>
      </c>
      <c r="B272" s="18">
        <f>VLOOKUP(A272,Database!A:Q,MATCH($A$1,Database!$A$1:$Q$1,),)</f>
        <v>37254</v>
      </c>
      <c r="C272" s="15">
        <f t="shared" si="8"/>
        <v>2.5546440565985797E-2</v>
      </c>
      <c r="D272" s="16">
        <f t="shared" si="7"/>
        <v>4.7166629188216777E-2</v>
      </c>
    </row>
    <row r="273" spans="1:4" x14ac:dyDescent="0.2">
      <c r="A273" s="13">
        <v>41699</v>
      </c>
      <c r="B273" s="18">
        <f>VLOOKUP(A273,Database!A:Q,MATCH($A$1,Database!$A$1:$Q$1,),)</f>
        <v>37750</v>
      </c>
      <c r="C273" s="15">
        <f t="shared" si="8"/>
        <v>1.3314006549632254E-2</v>
      </c>
      <c r="D273" s="16">
        <f t="shared" si="7"/>
        <v>6.5751955054910924E-2</v>
      </c>
    </row>
    <row r="274" spans="1:4" x14ac:dyDescent="0.2">
      <c r="A274" s="14">
        <v>41730</v>
      </c>
      <c r="B274" s="18">
        <f>VLOOKUP(A274,Database!A:Q,MATCH($A$1,Database!$A$1:$Q$1,),)</f>
        <v>37839</v>
      </c>
      <c r="C274" s="15">
        <f t="shared" si="8"/>
        <v>2.357615894039735E-3</v>
      </c>
      <c r="D274" s="16">
        <f t="shared" si="7"/>
        <v>7.6807057484348323E-2</v>
      </c>
    </row>
    <row r="275" spans="1:4" x14ac:dyDescent="0.2">
      <c r="A275" s="13">
        <v>41760</v>
      </c>
      <c r="B275" s="18">
        <f>VLOOKUP(A275,Database!A:Q,MATCH($A$1,Database!$A$1:$Q$1,),)</f>
        <v>37922</v>
      </c>
      <c r="C275" s="15">
        <f t="shared" si="8"/>
        <v>2.193504056661117E-3</v>
      </c>
      <c r="D275" s="16">
        <f t="shared" si="7"/>
        <v>7.9568423150283257E-2</v>
      </c>
    </row>
    <row r="276" spans="1:4" x14ac:dyDescent="0.2">
      <c r="A276" s="14">
        <v>41791</v>
      </c>
      <c r="B276" s="18">
        <f>VLOOKUP(A276,Database!A:Q,MATCH($A$1,Database!$A$1:$Q$1,),)</f>
        <v>38712</v>
      </c>
      <c r="C276" s="15">
        <f t="shared" si="8"/>
        <v>2.0832234586783398E-2</v>
      </c>
      <c r="D276" s="16">
        <f t="shared" ref="D276:D320" si="9">(B276-B264)/B264</f>
        <v>9.6160380564050282E-2</v>
      </c>
    </row>
    <row r="277" spans="1:4" x14ac:dyDescent="0.2">
      <c r="A277" s="13">
        <v>41821</v>
      </c>
      <c r="B277" s="18">
        <f>VLOOKUP(A277,Database!A:Q,MATCH($A$1,Database!$A$1:$Q$1,),)</f>
        <v>38579</v>
      </c>
      <c r="C277" s="15">
        <f t="shared" si="8"/>
        <v>-3.4356271957015913E-3</v>
      </c>
      <c r="D277" s="16">
        <f t="shared" si="9"/>
        <v>8.2828112720332317E-2</v>
      </c>
    </row>
    <row r="278" spans="1:4" x14ac:dyDescent="0.2">
      <c r="A278" s="14">
        <v>41852</v>
      </c>
      <c r="B278" s="18">
        <f>VLOOKUP(A278,Database!A:Q,MATCH($A$1,Database!$A$1:$Q$1,),)</f>
        <v>39064</v>
      </c>
      <c r="C278" s="15">
        <f t="shared" si="8"/>
        <v>1.2571606314316079E-2</v>
      </c>
      <c r="D278" s="16">
        <f t="shared" si="9"/>
        <v>9.3188559914926958E-2</v>
      </c>
    </row>
    <row r="279" spans="1:4" x14ac:dyDescent="0.2">
      <c r="A279" s="13">
        <v>41883</v>
      </c>
      <c r="B279" s="18">
        <f>VLOOKUP(A279,Database!A:Q,MATCH($A$1,Database!$A$1:$Q$1,),)</f>
        <v>39151</v>
      </c>
      <c r="C279" s="15">
        <f t="shared" si="8"/>
        <v>2.2271144788040139E-3</v>
      </c>
      <c r="D279" s="16">
        <f t="shared" si="9"/>
        <v>9.9160560375080711E-2</v>
      </c>
    </row>
    <row r="280" spans="1:4" x14ac:dyDescent="0.2">
      <c r="A280" s="14">
        <v>41913</v>
      </c>
      <c r="B280" s="18">
        <f>VLOOKUP(A280,Database!A:Q,MATCH($A$1,Database!$A$1:$Q$1,),)</f>
        <v>39513</v>
      </c>
      <c r="C280" s="15">
        <f t="shared" si="8"/>
        <v>9.2462516921662276E-3</v>
      </c>
      <c r="D280" s="16">
        <f t="shared" si="9"/>
        <v>0.10994690862102868</v>
      </c>
    </row>
    <row r="281" spans="1:4" x14ac:dyDescent="0.2">
      <c r="A281" s="13">
        <v>41944</v>
      </c>
      <c r="B281" s="18">
        <f>VLOOKUP(A281,Database!A:Q,MATCH($A$1,Database!$A$1:$Q$1,),)</f>
        <v>39837</v>
      </c>
      <c r="C281" s="15">
        <f t="shared" si="8"/>
        <v>8.1998329663655004E-3</v>
      </c>
      <c r="D281" s="16">
        <f t="shared" si="9"/>
        <v>9.2951795659688877E-2</v>
      </c>
    </row>
    <row r="282" spans="1:4" x14ac:dyDescent="0.2">
      <c r="A282" s="14">
        <v>41974</v>
      </c>
      <c r="B282" s="18">
        <f>VLOOKUP(A282,Database!A:Q,MATCH($A$1,Database!$A$1:$Q$1,),)</f>
        <v>39908</v>
      </c>
      <c r="C282" s="15">
        <f t="shared" si="8"/>
        <v>1.7822627205863896E-3</v>
      </c>
      <c r="D282" s="16">
        <f t="shared" si="9"/>
        <v>6.2541601214089831E-2</v>
      </c>
    </row>
    <row r="283" spans="1:4" x14ac:dyDescent="0.2">
      <c r="A283" s="13">
        <v>42005</v>
      </c>
      <c r="B283" s="18">
        <f>VLOOKUP(A283,Database!A:Q,MATCH($A$1,Database!$A$1:$Q$1,),)</f>
        <v>39830</v>
      </c>
      <c r="C283" s="15">
        <f t="shared" si="8"/>
        <v>-1.9544953392803448E-3</v>
      </c>
      <c r="D283" s="16">
        <f t="shared" si="9"/>
        <v>9.645983593018774E-2</v>
      </c>
    </row>
    <row r="284" spans="1:4" x14ac:dyDescent="0.2">
      <c r="A284" s="14">
        <v>42036</v>
      </c>
      <c r="B284" s="18">
        <f>VLOOKUP(A284,Database!A:Q,MATCH($A$1,Database!$A$1:$Q$1,),)</f>
        <v>40837</v>
      </c>
      <c r="C284" s="15">
        <f t="shared" si="8"/>
        <v>2.5282450414260606E-2</v>
      </c>
      <c r="D284" s="16">
        <f t="shared" si="9"/>
        <v>9.6177591668008808E-2</v>
      </c>
    </row>
    <row r="285" spans="1:4" x14ac:dyDescent="0.2">
      <c r="A285" s="13">
        <v>42064</v>
      </c>
      <c r="B285" s="18">
        <f>VLOOKUP(A285,Database!A:Q,MATCH($A$1,Database!$A$1:$Q$1,),)</f>
        <v>40661</v>
      </c>
      <c r="C285" s="15">
        <f t="shared" si="8"/>
        <v>-4.3098170776501698E-3</v>
      </c>
      <c r="D285" s="16">
        <f t="shared" si="9"/>
        <v>7.7112582781456954E-2</v>
      </c>
    </row>
    <row r="286" spans="1:4" x14ac:dyDescent="0.2">
      <c r="A286" s="14">
        <v>42095</v>
      </c>
      <c r="B286" s="18">
        <f>VLOOKUP(A286,Database!A:Q,MATCH($A$1,Database!$A$1:$Q$1,),)</f>
        <v>40897</v>
      </c>
      <c r="C286" s="15">
        <f t="shared" si="8"/>
        <v>5.8040874548092765E-3</v>
      </c>
      <c r="D286" s="16">
        <f t="shared" si="9"/>
        <v>8.0816089220116807E-2</v>
      </c>
    </row>
    <row r="287" spans="1:4" x14ac:dyDescent="0.2">
      <c r="A287" s="13">
        <v>42125</v>
      </c>
      <c r="B287" s="18">
        <f>VLOOKUP(A287,Database!A:Q,MATCH($A$1,Database!$A$1:$Q$1,),)</f>
        <v>40766</v>
      </c>
      <c r="C287" s="15">
        <f t="shared" si="8"/>
        <v>-3.2031689365968163E-3</v>
      </c>
      <c r="D287" s="16">
        <f t="shared" si="9"/>
        <v>7.4996044512420229E-2</v>
      </c>
    </row>
    <row r="288" spans="1:4" x14ac:dyDescent="0.2">
      <c r="A288" s="14">
        <v>42156</v>
      </c>
      <c r="B288" s="18">
        <f>VLOOKUP(A288,Database!A:Q,MATCH($A$1,Database!$A$1:$Q$1,),)</f>
        <v>41040</v>
      </c>
      <c r="C288" s="15">
        <f t="shared" si="8"/>
        <v>6.72128734729922E-3</v>
      </c>
      <c r="D288" s="16">
        <f t="shared" si="9"/>
        <v>6.0136391816491011E-2</v>
      </c>
    </row>
    <row r="289" spans="1:4" x14ac:dyDescent="0.2">
      <c r="A289" s="13">
        <v>42186</v>
      </c>
      <c r="B289" s="18">
        <f>VLOOKUP(A289,Database!A:Q,MATCH($A$1,Database!$A$1:$Q$1,),)</f>
        <v>41617</v>
      </c>
      <c r="C289" s="15">
        <f t="shared" si="8"/>
        <v>1.4059454191033138E-2</v>
      </c>
      <c r="D289" s="16">
        <f t="shared" si="9"/>
        <v>7.8747505119365457E-2</v>
      </c>
    </row>
    <row r="290" spans="1:4" x14ac:dyDescent="0.2">
      <c r="A290" s="14">
        <v>42217</v>
      </c>
      <c r="B290" s="18">
        <f>VLOOKUP(A290,Database!A:Q,MATCH($A$1,Database!$A$1:$Q$1,),)</f>
        <v>41642</v>
      </c>
      <c r="C290" s="15">
        <f t="shared" si="8"/>
        <v>6.0071605353581472E-4</v>
      </c>
      <c r="D290" s="16">
        <f t="shared" si="9"/>
        <v>6.5994265820192508E-2</v>
      </c>
    </row>
    <row r="291" spans="1:4" x14ac:dyDescent="0.2">
      <c r="A291" s="13">
        <v>42248</v>
      </c>
      <c r="B291" s="18">
        <f>VLOOKUP(A291,Database!A:Q,MATCH($A$1,Database!$A$1:$Q$1,),)</f>
        <v>42054</v>
      </c>
      <c r="C291" s="15">
        <f t="shared" si="8"/>
        <v>9.8938571634407564E-3</v>
      </c>
      <c r="D291" s="16">
        <f t="shared" si="9"/>
        <v>7.414880845955403E-2</v>
      </c>
    </row>
    <row r="292" spans="1:4" x14ac:dyDescent="0.2">
      <c r="A292" s="14">
        <v>42278</v>
      </c>
      <c r="B292" s="18">
        <f>VLOOKUP(A292,Database!A:Q,MATCH($A$1,Database!$A$1:$Q$1,),)</f>
        <v>42262</v>
      </c>
      <c r="C292" s="15">
        <f t="shared" si="8"/>
        <v>4.9460217815189998E-3</v>
      </c>
      <c r="D292" s="16">
        <f t="shared" si="9"/>
        <v>6.9572039581909745E-2</v>
      </c>
    </row>
    <row r="293" spans="1:4" x14ac:dyDescent="0.2">
      <c r="A293" s="13">
        <v>42309</v>
      </c>
      <c r="B293" s="18">
        <f>VLOOKUP(A293,Database!A:Q,MATCH($A$1,Database!$A$1:$Q$1,),)</f>
        <v>42146</v>
      </c>
      <c r="C293" s="15">
        <f t="shared" si="8"/>
        <v>-2.7447825469689084E-3</v>
      </c>
      <c r="D293" s="16">
        <f t="shared" si="9"/>
        <v>5.796119185681653E-2</v>
      </c>
    </row>
    <row r="294" spans="1:4" x14ac:dyDescent="0.2">
      <c r="A294" s="14">
        <v>42339</v>
      </c>
      <c r="B294" s="18">
        <f>VLOOKUP(A294,Database!A:Q,MATCH($A$1,Database!$A$1:$Q$1,),)</f>
        <v>42355</v>
      </c>
      <c r="C294" s="15">
        <f t="shared" si="8"/>
        <v>4.9589522137332134E-3</v>
      </c>
      <c r="D294" s="16">
        <f t="shared" si="9"/>
        <v>6.13160268617821E-2</v>
      </c>
    </row>
    <row r="295" spans="1:4" x14ac:dyDescent="0.2">
      <c r="A295" s="13">
        <v>42370</v>
      </c>
      <c r="B295" s="18">
        <f>VLOOKUP(A295,Database!A:Q,MATCH($A$1,Database!$A$1:$Q$1,),)</f>
        <v>43174</v>
      </c>
      <c r="C295" s="15">
        <f t="shared" si="8"/>
        <v>1.9336560028331957E-2</v>
      </c>
      <c r="D295" s="16">
        <f t="shared" si="9"/>
        <v>8.3956816469997489E-2</v>
      </c>
    </row>
    <row r="296" spans="1:4" x14ac:dyDescent="0.2">
      <c r="A296" s="14">
        <v>42401</v>
      </c>
      <c r="B296" s="18">
        <f>VLOOKUP(A296,Database!A:Q,MATCH($A$1,Database!$A$1:$Q$1,),)</f>
        <v>43388</v>
      </c>
      <c r="C296" s="15">
        <f t="shared" si="8"/>
        <v>4.9566868948904431E-3</v>
      </c>
      <c r="D296" s="16">
        <f t="shared" si="9"/>
        <v>6.2467860028895365E-2</v>
      </c>
    </row>
    <row r="297" spans="1:4" x14ac:dyDescent="0.2">
      <c r="A297" s="13">
        <v>42430</v>
      </c>
      <c r="B297" s="18">
        <f>VLOOKUP(A297,Database!A:Q,MATCH($A$1,Database!$A$1:$Q$1,),)</f>
        <v>43437</v>
      </c>
      <c r="C297" s="15">
        <f t="shared" si="8"/>
        <v>1.1293445192219046E-3</v>
      </c>
      <c r="D297" s="16">
        <f t="shared" si="9"/>
        <v>6.8271808366739628E-2</v>
      </c>
    </row>
    <row r="298" spans="1:4" x14ac:dyDescent="0.2">
      <c r="A298" s="14">
        <v>42461</v>
      </c>
      <c r="B298" s="18">
        <f>VLOOKUP(A298,Database!A:Q,MATCH($A$1,Database!$A$1:$Q$1,),)</f>
        <v>43975</v>
      </c>
      <c r="C298" s="15">
        <f t="shared" si="8"/>
        <v>1.2385754080622511E-2</v>
      </c>
      <c r="D298" s="16">
        <f t="shared" si="9"/>
        <v>7.5262244174389314E-2</v>
      </c>
    </row>
    <row r="299" spans="1:4" x14ac:dyDescent="0.2">
      <c r="A299" s="13">
        <v>42491</v>
      </c>
      <c r="B299" s="18">
        <f>VLOOKUP(A299,Database!A:Q,MATCH($A$1,Database!$A$1:$Q$1,),)</f>
        <v>44827</v>
      </c>
      <c r="C299" s="15">
        <f t="shared" si="8"/>
        <v>1.9374644684479816E-2</v>
      </c>
      <c r="D299" s="16">
        <f t="shared" si="9"/>
        <v>9.9617328165628224E-2</v>
      </c>
    </row>
    <row r="300" spans="1:4" x14ac:dyDescent="0.2">
      <c r="A300" s="14">
        <v>42522</v>
      </c>
      <c r="B300" s="18">
        <f>VLOOKUP(A300,Database!A:Q,MATCH($A$1,Database!$A$1:$Q$1,),)</f>
        <v>45364</v>
      </c>
      <c r="C300" s="15">
        <f t="shared" si="8"/>
        <v>1.1979387422758605E-2</v>
      </c>
      <c r="D300" s="16">
        <f t="shared" si="9"/>
        <v>0.10536062378167642</v>
      </c>
    </row>
    <row r="301" spans="1:4" x14ac:dyDescent="0.2">
      <c r="A301" s="13">
        <v>42552</v>
      </c>
      <c r="B301" s="18">
        <f>VLOOKUP(A301,Database!A:Q,MATCH($A$1,Database!$A$1:$Q$1,),)</f>
        <v>45324</v>
      </c>
      <c r="C301" s="15">
        <f t="shared" si="8"/>
        <v>-8.8175645886606117E-4</v>
      </c>
      <c r="D301" s="16">
        <f t="shared" si="9"/>
        <v>8.9074176418290602E-2</v>
      </c>
    </row>
    <row r="302" spans="1:4" x14ac:dyDescent="0.2">
      <c r="A302" s="14">
        <v>42583</v>
      </c>
      <c r="B302" s="18">
        <f>VLOOKUP(A302,Database!A:Q,MATCH($A$1,Database!$A$1:$Q$1,),)</f>
        <v>45586</v>
      </c>
      <c r="C302" s="15">
        <f t="shared" si="8"/>
        <v>5.7806018886241281E-3</v>
      </c>
      <c r="D302" s="16">
        <f t="shared" si="9"/>
        <v>9.4712069545170738E-2</v>
      </c>
    </row>
    <row r="303" spans="1:4" x14ac:dyDescent="0.2">
      <c r="A303" s="13">
        <v>42614</v>
      </c>
      <c r="B303" s="18">
        <f>VLOOKUP(A303,Database!A:Q,MATCH($A$1,Database!$A$1:$Q$1,),)</f>
        <v>45918</v>
      </c>
      <c r="C303" s="15">
        <f t="shared" si="8"/>
        <v>7.2829377440442244E-3</v>
      </c>
      <c r="D303" s="16">
        <f t="shared" si="9"/>
        <v>9.1881866172064494E-2</v>
      </c>
    </row>
    <row r="304" spans="1:4" x14ac:dyDescent="0.2">
      <c r="A304" s="14">
        <v>42644</v>
      </c>
      <c r="B304" s="18">
        <f>VLOOKUP(A304,Database!A:Q,MATCH($A$1,Database!$A$1:$Q$1,),)</f>
        <v>46508</v>
      </c>
      <c r="C304" s="15">
        <f t="shared" si="8"/>
        <v>1.2848991680822335E-2</v>
      </c>
      <c r="D304" s="16">
        <f t="shared" si="9"/>
        <v>0.10046850598646538</v>
      </c>
    </row>
    <row r="305" spans="1:4" x14ac:dyDescent="0.2">
      <c r="A305" s="13">
        <v>42675</v>
      </c>
      <c r="B305" s="18">
        <f>VLOOKUP(A305,Database!A:Q,MATCH($A$1,Database!$A$1:$Q$1,),)</f>
        <v>46534</v>
      </c>
      <c r="C305" s="15">
        <f t="shared" si="8"/>
        <v>5.5904360540122129E-4</v>
      </c>
      <c r="D305" s="16">
        <f t="shared" si="9"/>
        <v>0.10411426944431262</v>
      </c>
    </row>
    <row r="306" spans="1:4" x14ac:dyDescent="0.2">
      <c r="A306" s="14">
        <v>42705</v>
      </c>
      <c r="B306" s="18">
        <f>VLOOKUP(A306,Database!A:Q,MATCH($A$1,Database!$A$1:$Q$1,),)</f>
        <v>47605</v>
      </c>
      <c r="C306" s="15">
        <f t="shared" si="8"/>
        <v>2.3015429578372801E-2</v>
      </c>
      <c r="D306" s="16">
        <f t="shared" si="9"/>
        <v>0.12395230787392279</v>
      </c>
    </row>
    <row r="307" spans="1:4" x14ac:dyDescent="0.2">
      <c r="A307" s="13">
        <v>42736</v>
      </c>
      <c r="B307" s="18">
        <f>VLOOKUP(A307,Database!A:Q,MATCH($A$1,Database!$A$1:$Q$1,),)</f>
        <v>48132</v>
      </c>
      <c r="C307" s="15">
        <f t="shared" si="8"/>
        <v>1.1070265728389875E-2</v>
      </c>
      <c r="D307" s="16">
        <f t="shared" si="9"/>
        <v>0.1148376337610599</v>
      </c>
    </row>
    <row r="308" spans="1:4" x14ac:dyDescent="0.2">
      <c r="A308" s="14">
        <v>42767</v>
      </c>
      <c r="B308" s="18">
        <f>VLOOKUP(A308,Database!A:Q,MATCH($A$1,Database!$A$1:$Q$1,),)</f>
        <v>48312</v>
      </c>
      <c r="C308" s="15">
        <f t="shared" si="8"/>
        <v>3.7397157816005983E-3</v>
      </c>
      <c r="D308" s="16">
        <f t="shared" si="9"/>
        <v>0.1134876002581359</v>
      </c>
    </row>
    <row r="309" spans="1:4" x14ac:dyDescent="0.2">
      <c r="A309" s="13">
        <v>42795</v>
      </c>
      <c r="B309" s="18">
        <f>VLOOKUP(A309,Database!A:Q,MATCH($A$1,Database!$A$1:$Q$1,),)</f>
        <v>48903</v>
      </c>
      <c r="C309" s="15">
        <f t="shared" si="8"/>
        <v>1.2232985593641331E-2</v>
      </c>
      <c r="D309" s="16">
        <f t="shared" si="9"/>
        <v>0.12583741971130602</v>
      </c>
    </row>
    <row r="310" spans="1:4" x14ac:dyDescent="0.2">
      <c r="A310" s="14">
        <v>42826</v>
      </c>
      <c r="B310" s="18">
        <f>VLOOKUP(A310,Database!A:Q,MATCH($A$1,Database!$A$1:$Q$1,),)</f>
        <v>49624</v>
      </c>
      <c r="C310" s="15">
        <f t="shared" si="8"/>
        <v>1.4743471770648017E-2</v>
      </c>
      <c r="D310" s="16">
        <f t="shared" si="9"/>
        <v>0.12845935190449118</v>
      </c>
    </row>
    <row r="311" spans="1:4" x14ac:dyDescent="0.2">
      <c r="A311" s="13">
        <v>42856</v>
      </c>
      <c r="B311" s="18">
        <f>VLOOKUP(A311,Database!A:Q,MATCH($A$1,Database!$A$1:$Q$1,),)</f>
        <v>49991</v>
      </c>
      <c r="C311" s="15">
        <f t="shared" si="8"/>
        <v>7.3956150249879088E-3</v>
      </c>
      <c r="D311" s="16">
        <f t="shared" si="9"/>
        <v>0.11519842951792446</v>
      </c>
    </row>
    <row r="312" spans="1:4" x14ac:dyDescent="0.2">
      <c r="A312" s="14">
        <v>42887</v>
      </c>
      <c r="B312" s="18">
        <f>VLOOKUP(A312,Database!A:Q,MATCH($A$1,Database!$A$1:$Q$1,),)</f>
        <v>50267</v>
      </c>
      <c r="C312" s="15">
        <f t="shared" si="8"/>
        <v>5.5209937788801983E-3</v>
      </c>
      <c r="D312" s="16">
        <f t="shared" si="9"/>
        <v>0.10808129794550746</v>
      </c>
    </row>
    <row r="313" spans="1:4" x14ac:dyDescent="0.2">
      <c r="A313" s="13">
        <v>42917</v>
      </c>
      <c r="B313" s="18">
        <f>VLOOKUP(A313,Database!A:Q,MATCH($A$1,Database!$A$1:$Q$1,),)</f>
        <v>50713</v>
      </c>
      <c r="C313" s="15">
        <f t="shared" si="8"/>
        <v>8.8726202080888061E-3</v>
      </c>
      <c r="D313" s="16">
        <f t="shared" si="9"/>
        <v>0.11889947930456271</v>
      </c>
    </row>
    <row r="314" spans="1:4" x14ac:dyDescent="0.2">
      <c r="A314" s="14">
        <v>42948</v>
      </c>
      <c r="B314" s="18">
        <f>VLOOKUP(A314,Database!A:Q,MATCH($A$1,Database!$A$1:$Q$1,),)</f>
        <v>51035</v>
      </c>
      <c r="C314" s="15">
        <f t="shared" si="8"/>
        <v>6.3494567467907636E-3</v>
      </c>
      <c r="D314" s="16">
        <f t="shared" si="9"/>
        <v>0.11953231255209933</v>
      </c>
    </row>
    <row r="315" spans="1:4" x14ac:dyDescent="0.2">
      <c r="A315" s="13">
        <v>42979</v>
      </c>
      <c r="B315" s="18">
        <f>VLOOKUP(A315,Database!A:Q,MATCH($A$1,Database!$A$1:$Q$1,),)</f>
        <v>51561</v>
      </c>
      <c r="C315" s="15">
        <f t="shared" si="8"/>
        <v>1.0306652297442931E-2</v>
      </c>
      <c r="D315" s="16">
        <f t="shared" si="9"/>
        <v>0.12289298314386515</v>
      </c>
    </row>
    <row r="316" spans="1:4" x14ac:dyDescent="0.2">
      <c r="A316" s="14">
        <v>43009</v>
      </c>
      <c r="B316" s="18">
        <f>VLOOKUP(A316,Database!A:Q,MATCH($A$1,Database!$A$1:$Q$1,),)</f>
        <v>51074</v>
      </c>
      <c r="C316" s="15">
        <f t="shared" si="8"/>
        <v>-9.4451232520703626E-3</v>
      </c>
      <c r="D316" s="16">
        <f t="shared" si="9"/>
        <v>9.8176657779306786E-2</v>
      </c>
    </row>
    <row r="317" spans="1:4" x14ac:dyDescent="0.2">
      <c r="A317" s="13">
        <v>43040</v>
      </c>
      <c r="B317" s="18">
        <f>VLOOKUP(A317,Database!A:Q,MATCH($A$1,Database!$A$1:$Q$1,),)</f>
        <v>53421</v>
      </c>
      <c r="C317" s="15">
        <f t="shared" si="8"/>
        <v>4.5952931041234289E-2</v>
      </c>
      <c r="D317" s="16">
        <f t="shared" si="9"/>
        <v>0.14799931233076891</v>
      </c>
    </row>
    <row r="318" spans="1:4" x14ac:dyDescent="0.2">
      <c r="A318" s="14">
        <v>43070</v>
      </c>
      <c r="B318" s="18">
        <f>VLOOKUP(A318,Database!A:Q,MATCH($A$1,Database!$A$1:$Q$1,),)</f>
        <v>54363</v>
      </c>
      <c r="C318" s="15">
        <f t="shared" si="8"/>
        <v>1.7633514909866907E-2</v>
      </c>
      <c r="D318" s="16">
        <f t="shared" si="9"/>
        <v>0.14195987816405839</v>
      </c>
    </row>
    <row r="319" spans="1:4" x14ac:dyDescent="0.2">
      <c r="A319" s="13">
        <v>43101</v>
      </c>
      <c r="B319" s="18">
        <f>VLOOKUP(A319,Database!A:Q,MATCH($A$1,Database!$A$1:$Q$1,),)</f>
        <v>54331</v>
      </c>
      <c r="C319" s="15">
        <f t="shared" si="8"/>
        <v>-5.8863565292570309E-4</v>
      </c>
      <c r="D319" s="16">
        <f t="shared" si="9"/>
        <v>0.12879165627856728</v>
      </c>
    </row>
    <row r="320" spans="1:4" x14ac:dyDescent="0.2">
      <c r="A320" s="14">
        <v>43132</v>
      </c>
      <c r="B320" s="18">
        <f>VLOOKUP(A320,Database!A:Q,MATCH($A$1,Database!$A$1:$Q$1,),)</f>
        <v>54637</v>
      </c>
      <c r="C320" s="15">
        <f t="shared" si="8"/>
        <v>5.6321437116931402E-3</v>
      </c>
      <c r="D320" s="16">
        <f t="shared" si="9"/>
        <v>0.13091985428051001</v>
      </c>
    </row>
    <row r="321" spans="1:4" x14ac:dyDescent="0.2">
      <c r="A321" s="13">
        <v>43160</v>
      </c>
      <c r="B321" s="18">
        <f>VLOOKUP(A321,Database!A:Q,MATCH($A$1,Database!$A$1:$Q$1,),)</f>
        <v>55316</v>
      </c>
      <c r="C321" s="15">
        <f t="shared" ref="C321:C322" si="10">(B321-B320)/B320</f>
        <v>1.2427475886304154E-2</v>
      </c>
      <c r="D321" s="16">
        <f t="shared" ref="D321:D322" si="11">(B321-B309)/B309</f>
        <v>0.13113714905016052</v>
      </c>
    </row>
    <row r="322" spans="1:4" x14ac:dyDescent="0.2">
      <c r="A322" s="14">
        <v>43191</v>
      </c>
      <c r="B322" s="18">
        <f>VLOOKUP(A322,Database!A:Q,MATCH($A$1,Database!$A$1:$Q$1,),)</f>
        <v>56131</v>
      </c>
      <c r="C322" s="15">
        <f t="shared" si="10"/>
        <v>1.4733530985609949E-2</v>
      </c>
      <c r="D322" s="16">
        <f t="shared" si="11"/>
        <v>0.13112606803159763</v>
      </c>
    </row>
    <row r="323" spans="1:4" x14ac:dyDescent="0.2">
      <c r="A323" s="13">
        <v>43221</v>
      </c>
      <c r="B323" s="18">
        <f>VLOOKUP(A323,Database!A:Q,MATCH($A$1,Database!$A$1:$Q$1,),)</f>
        <v>55818</v>
      </c>
      <c r="C323" s="15">
        <f t="shared" ref="C323:C324" si="12">(B323-B322)/B322</f>
        <v>-5.5762412926903138E-3</v>
      </c>
      <c r="D323" s="16">
        <f t="shared" ref="D323:D324" si="13">(B323-B311)/B311</f>
        <v>0.11656098097657579</v>
      </c>
    </row>
    <row r="324" spans="1:4" x14ac:dyDescent="0.2">
      <c r="A324" s="14">
        <v>43252</v>
      </c>
      <c r="B324" s="18">
        <f>VLOOKUP(A324,Database!A:Q,MATCH($A$1,Database!$A$1:$Q$1,),)</f>
        <v>55751</v>
      </c>
      <c r="C324" s="15">
        <f t="shared" si="12"/>
        <v>-1.2003296427675659E-3</v>
      </c>
      <c r="D324" s="16">
        <f t="shared" si="13"/>
        <v>0.10909741977838343</v>
      </c>
    </row>
    <row r="325" spans="1:4" x14ac:dyDescent="0.2">
      <c r="A325" s="13">
        <v>43282</v>
      </c>
      <c r="B325" s="18">
        <f>VLOOKUP(A325,Database!A:Q,MATCH($A$1,Database!$A$1:$Q$1,),)</f>
        <v>56714</v>
      </c>
      <c r="C325" s="15">
        <f t="shared" ref="C325:C326" si="14">(B325-B324)/B324</f>
        <v>1.7273232767125252E-2</v>
      </c>
      <c r="D325" s="16">
        <f t="shared" ref="D325:D326" si="15">(B325-B313)/B313</f>
        <v>0.11833257744562538</v>
      </c>
    </row>
    <row r="326" spans="1:4" x14ac:dyDescent="0.2">
      <c r="A326" s="14">
        <v>43313</v>
      </c>
      <c r="B326" s="18">
        <f>VLOOKUP(A326,Database!A:Q,MATCH($A$1,Database!$A$1:$Q$1,),)</f>
        <v>56948</v>
      </c>
      <c r="C326" s="15">
        <f t="shared" si="14"/>
        <v>4.1259653701026201E-3</v>
      </c>
      <c r="D326" s="16">
        <f t="shared" si="15"/>
        <v>0.11586166356422063</v>
      </c>
    </row>
    <row r="327" spans="1:4" x14ac:dyDescent="0.2">
      <c r="A327" s="13">
        <v>43344</v>
      </c>
      <c r="B327" s="18">
        <f>VLOOKUP(A327,Database!A:Q,MATCH($A$1,Database!$A$1:$Q$1,),)</f>
        <v>57753</v>
      </c>
      <c r="C327" s="15">
        <f t="shared" ref="C327:C328" si="16">(B327-B326)/B326</f>
        <v>1.4135702746365105E-2</v>
      </c>
      <c r="D327" s="16">
        <f t="shared" ref="D327:D328" si="17">(B327-B315)/B315</f>
        <v>0.12009076627683714</v>
      </c>
    </row>
    <row r="328" spans="1:4" x14ac:dyDescent="0.2">
      <c r="A328" s="14">
        <v>43374</v>
      </c>
      <c r="B328" s="18">
        <f>VLOOKUP(A328,Database!A:Q,MATCH($A$1,Database!$A$1:$Q$1,),)</f>
        <v>58219</v>
      </c>
      <c r="C328" s="15">
        <f t="shared" si="16"/>
        <v>8.0688449084896016E-3</v>
      </c>
      <c r="D328" s="16">
        <f t="shared" si="17"/>
        <v>0.13989505423503151</v>
      </c>
    </row>
    <row r="329" spans="1:4" x14ac:dyDescent="0.2">
      <c r="A329" s="13">
        <v>43405</v>
      </c>
      <c r="B329" s="18">
        <f>VLOOKUP(A329,Database!A:Q,MATCH($A$1,Database!$A$1:$Q$1,),)</f>
        <v>60268</v>
      </c>
      <c r="C329" s="15">
        <f t="shared" ref="C329:C330" si="18">(B329-B328)/B328</f>
        <v>3.5194695889658012E-2</v>
      </c>
      <c r="D329" s="16">
        <f t="shared" ref="D329:D330" si="19">(B329-B317)/B317</f>
        <v>0.12817056962617698</v>
      </c>
    </row>
    <row r="330" spans="1:4" x14ac:dyDescent="0.2">
      <c r="A330" s="14">
        <v>43435</v>
      </c>
      <c r="B330" s="18">
        <f>VLOOKUP(A330,Database!A:Q,MATCH($A$1,Database!$A$1:$Q$1,),)</f>
        <v>54472</v>
      </c>
      <c r="C330" s="15">
        <f t="shared" si="18"/>
        <v>-9.6170438707108244E-2</v>
      </c>
      <c r="D330" s="16">
        <f t="shared" si="19"/>
        <v>2.0050401927781763E-3</v>
      </c>
    </row>
    <row r="331" spans="1:4" x14ac:dyDescent="0.2">
      <c r="A331" s="13">
        <v>43466</v>
      </c>
      <c r="B331" s="18">
        <f>VLOOKUP(A331,Database!A:Q,MATCH($A$1,Database!$A$1:$Q$1,),)</f>
        <v>60570</v>
      </c>
      <c r="C331" s="15">
        <f t="shared" ref="C331:C332" si="20">(B331-B330)/B330</f>
        <v>0.11194742252900573</v>
      </c>
      <c r="D331" s="16">
        <f t="shared" ref="D331:D332" si="21">(B331-B319)/B319</f>
        <v>0.1148331523439657</v>
      </c>
    </row>
    <row r="332" spans="1:4" x14ac:dyDescent="0.2">
      <c r="A332" s="14">
        <v>43497</v>
      </c>
      <c r="B332" s="18">
        <f>VLOOKUP(A332,Database!A:Q,MATCH($A$1,Database!$A$1:$Q$1,),)</f>
        <v>61022</v>
      </c>
      <c r="C332" s="15">
        <f t="shared" si="20"/>
        <v>7.4624401518903751E-3</v>
      </c>
      <c r="D332" s="16">
        <f t="shared" si="21"/>
        <v>0.11686219960832403</v>
      </c>
    </row>
    <row r="333" spans="1:4" x14ac:dyDescent="0.2">
      <c r="A333" s="13">
        <v>43525</v>
      </c>
      <c r="B333" s="18">
        <f>VLOOKUP(A333,Database!A:Q,MATCH($A$1,Database!$A$1:$Q$1,),)</f>
        <v>60845</v>
      </c>
      <c r="C333" s="15">
        <f t="shared" ref="C333:C334" si="22">(B333-B332)/B332</f>
        <v>-2.9005932286716267E-3</v>
      </c>
      <c r="D333" s="16">
        <f t="shared" ref="D333:D334" si="23">(B333-B321)/B321</f>
        <v>9.9952997324463083E-2</v>
      </c>
    </row>
    <row r="334" spans="1:4" x14ac:dyDescent="0.2">
      <c r="A334" s="14">
        <v>43556</v>
      </c>
      <c r="B334" s="18">
        <f>VLOOKUP(A334,Database!A:Q,MATCH($A$1,Database!$A$1:$Q$1,),)</f>
        <v>61862</v>
      </c>
      <c r="C334" s="15">
        <f t="shared" si="22"/>
        <v>1.6714602678938286E-2</v>
      </c>
      <c r="D334" s="16">
        <f t="shared" si="23"/>
        <v>0.10210044360513798</v>
      </c>
    </row>
    <row r="335" spans="1:4" x14ac:dyDescent="0.2">
      <c r="A335" s="13">
        <v>43586</v>
      </c>
      <c r="B335" s="18">
        <f>VLOOKUP(A335,Database!A:Q,MATCH($A$1,Database!$A$1:$Q$1,),)</f>
        <v>63306</v>
      </c>
      <c r="C335" s="15">
        <f t="shared" ref="C335:C336" si="24">(B335-B334)/B334</f>
        <v>2.3342277973554041E-2</v>
      </c>
      <c r="D335" s="16">
        <f t="shared" ref="D335:D336" si="25">(B335-B323)/B323</f>
        <v>0.13415027410512737</v>
      </c>
    </row>
    <row r="336" spans="1:4" x14ac:dyDescent="0.2">
      <c r="A336" s="14">
        <v>43617</v>
      </c>
      <c r="B336" s="18">
        <f>VLOOKUP(A336,Database!A:Q,MATCH($A$1,Database!$A$1:$Q$1,),)</f>
        <v>64217</v>
      </c>
      <c r="C336" s="15">
        <f t="shared" si="24"/>
        <v>1.4390421129118883E-2</v>
      </c>
      <c r="D336" s="16">
        <f t="shared" si="25"/>
        <v>0.1518537784075622</v>
      </c>
    </row>
    <row r="337" spans="1:4" x14ac:dyDescent="0.2">
      <c r="A337" s="13">
        <v>43647</v>
      </c>
      <c r="B337" s="18">
        <f>VLOOKUP(A337,Database!A:Q,MATCH($A$1,Database!$A$1:$Q$1,),)</f>
        <v>64423</v>
      </c>
      <c r="C337" s="15">
        <f t="shared" ref="C337:C338" si="26">(B337-B336)/B336</f>
        <v>3.2078733045766698E-3</v>
      </c>
      <c r="D337" s="16">
        <f t="shared" ref="D337:D338" si="27">(B337-B325)/B325</f>
        <v>0.13592763691504742</v>
      </c>
    </row>
    <row r="338" spans="1:4" x14ac:dyDescent="0.2">
      <c r="A338" s="14">
        <v>43678</v>
      </c>
      <c r="B338" s="18">
        <f>VLOOKUP(A338,Database!A:Q,MATCH($A$1,Database!$A$1:$Q$1,),)</f>
        <v>64972</v>
      </c>
      <c r="C338" s="15">
        <f t="shared" si="26"/>
        <v>8.5218012200611575E-3</v>
      </c>
      <c r="D338" s="16">
        <f t="shared" si="27"/>
        <v>0.14090047060476224</v>
      </c>
    </row>
    <row r="339" spans="1:4" x14ac:dyDescent="0.2">
      <c r="A339" s="13">
        <v>43709</v>
      </c>
      <c r="B339" s="18">
        <f>VLOOKUP(A339,Database!A:Q,MATCH($A$1,Database!$A$1:$Q$1,),)</f>
        <v>64658</v>
      </c>
      <c r="C339" s="15">
        <f t="shared" ref="C339:C340" si="28">(B339-B338)/B338</f>
        <v>-4.8328510743089331E-3</v>
      </c>
      <c r="D339" s="16">
        <f t="shared" ref="D339:D340" si="29">(B339-B327)/B327</f>
        <v>0.11956088861184701</v>
      </c>
    </row>
    <row r="340" spans="1:4" x14ac:dyDescent="0.2">
      <c r="A340" s="14">
        <v>43739</v>
      </c>
      <c r="B340" s="18">
        <f>VLOOKUP(A340,Database!A:Q,MATCH($A$1,Database!$A$1:$Q$1,),)</f>
        <v>65294</v>
      </c>
      <c r="C340" s="15">
        <f t="shared" si="28"/>
        <v>9.836369822759752E-3</v>
      </c>
      <c r="D340" s="16">
        <f t="shared" si="29"/>
        <v>0.12152390113193287</v>
      </c>
    </row>
    <row r="341" spans="1:4" x14ac:dyDescent="0.2">
      <c r="A341" s="13">
        <v>43770</v>
      </c>
      <c r="B341" s="18">
        <f>VLOOKUP(A341,Database!A:Q,MATCH($A$1,Database!$A$1:$Q$1,),)</f>
        <v>64774</v>
      </c>
      <c r="C341" s="15">
        <f t="shared" ref="C341:C342" si="30">(B341-B340)/B340</f>
        <v>-7.9639783134744391E-3</v>
      </c>
      <c r="D341" s="16">
        <f t="shared" ref="D341:D342" si="31">(B341-B329)/B329</f>
        <v>7.4766044999004452E-2</v>
      </c>
    </row>
    <row r="342" spans="1:4" x14ac:dyDescent="0.2">
      <c r="A342" s="14">
        <v>43800</v>
      </c>
      <c r="B342" s="18">
        <f>VLOOKUP(A342,Database!A:Q,MATCH($A$1,Database!$A$1:$Q$1,),)</f>
        <v>64552</v>
      </c>
      <c r="C342" s="15">
        <f t="shared" si="30"/>
        <v>-3.4273010775928612E-3</v>
      </c>
      <c r="D342" s="16">
        <f t="shared" si="31"/>
        <v>0.18504919958877955</v>
      </c>
    </row>
    <row r="343" spans="1:4" x14ac:dyDescent="0.2">
      <c r="A343" s="13">
        <v>43831</v>
      </c>
      <c r="B343" s="18">
        <f>VLOOKUP(A343,Database!A:Q,MATCH($A$1,Database!$A$1:$Q$1,),)</f>
        <v>65240</v>
      </c>
      <c r="C343" s="15">
        <f t="shared" ref="C343:C344" si="32">(B343-B342)/B342</f>
        <v>1.0658074110794398E-2</v>
      </c>
      <c r="D343" s="16">
        <f t="shared" ref="D343:D344" si="33">(B343-B331)/B331</f>
        <v>7.7100875020637283E-2</v>
      </c>
    </row>
    <row r="344" spans="1:4" x14ac:dyDescent="0.2">
      <c r="A344" s="14">
        <v>43862</v>
      </c>
      <c r="B344" s="18">
        <f>VLOOKUP(A344,Database!A:Q,MATCH($A$1,Database!$A$1:$Q$1,),)</f>
        <v>65600</v>
      </c>
      <c r="C344" s="15">
        <f t="shared" si="32"/>
        <v>5.5180870631514412E-3</v>
      </c>
      <c r="D344" s="16">
        <f t="shared" si="33"/>
        <v>7.5022123168693264E-2</v>
      </c>
    </row>
    <row r="345" spans="1:4" x14ac:dyDescent="0.2">
      <c r="A345" s="13">
        <v>43891</v>
      </c>
      <c r="B345" s="18">
        <f>VLOOKUP(A345,Database!A:Q,MATCH($A$1,Database!$A$1:$Q$1,),)</f>
        <v>68433</v>
      </c>
      <c r="C345" s="15">
        <f t="shared" ref="C345:C346" si="34">(B345-B344)/B344</f>
        <v>4.3185975609756094E-2</v>
      </c>
      <c r="D345" s="16">
        <f t="shared" ref="D345:D346" si="35">(B345-B333)/B333</f>
        <v>0.12471032952584436</v>
      </c>
    </row>
    <row r="346" spans="1:4" x14ac:dyDescent="0.2">
      <c r="A346" s="14">
        <v>43922</v>
      </c>
      <c r="B346" s="18">
        <f>VLOOKUP(A346,Database!A:Q,MATCH($A$1,Database!$A$1:$Q$1,),)</f>
        <v>76629</v>
      </c>
      <c r="C346" s="15">
        <f t="shared" si="34"/>
        <v>0.11976677918548069</v>
      </c>
      <c r="D346" s="16">
        <f t="shared" si="35"/>
        <v>0.23870873880572888</v>
      </c>
    </row>
    <row r="347" spans="1:4" x14ac:dyDescent="0.2">
      <c r="A347" s="13">
        <v>43952</v>
      </c>
      <c r="B347" s="18">
        <f>VLOOKUP(A347,Database!A:Q,MATCH($A$1,Database!$A$1:$Q$1,),)</f>
        <v>81508</v>
      </c>
      <c r="C347" s="15">
        <f t="shared" ref="C347:C348" si="36">(B347-B346)/B346</f>
        <v>6.3670411985018729E-2</v>
      </c>
      <c r="D347" s="16">
        <f t="shared" ref="D347:D348" si="37">(B347-B335)/B335</f>
        <v>0.28752408934382206</v>
      </c>
    </row>
    <row r="348" spans="1:4" x14ac:dyDescent="0.2">
      <c r="A348" s="14">
        <v>43983</v>
      </c>
      <c r="B348" s="18">
        <f>VLOOKUP(A348,Database!A:Q,MATCH($A$1,Database!$A$1:$Q$1,),)</f>
        <v>78600</v>
      </c>
      <c r="C348" s="15">
        <f t="shared" si="36"/>
        <v>-3.5677479511213625E-2</v>
      </c>
      <c r="D348" s="16">
        <f t="shared" si="37"/>
        <v>0.2239749599015837</v>
      </c>
    </row>
    <row r="349" spans="1:4" x14ac:dyDescent="0.2">
      <c r="A349" s="13">
        <v>44013</v>
      </c>
      <c r="B349" s="18">
        <f>VLOOKUP(A349,Database!A:Q,MATCH($A$1,Database!$A$1:$Q$1,),)</f>
        <v>80675</v>
      </c>
      <c r="C349" s="15">
        <f t="shared" ref="C349:C350" si="38">(B349-B348)/B348</f>
        <v>2.6399491094147583E-2</v>
      </c>
      <c r="D349" s="16">
        <f t="shared" ref="D349:D350" si="39">(B349-B337)/B337</f>
        <v>0.25227015196436053</v>
      </c>
    </row>
    <row r="350" spans="1:4" x14ac:dyDescent="0.2">
      <c r="A350" s="14">
        <v>44044</v>
      </c>
      <c r="B350" s="18">
        <f>VLOOKUP(A350,Database!A:Q,MATCH($A$1,Database!$A$1:$Q$1,),)</f>
        <v>82184</v>
      </c>
      <c r="C350" s="15">
        <f t="shared" si="38"/>
        <v>1.8704679268670591E-2</v>
      </c>
      <c r="D350" s="16">
        <f t="shared" si="39"/>
        <v>0.2649141168503355</v>
      </c>
    </row>
    <row r="351" spans="1:4" x14ac:dyDescent="0.2">
      <c r="A351" s="13">
        <v>44075</v>
      </c>
      <c r="B351" s="18">
        <f>VLOOKUP(A351,Database!A:Q,MATCH($A$1,Database!$A$1:$Q$1,),)</f>
        <v>80808</v>
      </c>
      <c r="C351" s="15">
        <f t="shared" ref="C351:C352" si="40">(B351-B350)/B350</f>
        <v>-1.6742918329601869E-2</v>
      </c>
      <c r="D351" s="16">
        <f t="shared" ref="D351:D352" si="41">(B351-B339)/B339</f>
        <v>0.24977574314083331</v>
      </c>
    </row>
    <row r="352" spans="1:4" x14ac:dyDescent="0.2">
      <c r="A352" s="14">
        <v>44105</v>
      </c>
      <c r="B352" s="18">
        <f>VLOOKUP(A352,Database!A:Q,MATCH($A$1,Database!$A$1:$Q$1,),)</f>
        <v>83295</v>
      </c>
      <c r="C352" s="15">
        <f t="shared" si="40"/>
        <v>3.0776655776655778E-2</v>
      </c>
      <c r="D352" s="16">
        <f t="shared" si="41"/>
        <v>0.27569148773241031</v>
      </c>
    </row>
    <row r="353" spans="1:4" x14ac:dyDescent="0.2">
      <c r="A353" s="13">
        <v>44136</v>
      </c>
      <c r="B353" s="18">
        <f>VLOOKUP(A353,Database!A:Q,MATCH($A$1,Database!$A$1:$Q$1,),)</f>
        <v>82280</v>
      </c>
      <c r="C353" s="15">
        <f t="shared" ref="C353:C354" si="42">(B353-B352)/B352</f>
        <v>-1.2185605378474098E-2</v>
      </c>
      <c r="D353" s="16">
        <f t="shared" ref="D353:D354" si="43">(B353-B341)/B341</f>
        <v>0.2702627597492821</v>
      </c>
    </row>
    <row r="354" spans="1:4" x14ac:dyDescent="0.2">
      <c r="A354" s="14">
        <v>44166</v>
      </c>
      <c r="B354" s="18">
        <f>VLOOKUP(A354,Database!A:Q,MATCH($A$1,Database!$A$1:$Q$1,),)</f>
        <v>74474</v>
      </c>
      <c r="C354" s="15">
        <f t="shared" si="42"/>
        <v>-9.4871171609139521E-2</v>
      </c>
      <c r="D354" s="16">
        <f t="shared" si="43"/>
        <v>0.15370553971991574</v>
      </c>
    </row>
    <row r="355" spans="1:4" x14ac:dyDescent="0.2">
      <c r="A355" s="13">
        <v>44197</v>
      </c>
      <c r="B355" s="18">
        <f>VLOOKUP(A355,Database!A:Q,MATCH($A$1,Database!$A$1:$Q$1,),)</f>
        <v>87028</v>
      </c>
      <c r="C355" s="15">
        <f t="shared" ref="C355:C356" si="44">(B355-B354)/B354</f>
        <v>0.16856889652764723</v>
      </c>
      <c r="D355" s="16">
        <f t="shared" ref="D355:D356" si="45">(B355-B343)/B343</f>
        <v>0.3339668914776211</v>
      </c>
    </row>
    <row r="356" spans="1:4" x14ac:dyDescent="0.2">
      <c r="A356" s="14">
        <v>44228</v>
      </c>
      <c r="B356" s="18">
        <f>VLOOKUP(A356,Database!A:Q,MATCH($A$1,Database!$A$1:$Q$1,),)</f>
        <v>84324</v>
      </c>
      <c r="C356" s="15">
        <f t="shared" si="44"/>
        <v>-3.1070460081812749E-2</v>
      </c>
      <c r="D356" s="16">
        <f t="shared" si="45"/>
        <v>0.28542682926829266</v>
      </c>
    </row>
    <row r="357" spans="1:4" x14ac:dyDescent="0.2">
      <c r="A357" s="13">
        <v>44256</v>
      </c>
      <c r="B357" s="18">
        <f>VLOOKUP(A357,Database!A:Q,MATCH($A$1,Database!$A$1:$Q$1,),)</f>
        <v>88886</v>
      </c>
      <c r="C357" s="15">
        <f t="shared" ref="C357:C358" si="46">(B357-B356)/B356</f>
        <v>5.4100849105829893E-2</v>
      </c>
      <c r="D357" s="16">
        <f t="shared" ref="D357:D358" si="47">(B357-B345)/B345</f>
        <v>0.29887627314307424</v>
      </c>
    </row>
    <row r="358" spans="1:4" x14ac:dyDescent="0.2">
      <c r="A358" s="14">
        <v>44287</v>
      </c>
      <c r="B358" s="18">
        <f>VLOOKUP(A358,Database!A:Q,MATCH($A$1,Database!$A$1:$Q$1,),)</f>
        <v>88975</v>
      </c>
      <c r="C358" s="15">
        <f t="shared" si="46"/>
        <v>1.0012825416826046E-3</v>
      </c>
      <c r="D358" s="16">
        <f t="shared" si="47"/>
        <v>0.16111393858721892</v>
      </c>
    </row>
    <row r="359" spans="1:4" x14ac:dyDescent="0.2">
      <c r="A359" s="13">
        <v>44317</v>
      </c>
      <c r="B359" s="18">
        <f>VLOOKUP(A359,Database!A:Q,MATCH($A$1,Database!$A$1:$Q$1,),)</f>
        <v>87917</v>
      </c>
      <c r="C359" s="15">
        <f t="shared" ref="C359:C360" si="48">(B359-B358)/B358</f>
        <v>-1.1890980612531609E-2</v>
      </c>
      <c r="D359" s="16">
        <f t="shared" ref="D359:D360" si="49">(B359-B347)/B347</f>
        <v>7.8630318496343915E-2</v>
      </c>
    </row>
    <row r="360" spans="1:4" x14ac:dyDescent="0.2">
      <c r="A360" s="14">
        <v>44348</v>
      </c>
      <c r="B360" s="18">
        <f>VLOOKUP(A360,Database!A:Q,MATCH($A$1,Database!$A$1:$Q$1,),)</f>
        <v>88003</v>
      </c>
      <c r="C360" s="15">
        <f t="shared" si="48"/>
        <v>9.7819534333519107E-4</v>
      </c>
      <c r="D360" s="16">
        <f t="shared" si="49"/>
        <v>0.11963104325699746</v>
      </c>
    </row>
    <row r="361" spans="1:4" x14ac:dyDescent="0.2">
      <c r="A361" s="13">
        <v>44378</v>
      </c>
      <c r="B361" s="18">
        <f>VLOOKUP(A361,Database!A:Q,MATCH($A$1,Database!$A$1:$Q$1,),)</f>
        <v>83926</v>
      </c>
      <c r="C361" s="15">
        <f t="shared" ref="C361:C362" si="50">(B361-B360)/B360</f>
        <v>-4.6327966092065041E-2</v>
      </c>
      <c r="D361" s="16">
        <f t="shared" ref="D361:D362" si="51">(B361-B349)/B349</f>
        <v>4.0297489928726372E-2</v>
      </c>
    </row>
    <row r="362" spans="1:4" x14ac:dyDescent="0.2">
      <c r="A362" s="14">
        <v>44409</v>
      </c>
      <c r="B362" s="18">
        <f>VLOOKUP(A362,Database!A:Q,MATCH($A$1,Database!$A$1:$Q$1,),)</f>
        <v>88381</v>
      </c>
      <c r="C362" s="15">
        <f t="shared" si="50"/>
        <v>5.3082477420584799E-2</v>
      </c>
      <c r="D362" s="16">
        <f t="shared" si="51"/>
        <v>7.5403971575975864E-2</v>
      </c>
    </row>
  </sheetData>
  <conditionalFormatting sqref="C8:C362">
    <cfRule type="colorScale" priority="2">
      <colorScale>
        <cfvo type="min"/>
        <cfvo type="percentile" val="50"/>
        <cfvo type="max"/>
        <color rgb="FFF8696B"/>
        <color rgb="FFFFEB84"/>
        <color rgb="FF63BE7B"/>
      </colorScale>
    </cfRule>
  </conditionalFormatting>
  <conditionalFormatting sqref="D19:D362">
    <cfRule type="colorScale" priority="1">
      <colorScale>
        <cfvo type="min"/>
        <cfvo type="percentile" val="50"/>
        <cfvo type="max"/>
        <color rgb="FFF8696B"/>
        <color rgb="FFFFEB84"/>
        <color rgb="FF63BE7B"/>
      </colorScale>
    </cfRule>
  </conditionalFormatting>
  <hyperlinks>
    <hyperlink ref="A2" r:id="rId1" xr:uid="{00000000-0004-0000-0800-000000000000}"/>
  </hyperlinks>
  <pageMargins left="0.7" right="0.7" top="0.75" bottom="0.75" header="0.3" footer="0.3"/>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dimension ref="A1:D362"/>
  <sheetViews>
    <sheetView zoomScale="160" zoomScaleNormal="160" workbookViewId="0">
      <pane ySplit="6" topLeftCell="A329" activePane="bottomLeft" state="frozen"/>
      <selection pane="bottomLeft" activeCell="B366" sqref="B366"/>
    </sheetView>
  </sheetViews>
  <sheetFormatPr baseColWidth="10" defaultColWidth="9.1640625" defaultRowHeight="15" x14ac:dyDescent="0.2"/>
  <cols>
    <col min="1" max="1" width="14" style="11" customWidth="1"/>
    <col min="2" max="2" width="20.6640625" style="11" customWidth="1"/>
    <col min="3" max="4" width="14.1640625" style="11" customWidth="1"/>
    <col min="5" max="16384" width="9.1640625" style="1"/>
  </cols>
  <sheetData>
    <row r="1" spans="1:4" x14ac:dyDescent="0.2">
      <c r="A1" s="33" t="s">
        <v>28</v>
      </c>
      <c r="B1" s="34" t="s">
        <v>54</v>
      </c>
    </row>
    <row r="2" spans="1:4" x14ac:dyDescent="0.2">
      <c r="A2" s="35" t="s">
        <v>35</v>
      </c>
      <c r="B2" s="33"/>
    </row>
    <row r="3" spans="1:4" x14ac:dyDescent="0.2">
      <c r="A3" s="12"/>
    </row>
    <row r="4" spans="1:4" x14ac:dyDescent="0.2">
      <c r="A4" s="12"/>
    </row>
    <row r="5" spans="1:4" ht="16" thickBot="1" x14ac:dyDescent="0.25"/>
    <row r="6" spans="1:4" ht="44.25" customHeight="1" x14ac:dyDescent="0.2">
      <c r="A6" s="101" t="s">
        <v>2</v>
      </c>
      <c r="B6" s="98" t="s">
        <v>94</v>
      </c>
      <c r="C6" s="99" t="s">
        <v>82</v>
      </c>
      <c r="D6" s="100" t="s">
        <v>83</v>
      </c>
    </row>
    <row r="7" spans="1:4" x14ac:dyDescent="0.2">
      <c r="A7" s="13">
        <v>33604</v>
      </c>
      <c r="B7" s="18">
        <f>VLOOKUP(A7,Database!A:Q,MATCH($A$1,Database!$A$1:$Q$1,),)</f>
        <v>7421</v>
      </c>
      <c r="C7" s="3"/>
      <c r="D7" s="3"/>
    </row>
    <row r="8" spans="1:4" x14ac:dyDescent="0.2">
      <c r="A8" s="14">
        <v>33635</v>
      </c>
      <c r="B8" s="18">
        <f>VLOOKUP(A8,Database!A:Q,MATCH($A$1,Database!$A$1:$Q$1,),)</f>
        <v>7425</v>
      </c>
      <c r="C8" s="15">
        <f>(B8-B7)/B7</f>
        <v>5.3901091497102812E-4</v>
      </c>
      <c r="D8" s="3"/>
    </row>
    <row r="9" spans="1:4" x14ac:dyDescent="0.2">
      <c r="A9" s="13">
        <v>33664</v>
      </c>
      <c r="B9" s="18">
        <f>VLOOKUP(A9,Database!A:Q,MATCH($A$1,Database!$A$1:$Q$1,),)</f>
        <v>7443</v>
      </c>
      <c r="C9" s="15">
        <f t="shared" ref="C9:C72" si="0">(B9-B8)/B8</f>
        <v>2.4242424242424242E-3</v>
      </c>
      <c r="D9" s="3"/>
    </row>
    <row r="10" spans="1:4" x14ac:dyDescent="0.2">
      <c r="A10" s="14">
        <v>33695</v>
      </c>
      <c r="B10" s="18">
        <f>VLOOKUP(A10,Database!A:Q,MATCH($A$1,Database!$A$1:$Q$1,),)</f>
        <v>7516</v>
      </c>
      <c r="C10" s="15">
        <f t="shared" si="0"/>
        <v>9.8078731694209321E-3</v>
      </c>
      <c r="D10" s="3"/>
    </row>
    <row r="11" spans="1:4" x14ac:dyDescent="0.2">
      <c r="A11" s="13">
        <v>33725</v>
      </c>
      <c r="B11" s="18">
        <f>VLOOKUP(A11,Database!A:Q,MATCH($A$1,Database!$A$1:$Q$1,),)</f>
        <v>7458</v>
      </c>
      <c r="C11" s="15">
        <f t="shared" si="0"/>
        <v>-7.716870675891432E-3</v>
      </c>
      <c r="D11" s="3"/>
    </row>
    <row r="12" spans="1:4" x14ac:dyDescent="0.2">
      <c r="A12" s="14">
        <v>33756</v>
      </c>
      <c r="B12" s="18">
        <f>VLOOKUP(A12,Database!A:Q,MATCH($A$1,Database!$A$1:$Q$1,),)</f>
        <v>7417</v>
      </c>
      <c r="C12" s="15">
        <f t="shared" si="0"/>
        <v>-5.4974524001072675E-3</v>
      </c>
      <c r="D12" s="3"/>
    </row>
    <row r="13" spans="1:4" x14ac:dyDescent="0.2">
      <c r="A13" s="13">
        <v>33786</v>
      </c>
      <c r="B13" s="18">
        <f>VLOOKUP(A13,Database!A:Q,MATCH($A$1,Database!$A$1:$Q$1,),)</f>
        <v>7292</v>
      </c>
      <c r="C13" s="15">
        <f t="shared" si="0"/>
        <v>-1.6853175138196036E-2</v>
      </c>
      <c r="D13" s="3"/>
    </row>
    <row r="14" spans="1:4" x14ac:dyDescent="0.2">
      <c r="A14" s="14">
        <v>33817</v>
      </c>
      <c r="B14" s="18">
        <f>VLOOKUP(A14,Database!A:Q,MATCH($A$1,Database!$A$1:$Q$1,),)</f>
        <v>7508</v>
      </c>
      <c r="C14" s="15">
        <f t="shared" si="0"/>
        <v>2.9621503017004936E-2</v>
      </c>
      <c r="D14" s="3"/>
    </row>
    <row r="15" spans="1:4" x14ac:dyDescent="0.2">
      <c r="A15" s="13">
        <v>33848</v>
      </c>
      <c r="B15" s="18">
        <f>VLOOKUP(A15,Database!A:Q,MATCH($A$1,Database!$A$1:$Q$1,),)</f>
        <v>7420</v>
      </c>
      <c r="C15" s="15">
        <f t="shared" si="0"/>
        <v>-1.1720831113478956E-2</v>
      </c>
      <c r="D15" s="3"/>
    </row>
    <row r="16" spans="1:4" x14ac:dyDescent="0.2">
      <c r="A16" s="14">
        <v>33878</v>
      </c>
      <c r="B16" s="18">
        <f>VLOOKUP(A16,Database!A:Q,MATCH($A$1,Database!$A$1:$Q$1,),)</f>
        <v>7535</v>
      </c>
      <c r="C16" s="15">
        <f t="shared" si="0"/>
        <v>1.5498652291105121E-2</v>
      </c>
      <c r="D16" s="3"/>
    </row>
    <row r="17" spans="1:4" x14ac:dyDescent="0.2">
      <c r="A17" s="13">
        <v>33909</v>
      </c>
      <c r="B17" s="18">
        <f>VLOOKUP(A17,Database!A:Q,MATCH($A$1,Database!$A$1:$Q$1,),)</f>
        <v>7497</v>
      </c>
      <c r="C17" s="15">
        <f t="shared" si="0"/>
        <v>-5.0431320504313202E-3</v>
      </c>
      <c r="D17" s="3"/>
    </row>
    <row r="18" spans="1:4" x14ac:dyDescent="0.2">
      <c r="A18" s="14">
        <v>33939</v>
      </c>
      <c r="B18" s="18">
        <f>VLOOKUP(A18,Database!A:Q,MATCH($A$1,Database!$A$1:$Q$1,),)</f>
        <v>7526</v>
      </c>
      <c r="C18" s="15">
        <f t="shared" si="0"/>
        <v>3.8682139522475656E-3</v>
      </c>
      <c r="D18" s="3"/>
    </row>
    <row r="19" spans="1:4" x14ac:dyDescent="0.2">
      <c r="A19" s="13">
        <v>33970</v>
      </c>
      <c r="B19" s="18">
        <f>VLOOKUP(A19,Database!A:Q,MATCH($A$1,Database!$A$1:$Q$1,),)</f>
        <v>7518</v>
      </c>
      <c r="C19" s="15">
        <f t="shared" si="0"/>
        <v>-1.0629816635663034E-3</v>
      </c>
      <c r="D19" s="16">
        <f>(B19-B7)/B7</f>
        <v>1.3071014688047432E-2</v>
      </c>
    </row>
    <row r="20" spans="1:4" x14ac:dyDescent="0.2">
      <c r="A20" s="14">
        <v>34001</v>
      </c>
      <c r="B20" s="18">
        <f>VLOOKUP(A20,Database!A:Q,MATCH($A$1,Database!$A$1:$Q$1,),)</f>
        <v>7651</v>
      </c>
      <c r="C20" s="15">
        <f t="shared" si="0"/>
        <v>1.7690875232774673E-2</v>
      </c>
      <c r="D20" s="16">
        <f t="shared" ref="D20:D83" si="1">(B20-B8)/B8</f>
        <v>3.0437710437710437E-2</v>
      </c>
    </row>
    <row r="21" spans="1:4" x14ac:dyDescent="0.2">
      <c r="A21" s="13">
        <v>34029</v>
      </c>
      <c r="B21" s="18">
        <f>VLOOKUP(A21,Database!A:Q,MATCH($A$1,Database!$A$1:$Q$1,),)</f>
        <v>7605</v>
      </c>
      <c r="C21" s="15">
        <f t="shared" si="0"/>
        <v>-6.012285975689452E-3</v>
      </c>
      <c r="D21" s="16">
        <f t="shared" si="1"/>
        <v>2.1765417170495769E-2</v>
      </c>
    </row>
    <row r="22" spans="1:4" x14ac:dyDescent="0.2">
      <c r="A22" s="14">
        <v>34060</v>
      </c>
      <c r="B22" s="18">
        <f>VLOOKUP(A22,Database!A:Q,MATCH($A$1,Database!$A$1:$Q$1,),)</f>
        <v>7683</v>
      </c>
      <c r="C22" s="15">
        <f t="shared" si="0"/>
        <v>1.0256410256410256E-2</v>
      </c>
      <c r="D22" s="16">
        <f t="shared" si="1"/>
        <v>2.2219265566790845E-2</v>
      </c>
    </row>
    <row r="23" spans="1:4" x14ac:dyDescent="0.2">
      <c r="A23" s="13">
        <v>34090</v>
      </c>
      <c r="B23" s="18">
        <f>VLOOKUP(A23,Database!A:Q,MATCH($A$1,Database!$A$1:$Q$1,),)</f>
        <v>7666</v>
      </c>
      <c r="C23" s="15">
        <f t="shared" si="0"/>
        <v>-2.2126773395808931E-3</v>
      </c>
      <c r="D23" s="16">
        <f t="shared" si="1"/>
        <v>2.7889514615178333E-2</v>
      </c>
    </row>
    <row r="24" spans="1:4" x14ac:dyDescent="0.2">
      <c r="A24" s="14">
        <v>34121</v>
      </c>
      <c r="B24" s="18">
        <f>VLOOKUP(A24,Database!A:Q,MATCH($A$1,Database!$A$1:$Q$1,),)</f>
        <v>7680</v>
      </c>
      <c r="C24" s="15">
        <f t="shared" si="0"/>
        <v>1.8262457605009131E-3</v>
      </c>
      <c r="D24" s="16">
        <f t="shared" si="1"/>
        <v>3.5459080490764461E-2</v>
      </c>
    </row>
    <row r="25" spans="1:4" x14ac:dyDescent="0.2">
      <c r="A25" s="13">
        <v>34151</v>
      </c>
      <c r="B25" s="18">
        <f>VLOOKUP(A25,Database!A:Q,MATCH($A$1,Database!$A$1:$Q$1,),)</f>
        <v>7756</v>
      </c>
      <c r="C25" s="15">
        <f t="shared" si="0"/>
        <v>9.8958333333333329E-3</v>
      </c>
      <c r="D25" s="16">
        <f t="shared" si="1"/>
        <v>6.3631376851343943E-2</v>
      </c>
    </row>
    <row r="26" spans="1:4" x14ac:dyDescent="0.2">
      <c r="A26" s="14">
        <v>34182</v>
      </c>
      <c r="B26" s="18">
        <f>VLOOKUP(A26,Database!A:Q,MATCH($A$1,Database!$A$1:$Q$1,),)</f>
        <v>7678</v>
      </c>
      <c r="C26" s="15">
        <f t="shared" si="0"/>
        <v>-1.0056730273336771E-2</v>
      </c>
      <c r="D26" s="16">
        <f t="shared" si="1"/>
        <v>2.2642514651038892E-2</v>
      </c>
    </row>
    <row r="27" spans="1:4" x14ac:dyDescent="0.2">
      <c r="A27" s="13">
        <v>34213</v>
      </c>
      <c r="B27" s="18">
        <f>VLOOKUP(A27,Database!A:Q,MATCH($A$1,Database!$A$1:$Q$1,),)</f>
        <v>7772</v>
      </c>
      <c r="C27" s="15">
        <f t="shared" si="0"/>
        <v>1.2242771555092472E-2</v>
      </c>
      <c r="D27" s="16">
        <f t="shared" si="1"/>
        <v>4.7439353099730457E-2</v>
      </c>
    </row>
    <row r="28" spans="1:4" x14ac:dyDescent="0.2">
      <c r="A28" s="14">
        <v>34243</v>
      </c>
      <c r="B28" s="18">
        <f>VLOOKUP(A28,Database!A:Q,MATCH($A$1,Database!$A$1:$Q$1,),)</f>
        <v>7758</v>
      </c>
      <c r="C28" s="15">
        <f t="shared" si="0"/>
        <v>-1.8013381369016985E-3</v>
      </c>
      <c r="D28" s="16">
        <f t="shared" si="1"/>
        <v>2.9595222295952222E-2</v>
      </c>
    </row>
    <row r="29" spans="1:4" x14ac:dyDescent="0.2">
      <c r="A29" s="13">
        <v>34274</v>
      </c>
      <c r="B29" s="18">
        <f>VLOOKUP(A29,Database!A:Q,MATCH($A$1,Database!$A$1:$Q$1,),)</f>
        <v>7784</v>
      </c>
      <c r="C29" s="15">
        <f t="shared" si="0"/>
        <v>3.351379221448827E-3</v>
      </c>
      <c r="D29" s="16">
        <f t="shared" si="1"/>
        <v>3.8281979458450049E-2</v>
      </c>
    </row>
    <row r="30" spans="1:4" x14ac:dyDescent="0.2">
      <c r="A30" s="14">
        <v>34304</v>
      </c>
      <c r="B30" s="18">
        <f>VLOOKUP(A30,Database!A:Q,MATCH($A$1,Database!$A$1:$Q$1,),)</f>
        <v>7989</v>
      </c>
      <c r="C30" s="15">
        <f t="shared" si="0"/>
        <v>2.6336073997944503E-2</v>
      </c>
      <c r="D30" s="16">
        <f t="shared" si="1"/>
        <v>6.1520063778899813E-2</v>
      </c>
    </row>
    <row r="31" spans="1:4" x14ac:dyDescent="0.2">
      <c r="A31" s="13">
        <v>34335</v>
      </c>
      <c r="B31" s="18">
        <f>VLOOKUP(A31,Database!A:Q,MATCH($A$1,Database!$A$1:$Q$1,),)</f>
        <v>7865</v>
      </c>
      <c r="C31" s="15">
        <f t="shared" si="0"/>
        <v>-1.5521341845036925E-2</v>
      </c>
      <c r="D31" s="16">
        <f t="shared" si="1"/>
        <v>4.6155892524607611E-2</v>
      </c>
    </row>
    <row r="32" spans="1:4" x14ac:dyDescent="0.2">
      <c r="A32" s="14">
        <v>34366</v>
      </c>
      <c r="B32" s="18">
        <f>VLOOKUP(A32,Database!A:Q,MATCH($A$1,Database!$A$1:$Q$1,),)</f>
        <v>7729</v>
      </c>
      <c r="C32" s="15">
        <f t="shared" si="0"/>
        <v>-1.7291799109980927E-2</v>
      </c>
      <c r="D32" s="16">
        <f t="shared" si="1"/>
        <v>1.0194745784864723E-2</v>
      </c>
    </row>
    <row r="33" spans="1:4" x14ac:dyDescent="0.2">
      <c r="A33" s="13">
        <v>34394</v>
      </c>
      <c r="B33" s="18">
        <f>VLOOKUP(A33,Database!A:Q,MATCH($A$1,Database!$A$1:$Q$1,),)</f>
        <v>7911</v>
      </c>
      <c r="C33" s="15">
        <f t="shared" si="0"/>
        <v>2.3547677577953164E-2</v>
      </c>
      <c r="D33" s="16">
        <f t="shared" si="1"/>
        <v>4.0236686390532544E-2</v>
      </c>
    </row>
    <row r="34" spans="1:4" x14ac:dyDescent="0.2">
      <c r="A34" s="14">
        <v>34425</v>
      </c>
      <c r="B34" s="18">
        <f>VLOOKUP(A34,Database!A:Q,MATCH($A$1,Database!$A$1:$Q$1,),)</f>
        <v>7838</v>
      </c>
      <c r="C34" s="15">
        <f t="shared" si="0"/>
        <v>-9.2276576918215135E-3</v>
      </c>
      <c r="D34" s="16">
        <f t="shared" si="1"/>
        <v>2.0174411037355199E-2</v>
      </c>
    </row>
    <row r="35" spans="1:4" x14ac:dyDescent="0.2">
      <c r="A35" s="13">
        <v>34455</v>
      </c>
      <c r="B35" s="18">
        <f>VLOOKUP(A35,Database!A:Q,MATCH($A$1,Database!$A$1:$Q$1,),)</f>
        <v>7955</v>
      </c>
      <c r="C35" s="15">
        <f t="shared" si="0"/>
        <v>1.4927277366675172E-2</v>
      </c>
      <c r="D35" s="16">
        <f t="shared" si="1"/>
        <v>3.7698930341768848E-2</v>
      </c>
    </row>
    <row r="36" spans="1:4" x14ac:dyDescent="0.2">
      <c r="A36" s="14">
        <v>34486</v>
      </c>
      <c r="B36" s="18">
        <f>VLOOKUP(A36,Database!A:Q,MATCH($A$1,Database!$A$1:$Q$1,),)</f>
        <v>8014</v>
      </c>
      <c r="C36" s="15">
        <f t="shared" si="0"/>
        <v>7.4167190446260212E-3</v>
      </c>
      <c r="D36" s="16">
        <f t="shared" si="1"/>
        <v>4.3489583333333331E-2</v>
      </c>
    </row>
    <row r="37" spans="1:4" x14ac:dyDescent="0.2">
      <c r="A37" s="13">
        <v>34516</v>
      </c>
      <c r="B37" s="18">
        <f>VLOOKUP(A37,Database!A:Q,MATCH($A$1,Database!$A$1:$Q$1,),)</f>
        <v>8084</v>
      </c>
      <c r="C37" s="15">
        <f t="shared" si="0"/>
        <v>8.7347142500623903E-3</v>
      </c>
      <c r="D37" s="16">
        <f t="shared" si="1"/>
        <v>4.2289840123775145E-2</v>
      </c>
    </row>
    <row r="38" spans="1:4" x14ac:dyDescent="0.2">
      <c r="A38" s="14">
        <v>34547</v>
      </c>
      <c r="B38" s="18">
        <f>VLOOKUP(A38,Database!A:Q,MATCH($A$1,Database!$A$1:$Q$1,),)</f>
        <v>8126</v>
      </c>
      <c r="C38" s="15">
        <f t="shared" si="0"/>
        <v>5.1954477981197428E-3</v>
      </c>
      <c r="D38" s="16">
        <f t="shared" si="1"/>
        <v>5.834852826256838E-2</v>
      </c>
    </row>
    <row r="39" spans="1:4" x14ac:dyDescent="0.2">
      <c r="A39" s="13">
        <v>34578</v>
      </c>
      <c r="B39" s="18">
        <f>VLOOKUP(A39,Database!A:Q,MATCH($A$1,Database!$A$1:$Q$1,),)</f>
        <v>8190</v>
      </c>
      <c r="C39" s="15">
        <f t="shared" si="0"/>
        <v>7.875953728771843E-3</v>
      </c>
      <c r="D39" s="16">
        <f t="shared" si="1"/>
        <v>5.3782810087493568E-2</v>
      </c>
    </row>
    <row r="40" spans="1:4" x14ac:dyDescent="0.2">
      <c r="A40" s="14">
        <v>34608</v>
      </c>
      <c r="B40" s="18">
        <f>VLOOKUP(A40,Database!A:Q,MATCH($A$1,Database!$A$1:$Q$1,),)</f>
        <v>8214</v>
      </c>
      <c r="C40" s="15">
        <f t="shared" si="0"/>
        <v>2.9304029304029304E-3</v>
      </c>
      <c r="D40" s="16">
        <f t="shared" si="1"/>
        <v>5.877803557617943E-2</v>
      </c>
    </row>
    <row r="41" spans="1:4" x14ac:dyDescent="0.2">
      <c r="A41" s="13">
        <v>34639</v>
      </c>
      <c r="B41" s="18">
        <f>VLOOKUP(A41,Database!A:Q,MATCH($A$1,Database!$A$1:$Q$1,),)</f>
        <v>8190</v>
      </c>
      <c r="C41" s="15">
        <f t="shared" si="0"/>
        <v>-2.9218407596785976E-3</v>
      </c>
      <c r="D41" s="16">
        <f t="shared" si="1"/>
        <v>5.2158273381294966E-2</v>
      </c>
    </row>
    <row r="42" spans="1:4" x14ac:dyDescent="0.2">
      <c r="A42" s="14">
        <v>34669</v>
      </c>
      <c r="B42" s="18">
        <f>VLOOKUP(A42,Database!A:Q,MATCH($A$1,Database!$A$1:$Q$1,),)</f>
        <v>8287</v>
      </c>
      <c r="C42" s="15">
        <f t="shared" si="0"/>
        <v>1.1843711843711843E-2</v>
      </c>
      <c r="D42" s="16">
        <f t="shared" si="1"/>
        <v>3.7301289272750032E-2</v>
      </c>
    </row>
    <row r="43" spans="1:4" x14ac:dyDescent="0.2">
      <c r="A43" s="13">
        <v>34700</v>
      </c>
      <c r="B43" s="18">
        <f>VLOOKUP(A43,Database!A:Q,MATCH($A$1,Database!$A$1:$Q$1,),)</f>
        <v>8306</v>
      </c>
      <c r="C43" s="15">
        <f t="shared" si="0"/>
        <v>2.2927476770845901E-3</v>
      </c>
      <c r="D43" s="16">
        <f t="shared" si="1"/>
        <v>5.6071201525746982E-2</v>
      </c>
    </row>
    <row r="44" spans="1:4" x14ac:dyDescent="0.2">
      <c r="A44" s="14">
        <v>34731</v>
      </c>
      <c r="B44" s="18">
        <f>VLOOKUP(A44,Database!A:Q,MATCH($A$1,Database!$A$1:$Q$1,),)</f>
        <v>8304</v>
      </c>
      <c r="C44" s="15">
        <f t="shared" si="0"/>
        <v>-2.4078979051288225E-4</v>
      </c>
      <c r="D44" s="16">
        <f t="shared" si="1"/>
        <v>7.4395135205071808E-2</v>
      </c>
    </row>
    <row r="45" spans="1:4" x14ac:dyDescent="0.2">
      <c r="A45" s="13">
        <v>34759</v>
      </c>
      <c r="B45" s="18">
        <f>VLOOKUP(A45,Database!A:Q,MATCH($A$1,Database!$A$1:$Q$1,),)</f>
        <v>8304</v>
      </c>
      <c r="C45" s="15">
        <f t="shared" si="0"/>
        <v>0</v>
      </c>
      <c r="D45" s="16">
        <f t="shared" si="1"/>
        <v>4.9677664012135005E-2</v>
      </c>
    </row>
    <row r="46" spans="1:4" x14ac:dyDescent="0.2">
      <c r="A46" s="14">
        <v>34790</v>
      </c>
      <c r="B46" s="18">
        <f>VLOOKUP(A46,Database!A:Q,MATCH($A$1,Database!$A$1:$Q$1,),)</f>
        <v>8450</v>
      </c>
      <c r="C46" s="15">
        <f t="shared" si="0"/>
        <v>1.7581888246628131E-2</v>
      </c>
      <c r="D46" s="16">
        <f t="shared" si="1"/>
        <v>7.8081143148762439E-2</v>
      </c>
    </row>
    <row r="47" spans="1:4" x14ac:dyDescent="0.2">
      <c r="A47" s="13">
        <v>34820</v>
      </c>
      <c r="B47" s="18">
        <f>VLOOKUP(A47,Database!A:Q,MATCH($A$1,Database!$A$1:$Q$1,),)</f>
        <v>8424</v>
      </c>
      <c r="C47" s="15">
        <f t="shared" si="0"/>
        <v>-3.0769230769230769E-3</v>
      </c>
      <c r="D47" s="16">
        <f t="shared" si="1"/>
        <v>5.8956631049654304E-2</v>
      </c>
    </row>
    <row r="48" spans="1:4" x14ac:dyDescent="0.2">
      <c r="A48" s="14">
        <v>34851</v>
      </c>
      <c r="B48" s="18">
        <f>VLOOKUP(A48,Database!A:Q,MATCH($A$1,Database!$A$1:$Q$1,),)</f>
        <v>8482</v>
      </c>
      <c r="C48" s="15">
        <f t="shared" si="0"/>
        <v>6.8850902184235518E-3</v>
      </c>
      <c r="D48" s="16">
        <f t="shared" si="1"/>
        <v>5.8397803843274268E-2</v>
      </c>
    </row>
    <row r="49" spans="1:4" x14ac:dyDescent="0.2">
      <c r="A49" s="13">
        <v>34881</v>
      </c>
      <c r="B49" s="18">
        <f>VLOOKUP(A49,Database!A:Q,MATCH($A$1,Database!$A$1:$Q$1,),)</f>
        <v>8431</v>
      </c>
      <c r="C49" s="15">
        <f t="shared" si="0"/>
        <v>-6.0127328460268803E-3</v>
      </c>
      <c r="D49" s="16">
        <f t="shared" si="1"/>
        <v>4.2924294903513113E-2</v>
      </c>
    </row>
    <row r="50" spans="1:4" x14ac:dyDescent="0.2">
      <c r="A50" s="14">
        <v>34912</v>
      </c>
      <c r="B50" s="18">
        <f>VLOOKUP(A50,Database!A:Q,MATCH($A$1,Database!$A$1:$Q$1,),)</f>
        <v>8488</v>
      </c>
      <c r="C50" s="15">
        <f t="shared" si="0"/>
        <v>6.7607638477048988E-3</v>
      </c>
      <c r="D50" s="16">
        <f t="shared" si="1"/>
        <v>4.4548363278365741E-2</v>
      </c>
    </row>
    <row r="51" spans="1:4" x14ac:dyDescent="0.2">
      <c r="A51" s="13">
        <v>34943</v>
      </c>
      <c r="B51" s="18">
        <f>VLOOKUP(A51,Database!A:Q,MATCH($A$1,Database!$A$1:$Q$1,),)</f>
        <v>8611</v>
      </c>
      <c r="C51" s="15">
        <f t="shared" si="0"/>
        <v>1.4491046182846372E-2</v>
      </c>
      <c r="D51" s="16">
        <f t="shared" si="1"/>
        <v>5.1404151404151402E-2</v>
      </c>
    </row>
    <row r="52" spans="1:4" x14ac:dyDescent="0.2">
      <c r="A52" s="14">
        <v>34973</v>
      </c>
      <c r="B52" s="18">
        <f>VLOOKUP(A52,Database!A:Q,MATCH($A$1,Database!$A$1:$Q$1,),)</f>
        <v>8584</v>
      </c>
      <c r="C52" s="15">
        <f t="shared" si="0"/>
        <v>-3.1355243293461851E-3</v>
      </c>
      <c r="D52" s="16">
        <f t="shared" si="1"/>
        <v>4.5045045045045043E-2</v>
      </c>
    </row>
    <row r="53" spans="1:4" x14ac:dyDescent="0.2">
      <c r="A53" s="13">
        <v>35004</v>
      </c>
      <c r="B53" s="18">
        <f>VLOOKUP(A53,Database!A:Q,MATCH($A$1,Database!$A$1:$Q$1,),)</f>
        <v>8691</v>
      </c>
      <c r="C53" s="15">
        <f t="shared" si="0"/>
        <v>1.2465051258154707E-2</v>
      </c>
      <c r="D53" s="16">
        <f t="shared" si="1"/>
        <v>6.117216117216117E-2</v>
      </c>
    </row>
    <row r="54" spans="1:4" x14ac:dyDescent="0.2">
      <c r="A54" s="14">
        <v>35034</v>
      </c>
      <c r="B54" s="18">
        <f>VLOOKUP(A54,Database!A:Q,MATCH($A$1,Database!$A$1:$Q$1,),)</f>
        <v>8761</v>
      </c>
      <c r="C54" s="15">
        <f t="shared" si="0"/>
        <v>8.0543090553446099E-3</v>
      </c>
      <c r="D54" s="16">
        <f t="shared" si="1"/>
        <v>5.7198020996741886E-2</v>
      </c>
    </row>
    <row r="55" spans="1:4" x14ac:dyDescent="0.2">
      <c r="A55" s="13">
        <v>35065</v>
      </c>
      <c r="B55" s="18">
        <f>VLOOKUP(A55,Database!A:Q,MATCH($A$1,Database!$A$1:$Q$1,),)</f>
        <v>8546</v>
      </c>
      <c r="C55" s="15">
        <f t="shared" si="0"/>
        <v>-2.4540577559639312E-2</v>
      </c>
      <c r="D55" s="16">
        <f t="shared" si="1"/>
        <v>2.8894774861545871E-2</v>
      </c>
    </row>
    <row r="56" spans="1:4" x14ac:dyDescent="0.2">
      <c r="A56" s="14">
        <v>35096</v>
      </c>
      <c r="B56" s="18">
        <f>VLOOKUP(A56,Database!A:Q,MATCH($A$1,Database!$A$1:$Q$1,),)</f>
        <v>8782</v>
      </c>
      <c r="C56" s="15">
        <f t="shared" si="0"/>
        <v>2.761525860051486E-2</v>
      </c>
      <c r="D56" s="16">
        <f t="shared" si="1"/>
        <v>5.7562620423892097E-2</v>
      </c>
    </row>
    <row r="57" spans="1:4" x14ac:dyDescent="0.2">
      <c r="A57" s="13">
        <v>35125</v>
      </c>
      <c r="B57" s="18">
        <f>VLOOKUP(A57,Database!A:Q,MATCH($A$1,Database!$A$1:$Q$1,),)</f>
        <v>8991</v>
      </c>
      <c r="C57" s="15">
        <f t="shared" si="0"/>
        <v>2.3798679116374403E-2</v>
      </c>
      <c r="D57" s="16">
        <f t="shared" si="1"/>
        <v>8.2731213872832374E-2</v>
      </c>
    </row>
    <row r="58" spans="1:4" x14ac:dyDescent="0.2">
      <c r="A58" s="14">
        <v>35156</v>
      </c>
      <c r="B58" s="18">
        <f>VLOOKUP(A58,Database!A:Q,MATCH($A$1,Database!$A$1:$Q$1,),)</f>
        <v>8922</v>
      </c>
      <c r="C58" s="15">
        <f t="shared" si="0"/>
        <v>-7.6743410076743407E-3</v>
      </c>
      <c r="D58" s="16">
        <f t="shared" si="1"/>
        <v>5.5857988165680474E-2</v>
      </c>
    </row>
    <row r="59" spans="1:4" x14ac:dyDescent="0.2">
      <c r="A59" s="13">
        <v>35186</v>
      </c>
      <c r="B59" s="18">
        <f>VLOOKUP(A59,Database!A:Q,MATCH($A$1,Database!$A$1:$Q$1,),)</f>
        <v>9076</v>
      </c>
      <c r="C59" s="15">
        <f t="shared" si="0"/>
        <v>1.726070387805425E-2</v>
      </c>
      <c r="D59" s="16">
        <f t="shared" si="1"/>
        <v>7.7397910731244066E-2</v>
      </c>
    </row>
    <row r="60" spans="1:4" x14ac:dyDescent="0.2">
      <c r="A60" s="14">
        <v>35217</v>
      </c>
      <c r="B60" s="18">
        <f>VLOOKUP(A60,Database!A:Q,MATCH($A$1,Database!$A$1:$Q$1,),)</f>
        <v>9072</v>
      </c>
      <c r="C60" s="15">
        <f t="shared" si="0"/>
        <v>-4.4072278536800354E-4</v>
      </c>
      <c r="D60" s="16">
        <f t="shared" si="1"/>
        <v>6.9559066257958033E-2</v>
      </c>
    </row>
    <row r="61" spans="1:4" x14ac:dyDescent="0.2">
      <c r="A61" s="13">
        <v>35247</v>
      </c>
      <c r="B61" s="18">
        <f>VLOOKUP(A61,Database!A:Q,MATCH($A$1,Database!$A$1:$Q$1,),)</f>
        <v>9134</v>
      </c>
      <c r="C61" s="15">
        <f t="shared" si="0"/>
        <v>6.8342151675485005E-3</v>
      </c>
      <c r="D61" s="16">
        <f t="shared" si="1"/>
        <v>8.3382754121693756E-2</v>
      </c>
    </row>
    <row r="62" spans="1:4" x14ac:dyDescent="0.2">
      <c r="A62" s="14">
        <v>35278</v>
      </c>
      <c r="B62" s="18">
        <f>VLOOKUP(A62,Database!A:Q,MATCH($A$1,Database!$A$1:$Q$1,),)</f>
        <v>9237</v>
      </c>
      <c r="C62" s="15">
        <f t="shared" si="0"/>
        <v>1.127654915699584E-2</v>
      </c>
      <c r="D62" s="16">
        <f t="shared" si="1"/>
        <v>8.8242224316682369E-2</v>
      </c>
    </row>
    <row r="63" spans="1:4" x14ac:dyDescent="0.2">
      <c r="A63" s="13">
        <v>35309</v>
      </c>
      <c r="B63" s="18">
        <f>VLOOKUP(A63,Database!A:Q,MATCH($A$1,Database!$A$1:$Q$1,),)</f>
        <v>9190</v>
      </c>
      <c r="C63" s="15">
        <f t="shared" si="0"/>
        <v>-5.0882321099924221E-3</v>
      </c>
      <c r="D63" s="16">
        <f t="shared" si="1"/>
        <v>6.7239577284868193E-2</v>
      </c>
    </row>
    <row r="64" spans="1:4" x14ac:dyDescent="0.2">
      <c r="A64" s="14">
        <v>35339</v>
      </c>
      <c r="B64" s="18">
        <f>VLOOKUP(A64,Database!A:Q,MATCH($A$1,Database!$A$1:$Q$1,),)</f>
        <v>9363</v>
      </c>
      <c r="C64" s="15">
        <f t="shared" si="0"/>
        <v>1.882480957562568E-2</v>
      </c>
      <c r="D64" s="16">
        <f t="shared" si="1"/>
        <v>9.0750232991612306E-2</v>
      </c>
    </row>
    <row r="65" spans="1:4" x14ac:dyDescent="0.2">
      <c r="A65" s="13">
        <v>35370</v>
      </c>
      <c r="B65" s="18">
        <f>VLOOKUP(A65,Database!A:Q,MATCH($A$1,Database!$A$1:$Q$1,),)</f>
        <v>9414</v>
      </c>
      <c r="C65" s="15">
        <f t="shared" si="0"/>
        <v>5.4469721243191284E-3</v>
      </c>
      <c r="D65" s="16">
        <f t="shared" si="1"/>
        <v>8.3189506385916462E-2</v>
      </c>
    </row>
    <row r="66" spans="1:4" x14ac:dyDescent="0.2">
      <c r="A66" s="14">
        <v>35400</v>
      </c>
      <c r="B66" s="18">
        <f>VLOOKUP(A66,Database!A:Q,MATCH($A$1,Database!$A$1:$Q$1,),)</f>
        <v>9505</v>
      </c>
      <c r="C66" s="15">
        <f t="shared" si="0"/>
        <v>9.6664542171234335E-3</v>
      </c>
      <c r="D66" s="16">
        <f t="shared" si="1"/>
        <v>8.4921812578472783E-2</v>
      </c>
    </row>
    <row r="67" spans="1:4" x14ac:dyDescent="0.2">
      <c r="A67" s="13">
        <v>35431</v>
      </c>
      <c r="B67" s="18">
        <f>VLOOKUP(A67,Database!A:Q,MATCH($A$1,Database!$A$1:$Q$1,),)</f>
        <v>9448</v>
      </c>
      <c r="C67" s="15">
        <f t="shared" si="0"/>
        <v>-5.9968437664387163E-3</v>
      </c>
      <c r="D67" s="16">
        <f t="shared" si="1"/>
        <v>0.10554645448162883</v>
      </c>
    </row>
    <row r="68" spans="1:4" x14ac:dyDescent="0.2">
      <c r="A68" s="14">
        <v>35462</v>
      </c>
      <c r="B68" s="18">
        <f>VLOOKUP(A68,Database!A:Q,MATCH($A$1,Database!$A$1:$Q$1,),)</f>
        <v>9649</v>
      </c>
      <c r="C68" s="15">
        <f t="shared" si="0"/>
        <v>2.1274343776460626E-2</v>
      </c>
      <c r="D68" s="16">
        <f t="shared" si="1"/>
        <v>9.8724664085629701E-2</v>
      </c>
    </row>
    <row r="69" spans="1:4" x14ac:dyDescent="0.2">
      <c r="A69" s="13">
        <v>35490</v>
      </c>
      <c r="B69" s="18">
        <f>VLOOKUP(A69,Database!A:Q,MATCH($A$1,Database!$A$1:$Q$1,),)</f>
        <v>9922</v>
      </c>
      <c r="C69" s="15">
        <f t="shared" si="0"/>
        <v>2.8293087366566484E-2</v>
      </c>
      <c r="D69" s="16">
        <f t="shared" si="1"/>
        <v>0.10354799243688133</v>
      </c>
    </row>
    <row r="70" spans="1:4" x14ac:dyDescent="0.2">
      <c r="A70" s="14">
        <v>35521</v>
      </c>
      <c r="B70" s="18">
        <f>VLOOKUP(A70,Database!A:Q,MATCH($A$1,Database!$A$1:$Q$1,),)</f>
        <v>9578</v>
      </c>
      <c r="C70" s="15">
        <f t="shared" si="0"/>
        <v>-3.4670429348921589E-2</v>
      </c>
      <c r="D70" s="16">
        <f t="shared" si="1"/>
        <v>7.3526115220802504E-2</v>
      </c>
    </row>
    <row r="71" spans="1:4" x14ac:dyDescent="0.2">
      <c r="A71" s="13">
        <v>35551</v>
      </c>
      <c r="B71" s="18">
        <f>VLOOKUP(A71,Database!A:Q,MATCH($A$1,Database!$A$1:$Q$1,),)</f>
        <v>9722</v>
      </c>
      <c r="C71" s="15">
        <f t="shared" si="0"/>
        <v>1.5034453956984757E-2</v>
      </c>
      <c r="D71" s="16">
        <f t="shared" si="1"/>
        <v>7.1176729836932573E-2</v>
      </c>
    </row>
    <row r="72" spans="1:4" x14ac:dyDescent="0.2">
      <c r="A72" s="14">
        <v>35582</v>
      </c>
      <c r="B72" s="18">
        <f>VLOOKUP(A72,Database!A:Q,MATCH($A$1,Database!$A$1:$Q$1,),)</f>
        <v>9916</v>
      </c>
      <c r="C72" s="15">
        <f t="shared" si="0"/>
        <v>1.9954741822670232E-2</v>
      </c>
      <c r="D72" s="16">
        <f t="shared" si="1"/>
        <v>9.3033509700176362E-2</v>
      </c>
    </row>
    <row r="73" spans="1:4" x14ac:dyDescent="0.2">
      <c r="A73" s="13">
        <v>35612</v>
      </c>
      <c r="B73" s="18">
        <f>VLOOKUP(A73,Database!A:Q,MATCH($A$1,Database!$A$1:$Q$1,),)</f>
        <v>9950</v>
      </c>
      <c r="C73" s="15">
        <f t="shared" ref="C73:C136" si="2">(B73-B72)/B72</f>
        <v>3.4288019362646227E-3</v>
      </c>
      <c r="D73" s="16">
        <f t="shared" si="1"/>
        <v>8.9336544777753449E-2</v>
      </c>
    </row>
    <row r="74" spans="1:4" x14ac:dyDescent="0.2">
      <c r="A74" s="14">
        <v>35643</v>
      </c>
      <c r="B74" s="18">
        <f>VLOOKUP(A74,Database!A:Q,MATCH($A$1,Database!$A$1:$Q$1,),)</f>
        <v>9989</v>
      </c>
      <c r="C74" s="15">
        <f t="shared" si="2"/>
        <v>3.9195979899497484E-3</v>
      </c>
      <c r="D74" s="16">
        <f t="shared" si="1"/>
        <v>8.1411713759878754E-2</v>
      </c>
    </row>
    <row r="75" spans="1:4" x14ac:dyDescent="0.2">
      <c r="A75" s="13">
        <v>35674</v>
      </c>
      <c r="B75" s="18">
        <f>VLOOKUP(A75,Database!A:Q,MATCH($A$1,Database!$A$1:$Q$1,),)</f>
        <v>10077</v>
      </c>
      <c r="C75" s="15">
        <f t="shared" si="2"/>
        <v>8.8096906597256979E-3</v>
      </c>
      <c r="D75" s="16">
        <f t="shared" si="1"/>
        <v>9.651795429815016E-2</v>
      </c>
    </row>
    <row r="76" spans="1:4" x14ac:dyDescent="0.2">
      <c r="A76" s="14">
        <v>35704</v>
      </c>
      <c r="B76" s="18">
        <f>VLOOKUP(A76,Database!A:Q,MATCH($A$1,Database!$A$1:$Q$1,),)</f>
        <v>10058</v>
      </c>
      <c r="C76" s="15">
        <f t="shared" si="2"/>
        <v>-1.8854817902153418E-3</v>
      </c>
      <c r="D76" s="16">
        <f t="shared" si="1"/>
        <v>7.4228345615721461E-2</v>
      </c>
    </row>
    <row r="77" spans="1:4" x14ac:dyDescent="0.2">
      <c r="A77" s="13">
        <v>35735</v>
      </c>
      <c r="B77" s="18">
        <f>VLOOKUP(A77,Database!A:Q,MATCH($A$1,Database!$A$1:$Q$1,),)</f>
        <v>10217</v>
      </c>
      <c r="C77" s="15">
        <f t="shared" si="2"/>
        <v>1.5808311791608669E-2</v>
      </c>
      <c r="D77" s="16">
        <f t="shared" si="1"/>
        <v>8.5298491608243043E-2</v>
      </c>
    </row>
    <row r="78" spans="1:4" x14ac:dyDescent="0.2">
      <c r="A78" s="14">
        <v>35765</v>
      </c>
      <c r="B78" s="18">
        <f>VLOOKUP(A78,Database!A:Q,MATCH($A$1,Database!$A$1:$Q$1,),)</f>
        <v>10201</v>
      </c>
      <c r="C78" s="15">
        <f t="shared" si="2"/>
        <v>-1.5660174219438191E-3</v>
      </c>
      <c r="D78" s="16">
        <f t="shared" si="1"/>
        <v>7.3224618621778009E-2</v>
      </c>
    </row>
    <row r="79" spans="1:4" x14ac:dyDescent="0.2">
      <c r="A79" s="13">
        <v>35796</v>
      </c>
      <c r="B79" s="18">
        <f>VLOOKUP(A79,Database!A:Q,MATCH($A$1,Database!$A$1:$Q$1,),)</f>
        <v>10382</v>
      </c>
      <c r="C79" s="15">
        <f t="shared" si="2"/>
        <v>1.7743358494265268E-2</v>
      </c>
      <c r="D79" s="16">
        <f t="shared" si="1"/>
        <v>9.8856900931414055E-2</v>
      </c>
    </row>
    <row r="80" spans="1:4" x14ac:dyDescent="0.2">
      <c r="A80" s="14">
        <v>35827</v>
      </c>
      <c r="B80" s="18">
        <f>VLOOKUP(A80,Database!A:Q,MATCH($A$1,Database!$A$1:$Q$1,),)</f>
        <v>10406</v>
      </c>
      <c r="C80" s="15">
        <f t="shared" si="2"/>
        <v>2.3116933153534964E-3</v>
      </c>
      <c r="D80" s="16">
        <f t="shared" si="1"/>
        <v>7.8453725774691674E-2</v>
      </c>
    </row>
    <row r="81" spans="1:4" x14ac:dyDescent="0.2">
      <c r="A81" s="13">
        <v>35855</v>
      </c>
      <c r="B81" s="18">
        <f>VLOOKUP(A81,Database!A:Q,MATCH($A$1,Database!$A$1:$Q$1,),)</f>
        <v>10393</v>
      </c>
      <c r="C81" s="15">
        <f t="shared" si="2"/>
        <v>-1.2492792619642513E-3</v>
      </c>
      <c r="D81" s="16">
        <f t="shared" si="1"/>
        <v>4.7470268091110664E-2</v>
      </c>
    </row>
    <row r="82" spans="1:4" x14ac:dyDescent="0.2">
      <c r="A82" s="14">
        <v>35886</v>
      </c>
      <c r="B82" s="18">
        <f>VLOOKUP(A82,Database!A:Q,MATCH($A$1,Database!$A$1:$Q$1,),)</f>
        <v>10620</v>
      </c>
      <c r="C82" s="15">
        <f t="shared" si="2"/>
        <v>2.1841624170114499E-2</v>
      </c>
      <c r="D82" s="16">
        <f t="shared" si="1"/>
        <v>0.10879097932762581</v>
      </c>
    </row>
    <row r="83" spans="1:4" x14ac:dyDescent="0.2">
      <c r="A83" s="13">
        <v>35916</v>
      </c>
      <c r="B83" s="18">
        <f>VLOOKUP(A83,Database!A:Q,MATCH($A$1,Database!$A$1:$Q$1,),)</f>
        <v>10645</v>
      </c>
      <c r="C83" s="15">
        <f t="shared" si="2"/>
        <v>2.3540489642184556E-3</v>
      </c>
      <c r="D83" s="16">
        <f t="shared" si="1"/>
        <v>9.4939312898580541E-2</v>
      </c>
    </row>
    <row r="84" spans="1:4" x14ac:dyDescent="0.2">
      <c r="A84" s="14">
        <v>35947</v>
      </c>
      <c r="B84" s="18">
        <f>VLOOKUP(A84,Database!A:Q,MATCH($A$1,Database!$A$1:$Q$1,),)</f>
        <v>10672</v>
      </c>
      <c r="C84" s="15">
        <f t="shared" si="2"/>
        <v>2.5364020666979801E-3</v>
      </c>
      <c r="D84" s="16">
        <f t="shared" ref="D84:D147" si="3">(B84-B72)/B72</f>
        <v>7.624041952400161E-2</v>
      </c>
    </row>
    <row r="85" spans="1:4" x14ac:dyDescent="0.2">
      <c r="A85" s="13">
        <v>35977</v>
      </c>
      <c r="B85" s="18">
        <f>VLOOKUP(A85,Database!A:Q,MATCH($A$1,Database!$A$1:$Q$1,),)</f>
        <v>10828</v>
      </c>
      <c r="C85" s="15">
        <f t="shared" si="2"/>
        <v>1.4617691154422789E-2</v>
      </c>
      <c r="D85" s="16">
        <f t="shared" si="3"/>
        <v>8.8241206030150759E-2</v>
      </c>
    </row>
    <row r="86" spans="1:4" x14ac:dyDescent="0.2">
      <c r="A86" s="14">
        <v>36008</v>
      </c>
      <c r="B86" s="18">
        <f>VLOOKUP(A86,Database!A:Q,MATCH($A$1,Database!$A$1:$Q$1,),)</f>
        <v>11019</v>
      </c>
      <c r="C86" s="15">
        <f t="shared" si="2"/>
        <v>1.7639453269301809E-2</v>
      </c>
      <c r="D86" s="16">
        <f t="shared" si="3"/>
        <v>0.10311342476724397</v>
      </c>
    </row>
    <row r="87" spans="1:4" x14ac:dyDescent="0.2">
      <c r="A87" s="13">
        <v>36039</v>
      </c>
      <c r="B87" s="18">
        <f>VLOOKUP(A87,Database!A:Q,MATCH($A$1,Database!$A$1:$Q$1,),)</f>
        <v>10985</v>
      </c>
      <c r="C87" s="15">
        <f t="shared" si="2"/>
        <v>-3.0855794536709322E-3</v>
      </c>
      <c r="D87" s="16">
        <f t="shared" si="3"/>
        <v>9.0106182395554235E-2</v>
      </c>
    </row>
    <row r="88" spans="1:4" x14ac:dyDescent="0.2">
      <c r="A88" s="14">
        <v>36069</v>
      </c>
      <c r="B88" s="18">
        <f>VLOOKUP(A88,Database!A:Q,MATCH($A$1,Database!$A$1:$Q$1,),)</f>
        <v>11106</v>
      </c>
      <c r="C88" s="15">
        <f t="shared" si="2"/>
        <v>1.1015020482476105E-2</v>
      </c>
      <c r="D88" s="16">
        <f t="shared" si="3"/>
        <v>0.10419566514217539</v>
      </c>
    </row>
    <row r="89" spans="1:4" x14ac:dyDescent="0.2">
      <c r="A89" s="13">
        <v>36100</v>
      </c>
      <c r="B89" s="18">
        <f>VLOOKUP(A89,Database!A:Q,MATCH($A$1,Database!$A$1:$Q$1,),)</f>
        <v>11232</v>
      </c>
      <c r="C89" s="15">
        <f t="shared" si="2"/>
        <v>1.1345218800648298E-2</v>
      </c>
      <c r="D89" s="16">
        <f t="shared" si="3"/>
        <v>9.9344230204561026E-2</v>
      </c>
    </row>
    <row r="90" spans="1:4" x14ac:dyDescent="0.2">
      <c r="A90" s="14">
        <v>36130</v>
      </c>
      <c r="B90" s="18">
        <f>VLOOKUP(A90,Database!A:Q,MATCH($A$1,Database!$A$1:$Q$1,),)</f>
        <v>11311</v>
      </c>
      <c r="C90" s="15">
        <f t="shared" si="2"/>
        <v>7.0334757834757834E-3</v>
      </c>
      <c r="D90" s="16">
        <f t="shared" si="3"/>
        <v>0.10881286148416822</v>
      </c>
    </row>
    <row r="91" spans="1:4" x14ac:dyDescent="0.2">
      <c r="A91" s="13">
        <v>36161</v>
      </c>
      <c r="B91" s="18">
        <f>VLOOKUP(A91,Database!A:Q,MATCH($A$1,Database!$A$1:$Q$1,),)</f>
        <v>11415</v>
      </c>
      <c r="C91" s="15">
        <f t="shared" si="2"/>
        <v>9.1945893378127478E-3</v>
      </c>
      <c r="D91" s="16">
        <f t="shared" si="3"/>
        <v>9.9499133115006744E-2</v>
      </c>
    </row>
    <row r="92" spans="1:4" x14ac:dyDescent="0.2">
      <c r="A92" s="14">
        <v>36192</v>
      </c>
      <c r="B92" s="18">
        <f>VLOOKUP(A92,Database!A:Q,MATCH($A$1,Database!$A$1:$Q$1,),)</f>
        <v>11498</v>
      </c>
      <c r="C92" s="15">
        <f t="shared" si="2"/>
        <v>7.2711344721857205E-3</v>
      </c>
      <c r="D92" s="16">
        <f t="shared" si="3"/>
        <v>0.10493945800499711</v>
      </c>
    </row>
    <row r="93" spans="1:4" x14ac:dyDescent="0.2">
      <c r="A93" s="13">
        <v>36220</v>
      </c>
      <c r="B93" s="18">
        <f>VLOOKUP(A93,Database!A:Q,MATCH($A$1,Database!$A$1:$Q$1,),)</f>
        <v>11595</v>
      </c>
      <c r="C93" s="15">
        <f t="shared" si="2"/>
        <v>8.4362497825708812E-3</v>
      </c>
      <c r="D93" s="16">
        <f t="shared" si="3"/>
        <v>0.11565476763206003</v>
      </c>
    </row>
    <row r="94" spans="1:4" x14ac:dyDescent="0.2">
      <c r="A94" s="14">
        <v>36251</v>
      </c>
      <c r="B94" s="18">
        <f>VLOOKUP(A94,Database!A:Q,MATCH($A$1,Database!$A$1:$Q$1,),)</f>
        <v>11619</v>
      </c>
      <c r="C94" s="15">
        <f t="shared" si="2"/>
        <v>2.0698576972833119E-3</v>
      </c>
      <c r="D94" s="16">
        <f t="shared" si="3"/>
        <v>9.4067796610169493E-2</v>
      </c>
    </row>
    <row r="95" spans="1:4" x14ac:dyDescent="0.2">
      <c r="A95" s="13">
        <v>36281</v>
      </c>
      <c r="B95" s="18">
        <f>VLOOKUP(A95,Database!A:Q,MATCH($A$1,Database!$A$1:$Q$1,),)</f>
        <v>11741</v>
      </c>
      <c r="C95" s="15">
        <f t="shared" si="2"/>
        <v>1.0500043032963249E-2</v>
      </c>
      <c r="D95" s="16">
        <f t="shared" si="3"/>
        <v>0.10295913574448097</v>
      </c>
    </row>
    <row r="96" spans="1:4" x14ac:dyDescent="0.2">
      <c r="A96" s="14">
        <v>36312</v>
      </c>
      <c r="B96" s="18">
        <f>VLOOKUP(A96,Database!A:Q,MATCH($A$1,Database!$A$1:$Q$1,),)</f>
        <v>11837</v>
      </c>
      <c r="C96" s="15">
        <f t="shared" si="2"/>
        <v>8.1764755983306358E-3</v>
      </c>
      <c r="D96" s="16">
        <f t="shared" si="3"/>
        <v>0.10916416791604198</v>
      </c>
    </row>
    <row r="97" spans="1:4" x14ac:dyDescent="0.2">
      <c r="A97" s="13">
        <v>36342</v>
      </c>
      <c r="B97" s="18">
        <f>VLOOKUP(A97,Database!A:Q,MATCH($A$1,Database!$A$1:$Q$1,),)</f>
        <v>11857</v>
      </c>
      <c r="C97" s="15">
        <f t="shared" si="2"/>
        <v>1.6896173016811692E-3</v>
      </c>
      <c r="D97" s="16">
        <f t="shared" si="3"/>
        <v>9.5031400073882527E-2</v>
      </c>
    </row>
    <row r="98" spans="1:4" x14ac:dyDescent="0.2">
      <c r="A98" s="14">
        <v>36373</v>
      </c>
      <c r="B98" s="18">
        <f>VLOOKUP(A98,Database!A:Q,MATCH($A$1,Database!$A$1:$Q$1,),)</f>
        <v>11848</v>
      </c>
      <c r="C98" s="15">
        <f t="shared" si="2"/>
        <v>-7.5904528970228557E-4</v>
      </c>
      <c r="D98" s="16">
        <f t="shared" si="3"/>
        <v>7.5233687267447141E-2</v>
      </c>
    </row>
    <row r="99" spans="1:4" x14ac:dyDescent="0.2">
      <c r="A99" s="13">
        <v>36404</v>
      </c>
      <c r="B99" s="18">
        <f>VLOOKUP(A99,Database!A:Q,MATCH($A$1,Database!$A$1:$Q$1,),)</f>
        <v>11993</v>
      </c>
      <c r="C99" s="15">
        <f t="shared" si="2"/>
        <v>1.2238352464550978E-2</v>
      </c>
      <c r="D99" s="16">
        <f t="shared" si="3"/>
        <v>9.1761492944924902E-2</v>
      </c>
    </row>
    <row r="100" spans="1:4" x14ac:dyDescent="0.2">
      <c r="A100" s="14">
        <v>36434</v>
      </c>
      <c r="B100" s="18">
        <f>VLOOKUP(A100,Database!A:Q,MATCH($A$1,Database!$A$1:$Q$1,),)</f>
        <v>12155</v>
      </c>
      <c r="C100" s="15">
        <f t="shared" si="2"/>
        <v>1.3507879596431252E-2</v>
      </c>
      <c r="D100" s="16">
        <f t="shared" si="3"/>
        <v>9.4453448586349714E-2</v>
      </c>
    </row>
    <row r="101" spans="1:4" x14ac:dyDescent="0.2">
      <c r="A101" s="13">
        <v>36465</v>
      </c>
      <c r="B101" s="18">
        <f>VLOOKUP(A101,Database!A:Q,MATCH($A$1,Database!$A$1:$Q$1,),)</f>
        <v>12258</v>
      </c>
      <c r="C101" s="15">
        <f t="shared" si="2"/>
        <v>8.4738790621143555E-3</v>
      </c>
      <c r="D101" s="16">
        <f t="shared" si="3"/>
        <v>9.1346153846153841E-2</v>
      </c>
    </row>
    <row r="102" spans="1:4" x14ac:dyDescent="0.2">
      <c r="A102" s="14">
        <v>36495</v>
      </c>
      <c r="B102" s="18">
        <f>VLOOKUP(A102,Database!A:Q,MATCH($A$1,Database!$A$1:$Q$1,),)</f>
        <v>12801</v>
      </c>
      <c r="C102" s="15">
        <f t="shared" si="2"/>
        <v>4.4297601566324035E-2</v>
      </c>
      <c r="D102" s="16">
        <f t="shared" si="3"/>
        <v>0.13173017416674035</v>
      </c>
    </row>
    <row r="103" spans="1:4" x14ac:dyDescent="0.2">
      <c r="A103" s="13">
        <v>36526</v>
      </c>
      <c r="B103" s="18">
        <f>VLOOKUP(A103,Database!A:Q,MATCH($A$1,Database!$A$1:$Q$1,),)</f>
        <v>12381</v>
      </c>
      <c r="C103" s="15">
        <f t="shared" si="2"/>
        <v>-3.2809936723693464E-2</v>
      </c>
      <c r="D103" s="16">
        <f t="shared" si="3"/>
        <v>8.4625492772667538E-2</v>
      </c>
    </row>
    <row r="104" spans="1:4" x14ac:dyDescent="0.2">
      <c r="A104" s="14">
        <v>36557</v>
      </c>
      <c r="B104" s="18">
        <f>VLOOKUP(A104,Database!A:Q,MATCH($A$1,Database!$A$1:$Q$1,),)</f>
        <v>12386</v>
      </c>
      <c r="C104" s="15">
        <f t="shared" si="2"/>
        <v>4.0384460059769001E-4</v>
      </c>
      <c r="D104" s="16">
        <f t="shared" si="3"/>
        <v>7.7230822751782918E-2</v>
      </c>
    </row>
    <row r="105" spans="1:4" x14ac:dyDescent="0.2">
      <c r="A105" s="13">
        <v>36586</v>
      </c>
      <c r="B105" s="18">
        <f>VLOOKUP(A105,Database!A:Q,MATCH($A$1,Database!$A$1:$Q$1,),)</f>
        <v>12580</v>
      </c>
      <c r="C105" s="15">
        <f t="shared" si="2"/>
        <v>1.5662845147747458E-2</v>
      </c>
      <c r="D105" s="16">
        <f t="shared" si="3"/>
        <v>8.4950409659335924E-2</v>
      </c>
    </row>
    <row r="106" spans="1:4" x14ac:dyDescent="0.2">
      <c r="A106" s="14">
        <v>36617</v>
      </c>
      <c r="B106" s="18">
        <f>VLOOKUP(A106,Database!A:Q,MATCH($A$1,Database!$A$1:$Q$1,),)</f>
        <v>12733</v>
      </c>
      <c r="C106" s="15">
        <f t="shared" si="2"/>
        <v>1.2162162162162163E-2</v>
      </c>
      <c r="D106" s="16">
        <f t="shared" si="3"/>
        <v>9.587744212066443E-2</v>
      </c>
    </row>
    <row r="107" spans="1:4" x14ac:dyDescent="0.2">
      <c r="A107" s="13">
        <v>36647</v>
      </c>
      <c r="B107" s="18">
        <f>VLOOKUP(A107,Database!A:Q,MATCH($A$1,Database!$A$1:$Q$1,),)</f>
        <v>12814</v>
      </c>
      <c r="C107" s="15">
        <f t="shared" si="2"/>
        <v>6.3614230739024585E-3</v>
      </c>
      <c r="D107" s="16">
        <f t="shared" si="3"/>
        <v>9.1389149135508052E-2</v>
      </c>
    </row>
    <row r="108" spans="1:4" x14ac:dyDescent="0.2">
      <c r="A108" s="14">
        <v>36678</v>
      </c>
      <c r="B108" s="18">
        <f>VLOOKUP(A108,Database!A:Q,MATCH($A$1,Database!$A$1:$Q$1,),)</f>
        <v>12864</v>
      </c>
      <c r="C108" s="15">
        <f t="shared" si="2"/>
        <v>3.9019822069611362E-3</v>
      </c>
      <c r="D108" s="16">
        <f t="shared" si="3"/>
        <v>8.6761848441328046E-2</v>
      </c>
    </row>
    <row r="109" spans="1:4" x14ac:dyDescent="0.2">
      <c r="A109" s="13">
        <v>36708</v>
      </c>
      <c r="B109" s="18">
        <f>VLOOKUP(A109,Database!A:Q,MATCH($A$1,Database!$A$1:$Q$1,),)</f>
        <v>12967</v>
      </c>
      <c r="C109" s="15">
        <f t="shared" si="2"/>
        <v>8.0068407960199005E-3</v>
      </c>
      <c r="D109" s="16">
        <f t="shared" si="3"/>
        <v>9.3615585729948547E-2</v>
      </c>
    </row>
    <row r="110" spans="1:4" x14ac:dyDescent="0.2">
      <c r="A110" s="14">
        <v>36739</v>
      </c>
      <c r="B110" s="18">
        <f>VLOOKUP(A110,Database!A:Q,MATCH($A$1,Database!$A$1:$Q$1,),)</f>
        <v>13034</v>
      </c>
      <c r="C110" s="15">
        <f t="shared" si="2"/>
        <v>5.1669622888871752E-3</v>
      </c>
      <c r="D110" s="16">
        <f t="shared" si="3"/>
        <v>0.100101282916948</v>
      </c>
    </row>
    <row r="111" spans="1:4" x14ac:dyDescent="0.2">
      <c r="A111" s="13">
        <v>36770</v>
      </c>
      <c r="B111" s="18">
        <f>VLOOKUP(A111,Database!A:Q,MATCH($A$1,Database!$A$1:$Q$1,),)</f>
        <v>13233</v>
      </c>
      <c r="C111" s="15">
        <f t="shared" si="2"/>
        <v>1.526776123983428E-2</v>
      </c>
      <c r="D111" s="16">
        <f t="shared" si="3"/>
        <v>0.1033936462936713</v>
      </c>
    </row>
    <row r="112" spans="1:4" x14ac:dyDescent="0.2">
      <c r="A112" s="14">
        <v>36800</v>
      </c>
      <c r="B112" s="18">
        <f>VLOOKUP(A112,Database!A:Q,MATCH($A$1,Database!$A$1:$Q$1,),)</f>
        <v>13302</v>
      </c>
      <c r="C112" s="15">
        <f t="shared" si="2"/>
        <v>5.2142371344366355E-3</v>
      </c>
      <c r="D112" s="16">
        <f t="shared" si="3"/>
        <v>9.4364459070341425E-2</v>
      </c>
    </row>
    <row r="113" spans="1:4" x14ac:dyDescent="0.2">
      <c r="A113" s="13">
        <v>36831</v>
      </c>
      <c r="B113" s="18">
        <f>VLOOKUP(A113,Database!A:Q,MATCH($A$1,Database!$A$1:$Q$1,),)</f>
        <v>13340</v>
      </c>
      <c r="C113" s="15">
        <f t="shared" si="2"/>
        <v>2.8567132761990678E-3</v>
      </c>
      <c r="D113" s="16">
        <f t="shared" si="3"/>
        <v>8.8268885625713819E-2</v>
      </c>
    </row>
    <row r="114" spans="1:4" x14ac:dyDescent="0.2">
      <c r="A114" s="14">
        <v>36861</v>
      </c>
      <c r="B114" s="18">
        <f>VLOOKUP(A114,Database!A:Q,MATCH($A$1,Database!$A$1:$Q$1,),)</f>
        <v>13527</v>
      </c>
      <c r="C114" s="15">
        <f t="shared" si="2"/>
        <v>1.4017991004497752E-2</v>
      </c>
      <c r="D114" s="16">
        <f t="shared" si="3"/>
        <v>5.6714319193812986E-2</v>
      </c>
    </row>
    <row r="115" spans="1:4" x14ac:dyDescent="0.2">
      <c r="A115" s="13">
        <v>36892</v>
      </c>
      <c r="B115" s="18">
        <f>VLOOKUP(A115,Database!A:Q,MATCH($A$1,Database!$A$1:$Q$1,),)</f>
        <v>13413</v>
      </c>
      <c r="C115" s="15">
        <f t="shared" si="2"/>
        <v>-8.4275892659126193E-3</v>
      </c>
      <c r="D115" s="16">
        <f t="shared" si="3"/>
        <v>8.3353525563363215E-2</v>
      </c>
    </row>
    <row r="116" spans="1:4" x14ac:dyDescent="0.2">
      <c r="A116" s="14">
        <v>36923</v>
      </c>
      <c r="B116" s="18">
        <f>VLOOKUP(A116,Database!A:Q,MATCH($A$1,Database!$A$1:$Q$1,),)</f>
        <v>13582</v>
      </c>
      <c r="C116" s="15">
        <f t="shared" si="2"/>
        <v>1.2599716692760754E-2</v>
      </c>
      <c r="D116" s="16">
        <f t="shared" si="3"/>
        <v>9.6560632972711127E-2</v>
      </c>
    </row>
    <row r="117" spans="1:4" x14ac:dyDescent="0.2">
      <c r="A117" s="13">
        <v>36951</v>
      </c>
      <c r="B117" s="18">
        <f>VLOOKUP(A117,Database!A:Q,MATCH($A$1,Database!$A$1:$Q$1,),)</f>
        <v>13650</v>
      </c>
      <c r="C117" s="15">
        <f t="shared" si="2"/>
        <v>5.006626417317037E-3</v>
      </c>
      <c r="D117" s="16">
        <f t="shared" si="3"/>
        <v>8.505564387917329E-2</v>
      </c>
    </row>
    <row r="118" spans="1:4" x14ac:dyDescent="0.2">
      <c r="A118" s="14">
        <v>36982</v>
      </c>
      <c r="B118" s="18">
        <f>VLOOKUP(A118,Database!A:Q,MATCH($A$1,Database!$A$1:$Q$1,),)</f>
        <v>13643</v>
      </c>
      <c r="C118" s="15">
        <f t="shared" si="2"/>
        <v>-5.1282051282051282E-4</v>
      </c>
      <c r="D118" s="16">
        <f t="shared" si="3"/>
        <v>7.146783947223749E-2</v>
      </c>
    </row>
    <row r="119" spans="1:4" x14ac:dyDescent="0.2">
      <c r="A119" s="13">
        <v>37012</v>
      </c>
      <c r="B119" s="18">
        <f>VLOOKUP(A119,Database!A:Q,MATCH($A$1,Database!$A$1:$Q$1,),)</f>
        <v>13812</v>
      </c>
      <c r="C119" s="15">
        <f t="shared" si="2"/>
        <v>1.2387304844975446E-2</v>
      </c>
      <c r="D119" s="16">
        <f t="shared" si="3"/>
        <v>7.7883564850944276E-2</v>
      </c>
    </row>
    <row r="120" spans="1:4" x14ac:dyDescent="0.2">
      <c r="A120" s="14">
        <v>37043</v>
      </c>
      <c r="B120" s="18">
        <f>VLOOKUP(A120,Database!A:Q,MATCH($A$1,Database!$A$1:$Q$1,),)</f>
        <v>13843</v>
      </c>
      <c r="C120" s="15">
        <f t="shared" si="2"/>
        <v>2.2444251375615407E-3</v>
      </c>
      <c r="D120" s="16">
        <f t="shared" si="3"/>
        <v>7.6103855721393041E-2</v>
      </c>
    </row>
    <row r="121" spans="1:4" x14ac:dyDescent="0.2">
      <c r="A121" s="13">
        <v>37073</v>
      </c>
      <c r="B121" s="18">
        <f>VLOOKUP(A121,Database!A:Q,MATCH($A$1,Database!$A$1:$Q$1,),)</f>
        <v>13879</v>
      </c>
      <c r="C121" s="15">
        <f t="shared" si="2"/>
        <v>2.600592357148017E-3</v>
      </c>
      <c r="D121" s="16">
        <f t="shared" si="3"/>
        <v>7.0332382200971696E-2</v>
      </c>
    </row>
    <row r="122" spans="1:4" x14ac:dyDescent="0.2">
      <c r="A122" s="14">
        <v>37104</v>
      </c>
      <c r="B122" s="18">
        <f>VLOOKUP(A122,Database!A:Q,MATCH($A$1,Database!$A$1:$Q$1,),)</f>
        <v>14004</v>
      </c>
      <c r="C122" s="15">
        <f t="shared" si="2"/>
        <v>9.0064125657468123E-3</v>
      </c>
      <c r="D122" s="16">
        <f t="shared" si="3"/>
        <v>7.4420745741905783E-2</v>
      </c>
    </row>
    <row r="123" spans="1:4" x14ac:dyDescent="0.2">
      <c r="A123" s="13">
        <v>37135</v>
      </c>
      <c r="B123" s="18">
        <f>VLOOKUP(A123,Database!A:Q,MATCH($A$1,Database!$A$1:$Q$1,),)</f>
        <v>13894</v>
      </c>
      <c r="C123" s="15">
        <f t="shared" si="2"/>
        <v>-7.8548986003998851E-3</v>
      </c>
      <c r="D123" s="16">
        <f t="shared" si="3"/>
        <v>4.9950880374820525E-2</v>
      </c>
    </row>
    <row r="124" spans="1:4" x14ac:dyDescent="0.2">
      <c r="A124" s="14">
        <v>37165</v>
      </c>
      <c r="B124" s="18">
        <f>VLOOKUP(A124,Database!A:Q,MATCH($A$1,Database!$A$1:$Q$1,),)</f>
        <v>14298</v>
      </c>
      <c r="C124" s="15">
        <f t="shared" si="2"/>
        <v>2.9077299553764216E-2</v>
      </c>
      <c r="D124" s="16">
        <f t="shared" si="3"/>
        <v>7.4875958502480827E-2</v>
      </c>
    </row>
    <row r="125" spans="1:4" x14ac:dyDescent="0.2">
      <c r="A125" s="13">
        <v>37196</v>
      </c>
      <c r="B125" s="18">
        <f>VLOOKUP(A125,Database!A:Q,MATCH($A$1,Database!$A$1:$Q$1,),)</f>
        <v>14280</v>
      </c>
      <c r="C125" s="15">
        <f t="shared" si="2"/>
        <v>-1.258917331095258E-3</v>
      </c>
      <c r="D125" s="16">
        <f t="shared" si="3"/>
        <v>7.0464767616191901E-2</v>
      </c>
    </row>
    <row r="126" spans="1:4" x14ac:dyDescent="0.2">
      <c r="A126" s="14">
        <v>37226</v>
      </c>
      <c r="B126" s="18">
        <f>VLOOKUP(A126,Database!A:Q,MATCH($A$1,Database!$A$1:$Q$1,),)</f>
        <v>14350</v>
      </c>
      <c r="C126" s="15">
        <f t="shared" si="2"/>
        <v>4.9019607843137254E-3</v>
      </c>
      <c r="D126" s="16">
        <f t="shared" si="3"/>
        <v>6.0841280402158644E-2</v>
      </c>
    </row>
    <row r="127" spans="1:4" x14ac:dyDescent="0.2">
      <c r="A127" s="13">
        <v>37257</v>
      </c>
      <c r="B127" s="18">
        <f>VLOOKUP(A127,Database!A:Q,MATCH($A$1,Database!$A$1:$Q$1,),)</f>
        <v>14525</v>
      </c>
      <c r="C127" s="15">
        <f t="shared" si="2"/>
        <v>1.2195121951219513E-2</v>
      </c>
      <c r="D127" s="16">
        <f t="shared" si="3"/>
        <v>8.29046447476329E-2</v>
      </c>
    </row>
    <row r="128" spans="1:4" x14ac:dyDescent="0.2">
      <c r="A128" s="14">
        <v>37288</v>
      </c>
      <c r="B128" s="18">
        <f>VLOOKUP(A128,Database!A:Q,MATCH($A$1,Database!$A$1:$Q$1,),)</f>
        <v>14747</v>
      </c>
      <c r="C128" s="15">
        <f t="shared" si="2"/>
        <v>1.5283993115318417E-2</v>
      </c>
      <c r="D128" s="16">
        <f t="shared" si="3"/>
        <v>8.5775290826093364E-2</v>
      </c>
    </row>
    <row r="129" spans="1:4" x14ac:dyDescent="0.2">
      <c r="A129" s="13">
        <v>37316</v>
      </c>
      <c r="B129" s="18">
        <f>VLOOKUP(A129,Database!A:Q,MATCH($A$1,Database!$A$1:$Q$1,),)</f>
        <v>14745</v>
      </c>
      <c r="C129" s="15">
        <f t="shared" si="2"/>
        <v>-1.3562080423136909E-4</v>
      </c>
      <c r="D129" s="16">
        <f t="shared" si="3"/>
        <v>8.0219780219780226E-2</v>
      </c>
    </row>
    <row r="130" spans="1:4" x14ac:dyDescent="0.2">
      <c r="A130" s="14">
        <v>37347</v>
      </c>
      <c r="B130" s="18">
        <f>VLOOKUP(A130,Database!A:Q,MATCH($A$1,Database!$A$1:$Q$1,),)</f>
        <v>14940</v>
      </c>
      <c r="C130" s="15">
        <f t="shared" si="2"/>
        <v>1.3224821973550356E-2</v>
      </c>
      <c r="D130" s="16">
        <f t="shared" si="3"/>
        <v>9.5067067360551205E-2</v>
      </c>
    </row>
    <row r="131" spans="1:4" x14ac:dyDescent="0.2">
      <c r="A131" s="13">
        <v>37377</v>
      </c>
      <c r="B131" s="18">
        <f>VLOOKUP(A131,Database!A:Q,MATCH($A$1,Database!$A$1:$Q$1,),)</f>
        <v>14903</v>
      </c>
      <c r="C131" s="15">
        <f t="shared" si="2"/>
        <v>-2.4765729585006693E-3</v>
      </c>
      <c r="D131" s="16">
        <f t="shared" si="3"/>
        <v>7.898928467998842E-2</v>
      </c>
    </row>
    <row r="132" spans="1:4" x14ac:dyDescent="0.2">
      <c r="A132" s="14">
        <v>37408</v>
      </c>
      <c r="B132" s="18">
        <f>VLOOKUP(A132,Database!A:Q,MATCH($A$1,Database!$A$1:$Q$1,),)</f>
        <v>14947</v>
      </c>
      <c r="C132" s="15">
        <f t="shared" si="2"/>
        <v>2.952425686103469E-3</v>
      </c>
      <c r="D132" s="16">
        <f t="shared" si="3"/>
        <v>7.975149895253919E-2</v>
      </c>
    </row>
    <row r="133" spans="1:4" x14ac:dyDescent="0.2">
      <c r="A133" s="13">
        <v>37438</v>
      </c>
      <c r="B133" s="18">
        <f>VLOOKUP(A133,Database!A:Q,MATCH($A$1,Database!$A$1:$Q$1,),)</f>
        <v>15004</v>
      </c>
      <c r="C133" s="15">
        <f t="shared" si="2"/>
        <v>3.8134742757744027E-3</v>
      </c>
      <c r="D133" s="16">
        <f t="shared" si="3"/>
        <v>8.1057713091721301E-2</v>
      </c>
    </row>
    <row r="134" spans="1:4" x14ac:dyDescent="0.2">
      <c r="A134" s="14">
        <v>37469</v>
      </c>
      <c r="B134" s="18">
        <f>VLOOKUP(A134,Database!A:Q,MATCH($A$1,Database!$A$1:$Q$1,),)</f>
        <v>15120</v>
      </c>
      <c r="C134" s="15">
        <f t="shared" si="2"/>
        <v>7.7312716608904288E-3</v>
      </c>
      <c r="D134" s="16">
        <f t="shared" si="3"/>
        <v>7.9691516709511565E-2</v>
      </c>
    </row>
    <row r="135" spans="1:4" x14ac:dyDescent="0.2">
      <c r="A135" s="13">
        <v>37500</v>
      </c>
      <c r="B135" s="18">
        <f>VLOOKUP(A135,Database!A:Q,MATCH($A$1,Database!$A$1:$Q$1,),)</f>
        <v>15288</v>
      </c>
      <c r="C135" s="15">
        <f t="shared" si="2"/>
        <v>1.1111111111111112E-2</v>
      </c>
      <c r="D135" s="16">
        <f t="shared" si="3"/>
        <v>0.10033107816323593</v>
      </c>
    </row>
    <row r="136" spans="1:4" x14ac:dyDescent="0.2">
      <c r="A136" s="14">
        <v>37530</v>
      </c>
      <c r="B136" s="18">
        <f>VLOOKUP(A136,Database!A:Q,MATCH($A$1,Database!$A$1:$Q$1,),)</f>
        <v>15298</v>
      </c>
      <c r="C136" s="15">
        <f t="shared" si="2"/>
        <v>6.5410779696493981E-4</v>
      </c>
      <c r="D136" s="16">
        <f t="shared" si="3"/>
        <v>6.9939851727514338E-2</v>
      </c>
    </row>
    <row r="137" spans="1:4" x14ac:dyDescent="0.2">
      <c r="A137" s="13">
        <v>37561</v>
      </c>
      <c r="B137" s="18">
        <f>VLOOKUP(A137,Database!A:Q,MATCH($A$1,Database!$A$1:$Q$1,),)</f>
        <v>15348</v>
      </c>
      <c r="C137" s="15">
        <f t="shared" ref="C137:C200" si="4">(B137-B136)/B136</f>
        <v>3.268401098182769E-3</v>
      </c>
      <c r="D137" s="16">
        <f t="shared" si="3"/>
        <v>7.4789915966386553E-2</v>
      </c>
    </row>
    <row r="138" spans="1:4" x14ac:dyDescent="0.2">
      <c r="A138" s="14">
        <v>37591</v>
      </c>
      <c r="B138" s="18">
        <f>VLOOKUP(A138,Database!A:Q,MATCH($A$1,Database!$A$1:$Q$1,),)</f>
        <v>15293</v>
      </c>
      <c r="C138" s="15">
        <f t="shared" si="4"/>
        <v>-3.5835287985405266E-3</v>
      </c>
      <c r="D138" s="16">
        <f t="shared" si="3"/>
        <v>6.5714285714285711E-2</v>
      </c>
    </row>
    <row r="139" spans="1:4" x14ac:dyDescent="0.2">
      <c r="A139" s="13">
        <v>37622</v>
      </c>
      <c r="B139" s="18">
        <f>VLOOKUP(A139,Database!A:Q,MATCH($A$1,Database!$A$1:$Q$1,),)</f>
        <v>15441</v>
      </c>
      <c r="C139" s="15">
        <f t="shared" si="4"/>
        <v>9.6776302883672272E-3</v>
      </c>
      <c r="D139" s="16">
        <f t="shared" si="3"/>
        <v>6.3063683304647164E-2</v>
      </c>
    </row>
    <row r="140" spans="1:4" x14ac:dyDescent="0.2">
      <c r="A140" s="14">
        <v>37653</v>
      </c>
      <c r="B140" s="18">
        <f>VLOOKUP(A140,Database!A:Q,MATCH($A$1,Database!$A$1:$Q$1,),)</f>
        <v>15534</v>
      </c>
      <c r="C140" s="15">
        <f t="shared" si="4"/>
        <v>6.0229259762968716E-3</v>
      </c>
      <c r="D140" s="16">
        <f t="shared" si="3"/>
        <v>5.3366786465043739E-2</v>
      </c>
    </row>
    <row r="141" spans="1:4" x14ac:dyDescent="0.2">
      <c r="A141" s="13">
        <v>37681</v>
      </c>
      <c r="B141" s="18">
        <f>VLOOKUP(A141,Database!A:Q,MATCH($A$1,Database!$A$1:$Q$1,),)</f>
        <v>15677</v>
      </c>
      <c r="C141" s="15">
        <f t="shared" si="4"/>
        <v>9.2056134929831331E-3</v>
      </c>
      <c r="D141" s="16">
        <f t="shared" si="3"/>
        <v>6.3207867073584265E-2</v>
      </c>
    </row>
    <row r="142" spans="1:4" x14ac:dyDescent="0.2">
      <c r="A142" s="14">
        <v>37712</v>
      </c>
      <c r="B142" s="18">
        <f>VLOOKUP(A142,Database!A:Q,MATCH($A$1,Database!$A$1:$Q$1,),)</f>
        <v>15705</v>
      </c>
      <c r="C142" s="15">
        <f t="shared" si="4"/>
        <v>1.7860560056133189E-3</v>
      </c>
      <c r="D142" s="16">
        <f t="shared" si="3"/>
        <v>5.1204819277108432E-2</v>
      </c>
    </row>
    <row r="143" spans="1:4" x14ac:dyDescent="0.2">
      <c r="A143" s="13">
        <v>37742</v>
      </c>
      <c r="B143" s="18">
        <f>VLOOKUP(A143,Database!A:Q,MATCH($A$1,Database!$A$1:$Q$1,),)</f>
        <v>15791</v>
      </c>
      <c r="C143" s="15">
        <f t="shared" si="4"/>
        <v>5.4759630690862779E-3</v>
      </c>
      <c r="D143" s="16">
        <f t="shared" si="3"/>
        <v>5.9585318392270013E-2</v>
      </c>
    </row>
    <row r="144" spans="1:4" x14ac:dyDescent="0.2">
      <c r="A144" s="14">
        <v>37773</v>
      </c>
      <c r="B144" s="18">
        <f>VLOOKUP(A144,Database!A:Q,MATCH($A$1,Database!$A$1:$Q$1,),)</f>
        <v>15934</v>
      </c>
      <c r="C144" s="15">
        <f t="shared" si="4"/>
        <v>9.0557912735102272E-3</v>
      </c>
      <c r="D144" s="16">
        <f t="shared" si="3"/>
        <v>6.603331772261993E-2</v>
      </c>
    </row>
    <row r="145" spans="1:4" x14ac:dyDescent="0.2">
      <c r="A145" s="13">
        <v>37803</v>
      </c>
      <c r="B145" s="18">
        <f>VLOOKUP(A145,Database!A:Q,MATCH($A$1,Database!$A$1:$Q$1,),)</f>
        <v>16182</v>
      </c>
      <c r="C145" s="15">
        <f t="shared" si="4"/>
        <v>1.556420233463035E-2</v>
      </c>
      <c r="D145" s="16">
        <f t="shared" si="3"/>
        <v>7.8512396694214878E-2</v>
      </c>
    </row>
    <row r="146" spans="1:4" x14ac:dyDescent="0.2">
      <c r="A146" s="14">
        <v>37834</v>
      </c>
      <c r="B146" s="18">
        <f>VLOOKUP(A146,Database!A:Q,MATCH($A$1,Database!$A$1:$Q$1,),)</f>
        <v>16345</v>
      </c>
      <c r="C146" s="15">
        <f t="shared" si="4"/>
        <v>1.007292052898282E-2</v>
      </c>
      <c r="D146" s="16">
        <f t="shared" si="3"/>
        <v>8.1018518518518517E-2</v>
      </c>
    </row>
    <row r="147" spans="1:4" x14ac:dyDescent="0.2">
      <c r="A147" s="13">
        <v>37865</v>
      </c>
      <c r="B147" s="18">
        <f>VLOOKUP(A147,Database!A:Q,MATCH($A$1,Database!$A$1:$Q$1,),)</f>
        <v>16339</v>
      </c>
      <c r="C147" s="15">
        <f t="shared" si="4"/>
        <v>-3.6708473539308659E-4</v>
      </c>
      <c r="D147" s="16">
        <f t="shared" si="3"/>
        <v>6.8746729461015177E-2</v>
      </c>
    </row>
    <row r="148" spans="1:4" x14ac:dyDescent="0.2">
      <c r="A148" s="14">
        <v>37895</v>
      </c>
      <c r="B148" s="18">
        <f>VLOOKUP(A148,Database!A:Q,MATCH($A$1,Database!$A$1:$Q$1,),)</f>
        <v>16434</v>
      </c>
      <c r="C148" s="15">
        <f t="shared" si="4"/>
        <v>5.814309321255891E-3</v>
      </c>
      <c r="D148" s="16">
        <f t="shared" ref="D148:D211" si="5">(B148-B136)/B136</f>
        <v>7.4258072950712517E-2</v>
      </c>
    </row>
    <row r="149" spans="1:4" x14ac:dyDescent="0.2">
      <c r="A149" s="13">
        <v>37926</v>
      </c>
      <c r="B149" s="18">
        <f>VLOOKUP(A149,Database!A:Q,MATCH($A$1,Database!$A$1:$Q$1,),)</f>
        <v>16500</v>
      </c>
      <c r="C149" s="15">
        <f t="shared" si="4"/>
        <v>4.0160642570281121E-3</v>
      </c>
      <c r="D149" s="16">
        <f t="shared" si="5"/>
        <v>7.5058639562157942E-2</v>
      </c>
    </row>
    <row r="150" spans="1:4" x14ac:dyDescent="0.2">
      <c r="A150" s="14">
        <v>37956</v>
      </c>
      <c r="B150" s="18">
        <f>VLOOKUP(A150,Database!A:Q,MATCH($A$1,Database!$A$1:$Q$1,),)</f>
        <v>16648</v>
      </c>
      <c r="C150" s="15">
        <f t="shared" si="4"/>
        <v>8.9696969696969695E-3</v>
      </c>
      <c r="D150" s="16">
        <f t="shared" si="5"/>
        <v>8.8602628653632387E-2</v>
      </c>
    </row>
    <row r="151" spans="1:4" x14ac:dyDescent="0.2">
      <c r="A151" s="13">
        <v>37987</v>
      </c>
      <c r="B151" s="18">
        <f>VLOOKUP(A151,Database!A:Q,MATCH($A$1,Database!$A$1:$Q$1,),)</f>
        <v>16287</v>
      </c>
      <c r="C151" s="15">
        <f t="shared" si="4"/>
        <v>-2.168428640076886E-2</v>
      </c>
      <c r="D151" s="16">
        <f t="shared" si="5"/>
        <v>5.4789197590829612E-2</v>
      </c>
    </row>
    <row r="152" spans="1:4" x14ac:dyDescent="0.2">
      <c r="A152" s="14">
        <v>38018</v>
      </c>
      <c r="B152" s="18">
        <f>VLOOKUP(A152,Database!A:Q,MATCH($A$1,Database!$A$1:$Q$1,),)</f>
        <v>16133</v>
      </c>
      <c r="C152" s="15">
        <f t="shared" si="4"/>
        <v>-9.4553938724135818E-3</v>
      </c>
      <c r="D152" s="16">
        <f t="shared" si="5"/>
        <v>3.8560576799279003E-2</v>
      </c>
    </row>
    <row r="153" spans="1:4" x14ac:dyDescent="0.2">
      <c r="A153" s="13">
        <v>38047</v>
      </c>
      <c r="B153" s="18">
        <f>VLOOKUP(A153,Database!A:Q,MATCH($A$1,Database!$A$1:$Q$1,),)</f>
        <v>16526</v>
      </c>
      <c r="C153" s="15">
        <f t="shared" si="4"/>
        <v>2.4360007438170211E-2</v>
      </c>
      <c r="D153" s="16">
        <f t="shared" si="5"/>
        <v>5.4155769598775279E-2</v>
      </c>
    </row>
    <row r="154" spans="1:4" x14ac:dyDescent="0.2">
      <c r="A154" s="14">
        <v>38078</v>
      </c>
      <c r="B154" s="18">
        <f>VLOOKUP(A154,Database!A:Q,MATCH($A$1,Database!$A$1:$Q$1,),)</f>
        <v>16476</v>
      </c>
      <c r="C154" s="15">
        <f t="shared" si="4"/>
        <v>-3.0255355197870023E-3</v>
      </c>
      <c r="D154" s="16">
        <f t="shared" si="5"/>
        <v>4.9092645654250242E-2</v>
      </c>
    </row>
    <row r="155" spans="1:4" x14ac:dyDescent="0.2">
      <c r="A155" s="13">
        <v>38108</v>
      </c>
      <c r="B155" s="18">
        <f>VLOOKUP(A155,Database!A:Q,MATCH($A$1,Database!$A$1:$Q$1,),)</f>
        <v>16462</v>
      </c>
      <c r="C155" s="15">
        <f t="shared" si="4"/>
        <v>-8.4972080602087883E-4</v>
      </c>
      <c r="D155" s="16">
        <f t="shared" si="5"/>
        <v>4.2492559052624911E-2</v>
      </c>
    </row>
    <row r="156" spans="1:4" x14ac:dyDescent="0.2">
      <c r="A156" s="14">
        <v>38139</v>
      </c>
      <c r="B156" s="18">
        <f>VLOOKUP(A156,Database!A:Q,MATCH($A$1,Database!$A$1:$Q$1,),)</f>
        <v>16570</v>
      </c>
      <c r="C156" s="15">
        <f t="shared" si="4"/>
        <v>6.5605637225124528E-3</v>
      </c>
      <c r="D156" s="16">
        <f t="shared" si="5"/>
        <v>3.9914647922681061E-2</v>
      </c>
    </row>
    <row r="157" spans="1:4" x14ac:dyDescent="0.2">
      <c r="A157" s="13">
        <v>38169</v>
      </c>
      <c r="B157" s="18">
        <f>VLOOKUP(A157,Database!A:Q,MATCH($A$1,Database!$A$1:$Q$1,),)</f>
        <v>16554</v>
      </c>
      <c r="C157" s="15">
        <f t="shared" si="4"/>
        <v>-9.6560048280024135E-4</v>
      </c>
      <c r="D157" s="16">
        <f t="shared" si="5"/>
        <v>2.2988505747126436E-2</v>
      </c>
    </row>
    <row r="158" spans="1:4" x14ac:dyDescent="0.2">
      <c r="A158" s="14">
        <v>38200</v>
      </c>
      <c r="B158" s="18">
        <f>VLOOKUP(A158,Database!A:Q,MATCH($A$1,Database!$A$1:$Q$1,),)</f>
        <v>16610</v>
      </c>
      <c r="C158" s="15">
        <f t="shared" si="4"/>
        <v>3.3828681889573517E-3</v>
      </c>
      <c r="D158" s="16">
        <f t="shared" si="5"/>
        <v>1.6212909146527989E-2</v>
      </c>
    </row>
    <row r="159" spans="1:4" x14ac:dyDescent="0.2">
      <c r="A159" s="13">
        <v>38231</v>
      </c>
      <c r="B159" s="18">
        <f>VLOOKUP(A159,Database!A:Q,MATCH($A$1,Database!$A$1:$Q$1,),)</f>
        <v>16635</v>
      </c>
      <c r="C159" s="15">
        <f t="shared" si="4"/>
        <v>1.5051173991571343E-3</v>
      </c>
      <c r="D159" s="16">
        <f t="shared" si="5"/>
        <v>1.811616377991309E-2</v>
      </c>
    </row>
    <row r="160" spans="1:4" x14ac:dyDescent="0.2">
      <c r="A160" s="14">
        <v>38261</v>
      </c>
      <c r="B160" s="18">
        <f>VLOOKUP(A160,Database!A:Q,MATCH($A$1,Database!$A$1:$Q$1,),)</f>
        <v>16739</v>
      </c>
      <c r="C160" s="15">
        <f t="shared" si="4"/>
        <v>6.2518785692816355E-3</v>
      </c>
      <c r="D160" s="16">
        <f t="shared" si="5"/>
        <v>1.8559084824145065E-2</v>
      </c>
    </row>
    <row r="161" spans="1:4" x14ac:dyDescent="0.2">
      <c r="A161" s="13">
        <v>38292</v>
      </c>
      <c r="B161" s="18">
        <f>VLOOKUP(A161,Database!A:Q,MATCH($A$1,Database!$A$1:$Q$1,),)</f>
        <v>16813</v>
      </c>
      <c r="C161" s="15">
        <f t="shared" si="4"/>
        <v>4.4208136686779377E-3</v>
      </c>
      <c r="D161" s="16">
        <f t="shared" si="5"/>
        <v>1.896969696969697E-2</v>
      </c>
    </row>
    <row r="162" spans="1:4" x14ac:dyDescent="0.2">
      <c r="A162" s="14">
        <v>38322</v>
      </c>
      <c r="B162" s="18">
        <f>VLOOKUP(A162,Database!A:Q,MATCH($A$1,Database!$A$1:$Q$1,),)</f>
        <v>16882</v>
      </c>
      <c r="C162" s="15">
        <f t="shared" si="4"/>
        <v>4.1039671682626538E-3</v>
      </c>
      <c r="D162" s="16">
        <f t="shared" si="5"/>
        <v>1.4055742431523306E-2</v>
      </c>
    </row>
    <row r="163" spans="1:4" x14ac:dyDescent="0.2">
      <c r="A163" s="13">
        <v>38353</v>
      </c>
      <c r="B163" s="18">
        <f>VLOOKUP(A163,Database!A:Q,MATCH($A$1,Database!$A$1:$Q$1,),)</f>
        <v>17116</v>
      </c>
      <c r="C163" s="15">
        <f t="shared" si="4"/>
        <v>1.3860916952967657E-2</v>
      </c>
      <c r="D163" s="16">
        <f t="shared" si="5"/>
        <v>5.0899490391109477E-2</v>
      </c>
    </row>
    <row r="164" spans="1:4" x14ac:dyDescent="0.2">
      <c r="A164" s="14">
        <v>38384</v>
      </c>
      <c r="B164" s="18">
        <f>VLOOKUP(A164,Database!A:Q,MATCH($A$1,Database!$A$1:$Q$1,),)</f>
        <v>17292</v>
      </c>
      <c r="C164" s="15">
        <f t="shared" si="4"/>
        <v>1.0282776349614395E-2</v>
      </c>
      <c r="D164" s="16">
        <f t="shared" si="5"/>
        <v>7.1840327279489247E-2</v>
      </c>
    </row>
    <row r="165" spans="1:4" x14ac:dyDescent="0.2">
      <c r="A165" s="13">
        <v>38412</v>
      </c>
      <c r="B165" s="18">
        <f>VLOOKUP(A165,Database!A:Q,MATCH($A$1,Database!$A$1:$Q$1,),)</f>
        <v>17245</v>
      </c>
      <c r="C165" s="15">
        <f t="shared" si="4"/>
        <v>-2.7180198935924126E-3</v>
      </c>
      <c r="D165" s="16">
        <f t="shared" si="5"/>
        <v>4.350720077453709E-2</v>
      </c>
    </row>
    <row r="166" spans="1:4" x14ac:dyDescent="0.2">
      <c r="A166" s="14">
        <v>38443</v>
      </c>
      <c r="B166" s="18">
        <f>VLOOKUP(A166,Database!A:Q,MATCH($A$1,Database!$A$1:$Q$1,),)</f>
        <v>17350</v>
      </c>
      <c r="C166" s="15">
        <f t="shared" si="4"/>
        <v>6.088721368512612E-3</v>
      </c>
      <c r="D166" s="16">
        <f t="shared" si="5"/>
        <v>5.3046856033017724E-2</v>
      </c>
    </row>
    <row r="167" spans="1:4" x14ac:dyDescent="0.2">
      <c r="A167" s="13">
        <v>38473</v>
      </c>
      <c r="B167" s="18">
        <f>VLOOKUP(A167,Database!A:Q,MATCH($A$1,Database!$A$1:$Q$1,),)</f>
        <v>17413</v>
      </c>
      <c r="C167" s="15">
        <f t="shared" si="4"/>
        <v>3.6311239193083573E-3</v>
      </c>
      <c r="D167" s="16">
        <f t="shared" si="5"/>
        <v>5.7769408334345768E-2</v>
      </c>
    </row>
    <row r="168" spans="1:4" x14ac:dyDescent="0.2">
      <c r="A168" s="14">
        <v>38504</v>
      </c>
      <c r="B168" s="18">
        <f>VLOOKUP(A168,Database!A:Q,MATCH($A$1,Database!$A$1:$Q$1,),)</f>
        <v>17392</v>
      </c>
      <c r="C168" s="15">
        <f t="shared" si="4"/>
        <v>-1.2059955205880664E-3</v>
      </c>
      <c r="D168" s="16">
        <f t="shared" si="5"/>
        <v>4.9607724803862399E-2</v>
      </c>
    </row>
    <row r="169" spans="1:4" x14ac:dyDescent="0.2">
      <c r="A169" s="13">
        <v>38534</v>
      </c>
      <c r="B169" s="18">
        <f>VLOOKUP(A169,Database!A:Q,MATCH($A$1,Database!$A$1:$Q$1,),)</f>
        <v>17635</v>
      </c>
      <c r="C169" s="15">
        <f t="shared" si="4"/>
        <v>1.3971941122355105E-2</v>
      </c>
      <c r="D169" s="16">
        <f t="shared" si="5"/>
        <v>6.530143771898031E-2</v>
      </c>
    </row>
    <row r="170" spans="1:4" x14ac:dyDescent="0.2">
      <c r="A170" s="14">
        <v>38565</v>
      </c>
      <c r="B170" s="18">
        <f>VLOOKUP(A170,Database!A:Q,MATCH($A$1,Database!$A$1:$Q$1,),)</f>
        <v>17548</v>
      </c>
      <c r="C170" s="15">
        <f t="shared" si="4"/>
        <v>-4.9333711369435778E-3</v>
      </c>
      <c r="D170" s="16">
        <f t="shared" si="5"/>
        <v>5.6472004816375675E-2</v>
      </c>
    </row>
    <row r="171" spans="1:4" x14ac:dyDescent="0.2">
      <c r="A171" s="13">
        <v>38596</v>
      </c>
      <c r="B171" s="18">
        <f>VLOOKUP(A171,Database!A:Q,MATCH($A$1,Database!$A$1:$Q$1,),)</f>
        <v>17707</v>
      </c>
      <c r="C171" s="15">
        <f t="shared" si="4"/>
        <v>9.0608616366537505E-3</v>
      </c>
      <c r="D171" s="16">
        <f t="shared" si="5"/>
        <v>6.4442440637210704E-2</v>
      </c>
    </row>
    <row r="172" spans="1:4" x14ac:dyDescent="0.2">
      <c r="A172" s="14">
        <v>38626</v>
      </c>
      <c r="B172" s="18">
        <f>VLOOKUP(A172,Database!A:Q,MATCH($A$1,Database!$A$1:$Q$1,),)</f>
        <v>17742</v>
      </c>
      <c r="C172" s="15">
        <f t="shared" si="4"/>
        <v>1.9766194160501498E-3</v>
      </c>
      <c r="D172" s="16">
        <f t="shared" si="5"/>
        <v>5.9919947428161778E-2</v>
      </c>
    </row>
    <row r="173" spans="1:4" x14ac:dyDescent="0.2">
      <c r="A173" s="13">
        <v>38657</v>
      </c>
      <c r="B173" s="18">
        <f>VLOOKUP(A173,Database!A:Q,MATCH($A$1,Database!$A$1:$Q$1,),)</f>
        <v>17859</v>
      </c>
      <c r="C173" s="15">
        <f t="shared" si="4"/>
        <v>6.5945214744673655E-3</v>
      </c>
      <c r="D173" s="16">
        <f t="shared" si="5"/>
        <v>6.2213763159459944E-2</v>
      </c>
    </row>
    <row r="174" spans="1:4" x14ac:dyDescent="0.2">
      <c r="A174" s="14">
        <v>38687</v>
      </c>
      <c r="B174" s="18">
        <f>VLOOKUP(A174,Database!A:Q,MATCH($A$1,Database!$A$1:$Q$1,),)</f>
        <v>18005</v>
      </c>
      <c r="C174" s="15">
        <f t="shared" si="4"/>
        <v>8.1751497844224207E-3</v>
      </c>
      <c r="D174" s="16">
        <f t="shared" si="5"/>
        <v>6.652055443667812E-2</v>
      </c>
    </row>
    <row r="175" spans="1:4" x14ac:dyDescent="0.2">
      <c r="A175" s="13">
        <v>38718</v>
      </c>
      <c r="B175" s="18">
        <f>VLOOKUP(A175,Database!A:Q,MATCH($A$1,Database!$A$1:$Q$1,),)</f>
        <v>18000</v>
      </c>
      <c r="C175" s="15">
        <f t="shared" si="4"/>
        <v>-2.7770063871146905E-4</v>
      </c>
      <c r="D175" s="16">
        <f t="shared" si="5"/>
        <v>5.1647581210563218E-2</v>
      </c>
    </row>
    <row r="176" spans="1:4" x14ac:dyDescent="0.2">
      <c r="A176" s="14">
        <v>38749</v>
      </c>
      <c r="B176" s="18">
        <f>VLOOKUP(A176,Database!A:Q,MATCH($A$1,Database!$A$1:$Q$1,),)</f>
        <v>18124</v>
      </c>
      <c r="C176" s="15">
        <f t="shared" si="4"/>
        <v>6.8888888888888888E-3</v>
      </c>
      <c r="D176" s="16">
        <f t="shared" si="5"/>
        <v>4.8114735137635901E-2</v>
      </c>
    </row>
    <row r="177" spans="1:4" x14ac:dyDescent="0.2">
      <c r="A177" s="13">
        <v>38777</v>
      </c>
      <c r="B177" s="18">
        <f>VLOOKUP(A177,Database!A:Q,MATCH($A$1,Database!$A$1:$Q$1,),)</f>
        <v>18222</v>
      </c>
      <c r="C177" s="15">
        <f t="shared" si="4"/>
        <v>5.4071948797175017E-3</v>
      </c>
      <c r="D177" s="16">
        <f t="shared" si="5"/>
        <v>5.6654102638445926E-2</v>
      </c>
    </row>
    <row r="178" spans="1:4" x14ac:dyDescent="0.2">
      <c r="A178" s="14">
        <v>38808</v>
      </c>
      <c r="B178" s="18">
        <f>VLOOKUP(A178,Database!A:Q,MATCH($A$1,Database!$A$1:$Q$1,),)</f>
        <v>18294</v>
      </c>
      <c r="C178" s="15">
        <f t="shared" si="4"/>
        <v>3.9512676983865661E-3</v>
      </c>
      <c r="D178" s="16">
        <f t="shared" si="5"/>
        <v>5.4409221902017288E-2</v>
      </c>
    </row>
    <row r="179" spans="1:4" x14ac:dyDescent="0.2">
      <c r="A179" s="13">
        <v>38838</v>
      </c>
      <c r="B179" s="18">
        <f>VLOOKUP(A179,Database!A:Q,MATCH($A$1,Database!$A$1:$Q$1,),)</f>
        <v>18466</v>
      </c>
      <c r="C179" s="15">
        <f t="shared" si="4"/>
        <v>9.4019897234065807E-3</v>
      </c>
      <c r="D179" s="16">
        <f t="shared" si="5"/>
        <v>6.0472061103773046E-2</v>
      </c>
    </row>
    <row r="180" spans="1:4" x14ac:dyDescent="0.2">
      <c r="A180" s="14">
        <v>38869</v>
      </c>
      <c r="B180" s="18">
        <f>VLOOKUP(A180,Database!A:Q,MATCH($A$1,Database!$A$1:$Q$1,),)</f>
        <v>18584</v>
      </c>
      <c r="C180" s="15">
        <f t="shared" si="4"/>
        <v>6.3901223870897863E-3</v>
      </c>
      <c r="D180" s="16">
        <f t="shared" si="5"/>
        <v>6.853725850965961E-2</v>
      </c>
    </row>
    <row r="181" spans="1:4" x14ac:dyDescent="0.2">
      <c r="A181" s="13">
        <v>38899</v>
      </c>
      <c r="B181" s="18">
        <f>VLOOKUP(A181,Database!A:Q,MATCH($A$1,Database!$A$1:$Q$1,),)</f>
        <v>18640</v>
      </c>
      <c r="C181" s="15">
        <f t="shared" si="4"/>
        <v>3.0133448127421438E-3</v>
      </c>
      <c r="D181" s="16">
        <f t="shared" si="5"/>
        <v>5.6988942444003404E-2</v>
      </c>
    </row>
    <row r="182" spans="1:4" x14ac:dyDescent="0.2">
      <c r="A182" s="14">
        <v>38930</v>
      </c>
      <c r="B182" s="18">
        <f>VLOOKUP(A182,Database!A:Q,MATCH($A$1,Database!$A$1:$Q$1,),)</f>
        <v>18757</v>
      </c>
      <c r="C182" s="15">
        <f t="shared" si="4"/>
        <v>6.2768240343347636E-3</v>
      </c>
      <c r="D182" s="16">
        <f t="shared" si="5"/>
        <v>6.8896740369272846E-2</v>
      </c>
    </row>
    <row r="183" spans="1:4" x14ac:dyDescent="0.2">
      <c r="A183" s="13">
        <v>38961</v>
      </c>
      <c r="B183" s="18">
        <f>VLOOKUP(A183,Database!A:Q,MATCH($A$1,Database!$A$1:$Q$1,),)</f>
        <v>18933</v>
      </c>
      <c r="C183" s="15">
        <f t="shared" si="4"/>
        <v>9.3831636189156045E-3</v>
      </c>
      <c r="D183" s="16">
        <f t="shared" si="5"/>
        <v>6.9238154402213814E-2</v>
      </c>
    </row>
    <row r="184" spans="1:4" x14ac:dyDescent="0.2">
      <c r="A184" s="14">
        <v>38991</v>
      </c>
      <c r="B184" s="18">
        <f>VLOOKUP(A184,Database!A:Q,MATCH($A$1,Database!$A$1:$Q$1,),)</f>
        <v>19044</v>
      </c>
      <c r="C184" s="15">
        <f t="shared" si="4"/>
        <v>5.8627792742829976E-3</v>
      </c>
      <c r="D184" s="16">
        <f t="shared" si="5"/>
        <v>7.3385187690226575E-2</v>
      </c>
    </row>
    <row r="185" spans="1:4" x14ac:dyDescent="0.2">
      <c r="A185" s="13">
        <v>39022</v>
      </c>
      <c r="B185" s="18">
        <f>VLOOKUP(A185,Database!A:Q,MATCH($A$1,Database!$A$1:$Q$1,),)</f>
        <v>19276</v>
      </c>
      <c r="C185" s="15">
        <f t="shared" si="4"/>
        <v>1.2182314639781559E-2</v>
      </c>
      <c r="D185" s="16">
        <f t="shared" si="5"/>
        <v>7.9343748250181978E-2</v>
      </c>
    </row>
    <row r="186" spans="1:4" x14ac:dyDescent="0.2">
      <c r="A186" s="14">
        <v>39052</v>
      </c>
      <c r="B186" s="18">
        <f>VLOOKUP(A186,Database!A:Q,MATCH($A$1,Database!$A$1:$Q$1,),)</f>
        <v>19385</v>
      </c>
      <c r="C186" s="15">
        <f t="shared" si="4"/>
        <v>5.6547001452583526E-3</v>
      </c>
      <c r="D186" s="16">
        <f t="shared" si="5"/>
        <v>7.6645376284365449E-2</v>
      </c>
    </row>
    <row r="187" spans="1:4" x14ac:dyDescent="0.2">
      <c r="A187" s="13">
        <v>39083</v>
      </c>
      <c r="B187" s="18">
        <f>VLOOKUP(A187,Database!A:Q,MATCH($A$1,Database!$A$1:$Q$1,),)</f>
        <v>19423</v>
      </c>
      <c r="C187" s="15">
        <f t="shared" si="4"/>
        <v>1.9602785659014704E-3</v>
      </c>
      <c r="D187" s="16">
        <f t="shared" si="5"/>
        <v>7.9055555555555559E-2</v>
      </c>
    </row>
    <row r="188" spans="1:4" x14ac:dyDescent="0.2">
      <c r="A188" s="14">
        <v>39114</v>
      </c>
      <c r="B188" s="18">
        <f>VLOOKUP(A188,Database!A:Q,MATCH($A$1,Database!$A$1:$Q$1,),)</f>
        <v>19401</v>
      </c>
      <c r="C188" s="15">
        <f t="shared" si="4"/>
        <v>-1.1326777531792205E-3</v>
      </c>
      <c r="D188" s="16">
        <f t="shared" si="5"/>
        <v>7.0459059810196428E-2</v>
      </c>
    </row>
    <row r="189" spans="1:4" x14ac:dyDescent="0.2">
      <c r="A189" s="13">
        <v>39142</v>
      </c>
      <c r="B189" s="18">
        <f>VLOOKUP(A189,Database!A:Q,MATCH($A$1,Database!$A$1:$Q$1,),)</f>
        <v>19540</v>
      </c>
      <c r="C189" s="15">
        <f t="shared" si="4"/>
        <v>7.1645791454048764E-3</v>
      </c>
      <c r="D189" s="16">
        <f t="shared" si="5"/>
        <v>7.2330150367687404E-2</v>
      </c>
    </row>
    <row r="190" spans="1:4" x14ac:dyDescent="0.2">
      <c r="A190" s="14">
        <v>39173</v>
      </c>
      <c r="B190" s="18">
        <f>VLOOKUP(A190,Database!A:Q,MATCH($A$1,Database!$A$1:$Q$1,),)</f>
        <v>19572</v>
      </c>
      <c r="C190" s="15">
        <f t="shared" si="4"/>
        <v>1.6376663254861821E-3</v>
      </c>
      <c r="D190" s="16">
        <f t="shared" si="5"/>
        <v>6.9858970154148894E-2</v>
      </c>
    </row>
    <row r="191" spans="1:4" x14ac:dyDescent="0.2">
      <c r="A191" s="13">
        <v>39203</v>
      </c>
      <c r="B191" s="18">
        <f>VLOOKUP(A191,Database!A:Q,MATCH($A$1,Database!$A$1:$Q$1,),)</f>
        <v>19650</v>
      </c>
      <c r="C191" s="15">
        <f t="shared" si="4"/>
        <v>3.9852851011649296E-3</v>
      </c>
      <c r="D191" s="16">
        <f t="shared" si="5"/>
        <v>6.4117838189104298E-2</v>
      </c>
    </row>
    <row r="192" spans="1:4" x14ac:dyDescent="0.2">
      <c r="A192" s="14">
        <v>39234</v>
      </c>
      <c r="B192" s="18">
        <f>VLOOKUP(A192,Database!A:Q,MATCH($A$1,Database!$A$1:$Q$1,),)</f>
        <v>19880</v>
      </c>
      <c r="C192" s="15">
        <f t="shared" si="4"/>
        <v>1.1704834605597965E-2</v>
      </c>
      <c r="D192" s="16">
        <f t="shared" si="5"/>
        <v>6.9737408523461039E-2</v>
      </c>
    </row>
    <row r="193" spans="1:4" x14ac:dyDescent="0.2">
      <c r="A193" s="13">
        <v>39264</v>
      </c>
      <c r="B193" s="18">
        <f>VLOOKUP(A193,Database!A:Q,MATCH($A$1,Database!$A$1:$Q$1,),)</f>
        <v>19831</v>
      </c>
      <c r="C193" s="15">
        <f t="shared" si="4"/>
        <v>-2.4647887323943664E-3</v>
      </c>
      <c r="D193" s="16">
        <f t="shared" si="5"/>
        <v>6.3894849785407729E-2</v>
      </c>
    </row>
    <row r="194" spans="1:4" x14ac:dyDescent="0.2">
      <c r="A194" s="14">
        <v>39295</v>
      </c>
      <c r="B194" s="18">
        <f>VLOOKUP(A194,Database!A:Q,MATCH($A$1,Database!$A$1:$Q$1,),)</f>
        <v>20014</v>
      </c>
      <c r="C194" s="15">
        <f t="shared" si="4"/>
        <v>9.2279764005849425E-3</v>
      </c>
      <c r="D194" s="16">
        <f t="shared" si="5"/>
        <v>6.701498107373248E-2</v>
      </c>
    </row>
    <row r="195" spans="1:4" x14ac:dyDescent="0.2">
      <c r="A195" s="13">
        <v>39326</v>
      </c>
      <c r="B195" s="18">
        <f>VLOOKUP(A195,Database!A:Q,MATCH($A$1,Database!$A$1:$Q$1,),)</f>
        <v>20132</v>
      </c>
      <c r="C195" s="15">
        <f t="shared" si="4"/>
        <v>5.895872888977716E-3</v>
      </c>
      <c r="D195" s="16">
        <f t="shared" si="5"/>
        <v>6.332857972851634E-2</v>
      </c>
    </row>
    <row r="196" spans="1:4" x14ac:dyDescent="0.2">
      <c r="A196" s="14">
        <v>39356</v>
      </c>
      <c r="B196" s="18">
        <f>VLOOKUP(A196,Database!A:Q,MATCH($A$1,Database!$A$1:$Q$1,),)</f>
        <v>19988</v>
      </c>
      <c r="C196" s="15">
        <f t="shared" si="4"/>
        <v>-7.1527915756010333E-3</v>
      </c>
      <c r="D196" s="16">
        <f t="shared" si="5"/>
        <v>4.9569418189455997E-2</v>
      </c>
    </row>
    <row r="197" spans="1:4" x14ac:dyDescent="0.2">
      <c r="A197" s="13">
        <v>39387</v>
      </c>
      <c r="B197" s="18">
        <f>VLOOKUP(A197,Database!A:Q,MATCH($A$1,Database!$A$1:$Q$1,),)</f>
        <v>19938</v>
      </c>
      <c r="C197" s="15">
        <f t="shared" si="4"/>
        <v>-2.501500900540324E-3</v>
      </c>
      <c r="D197" s="16">
        <f t="shared" si="5"/>
        <v>3.4343224735422284E-2</v>
      </c>
    </row>
    <row r="198" spans="1:4" x14ac:dyDescent="0.2">
      <c r="A198" s="14">
        <v>39417</v>
      </c>
      <c r="B198" s="18">
        <f>VLOOKUP(A198,Database!A:Q,MATCH($A$1,Database!$A$1:$Q$1,),)</f>
        <v>19825</v>
      </c>
      <c r="C198" s="15">
        <f t="shared" si="4"/>
        <v>-5.6675694653425621E-3</v>
      </c>
      <c r="D198" s="16">
        <f t="shared" si="5"/>
        <v>2.2697962342017024E-2</v>
      </c>
    </row>
    <row r="199" spans="1:4" x14ac:dyDescent="0.2">
      <c r="A199" s="13">
        <v>39448</v>
      </c>
      <c r="B199" s="18">
        <f>VLOOKUP(A199,Database!A:Q,MATCH($A$1,Database!$A$1:$Q$1,),)</f>
        <v>20120</v>
      </c>
      <c r="C199" s="15">
        <f t="shared" si="4"/>
        <v>1.4880201765447668E-2</v>
      </c>
      <c r="D199" s="16">
        <f t="shared" si="5"/>
        <v>3.5885290634814396E-2</v>
      </c>
    </row>
    <row r="200" spans="1:4" x14ac:dyDescent="0.2">
      <c r="A200" s="14">
        <v>39479</v>
      </c>
      <c r="B200" s="18">
        <f>VLOOKUP(A200,Database!A:Q,MATCH($A$1,Database!$A$1:$Q$1,),)</f>
        <v>20279</v>
      </c>
      <c r="C200" s="15">
        <f t="shared" si="4"/>
        <v>7.9025844930417487E-3</v>
      </c>
      <c r="D200" s="16">
        <f t="shared" si="5"/>
        <v>4.5255399206226482E-2</v>
      </c>
    </row>
    <row r="201" spans="1:4" x14ac:dyDescent="0.2">
      <c r="A201" s="13">
        <v>39508</v>
      </c>
      <c r="B201" s="18">
        <f>VLOOKUP(A201,Database!A:Q,MATCH($A$1,Database!$A$1:$Q$1,),)</f>
        <v>20288</v>
      </c>
      <c r="C201" s="15">
        <f t="shared" ref="C201:C264" si="6">(B201-B200)/B200</f>
        <v>4.4380886631490704E-4</v>
      </c>
      <c r="D201" s="16">
        <f t="shared" si="5"/>
        <v>3.8280450358239508E-2</v>
      </c>
    </row>
    <row r="202" spans="1:4" x14ac:dyDescent="0.2">
      <c r="A202" s="14">
        <v>39539</v>
      </c>
      <c r="B202" s="18">
        <f>VLOOKUP(A202,Database!A:Q,MATCH($A$1,Database!$A$1:$Q$1,),)</f>
        <v>20172</v>
      </c>
      <c r="C202" s="15">
        <f t="shared" si="6"/>
        <v>-5.7176656151419558E-3</v>
      </c>
      <c r="D202" s="16">
        <f t="shared" si="5"/>
        <v>3.0656039239730228E-2</v>
      </c>
    </row>
    <row r="203" spans="1:4" x14ac:dyDescent="0.2">
      <c r="A203" s="13">
        <v>39569</v>
      </c>
      <c r="B203" s="18">
        <f>VLOOKUP(A203,Database!A:Q,MATCH($A$1,Database!$A$1:$Q$1,),)</f>
        <v>20536</v>
      </c>
      <c r="C203" s="15">
        <f t="shared" si="6"/>
        <v>1.804481459448741E-2</v>
      </c>
      <c r="D203" s="16">
        <f t="shared" si="5"/>
        <v>4.5089058524173026E-2</v>
      </c>
    </row>
    <row r="204" spans="1:4" x14ac:dyDescent="0.2">
      <c r="A204" s="14">
        <v>39600</v>
      </c>
      <c r="B204" s="18">
        <f>VLOOKUP(A204,Database!A:Q,MATCH($A$1,Database!$A$1:$Q$1,),)</f>
        <v>20497</v>
      </c>
      <c r="C204" s="15">
        <f t="shared" si="6"/>
        <v>-1.8991040124659135E-3</v>
      </c>
      <c r="D204" s="16">
        <f t="shared" si="5"/>
        <v>3.1036217303822937E-2</v>
      </c>
    </row>
    <row r="205" spans="1:4" x14ac:dyDescent="0.2">
      <c r="A205" s="13">
        <v>39630</v>
      </c>
      <c r="B205" s="18">
        <f>VLOOKUP(A205,Database!A:Q,MATCH($A$1,Database!$A$1:$Q$1,),)</f>
        <v>20640</v>
      </c>
      <c r="C205" s="15">
        <f t="shared" si="6"/>
        <v>6.9766307264477728E-3</v>
      </c>
      <c r="D205" s="16">
        <f t="shared" si="5"/>
        <v>4.0794715344662398E-2</v>
      </c>
    </row>
    <row r="206" spans="1:4" x14ac:dyDescent="0.2">
      <c r="A206" s="14">
        <v>39661</v>
      </c>
      <c r="B206" s="18">
        <f>VLOOKUP(A206,Database!A:Q,MATCH($A$1,Database!$A$1:$Q$1,),)</f>
        <v>20620</v>
      </c>
      <c r="C206" s="15">
        <f t="shared" si="6"/>
        <v>-9.6899224806201549E-4</v>
      </c>
      <c r="D206" s="16">
        <f t="shared" si="5"/>
        <v>3.0278804836614371E-2</v>
      </c>
    </row>
    <row r="207" spans="1:4" x14ac:dyDescent="0.2">
      <c r="A207" s="13">
        <v>39692</v>
      </c>
      <c r="B207" s="18">
        <f>VLOOKUP(A207,Database!A:Q,MATCH($A$1,Database!$A$1:$Q$1,),)</f>
        <v>20654</v>
      </c>
      <c r="C207" s="15">
        <f t="shared" si="6"/>
        <v>1.6488845780795345E-3</v>
      </c>
      <c r="D207" s="16">
        <f t="shared" si="5"/>
        <v>2.5928869461553747E-2</v>
      </c>
    </row>
    <row r="208" spans="1:4" x14ac:dyDescent="0.2">
      <c r="A208" s="14">
        <v>39722</v>
      </c>
      <c r="B208" s="18">
        <f>VLOOKUP(A208,Database!A:Q,MATCH($A$1,Database!$A$1:$Q$1,),)</f>
        <v>20659</v>
      </c>
      <c r="C208" s="15">
        <f t="shared" si="6"/>
        <v>2.4208385784835868E-4</v>
      </c>
      <c r="D208" s="16">
        <f t="shared" si="5"/>
        <v>3.3570142085251151E-2</v>
      </c>
    </row>
    <row r="209" spans="1:4" x14ac:dyDescent="0.2">
      <c r="A209" s="13">
        <v>39753</v>
      </c>
      <c r="B209" s="18">
        <f>VLOOKUP(A209,Database!A:Q,MATCH($A$1,Database!$A$1:$Q$1,),)</f>
        <v>20789</v>
      </c>
      <c r="C209" s="15">
        <f t="shared" si="6"/>
        <v>6.2926569533859333E-3</v>
      </c>
      <c r="D209" s="16">
        <f t="shared" si="5"/>
        <v>4.2682315177048853E-2</v>
      </c>
    </row>
    <row r="210" spans="1:4" x14ac:dyDescent="0.2">
      <c r="A210" s="14">
        <v>39783</v>
      </c>
      <c r="B210" s="18">
        <f>VLOOKUP(A210,Database!A:Q,MATCH($A$1,Database!$A$1:$Q$1,),)</f>
        <v>20682</v>
      </c>
      <c r="C210" s="15">
        <f t="shared" si="6"/>
        <v>-5.1469527153783249E-3</v>
      </c>
      <c r="D210" s="16">
        <f t="shared" si="5"/>
        <v>4.3228247162673393E-2</v>
      </c>
    </row>
    <row r="211" spans="1:4" x14ac:dyDescent="0.2">
      <c r="A211" s="13">
        <v>39814</v>
      </c>
      <c r="B211" s="18">
        <f>VLOOKUP(A211,Database!A:Q,MATCH($A$1,Database!$A$1:$Q$1,),)</f>
        <v>20753</v>
      </c>
      <c r="C211" s="15">
        <f t="shared" si="6"/>
        <v>3.4329368533023885E-3</v>
      </c>
      <c r="D211" s="16">
        <f t="shared" si="5"/>
        <v>3.1461232604373758E-2</v>
      </c>
    </row>
    <row r="212" spans="1:4" x14ac:dyDescent="0.2">
      <c r="A212" s="14">
        <v>39845</v>
      </c>
      <c r="B212" s="18">
        <f>VLOOKUP(A212,Database!A:Q,MATCH($A$1,Database!$A$1:$Q$1,),)</f>
        <v>20906</v>
      </c>
      <c r="C212" s="15">
        <f t="shared" si="6"/>
        <v>7.3724280826868403E-3</v>
      </c>
      <c r="D212" s="16">
        <f t="shared" ref="D212:D275" si="7">(B212-B200)/B200</f>
        <v>3.0918684353271858E-2</v>
      </c>
    </row>
    <row r="213" spans="1:4" x14ac:dyDescent="0.2">
      <c r="A213" s="13">
        <v>39873</v>
      </c>
      <c r="B213" s="18">
        <f>VLOOKUP(A213,Database!A:Q,MATCH($A$1,Database!$A$1:$Q$1,),)</f>
        <v>20908</v>
      </c>
      <c r="C213" s="15">
        <f t="shared" si="6"/>
        <v>9.5666315890175063E-5</v>
      </c>
      <c r="D213" s="16">
        <f t="shared" si="7"/>
        <v>3.0559936908517351E-2</v>
      </c>
    </row>
    <row r="214" spans="1:4" x14ac:dyDescent="0.2">
      <c r="A214" s="14">
        <v>39904</v>
      </c>
      <c r="B214" s="18">
        <f>VLOOKUP(A214,Database!A:Q,MATCH($A$1,Database!$A$1:$Q$1,),)</f>
        <v>21059</v>
      </c>
      <c r="C214" s="15">
        <f t="shared" si="6"/>
        <v>7.2221159364836427E-3</v>
      </c>
      <c r="D214" s="16">
        <f t="shared" si="7"/>
        <v>4.3971842157445963E-2</v>
      </c>
    </row>
    <row r="215" spans="1:4" x14ac:dyDescent="0.2">
      <c r="A215" s="13">
        <v>39934</v>
      </c>
      <c r="B215" s="18">
        <f>VLOOKUP(A215,Database!A:Q,MATCH($A$1,Database!$A$1:$Q$1,),)</f>
        <v>21121</v>
      </c>
      <c r="C215" s="15">
        <f t="shared" si="6"/>
        <v>2.9441094069044115E-3</v>
      </c>
      <c r="D215" s="16">
        <f t="shared" si="7"/>
        <v>2.8486560186988703E-2</v>
      </c>
    </row>
    <row r="216" spans="1:4" x14ac:dyDescent="0.2">
      <c r="A216" s="14">
        <v>39965</v>
      </c>
      <c r="B216" s="18">
        <f>VLOOKUP(A216,Database!A:Q,MATCH($A$1,Database!$A$1:$Q$1,),)</f>
        <v>21055</v>
      </c>
      <c r="C216" s="15">
        <f t="shared" si="6"/>
        <v>-3.1248520429903886E-3</v>
      </c>
      <c r="D216" s="16">
        <f t="shared" si="7"/>
        <v>2.7223496121383618E-2</v>
      </c>
    </row>
    <row r="217" spans="1:4" x14ac:dyDescent="0.2">
      <c r="A217" s="13">
        <v>39995</v>
      </c>
      <c r="B217" s="18">
        <f>VLOOKUP(A217,Database!A:Q,MATCH($A$1,Database!$A$1:$Q$1,),)</f>
        <v>21027</v>
      </c>
      <c r="C217" s="15">
        <f t="shared" si="6"/>
        <v>-1.3298503918309191E-3</v>
      </c>
      <c r="D217" s="16">
        <f t="shared" si="7"/>
        <v>1.8749999999999999E-2</v>
      </c>
    </row>
    <row r="218" spans="1:4" x14ac:dyDescent="0.2">
      <c r="A218" s="14">
        <v>40026</v>
      </c>
      <c r="B218" s="18">
        <f>VLOOKUP(A218,Database!A:Q,MATCH($A$1,Database!$A$1:$Q$1,),)</f>
        <v>21070</v>
      </c>
      <c r="C218" s="15">
        <f t="shared" si="6"/>
        <v>2.0449897750511249E-3</v>
      </c>
      <c r="D218" s="16">
        <f t="shared" si="7"/>
        <v>2.1823472356935016E-2</v>
      </c>
    </row>
    <row r="219" spans="1:4" x14ac:dyDescent="0.2">
      <c r="A219" s="13">
        <v>40057</v>
      </c>
      <c r="B219" s="18">
        <f>VLOOKUP(A219,Database!A:Q,MATCH($A$1,Database!$A$1:$Q$1,),)</f>
        <v>21231</v>
      </c>
      <c r="C219" s="15">
        <f t="shared" si="6"/>
        <v>7.6411960132890368E-3</v>
      </c>
      <c r="D219" s="16">
        <f t="shared" si="7"/>
        <v>2.7936477195700592E-2</v>
      </c>
    </row>
    <row r="220" spans="1:4" x14ac:dyDescent="0.2">
      <c r="A220" s="14">
        <v>40087</v>
      </c>
      <c r="B220" s="18">
        <f>VLOOKUP(A220,Database!A:Q,MATCH($A$1,Database!$A$1:$Q$1,),)</f>
        <v>21278</v>
      </c>
      <c r="C220" s="15">
        <f t="shared" si="6"/>
        <v>2.2137440535066649E-3</v>
      </c>
      <c r="D220" s="16">
        <f t="shared" si="7"/>
        <v>2.9962728108814559E-2</v>
      </c>
    </row>
    <row r="221" spans="1:4" x14ac:dyDescent="0.2">
      <c r="A221" s="13">
        <v>40118</v>
      </c>
      <c r="B221" s="18">
        <f>VLOOKUP(A221,Database!A:Q,MATCH($A$1,Database!$A$1:$Q$1,),)</f>
        <v>21288</v>
      </c>
      <c r="C221" s="15">
        <f t="shared" si="6"/>
        <v>4.6996898204718486E-4</v>
      </c>
      <c r="D221" s="16">
        <f t="shared" si="7"/>
        <v>2.400307855115686E-2</v>
      </c>
    </row>
    <row r="222" spans="1:4" x14ac:dyDescent="0.2">
      <c r="A222" s="14">
        <v>40148</v>
      </c>
      <c r="B222" s="18">
        <f>VLOOKUP(A222,Database!A:Q,MATCH($A$1,Database!$A$1:$Q$1,),)</f>
        <v>21195</v>
      </c>
      <c r="C222" s="15">
        <f t="shared" si="6"/>
        <v>-4.3686583990980837E-3</v>
      </c>
      <c r="D222" s="16">
        <f t="shared" si="7"/>
        <v>2.4804177545691905E-2</v>
      </c>
    </row>
    <row r="223" spans="1:4" x14ac:dyDescent="0.2">
      <c r="A223" s="13">
        <v>40179</v>
      </c>
      <c r="B223" s="18">
        <f>VLOOKUP(A223,Database!A:Q,MATCH($A$1,Database!$A$1:$Q$1,),)</f>
        <v>21165</v>
      </c>
      <c r="C223" s="15">
        <f t="shared" si="6"/>
        <v>-1.4154281670205238E-3</v>
      </c>
      <c r="D223" s="16">
        <f t="shared" si="7"/>
        <v>1.9852551438346262E-2</v>
      </c>
    </row>
    <row r="224" spans="1:4" x14ac:dyDescent="0.2">
      <c r="A224" s="14">
        <v>40210</v>
      </c>
      <c r="B224" s="18">
        <f>VLOOKUP(A224,Database!A:Q,MATCH($A$1,Database!$A$1:$Q$1,),)</f>
        <v>21199</v>
      </c>
      <c r="C224" s="15">
        <f t="shared" si="6"/>
        <v>1.606425702811245E-3</v>
      </c>
      <c r="D224" s="16">
        <f t="shared" si="7"/>
        <v>1.4015115277910647E-2</v>
      </c>
    </row>
    <row r="225" spans="1:4" x14ac:dyDescent="0.2">
      <c r="A225" s="13">
        <v>40238</v>
      </c>
      <c r="B225" s="18">
        <f>VLOOKUP(A225,Database!A:Q,MATCH($A$1,Database!$A$1:$Q$1,),)</f>
        <v>21363</v>
      </c>
      <c r="C225" s="15">
        <f t="shared" si="6"/>
        <v>7.7362139723571866E-3</v>
      </c>
      <c r="D225" s="16">
        <f t="shared" si="7"/>
        <v>2.1762004974172567E-2</v>
      </c>
    </row>
    <row r="226" spans="1:4" x14ac:dyDescent="0.2">
      <c r="A226" s="14">
        <v>40269</v>
      </c>
      <c r="B226" s="18">
        <f>VLOOKUP(A226,Database!A:Q,MATCH($A$1,Database!$A$1:$Q$1,),)</f>
        <v>21471</v>
      </c>
      <c r="C226" s="15">
        <f t="shared" si="6"/>
        <v>5.0554697373964329E-3</v>
      </c>
      <c r="D226" s="16">
        <f t="shared" si="7"/>
        <v>1.9564081865235766E-2</v>
      </c>
    </row>
    <row r="227" spans="1:4" x14ac:dyDescent="0.2">
      <c r="A227" s="13">
        <v>40299</v>
      </c>
      <c r="B227" s="18">
        <f>VLOOKUP(A227,Database!A:Q,MATCH($A$1,Database!$A$1:$Q$1,),)</f>
        <v>21399</v>
      </c>
      <c r="C227" s="15">
        <f t="shared" si="6"/>
        <v>-3.3533603465139023E-3</v>
      </c>
      <c r="D227" s="16">
        <f t="shared" si="7"/>
        <v>1.3162255575020123E-2</v>
      </c>
    </row>
    <row r="228" spans="1:4" x14ac:dyDescent="0.2">
      <c r="A228" s="14">
        <v>40330</v>
      </c>
      <c r="B228" s="18">
        <f>VLOOKUP(A228,Database!A:Q,MATCH($A$1,Database!$A$1:$Q$1,),)</f>
        <v>21661</v>
      </c>
      <c r="C228" s="15">
        <f t="shared" si="6"/>
        <v>1.2243562783307632E-2</v>
      </c>
      <c r="D228" s="16">
        <f t="shared" si="7"/>
        <v>2.8781762051769175E-2</v>
      </c>
    </row>
    <row r="229" spans="1:4" x14ac:dyDescent="0.2">
      <c r="A229" s="13">
        <v>40360</v>
      </c>
      <c r="B229" s="18">
        <f>VLOOKUP(A229,Database!A:Q,MATCH($A$1,Database!$A$1:$Q$1,),)</f>
        <v>21733</v>
      </c>
      <c r="C229" s="15">
        <f t="shared" si="6"/>
        <v>3.3239462628687501E-3</v>
      </c>
      <c r="D229" s="16">
        <f t="shared" si="7"/>
        <v>3.3575878632234747E-2</v>
      </c>
    </row>
    <row r="230" spans="1:4" x14ac:dyDescent="0.2">
      <c r="A230" s="14">
        <v>40391</v>
      </c>
      <c r="B230" s="18">
        <f>VLOOKUP(A230,Database!A:Q,MATCH($A$1,Database!$A$1:$Q$1,),)</f>
        <v>21863</v>
      </c>
      <c r="C230" s="15">
        <f t="shared" si="6"/>
        <v>5.981686835687664E-3</v>
      </c>
      <c r="D230" s="16">
        <f t="shared" si="7"/>
        <v>3.7636449928808734E-2</v>
      </c>
    </row>
    <row r="231" spans="1:4" x14ac:dyDescent="0.2">
      <c r="A231" s="13">
        <v>40422</v>
      </c>
      <c r="B231" s="18">
        <f>VLOOKUP(A231,Database!A:Q,MATCH($A$1,Database!$A$1:$Q$1,),)</f>
        <v>21910</v>
      </c>
      <c r="C231" s="15">
        <f t="shared" si="6"/>
        <v>2.1497507203951881E-3</v>
      </c>
      <c r="D231" s="16">
        <f t="shared" si="7"/>
        <v>3.1981536432575008E-2</v>
      </c>
    </row>
    <row r="232" spans="1:4" x14ac:dyDescent="0.2">
      <c r="A232" s="14">
        <v>40452</v>
      </c>
      <c r="B232" s="18">
        <f>VLOOKUP(A232,Database!A:Q,MATCH($A$1,Database!$A$1:$Q$1,),)</f>
        <v>22128</v>
      </c>
      <c r="C232" s="15">
        <f t="shared" si="6"/>
        <v>9.9497946143313563E-3</v>
      </c>
      <c r="D232" s="16">
        <f t="shared" si="7"/>
        <v>3.9947363474010712E-2</v>
      </c>
    </row>
    <row r="233" spans="1:4" x14ac:dyDescent="0.2">
      <c r="A233" s="13">
        <v>40483</v>
      </c>
      <c r="B233" s="18">
        <f>VLOOKUP(A233,Database!A:Q,MATCH($A$1,Database!$A$1:$Q$1,),)</f>
        <v>22180</v>
      </c>
      <c r="C233" s="15">
        <f t="shared" si="6"/>
        <v>2.3499638467100506E-3</v>
      </c>
      <c r="D233" s="16">
        <f t="shared" si="7"/>
        <v>4.1901540774145062E-2</v>
      </c>
    </row>
    <row r="234" spans="1:4" x14ac:dyDescent="0.2">
      <c r="A234" s="14">
        <v>40513</v>
      </c>
      <c r="B234" s="18">
        <f>VLOOKUP(A234,Database!A:Q,MATCH($A$1,Database!$A$1:$Q$1,),)</f>
        <v>22272</v>
      </c>
      <c r="C234" s="15">
        <f t="shared" si="6"/>
        <v>4.147880973850316E-3</v>
      </c>
      <c r="D234" s="16">
        <f t="shared" si="7"/>
        <v>5.0813871196036801E-2</v>
      </c>
    </row>
    <row r="235" spans="1:4" x14ac:dyDescent="0.2">
      <c r="A235" s="13">
        <v>40544</v>
      </c>
      <c r="B235" s="18">
        <f>VLOOKUP(A235,Database!A:Q,MATCH($A$1,Database!$A$1:$Q$1,),)</f>
        <v>22695</v>
      </c>
      <c r="C235" s="15">
        <f t="shared" si="6"/>
        <v>1.8992456896551723E-2</v>
      </c>
      <c r="D235" s="16">
        <f t="shared" si="7"/>
        <v>7.2289156626506021E-2</v>
      </c>
    </row>
    <row r="236" spans="1:4" x14ac:dyDescent="0.2">
      <c r="A236" s="14">
        <v>40575</v>
      </c>
      <c r="B236" s="18">
        <f>VLOOKUP(A236,Database!A:Q,MATCH($A$1,Database!$A$1:$Q$1,),)</f>
        <v>22428</v>
      </c>
      <c r="C236" s="15">
        <f t="shared" si="6"/>
        <v>-1.1764705882352941E-2</v>
      </c>
      <c r="D236" s="16">
        <f t="shared" si="7"/>
        <v>5.7974432756262087E-2</v>
      </c>
    </row>
    <row r="237" spans="1:4" x14ac:dyDescent="0.2">
      <c r="A237" s="13">
        <v>40603</v>
      </c>
      <c r="B237" s="18">
        <f>VLOOKUP(A237,Database!A:Q,MATCH($A$1,Database!$A$1:$Q$1,),)</f>
        <v>22563</v>
      </c>
      <c r="C237" s="15">
        <f t="shared" si="6"/>
        <v>6.0192616372391657E-3</v>
      </c>
      <c r="D237" s="16">
        <f t="shared" si="7"/>
        <v>5.6171885971071478E-2</v>
      </c>
    </row>
    <row r="238" spans="1:4" x14ac:dyDescent="0.2">
      <c r="A238" s="14">
        <v>40634</v>
      </c>
      <c r="B238" s="18">
        <f>VLOOKUP(A238,Database!A:Q,MATCH($A$1,Database!$A$1:$Q$1,),)</f>
        <v>22448</v>
      </c>
      <c r="C238" s="15">
        <f t="shared" si="6"/>
        <v>-5.0968399592252805E-3</v>
      </c>
      <c r="D238" s="16">
        <f t="shared" si="7"/>
        <v>4.5503236924223374E-2</v>
      </c>
    </row>
    <row r="239" spans="1:4" x14ac:dyDescent="0.2">
      <c r="A239" s="13">
        <v>40664</v>
      </c>
      <c r="B239" s="18">
        <f>VLOOKUP(A239,Database!A:Q,MATCH($A$1,Database!$A$1:$Q$1,),)</f>
        <v>22608</v>
      </c>
      <c r="C239" s="15">
        <f t="shared" si="6"/>
        <v>7.1275837491090524E-3</v>
      </c>
      <c r="D239" s="16">
        <f t="shared" si="7"/>
        <v>5.6497967194728722E-2</v>
      </c>
    </row>
    <row r="240" spans="1:4" x14ac:dyDescent="0.2">
      <c r="A240" s="14">
        <v>40695</v>
      </c>
      <c r="B240" s="18">
        <f>VLOOKUP(A240,Database!A:Q,MATCH($A$1,Database!$A$1:$Q$1,),)</f>
        <v>22607</v>
      </c>
      <c r="C240" s="15">
        <f t="shared" si="6"/>
        <v>-4.4232130219391367E-5</v>
      </c>
      <c r="D240" s="16">
        <f t="shared" si="7"/>
        <v>4.3672960620469971E-2</v>
      </c>
    </row>
    <row r="241" spans="1:4" x14ac:dyDescent="0.2">
      <c r="A241" s="13">
        <v>40725</v>
      </c>
      <c r="B241" s="18">
        <f>VLOOKUP(A241,Database!A:Q,MATCH($A$1,Database!$A$1:$Q$1,),)</f>
        <v>22728</v>
      </c>
      <c r="C241" s="15">
        <f t="shared" si="6"/>
        <v>5.3523245012606713E-3</v>
      </c>
      <c r="D241" s="16">
        <f t="shared" si="7"/>
        <v>4.5782910780840194E-2</v>
      </c>
    </row>
    <row r="242" spans="1:4" x14ac:dyDescent="0.2">
      <c r="A242" s="14">
        <v>40756</v>
      </c>
      <c r="B242" s="18">
        <f>VLOOKUP(A242,Database!A:Q,MATCH($A$1,Database!$A$1:$Q$1,),)</f>
        <v>22822</v>
      </c>
      <c r="C242" s="15">
        <f t="shared" si="6"/>
        <v>4.1358676522351284E-3</v>
      </c>
      <c r="D242" s="16">
        <f t="shared" si="7"/>
        <v>4.3864062571467778E-2</v>
      </c>
    </row>
    <row r="243" spans="1:4" x14ac:dyDescent="0.2">
      <c r="A243" s="13">
        <v>40787</v>
      </c>
      <c r="B243" s="18">
        <f>VLOOKUP(A243,Database!A:Q,MATCH($A$1,Database!$A$1:$Q$1,),)</f>
        <v>22695</v>
      </c>
      <c r="C243" s="15">
        <f t="shared" si="6"/>
        <v>-5.5648058890544212E-3</v>
      </c>
      <c r="D243" s="16">
        <f t="shared" si="7"/>
        <v>3.5828388863532637E-2</v>
      </c>
    </row>
    <row r="244" spans="1:4" x14ac:dyDescent="0.2">
      <c r="A244" s="14">
        <v>40817</v>
      </c>
      <c r="B244" s="18">
        <f>VLOOKUP(A244,Database!A:Q,MATCH($A$1,Database!$A$1:$Q$1,),)</f>
        <v>22830</v>
      </c>
      <c r="C244" s="15">
        <f t="shared" si="6"/>
        <v>5.9484467944481163E-3</v>
      </c>
      <c r="D244" s="16">
        <f t="shared" si="7"/>
        <v>3.1724511930585682E-2</v>
      </c>
    </row>
    <row r="245" spans="1:4" x14ac:dyDescent="0.2">
      <c r="A245" s="13">
        <v>40848</v>
      </c>
      <c r="B245" s="18">
        <f>VLOOKUP(A245,Database!A:Q,MATCH($A$1,Database!$A$1:$Q$1,),)</f>
        <v>22735</v>
      </c>
      <c r="C245" s="15">
        <f t="shared" si="6"/>
        <v>-4.1611914148050808E-3</v>
      </c>
      <c r="D245" s="16">
        <f t="shared" si="7"/>
        <v>2.502254283137962E-2</v>
      </c>
    </row>
    <row r="246" spans="1:4" x14ac:dyDescent="0.2">
      <c r="A246" s="14">
        <v>40878</v>
      </c>
      <c r="B246" s="18">
        <f>VLOOKUP(A246,Database!A:Q,MATCH($A$1,Database!$A$1:$Q$1,),)</f>
        <v>22677</v>
      </c>
      <c r="C246" s="15">
        <f t="shared" si="6"/>
        <v>-2.5511326149109301E-3</v>
      </c>
      <c r="D246" s="16">
        <f t="shared" si="7"/>
        <v>1.8184267241379309E-2</v>
      </c>
    </row>
    <row r="247" spans="1:4" x14ac:dyDescent="0.2">
      <c r="A247" s="13">
        <v>40909</v>
      </c>
      <c r="B247" s="18">
        <f>VLOOKUP(A247,Database!A:Q,MATCH($A$1,Database!$A$1:$Q$1,),)</f>
        <v>22973</v>
      </c>
      <c r="C247" s="15">
        <f t="shared" si="6"/>
        <v>1.3052872954976407E-2</v>
      </c>
      <c r="D247" s="16">
        <f t="shared" si="7"/>
        <v>1.2249394139678344E-2</v>
      </c>
    </row>
    <row r="248" spans="1:4" x14ac:dyDescent="0.2">
      <c r="A248" s="14">
        <v>40940</v>
      </c>
      <c r="B248" s="18">
        <f>VLOOKUP(A248,Database!A:Q,MATCH($A$1,Database!$A$1:$Q$1,),)</f>
        <v>22999</v>
      </c>
      <c r="C248" s="15">
        <f t="shared" si="6"/>
        <v>1.1317633743960301E-3</v>
      </c>
      <c r="D248" s="16">
        <f t="shared" si="7"/>
        <v>2.5459247369359728E-2</v>
      </c>
    </row>
    <row r="249" spans="1:4" x14ac:dyDescent="0.2">
      <c r="A249" s="13">
        <v>40969</v>
      </c>
      <c r="B249" s="18">
        <f>VLOOKUP(A249,Database!A:Q,MATCH($A$1,Database!$A$1:$Q$1,),)</f>
        <v>22945</v>
      </c>
      <c r="C249" s="15">
        <f t="shared" si="6"/>
        <v>-2.3479281707900345E-3</v>
      </c>
      <c r="D249" s="16">
        <f t="shared" si="7"/>
        <v>1.6930372734122234E-2</v>
      </c>
    </row>
    <row r="250" spans="1:4" x14ac:dyDescent="0.2">
      <c r="A250" s="14">
        <v>41000</v>
      </c>
      <c r="B250" s="18">
        <f>VLOOKUP(A250,Database!A:Q,MATCH($A$1,Database!$A$1:$Q$1,),)</f>
        <v>23045</v>
      </c>
      <c r="C250" s="15">
        <f t="shared" si="6"/>
        <v>4.3582479843103069E-3</v>
      </c>
      <c r="D250" s="16">
        <f t="shared" si="7"/>
        <v>2.6594796863863152E-2</v>
      </c>
    </row>
    <row r="251" spans="1:4" x14ac:dyDescent="0.2">
      <c r="A251" s="13">
        <v>41030</v>
      </c>
      <c r="B251" s="18">
        <f>VLOOKUP(A251,Database!A:Q,MATCH($A$1,Database!$A$1:$Q$1,),)</f>
        <v>22883</v>
      </c>
      <c r="C251" s="15">
        <f t="shared" si="6"/>
        <v>-7.0297244521588193E-3</v>
      </c>
      <c r="D251" s="16">
        <f t="shared" si="7"/>
        <v>1.2163835810332625E-2</v>
      </c>
    </row>
    <row r="252" spans="1:4" x14ac:dyDescent="0.2">
      <c r="A252" s="14">
        <v>41061</v>
      </c>
      <c r="B252" s="18">
        <f>VLOOKUP(A252,Database!A:Q,MATCH($A$1,Database!$A$1:$Q$1,),)</f>
        <v>22449</v>
      </c>
      <c r="C252" s="15">
        <f t="shared" si="6"/>
        <v>-1.8966044661976138E-2</v>
      </c>
      <c r="D252" s="16">
        <f t="shared" si="7"/>
        <v>-6.9889857123899678E-3</v>
      </c>
    </row>
    <row r="253" spans="1:4" x14ac:dyDescent="0.2">
      <c r="A253" s="13">
        <v>41091</v>
      </c>
      <c r="B253" s="18">
        <f>VLOOKUP(A253,Database!A:Q,MATCH($A$1,Database!$A$1:$Q$1,),)</f>
        <v>22793</v>
      </c>
      <c r="C253" s="15">
        <f t="shared" si="6"/>
        <v>1.5323622433070515E-2</v>
      </c>
      <c r="D253" s="16">
        <f t="shared" si="7"/>
        <v>2.8599084829285461E-3</v>
      </c>
    </row>
    <row r="254" spans="1:4" x14ac:dyDescent="0.2">
      <c r="A254" s="14">
        <v>41122</v>
      </c>
      <c r="B254" s="18">
        <f>VLOOKUP(A254,Database!A:Q,MATCH($A$1,Database!$A$1:$Q$1,),)</f>
        <v>22741</v>
      </c>
      <c r="C254" s="15">
        <f t="shared" si="6"/>
        <v>-2.281402184881323E-3</v>
      </c>
      <c r="D254" s="16">
        <f t="shared" si="7"/>
        <v>-3.5492069056173867E-3</v>
      </c>
    </row>
    <row r="255" spans="1:4" x14ac:dyDescent="0.2">
      <c r="A255" s="13">
        <v>41153</v>
      </c>
      <c r="B255" s="18">
        <f>VLOOKUP(A255,Database!A:Q,MATCH($A$1,Database!$A$1:$Q$1,),)</f>
        <v>22608</v>
      </c>
      <c r="C255" s="15">
        <f t="shared" si="6"/>
        <v>-5.8484675256145289E-3</v>
      </c>
      <c r="D255" s="16">
        <f t="shared" si="7"/>
        <v>-3.833443489755453E-3</v>
      </c>
    </row>
    <row r="256" spans="1:4" x14ac:dyDescent="0.2">
      <c r="A256" s="14">
        <v>41183</v>
      </c>
      <c r="B256" s="18">
        <f>VLOOKUP(A256,Database!A:Q,MATCH($A$1,Database!$A$1:$Q$1,),)</f>
        <v>22527</v>
      </c>
      <c r="C256" s="15">
        <f t="shared" si="6"/>
        <v>-3.5828025477707007E-3</v>
      </c>
      <c r="D256" s="16">
        <f t="shared" si="7"/>
        <v>-1.3272010512483574E-2</v>
      </c>
    </row>
    <row r="257" spans="1:4" x14ac:dyDescent="0.2">
      <c r="A257" s="13">
        <v>41214</v>
      </c>
      <c r="B257" s="18">
        <f>VLOOKUP(A257,Database!A:Q,MATCH($A$1,Database!$A$1:$Q$1,),)</f>
        <v>22661</v>
      </c>
      <c r="C257" s="15">
        <f t="shared" si="6"/>
        <v>5.9484174546100234E-3</v>
      </c>
      <c r="D257" s="16">
        <f t="shared" si="7"/>
        <v>-3.2548933362656698E-3</v>
      </c>
    </row>
    <row r="258" spans="1:4" x14ac:dyDescent="0.2">
      <c r="A258" s="14">
        <v>41244</v>
      </c>
      <c r="B258" s="18">
        <f>VLOOKUP(A258,Database!A:Q,MATCH($A$1,Database!$A$1:$Q$1,),)</f>
        <v>22898</v>
      </c>
      <c r="C258" s="15">
        <f t="shared" si="6"/>
        <v>1.0458496977185473E-2</v>
      </c>
      <c r="D258" s="16">
        <f t="shared" si="7"/>
        <v>9.7455571724654935E-3</v>
      </c>
    </row>
    <row r="259" spans="1:4" x14ac:dyDescent="0.2">
      <c r="A259" s="13">
        <v>41275</v>
      </c>
      <c r="B259" s="18">
        <f>VLOOKUP(A259,Database!A:Q,MATCH($A$1,Database!$A$1:$Q$1,),)</f>
        <v>23173</v>
      </c>
      <c r="C259" s="15">
        <f t="shared" si="6"/>
        <v>1.2009782513756661E-2</v>
      </c>
      <c r="D259" s="16">
        <f t="shared" si="7"/>
        <v>8.7058721107386924E-3</v>
      </c>
    </row>
    <row r="260" spans="1:4" x14ac:dyDescent="0.2">
      <c r="A260" s="14">
        <v>41306</v>
      </c>
      <c r="B260" s="18">
        <f>VLOOKUP(A260,Database!A:Q,MATCH($A$1,Database!$A$1:$Q$1,),)</f>
        <v>23008</v>
      </c>
      <c r="C260" s="15">
        <f t="shared" si="6"/>
        <v>-7.1203555862426101E-3</v>
      </c>
      <c r="D260" s="16">
        <f t="shared" si="7"/>
        <v>3.9132136179833904E-4</v>
      </c>
    </row>
    <row r="261" spans="1:4" x14ac:dyDescent="0.2">
      <c r="A261" s="13">
        <v>41334</v>
      </c>
      <c r="B261" s="18">
        <f>VLOOKUP(A261,Database!A:Q,MATCH($A$1,Database!$A$1:$Q$1,),)</f>
        <v>23049</v>
      </c>
      <c r="C261" s="15">
        <f t="shared" si="6"/>
        <v>1.7819888734353269E-3</v>
      </c>
      <c r="D261" s="16">
        <f t="shared" si="7"/>
        <v>4.5325779036827192E-3</v>
      </c>
    </row>
    <row r="262" spans="1:4" x14ac:dyDescent="0.2">
      <c r="A262" s="14">
        <v>41365</v>
      </c>
      <c r="B262" s="18">
        <f>VLOOKUP(A262,Database!A:Q,MATCH($A$1,Database!$A$1:$Q$1,),)</f>
        <v>22953</v>
      </c>
      <c r="C262" s="15">
        <f t="shared" si="6"/>
        <v>-4.165039698034622E-3</v>
      </c>
      <c r="D262" s="16">
        <f t="shared" si="7"/>
        <v>-3.9921891950531569E-3</v>
      </c>
    </row>
    <row r="263" spans="1:4" x14ac:dyDescent="0.2">
      <c r="A263" s="13">
        <v>41395</v>
      </c>
      <c r="B263" s="18">
        <f>VLOOKUP(A263,Database!A:Q,MATCH($A$1,Database!$A$1:$Q$1,),)</f>
        <v>23055</v>
      </c>
      <c r="C263" s="15">
        <f t="shared" si="6"/>
        <v>4.4438635472487257E-3</v>
      </c>
      <c r="D263" s="16">
        <f t="shared" si="7"/>
        <v>7.5164969628108199E-3</v>
      </c>
    </row>
    <row r="264" spans="1:4" x14ac:dyDescent="0.2">
      <c r="A264" s="14">
        <v>41426</v>
      </c>
      <c r="B264" s="18">
        <f>VLOOKUP(A264,Database!A:Q,MATCH($A$1,Database!$A$1:$Q$1,),)</f>
        <v>23043</v>
      </c>
      <c r="C264" s="15">
        <f t="shared" si="6"/>
        <v>-5.2049446974625896E-4</v>
      </c>
      <c r="D264" s="16">
        <f t="shared" si="7"/>
        <v>2.6459975945476413E-2</v>
      </c>
    </row>
    <row r="265" spans="1:4" x14ac:dyDescent="0.2">
      <c r="A265" s="13">
        <v>41456</v>
      </c>
      <c r="B265" s="18">
        <f>VLOOKUP(A265,Database!A:Q,MATCH($A$1,Database!$A$1:$Q$1,),)</f>
        <v>23308</v>
      </c>
      <c r="C265" s="15">
        <f t="shared" ref="C265:C320" si="8">(B265-B264)/B264</f>
        <v>1.1500238684199107E-2</v>
      </c>
      <c r="D265" s="16">
        <f t="shared" si="7"/>
        <v>2.2594656254113103E-2</v>
      </c>
    </row>
    <row r="266" spans="1:4" x14ac:dyDescent="0.2">
      <c r="A266" s="14">
        <v>41487</v>
      </c>
      <c r="B266" s="18">
        <f>VLOOKUP(A266,Database!A:Q,MATCH($A$1,Database!$A$1:$Q$1,),)</f>
        <v>23305</v>
      </c>
      <c r="C266" s="15">
        <f t="shared" si="8"/>
        <v>-1.2871117212974085E-4</v>
      </c>
      <c r="D266" s="16">
        <f t="shared" si="7"/>
        <v>2.4801020183808978E-2</v>
      </c>
    </row>
    <row r="267" spans="1:4" x14ac:dyDescent="0.2">
      <c r="A267" s="13">
        <v>41518</v>
      </c>
      <c r="B267" s="18">
        <f>VLOOKUP(A267,Database!A:Q,MATCH($A$1,Database!$A$1:$Q$1,),)</f>
        <v>23728</v>
      </c>
      <c r="C267" s="15">
        <f t="shared" si="8"/>
        <v>1.8150611456768932E-2</v>
      </c>
      <c r="D267" s="16">
        <f t="shared" si="7"/>
        <v>4.953998584571833E-2</v>
      </c>
    </row>
    <row r="268" spans="1:4" x14ac:dyDescent="0.2">
      <c r="A268" s="14">
        <v>41548</v>
      </c>
      <c r="B268" s="18">
        <f>VLOOKUP(A268,Database!A:Q,MATCH($A$1,Database!$A$1:$Q$1,),)</f>
        <v>23771</v>
      </c>
      <c r="C268" s="15">
        <f t="shared" si="8"/>
        <v>1.8122049898853675E-3</v>
      </c>
      <c r="D268" s="16">
        <f t="shared" si="7"/>
        <v>5.5222621742797531E-2</v>
      </c>
    </row>
    <row r="269" spans="1:4" x14ac:dyDescent="0.2">
      <c r="A269" s="13">
        <v>41579</v>
      </c>
      <c r="B269" s="18">
        <f>VLOOKUP(A269,Database!A:Q,MATCH($A$1,Database!$A$1:$Q$1,),)</f>
        <v>23772</v>
      </c>
      <c r="C269" s="15">
        <f t="shared" si="8"/>
        <v>4.2068066130999959E-5</v>
      </c>
      <c r="D269" s="16">
        <f t="shared" si="7"/>
        <v>4.9026962623008694E-2</v>
      </c>
    </row>
    <row r="270" spans="1:4" x14ac:dyDescent="0.2">
      <c r="A270" s="14">
        <v>41609</v>
      </c>
      <c r="B270" s="18">
        <f>VLOOKUP(A270,Database!A:Q,MATCH($A$1,Database!$A$1:$Q$1,),)</f>
        <v>23824</v>
      </c>
      <c r="C270" s="15">
        <f t="shared" si="8"/>
        <v>2.187447417129396E-3</v>
      </c>
      <c r="D270" s="16">
        <f t="shared" si="7"/>
        <v>4.0440213119049696E-2</v>
      </c>
    </row>
    <row r="271" spans="1:4" x14ac:dyDescent="0.2">
      <c r="A271" s="13">
        <v>41640</v>
      </c>
      <c r="B271" s="18">
        <f>VLOOKUP(A271,Database!A:Q,MATCH($A$1,Database!$A$1:$Q$1,),)</f>
        <v>23768</v>
      </c>
      <c r="C271" s="15">
        <f t="shared" si="8"/>
        <v>-2.3505708529214238E-3</v>
      </c>
      <c r="D271" s="16">
        <f t="shared" si="7"/>
        <v>2.5676433780693047E-2</v>
      </c>
    </row>
    <row r="272" spans="1:4" x14ac:dyDescent="0.2">
      <c r="A272" s="14">
        <v>41671</v>
      </c>
      <c r="B272" s="18">
        <f>VLOOKUP(A272,Database!A:Q,MATCH($A$1,Database!$A$1:$Q$1,),)</f>
        <v>23906</v>
      </c>
      <c r="C272" s="15">
        <f t="shared" si="8"/>
        <v>5.8061258835408955E-3</v>
      </c>
      <c r="D272" s="16">
        <f t="shared" si="7"/>
        <v>3.9029902642559108E-2</v>
      </c>
    </row>
    <row r="273" spans="1:4" x14ac:dyDescent="0.2">
      <c r="A273" s="13">
        <v>41699</v>
      </c>
      <c r="B273" s="18">
        <f>VLOOKUP(A273,Database!A:Q,MATCH($A$1,Database!$A$1:$Q$1,),)</f>
        <v>24053</v>
      </c>
      <c r="C273" s="15">
        <f t="shared" si="8"/>
        <v>6.1490839119886223E-3</v>
      </c>
      <c r="D273" s="16">
        <f t="shared" si="7"/>
        <v>4.3559373508612088E-2</v>
      </c>
    </row>
    <row r="274" spans="1:4" x14ac:dyDescent="0.2">
      <c r="A274" s="14">
        <v>41730</v>
      </c>
      <c r="B274" s="18">
        <f>VLOOKUP(A274,Database!A:Q,MATCH($A$1,Database!$A$1:$Q$1,),)</f>
        <v>24259</v>
      </c>
      <c r="C274" s="15">
        <f t="shared" si="8"/>
        <v>8.5644202386396702E-3</v>
      </c>
      <c r="D274" s="16">
        <f t="shared" si="7"/>
        <v>5.6898880320655251E-2</v>
      </c>
    </row>
    <row r="275" spans="1:4" x14ac:dyDescent="0.2">
      <c r="A275" s="13">
        <v>41760</v>
      </c>
      <c r="B275" s="18">
        <f>VLOOKUP(A275,Database!A:Q,MATCH($A$1,Database!$A$1:$Q$1,),)</f>
        <v>24594</v>
      </c>
      <c r="C275" s="15">
        <f t="shared" si="8"/>
        <v>1.3809307885733131E-2</v>
      </c>
      <c r="D275" s="16">
        <f t="shared" si="7"/>
        <v>6.6753415744957703E-2</v>
      </c>
    </row>
    <row r="276" spans="1:4" x14ac:dyDescent="0.2">
      <c r="A276" s="14">
        <v>41791</v>
      </c>
      <c r="B276" s="18">
        <f>VLOOKUP(A276,Database!A:Q,MATCH($A$1,Database!$A$1:$Q$1,),)</f>
        <v>24797</v>
      </c>
      <c r="C276" s="15">
        <f t="shared" si="8"/>
        <v>8.2540457022037897E-3</v>
      </c>
      <c r="D276" s="16">
        <f t="shared" ref="D276:D320" si="9">(B276-B264)/B264</f>
        <v>7.6118560951265027E-2</v>
      </c>
    </row>
    <row r="277" spans="1:4" x14ac:dyDescent="0.2">
      <c r="A277" s="13">
        <v>41821</v>
      </c>
      <c r="B277" s="18">
        <f>VLOOKUP(A277,Database!A:Q,MATCH($A$1,Database!$A$1:$Q$1,),)</f>
        <v>24813</v>
      </c>
      <c r="C277" s="15">
        <f t="shared" si="8"/>
        <v>6.4523934346896804E-4</v>
      </c>
      <c r="D277" s="16">
        <f t="shared" si="9"/>
        <v>6.4570104685086671E-2</v>
      </c>
    </row>
    <row r="278" spans="1:4" x14ac:dyDescent="0.2">
      <c r="A278" s="14">
        <v>41852</v>
      </c>
      <c r="B278" s="18">
        <f>VLOOKUP(A278,Database!A:Q,MATCH($A$1,Database!$A$1:$Q$1,),)</f>
        <v>24902</v>
      </c>
      <c r="C278" s="15">
        <f t="shared" si="8"/>
        <v>3.5868294845443922E-3</v>
      </c>
      <c r="D278" s="16">
        <f t="shared" si="9"/>
        <v>6.8526067367517707E-2</v>
      </c>
    </row>
    <row r="279" spans="1:4" x14ac:dyDescent="0.2">
      <c r="A279" s="13">
        <v>41883</v>
      </c>
      <c r="B279" s="18">
        <f>VLOOKUP(A279,Database!A:Q,MATCH($A$1,Database!$A$1:$Q$1,),)</f>
        <v>25046</v>
      </c>
      <c r="C279" s="15">
        <f t="shared" si="8"/>
        <v>5.782668058790459E-3</v>
      </c>
      <c r="D279" s="16">
        <f t="shared" si="9"/>
        <v>5.5546190155091033E-2</v>
      </c>
    </row>
    <row r="280" spans="1:4" x14ac:dyDescent="0.2">
      <c r="A280" s="14">
        <v>41913</v>
      </c>
      <c r="B280" s="18">
        <f>VLOOKUP(A280,Database!A:Q,MATCH($A$1,Database!$A$1:$Q$1,),)</f>
        <v>24962</v>
      </c>
      <c r="C280" s="15">
        <f t="shared" si="8"/>
        <v>-3.3538289547233092E-3</v>
      </c>
      <c r="D280" s="16">
        <f t="shared" si="9"/>
        <v>5.0103066762020948E-2</v>
      </c>
    </row>
    <row r="281" spans="1:4" x14ac:dyDescent="0.2">
      <c r="A281" s="13">
        <v>41944</v>
      </c>
      <c r="B281" s="18">
        <f>VLOOKUP(A281,Database!A:Q,MATCH($A$1,Database!$A$1:$Q$1,),)</f>
        <v>25064</v>
      </c>
      <c r="C281" s="15">
        <f t="shared" si="8"/>
        <v>4.0862110407819882E-3</v>
      </c>
      <c r="D281" s="16">
        <f t="shared" si="9"/>
        <v>5.4349655056368837E-2</v>
      </c>
    </row>
    <row r="282" spans="1:4" x14ac:dyDescent="0.2">
      <c r="A282" s="14">
        <v>41974</v>
      </c>
      <c r="B282" s="18">
        <f>VLOOKUP(A282,Database!A:Q,MATCH($A$1,Database!$A$1:$Q$1,),)</f>
        <v>25240</v>
      </c>
      <c r="C282" s="15">
        <f t="shared" si="8"/>
        <v>7.0220236195339932E-3</v>
      </c>
      <c r="D282" s="16">
        <f t="shared" si="9"/>
        <v>5.9435862995298856E-2</v>
      </c>
    </row>
    <row r="283" spans="1:4" x14ac:dyDescent="0.2">
      <c r="A283" s="13">
        <v>42005</v>
      </c>
      <c r="B283" s="18">
        <f>VLOOKUP(A283,Database!A:Q,MATCH($A$1,Database!$A$1:$Q$1,),)</f>
        <v>25440</v>
      </c>
      <c r="C283" s="15">
        <f t="shared" si="8"/>
        <v>7.9239302694136295E-3</v>
      </c>
      <c r="D283" s="16">
        <f t="shared" si="9"/>
        <v>7.0346684617973748E-2</v>
      </c>
    </row>
    <row r="284" spans="1:4" x14ac:dyDescent="0.2">
      <c r="A284" s="14">
        <v>42036</v>
      </c>
      <c r="B284" s="18">
        <f>VLOOKUP(A284,Database!A:Q,MATCH($A$1,Database!$A$1:$Q$1,),)</f>
        <v>25249</v>
      </c>
      <c r="C284" s="15">
        <f t="shared" si="8"/>
        <v>-7.5078616352201259E-3</v>
      </c>
      <c r="D284" s="16">
        <f t="shared" si="9"/>
        <v>5.6178365263950474E-2</v>
      </c>
    </row>
    <row r="285" spans="1:4" x14ac:dyDescent="0.2">
      <c r="A285" s="13">
        <v>42064</v>
      </c>
      <c r="B285" s="18">
        <f>VLOOKUP(A285,Database!A:Q,MATCH($A$1,Database!$A$1:$Q$1,),)</f>
        <v>25793</v>
      </c>
      <c r="C285" s="15">
        <f t="shared" si="8"/>
        <v>2.1545407738920355E-2</v>
      </c>
      <c r="D285" s="16">
        <f t="shared" si="9"/>
        <v>7.2340248617636049E-2</v>
      </c>
    </row>
    <row r="286" spans="1:4" x14ac:dyDescent="0.2">
      <c r="A286" s="14">
        <v>42095</v>
      </c>
      <c r="B286" s="18">
        <f>VLOOKUP(A286,Database!A:Q,MATCH($A$1,Database!$A$1:$Q$1,),)</f>
        <v>25393</v>
      </c>
      <c r="C286" s="15">
        <f t="shared" si="8"/>
        <v>-1.5508083588570542E-2</v>
      </c>
      <c r="D286" s="16">
        <f t="shared" si="9"/>
        <v>4.6745537738571249E-2</v>
      </c>
    </row>
    <row r="287" spans="1:4" x14ac:dyDescent="0.2">
      <c r="A287" s="13">
        <v>42125</v>
      </c>
      <c r="B287" s="18">
        <f>VLOOKUP(A287,Database!A:Q,MATCH($A$1,Database!$A$1:$Q$1,),)</f>
        <v>25348</v>
      </c>
      <c r="C287" s="15">
        <f t="shared" si="8"/>
        <v>-1.7721419288780373E-3</v>
      </c>
      <c r="D287" s="16">
        <f t="shared" si="9"/>
        <v>3.0657884036756934E-2</v>
      </c>
    </row>
    <row r="288" spans="1:4" x14ac:dyDescent="0.2">
      <c r="A288" s="14">
        <v>42156</v>
      </c>
      <c r="B288" s="18">
        <f>VLOOKUP(A288,Database!A:Q,MATCH($A$1,Database!$A$1:$Q$1,),)</f>
        <v>25534</v>
      </c>
      <c r="C288" s="15">
        <f t="shared" si="8"/>
        <v>7.3378570301404454E-3</v>
      </c>
      <c r="D288" s="16">
        <f t="shared" si="9"/>
        <v>2.972133725853934E-2</v>
      </c>
    </row>
    <row r="289" spans="1:4" x14ac:dyDescent="0.2">
      <c r="A289" s="13">
        <v>42186</v>
      </c>
      <c r="B289" s="18">
        <f>VLOOKUP(A289,Database!A:Q,MATCH($A$1,Database!$A$1:$Q$1,),)</f>
        <v>25783</v>
      </c>
      <c r="C289" s="15">
        <f t="shared" si="8"/>
        <v>9.751703610871779E-3</v>
      </c>
      <c r="D289" s="16">
        <f t="shared" si="9"/>
        <v>3.9092411236045621E-2</v>
      </c>
    </row>
    <row r="290" spans="1:4" x14ac:dyDescent="0.2">
      <c r="A290" s="14">
        <v>42217</v>
      </c>
      <c r="B290" s="18">
        <f>VLOOKUP(A290,Database!A:Q,MATCH($A$1,Database!$A$1:$Q$1,),)</f>
        <v>25955</v>
      </c>
      <c r="C290" s="15">
        <f t="shared" si="8"/>
        <v>6.6710623278904702E-3</v>
      </c>
      <c r="D290" s="16">
        <f t="shared" si="9"/>
        <v>4.2285760179905228E-2</v>
      </c>
    </row>
    <row r="291" spans="1:4" x14ac:dyDescent="0.2">
      <c r="A291" s="13">
        <v>42248</v>
      </c>
      <c r="B291" s="18">
        <f>VLOOKUP(A291,Database!A:Q,MATCH($A$1,Database!$A$1:$Q$1,),)</f>
        <v>26194</v>
      </c>
      <c r="C291" s="15">
        <f t="shared" si="8"/>
        <v>9.2082450394914278E-3</v>
      </c>
      <c r="D291" s="16">
        <f t="shared" si="9"/>
        <v>4.5835662381218556E-2</v>
      </c>
    </row>
    <row r="292" spans="1:4" x14ac:dyDescent="0.2">
      <c r="A292" s="14">
        <v>42278</v>
      </c>
      <c r="B292" s="18">
        <f>VLOOKUP(A292,Database!A:Q,MATCH($A$1,Database!$A$1:$Q$1,),)</f>
        <v>26043</v>
      </c>
      <c r="C292" s="15">
        <f t="shared" si="8"/>
        <v>-5.7646789341070474E-3</v>
      </c>
      <c r="D292" s="16">
        <f t="shared" si="9"/>
        <v>4.3305824853777743E-2</v>
      </c>
    </row>
    <row r="293" spans="1:4" x14ac:dyDescent="0.2">
      <c r="A293" s="13">
        <v>42309</v>
      </c>
      <c r="B293" s="18">
        <f>VLOOKUP(A293,Database!A:Q,MATCH($A$1,Database!$A$1:$Q$1,),)</f>
        <v>26210</v>
      </c>
      <c r="C293" s="15">
        <f t="shared" si="8"/>
        <v>6.4124716814499098E-3</v>
      </c>
      <c r="D293" s="16">
        <f t="shared" si="9"/>
        <v>4.5722949249920201E-2</v>
      </c>
    </row>
    <row r="294" spans="1:4" x14ac:dyDescent="0.2">
      <c r="A294" s="14">
        <v>42339</v>
      </c>
      <c r="B294" s="18">
        <f>VLOOKUP(A294,Database!A:Q,MATCH($A$1,Database!$A$1:$Q$1,),)</f>
        <v>26433</v>
      </c>
      <c r="C294" s="15">
        <f t="shared" si="8"/>
        <v>8.5082029759633721E-3</v>
      </c>
      <c r="D294" s="16">
        <f t="shared" si="9"/>
        <v>4.7266244057052299E-2</v>
      </c>
    </row>
    <row r="295" spans="1:4" x14ac:dyDescent="0.2">
      <c r="A295" s="13">
        <v>42370</v>
      </c>
      <c r="B295" s="18">
        <f>VLOOKUP(A295,Database!A:Q,MATCH($A$1,Database!$A$1:$Q$1,),)</f>
        <v>26247</v>
      </c>
      <c r="C295" s="15">
        <f t="shared" si="8"/>
        <v>-7.0366587220519802E-3</v>
      </c>
      <c r="D295" s="16">
        <f t="shared" si="9"/>
        <v>3.1721698113207547E-2</v>
      </c>
    </row>
    <row r="296" spans="1:4" x14ac:dyDescent="0.2">
      <c r="A296" s="14">
        <v>42401</v>
      </c>
      <c r="B296" s="18">
        <f>VLOOKUP(A296,Database!A:Q,MATCH($A$1,Database!$A$1:$Q$1,),)</f>
        <v>26787</v>
      </c>
      <c r="C296" s="15">
        <f t="shared" si="8"/>
        <v>2.0573779860555492E-2</v>
      </c>
      <c r="D296" s="16">
        <f t="shared" si="9"/>
        <v>6.0913303497168204E-2</v>
      </c>
    </row>
    <row r="297" spans="1:4" x14ac:dyDescent="0.2">
      <c r="A297" s="13">
        <v>42430</v>
      </c>
      <c r="B297" s="18">
        <f>VLOOKUP(A297,Database!A:Q,MATCH($A$1,Database!$A$1:$Q$1,),)</f>
        <v>26617</v>
      </c>
      <c r="C297" s="15">
        <f t="shared" si="8"/>
        <v>-6.3463620412886846E-3</v>
      </c>
      <c r="D297" s="16">
        <f t="shared" si="9"/>
        <v>3.1946652192455315E-2</v>
      </c>
    </row>
    <row r="298" spans="1:4" x14ac:dyDescent="0.2">
      <c r="A298" s="14">
        <v>42461</v>
      </c>
      <c r="B298" s="18">
        <f>VLOOKUP(A298,Database!A:Q,MATCH($A$1,Database!$A$1:$Q$1,),)</f>
        <v>26811</v>
      </c>
      <c r="C298" s="15">
        <f t="shared" si="8"/>
        <v>7.2885749708832704E-3</v>
      </c>
      <c r="D298" s="16">
        <f t="shared" si="9"/>
        <v>5.5842161225534599E-2</v>
      </c>
    </row>
    <row r="299" spans="1:4" x14ac:dyDescent="0.2">
      <c r="A299" s="13">
        <v>42491</v>
      </c>
      <c r="B299" s="18">
        <f>VLOOKUP(A299,Database!A:Q,MATCH($A$1,Database!$A$1:$Q$1,),)</f>
        <v>26722</v>
      </c>
      <c r="C299" s="15">
        <f t="shared" si="8"/>
        <v>-3.3195330274887174E-3</v>
      </c>
      <c r="D299" s="16">
        <f t="shared" si="9"/>
        <v>5.4205459996843931E-2</v>
      </c>
    </row>
    <row r="300" spans="1:4" x14ac:dyDescent="0.2">
      <c r="A300" s="14">
        <v>42522</v>
      </c>
      <c r="B300" s="18">
        <f>VLOOKUP(A300,Database!A:Q,MATCH($A$1,Database!$A$1:$Q$1,),)</f>
        <v>26892</v>
      </c>
      <c r="C300" s="15">
        <f t="shared" si="8"/>
        <v>6.3617992665219673E-3</v>
      </c>
      <c r="D300" s="16">
        <f t="shared" si="9"/>
        <v>5.3183989974152114E-2</v>
      </c>
    </row>
    <row r="301" spans="1:4" x14ac:dyDescent="0.2">
      <c r="A301" s="13">
        <v>42552</v>
      </c>
      <c r="B301" s="18">
        <f>VLOOKUP(A301,Database!A:Q,MATCH($A$1,Database!$A$1:$Q$1,),)</f>
        <v>26822</v>
      </c>
      <c r="C301" s="15">
        <f t="shared" si="8"/>
        <v>-2.6030046110367393E-3</v>
      </c>
      <c r="D301" s="16">
        <f t="shared" si="9"/>
        <v>4.029787068998953E-2</v>
      </c>
    </row>
    <row r="302" spans="1:4" x14ac:dyDescent="0.2">
      <c r="A302" s="14">
        <v>42583</v>
      </c>
      <c r="B302" s="18">
        <f>VLOOKUP(A302,Database!A:Q,MATCH($A$1,Database!$A$1:$Q$1,),)</f>
        <v>26747</v>
      </c>
      <c r="C302" s="15">
        <f t="shared" si="8"/>
        <v>-2.7962120647229884E-3</v>
      </c>
      <c r="D302" s="16">
        <f t="shared" si="9"/>
        <v>3.0514351762666155E-2</v>
      </c>
    </row>
    <row r="303" spans="1:4" x14ac:dyDescent="0.2">
      <c r="A303" s="13">
        <v>42614</v>
      </c>
      <c r="B303" s="18">
        <f>VLOOKUP(A303,Database!A:Q,MATCH($A$1,Database!$A$1:$Q$1,),)</f>
        <v>26683</v>
      </c>
      <c r="C303" s="15">
        <f t="shared" si="8"/>
        <v>-2.3927917149586869E-3</v>
      </c>
      <c r="D303" s="16">
        <f t="shared" si="9"/>
        <v>1.8668397342902956E-2</v>
      </c>
    </row>
    <row r="304" spans="1:4" x14ac:dyDescent="0.2">
      <c r="A304" s="14">
        <v>42644</v>
      </c>
      <c r="B304" s="18">
        <f>VLOOKUP(A304,Database!A:Q,MATCH($A$1,Database!$A$1:$Q$1,),)</f>
        <v>25885</v>
      </c>
      <c r="C304" s="15">
        <f t="shared" si="8"/>
        <v>-2.9906682157178729E-2</v>
      </c>
      <c r="D304" s="16">
        <f t="shared" si="9"/>
        <v>-6.0668893752639863E-3</v>
      </c>
    </row>
    <row r="305" spans="1:4" x14ac:dyDescent="0.2">
      <c r="A305" s="13">
        <v>42675</v>
      </c>
      <c r="B305" s="18">
        <f>VLOOKUP(A305,Database!A:Q,MATCH($A$1,Database!$A$1:$Q$1,),)</f>
        <v>26114</v>
      </c>
      <c r="C305" s="15">
        <f t="shared" si="8"/>
        <v>8.8468224840641298E-3</v>
      </c>
      <c r="D305" s="16">
        <f t="shared" si="9"/>
        <v>-3.6627241510873714E-3</v>
      </c>
    </row>
    <row r="306" spans="1:4" x14ac:dyDescent="0.2">
      <c r="A306" s="14">
        <v>42705</v>
      </c>
      <c r="B306" s="18">
        <f>VLOOKUP(A306,Database!A:Q,MATCH($A$1,Database!$A$1:$Q$1,),)</f>
        <v>26179</v>
      </c>
      <c r="C306" s="15">
        <f t="shared" si="8"/>
        <v>2.4890863138546373E-3</v>
      </c>
      <c r="D306" s="16">
        <f t="shared" si="9"/>
        <v>-9.6092006204365754E-3</v>
      </c>
    </row>
    <row r="307" spans="1:4" x14ac:dyDescent="0.2">
      <c r="A307" s="13">
        <v>42736</v>
      </c>
      <c r="B307" s="18">
        <f>VLOOKUP(A307,Database!A:Q,MATCH($A$1,Database!$A$1:$Q$1,),)</f>
        <v>26160</v>
      </c>
      <c r="C307" s="15">
        <f t="shared" si="8"/>
        <v>-7.2577256579701283E-4</v>
      </c>
      <c r="D307" s="16">
        <f t="shared" si="9"/>
        <v>-3.3146645330894959E-3</v>
      </c>
    </row>
    <row r="308" spans="1:4" x14ac:dyDescent="0.2">
      <c r="A308" s="14">
        <v>42767</v>
      </c>
      <c r="B308" s="18">
        <f>VLOOKUP(A308,Database!A:Q,MATCH($A$1,Database!$A$1:$Q$1,),)</f>
        <v>26436</v>
      </c>
      <c r="C308" s="15">
        <f t="shared" si="8"/>
        <v>1.0550458715596331E-2</v>
      </c>
      <c r="D308" s="16">
        <f t="shared" si="9"/>
        <v>-1.3103371038190167E-2</v>
      </c>
    </row>
    <row r="309" spans="1:4" x14ac:dyDescent="0.2">
      <c r="A309" s="13">
        <v>42795</v>
      </c>
      <c r="B309" s="18">
        <f>VLOOKUP(A309,Database!A:Q,MATCH($A$1,Database!$A$1:$Q$1,),)</f>
        <v>26569</v>
      </c>
      <c r="C309" s="15">
        <f t="shared" si="8"/>
        <v>5.0310183083673776E-3</v>
      </c>
      <c r="D309" s="16">
        <f t="shared" si="9"/>
        <v>-1.8033587556824586E-3</v>
      </c>
    </row>
    <row r="310" spans="1:4" x14ac:dyDescent="0.2">
      <c r="A310" s="14">
        <v>42826</v>
      </c>
      <c r="B310" s="18">
        <f>VLOOKUP(A310,Database!A:Q,MATCH($A$1,Database!$A$1:$Q$1,),)</f>
        <v>26755</v>
      </c>
      <c r="C310" s="15">
        <f t="shared" si="8"/>
        <v>7.0006398434265494E-3</v>
      </c>
      <c r="D310" s="16">
        <f t="shared" si="9"/>
        <v>-2.088694938644586E-3</v>
      </c>
    </row>
    <row r="311" spans="1:4" x14ac:dyDescent="0.2">
      <c r="A311" s="13">
        <v>42856</v>
      </c>
      <c r="B311" s="18">
        <f>VLOOKUP(A311,Database!A:Q,MATCH($A$1,Database!$A$1:$Q$1,),)</f>
        <v>26761</v>
      </c>
      <c r="C311" s="15">
        <f t="shared" si="8"/>
        <v>2.2425714819659877E-4</v>
      </c>
      <c r="D311" s="16">
        <f t="shared" si="9"/>
        <v>1.4594715964373925E-3</v>
      </c>
    </row>
    <row r="312" spans="1:4" x14ac:dyDescent="0.2">
      <c r="A312" s="14">
        <v>42887</v>
      </c>
      <c r="B312" s="18">
        <f>VLOOKUP(A312,Database!A:Q,MATCH($A$1,Database!$A$1:$Q$1,),)</f>
        <v>26983</v>
      </c>
      <c r="C312" s="15">
        <f t="shared" si="8"/>
        <v>8.2956541235379849E-3</v>
      </c>
      <c r="D312" s="16">
        <f t="shared" si="9"/>
        <v>3.3839059943477612E-3</v>
      </c>
    </row>
    <row r="313" spans="1:4" x14ac:dyDescent="0.2">
      <c r="A313" s="13">
        <v>42917</v>
      </c>
      <c r="B313" s="18">
        <f>VLOOKUP(A313,Database!A:Q,MATCH($A$1,Database!$A$1:$Q$1,),)</f>
        <v>27020</v>
      </c>
      <c r="C313" s="15">
        <f t="shared" si="8"/>
        <v>1.3712337397620725E-3</v>
      </c>
      <c r="D313" s="16">
        <f t="shared" si="9"/>
        <v>7.3819998508686899E-3</v>
      </c>
    </row>
    <row r="314" spans="1:4" x14ac:dyDescent="0.2">
      <c r="A314" s="14">
        <v>42948</v>
      </c>
      <c r="B314" s="18">
        <f>VLOOKUP(A314,Database!A:Q,MATCH($A$1,Database!$A$1:$Q$1,),)</f>
        <v>27336</v>
      </c>
      <c r="C314" s="15">
        <f t="shared" si="8"/>
        <v>1.1695040710584753E-2</v>
      </c>
      <c r="D314" s="16">
        <f t="shared" si="9"/>
        <v>2.2021161251729166E-2</v>
      </c>
    </row>
    <row r="315" spans="1:4" x14ac:dyDescent="0.2">
      <c r="A315" s="13">
        <v>42979</v>
      </c>
      <c r="B315" s="18">
        <f>VLOOKUP(A315,Database!A:Q,MATCH($A$1,Database!$A$1:$Q$1,),)</f>
        <v>27372</v>
      </c>
      <c r="C315" s="15">
        <f t="shared" si="8"/>
        <v>1.3169446883230904E-3</v>
      </c>
      <c r="D315" s="16">
        <f t="shared" si="9"/>
        <v>2.582168421841622E-2</v>
      </c>
    </row>
    <row r="316" spans="1:4" x14ac:dyDescent="0.2">
      <c r="A316" s="14">
        <v>43009</v>
      </c>
      <c r="B316" s="18">
        <f>VLOOKUP(A316,Database!A:Q,MATCH($A$1,Database!$A$1:$Q$1,),)</f>
        <v>27568</v>
      </c>
      <c r="C316" s="15">
        <f t="shared" si="8"/>
        <v>7.1606020751132544E-3</v>
      </c>
      <c r="D316" s="16">
        <f t="shared" si="9"/>
        <v>6.5018350395982236E-2</v>
      </c>
    </row>
    <row r="317" spans="1:4" x14ac:dyDescent="0.2">
      <c r="A317" s="13">
        <v>43040</v>
      </c>
      <c r="B317" s="18">
        <f>VLOOKUP(A317,Database!A:Q,MATCH($A$1,Database!$A$1:$Q$1,),)</f>
        <v>27763</v>
      </c>
      <c r="C317" s="15">
        <f t="shared" si="8"/>
        <v>7.0734184561810796E-3</v>
      </c>
      <c r="D317" s="16">
        <f t="shared" si="9"/>
        <v>6.3146205100712255E-2</v>
      </c>
    </row>
    <row r="318" spans="1:4" x14ac:dyDescent="0.2">
      <c r="A318" s="14">
        <v>43070</v>
      </c>
      <c r="B318" s="18">
        <f>VLOOKUP(A318,Database!A:Q,MATCH($A$1,Database!$A$1:$Q$1,),)</f>
        <v>27669</v>
      </c>
      <c r="C318" s="15">
        <f t="shared" si="8"/>
        <v>-3.3858012462630121E-3</v>
      </c>
      <c r="D318" s="16">
        <f t="shared" si="9"/>
        <v>5.6915848580923641E-2</v>
      </c>
    </row>
    <row r="319" spans="1:4" x14ac:dyDescent="0.2">
      <c r="A319" s="13">
        <v>43101</v>
      </c>
      <c r="B319" s="18">
        <f>VLOOKUP(A319,Database!A:Q,MATCH($A$1,Database!$A$1:$Q$1,),)</f>
        <v>27671</v>
      </c>
      <c r="C319" s="15">
        <f t="shared" si="8"/>
        <v>7.2283060464780073E-5</v>
      </c>
      <c r="D319" s="16">
        <f t="shared" si="9"/>
        <v>5.7759938837920487E-2</v>
      </c>
    </row>
    <row r="320" spans="1:4" x14ac:dyDescent="0.2">
      <c r="A320" s="14">
        <v>43132</v>
      </c>
      <c r="B320" s="18">
        <f>VLOOKUP(A320,Database!A:Q,MATCH($A$1,Database!$A$1:$Q$1,),)</f>
        <v>27510</v>
      </c>
      <c r="C320" s="15">
        <f t="shared" si="8"/>
        <v>-5.8183657981280045E-3</v>
      </c>
      <c r="D320" s="16">
        <f t="shared" si="9"/>
        <v>4.0626418520199728E-2</v>
      </c>
    </row>
    <row r="321" spans="1:4" x14ac:dyDescent="0.2">
      <c r="A321" s="13">
        <v>43160</v>
      </c>
      <c r="B321" s="18">
        <f>VLOOKUP(A321,Database!A:Q,MATCH($A$1,Database!$A$1:$Q$1,),)</f>
        <v>27674</v>
      </c>
      <c r="C321" s="15">
        <f t="shared" ref="C321:C322" si="10">(B321-B320)/B320</f>
        <v>5.9614685568884045E-3</v>
      </c>
      <c r="D321" s="16">
        <f t="shared" ref="D321:D322" si="11">(B321-B309)/B309</f>
        <v>4.1589822725733E-2</v>
      </c>
    </row>
    <row r="322" spans="1:4" x14ac:dyDescent="0.2">
      <c r="A322" s="14">
        <v>43191</v>
      </c>
      <c r="B322" s="18">
        <f>VLOOKUP(A322,Database!A:Q,MATCH($A$1,Database!$A$1:$Q$1,),)</f>
        <v>27937</v>
      </c>
      <c r="C322" s="15">
        <f t="shared" si="10"/>
        <v>9.5035050950350516E-3</v>
      </c>
      <c r="D322" s="16">
        <f t="shared" si="11"/>
        <v>4.4178658194729957E-2</v>
      </c>
    </row>
    <row r="323" spans="1:4" x14ac:dyDescent="0.2">
      <c r="A323" s="13">
        <v>43221</v>
      </c>
      <c r="B323" s="18">
        <f>VLOOKUP(A323,Database!A:Q,MATCH($A$1,Database!$A$1:$Q$1,),)</f>
        <v>28309</v>
      </c>
      <c r="C323" s="15">
        <f t="shared" ref="C323:C324" si="12">(B323-B322)/B322</f>
        <v>1.3315674553459569E-2</v>
      </c>
      <c r="D323" s="16">
        <f t="shared" ref="D323:D324" si="13">(B323-B311)/B311</f>
        <v>5.7845371996562159E-2</v>
      </c>
    </row>
    <row r="324" spans="1:4" x14ac:dyDescent="0.2">
      <c r="A324" s="14">
        <v>43252</v>
      </c>
      <c r="B324" s="18">
        <f>VLOOKUP(A324,Database!A:Q,MATCH($A$1,Database!$A$1:$Q$1,),)</f>
        <v>28076</v>
      </c>
      <c r="C324" s="15">
        <f t="shared" si="12"/>
        <v>-8.2305980430251863E-3</v>
      </c>
      <c r="D324" s="16">
        <f t="shared" si="13"/>
        <v>4.0506985879998521E-2</v>
      </c>
    </row>
    <row r="325" spans="1:4" x14ac:dyDescent="0.2">
      <c r="A325" s="13">
        <v>43282</v>
      </c>
      <c r="B325" s="18">
        <f>VLOOKUP(A325,Database!A:Q,MATCH($A$1,Database!$A$1:$Q$1,),)</f>
        <v>28258</v>
      </c>
      <c r="C325" s="15">
        <f t="shared" ref="C325:C326" si="14">(B325-B324)/B324</f>
        <v>6.4824049009830458E-3</v>
      </c>
      <c r="D325" s="16">
        <f t="shared" ref="D325:D326" si="15">(B325-B313)/B313</f>
        <v>4.5817912657290898E-2</v>
      </c>
    </row>
    <row r="326" spans="1:4" x14ac:dyDescent="0.2">
      <c r="A326" s="14">
        <v>43313</v>
      </c>
      <c r="B326" s="18">
        <f>VLOOKUP(A326,Database!A:Q,MATCH($A$1,Database!$A$1:$Q$1,),)</f>
        <v>28533</v>
      </c>
      <c r="C326" s="15">
        <f t="shared" si="14"/>
        <v>9.7317573784415027E-3</v>
      </c>
      <c r="D326" s="16">
        <f t="shared" si="15"/>
        <v>4.3788410886742755E-2</v>
      </c>
    </row>
    <row r="327" spans="1:4" x14ac:dyDescent="0.2">
      <c r="A327" s="13">
        <v>43344</v>
      </c>
      <c r="B327" s="18">
        <f>VLOOKUP(A327,Database!A:Q,MATCH($A$1,Database!$A$1:$Q$1,),)</f>
        <v>28319</v>
      </c>
      <c r="C327" s="15">
        <f t="shared" ref="C327:C328" si="16">(B327-B326)/B326</f>
        <v>-7.5000876178460026E-3</v>
      </c>
      <c r="D327" s="16">
        <f t="shared" ref="D327:D328" si="17">(B327-B315)/B315</f>
        <v>3.4597398801695163E-2</v>
      </c>
    </row>
    <row r="328" spans="1:4" x14ac:dyDescent="0.2">
      <c r="A328" s="14">
        <v>43374</v>
      </c>
      <c r="B328" s="18">
        <f>VLOOKUP(A328,Database!A:Q,MATCH($A$1,Database!$A$1:$Q$1,),)</f>
        <v>28555</v>
      </c>
      <c r="C328" s="15">
        <f t="shared" si="16"/>
        <v>8.3336275998446268E-3</v>
      </c>
      <c r="D328" s="16">
        <f t="shared" si="17"/>
        <v>3.5802379570516539E-2</v>
      </c>
    </row>
    <row r="329" spans="1:4" x14ac:dyDescent="0.2">
      <c r="A329" s="13">
        <v>43405</v>
      </c>
      <c r="B329" s="18">
        <f>VLOOKUP(A329,Database!A:Q,MATCH($A$1,Database!$A$1:$Q$1,),)</f>
        <v>29077</v>
      </c>
      <c r="C329" s="15">
        <f t="shared" ref="C329:C330" si="18">(B329-B328)/B328</f>
        <v>1.8280511293994047E-2</v>
      </c>
      <c r="D329" s="16">
        <f t="shared" ref="D329:D330" si="19">(B329-B317)/B317</f>
        <v>4.732917912329359E-2</v>
      </c>
    </row>
    <row r="330" spans="1:4" x14ac:dyDescent="0.2">
      <c r="A330" s="14">
        <v>43435</v>
      </c>
      <c r="B330" s="18">
        <f>VLOOKUP(A330,Database!A:Q,MATCH($A$1,Database!$A$1:$Q$1,),)</f>
        <v>27944</v>
      </c>
      <c r="C330" s="15">
        <f t="shared" si="18"/>
        <v>-3.8965505382260894E-2</v>
      </c>
      <c r="D330" s="16">
        <f t="shared" si="19"/>
        <v>9.9389208139072614E-3</v>
      </c>
    </row>
    <row r="331" spans="1:4" x14ac:dyDescent="0.2">
      <c r="A331" s="13">
        <v>43466</v>
      </c>
      <c r="B331" s="18">
        <f>VLOOKUP(A331,Database!A:Q,MATCH($A$1,Database!$A$1:$Q$1,),)</f>
        <v>28639</v>
      </c>
      <c r="C331" s="15">
        <f t="shared" ref="C331:C332" si="20">(B331-B330)/B330</f>
        <v>2.4871170913255081E-2</v>
      </c>
      <c r="D331" s="16">
        <f t="shared" ref="D331:D332" si="21">(B331-B319)/B319</f>
        <v>3.4982472624769612E-2</v>
      </c>
    </row>
    <row r="332" spans="1:4" x14ac:dyDescent="0.2">
      <c r="A332" s="14">
        <v>43497</v>
      </c>
      <c r="B332" s="18">
        <f>VLOOKUP(A332,Database!A:Q,MATCH($A$1,Database!$A$1:$Q$1,),)</f>
        <v>28756</v>
      </c>
      <c r="C332" s="15">
        <f t="shared" si="20"/>
        <v>4.0853381752156154E-3</v>
      </c>
      <c r="D332" s="16">
        <f t="shared" si="21"/>
        <v>4.5292620865139951E-2</v>
      </c>
    </row>
    <row r="333" spans="1:4" x14ac:dyDescent="0.2">
      <c r="A333" s="13">
        <v>43525</v>
      </c>
      <c r="B333" s="18">
        <f>VLOOKUP(A333,Database!A:Q,MATCH($A$1,Database!$A$1:$Q$1,),)</f>
        <v>28700</v>
      </c>
      <c r="C333" s="15">
        <f t="shared" ref="C333:C334" si="22">(B333-B332)/B332</f>
        <v>-1.9474196689386564E-3</v>
      </c>
      <c r="D333" s="16">
        <f t="shared" ref="D333:D334" si="23">(B333-B321)/B321</f>
        <v>3.7074510370745106E-2</v>
      </c>
    </row>
    <row r="334" spans="1:4" x14ac:dyDescent="0.2">
      <c r="A334" s="14">
        <v>43556</v>
      </c>
      <c r="B334" s="18">
        <f>VLOOKUP(A334,Database!A:Q,MATCH($A$1,Database!$A$1:$Q$1,),)</f>
        <v>28545</v>
      </c>
      <c r="C334" s="15">
        <f t="shared" si="22"/>
        <v>-5.4006968641114985E-3</v>
      </c>
      <c r="D334" s="16">
        <f t="shared" si="23"/>
        <v>2.1763253033611339E-2</v>
      </c>
    </row>
    <row r="335" spans="1:4" x14ac:dyDescent="0.2">
      <c r="A335" s="13">
        <v>43586</v>
      </c>
      <c r="B335" s="18">
        <f>VLOOKUP(A335,Database!A:Q,MATCH($A$1,Database!$A$1:$Q$1,),)</f>
        <v>28684</v>
      </c>
      <c r="C335" s="15">
        <f t="shared" ref="C335:C336" si="24">(B335-B334)/B334</f>
        <v>4.8695042914696091E-3</v>
      </c>
      <c r="D335" s="16">
        <f t="shared" ref="D335:D336" si="25">(B335-B323)/B323</f>
        <v>1.3246670670104913E-2</v>
      </c>
    </row>
    <row r="336" spans="1:4" x14ac:dyDescent="0.2">
      <c r="A336" s="14">
        <v>43617</v>
      </c>
      <c r="B336" s="18">
        <f>VLOOKUP(A336,Database!A:Q,MATCH($A$1,Database!$A$1:$Q$1,),)</f>
        <v>28615</v>
      </c>
      <c r="C336" s="15">
        <f t="shared" si="24"/>
        <v>-2.4055222423650818E-3</v>
      </c>
      <c r="D336" s="16">
        <f t="shared" si="25"/>
        <v>1.9197891437526714E-2</v>
      </c>
    </row>
    <row r="337" spans="1:4" x14ac:dyDescent="0.2">
      <c r="A337" s="13">
        <v>43647</v>
      </c>
      <c r="B337" s="18">
        <f>VLOOKUP(A337,Database!A:Q,MATCH($A$1,Database!$A$1:$Q$1,),)</f>
        <v>28398</v>
      </c>
      <c r="C337" s="15">
        <f t="shared" ref="C337:C338" si="26">(B337-B336)/B336</f>
        <v>-7.5834352612266292E-3</v>
      </c>
      <c r="D337" s="16">
        <f t="shared" ref="D337:D338" si="27">(B337-B325)/B325</f>
        <v>4.9543492108429475E-3</v>
      </c>
    </row>
    <row r="338" spans="1:4" x14ac:dyDescent="0.2">
      <c r="A338" s="14">
        <v>43678</v>
      </c>
      <c r="B338" s="18">
        <f>VLOOKUP(A338,Database!A:Q,MATCH($A$1,Database!$A$1:$Q$1,),)</f>
        <v>28414</v>
      </c>
      <c r="C338" s="15">
        <f t="shared" si="26"/>
        <v>5.6341995915205293E-4</v>
      </c>
      <c r="D338" s="16">
        <f t="shared" si="27"/>
        <v>-4.1706094697367959E-3</v>
      </c>
    </row>
    <row r="339" spans="1:4" x14ac:dyDescent="0.2">
      <c r="A339" s="13">
        <v>43709</v>
      </c>
      <c r="B339" s="18">
        <f>VLOOKUP(A339,Database!A:Q,MATCH($A$1,Database!$A$1:$Q$1,),)</f>
        <v>28434</v>
      </c>
      <c r="C339" s="15">
        <f t="shared" ref="C339:C340" si="28">(B339-B338)/B338</f>
        <v>7.0387836981769547E-4</v>
      </c>
      <c r="D339" s="16">
        <f t="shared" ref="D339:D340" si="29">(B339-B327)/B327</f>
        <v>4.0608778558564925E-3</v>
      </c>
    </row>
    <row r="340" spans="1:4" x14ac:dyDescent="0.2">
      <c r="A340" s="14">
        <v>43739</v>
      </c>
      <c r="B340" s="18">
        <f>VLOOKUP(A340,Database!A:Q,MATCH($A$1,Database!$A$1:$Q$1,),)</f>
        <v>28718</v>
      </c>
      <c r="C340" s="15">
        <f t="shared" si="28"/>
        <v>9.9880424843497226E-3</v>
      </c>
      <c r="D340" s="16">
        <f t="shared" si="29"/>
        <v>5.7082822623008228E-3</v>
      </c>
    </row>
    <row r="341" spans="1:4" x14ac:dyDescent="0.2">
      <c r="A341" s="13">
        <v>43770</v>
      </c>
      <c r="B341" s="18">
        <f>VLOOKUP(A341,Database!A:Q,MATCH($A$1,Database!$A$1:$Q$1,),)</f>
        <v>28499</v>
      </c>
      <c r="C341" s="15">
        <f t="shared" ref="C341:C342" si="30">(B341-B340)/B340</f>
        <v>-7.6258792395013583E-3</v>
      </c>
      <c r="D341" s="16">
        <f t="shared" ref="D341:D342" si="31">(B341-B329)/B329</f>
        <v>-1.9878254290332565E-2</v>
      </c>
    </row>
    <row r="342" spans="1:4" x14ac:dyDescent="0.2">
      <c r="A342" s="14">
        <v>43800</v>
      </c>
      <c r="B342" s="18">
        <f>VLOOKUP(A342,Database!A:Q,MATCH($A$1,Database!$A$1:$Q$1,),)</f>
        <v>28359</v>
      </c>
      <c r="C342" s="15">
        <f t="shared" si="30"/>
        <v>-4.9124530685287207E-3</v>
      </c>
      <c r="D342" s="16">
        <f t="shared" si="31"/>
        <v>1.485113083309476E-2</v>
      </c>
    </row>
    <row r="343" spans="1:4" x14ac:dyDescent="0.2">
      <c r="A343" s="13">
        <v>43831</v>
      </c>
      <c r="B343" s="18">
        <f>VLOOKUP(A343,Database!A:Q,MATCH($A$1,Database!$A$1:$Q$1,),)</f>
        <v>28872</v>
      </c>
      <c r="C343" s="15">
        <f t="shared" ref="C343:C344" si="32">(B343-B342)/B342</f>
        <v>1.8089495398286259E-2</v>
      </c>
      <c r="D343" s="16">
        <f t="shared" ref="D343:D344" si="33">(B343-B331)/B331</f>
        <v>8.1357589301302418E-3</v>
      </c>
    </row>
    <row r="344" spans="1:4" x14ac:dyDescent="0.2">
      <c r="A344" s="14">
        <v>43862</v>
      </c>
      <c r="B344" s="18">
        <f>VLOOKUP(A344,Database!A:Q,MATCH($A$1,Database!$A$1:$Q$1,),)</f>
        <v>29064</v>
      </c>
      <c r="C344" s="15">
        <f t="shared" si="32"/>
        <v>6.6500415627597674E-3</v>
      </c>
      <c r="D344" s="16">
        <f t="shared" si="33"/>
        <v>1.0710808179162609E-2</v>
      </c>
    </row>
    <row r="345" spans="1:4" x14ac:dyDescent="0.2">
      <c r="A345" s="13">
        <v>43891</v>
      </c>
      <c r="B345" s="18">
        <f>VLOOKUP(A345,Database!A:Q,MATCH($A$1,Database!$A$1:$Q$1,),)</f>
        <v>30492</v>
      </c>
      <c r="C345" s="15">
        <f t="shared" ref="C345:C346" si="34">(B345-B344)/B344</f>
        <v>4.9132947976878616E-2</v>
      </c>
      <c r="D345" s="16">
        <f t="shared" ref="D345:D346" si="35">(B345-B333)/B333</f>
        <v>6.2439024390243902E-2</v>
      </c>
    </row>
    <row r="346" spans="1:4" x14ac:dyDescent="0.2">
      <c r="A346" s="14">
        <v>43922</v>
      </c>
      <c r="B346" s="18">
        <f>VLOOKUP(A346,Database!A:Q,MATCH($A$1,Database!$A$1:$Q$1,),)</f>
        <v>25958</v>
      </c>
      <c r="C346" s="15">
        <f t="shared" si="34"/>
        <v>-0.14869473960383051</v>
      </c>
      <c r="D346" s="16">
        <f t="shared" si="35"/>
        <v>-9.0628831669294099E-2</v>
      </c>
    </row>
    <row r="347" spans="1:4" x14ac:dyDescent="0.2">
      <c r="A347" s="13">
        <v>43952</v>
      </c>
      <c r="B347" s="18">
        <f>VLOOKUP(A347,Database!A:Q,MATCH($A$1,Database!$A$1:$Q$1,),)</f>
        <v>26251</v>
      </c>
      <c r="C347" s="15">
        <f t="shared" ref="C347:C348" si="36">(B347-B346)/B346</f>
        <v>1.1287464365513521E-2</v>
      </c>
      <c r="D347" s="16">
        <f t="shared" ref="D347:D348" si="37">(B347-B335)/B335</f>
        <v>-8.4820806024264395E-2</v>
      </c>
    </row>
    <row r="348" spans="1:4" x14ac:dyDescent="0.2">
      <c r="A348" s="14">
        <v>43983</v>
      </c>
      <c r="B348" s="18">
        <f>VLOOKUP(A348,Database!A:Q,MATCH($A$1,Database!$A$1:$Q$1,),)</f>
        <v>28336</v>
      </c>
      <c r="C348" s="15">
        <f t="shared" si="36"/>
        <v>7.9425545693497385E-2</v>
      </c>
      <c r="D348" s="16">
        <f t="shared" si="37"/>
        <v>-9.7501310501485229E-3</v>
      </c>
    </row>
    <row r="349" spans="1:4" x14ac:dyDescent="0.2">
      <c r="A349" s="13">
        <v>44013</v>
      </c>
      <c r="B349" s="18">
        <f>VLOOKUP(A349,Database!A:Q,MATCH($A$1,Database!$A$1:$Q$1,),)</f>
        <v>29811</v>
      </c>
      <c r="C349" s="15">
        <f t="shared" ref="C349:C350" si="38">(B349-B348)/B348</f>
        <v>5.2053924336533032E-2</v>
      </c>
      <c r="D349" s="16">
        <f t="shared" ref="D349:D350" si="39">(B349-B337)/B337</f>
        <v>4.975702514261568E-2</v>
      </c>
    </row>
    <row r="350" spans="1:4" x14ac:dyDescent="0.2">
      <c r="A350" s="14">
        <v>44044</v>
      </c>
      <c r="B350" s="18">
        <f>VLOOKUP(A350,Database!A:Q,MATCH($A$1,Database!$A$1:$Q$1,),)</f>
        <v>29599</v>
      </c>
      <c r="C350" s="15">
        <f t="shared" si="38"/>
        <v>-7.1114689208681362E-3</v>
      </c>
      <c r="D350" s="16">
        <f t="shared" si="39"/>
        <v>4.1704793411698457E-2</v>
      </c>
    </row>
    <row r="351" spans="1:4" x14ac:dyDescent="0.2">
      <c r="A351" s="13">
        <v>44075</v>
      </c>
      <c r="B351" s="18">
        <f>VLOOKUP(A351,Database!A:Q,MATCH($A$1,Database!$A$1:$Q$1,),)</f>
        <v>29972</v>
      </c>
      <c r="C351" s="15">
        <f t="shared" ref="C351:C352" si="40">(B351-B350)/B350</f>
        <v>1.2601777087063752E-2</v>
      </c>
      <c r="D351" s="16">
        <f t="shared" ref="D351:D352" si="41">(B351-B339)/B339</f>
        <v>5.4090173735668566E-2</v>
      </c>
    </row>
    <row r="352" spans="1:4" x14ac:dyDescent="0.2">
      <c r="A352" s="14">
        <v>44105</v>
      </c>
      <c r="B352" s="18">
        <f>VLOOKUP(A352,Database!A:Q,MATCH($A$1,Database!$A$1:$Q$1,),)</f>
        <v>29941</v>
      </c>
      <c r="C352" s="15">
        <f t="shared" si="40"/>
        <v>-1.0342986787668491E-3</v>
      </c>
      <c r="D352" s="16">
        <f t="shared" si="41"/>
        <v>4.258653109548019E-2</v>
      </c>
    </row>
    <row r="353" spans="1:4" x14ac:dyDescent="0.2">
      <c r="A353" s="13">
        <v>44136</v>
      </c>
      <c r="B353" s="18">
        <f>VLOOKUP(A353,Database!A:Q,MATCH($A$1,Database!$A$1:$Q$1,),)</f>
        <v>29550</v>
      </c>
      <c r="C353" s="15">
        <f t="shared" ref="C353:C354" si="42">(B353-B352)/B352</f>
        <v>-1.3059016064927691E-2</v>
      </c>
      <c r="D353" s="16">
        <f t="shared" ref="D353:D354" si="43">(B353-B341)/B341</f>
        <v>3.6878486964454893E-2</v>
      </c>
    </row>
    <row r="354" spans="1:4" x14ac:dyDescent="0.2">
      <c r="A354" s="14">
        <v>44166</v>
      </c>
      <c r="B354" s="18">
        <f>VLOOKUP(A354,Database!A:Q,MATCH($A$1,Database!$A$1:$Q$1,),)</f>
        <v>29929</v>
      </c>
      <c r="C354" s="15">
        <f t="shared" si="42"/>
        <v>1.2825719120135365E-2</v>
      </c>
      <c r="D354" s="16">
        <f t="shared" si="43"/>
        <v>5.5361613597094399E-2</v>
      </c>
    </row>
    <row r="355" spans="1:4" x14ac:dyDescent="0.2">
      <c r="A355" s="13">
        <v>44197</v>
      </c>
      <c r="B355" s="18">
        <f>VLOOKUP(A355,Database!A:Q,MATCH($A$1,Database!$A$1:$Q$1,),)</f>
        <v>30204</v>
      </c>
      <c r="C355" s="15">
        <f t="shared" ref="C355:C356" si="44">(B355-B354)/B354</f>
        <v>9.1884125764308856E-3</v>
      </c>
      <c r="D355" s="16">
        <f t="shared" ref="D355:D356" si="45">(B355-B343)/B343</f>
        <v>4.6134663341645885E-2</v>
      </c>
    </row>
    <row r="356" spans="1:4" x14ac:dyDescent="0.2">
      <c r="A356" s="14">
        <v>44228</v>
      </c>
      <c r="B356" s="18">
        <f>VLOOKUP(A356,Database!A:Q,MATCH($A$1,Database!$A$1:$Q$1,),)</f>
        <v>29691</v>
      </c>
      <c r="C356" s="15">
        <f t="shared" si="44"/>
        <v>-1.698450536352801E-2</v>
      </c>
      <c r="D356" s="16">
        <f t="shared" si="45"/>
        <v>2.157308009909166E-2</v>
      </c>
    </row>
    <row r="357" spans="1:4" x14ac:dyDescent="0.2">
      <c r="A357" s="13">
        <v>44256</v>
      </c>
      <c r="B357" s="18">
        <f>VLOOKUP(A357,Database!A:Q,MATCH($A$1,Database!$A$1:$Q$1,),)</f>
        <v>32081</v>
      </c>
      <c r="C357" s="15">
        <f t="shared" ref="C357:C358" si="46">(B357-B356)/B356</f>
        <v>8.0495773129904691E-2</v>
      </c>
      <c r="D357" s="16">
        <f t="shared" ref="D357:D358" si="47">(B357-B345)/B345</f>
        <v>5.2112029384756654E-2</v>
      </c>
    </row>
    <row r="358" spans="1:4" x14ac:dyDescent="0.2">
      <c r="A358" s="14">
        <v>44287</v>
      </c>
      <c r="B358" s="18">
        <f>VLOOKUP(A358,Database!A:Q,MATCH($A$1,Database!$A$1:$Q$1,),)</f>
        <v>32113</v>
      </c>
      <c r="C358" s="15">
        <f t="shared" si="46"/>
        <v>9.9747514104921923E-4</v>
      </c>
      <c r="D358" s="16">
        <f t="shared" si="47"/>
        <v>0.2371137992141151</v>
      </c>
    </row>
    <row r="359" spans="1:4" x14ac:dyDescent="0.2">
      <c r="A359" s="13">
        <v>44317</v>
      </c>
      <c r="B359" s="18">
        <f>VLOOKUP(A359,Database!A:Q,MATCH($A$1,Database!$A$1:$Q$1,),)</f>
        <v>31138</v>
      </c>
      <c r="C359" s="15">
        <f t="shared" ref="C359:C360" si="48">(B359-B358)/B358</f>
        <v>-3.0361535826612274E-2</v>
      </c>
      <c r="D359" s="16">
        <f t="shared" ref="D359:D360" si="49">(B359-B347)/B347</f>
        <v>0.18616433659670109</v>
      </c>
    </row>
    <row r="360" spans="1:4" x14ac:dyDescent="0.2">
      <c r="A360" s="14">
        <v>44348</v>
      </c>
      <c r="B360" s="18">
        <f>VLOOKUP(A360,Database!A:Q,MATCH($A$1,Database!$A$1:$Q$1,),)</f>
        <v>32559</v>
      </c>
      <c r="C360" s="15">
        <f t="shared" si="48"/>
        <v>4.5635557839296036E-2</v>
      </c>
      <c r="D360" s="16">
        <f t="shared" si="49"/>
        <v>0.14903303218520611</v>
      </c>
    </row>
    <row r="361" spans="1:4" x14ac:dyDescent="0.2">
      <c r="A361" s="13">
        <v>44378</v>
      </c>
      <c r="B361" s="18">
        <f>VLOOKUP(A361,Database!A:Q,MATCH($A$1,Database!$A$1:$Q$1,),)</f>
        <v>32312</v>
      </c>
      <c r="C361" s="15">
        <f t="shared" ref="C361:C362" si="50">(B361-B360)/B360</f>
        <v>-7.5862280782579318E-3</v>
      </c>
      <c r="D361" s="16">
        <f t="shared" ref="D361:D362" si="51">(B361-B349)/B349</f>
        <v>8.389520646741136E-2</v>
      </c>
    </row>
    <row r="362" spans="1:4" x14ac:dyDescent="0.2">
      <c r="A362" s="14">
        <v>44409</v>
      </c>
      <c r="B362" s="18">
        <f>VLOOKUP(A362,Database!A:Q,MATCH($A$1,Database!$A$1:$Q$1,),)</f>
        <v>32374</v>
      </c>
      <c r="C362" s="15">
        <f t="shared" si="50"/>
        <v>1.9187917801435999E-3</v>
      </c>
      <c r="D362" s="16">
        <f t="shared" si="51"/>
        <v>9.3753167336734347E-2</v>
      </c>
    </row>
  </sheetData>
  <conditionalFormatting sqref="C8:C362">
    <cfRule type="colorScale" priority="2">
      <colorScale>
        <cfvo type="min"/>
        <cfvo type="percentile" val="50"/>
        <cfvo type="max"/>
        <color rgb="FFF8696B"/>
        <color rgb="FFFFEB84"/>
        <color rgb="FF63BE7B"/>
      </colorScale>
    </cfRule>
  </conditionalFormatting>
  <conditionalFormatting sqref="D19:D362">
    <cfRule type="colorScale" priority="1">
      <colorScale>
        <cfvo type="min"/>
        <cfvo type="percentile" val="50"/>
        <cfvo type="max"/>
        <color rgb="FFF8696B"/>
        <color rgb="FFFFEB84"/>
        <color rgb="FF63BE7B"/>
      </colorScale>
    </cfRule>
  </conditionalFormatting>
  <hyperlinks>
    <hyperlink ref="A2" r:id="rId1" xr:uid="{00000000-0004-0000-0900-000000000000}"/>
  </hyperlinks>
  <pageMargins left="0.7" right="0.7" top="0.75" bottom="0.75" header="0.3" footer="0.3"/>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dimension ref="A1:D362"/>
  <sheetViews>
    <sheetView zoomScale="160" zoomScaleNormal="160" workbookViewId="0">
      <pane ySplit="6" topLeftCell="A327" activePane="bottomLeft" state="frozen"/>
      <selection pane="bottomLeft" activeCell="B364" sqref="B364"/>
    </sheetView>
  </sheetViews>
  <sheetFormatPr baseColWidth="10" defaultColWidth="9.1640625" defaultRowHeight="15" x14ac:dyDescent="0.2"/>
  <cols>
    <col min="1" max="1" width="14" style="11" customWidth="1"/>
    <col min="2" max="2" width="20.6640625" style="11" customWidth="1"/>
    <col min="3" max="4" width="14.1640625" style="11" customWidth="1"/>
    <col min="5" max="16384" width="9.1640625" style="1"/>
  </cols>
  <sheetData>
    <row r="1" spans="1:4" x14ac:dyDescent="0.2">
      <c r="A1" s="33" t="s">
        <v>29</v>
      </c>
      <c r="B1" s="34" t="s">
        <v>53</v>
      </c>
    </row>
    <row r="2" spans="1:4" x14ac:dyDescent="0.2">
      <c r="A2" s="35" t="s">
        <v>36</v>
      </c>
      <c r="B2" s="33"/>
    </row>
    <row r="3" spans="1:4" x14ac:dyDescent="0.2">
      <c r="A3" s="12"/>
    </row>
    <row r="4" spans="1:4" x14ac:dyDescent="0.2">
      <c r="A4" s="12"/>
    </row>
    <row r="5" spans="1:4" ht="16" thickBot="1" x14ac:dyDescent="0.25"/>
    <row r="6" spans="1:4" ht="44.25" customHeight="1" x14ac:dyDescent="0.2">
      <c r="A6" s="101" t="s">
        <v>2</v>
      </c>
      <c r="B6" s="98" t="s">
        <v>95</v>
      </c>
      <c r="C6" s="99" t="s">
        <v>82</v>
      </c>
      <c r="D6" s="100" t="s">
        <v>83</v>
      </c>
    </row>
    <row r="7" spans="1:4" x14ac:dyDescent="0.2">
      <c r="A7" s="13">
        <v>33604</v>
      </c>
      <c r="B7" s="18">
        <f>VLOOKUP(A7,Database!A:Q,MATCH($A$1,Database!$A$1:$Q$1,),)</f>
        <v>3385</v>
      </c>
      <c r="C7" s="3"/>
      <c r="D7" s="3"/>
    </row>
    <row r="8" spans="1:4" x14ac:dyDescent="0.2">
      <c r="A8" s="14">
        <v>33635</v>
      </c>
      <c r="B8" s="18">
        <f>VLOOKUP(A8,Database!A:Q,MATCH($A$1,Database!$A$1:$Q$1,),)</f>
        <v>3516</v>
      </c>
      <c r="C8" s="15">
        <f>(B8-B7)/B7</f>
        <v>3.8700147710487444E-2</v>
      </c>
      <c r="D8" s="3"/>
    </row>
    <row r="9" spans="1:4" x14ac:dyDescent="0.2">
      <c r="A9" s="13">
        <v>33664</v>
      </c>
      <c r="B9" s="18">
        <f>VLOOKUP(A9,Database!A:Q,MATCH($A$1,Database!$A$1:$Q$1,),)</f>
        <v>3482</v>
      </c>
      <c r="C9" s="15">
        <f t="shared" ref="C9:C72" si="0">(B9-B8)/B8</f>
        <v>-9.6700796359499436E-3</v>
      </c>
      <c r="D9" s="3"/>
    </row>
    <row r="10" spans="1:4" x14ac:dyDescent="0.2">
      <c r="A10" s="14">
        <v>33695</v>
      </c>
      <c r="B10" s="18">
        <f>VLOOKUP(A10,Database!A:Q,MATCH($A$1,Database!$A$1:$Q$1,),)</f>
        <v>3535</v>
      </c>
      <c r="C10" s="15">
        <f t="shared" si="0"/>
        <v>1.5221137277426766E-2</v>
      </c>
      <c r="D10" s="3"/>
    </row>
    <row r="11" spans="1:4" x14ac:dyDescent="0.2">
      <c r="A11" s="13">
        <v>33725</v>
      </c>
      <c r="B11" s="18">
        <f>VLOOKUP(A11,Database!A:Q,MATCH($A$1,Database!$A$1:$Q$1,),)</f>
        <v>3512</v>
      </c>
      <c r="C11" s="15">
        <f t="shared" si="0"/>
        <v>-6.5063649222065062E-3</v>
      </c>
      <c r="D11" s="3"/>
    </row>
    <row r="12" spans="1:4" x14ac:dyDescent="0.2">
      <c r="A12" s="14">
        <v>33756</v>
      </c>
      <c r="B12" s="18">
        <f>VLOOKUP(A12,Database!A:Q,MATCH($A$1,Database!$A$1:$Q$1,),)</f>
        <v>3549</v>
      </c>
      <c r="C12" s="15">
        <f t="shared" si="0"/>
        <v>1.0535307517084282E-2</v>
      </c>
      <c r="D12" s="3"/>
    </row>
    <row r="13" spans="1:4" x14ac:dyDescent="0.2">
      <c r="A13" s="13">
        <v>33786</v>
      </c>
      <c r="B13" s="18">
        <f>VLOOKUP(A13,Database!A:Q,MATCH($A$1,Database!$A$1:$Q$1,),)</f>
        <v>3586</v>
      </c>
      <c r="C13" s="15">
        <f t="shared" si="0"/>
        <v>1.0425471963933503E-2</v>
      </c>
      <c r="D13" s="3"/>
    </row>
    <row r="14" spans="1:4" x14ac:dyDescent="0.2">
      <c r="A14" s="14">
        <v>33817</v>
      </c>
      <c r="B14" s="18">
        <f>VLOOKUP(A14,Database!A:Q,MATCH($A$1,Database!$A$1:$Q$1,),)</f>
        <v>3512</v>
      </c>
      <c r="C14" s="15">
        <f t="shared" si="0"/>
        <v>-2.063580591187953E-2</v>
      </c>
      <c r="D14" s="3"/>
    </row>
    <row r="15" spans="1:4" x14ac:dyDescent="0.2">
      <c r="A15" s="13">
        <v>33848</v>
      </c>
      <c r="B15" s="18">
        <f>VLOOKUP(A15,Database!A:Q,MATCH($A$1,Database!$A$1:$Q$1,),)</f>
        <v>3566</v>
      </c>
      <c r="C15" s="15">
        <f t="shared" si="0"/>
        <v>1.5375854214123007E-2</v>
      </c>
      <c r="D15" s="3"/>
    </row>
    <row r="16" spans="1:4" x14ac:dyDescent="0.2">
      <c r="A16" s="14">
        <v>33878</v>
      </c>
      <c r="B16" s="18">
        <f>VLOOKUP(A16,Database!A:Q,MATCH($A$1,Database!$A$1:$Q$1,),)</f>
        <v>3607</v>
      </c>
      <c r="C16" s="15">
        <f t="shared" si="0"/>
        <v>1.1497476163768929E-2</v>
      </c>
      <c r="D16" s="3"/>
    </row>
    <row r="17" spans="1:4" x14ac:dyDescent="0.2">
      <c r="A17" s="13">
        <v>33909</v>
      </c>
      <c r="B17" s="18">
        <f>VLOOKUP(A17,Database!A:Q,MATCH($A$1,Database!$A$1:$Q$1,),)</f>
        <v>3626</v>
      </c>
      <c r="C17" s="15">
        <f t="shared" si="0"/>
        <v>5.2675353479345721E-3</v>
      </c>
      <c r="D17" s="3"/>
    </row>
    <row r="18" spans="1:4" x14ac:dyDescent="0.2">
      <c r="A18" s="14">
        <v>33939</v>
      </c>
      <c r="B18" s="18">
        <f>VLOOKUP(A18,Database!A:Q,MATCH($A$1,Database!$A$1:$Q$1,),)</f>
        <v>3800</v>
      </c>
      <c r="C18" s="15">
        <f t="shared" si="0"/>
        <v>4.7986762272476557E-2</v>
      </c>
      <c r="D18" s="3"/>
    </row>
    <row r="19" spans="1:4" x14ac:dyDescent="0.2">
      <c r="A19" s="13">
        <v>33970</v>
      </c>
      <c r="B19" s="18">
        <f>VLOOKUP(A19,Database!A:Q,MATCH($A$1,Database!$A$1:$Q$1,),)</f>
        <v>3648</v>
      </c>
      <c r="C19" s="15">
        <f t="shared" si="0"/>
        <v>-0.04</v>
      </c>
      <c r="D19" s="16">
        <f>(B19-B7)/B7</f>
        <v>7.7695716395864103E-2</v>
      </c>
    </row>
    <row r="20" spans="1:4" x14ac:dyDescent="0.2">
      <c r="A20" s="14">
        <v>34001</v>
      </c>
      <c r="B20" s="18">
        <f>VLOOKUP(A20,Database!A:Q,MATCH($A$1,Database!$A$1:$Q$1,),)</f>
        <v>3585</v>
      </c>
      <c r="C20" s="15">
        <f t="shared" si="0"/>
        <v>-1.7269736842105265E-2</v>
      </c>
      <c r="D20" s="16">
        <f t="shared" ref="D20:D83" si="1">(B20-B8)/B8</f>
        <v>1.9624573378839591E-2</v>
      </c>
    </row>
    <row r="21" spans="1:4" x14ac:dyDescent="0.2">
      <c r="A21" s="13">
        <v>34029</v>
      </c>
      <c r="B21" s="18">
        <f>VLOOKUP(A21,Database!A:Q,MATCH($A$1,Database!$A$1:$Q$1,),)</f>
        <v>3608</v>
      </c>
      <c r="C21" s="15">
        <f t="shared" si="0"/>
        <v>6.4156206415620642E-3</v>
      </c>
      <c r="D21" s="16">
        <f t="shared" si="1"/>
        <v>3.6186099942561743E-2</v>
      </c>
    </row>
    <row r="22" spans="1:4" x14ac:dyDescent="0.2">
      <c r="A22" s="14">
        <v>34060</v>
      </c>
      <c r="B22" s="18">
        <f>VLOOKUP(A22,Database!A:Q,MATCH($A$1,Database!$A$1:$Q$1,),)</f>
        <v>3749</v>
      </c>
      <c r="C22" s="15">
        <f t="shared" si="0"/>
        <v>3.907982261640798E-2</v>
      </c>
      <c r="D22" s="16">
        <f t="shared" si="1"/>
        <v>6.0537482319660538E-2</v>
      </c>
    </row>
    <row r="23" spans="1:4" x14ac:dyDescent="0.2">
      <c r="A23" s="13">
        <v>34090</v>
      </c>
      <c r="B23" s="18">
        <f>VLOOKUP(A23,Database!A:Q,MATCH($A$1,Database!$A$1:$Q$1,),)</f>
        <v>3746</v>
      </c>
      <c r="C23" s="15">
        <f t="shared" si="0"/>
        <v>-8.0021339023739668E-4</v>
      </c>
      <c r="D23" s="16">
        <f t="shared" si="1"/>
        <v>6.6628701594533032E-2</v>
      </c>
    </row>
    <row r="24" spans="1:4" x14ac:dyDescent="0.2">
      <c r="A24" s="14">
        <v>34121</v>
      </c>
      <c r="B24" s="18">
        <f>VLOOKUP(A24,Database!A:Q,MATCH($A$1,Database!$A$1:$Q$1,),)</f>
        <v>3702</v>
      </c>
      <c r="C24" s="15">
        <f t="shared" si="0"/>
        <v>-1.1745862253069941E-2</v>
      </c>
      <c r="D24" s="16">
        <f t="shared" si="1"/>
        <v>4.3110735418427727E-2</v>
      </c>
    </row>
    <row r="25" spans="1:4" x14ac:dyDescent="0.2">
      <c r="A25" s="13">
        <v>34151</v>
      </c>
      <c r="B25" s="18">
        <f>VLOOKUP(A25,Database!A:Q,MATCH($A$1,Database!$A$1:$Q$1,),)</f>
        <v>3810</v>
      </c>
      <c r="C25" s="15">
        <f t="shared" si="0"/>
        <v>2.9173419773095625E-2</v>
      </c>
      <c r="D25" s="16">
        <f t="shared" si="1"/>
        <v>6.2465142219743447E-2</v>
      </c>
    </row>
    <row r="26" spans="1:4" x14ac:dyDescent="0.2">
      <c r="A26" s="14">
        <v>34182</v>
      </c>
      <c r="B26" s="18">
        <f>VLOOKUP(A26,Database!A:Q,MATCH($A$1,Database!$A$1:$Q$1,),)</f>
        <v>3804</v>
      </c>
      <c r="C26" s="15">
        <f t="shared" si="0"/>
        <v>-1.5748031496062992E-3</v>
      </c>
      <c r="D26" s="16">
        <f t="shared" si="1"/>
        <v>8.3143507972665148E-2</v>
      </c>
    </row>
    <row r="27" spans="1:4" x14ac:dyDescent="0.2">
      <c r="A27" s="13">
        <v>34213</v>
      </c>
      <c r="B27" s="18">
        <f>VLOOKUP(A27,Database!A:Q,MATCH($A$1,Database!$A$1:$Q$1,),)</f>
        <v>3825</v>
      </c>
      <c r="C27" s="15">
        <f t="shared" si="0"/>
        <v>5.5205047318611991E-3</v>
      </c>
      <c r="D27" s="16">
        <f t="shared" si="1"/>
        <v>7.263039820527202E-2</v>
      </c>
    </row>
    <row r="28" spans="1:4" x14ac:dyDescent="0.2">
      <c r="A28" s="14">
        <v>34243</v>
      </c>
      <c r="B28" s="18">
        <f>VLOOKUP(A28,Database!A:Q,MATCH($A$1,Database!$A$1:$Q$1,),)</f>
        <v>3817</v>
      </c>
      <c r="C28" s="15">
        <f t="shared" si="0"/>
        <v>-2.0915032679738564E-3</v>
      </c>
      <c r="D28" s="16">
        <f t="shared" si="1"/>
        <v>5.8220127529803163E-2</v>
      </c>
    </row>
    <row r="29" spans="1:4" x14ac:dyDescent="0.2">
      <c r="A29" s="13">
        <v>34274</v>
      </c>
      <c r="B29" s="18">
        <f>VLOOKUP(A29,Database!A:Q,MATCH($A$1,Database!$A$1:$Q$1,),)</f>
        <v>3930</v>
      </c>
      <c r="C29" s="15">
        <f t="shared" si="0"/>
        <v>2.9604401362326435E-2</v>
      </c>
      <c r="D29" s="16">
        <f t="shared" si="1"/>
        <v>8.383894098179813E-2</v>
      </c>
    </row>
    <row r="30" spans="1:4" x14ac:dyDescent="0.2">
      <c r="A30" s="14">
        <v>34304</v>
      </c>
      <c r="B30" s="18">
        <f>VLOOKUP(A30,Database!A:Q,MATCH($A$1,Database!$A$1:$Q$1,),)</f>
        <v>4018</v>
      </c>
      <c r="C30" s="15">
        <f t="shared" si="0"/>
        <v>2.2391857506361322E-2</v>
      </c>
      <c r="D30" s="16">
        <f t="shared" si="1"/>
        <v>5.7368421052631575E-2</v>
      </c>
    </row>
    <row r="31" spans="1:4" x14ac:dyDescent="0.2">
      <c r="A31" s="13">
        <v>34335</v>
      </c>
      <c r="B31" s="18">
        <f>VLOOKUP(A31,Database!A:Q,MATCH($A$1,Database!$A$1:$Q$1,),)</f>
        <v>3981</v>
      </c>
      <c r="C31" s="15">
        <f t="shared" si="0"/>
        <v>-9.2085614733698352E-3</v>
      </c>
      <c r="D31" s="16">
        <f t="shared" si="1"/>
        <v>9.1282894736842105E-2</v>
      </c>
    </row>
    <row r="32" spans="1:4" x14ac:dyDescent="0.2">
      <c r="A32" s="14">
        <v>34366</v>
      </c>
      <c r="B32" s="18">
        <f>VLOOKUP(A32,Database!A:Q,MATCH($A$1,Database!$A$1:$Q$1,),)</f>
        <v>4095</v>
      </c>
      <c r="C32" s="15">
        <f t="shared" si="0"/>
        <v>2.8636021100226075E-2</v>
      </c>
      <c r="D32" s="16">
        <f t="shared" si="1"/>
        <v>0.14225941422594143</v>
      </c>
    </row>
    <row r="33" spans="1:4" x14ac:dyDescent="0.2">
      <c r="A33" s="13">
        <v>34394</v>
      </c>
      <c r="B33" s="18">
        <f>VLOOKUP(A33,Database!A:Q,MATCH($A$1,Database!$A$1:$Q$1,),)</f>
        <v>4131</v>
      </c>
      <c r="C33" s="15">
        <f t="shared" si="0"/>
        <v>8.7912087912087912E-3</v>
      </c>
      <c r="D33" s="16">
        <f t="shared" si="1"/>
        <v>0.14495565410199557</v>
      </c>
    </row>
    <row r="34" spans="1:4" x14ac:dyDescent="0.2">
      <c r="A34" s="14">
        <v>34425</v>
      </c>
      <c r="B34" s="18">
        <f>VLOOKUP(A34,Database!A:Q,MATCH($A$1,Database!$A$1:$Q$1,),)</f>
        <v>4035</v>
      </c>
      <c r="C34" s="15">
        <f t="shared" si="0"/>
        <v>-2.3238925199709513E-2</v>
      </c>
      <c r="D34" s="16">
        <f t="shared" si="1"/>
        <v>7.6287009869298483E-2</v>
      </c>
    </row>
    <row r="35" spans="1:4" x14ac:dyDescent="0.2">
      <c r="A35" s="13">
        <v>34455</v>
      </c>
      <c r="B35" s="18">
        <f>VLOOKUP(A35,Database!A:Q,MATCH($A$1,Database!$A$1:$Q$1,),)</f>
        <v>4119</v>
      </c>
      <c r="C35" s="15">
        <f t="shared" si="0"/>
        <v>2.0817843866171002E-2</v>
      </c>
      <c r="D35" s="16">
        <f t="shared" si="1"/>
        <v>9.9572877736252008E-2</v>
      </c>
    </row>
    <row r="36" spans="1:4" x14ac:dyDescent="0.2">
      <c r="A36" s="14">
        <v>34486</v>
      </c>
      <c r="B36" s="18">
        <f>VLOOKUP(A36,Database!A:Q,MATCH($A$1,Database!$A$1:$Q$1,),)</f>
        <v>4135</v>
      </c>
      <c r="C36" s="15">
        <f t="shared" si="0"/>
        <v>3.8844379703811605E-3</v>
      </c>
      <c r="D36" s="16">
        <f t="shared" si="1"/>
        <v>0.11696380334954079</v>
      </c>
    </row>
    <row r="37" spans="1:4" x14ac:dyDescent="0.2">
      <c r="A37" s="13">
        <v>34516</v>
      </c>
      <c r="B37" s="18">
        <f>VLOOKUP(A37,Database!A:Q,MATCH($A$1,Database!$A$1:$Q$1,),)</f>
        <v>4111</v>
      </c>
      <c r="C37" s="15">
        <f t="shared" si="0"/>
        <v>-5.8041112454655383E-3</v>
      </c>
      <c r="D37" s="16">
        <f t="shared" si="1"/>
        <v>7.9002624671916016E-2</v>
      </c>
    </row>
    <row r="38" spans="1:4" x14ac:dyDescent="0.2">
      <c r="A38" s="14">
        <v>34547</v>
      </c>
      <c r="B38" s="18">
        <f>VLOOKUP(A38,Database!A:Q,MATCH($A$1,Database!$A$1:$Q$1,),)</f>
        <v>4249</v>
      </c>
      <c r="C38" s="15">
        <f t="shared" si="0"/>
        <v>3.3568474823643883E-2</v>
      </c>
      <c r="D38" s="16">
        <f t="shared" si="1"/>
        <v>0.11698212407991587</v>
      </c>
    </row>
    <row r="39" spans="1:4" x14ac:dyDescent="0.2">
      <c r="A39" s="13">
        <v>34578</v>
      </c>
      <c r="B39" s="18">
        <f>VLOOKUP(A39,Database!A:Q,MATCH($A$1,Database!$A$1:$Q$1,),)</f>
        <v>4306</v>
      </c>
      <c r="C39" s="15">
        <f t="shared" si="0"/>
        <v>1.3414921157919511E-2</v>
      </c>
      <c r="D39" s="16">
        <f t="shared" si="1"/>
        <v>0.1257516339869281</v>
      </c>
    </row>
    <row r="40" spans="1:4" x14ac:dyDescent="0.2">
      <c r="A40" s="14">
        <v>34608</v>
      </c>
      <c r="B40" s="18">
        <f>VLOOKUP(A40,Database!A:Q,MATCH($A$1,Database!$A$1:$Q$1,),)</f>
        <v>4347</v>
      </c>
      <c r="C40" s="15">
        <f t="shared" si="0"/>
        <v>9.5215977705527168E-3</v>
      </c>
      <c r="D40" s="16">
        <f t="shared" si="1"/>
        <v>0.1388525019648939</v>
      </c>
    </row>
    <row r="41" spans="1:4" x14ac:dyDescent="0.2">
      <c r="A41" s="13">
        <v>34639</v>
      </c>
      <c r="B41" s="18">
        <f>VLOOKUP(A41,Database!A:Q,MATCH($A$1,Database!$A$1:$Q$1,),)</f>
        <v>4221</v>
      </c>
      <c r="C41" s="15">
        <f t="shared" si="0"/>
        <v>-2.8985507246376812E-2</v>
      </c>
      <c r="D41" s="16">
        <f t="shared" si="1"/>
        <v>7.4045801526717553E-2</v>
      </c>
    </row>
    <row r="42" spans="1:4" x14ac:dyDescent="0.2">
      <c r="A42" s="14">
        <v>34669</v>
      </c>
      <c r="B42" s="18">
        <f>VLOOKUP(A42,Database!A:Q,MATCH($A$1,Database!$A$1:$Q$1,),)</f>
        <v>4255</v>
      </c>
      <c r="C42" s="15">
        <f t="shared" si="0"/>
        <v>8.0549632788438751E-3</v>
      </c>
      <c r="D42" s="16">
        <f t="shared" si="1"/>
        <v>5.8984569437531109E-2</v>
      </c>
    </row>
    <row r="43" spans="1:4" x14ac:dyDescent="0.2">
      <c r="A43" s="13">
        <v>34700</v>
      </c>
      <c r="B43" s="18">
        <f>VLOOKUP(A43,Database!A:Q,MATCH($A$1,Database!$A$1:$Q$1,),)</f>
        <v>4436</v>
      </c>
      <c r="C43" s="15">
        <f t="shared" si="0"/>
        <v>4.253819036427732E-2</v>
      </c>
      <c r="D43" s="16">
        <f t="shared" si="1"/>
        <v>0.11429289123335845</v>
      </c>
    </row>
    <row r="44" spans="1:4" x14ac:dyDescent="0.2">
      <c r="A44" s="14">
        <v>34731</v>
      </c>
      <c r="B44" s="18">
        <f>VLOOKUP(A44,Database!A:Q,MATCH($A$1,Database!$A$1:$Q$1,),)</f>
        <v>4298</v>
      </c>
      <c r="C44" s="15">
        <f t="shared" si="0"/>
        <v>-3.1109107303877368E-2</v>
      </c>
      <c r="D44" s="16">
        <f t="shared" si="1"/>
        <v>4.957264957264957E-2</v>
      </c>
    </row>
    <row r="45" spans="1:4" x14ac:dyDescent="0.2">
      <c r="A45" s="13">
        <v>34759</v>
      </c>
      <c r="B45" s="18">
        <f>VLOOKUP(A45,Database!A:Q,MATCH($A$1,Database!$A$1:$Q$1,),)</f>
        <v>4347</v>
      </c>
      <c r="C45" s="15">
        <f t="shared" si="0"/>
        <v>1.1400651465798045E-2</v>
      </c>
      <c r="D45" s="16">
        <f t="shared" si="1"/>
        <v>5.2287581699346407E-2</v>
      </c>
    </row>
    <row r="46" spans="1:4" x14ac:dyDescent="0.2">
      <c r="A46" s="14">
        <v>34790</v>
      </c>
      <c r="B46" s="18">
        <f>VLOOKUP(A46,Database!A:Q,MATCH($A$1,Database!$A$1:$Q$1,),)</f>
        <v>4345</v>
      </c>
      <c r="C46" s="15">
        <f t="shared" si="0"/>
        <v>-4.6008741660915573E-4</v>
      </c>
      <c r="D46" s="16">
        <f t="shared" si="1"/>
        <v>7.6827757125154897E-2</v>
      </c>
    </row>
    <row r="47" spans="1:4" x14ac:dyDescent="0.2">
      <c r="A47" s="13">
        <v>34820</v>
      </c>
      <c r="B47" s="18">
        <f>VLOOKUP(A47,Database!A:Q,MATCH($A$1,Database!$A$1:$Q$1,),)</f>
        <v>4380</v>
      </c>
      <c r="C47" s="15">
        <f t="shared" si="0"/>
        <v>8.0552359033371698E-3</v>
      </c>
      <c r="D47" s="16">
        <f t="shared" si="1"/>
        <v>6.3364894391842674E-2</v>
      </c>
    </row>
    <row r="48" spans="1:4" x14ac:dyDescent="0.2">
      <c r="A48" s="14">
        <v>34851</v>
      </c>
      <c r="B48" s="18">
        <f>VLOOKUP(A48,Database!A:Q,MATCH($A$1,Database!$A$1:$Q$1,),)</f>
        <v>4421</v>
      </c>
      <c r="C48" s="15">
        <f t="shared" si="0"/>
        <v>9.3607305936073051E-3</v>
      </c>
      <c r="D48" s="16">
        <f t="shared" si="1"/>
        <v>6.9165659008464331E-2</v>
      </c>
    </row>
    <row r="49" spans="1:4" x14ac:dyDescent="0.2">
      <c r="A49" s="13">
        <v>34881</v>
      </c>
      <c r="B49" s="18">
        <f>VLOOKUP(A49,Database!A:Q,MATCH($A$1,Database!$A$1:$Q$1,),)</f>
        <v>4429</v>
      </c>
      <c r="C49" s="15">
        <f t="shared" si="0"/>
        <v>1.8095453517303778E-3</v>
      </c>
      <c r="D49" s="16">
        <f t="shared" si="1"/>
        <v>7.7353441984918517E-2</v>
      </c>
    </row>
    <row r="50" spans="1:4" x14ac:dyDescent="0.2">
      <c r="A50" s="14">
        <v>34912</v>
      </c>
      <c r="B50" s="18">
        <f>VLOOKUP(A50,Database!A:Q,MATCH($A$1,Database!$A$1:$Q$1,),)</f>
        <v>4462</v>
      </c>
      <c r="C50" s="15">
        <f t="shared" si="0"/>
        <v>7.4508918491758861E-3</v>
      </c>
      <c r="D50" s="16">
        <f t="shared" si="1"/>
        <v>5.0129442221699225E-2</v>
      </c>
    </row>
    <row r="51" spans="1:4" x14ac:dyDescent="0.2">
      <c r="A51" s="13">
        <v>34943</v>
      </c>
      <c r="B51" s="18">
        <f>VLOOKUP(A51,Database!A:Q,MATCH($A$1,Database!$A$1:$Q$1,),)</f>
        <v>4441</v>
      </c>
      <c r="C51" s="15">
        <f t="shared" si="0"/>
        <v>-4.7064096817570596E-3</v>
      </c>
      <c r="D51" s="16">
        <f t="shared" si="1"/>
        <v>3.1351602415234554E-2</v>
      </c>
    </row>
    <row r="52" spans="1:4" x14ac:dyDescent="0.2">
      <c r="A52" s="14">
        <v>34973</v>
      </c>
      <c r="B52" s="18">
        <f>VLOOKUP(A52,Database!A:Q,MATCH($A$1,Database!$A$1:$Q$1,),)</f>
        <v>4414</v>
      </c>
      <c r="C52" s="15">
        <f t="shared" si="0"/>
        <v>-6.0797117766268859E-3</v>
      </c>
      <c r="D52" s="16">
        <f t="shared" si="1"/>
        <v>1.5412928456406717E-2</v>
      </c>
    </row>
    <row r="53" spans="1:4" x14ac:dyDescent="0.2">
      <c r="A53" s="13">
        <v>35004</v>
      </c>
      <c r="B53" s="18">
        <f>VLOOKUP(A53,Database!A:Q,MATCH($A$1,Database!$A$1:$Q$1,),)</f>
        <v>4532</v>
      </c>
      <c r="C53" s="15">
        <f t="shared" si="0"/>
        <v>2.6733121884911646E-2</v>
      </c>
      <c r="D53" s="16">
        <f t="shared" si="1"/>
        <v>7.3679222932954272E-2</v>
      </c>
    </row>
    <row r="54" spans="1:4" x14ac:dyDescent="0.2">
      <c r="A54" s="14">
        <v>35034</v>
      </c>
      <c r="B54" s="18">
        <f>VLOOKUP(A54,Database!A:Q,MATCH($A$1,Database!$A$1:$Q$1,),)</f>
        <v>4505</v>
      </c>
      <c r="C54" s="15">
        <f t="shared" si="0"/>
        <v>-5.9576345984112978E-3</v>
      </c>
      <c r="D54" s="16">
        <f t="shared" si="1"/>
        <v>5.8754406580493537E-2</v>
      </c>
    </row>
    <row r="55" spans="1:4" x14ac:dyDescent="0.2">
      <c r="A55" s="13">
        <v>35065</v>
      </c>
      <c r="B55" s="18">
        <f>VLOOKUP(A55,Database!A:Q,MATCH($A$1,Database!$A$1:$Q$1,),)</f>
        <v>4600</v>
      </c>
      <c r="C55" s="15">
        <f t="shared" si="0"/>
        <v>2.1087680355160933E-2</v>
      </c>
      <c r="D55" s="16">
        <f t="shared" si="1"/>
        <v>3.6970243462578899E-2</v>
      </c>
    </row>
    <row r="56" spans="1:4" x14ac:dyDescent="0.2">
      <c r="A56" s="14">
        <v>35096</v>
      </c>
      <c r="B56" s="18">
        <f>VLOOKUP(A56,Database!A:Q,MATCH($A$1,Database!$A$1:$Q$1,),)</f>
        <v>4485</v>
      </c>
      <c r="C56" s="15">
        <f t="shared" si="0"/>
        <v>-2.5000000000000001E-2</v>
      </c>
      <c r="D56" s="16">
        <f t="shared" si="1"/>
        <v>4.3508608655188463E-2</v>
      </c>
    </row>
    <row r="57" spans="1:4" x14ac:dyDescent="0.2">
      <c r="A57" s="13">
        <v>35125</v>
      </c>
      <c r="B57" s="18">
        <f>VLOOKUP(A57,Database!A:Q,MATCH($A$1,Database!$A$1:$Q$1,),)</f>
        <v>4548</v>
      </c>
      <c r="C57" s="15">
        <f t="shared" si="0"/>
        <v>1.4046822742474917E-2</v>
      </c>
      <c r="D57" s="16">
        <f t="shared" si="1"/>
        <v>4.6238785369220152E-2</v>
      </c>
    </row>
    <row r="58" spans="1:4" x14ac:dyDescent="0.2">
      <c r="A58" s="14">
        <v>35156</v>
      </c>
      <c r="B58" s="18">
        <f>VLOOKUP(A58,Database!A:Q,MATCH($A$1,Database!$A$1:$Q$1,),)</f>
        <v>4628</v>
      </c>
      <c r="C58" s="15">
        <f t="shared" si="0"/>
        <v>1.759014951627089E-2</v>
      </c>
      <c r="D58" s="16">
        <f t="shared" si="1"/>
        <v>6.5132336018411965E-2</v>
      </c>
    </row>
    <row r="59" spans="1:4" x14ac:dyDescent="0.2">
      <c r="A59" s="13">
        <v>35186</v>
      </c>
      <c r="B59" s="18">
        <f>VLOOKUP(A59,Database!A:Q,MATCH($A$1,Database!$A$1:$Q$1,),)</f>
        <v>4432</v>
      </c>
      <c r="C59" s="15">
        <f t="shared" si="0"/>
        <v>-4.2350907519446847E-2</v>
      </c>
      <c r="D59" s="16">
        <f t="shared" si="1"/>
        <v>1.1872146118721462E-2</v>
      </c>
    </row>
    <row r="60" spans="1:4" x14ac:dyDescent="0.2">
      <c r="A60" s="14">
        <v>35217</v>
      </c>
      <c r="B60" s="18">
        <f>VLOOKUP(A60,Database!A:Q,MATCH($A$1,Database!$A$1:$Q$1,),)</f>
        <v>4609</v>
      </c>
      <c r="C60" s="15">
        <f t="shared" si="0"/>
        <v>3.9936823104693139E-2</v>
      </c>
      <c r="D60" s="16">
        <f t="shared" si="1"/>
        <v>4.252431576566388E-2</v>
      </c>
    </row>
    <row r="61" spans="1:4" x14ac:dyDescent="0.2">
      <c r="A61" s="13">
        <v>35247</v>
      </c>
      <c r="B61" s="18">
        <f>VLOOKUP(A61,Database!A:Q,MATCH($A$1,Database!$A$1:$Q$1,),)</f>
        <v>4655</v>
      </c>
      <c r="C61" s="15">
        <f t="shared" si="0"/>
        <v>9.9804729876328928E-3</v>
      </c>
      <c r="D61" s="16">
        <f t="shared" si="1"/>
        <v>5.1027319936780315E-2</v>
      </c>
    </row>
    <row r="62" spans="1:4" x14ac:dyDescent="0.2">
      <c r="A62" s="14">
        <v>35278</v>
      </c>
      <c r="B62" s="18">
        <f>VLOOKUP(A62,Database!A:Q,MATCH($A$1,Database!$A$1:$Q$1,),)</f>
        <v>4738</v>
      </c>
      <c r="C62" s="15">
        <f t="shared" si="0"/>
        <v>1.7830290010741139E-2</v>
      </c>
      <c r="D62" s="16">
        <f t="shared" si="1"/>
        <v>6.1855670103092786E-2</v>
      </c>
    </row>
    <row r="63" spans="1:4" x14ac:dyDescent="0.2">
      <c r="A63" s="13">
        <v>35309</v>
      </c>
      <c r="B63" s="18">
        <f>VLOOKUP(A63,Database!A:Q,MATCH($A$1,Database!$A$1:$Q$1,),)</f>
        <v>4690</v>
      </c>
      <c r="C63" s="15">
        <f t="shared" si="0"/>
        <v>-1.0130856901646263E-2</v>
      </c>
      <c r="D63" s="16">
        <f t="shared" si="1"/>
        <v>5.6068453051114617E-2</v>
      </c>
    </row>
    <row r="64" spans="1:4" x14ac:dyDescent="0.2">
      <c r="A64" s="14">
        <v>35339</v>
      </c>
      <c r="B64" s="18">
        <f>VLOOKUP(A64,Database!A:Q,MATCH($A$1,Database!$A$1:$Q$1,),)</f>
        <v>4769</v>
      </c>
      <c r="C64" s="15">
        <f t="shared" si="0"/>
        <v>1.6844349680170574E-2</v>
      </c>
      <c r="D64" s="16">
        <f t="shared" si="1"/>
        <v>8.0425917535115535E-2</v>
      </c>
    </row>
    <row r="65" spans="1:4" x14ac:dyDescent="0.2">
      <c r="A65" s="13">
        <v>35370</v>
      </c>
      <c r="B65" s="18">
        <f>VLOOKUP(A65,Database!A:Q,MATCH($A$1,Database!$A$1:$Q$1,),)</f>
        <v>4692</v>
      </c>
      <c r="C65" s="15">
        <f t="shared" si="0"/>
        <v>-1.6145942545607046E-2</v>
      </c>
      <c r="D65" s="16">
        <f t="shared" si="1"/>
        <v>3.5304501323918797E-2</v>
      </c>
    </row>
    <row r="66" spans="1:4" x14ac:dyDescent="0.2">
      <c r="A66" s="14">
        <v>35400</v>
      </c>
      <c r="B66" s="18">
        <f>VLOOKUP(A66,Database!A:Q,MATCH($A$1,Database!$A$1:$Q$1,),)</f>
        <v>4940</v>
      </c>
      <c r="C66" s="15">
        <f t="shared" si="0"/>
        <v>5.285592497868713E-2</v>
      </c>
      <c r="D66" s="16">
        <f t="shared" si="1"/>
        <v>9.6559378468368484E-2</v>
      </c>
    </row>
    <row r="67" spans="1:4" x14ac:dyDescent="0.2">
      <c r="A67" s="13">
        <v>35431</v>
      </c>
      <c r="B67" s="18">
        <f>VLOOKUP(A67,Database!A:Q,MATCH($A$1,Database!$A$1:$Q$1,),)</f>
        <v>4748</v>
      </c>
      <c r="C67" s="15">
        <f t="shared" si="0"/>
        <v>-3.8866396761133605E-2</v>
      </c>
      <c r="D67" s="16">
        <f t="shared" si="1"/>
        <v>3.2173913043478261E-2</v>
      </c>
    </row>
    <row r="68" spans="1:4" x14ac:dyDescent="0.2">
      <c r="A68" s="14">
        <v>35462</v>
      </c>
      <c r="B68" s="18">
        <f>VLOOKUP(A68,Database!A:Q,MATCH($A$1,Database!$A$1:$Q$1,),)</f>
        <v>4666</v>
      </c>
      <c r="C68" s="15">
        <f t="shared" si="0"/>
        <v>-1.7270429654591406E-2</v>
      </c>
      <c r="D68" s="16">
        <f t="shared" si="1"/>
        <v>4.0356744704570791E-2</v>
      </c>
    </row>
    <row r="69" spans="1:4" x14ac:dyDescent="0.2">
      <c r="A69" s="13">
        <v>35490</v>
      </c>
      <c r="B69" s="18">
        <f>VLOOKUP(A69,Database!A:Q,MATCH($A$1,Database!$A$1:$Q$1,),)</f>
        <v>4698</v>
      </c>
      <c r="C69" s="15">
        <f t="shared" si="0"/>
        <v>6.8581225889412772E-3</v>
      </c>
      <c r="D69" s="16">
        <f t="shared" si="1"/>
        <v>3.2981530343007916E-2</v>
      </c>
    </row>
    <row r="70" spans="1:4" x14ac:dyDescent="0.2">
      <c r="A70" s="14">
        <v>35521</v>
      </c>
      <c r="B70" s="18">
        <f>VLOOKUP(A70,Database!A:Q,MATCH($A$1,Database!$A$1:$Q$1,),)</f>
        <v>4725</v>
      </c>
      <c r="C70" s="15">
        <f t="shared" si="0"/>
        <v>5.7471264367816091E-3</v>
      </c>
      <c r="D70" s="16">
        <f t="shared" si="1"/>
        <v>2.0959377700950736E-2</v>
      </c>
    </row>
    <row r="71" spans="1:4" x14ac:dyDescent="0.2">
      <c r="A71" s="13">
        <v>35551</v>
      </c>
      <c r="B71" s="18">
        <f>VLOOKUP(A71,Database!A:Q,MATCH($A$1,Database!$A$1:$Q$1,),)</f>
        <v>4763</v>
      </c>
      <c r="C71" s="15">
        <f t="shared" si="0"/>
        <v>8.0423280423280417E-3</v>
      </c>
      <c r="D71" s="16">
        <f t="shared" si="1"/>
        <v>7.4684115523465711E-2</v>
      </c>
    </row>
    <row r="72" spans="1:4" x14ac:dyDescent="0.2">
      <c r="A72" s="14">
        <v>35582</v>
      </c>
      <c r="B72" s="18">
        <f>VLOOKUP(A72,Database!A:Q,MATCH($A$1,Database!$A$1:$Q$1,),)</f>
        <v>4838</v>
      </c>
      <c r="C72" s="15">
        <f t="shared" si="0"/>
        <v>1.5746378332983414E-2</v>
      </c>
      <c r="D72" s="16">
        <f t="shared" si="1"/>
        <v>4.9685398134085484E-2</v>
      </c>
    </row>
    <row r="73" spans="1:4" x14ac:dyDescent="0.2">
      <c r="A73" s="13">
        <v>35612</v>
      </c>
      <c r="B73" s="18">
        <f>VLOOKUP(A73,Database!A:Q,MATCH($A$1,Database!$A$1:$Q$1,),)</f>
        <v>4786</v>
      </c>
      <c r="C73" s="15">
        <f t="shared" ref="C73:C136" si="2">(B73-B72)/B72</f>
        <v>-1.0748243075651096E-2</v>
      </c>
      <c r="D73" s="16">
        <f t="shared" si="1"/>
        <v>2.8141783029001072E-2</v>
      </c>
    </row>
    <row r="74" spans="1:4" x14ac:dyDescent="0.2">
      <c r="A74" s="14">
        <v>35643</v>
      </c>
      <c r="B74" s="18">
        <f>VLOOKUP(A74,Database!A:Q,MATCH($A$1,Database!$A$1:$Q$1,),)</f>
        <v>4745</v>
      </c>
      <c r="C74" s="15">
        <f t="shared" si="2"/>
        <v>-8.5666527371500208E-3</v>
      </c>
      <c r="D74" s="16">
        <f t="shared" si="1"/>
        <v>1.4774166314900801E-3</v>
      </c>
    </row>
    <row r="75" spans="1:4" x14ac:dyDescent="0.2">
      <c r="A75" s="13">
        <v>35674</v>
      </c>
      <c r="B75" s="18">
        <f>VLOOKUP(A75,Database!A:Q,MATCH($A$1,Database!$A$1:$Q$1,),)</f>
        <v>4827</v>
      </c>
      <c r="C75" s="15">
        <f t="shared" si="2"/>
        <v>1.7281348788198102E-2</v>
      </c>
      <c r="D75" s="16">
        <f t="shared" si="1"/>
        <v>2.9211087420042643E-2</v>
      </c>
    </row>
    <row r="76" spans="1:4" x14ac:dyDescent="0.2">
      <c r="A76" s="14">
        <v>35704</v>
      </c>
      <c r="B76" s="18">
        <f>VLOOKUP(A76,Database!A:Q,MATCH($A$1,Database!$A$1:$Q$1,),)</f>
        <v>4878</v>
      </c>
      <c r="C76" s="15">
        <f t="shared" si="2"/>
        <v>1.0565568676196395E-2</v>
      </c>
      <c r="D76" s="16">
        <f t="shared" si="1"/>
        <v>2.2855944642482702E-2</v>
      </c>
    </row>
    <row r="77" spans="1:4" x14ac:dyDescent="0.2">
      <c r="A77" s="13">
        <v>35735</v>
      </c>
      <c r="B77" s="18">
        <f>VLOOKUP(A77,Database!A:Q,MATCH($A$1,Database!$A$1:$Q$1,),)</f>
        <v>5015</v>
      </c>
      <c r="C77" s="15">
        <f t="shared" si="2"/>
        <v>2.8085280852808529E-2</v>
      </c>
      <c r="D77" s="16">
        <f t="shared" si="1"/>
        <v>6.8840579710144928E-2</v>
      </c>
    </row>
    <row r="78" spans="1:4" x14ac:dyDescent="0.2">
      <c r="A78" s="14">
        <v>35765</v>
      </c>
      <c r="B78" s="18">
        <f>VLOOKUP(A78,Database!A:Q,MATCH($A$1,Database!$A$1:$Q$1,),)</f>
        <v>4915</v>
      </c>
      <c r="C78" s="15">
        <f t="shared" si="2"/>
        <v>-1.9940179461615155E-2</v>
      </c>
      <c r="D78" s="16">
        <f t="shared" si="1"/>
        <v>-5.0607287449392713E-3</v>
      </c>
    </row>
    <row r="79" spans="1:4" x14ac:dyDescent="0.2">
      <c r="A79" s="13">
        <v>35796</v>
      </c>
      <c r="B79" s="18">
        <f>VLOOKUP(A79,Database!A:Q,MATCH($A$1,Database!$A$1:$Q$1,),)</f>
        <v>4834</v>
      </c>
      <c r="C79" s="15">
        <f t="shared" si="2"/>
        <v>-1.6480162767039674E-2</v>
      </c>
      <c r="D79" s="16">
        <f t="shared" si="1"/>
        <v>1.8112889637742206E-2</v>
      </c>
    </row>
    <row r="80" spans="1:4" x14ac:dyDescent="0.2">
      <c r="A80" s="14">
        <v>35827</v>
      </c>
      <c r="B80" s="18">
        <f>VLOOKUP(A80,Database!A:Q,MATCH($A$1,Database!$A$1:$Q$1,),)</f>
        <v>5027</v>
      </c>
      <c r="C80" s="15">
        <f t="shared" si="2"/>
        <v>3.992552751344642E-2</v>
      </c>
      <c r="D80" s="16">
        <f t="shared" si="1"/>
        <v>7.7368195456493788E-2</v>
      </c>
    </row>
    <row r="81" spans="1:4" x14ac:dyDescent="0.2">
      <c r="A81" s="13">
        <v>35855</v>
      </c>
      <c r="B81" s="18">
        <f>VLOOKUP(A81,Database!A:Q,MATCH($A$1,Database!$A$1:$Q$1,),)</f>
        <v>5008</v>
      </c>
      <c r="C81" s="15">
        <f t="shared" si="2"/>
        <v>-3.7795902128506067E-3</v>
      </c>
      <c r="D81" s="16">
        <f t="shared" si="1"/>
        <v>6.5985525755640692E-2</v>
      </c>
    </row>
    <row r="82" spans="1:4" x14ac:dyDescent="0.2">
      <c r="A82" s="14">
        <v>35886</v>
      </c>
      <c r="B82" s="18">
        <f>VLOOKUP(A82,Database!A:Q,MATCH($A$1,Database!$A$1:$Q$1,),)</f>
        <v>5036</v>
      </c>
      <c r="C82" s="15">
        <f t="shared" si="2"/>
        <v>5.5910543130990413E-3</v>
      </c>
      <c r="D82" s="16">
        <f t="shared" si="1"/>
        <v>6.582010582010582E-2</v>
      </c>
    </row>
    <row r="83" spans="1:4" x14ac:dyDescent="0.2">
      <c r="A83" s="13">
        <v>35916</v>
      </c>
      <c r="B83" s="18">
        <f>VLOOKUP(A83,Database!A:Q,MATCH($A$1,Database!$A$1:$Q$1,),)</f>
        <v>4986</v>
      </c>
      <c r="C83" s="15">
        <f t="shared" si="2"/>
        <v>-9.9285146942017476E-3</v>
      </c>
      <c r="D83" s="16">
        <f t="shared" si="1"/>
        <v>4.6819231576737348E-2</v>
      </c>
    </row>
    <row r="84" spans="1:4" x14ac:dyDescent="0.2">
      <c r="A84" s="14">
        <v>35947</v>
      </c>
      <c r="B84" s="18">
        <f>VLOOKUP(A84,Database!A:Q,MATCH($A$1,Database!$A$1:$Q$1,),)</f>
        <v>5083</v>
      </c>
      <c r="C84" s="15">
        <f t="shared" si="2"/>
        <v>1.9454472523064582E-2</v>
      </c>
      <c r="D84" s="16">
        <f t="shared" ref="D84:D147" si="3">(B84-B72)/B72</f>
        <v>5.0640760644894582E-2</v>
      </c>
    </row>
    <row r="85" spans="1:4" x14ac:dyDescent="0.2">
      <c r="A85" s="13">
        <v>35977</v>
      </c>
      <c r="B85" s="18">
        <f>VLOOKUP(A85,Database!A:Q,MATCH($A$1,Database!$A$1:$Q$1,),)</f>
        <v>5032</v>
      </c>
      <c r="C85" s="15">
        <f t="shared" si="2"/>
        <v>-1.0033444816053512E-2</v>
      </c>
      <c r="D85" s="16">
        <f t="shared" si="3"/>
        <v>5.1399916422900128E-2</v>
      </c>
    </row>
    <row r="86" spans="1:4" x14ac:dyDescent="0.2">
      <c r="A86" s="14">
        <v>36008</v>
      </c>
      <c r="B86" s="18">
        <f>VLOOKUP(A86,Database!A:Q,MATCH($A$1,Database!$A$1:$Q$1,),)</f>
        <v>5057</v>
      </c>
      <c r="C86" s="15">
        <f t="shared" si="2"/>
        <v>4.9682034976152624E-3</v>
      </c>
      <c r="D86" s="16">
        <f t="shared" si="3"/>
        <v>6.575342465753424E-2</v>
      </c>
    </row>
    <row r="87" spans="1:4" x14ac:dyDescent="0.2">
      <c r="A87" s="13">
        <v>36039</v>
      </c>
      <c r="B87" s="18">
        <f>VLOOKUP(A87,Database!A:Q,MATCH($A$1,Database!$A$1:$Q$1,),)</f>
        <v>5047</v>
      </c>
      <c r="C87" s="15">
        <f t="shared" si="2"/>
        <v>-1.9774569903104606E-3</v>
      </c>
      <c r="D87" s="16">
        <f t="shared" si="3"/>
        <v>4.5576962916925624E-2</v>
      </c>
    </row>
    <row r="88" spans="1:4" x14ac:dyDescent="0.2">
      <c r="A88" s="14">
        <v>36069</v>
      </c>
      <c r="B88" s="18">
        <f>VLOOKUP(A88,Database!A:Q,MATCH($A$1,Database!$A$1:$Q$1,),)</f>
        <v>5108</v>
      </c>
      <c r="C88" s="15">
        <f t="shared" si="2"/>
        <v>1.2086387953239549E-2</v>
      </c>
      <c r="D88" s="16">
        <f t="shared" si="3"/>
        <v>4.7150471504715047E-2</v>
      </c>
    </row>
    <row r="89" spans="1:4" x14ac:dyDescent="0.2">
      <c r="A89" s="13">
        <v>36100</v>
      </c>
      <c r="B89" s="18">
        <f>VLOOKUP(A89,Database!A:Q,MATCH($A$1,Database!$A$1:$Q$1,),)</f>
        <v>5093</v>
      </c>
      <c r="C89" s="15">
        <f t="shared" si="2"/>
        <v>-2.9365700861393894E-3</v>
      </c>
      <c r="D89" s="16">
        <f t="shared" si="3"/>
        <v>1.5553339980059821E-2</v>
      </c>
    </row>
    <row r="90" spans="1:4" x14ac:dyDescent="0.2">
      <c r="A90" s="14">
        <v>36130</v>
      </c>
      <c r="B90" s="18">
        <f>VLOOKUP(A90,Database!A:Q,MATCH($A$1,Database!$A$1:$Q$1,),)</f>
        <v>5154</v>
      </c>
      <c r="C90" s="15">
        <f t="shared" si="2"/>
        <v>1.1977223640290595E-2</v>
      </c>
      <c r="D90" s="16">
        <f t="shared" si="3"/>
        <v>4.8626653102746692E-2</v>
      </c>
    </row>
    <row r="91" spans="1:4" x14ac:dyDescent="0.2">
      <c r="A91" s="13">
        <v>36161</v>
      </c>
      <c r="B91" s="18">
        <f>VLOOKUP(A91,Database!A:Q,MATCH($A$1,Database!$A$1:$Q$1,),)</f>
        <v>5122</v>
      </c>
      <c r="C91" s="15">
        <f t="shared" si="2"/>
        <v>-6.2087698874660454E-3</v>
      </c>
      <c r="D91" s="16">
        <f t="shared" si="3"/>
        <v>5.9577989242863054E-2</v>
      </c>
    </row>
    <row r="92" spans="1:4" x14ac:dyDescent="0.2">
      <c r="A92" s="14">
        <v>36192</v>
      </c>
      <c r="B92" s="18">
        <f>VLOOKUP(A92,Database!A:Q,MATCH($A$1,Database!$A$1:$Q$1,),)</f>
        <v>5292</v>
      </c>
      <c r="C92" s="15">
        <f t="shared" si="2"/>
        <v>3.3190160093713394E-2</v>
      </c>
      <c r="D92" s="16">
        <f t="shared" si="3"/>
        <v>5.2715337179232144E-2</v>
      </c>
    </row>
    <row r="93" spans="1:4" x14ac:dyDescent="0.2">
      <c r="A93" s="13">
        <v>36220</v>
      </c>
      <c r="B93" s="18">
        <f>VLOOKUP(A93,Database!A:Q,MATCH($A$1,Database!$A$1:$Q$1,),)</f>
        <v>5273</v>
      </c>
      <c r="C93" s="15">
        <f t="shared" si="2"/>
        <v>-3.5903250188964475E-3</v>
      </c>
      <c r="D93" s="16">
        <f t="shared" si="3"/>
        <v>5.2915335463258786E-2</v>
      </c>
    </row>
    <row r="94" spans="1:4" x14ac:dyDescent="0.2">
      <c r="A94" s="14">
        <v>36251</v>
      </c>
      <c r="B94" s="18">
        <f>VLOOKUP(A94,Database!A:Q,MATCH($A$1,Database!$A$1:$Q$1,),)</f>
        <v>5277</v>
      </c>
      <c r="C94" s="15">
        <f t="shared" si="2"/>
        <v>7.5858145268348188E-4</v>
      </c>
      <c r="D94" s="16">
        <f t="shared" si="3"/>
        <v>4.785544082605242E-2</v>
      </c>
    </row>
    <row r="95" spans="1:4" x14ac:dyDescent="0.2">
      <c r="A95" s="13">
        <v>36281</v>
      </c>
      <c r="B95" s="18">
        <f>VLOOKUP(A95,Database!A:Q,MATCH($A$1,Database!$A$1:$Q$1,),)</f>
        <v>5328</v>
      </c>
      <c r="C95" s="15">
        <f t="shared" si="2"/>
        <v>9.6645821489482666E-3</v>
      </c>
      <c r="D95" s="16">
        <f t="shared" si="3"/>
        <v>6.8592057761732855E-2</v>
      </c>
    </row>
    <row r="96" spans="1:4" x14ac:dyDescent="0.2">
      <c r="A96" s="14">
        <v>36312</v>
      </c>
      <c r="B96" s="18">
        <f>VLOOKUP(A96,Database!A:Q,MATCH($A$1,Database!$A$1:$Q$1,),)</f>
        <v>5367</v>
      </c>
      <c r="C96" s="15">
        <f t="shared" si="2"/>
        <v>7.3198198198198196E-3</v>
      </c>
      <c r="D96" s="16">
        <f t="shared" si="3"/>
        <v>5.5872516230572496E-2</v>
      </c>
    </row>
    <row r="97" spans="1:4" x14ac:dyDescent="0.2">
      <c r="A97" s="13">
        <v>36342</v>
      </c>
      <c r="B97" s="18">
        <f>VLOOKUP(A97,Database!A:Q,MATCH($A$1,Database!$A$1:$Q$1,),)</f>
        <v>5326</v>
      </c>
      <c r="C97" s="15">
        <f t="shared" si="2"/>
        <v>-7.639277063536426E-3</v>
      </c>
      <c r="D97" s="16">
        <f t="shared" si="3"/>
        <v>5.8426073131955483E-2</v>
      </c>
    </row>
    <row r="98" spans="1:4" x14ac:dyDescent="0.2">
      <c r="A98" s="14">
        <v>36373</v>
      </c>
      <c r="B98" s="18">
        <f>VLOOKUP(A98,Database!A:Q,MATCH($A$1,Database!$A$1:$Q$1,),)</f>
        <v>5290</v>
      </c>
      <c r="C98" s="15">
        <f t="shared" si="2"/>
        <v>-6.7592940292902741E-3</v>
      </c>
      <c r="D98" s="16">
        <f t="shared" si="3"/>
        <v>4.6074747874233733E-2</v>
      </c>
    </row>
    <row r="99" spans="1:4" x14ac:dyDescent="0.2">
      <c r="A99" s="13">
        <v>36404</v>
      </c>
      <c r="B99" s="18">
        <f>VLOOKUP(A99,Database!A:Q,MATCH($A$1,Database!$A$1:$Q$1,),)</f>
        <v>5385</v>
      </c>
      <c r="C99" s="15">
        <f t="shared" si="2"/>
        <v>1.7958412098298678E-2</v>
      </c>
      <c r="D99" s="16">
        <f t="shared" si="3"/>
        <v>6.6970477511392901E-2</v>
      </c>
    </row>
    <row r="100" spans="1:4" x14ac:dyDescent="0.2">
      <c r="A100" s="14">
        <v>36434</v>
      </c>
      <c r="B100" s="18">
        <f>VLOOKUP(A100,Database!A:Q,MATCH($A$1,Database!$A$1:$Q$1,),)</f>
        <v>5373</v>
      </c>
      <c r="C100" s="15">
        <f t="shared" si="2"/>
        <v>-2.2284122562674096E-3</v>
      </c>
      <c r="D100" s="16">
        <f t="shared" si="3"/>
        <v>5.1879404855129208E-2</v>
      </c>
    </row>
    <row r="101" spans="1:4" x14ac:dyDescent="0.2">
      <c r="A101" s="13">
        <v>36465</v>
      </c>
      <c r="B101" s="18">
        <f>VLOOKUP(A101,Database!A:Q,MATCH($A$1,Database!$A$1:$Q$1,),)</f>
        <v>5414</v>
      </c>
      <c r="C101" s="15">
        <f t="shared" si="2"/>
        <v>7.630746324213661E-3</v>
      </c>
      <c r="D101" s="16">
        <f t="shared" si="3"/>
        <v>6.3027685057922639E-2</v>
      </c>
    </row>
    <row r="102" spans="1:4" x14ac:dyDescent="0.2">
      <c r="A102" s="14">
        <v>36495</v>
      </c>
      <c r="B102" s="18">
        <f>VLOOKUP(A102,Database!A:Q,MATCH($A$1,Database!$A$1:$Q$1,),)</f>
        <v>5455</v>
      </c>
      <c r="C102" s="15">
        <f t="shared" si="2"/>
        <v>7.5729589951976355E-3</v>
      </c>
      <c r="D102" s="16">
        <f t="shared" si="3"/>
        <v>5.8401241753977491E-2</v>
      </c>
    </row>
    <row r="103" spans="1:4" x14ac:dyDescent="0.2">
      <c r="A103" s="13">
        <v>36526</v>
      </c>
      <c r="B103" s="18">
        <f>VLOOKUP(A103,Database!A:Q,MATCH($A$1,Database!$A$1:$Q$1,),)</f>
        <v>5232</v>
      </c>
      <c r="C103" s="15">
        <f t="shared" si="2"/>
        <v>-4.0879926672777268E-2</v>
      </c>
      <c r="D103" s="16">
        <f t="shared" si="3"/>
        <v>2.1475985942991018E-2</v>
      </c>
    </row>
    <row r="104" spans="1:4" x14ac:dyDescent="0.2">
      <c r="A104" s="14">
        <v>36557</v>
      </c>
      <c r="B104" s="18">
        <f>VLOOKUP(A104,Database!A:Q,MATCH($A$1,Database!$A$1:$Q$1,),)</f>
        <v>5541</v>
      </c>
      <c r="C104" s="15">
        <f t="shared" si="2"/>
        <v>5.9059633027522936E-2</v>
      </c>
      <c r="D104" s="16">
        <f t="shared" si="3"/>
        <v>4.7052154195011339E-2</v>
      </c>
    </row>
    <row r="105" spans="1:4" x14ac:dyDescent="0.2">
      <c r="A105" s="13">
        <v>36586</v>
      </c>
      <c r="B105" s="18">
        <f>VLOOKUP(A105,Database!A:Q,MATCH($A$1,Database!$A$1:$Q$1,),)</f>
        <v>5635</v>
      </c>
      <c r="C105" s="15">
        <f t="shared" si="2"/>
        <v>1.6964446850748962E-2</v>
      </c>
      <c r="D105" s="16">
        <f t="shared" si="3"/>
        <v>6.8651621467855112E-2</v>
      </c>
    </row>
    <row r="106" spans="1:4" x14ac:dyDescent="0.2">
      <c r="A106" s="14">
        <v>36617</v>
      </c>
      <c r="B106" s="18">
        <f>VLOOKUP(A106,Database!A:Q,MATCH($A$1,Database!$A$1:$Q$1,),)</f>
        <v>5649</v>
      </c>
      <c r="C106" s="15">
        <f t="shared" si="2"/>
        <v>2.4844720496894411E-3</v>
      </c>
      <c r="D106" s="16">
        <f t="shared" si="3"/>
        <v>7.0494599204093233E-2</v>
      </c>
    </row>
    <row r="107" spans="1:4" x14ac:dyDescent="0.2">
      <c r="A107" s="13">
        <v>36647</v>
      </c>
      <c r="B107" s="18">
        <f>VLOOKUP(A107,Database!A:Q,MATCH($A$1,Database!$A$1:$Q$1,),)</f>
        <v>5757</v>
      </c>
      <c r="C107" s="15">
        <f t="shared" si="2"/>
        <v>1.9118428040361127E-2</v>
      </c>
      <c r="D107" s="16">
        <f t="shared" si="3"/>
        <v>8.0518018018018014E-2</v>
      </c>
    </row>
    <row r="108" spans="1:4" x14ac:dyDescent="0.2">
      <c r="A108" s="14">
        <v>36678</v>
      </c>
      <c r="B108" s="18">
        <f>VLOOKUP(A108,Database!A:Q,MATCH($A$1,Database!$A$1:$Q$1,),)</f>
        <v>5686</v>
      </c>
      <c r="C108" s="15">
        <f t="shared" si="2"/>
        <v>-1.233281222859128E-2</v>
      </c>
      <c r="D108" s="16">
        <f t="shared" si="3"/>
        <v>5.9437302030929756E-2</v>
      </c>
    </row>
    <row r="109" spans="1:4" x14ac:dyDescent="0.2">
      <c r="A109" s="13">
        <v>36708</v>
      </c>
      <c r="B109" s="18">
        <f>VLOOKUP(A109,Database!A:Q,MATCH($A$1,Database!$A$1:$Q$1,),)</f>
        <v>5800</v>
      </c>
      <c r="C109" s="15">
        <f t="shared" si="2"/>
        <v>2.0049243756595145E-2</v>
      </c>
      <c r="D109" s="16">
        <f t="shared" si="3"/>
        <v>8.8997371385655277E-2</v>
      </c>
    </row>
    <row r="110" spans="1:4" x14ac:dyDescent="0.2">
      <c r="A110" s="14">
        <v>36739</v>
      </c>
      <c r="B110" s="18">
        <f>VLOOKUP(A110,Database!A:Q,MATCH($A$1,Database!$A$1:$Q$1,),)</f>
        <v>5633</v>
      </c>
      <c r="C110" s="15">
        <f t="shared" si="2"/>
        <v>-2.8793103448275861E-2</v>
      </c>
      <c r="D110" s="16">
        <f t="shared" si="3"/>
        <v>6.483931947069943E-2</v>
      </c>
    </row>
    <row r="111" spans="1:4" x14ac:dyDescent="0.2">
      <c r="A111" s="13">
        <v>36770</v>
      </c>
      <c r="B111" s="18">
        <f>VLOOKUP(A111,Database!A:Q,MATCH($A$1,Database!$A$1:$Q$1,),)</f>
        <v>5728</v>
      </c>
      <c r="C111" s="15">
        <f t="shared" si="2"/>
        <v>1.6864903248712943E-2</v>
      </c>
      <c r="D111" s="16">
        <f t="shared" si="3"/>
        <v>6.3695450324976782E-2</v>
      </c>
    </row>
    <row r="112" spans="1:4" x14ac:dyDescent="0.2">
      <c r="A112" s="14">
        <v>36800</v>
      </c>
      <c r="B112" s="18">
        <f>VLOOKUP(A112,Database!A:Q,MATCH($A$1,Database!$A$1:$Q$1,),)</f>
        <v>5626</v>
      </c>
      <c r="C112" s="15">
        <f t="shared" si="2"/>
        <v>-1.7807262569832401E-2</v>
      </c>
      <c r="D112" s="16">
        <f t="shared" si="3"/>
        <v>4.7087288293318444E-2</v>
      </c>
    </row>
    <row r="113" spans="1:4" x14ac:dyDescent="0.2">
      <c r="A113" s="13">
        <v>36831</v>
      </c>
      <c r="B113" s="18">
        <f>VLOOKUP(A113,Database!A:Q,MATCH($A$1,Database!$A$1:$Q$1,),)</f>
        <v>5615</v>
      </c>
      <c r="C113" s="15">
        <f t="shared" si="2"/>
        <v>-1.9552079630287948E-3</v>
      </c>
      <c r="D113" s="16">
        <f t="shared" si="3"/>
        <v>3.7125969708164022E-2</v>
      </c>
    </row>
    <row r="114" spans="1:4" x14ac:dyDescent="0.2">
      <c r="A114" s="14">
        <v>36861</v>
      </c>
      <c r="B114" s="18">
        <f>VLOOKUP(A114,Database!A:Q,MATCH($A$1,Database!$A$1:$Q$1,),)</f>
        <v>5601</v>
      </c>
      <c r="C114" s="15">
        <f t="shared" si="2"/>
        <v>-2.4933214603739982E-3</v>
      </c>
      <c r="D114" s="16">
        <f t="shared" si="3"/>
        <v>2.6764436296975253E-2</v>
      </c>
    </row>
    <row r="115" spans="1:4" x14ac:dyDescent="0.2">
      <c r="A115" s="13">
        <v>36892</v>
      </c>
      <c r="B115" s="18">
        <f>VLOOKUP(A115,Database!A:Q,MATCH($A$1,Database!$A$1:$Q$1,),)</f>
        <v>5386</v>
      </c>
      <c r="C115" s="15">
        <f t="shared" si="2"/>
        <v>-3.8386002499553651E-2</v>
      </c>
      <c r="D115" s="16">
        <f t="shared" si="3"/>
        <v>2.9434250764525993E-2</v>
      </c>
    </row>
    <row r="116" spans="1:4" x14ac:dyDescent="0.2">
      <c r="A116" s="14">
        <v>36923</v>
      </c>
      <c r="B116" s="18">
        <f>VLOOKUP(A116,Database!A:Q,MATCH($A$1,Database!$A$1:$Q$1,),)</f>
        <v>5715</v>
      </c>
      <c r="C116" s="15">
        <f t="shared" si="2"/>
        <v>6.1084292610471595E-2</v>
      </c>
      <c r="D116" s="16">
        <f t="shared" si="3"/>
        <v>3.1402273957769358E-2</v>
      </c>
    </row>
    <row r="117" spans="1:4" x14ac:dyDescent="0.2">
      <c r="A117" s="13">
        <v>36951</v>
      </c>
      <c r="B117" s="18">
        <f>VLOOKUP(A117,Database!A:Q,MATCH($A$1,Database!$A$1:$Q$1,),)</f>
        <v>5723</v>
      </c>
      <c r="C117" s="15">
        <f t="shared" si="2"/>
        <v>1.3998250218722659E-3</v>
      </c>
      <c r="D117" s="16">
        <f t="shared" si="3"/>
        <v>1.5616681455190773E-2</v>
      </c>
    </row>
    <row r="118" spans="1:4" x14ac:dyDescent="0.2">
      <c r="A118" s="14">
        <v>36982</v>
      </c>
      <c r="B118" s="18">
        <f>VLOOKUP(A118,Database!A:Q,MATCH($A$1,Database!$A$1:$Q$1,),)</f>
        <v>5658</v>
      </c>
      <c r="C118" s="15">
        <f t="shared" si="2"/>
        <v>-1.1357679538703477E-2</v>
      </c>
      <c r="D118" s="16">
        <f t="shared" si="3"/>
        <v>1.5932023366967605E-3</v>
      </c>
    </row>
    <row r="119" spans="1:4" x14ac:dyDescent="0.2">
      <c r="A119" s="13">
        <v>37012</v>
      </c>
      <c r="B119" s="18">
        <f>VLOOKUP(A119,Database!A:Q,MATCH($A$1,Database!$A$1:$Q$1,),)</f>
        <v>5679</v>
      </c>
      <c r="C119" s="15">
        <f t="shared" si="2"/>
        <v>3.711558854718982E-3</v>
      </c>
      <c r="D119" s="16">
        <f t="shared" si="3"/>
        <v>-1.354872329338197E-2</v>
      </c>
    </row>
    <row r="120" spans="1:4" x14ac:dyDescent="0.2">
      <c r="A120" s="14">
        <v>37043</v>
      </c>
      <c r="B120" s="18">
        <f>VLOOKUP(A120,Database!A:Q,MATCH($A$1,Database!$A$1:$Q$1,),)</f>
        <v>5621</v>
      </c>
      <c r="C120" s="15">
        <f t="shared" si="2"/>
        <v>-1.0213065680577567E-2</v>
      </c>
      <c r="D120" s="16">
        <f t="shared" si="3"/>
        <v>-1.14315863524446E-2</v>
      </c>
    </row>
    <row r="121" spans="1:4" x14ac:dyDescent="0.2">
      <c r="A121" s="13">
        <v>37073</v>
      </c>
      <c r="B121" s="18">
        <f>VLOOKUP(A121,Database!A:Q,MATCH($A$1,Database!$A$1:$Q$1,),)</f>
        <v>5703</v>
      </c>
      <c r="C121" s="15">
        <f t="shared" si="2"/>
        <v>1.4588151574452944E-2</v>
      </c>
      <c r="D121" s="16">
        <f t="shared" si="3"/>
        <v>-1.6724137931034482E-2</v>
      </c>
    </row>
    <row r="122" spans="1:4" x14ac:dyDescent="0.2">
      <c r="A122" s="14">
        <v>37104</v>
      </c>
      <c r="B122" s="18">
        <f>VLOOKUP(A122,Database!A:Q,MATCH($A$1,Database!$A$1:$Q$1,),)</f>
        <v>5775</v>
      </c>
      <c r="C122" s="15">
        <f t="shared" si="2"/>
        <v>1.262493424513414E-2</v>
      </c>
      <c r="D122" s="16">
        <f t="shared" si="3"/>
        <v>2.5208592224391976E-2</v>
      </c>
    </row>
    <row r="123" spans="1:4" x14ac:dyDescent="0.2">
      <c r="A123" s="13">
        <v>37135</v>
      </c>
      <c r="B123" s="18">
        <f>VLOOKUP(A123,Database!A:Q,MATCH($A$1,Database!$A$1:$Q$1,),)</f>
        <v>5672</v>
      </c>
      <c r="C123" s="15">
        <f t="shared" si="2"/>
        <v>-1.7835497835497836E-2</v>
      </c>
      <c r="D123" s="16">
        <f t="shared" si="3"/>
        <v>-9.7765363128491621E-3</v>
      </c>
    </row>
    <row r="124" spans="1:4" x14ac:dyDescent="0.2">
      <c r="A124" s="14">
        <v>37165</v>
      </c>
      <c r="B124" s="18">
        <f>VLOOKUP(A124,Database!A:Q,MATCH($A$1,Database!$A$1:$Q$1,),)</f>
        <v>5798</v>
      </c>
      <c r="C124" s="15">
        <f t="shared" si="2"/>
        <v>2.2214386459802539E-2</v>
      </c>
      <c r="D124" s="16">
        <f t="shared" si="3"/>
        <v>3.0572342694632066E-2</v>
      </c>
    </row>
    <row r="125" spans="1:4" x14ac:dyDescent="0.2">
      <c r="A125" s="13">
        <v>37196</v>
      </c>
      <c r="B125" s="18">
        <f>VLOOKUP(A125,Database!A:Q,MATCH($A$1,Database!$A$1:$Q$1,),)</f>
        <v>6066</v>
      </c>
      <c r="C125" s="15">
        <f t="shared" si="2"/>
        <v>4.6222835460503625E-2</v>
      </c>
      <c r="D125" s="16">
        <f t="shared" si="3"/>
        <v>8.0320569902048083E-2</v>
      </c>
    </row>
    <row r="126" spans="1:4" x14ac:dyDescent="0.2">
      <c r="A126" s="14">
        <v>37226</v>
      </c>
      <c r="B126" s="18">
        <f>VLOOKUP(A126,Database!A:Q,MATCH($A$1,Database!$A$1:$Q$1,),)</f>
        <v>5797</v>
      </c>
      <c r="C126" s="15">
        <f t="shared" si="2"/>
        <v>-4.4345532476096274E-2</v>
      </c>
      <c r="D126" s="16">
        <f t="shared" si="3"/>
        <v>3.4993751115872163E-2</v>
      </c>
    </row>
    <row r="127" spans="1:4" x14ac:dyDescent="0.2">
      <c r="A127" s="13">
        <v>37257</v>
      </c>
      <c r="B127" s="18">
        <f>VLOOKUP(A127,Database!A:Q,MATCH($A$1,Database!$A$1:$Q$1,),)</f>
        <v>5775</v>
      </c>
      <c r="C127" s="15">
        <f t="shared" si="2"/>
        <v>-3.7950664136622392E-3</v>
      </c>
      <c r="D127" s="16">
        <f t="shared" si="3"/>
        <v>7.2224285183809883E-2</v>
      </c>
    </row>
    <row r="128" spans="1:4" x14ac:dyDescent="0.2">
      <c r="A128" s="14">
        <v>37288</v>
      </c>
      <c r="B128" s="18">
        <f>VLOOKUP(A128,Database!A:Q,MATCH($A$1,Database!$A$1:$Q$1,),)</f>
        <v>5711</v>
      </c>
      <c r="C128" s="15">
        <f t="shared" si="2"/>
        <v>-1.1082251082251082E-2</v>
      </c>
      <c r="D128" s="16">
        <f t="shared" si="3"/>
        <v>-6.9991251093613294E-4</v>
      </c>
    </row>
    <row r="129" spans="1:4" x14ac:dyDescent="0.2">
      <c r="A129" s="13">
        <v>37316</v>
      </c>
      <c r="B129" s="18">
        <f>VLOOKUP(A129,Database!A:Q,MATCH($A$1,Database!$A$1:$Q$1,),)</f>
        <v>5717</v>
      </c>
      <c r="C129" s="15">
        <f t="shared" si="2"/>
        <v>1.0506040973559797E-3</v>
      </c>
      <c r="D129" s="16">
        <f t="shared" si="3"/>
        <v>-1.0484011881880134E-3</v>
      </c>
    </row>
    <row r="130" spans="1:4" x14ac:dyDescent="0.2">
      <c r="A130" s="14">
        <v>37347</v>
      </c>
      <c r="B130" s="18">
        <f>VLOOKUP(A130,Database!A:Q,MATCH($A$1,Database!$A$1:$Q$1,),)</f>
        <v>5799</v>
      </c>
      <c r="C130" s="15">
        <f t="shared" si="2"/>
        <v>1.4343186986181564E-2</v>
      </c>
      <c r="D130" s="16">
        <f t="shared" si="3"/>
        <v>2.4920466595970307E-2</v>
      </c>
    </row>
    <row r="131" spans="1:4" x14ac:dyDescent="0.2">
      <c r="A131" s="13">
        <v>37377</v>
      </c>
      <c r="B131" s="18">
        <f>VLOOKUP(A131,Database!A:Q,MATCH($A$1,Database!$A$1:$Q$1,),)</f>
        <v>5731</v>
      </c>
      <c r="C131" s="15">
        <f t="shared" si="2"/>
        <v>-1.1726159682703914E-2</v>
      </c>
      <c r="D131" s="16">
        <f t="shared" si="3"/>
        <v>9.1565416446557496E-3</v>
      </c>
    </row>
    <row r="132" spans="1:4" x14ac:dyDescent="0.2">
      <c r="A132" s="14">
        <v>37408</v>
      </c>
      <c r="B132" s="18">
        <f>VLOOKUP(A132,Database!A:Q,MATCH($A$1,Database!$A$1:$Q$1,),)</f>
        <v>5670</v>
      </c>
      <c r="C132" s="15">
        <f t="shared" si="2"/>
        <v>-1.0643866689931948E-2</v>
      </c>
      <c r="D132" s="16">
        <f t="shared" si="3"/>
        <v>8.717310087173101E-3</v>
      </c>
    </row>
    <row r="133" spans="1:4" x14ac:dyDescent="0.2">
      <c r="A133" s="13">
        <v>37438</v>
      </c>
      <c r="B133" s="18">
        <f>VLOOKUP(A133,Database!A:Q,MATCH($A$1,Database!$A$1:$Q$1,),)</f>
        <v>5666</v>
      </c>
      <c r="C133" s="15">
        <f t="shared" si="2"/>
        <v>-7.0546737213403885E-4</v>
      </c>
      <c r="D133" s="16">
        <f t="shared" si="3"/>
        <v>-6.4878134315272664E-3</v>
      </c>
    </row>
    <row r="134" spans="1:4" x14ac:dyDescent="0.2">
      <c r="A134" s="14">
        <v>37469</v>
      </c>
      <c r="B134" s="18">
        <f>VLOOKUP(A134,Database!A:Q,MATCH($A$1,Database!$A$1:$Q$1,),)</f>
        <v>5689</v>
      </c>
      <c r="C134" s="15">
        <f t="shared" si="2"/>
        <v>4.0593010942463819E-3</v>
      </c>
      <c r="D134" s="16">
        <f t="shared" si="3"/>
        <v>-1.4891774891774892E-2</v>
      </c>
    </row>
    <row r="135" spans="1:4" x14ac:dyDescent="0.2">
      <c r="A135" s="13">
        <v>37500</v>
      </c>
      <c r="B135" s="18">
        <f>VLOOKUP(A135,Database!A:Q,MATCH($A$1,Database!$A$1:$Q$1,),)</f>
        <v>5852</v>
      </c>
      <c r="C135" s="15">
        <f t="shared" si="2"/>
        <v>2.865178414484092E-2</v>
      </c>
      <c r="D135" s="16">
        <f t="shared" si="3"/>
        <v>3.1734837799717912E-2</v>
      </c>
    </row>
    <row r="136" spans="1:4" x14ac:dyDescent="0.2">
      <c r="A136" s="14">
        <v>37530</v>
      </c>
      <c r="B136" s="18">
        <f>VLOOKUP(A136,Database!A:Q,MATCH($A$1,Database!$A$1:$Q$1,),)</f>
        <v>5839</v>
      </c>
      <c r="C136" s="15">
        <f t="shared" si="2"/>
        <v>-2.2214627477785374E-3</v>
      </c>
      <c r="D136" s="16">
        <f t="shared" si="3"/>
        <v>7.0714039323904795E-3</v>
      </c>
    </row>
    <row r="137" spans="1:4" x14ac:dyDescent="0.2">
      <c r="A137" s="13">
        <v>37561</v>
      </c>
      <c r="B137" s="18">
        <f>VLOOKUP(A137,Database!A:Q,MATCH($A$1,Database!$A$1:$Q$1,),)</f>
        <v>5985</v>
      </c>
      <c r="C137" s="15">
        <f t="shared" ref="C137:C200" si="4">(B137-B136)/B136</f>
        <v>2.5004281555060799E-2</v>
      </c>
      <c r="D137" s="16">
        <f t="shared" si="3"/>
        <v>-1.3353115727002967E-2</v>
      </c>
    </row>
    <row r="138" spans="1:4" x14ac:dyDescent="0.2">
      <c r="A138" s="14">
        <v>37591</v>
      </c>
      <c r="B138" s="18">
        <f>VLOOKUP(A138,Database!A:Q,MATCH($A$1,Database!$A$1:$Q$1,),)</f>
        <v>5809</v>
      </c>
      <c r="C138" s="15">
        <f t="shared" si="4"/>
        <v>-2.9406850459482037E-2</v>
      </c>
      <c r="D138" s="16">
        <f t="shared" si="3"/>
        <v>2.0700362256339485E-3</v>
      </c>
    </row>
    <row r="139" spans="1:4" x14ac:dyDescent="0.2">
      <c r="A139" s="13">
        <v>37622</v>
      </c>
      <c r="B139" s="18">
        <f>VLOOKUP(A139,Database!A:Q,MATCH($A$1,Database!$A$1:$Q$1,),)</f>
        <v>5794</v>
      </c>
      <c r="C139" s="15">
        <f t="shared" si="4"/>
        <v>-2.5822000344293337E-3</v>
      </c>
      <c r="D139" s="16">
        <f t="shared" si="3"/>
        <v>3.29004329004329E-3</v>
      </c>
    </row>
    <row r="140" spans="1:4" x14ac:dyDescent="0.2">
      <c r="A140" s="14">
        <v>37653</v>
      </c>
      <c r="B140" s="18">
        <f>VLOOKUP(A140,Database!A:Q,MATCH($A$1,Database!$A$1:$Q$1,),)</f>
        <v>5576</v>
      </c>
      <c r="C140" s="15">
        <f t="shared" si="4"/>
        <v>-3.7625129444252677E-2</v>
      </c>
      <c r="D140" s="16">
        <f t="shared" si="3"/>
        <v>-2.3638592190509542E-2</v>
      </c>
    </row>
    <row r="141" spans="1:4" x14ac:dyDescent="0.2">
      <c r="A141" s="13">
        <v>37681</v>
      </c>
      <c r="B141" s="18">
        <f>VLOOKUP(A141,Database!A:Q,MATCH($A$1,Database!$A$1:$Q$1,),)</f>
        <v>5660</v>
      </c>
      <c r="C141" s="15">
        <f t="shared" si="4"/>
        <v>1.5064562410329985E-2</v>
      </c>
      <c r="D141" s="16">
        <f t="shared" si="3"/>
        <v>-9.9702641245408424E-3</v>
      </c>
    </row>
    <row r="142" spans="1:4" x14ac:dyDescent="0.2">
      <c r="A142" s="14">
        <v>37712</v>
      </c>
      <c r="B142" s="18">
        <f>VLOOKUP(A142,Database!A:Q,MATCH($A$1,Database!$A$1:$Q$1,),)</f>
        <v>5709</v>
      </c>
      <c r="C142" s="15">
        <f t="shared" si="4"/>
        <v>8.6572438162544167E-3</v>
      </c>
      <c r="D142" s="16">
        <f t="shared" si="3"/>
        <v>-1.5519917227108122E-2</v>
      </c>
    </row>
    <row r="143" spans="1:4" x14ac:dyDescent="0.2">
      <c r="A143" s="13">
        <v>37742</v>
      </c>
      <c r="B143" s="18">
        <f>VLOOKUP(A143,Database!A:Q,MATCH($A$1,Database!$A$1:$Q$1,),)</f>
        <v>5748</v>
      </c>
      <c r="C143" s="15">
        <f t="shared" si="4"/>
        <v>6.8313189700472936E-3</v>
      </c>
      <c r="D143" s="16">
        <f t="shared" si="3"/>
        <v>2.9663235037515269E-3</v>
      </c>
    </row>
    <row r="144" spans="1:4" x14ac:dyDescent="0.2">
      <c r="A144" s="14">
        <v>37773</v>
      </c>
      <c r="B144" s="18">
        <f>VLOOKUP(A144,Database!A:Q,MATCH($A$1,Database!$A$1:$Q$1,),)</f>
        <v>5908</v>
      </c>
      <c r="C144" s="15">
        <f t="shared" si="4"/>
        <v>2.7835768963117607E-2</v>
      </c>
      <c r="D144" s="16">
        <f t="shared" si="3"/>
        <v>4.1975308641975309E-2</v>
      </c>
    </row>
    <row r="145" spans="1:4" x14ac:dyDescent="0.2">
      <c r="A145" s="13">
        <v>37803</v>
      </c>
      <c r="B145" s="18">
        <f>VLOOKUP(A145,Database!A:Q,MATCH($A$1,Database!$A$1:$Q$1,),)</f>
        <v>5808</v>
      </c>
      <c r="C145" s="15">
        <f t="shared" si="4"/>
        <v>-1.6926201760324982E-2</v>
      </c>
      <c r="D145" s="16">
        <f t="shared" si="3"/>
        <v>2.5061771973173313E-2</v>
      </c>
    </row>
    <row r="146" spans="1:4" x14ac:dyDescent="0.2">
      <c r="A146" s="14">
        <v>37834</v>
      </c>
      <c r="B146" s="18">
        <f>VLOOKUP(A146,Database!A:Q,MATCH($A$1,Database!$A$1:$Q$1,),)</f>
        <v>6132</v>
      </c>
      <c r="C146" s="15">
        <f t="shared" si="4"/>
        <v>5.578512396694215E-2</v>
      </c>
      <c r="D146" s="16">
        <f t="shared" si="3"/>
        <v>7.7869572859905076E-2</v>
      </c>
    </row>
    <row r="147" spans="1:4" x14ac:dyDescent="0.2">
      <c r="A147" s="13">
        <v>37865</v>
      </c>
      <c r="B147" s="18">
        <f>VLOOKUP(A147,Database!A:Q,MATCH($A$1,Database!$A$1:$Q$1,),)</f>
        <v>5954</v>
      </c>
      <c r="C147" s="15">
        <f t="shared" si="4"/>
        <v>-2.902804957599478E-2</v>
      </c>
      <c r="D147" s="16">
        <f t="shared" si="3"/>
        <v>1.7429938482570063E-2</v>
      </c>
    </row>
    <row r="148" spans="1:4" x14ac:dyDescent="0.2">
      <c r="A148" s="14">
        <v>37895</v>
      </c>
      <c r="B148" s="18">
        <f>VLOOKUP(A148,Database!A:Q,MATCH($A$1,Database!$A$1:$Q$1,),)</f>
        <v>5841</v>
      </c>
      <c r="C148" s="15">
        <f t="shared" si="4"/>
        <v>-1.8978837756130334E-2</v>
      </c>
      <c r="D148" s="16">
        <f t="shared" ref="D148:D211" si="5">(B148-B136)/B136</f>
        <v>3.4252440486384652E-4</v>
      </c>
    </row>
    <row r="149" spans="1:4" x14ac:dyDescent="0.2">
      <c r="A149" s="13">
        <v>37926</v>
      </c>
      <c r="B149" s="18">
        <f>VLOOKUP(A149,Database!A:Q,MATCH($A$1,Database!$A$1:$Q$1,),)</f>
        <v>6011</v>
      </c>
      <c r="C149" s="15">
        <f t="shared" si="4"/>
        <v>2.9104605375791816E-2</v>
      </c>
      <c r="D149" s="16">
        <f t="shared" si="5"/>
        <v>4.344193817878028E-3</v>
      </c>
    </row>
    <row r="150" spans="1:4" x14ac:dyDescent="0.2">
      <c r="A150" s="14">
        <v>37956</v>
      </c>
      <c r="B150" s="18">
        <f>VLOOKUP(A150,Database!A:Q,MATCH($A$1,Database!$A$1:$Q$1,),)</f>
        <v>6013</v>
      </c>
      <c r="C150" s="15">
        <f t="shared" si="4"/>
        <v>3.3272334054233906E-4</v>
      </c>
      <c r="D150" s="16">
        <f t="shared" si="5"/>
        <v>3.5117920468238938E-2</v>
      </c>
    </row>
    <row r="151" spans="1:4" x14ac:dyDescent="0.2">
      <c r="A151" s="13">
        <v>37987</v>
      </c>
      <c r="B151" s="18">
        <f>VLOOKUP(A151,Database!A:Q,MATCH($A$1,Database!$A$1:$Q$1,),)</f>
        <v>6087</v>
      </c>
      <c r="C151" s="15">
        <f t="shared" si="4"/>
        <v>1.2306668884084484E-2</v>
      </c>
      <c r="D151" s="16">
        <f t="shared" si="5"/>
        <v>5.0569554711770798E-2</v>
      </c>
    </row>
    <row r="152" spans="1:4" x14ac:dyDescent="0.2">
      <c r="A152" s="14">
        <v>38018</v>
      </c>
      <c r="B152" s="18">
        <f>VLOOKUP(A152,Database!A:Q,MATCH($A$1,Database!$A$1:$Q$1,),)</f>
        <v>6093</v>
      </c>
      <c r="C152" s="15">
        <f t="shared" si="4"/>
        <v>9.8570724494825043E-4</v>
      </c>
      <c r="D152" s="16">
        <f t="shared" si="5"/>
        <v>9.2718794835007168E-2</v>
      </c>
    </row>
    <row r="153" spans="1:4" x14ac:dyDescent="0.2">
      <c r="A153" s="13">
        <v>38047</v>
      </c>
      <c r="B153" s="18">
        <f>VLOOKUP(A153,Database!A:Q,MATCH($A$1,Database!$A$1:$Q$1,),)</f>
        <v>6067</v>
      </c>
      <c r="C153" s="15">
        <f t="shared" si="4"/>
        <v>-4.2671918595109139E-3</v>
      </c>
      <c r="D153" s="16">
        <f t="shared" si="5"/>
        <v>7.1908127208480568E-2</v>
      </c>
    </row>
    <row r="154" spans="1:4" x14ac:dyDescent="0.2">
      <c r="A154" s="14">
        <v>38078</v>
      </c>
      <c r="B154" s="18">
        <f>VLOOKUP(A154,Database!A:Q,MATCH($A$1,Database!$A$1:$Q$1,),)</f>
        <v>5941</v>
      </c>
      <c r="C154" s="15">
        <f t="shared" si="4"/>
        <v>-2.0768089665403E-2</v>
      </c>
      <c r="D154" s="16">
        <f t="shared" si="5"/>
        <v>4.0637589770537746E-2</v>
      </c>
    </row>
    <row r="155" spans="1:4" x14ac:dyDescent="0.2">
      <c r="A155" s="13">
        <v>38108</v>
      </c>
      <c r="B155" s="18">
        <f>VLOOKUP(A155,Database!A:Q,MATCH($A$1,Database!$A$1:$Q$1,),)</f>
        <v>5985</v>
      </c>
      <c r="C155" s="15">
        <f t="shared" si="4"/>
        <v>7.4061605790270999E-3</v>
      </c>
      <c r="D155" s="16">
        <f t="shared" si="5"/>
        <v>4.1231732776617951E-2</v>
      </c>
    </row>
    <row r="156" spans="1:4" x14ac:dyDescent="0.2">
      <c r="A156" s="14">
        <v>38139</v>
      </c>
      <c r="B156" s="18">
        <f>VLOOKUP(A156,Database!A:Q,MATCH($A$1,Database!$A$1:$Q$1,),)</f>
        <v>6017</v>
      </c>
      <c r="C156" s="15">
        <f t="shared" si="4"/>
        <v>5.346700083542189E-3</v>
      </c>
      <c r="D156" s="16">
        <f t="shared" si="5"/>
        <v>1.8449559918754233E-2</v>
      </c>
    </row>
    <row r="157" spans="1:4" x14ac:dyDescent="0.2">
      <c r="A157" s="13">
        <v>38169</v>
      </c>
      <c r="B157" s="18">
        <f>VLOOKUP(A157,Database!A:Q,MATCH($A$1,Database!$A$1:$Q$1,),)</f>
        <v>6124</v>
      </c>
      <c r="C157" s="15">
        <f t="shared" si="4"/>
        <v>1.7782948313112848E-2</v>
      </c>
      <c r="D157" s="16">
        <f t="shared" si="5"/>
        <v>5.4407713498622591E-2</v>
      </c>
    </row>
    <row r="158" spans="1:4" x14ac:dyDescent="0.2">
      <c r="A158" s="14">
        <v>38200</v>
      </c>
      <c r="B158" s="18">
        <f>VLOOKUP(A158,Database!A:Q,MATCH($A$1,Database!$A$1:$Q$1,),)</f>
        <v>6192</v>
      </c>
      <c r="C158" s="15">
        <f t="shared" si="4"/>
        <v>1.1103853690398433E-2</v>
      </c>
      <c r="D158" s="16">
        <f t="shared" si="5"/>
        <v>9.7847358121330719E-3</v>
      </c>
    </row>
    <row r="159" spans="1:4" x14ac:dyDescent="0.2">
      <c r="A159" s="13">
        <v>38231</v>
      </c>
      <c r="B159" s="18">
        <f>VLOOKUP(A159,Database!A:Q,MATCH($A$1,Database!$A$1:$Q$1,),)</f>
        <v>6111</v>
      </c>
      <c r="C159" s="15">
        <f t="shared" si="4"/>
        <v>-1.308139534883721E-2</v>
      </c>
      <c r="D159" s="16">
        <f t="shared" si="5"/>
        <v>2.6368827678871345E-2</v>
      </c>
    </row>
    <row r="160" spans="1:4" x14ac:dyDescent="0.2">
      <c r="A160" s="14">
        <v>38261</v>
      </c>
      <c r="B160" s="18">
        <f>VLOOKUP(A160,Database!A:Q,MATCH($A$1,Database!$A$1:$Q$1,),)</f>
        <v>6094</v>
      </c>
      <c r="C160" s="15">
        <f t="shared" si="4"/>
        <v>-2.7818687612502046E-3</v>
      </c>
      <c r="D160" s="16">
        <f t="shared" si="5"/>
        <v>4.3314500941619587E-2</v>
      </c>
    </row>
    <row r="161" spans="1:4" x14ac:dyDescent="0.2">
      <c r="A161" s="13">
        <v>38292</v>
      </c>
      <c r="B161" s="18">
        <f>VLOOKUP(A161,Database!A:Q,MATCH($A$1,Database!$A$1:$Q$1,),)</f>
        <v>6140</v>
      </c>
      <c r="C161" s="15">
        <f t="shared" si="4"/>
        <v>7.5484082704299314E-3</v>
      </c>
      <c r="D161" s="16">
        <f t="shared" si="5"/>
        <v>2.1460655464980868E-2</v>
      </c>
    </row>
    <row r="162" spans="1:4" x14ac:dyDescent="0.2">
      <c r="A162" s="14">
        <v>38322</v>
      </c>
      <c r="B162" s="18">
        <f>VLOOKUP(A162,Database!A:Q,MATCH($A$1,Database!$A$1:$Q$1,),)</f>
        <v>6122</v>
      </c>
      <c r="C162" s="15">
        <f t="shared" si="4"/>
        <v>-2.9315960912052116E-3</v>
      </c>
      <c r="D162" s="16">
        <f t="shared" si="5"/>
        <v>1.8127390653583902E-2</v>
      </c>
    </row>
    <row r="163" spans="1:4" x14ac:dyDescent="0.2">
      <c r="A163" s="13">
        <v>38353</v>
      </c>
      <c r="B163" s="18">
        <f>VLOOKUP(A163,Database!A:Q,MATCH($A$1,Database!$A$1:$Q$1,),)</f>
        <v>6192</v>
      </c>
      <c r="C163" s="15">
        <f t="shared" si="4"/>
        <v>1.1434171839268212E-2</v>
      </c>
      <c r="D163" s="16">
        <f t="shared" si="5"/>
        <v>1.7249876786594381E-2</v>
      </c>
    </row>
    <row r="164" spans="1:4" x14ac:dyDescent="0.2">
      <c r="A164" s="14">
        <v>38384</v>
      </c>
      <c r="B164" s="18">
        <f>VLOOKUP(A164,Database!A:Q,MATCH($A$1,Database!$A$1:$Q$1,),)</f>
        <v>6269</v>
      </c>
      <c r="C164" s="15">
        <f t="shared" si="4"/>
        <v>1.2435400516795866E-2</v>
      </c>
      <c r="D164" s="16">
        <f t="shared" si="5"/>
        <v>2.8885606433612342E-2</v>
      </c>
    </row>
    <row r="165" spans="1:4" x14ac:dyDescent="0.2">
      <c r="A165" s="13">
        <v>38412</v>
      </c>
      <c r="B165" s="18">
        <f>VLOOKUP(A165,Database!A:Q,MATCH($A$1,Database!$A$1:$Q$1,),)</f>
        <v>6137</v>
      </c>
      <c r="C165" s="15">
        <f t="shared" si="4"/>
        <v>-2.1055989791035252E-2</v>
      </c>
      <c r="D165" s="16">
        <f t="shared" si="5"/>
        <v>1.1537827591890556E-2</v>
      </c>
    </row>
    <row r="166" spans="1:4" x14ac:dyDescent="0.2">
      <c r="A166" s="14">
        <v>38443</v>
      </c>
      <c r="B166" s="18">
        <f>VLOOKUP(A166,Database!A:Q,MATCH($A$1,Database!$A$1:$Q$1,),)</f>
        <v>6318</v>
      </c>
      <c r="C166" s="15">
        <f t="shared" si="4"/>
        <v>2.9493237738308621E-2</v>
      </c>
      <c r="D166" s="16">
        <f t="shared" si="5"/>
        <v>6.3457330415754923E-2</v>
      </c>
    </row>
    <row r="167" spans="1:4" x14ac:dyDescent="0.2">
      <c r="A167" s="13">
        <v>38473</v>
      </c>
      <c r="B167" s="18">
        <f>VLOOKUP(A167,Database!A:Q,MATCH($A$1,Database!$A$1:$Q$1,),)</f>
        <v>6232</v>
      </c>
      <c r="C167" s="15">
        <f t="shared" si="4"/>
        <v>-1.361190250079139E-2</v>
      </c>
      <c r="D167" s="16">
        <f t="shared" si="5"/>
        <v>4.1269841269841269E-2</v>
      </c>
    </row>
    <row r="168" spans="1:4" x14ac:dyDescent="0.2">
      <c r="A168" s="14">
        <v>38504</v>
      </c>
      <c r="B168" s="18">
        <f>VLOOKUP(A168,Database!A:Q,MATCH($A$1,Database!$A$1:$Q$1,),)</f>
        <v>6135</v>
      </c>
      <c r="C168" s="15">
        <f t="shared" si="4"/>
        <v>-1.5564826700898588E-2</v>
      </c>
      <c r="D168" s="16">
        <f t="shared" si="5"/>
        <v>1.9611101878012297E-2</v>
      </c>
    </row>
    <row r="169" spans="1:4" x14ac:dyDescent="0.2">
      <c r="A169" s="13">
        <v>38534</v>
      </c>
      <c r="B169" s="18">
        <f>VLOOKUP(A169,Database!A:Q,MATCH($A$1,Database!$A$1:$Q$1,),)</f>
        <v>6239</v>
      </c>
      <c r="C169" s="15">
        <f t="shared" si="4"/>
        <v>1.6951915240423797E-2</v>
      </c>
      <c r="D169" s="16">
        <f t="shared" si="5"/>
        <v>1.8778576094056171E-2</v>
      </c>
    </row>
    <row r="170" spans="1:4" x14ac:dyDescent="0.2">
      <c r="A170" s="14">
        <v>38565</v>
      </c>
      <c r="B170" s="18">
        <f>VLOOKUP(A170,Database!A:Q,MATCH($A$1,Database!$A$1:$Q$1,),)</f>
        <v>6274</v>
      </c>
      <c r="C170" s="15">
        <f t="shared" si="4"/>
        <v>5.6098733771437733E-3</v>
      </c>
      <c r="D170" s="16">
        <f t="shared" si="5"/>
        <v>1.3242894056847546E-2</v>
      </c>
    </row>
    <row r="171" spans="1:4" x14ac:dyDescent="0.2">
      <c r="A171" s="13">
        <v>38596</v>
      </c>
      <c r="B171" s="18">
        <f>VLOOKUP(A171,Database!A:Q,MATCH($A$1,Database!$A$1:$Q$1,),)</f>
        <v>6155</v>
      </c>
      <c r="C171" s="15">
        <f t="shared" si="4"/>
        <v>-1.8967166082244181E-2</v>
      </c>
      <c r="D171" s="16">
        <f t="shared" si="5"/>
        <v>7.2001309114711172E-3</v>
      </c>
    </row>
    <row r="172" spans="1:4" x14ac:dyDescent="0.2">
      <c r="A172" s="14">
        <v>38626</v>
      </c>
      <c r="B172" s="18">
        <f>VLOOKUP(A172,Database!A:Q,MATCH($A$1,Database!$A$1:$Q$1,),)</f>
        <v>6377</v>
      </c>
      <c r="C172" s="15">
        <f t="shared" si="4"/>
        <v>3.6068237205523962E-2</v>
      </c>
      <c r="D172" s="16">
        <f t="shared" si="5"/>
        <v>4.6439120446340666E-2</v>
      </c>
    </row>
    <row r="173" spans="1:4" x14ac:dyDescent="0.2">
      <c r="A173" s="13">
        <v>38657</v>
      </c>
      <c r="B173" s="18">
        <f>VLOOKUP(A173,Database!A:Q,MATCH($A$1,Database!$A$1:$Q$1,),)</f>
        <v>6287</v>
      </c>
      <c r="C173" s="15">
        <f t="shared" si="4"/>
        <v>-1.4113219382154618E-2</v>
      </c>
      <c r="D173" s="16">
        <f t="shared" si="5"/>
        <v>2.3941368078175897E-2</v>
      </c>
    </row>
    <row r="174" spans="1:4" x14ac:dyDescent="0.2">
      <c r="A174" s="14">
        <v>38687</v>
      </c>
      <c r="B174" s="18">
        <f>VLOOKUP(A174,Database!A:Q,MATCH($A$1,Database!$A$1:$Q$1,),)</f>
        <v>6462</v>
      </c>
      <c r="C174" s="15">
        <f t="shared" si="4"/>
        <v>2.7835215524097345E-2</v>
      </c>
      <c r="D174" s="16">
        <f t="shared" si="5"/>
        <v>5.5537406076445604E-2</v>
      </c>
    </row>
    <row r="175" spans="1:4" x14ac:dyDescent="0.2">
      <c r="A175" s="13">
        <v>38718</v>
      </c>
      <c r="B175" s="18">
        <f>VLOOKUP(A175,Database!A:Q,MATCH($A$1,Database!$A$1:$Q$1,),)</f>
        <v>6735</v>
      </c>
      <c r="C175" s="15">
        <f t="shared" si="4"/>
        <v>4.2246982358402969E-2</v>
      </c>
      <c r="D175" s="16">
        <f t="shared" si="5"/>
        <v>8.7693798449612406E-2</v>
      </c>
    </row>
    <row r="176" spans="1:4" x14ac:dyDescent="0.2">
      <c r="A176" s="14">
        <v>38749</v>
      </c>
      <c r="B176" s="18">
        <f>VLOOKUP(A176,Database!A:Q,MATCH($A$1,Database!$A$1:$Q$1,),)</f>
        <v>6629</v>
      </c>
      <c r="C176" s="15">
        <f t="shared" si="4"/>
        <v>-1.5738678544914626E-2</v>
      </c>
      <c r="D176" s="16">
        <f t="shared" si="5"/>
        <v>5.7425426702823419E-2</v>
      </c>
    </row>
    <row r="177" spans="1:4" x14ac:dyDescent="0.2">
      <c r="A177" s="13">
        <v>38777</v>
      </c>
      <c r="B177" s="18">
        <f>VLOOKUP(A177,Database!A:Q,MATCH($A$1,Database!$A$1:$Q$1,),)</f>
        <v>6610</v>
      </c>
      <c r="C177" s="15">
        <f t="shared" si="4"/>
        <v>-2.86619399607784E-3</v>
      </c>
      <c r="D177" s="16">
        <f t="shared" si="5"/>
        <v>7.7073488675248492E-2</v>
      </c>
    </row>
    <row r="178" spans="1:4" x14ac:dyDescent="0.2">
      <c r="A178" s="14">
        <v>38808</v>
      </c>
      <c r="B178" s="18">
        <f>VLOOKUP(A178,Database!A:Q,MATCH($A$1,Database!$A$1:$Q$1,),)</f>
        <v>6580</v>
      </c>
      <c r="C178" s="15">
        <f t="shared" si="4"/>
        <v>-4.5385779122541605E-3</v>
      </c>
      <c r="D178" s="16">
        <f t="shared" si="5"/>
        <v>4.1468819246597025E-2</v>
      </c>
    </row>
    <row r="179" spans="1:4" x14ac:dyDescent="0.2">
      <c r="A179" s="13">
        <v>38838</v>
      </c>
      <c r="B179" s="18">
        <f>VLOOKUP(A179,Database!A:Q,MATCH($A$1,Database!$A$1:$Q$1,),)</f>
        <v>6503</v>
      </c>
      <c r="C179" s="15">
        <f t="shared" si="4"/>
        <v>-1.1702127659574468E-2</v>
      </c>
      <c r="D179" s="16">
        <f t="shared" si="5"/>
        <v>4.348523748395379E-2</v>
      </c>
    </row>
    <row r="180" spans="1:4" x14ac:dyDescent="0.2">
      <c r="A180" s="14">
        <v>38869</v>
      </c>
      <c r="B180" s="18">
        <f>VLOOKUP(A180,Database!A:Q,MATCH($A$1,Database!$A$1:$Q$1,),)</f>
        <v>6524</v>
      </c>
      <c r="C180" s="15">
        <f t="shared" si="4"/>
        <v>3.2292787944025836E-3</v>
      </c>
      <c r="D180" s="16">
        <f t="shared" si="5"/>
        <v>6.3406682966585165E-2</v>
      </c>
    </row>
    <row r="181" spans="1:4" x14ac:dyDescent="0.2">
      <c r="A181" s="13">
        <v>38899</v>
      </c>
      <c r="B181" s="18">
        <f>VLOOKUP(A181,Database!A:Q,MATCH($A$1,Database!$A$1:$Q$1,),)</f>
        <v>6461</v>
      </c>
      <c r="C181" s="15">
        <f t="shared" si="4"/>
        <v>-9.6566523605150223E-3</v>
      </c>
      <c r="D181" s="16">
        <f t="shared" si="5"/>
        <v>3.5582625420740505E-2</v>
      </c>
    </row>
    <row r="182" spans="1:4" x14ac:dyDescent="0.2">
      <c r="A182" s="14">
        <v>38930</v>
      </c>
      <c r="B182" s="18">
        <f>VLOOKUP(A182,Database!A:Q,MATCH($A$1,Database!$A$1:$Q$1,),)</f>
        <v>6412</v>
      </c>
      <c r="C182" s="15">
        <f t="shared" si="4"/>
        <v>-7.5839653304442039E-3</v>
      </c>
      <c r="D182" s="16">
        <f t="shared" si="5"/>
        <v>2.1995537137392412E-2</v>
      </c>
    </row>
    <row r="183" spans="1:4" x14ac:dyDescent="0.2">
      <c r="A183" s="13">
        <v>38961</v>
      </c>
      <c r="B183" s="18">
        <f>VLOOKUP(A183,Database!A:Q,MATCH($A$1,Database!$A$1:$Q$1,),)</f>
        <v>6690</v>
      </c>
      <c r="C183" s="15">
        <f t="shared" si="4"/>
        <v>4.3356207111665629E-2</v>
      </c>
      <c r="D183" s="16">
        <f t="shared" si="5"/>
        <v>8.692120227457352E-2</v>
      </c>
    </row>
    <row r="184" spans="1:4" x14ac:dyDescent="0.2">
      <c r="A184" s="14">
        <v>38991</v>
      </c>
      <c r="B184" s="18">
        <f>VLOOKUP(A184,Database!A:Q,MATCH($A$1,Database!$A$1:$Q$1,),)</f>
        <v>6589</v>
      </c>
      <c r="C184" s="15">
        <f t="shared" si="4"/>
        <v>-1.5097159940209267E-2</v>
      </c>
      <c r="D184" s="16">
        <f t="shared" si="5"/>
        <v>3.3244472322408659E-2</v>
      </c>
    </row>
    <row r="185" spans="1:4" x14ac:dyDescent="0.2">
      <c r="A185" s="13">
        <v>39022</v>
      </c>
      <c r="B185" s="18">
        <f>VLOOKUP(A185,Database!A:Q,MATCH($A$1,Database!$A$1:$Q$1,),)</f>
        <v>6461</v>
      </c>
      <c r="C185" s="15">
        <f t="shared" si="4"/>
        <v>-1.942631658825315E-2</v>
      </c>
      <c r="D185" s="16">
        <f t="shared" si="5"/>
        <v>2.7676157149673929E-2</v>
      </c>
    </row>
    <row r="186" spans="1:4" x14ac:dyDescent="0.2">
      <c r="A186" s="14">
        <v>39052</v>
      </c>
      <c r="B186" s="18">
        <f>VLOOKUP(A186,Database!A:Q,MATCH($A$1,Database!$A$1:$Q$1,),)</f>
        <v>6566</v>
      </c>
      <c r="C186" s="15">
        <f t="shared" si="4"/>
        <v>1.6251354279523293E-2</v>
      </c>
      <c r="D186" s="16">
        <f t="shared" si="5"/>
        <v>1.6094088517486844E-2</v>
      </c>
    </row>
    <row r="187" spans="1:4" x14ac:dyDescent="0.2">
      <c r="A187" s="13">
        <v>39083</v>
      </c>
      <c r="B187" s="18">
        <f>VLOOKUP(A187,Database!A:Q,MATCH($A$1,Database!$A$1:$Q$1,),)</f>
        <v>6489</v>
      </c>
      <c r="C187" s="15">
        <f t="shared" si="4"/>
        <v>-1.1727078891257996E-2</v>
      </c>
      <c r="D187" s="16">
        <f t="shared" si="5"/>
        <v>-3.6525612472160358E-2</v>
      </c>
    </row>
    <row r="188" spans="1:4" x14ac:dyDescent="0.2">
      <c r="A188" s="14">
        <v>39114</v>
      </c>
      <c r="B188" s="18">
        <f>VLOOKUP(A188,Database!A:Q,MATCH($A$1,Database!$A$1:$Q$1,),)</f>
        <v>6494</v>
      </c>
      <c r="C188" s="15">
        <f t="shared" si="4"/>
        <v>7.7053475111727538E-4</v>
      </c>
      <c r="D188" s="16">
        <f t="shared" si="5"/>
        <v>-2.0365062603710966E-2</v>
      </c>
    </row>
    <row r="189" spans="1:4" x14ac:dyDescent="0.2">
      <c r="A189" s="13">
        <v>39142</v>
      </c>
      <c r="B189" s="18">
        <f>VLOOKUP(A189,Database!A:Q,MATCH($A$1,Database!$A$1:$Q$1,),)</f>
        <v>6779</v>
      </c>
      <c r="C189" s="15">
        <f t="shared" si="4"/>
        <v>4.3886664613489376E-2</v>
      </c>
      <c r="D189" s="16">
        <f t="shared" si="5"/>
        <v>2.556732223903177E-2</v>
      </c>
    </row>
    <row r="190" spans="1:4" x14ac:dyDescent="0.2">
      <c r="A190" s="14">
        <v>39173</v>
      </c>
      <c r="B190" s="18">
        <f>VLOOKUP(A190,Database!A:Q,MATCH($A$1,Database!$A$1:$Q$1,),)</f>
        <v>6640</v>
      </c>
      <c r="C190" s="15">
        <f t="shared" si="4"/>
        <v>-2.0504499188670894E-2</v>
      </c>
      <c r="D190" s="16">
        <f t="shared" si="5"/>
        <v>9.11854103343465E-3</v>
      </c>
    </row>
    <row r="191" spans="1:4" x14ac:dyDescent="0.2">
      <c r="A191" s="13">
        <v>39203</v>
      </c>
      <c r="B191" s="18">
        <f>VLOOKUP(A191,Database!A:Q,MATCH($A$1,Database!$A$1:$Q$1,),)</f>
        <v>6805</v>
      </c>
      <c r="C191" s="15">
        <f t="shared" si="4"/>
        <v>2.4849397590361446E-2</v>
      </c>
      <c r="D191" s="16">
        <f t="shared" si="5"/>
        <v>4.6440104567122865E-2</v>
      </c>
    </row>
    <row r="192" spans="1:4" x14ac:dyDescent="0.2">
      <c r="A192" s="14">
        <v>39234</v>
      </c>
      <c r="B192" s="18">
        <f>VLOOKUP(A192,Database!A:Q,MATCH($A$1,Database!$A$1:$Q$1,),)</f>
        <v>6850</v>
      </c>
      <c r="C192" s="15">
        <f t="shared" si="4"/>
        <v>6.6127847171197646E-3</v>
      </c>
      <c r="D192" s="16">
        <f t="shared" si="5"/>
        <v>4.9969343960760269E-2</v>
      </c>
    </row>
    <row r="193" spans="1:4" x14ac:dyDescent="0.2">
      <c r="A193" s="13">
        <v>39264</v>
      </c>
      <c r="B193" s="18">
        <f>VLOOKUP(A193,Database!A:Q,MATCH($A$1,Database!$A$1:$Q$1,),)</f>
        <v>6936</v>
      </c>
      <c r="C193" s="15">
        <f t="shared" si="4"/>
        <v>1.2554744525547445E-2</v>
      </c>
      <c r="D193" s="16">
        <f t="shared" si="5"/>
        <v>7.3518031264510134E-2</v>
      </c>
    </row>
    <row r="194" spans="1:4" x14ac:dyDescent="0.2">
      <c r="A194" s="14">
        <v>39295</v>
      </c>
      <c r="B194" s="18">
        <f>VLOOKUP(A194,Database!A:Q,MATCH($A$1,Database!$A$1:$Q$1,),)</f>
        <v>6780</v>
      </c>
      <c r="C194" s="15">
        <f t="shared" si="4"/>
        <v>-2.2491349480968859E-2</v>
      </c>
      <c r="D194" s="16">
        <f t="shared" si="5"/>
        <v>5.7392389270118527E-2</v>
      </c>
    </row>
    <row r="195" spans="1:4" x14ac:dyDescent="0.2">
      <c r="A195" s="13">
        <v>39326</v>
      </c>
      <c r="B195" s="18">
        <f>VLOOKUP(A195,Database!A:Q,MATCH($A$1,Database!$A$1:$Q$1,),)</f>
        <v>6749</v>
      </c>
      <c r="C195" s="15">
        <f t="shared" si="4"/>
        <v>-4.5722713864306784E-3</v>
      </c>
      <c r="D195" s="16">
        <f t="shared" si="5"/>
        <v>8.8191330343796708E-3</v>
      </c>
    </row>
    <row r="196" spans="1:4" x14ac:dyDescent="0.2">
      <c r="A196" s="14">
        <v>39356</v>
      </c>
      <c r="B196" s="18">
        <f>VLOOKUP(A196,Database!A:Q,MATCH($A$1,Database!$A$1:$Q$1,),)</f>
        <v>6834</v>
      </c>
      <c r="C196" s="15">
        <f t="shared" si="4"/>
        <v>1.2594458438287154E-2</v>
      </c>
      <c r="D196" s="16">
        <f t="shared" si="5"/>
        <v>3.7183184094703295E-2</v>
      </c>
    </row>
    <row r="197" spans="1:4" x14ac:dyDescent="0.2">
      <c r="A197" s="13">
        <v>39387</v>
      </c>
      <c r="B197" s="18">
        <f>VLOOKUP(A197,Database!A:Q,MATCH($A$1,Database!$A$1:$Q$1,),)</f>
        <v>6940</v>
      </c>
      <c r="C197" s="15">
        <f t="shared" si="4"/>
        <v>1.5510681884694176E-2</v>
      </c>
      <c r="D197" s="16">
        <f t="shared" si="5"/>
        <v>7.4137130475158644E-2</v>
      </c>
    </row>
    <row r="198" spans="1:4" x14ac:dyDescent="0.2">
      <c r="A198" s="14">
        <v>39417</v>
      </c>
      <c r="B198" s="18">
        <f>VLOOKUP(A198,Database!A:Q,MATCH($A$1,Database!$A$1:$Q$1,),)</f>
        <v>6756</v>
      </c>
      <c r="C198" s="15">
        <f t="shared" si="4"/>
        <v>-2.6512968299711816E-2</v>
      </c>
      <c r="D198" s="16">
        <f t="shared" si="5"/>
        <v>2.8936947913493757E-2</v>
      </c>
    </row>
    <row r="199" spans="1:4" x14ac:dyDescent="0.2">
      <c r="A199" s="13">
        <v>39448</v>
      </c>
      <c r="B199" s="18">
        <f>VLOOKUP(A199,Database!A:Q,MATCH($A$1,Database!$A$1:$Q$1,),)</f>
        <v>6818</v>
      </c>
      <c r="C199" s="15">
        <f t="shared" si="4"/>
        <v>9.1770278271166364E-3</v>
      </c>
      <c r="D199" s="16">
        <f t="shared" si="5"/>
        <v>5.070118662351672E-2</v>
      </c>
    </row>
    <row r="200" spans="1:4" x14ac:dyDescent="0.2">
      <c r="A200" s="14">
        <v>39479</v>
      </c>
      <c r="B200" s="18">
        <f>VLOOKUP(A200,Database!A:Q,MATCH($A$1,Database!$A$1:$Q$1,),)</f>
        <v>6751</v>
      </c>
      <c r="C200" s="15">
        <f t="shared" si="4"/>
        <v>-9.82692871809915E-3</v>
      </c>
      <c r="D200" s="16">
        <f t="shared" si="5"/>
        <v>3.9574992300585157E-2</v>
      </c>
    </row>
    <row r="201" spans="1:4" x14ac:dyDescent="0.2">
      <c r="A201" s="13">
        <v>39508</v>
      </c>
      <c r="B201" s="18">
        <f>VLOOKUP(A201,Database!A:Q,MATCH($A$1,Database!$A$1:$Q$1,),)</f>
        <v>6733</v>
      </c>
      <c r="C201" s="15">
        <f t="shared" ref="C201:C264" si="6">(B201-B200)/B200</f>
        <v>-2.6662716634572657E-3</v>
      </c>
      <c r="D201" s="16">
        <f t="shared" si="5"/>
        <v>-6.7856616020061959E-3</v>
      </c>
    </row>
    <row r="202" spans="1:4" x14ac:dyDescent="0.2">
      <c r="A202" s="14">
        <v>39539</v>
      </c>
      <c r="B202" s="18">
        <f>VLOOKUP(A202,Database!A:Q,MATCH($A$1,Database!$A$1:$Q$1,),)</f>
        <v>6809</v>
      </c>
      <c r="C202" s="15">
        <f t="shared" si="6"/>
        <v>1.1287687509282638E-2</v>
      </c>
      <c r="D202" s="16">
        <f t="shared" si="5"/>
        <v>2.5451807228915664E-2</v>
      </c>
    </row>
    <row r="203" spans="1:4" x14ac:dyDescent="0.2">
      <c r="A203" s="13">
        <v>39569</v>
      </c>
      <c r="B203" s="18">
        <f>VLOOKUP(A203,Database!A:Q,MATCH($A$1,Database!$A$1:$Q$1,),)</f>
        <v>6949</v>
      </c>
      <c r="C203" s="15">
        <f t="shared" si="6"/>
        <v>2.0561022176531062E-2</v>
      </c>
      <c r="D203" s="16">
        <f t="shared" si="5"/>
        <v>2.1160911094783248E-2</v>
      </c>
    </row>
    <row r="204" spans="1:4" x14ac:dyDescent="0.2">
      <c r="A204" s="14">
        <v>39600</v>
      </c>
      <c r="B204" s="18">
        <f>VLOOKUP(A204,Database!A:Q,MATCH($A$1,Database!$A$1:$Q$1,),)</f>
        <v>6879</v>
      </c>
      <c r="C204" s="15">
        <f t="shared" si="6"/>
        <v>-1.0073391854943157E-2</v>
      </c>
      <c r="D204" s="16">
        <f t="shared" si="5"/>
        <v>4.2335766423357664E-3</v>
      </c>
    </row>
    <row r="205" spans="1:4" x14ac:dyDescent="0.2">
      <c r="A205" s="13">
        <v>39630</v>
      </c>
      <c r="B205" s="18">
        <f>VLOOKUP(A205,Database!A:Q,MATCH($A$1,Database!$A$1:$Q$1,),)</f>
        <v>6858</v>
      </c>
      <c r="C205" s="15">
        <f t="shared" si="6"/>
        <v>-3.0527692978630614E-3</v>
      </c>
      <c r="D205" s="16">
        <f t="shared" si="5"/>
        <v>-1.124567474048443E-2</v>
      </c>
    </row>
    <row r="206" spans="1:4" x14ac:dyDescent="0.2">
      <c r="A206" s="14">
        <v>39661</v>
      </c>
      <c r="B206" s="18">
        <f>VLOOKUP(A206,Database!A:Q,MATCH($A$1,Database!$A$1:$Q$1,),)</f>
        <v>6931</v>
      </c>
      <c r="C206" s="15">
        <f t="shared" si="6"/>
        <v>1.0644502770487023E-2</v>
      </c>
      <c r="D206" s="16">
        <f t="shared" si="5"/>
        <v>2.2271386430678466E-2</v>
      </c>
    </row>
    <row r="207" spans="1:4" x14ac:dyDescent="0.2">
      <c r="A207" s="13">
        <v>39692</v>
      </c>
      <c r="B207" s="18">
        <f>VLOOKUP(A207,Database!A:Q,MATCH($A$1,Database!$A$1:$Q$1,),)</f>
        <v>6536</v>
      </c>
      <c r="C207" s="15">
        <f t="shared" si="6"/>
        <v>-5.6990333285240224E-2</v>
      </c>
      <c r="D207" s="16">
        <f t="shared" si="5"/>
        <v>-3.1560231145354868E-2</v>
      </c>
    </row>
    <row r="208" spans="1:4" x14ac:dyDescent="0.2">
      <c r="A208" s="14">
        <v>39722</v>
      </c>
      <c r="B208" s="18">
        <f>VLOOKUP(A208,Database!A:Q,MATCH($A$1,Database!$A$1:$Q$1,),)</f>
        <v>6426</v>
      </c>
      <c r="C208" s="15">
        <f t="shared" si="6"/>
        <v>-1.6829865361077112E-2</v>
      </c>
      <c r="D208" s="16">
        <f t="shared" si="5"/>
        <v>-5.9701492537313432E-2</v>
      </c>
    </row>
    <row r="209" spans="1:4" x14ac:dyDescent="0.2">
      <c r="A209" s="13">
        <v>39753</v>
      </c>
      <c r="B209" s="18">
        <f>VLOOKUP(A209,Database!A:Q,MATCH($A$1,Database!$A$1:$Q$1,),)</f>
        <v>6431</v>
      </c>
      <c r="C209" s="15">
        <f t="shared" si="6"/>
        <v>7.7808901338313101E-4</v>
      </c>
      <c r="D209" s="16">
        <f t="shared" si="5"/>
        <v>-7.3342939481268007E-2</v>
      </c>
    </row>
    <row r="210" spans="1:4" x14ac:dyDescent="0.2">
      <c r="A210" s="14">
        <v>39783</v>
      </c>
      <c r="B210" s="18">
        <f>VLOOKUP(A210,Database!A:Q,MATCH($A$1,Database!$A$1:$Q$1,),)</f>
        <v>6470</v>
      </c>
      <c r="C210" s="15">
        <f t="shared" si="6"/>
        <v>6.0643756802985539E-3</v>
      </c>
      <c r="D210" s="16">
        <f t="shared" si="5"/>
        <v>-4.2332741267021905E-2</v>
      </c>
    </row>
    <row r="211" spans="1:4" x14ac:dyDescent="0.2">
      <c r="A211" s="13">
        <v>39814</v>
      </c>
      <c r="B211" s="18">
        <f>VLOOKUP(A211,Database!A:Q,MATCH($A$1,Database!$A$1:$Q$1,),)</f>
        <v>6661</v>
      </c>
      <c r="C211" s="15">
        <f t="shared" si="6"/>
        <v>2.9520865533230294E-2</v>
      </c>
      <c r="D211" s="16">
        <f t="shared" si="5"/>
        <v>-2.3027280727486065E-2</v>
      </c>
    </row>
    <row r="212" spans="1:4" x14ac:dyDescent="0.2">
      <c r="A212" s="14">
        <v>39845</v>
      </c>
      <c r="B212" s="18">
        <f>VLOOKUP(A212,Database!A:Q,MATCH($A$1,Database!$A$1:$Q$1,),)</f>
        <v>6535</v>
      </c>
      <c r="C212" s="15">
        <f t="shared" si="6"/>
        <v>-1.8916078666866835E-2</v>
      </c>
      <c r="D212" s="16">
        <f t="shared" ref="D212:D275" si="7">(B212-B200)/B200</f>
        <v>-3.1995259961487187E-2</v>
      </c>
    </row>
    <row r="213" spans="1:4" x14ac:dyDescent="0.2">
      <c r="A213" s="13">
        <v>39873</v>
      </c>
      <c r="B213" s="18">
        <f>VLOOKUP(A213,Database!A:Q,MATCH($A$1,Database!$A$1:$Q$1,),)</f>
        <v>6360</v>
      </c>
      <c r="C213" s="15">
        <f t="shared" si="6"/>
        <v>-2.6778882938026015E-2</v>
      </c>
      <c r="D213" s="16">
        <f t="shared" si="7"/>
        <v>-5.5398782117926627E-2</v>
      </c>
    </row>
    <row r="214" spans="1:4" x14ac:dyDescent="0.2">
      <c r="A214" s="14">
        <v>39904</v>
      </c>
      <c r="B214" s="18">
        <f>VLOOKUP(A214,Database!A:Q,MATCH($A$1,Database!$A$1:$Q$1,),)</f>
        <v>6514</v>
      </c>
      <c r="C214" s="15">
        <f t="shared" si="6"/>
        <v>2.4213836477987423E-2</v>
      </c>
      <c r="D214" s="16">
        <f t="shared" si="7"/>
        <v>-4.3325011014833312E-2</v>
      </c>
    </row>
    <row r="215" spans="1:4" x14ac:dyDescent="0.2">
      <c r="A215" s="13">
        <v>39934</v>
      </c>
      <c r="B215" s="18">
        <f>VLOOKUP(A215,Database!A:Q,MATCH($A$1,Database!$A$1:$Q$1,),)</f>
        <v>6453</v>
      </c>
      <c r="C215" s="15">
        <f t="shared" si="6"/>
        <v>-9.364445809026711E-3</v>
      </c>
      <c r="D215" s="16">
        <f t="shared" si="7"/>
        <v>-7.137717657216866E-2</v>
      </c>
    </row>
    <row r="216" spans="1:4" x14ac:dyDescent="0.2">
      <c r="A216" s="14">
        <v>39965</v>
      </c>
      <c r="B216" s="18">
        <f>VLOOKUP(A216,Database!A:Q,MATCH($A$1,Database!$A$1:$Q$1,),)</f>
        <v>6473</v>
      </c>
      <c r="C216" s="15">
        <f t="shared" si="6"/>
        <v>3.0993336432666978E-3</v>
      </c>
      <c r="D216" s="16">
        <f t="shared" si="7"/>
        <v>-5.9020206425352523E-2</v>
      </c>
    </row>
    <row r="217" spans="1:4" x14ac:dyDescent="0.2">
      <c r="A217" s="13">
        <v>39995</v>
      </c>
      <c r="B217" s="18">
        <f>VLOOKUP(A217,Database!A:Q,MATCH($A$1,Database!$A$1:$Q$1,),)</f>
        <v>6455</v>
      </c>
      <c r="C217" s="15">
        <f t="shared" si="6"/>
        <v>-2.7807817086358722E-3</v>
      </c>
      <c r="D217" s="16">
        <f t="shared" si="7"/>
        <v>-5.8763487897346166E-2</v>
      </c>
    </row>
    <row r="218" spans="1:4" x14ac:dyDescent="0.2">
      <c r="A218" s="14">
        <v>40026</v>
      </c>
      <c r="B218" s="18">
        <f>VLOOKUP(A218,Database!A:Q,MATCH($A$1,Database!$A$1:$Q$1,),)</f>
        <v>6628</v>
      </c>
      <c r="C218" s="15">
        <f t="shared" si="6"/>
        <v>2.6800929512006195E-2</v>
      </c>
      <c r="D218" s="16">
        <f t="shared" si="7"/>
        <v>-4.3716635406146301E-2</v>
      </c>
    </row>
    <row r="219" spans="1:4" x14ac:dyDescent="0.2">
      <c r="A219" s="13">
        <v>40057</v>
      </c>
      <c r="B219" s="18">
        <f>VLOOKUP(A219,Database!A:Q,MATCH($A$1,Database!$A$1:$Q$1,),)</f>
        <v>6484</v>
      </c>
      <c r="C219" s="15">
        <f t="shared" si="6"/>
        <v>-2.1726010863005431E-2</v>
      </c>
      <c r="D219" s="16">
        <f t="shared" si="7"/>
        <v>-7.9559363525091801E-3</v>
      </c>
    </row>
    <row r="220" spans="1:4" x14ac:dyDescent="0.2">
      <c r="A220" s="14">
        <v>40087</v>
      </c>
      <c r="B220" s="18">
        <f>VLOOKUP(A220,Database!A:Q,MATCH($A$1,Database!$A$1:$Q$1,),)</f>
        <v>6408</v>
      </c>
      <c r="C220" s="15">
        <f t="shared" si="6"/>
        <v>-1.1721159777914868E-2</v>
      </c>
      <c r="D220" s="16">
        <f t="shared" si="7"/>
        <v>-2.8011204481792717E-3</v>
      </c>
    </row>
    <row r="221" spans="1:4" x14ac:dyDescent="0.2">
      <c r="A221" s="13">
        <v>40118</v>
      </c>
      <c r="B221" s="18">
        <f>VLOOKUP(A221,Database!A:Q,MATCH($A$1,Database!$A$1:$Q$1,),)</f>
        <v>6307</v>
      </c>
      <c r="C221" s="15">
        <f t="shared" si="6"/>
        <v>-1.5761548064918852E-2</v>
      </c>
      <c r="D221" s="16">
        <f t="shared" si="7"/>
        <v>-1.9281604727103094E-2</v>
      </c>
    </row>
    <row r="222" spans="1:4" x14ac:dyDescent="0.2">
      <c r="A222" s="14">
        <v>40148</v>
      </c>
      <c r="B222" s="18">
        <f>VLOOKUP(A222,Database!A:Q,MATCH($A$1,Database!$A$1:$Q$1,),)</f>
        <v>6523</v>
      </c>
      <c r="C222" s="15">
        <f t="shared" si="6"/>
        <v>3.4247661328682413E-2</v>
      </c>
      <c r="D222" s="16">
        <f t="shared" si="7"/>
        <v>8.191653786707883E-3</v>
      </c>
    </row>
    <row r="223" spans="1:4" x14ac:dyDescent="0.2">
      <c r="A223" s="13">
        <v>40179</v>
      </c>
      <c r="B223" s="18">
        <f>VLOOKUP(A223,Database!A:Q,MATCH($A$1,Database!$A$1:$Q$1,),)</f>
        <v>6501</v>
      </c>
      <c r="C223" s="15">
        <f t="shared" si="6"/>
        <v>-3.3726812816188868E-3</v>
      </c>
      <c r="D223" s="16">
        <f t="shared" si="7"/>
        <v>-2.4020417354751539E-2</v>
      </c>
    </row>
    <row r="224" spans="1:4" x14ac:dyDescent="0.2">
      <c r="A224" s="14">
        <v>40210</v>
      </c>
      <c r="B224" s="18">
        <f>VLOOKUP(A224,Database!A:Q,MATCH($A$1,Database!$A$1:$Q$1,),)</f>
        <v>6412</v>
      </c>
      <c r="C224" s="15">
        <f t="shared" si="6"/>
        <v>-1.369020150746039E-2</v>
      </c>
      <c r="D224" s="16">
        <f t="shared" si="7"/>
        <v>-1.8821729150726857E-2</v>
      </c>
    </row>
    <row r="225" spans="1:4" x14ac:dyDescent="0.2">
      <c r="A225" s="13">
        <v>40238</v>
      </c>
      <c r="B225" s="18">
        <f>VLOOKUP(A225,Database!A:Q,MATCH($A$1,Database!$A$1:$Q$1,),)</f>
        <v>6522</v>
      </c>
      <c r="C225" s="15">
        <f t="shared" si="6"/>
        <v>1.7155333749220212E-2</v>
      </c>
      <c r="D225" s="16">
        <f t="shared" si="7"/>
        <v>2.5471698113207548E-2</v>
      </c>
    </row>
    <row r="226" spans="1:4" x14ac:dyDescent="0.2">
      <c r="A226" s="14">
        <v>40269</v>
      </c>
      <c r="B226" s="18">
        <f>VLOOKUP(A226,Database!A:Q,MATCH($A$1,Database!$A$1:$Q$1,),)</f>
        <v>6416</v>
      </c>
      <c r="C226" s="15">
        <f t="shared" si="6"/>
        <v>-1.6252683226004292E-2</v>
      </c>
      <c r="D226" s="16">
        <f t="shared" si="7"/>
        <v>-1.5044519496469143E-2</v>
      </c>
    </row>
    <row r="227" spans="1:4" x14ac:dyDescent="0.2">
      <c r="A227" s="13">
        <v>40299</v>
      </c>
      <c r="B227" s="18">
        <f>VLOOKUP(A227,Database!A:Q,MATCH($A$1,Database!$A$1:$Q$1,),)</f>
        <v>6496</v>
      </c>
      <c r="C227" s="15">
        <f t="shared" si="6"/>
        <v>1.2468827930174564E-2</v>
      </c>
      <c r="D227" s="16">
        <f t="shared" si="7"/>
        <v>6.6635673330234001E-3</v>
      </c>
    </row>
    <row r="228" spans="1:4" x14ac:dyDescent="0.2">
      <c r="A228" s="14">
        <v>40330</v>
      </c>
      <c r="B228" s="18">
        <f>VLOOKUP(A228,Database!A:Q,MATCH($A$1,Database!$A$1:$Q$1,),)</f>
        <v>6497</v>
      </c>
      <c r="C228" s="15">
        <f t="shared" si="6"/>
        <v>1.5394088669950739E-4</v>
      </c>
      <c r="D228" s="16">
        <f t="shared" si="7"/>
        <v>3.7077089448478294E-3</v>
      </c>
    </row>
    <row r="229" spans="1:4" x14ac:dyDescent="0.2">
      <c r="A229" s="13">
        <v>40360</v>
      </c>
      <c r="B229" s="18">
        <f>VLOOKUP(A229,Database!A:Q,MATCH($A$1,Database!$A$1:$Q$1,),)</f>
        <v>6488</v>
      </c>
      <c r="C229" s="15">
        <f t="shared" si="6"/>
        <v>-1.3852547329536709E-3</v>
      </c>
      <c r="D229" s="16">
        <f t="shared" si="7"/>
        <v>5.1123160340821065E-3</v>
      </c>
    </row>
    <row r="230" spans="1:4" x14ac:dyDescent="0.2">
      <c r="A230" s="14">
        <v>40391</v>
      </c>
      <c r="B230" s="18">
        <f>VLOOKUP(A230,Database!A:Q,MATCH($A$1,Database!$A$1:$Q$1,),)</f>
        <v>6446</v>
      </c>
      <c r="C230" s="15">
        <f t="shared" si="6"/>
        <v>-6.473489519112207E-3</v>
      </c>
      <c r="D230" s="16">
        <f t="shared" si="7"/>
        <v>-2.7459263729631866E-2</v>
      </c>
    </row>
    <row r="231" spans="1:4" x14ac:dyDescent="0.2">
      <c r="A231" s="13">
        <v>40422</v>
      </c>
      <c r="B231" s="18">
        <f>VLOOKUP(A231,Database!A:Q,MATCH($A$1,Database!$A$1:$Q$1,),)</f>
        <v>6462</v>
      </c>
      <c r="C231" s="15">
        <f t="shared" si="6"/>
        <v>2.4821594787465093E-3</v>
      </c>
      <c r="D231" s="16">
        <f t="shared" si="7"/>
        <v>-3.3929673041332509E-3</v>
      </c>
    </row>
    <row r="232" spans="1:4" x14ac:dyDescent="0.2">
      <c r="A232" s="14">
        <v>40452</v>
      </c>
      <c r="B232" s="18">
        <f>VLOOKUP(A232,Database!A:Q,MATCH($A$1,Database!$A$1:$Q$1,),)</f>
        <v>6571</v>
      </c>
      <c r="C232" s="15">
        <f t="shared" si="6"/>
        <v>1.6867842773135251E-2</v>
      </c>
      <c r="D232" s="16">
        <f t="shared" si="7"/>
        <v>2.5436953807740324E-2</v>
      </c>
    </row>
    <row r="233" spans="1:4" x14ac:dyDescent="0.2">
      <c r="A233" s="13">
        <v>40483</v>
      </c>
      <c r="B233" s="18">
        <f>VLOOKUP(A233,Database!A:Q,MATCH($A$1,Database!$A$1:$Q$1,),)</f>
        <v>6775</v>
      </c>
      <c r="C233" s="15">
        <f t="shared" si="6"/>
        <v>3.1045502967584841E-2</v>
      </c>
      <c r="D233" s="16">
        <f t="shared" si="7"/>
        <v>7.4203266212145236E-2</v>
      </c>
    </row>
    <row r="234" spans="1:4" x14ac:dyDescent="0.2">
      <c r="A234" s="14">
        <v>40513</v>
      </c>
      <c r="B234" s="18">
        <f>VLOOKUP(A234,Database!A:Q,MATCH($A$1,Database!$A$1:$Q$1,),)</f>
        <v>6584</v>
      </c>
      <c r="C234" s="15">
        <f t="shared" si="6"/>
        <v>-2.8191881918819189E-2</v>
      </c>
      <c r="D234" s="16">
        <f t="shared" si="7"/>
        <v>9.3515253717614596E-3</v>
      </c>
    </row>
    <row r="235" spans="1:4" x14ac:dyDescent="0.2">
      <c r="A235" s="13">
        <v>40544</v>
      </c>
      <c r="B235" s="18">
        <f>VLOOKUP(A235,Database!A:Q,MATCH($A$1,Database!$A$1:$Q$1,),)</f>
        <v>6565</v>
      </c>
      <c r="C235" s="15">
        <f t="shared" si="6"/>
        <v>-2.8857837181044958E-3</v>
      </c>
      <c r="D235" s="16">
        <f t="shared" si="7"/>
        <v>9.8446392862636522E-3</v>
      </c>
    </row>
    <row r="236" spans="1:4" x14ac:dyDescent="0.2">
      <c r="A236" s="14">
        <v>40575</v>
      </c>
      <c r="B236" s="18">
        <f>VLOOKUP(A236,Database!A:Q,MATCH($A$1,Database!$A$1:$Q$1,),)</f>
        <v>6611</v>
      </c>
      <c r="C236" s="15">
        <f t="shared" si="6"/>
        <v>7.0068545316070065E-3</v>
      </c>
      <c r="D236" s="16">
        <f t="shared" si="7"/>
        <v>3.1035558328134746E-2</v>
      </c>
    </row>
    <row r="237" spans="1:4" x14ac:dyDescent="0.2">
      <c r="A237" s="13">
        <v>40603</v>
      </c>
      <c r="B237" s="18">
        <f>VLOOKUP(A237,Database!A:Q,MATCH($A$1,Database!$A$1:$Q$1,),)</f>
        <v>6559</v>
      </c>
      <c r="C237" s="15">
        <f t="shared" si="6"/>
        <v>-7.8656784147632733E-3</v>
      </c>
      <c r="D237" s="16">
        <f t="shared" si="7"/>
        <v>5.67310640907697E-3</v>
      </c>
    </row>
    <row r="238" spans="1:4" x14ac:dyDescent="0.2">
      <c r="A238" s="14">
        <v>40634</v>
      </c>
      <c r="B238" s="18">
        <f>VLOOKUP(A238,Database!A:Q,MATCH($A$1,Database!$A$1:$Q$1,),)</f>
        <v>6615</v>
      </c>
      <c r="C238" s="15">
        <f t="shared" si="6"/>
        <v>8.5378868729989333E-3</v>
      </c>
      <c r="D238" s="16">
        <f t="shared" si="7"/>
        <v>3.1016209476309228E-2</v>
      </c>
    </row>
    <row r="239" spans="1:4" x14ac:dyDescent="0.2">
      <c r="A239" s="13">
        <v>40664</v>
      </c>
      <c r="B239" s="18">
        <f>VLOOKUP(A239,Database!A:Q,MATCH($A$1,Database!$A$1:$Q$1,),)</f>
        <v>6542</v>
      </c>
      <c r="C239" s="15">
        <f t="shared" si="6"/>
        <v>-1.1035525321239607E-2</v>
      </c>
      <c r="D239" s="16">
        <f t="shared" si="7"/>
        <v>7.0812807881773399E-3</v>
      </c>
    </row>
    <row r="240" spans="1:4" x14ac:dyDescent="0.2">
      <c r="A240" s="14">
        <v>40695</v>
      </c>
      <c r="B240" s="18">
        <f>VLOOKUP(A240,Database!A:Q,MATCH($A$1,Database!$A$1:$Q$1,),)</f>
        <v>6578</v>
      </c>
      <c r="C240" s="15">
        <f t="shared" si="6"/>
        <v>5.502904310608377E-3</v>
      </c>
      <c r="D240" s="16">
        <f t="shared" si="7"/>
        <v>1.2467292596583038E-2</v>
      </c>
    </row>
    <row r="241" spans="1:4" x14ac:dyDescent="0.2">
      <c r="A241" s="13">
        <v>40725</v>
      </c>
      <c r="B241" s="18">
        <f>VLOOKUP(A241,Database!A:Q,MATCH($A$1,Database!$A$1:$Q$1,),)</f>
        <v>6421</v>
      </c>
      <c r="C241" s="15">
        <f t="shared" si="6"/>
        <v>-2.3867436910915172E-2</v>
      </c>
      <c r="D241" s="16">
        <f t="shared" si="7"/>
        <v>-1.032675709001233E-2</v>
      </c>
    </row>
    <row r="242" spans="1:4" x14ac:dyDescent="0.2">
      <c r="A242" s="14">
        <v>40756</v>
      </c>
      <c r="B242" s="18">
        <f>VLOOKUP(A242,Database!A:Q,MATCH($A$1,Database!$A$1:$Q$1,),)</f>
        <v>6661</v>
      </c>
      <c r="C242" s="15">
        <f t="shared" si="6"/>
        <v>3.737735555209469E-2</v>
      </c>
      <c r="D242" s="16">
        <f t="shared" si="7"/>
        <v>3.3354017995656224E-2</v>
      </c>
    </row>
    <row r="243" spans="1:4" x14ac:dyDescent="0.2">
      <c r="A243" s="13">
        <v>40787</v>
      </c>
      <c r="B243" s="18">
        <f>VLOOKUP(A243,Database!A:Q,MATCH($A$1,Database!$A$1:$Q$1,),)</f>
        <v>6693</v>
      </c>
      <c r="C243" s="15">
        <f t="shared" si="6"/>
        <v>4.8040834709503081E-3</v>
      </c>
      <c r="D243" s="16">
        <f t="shared" si="7"/>
        <v>3.5747446610956357E-2</v>
      </c>
    </row>
    <row r="244" spans="1:4" x14ac:dyDescent="0.2">
      <c r="A244" s="14">
        <v>40817</v>
      </c>
      <c r="B244" s="18">
        <f>VLOOKUP(A244,Database!A:Q,MATCH($A$1,Database!$A$1:$Q$1,),)</f>
        <v>6589</v>
      </c>
      <c r="C244" s="15">
        <f t="shared" si="6"/>
        <v>-1.5538622441356641E-2</v>
      </c>
      <c r="D244" s="16">
        <f t="shared" si="7"/>
        <v>2.7393090853751333E-3</v>
      </c>
    </row>
    <row r="245" spans="1:4" x14ac:dyDescent="0.2">
      <c r="A245" s="13">
        <v>40848</v>
      </c>
      <c r="B245" s="18">
        <f>VLOOKUP(A245,Database!A:Q,MATCH($A$1,Database!$A$1:$Q$1,),)</f>
        <v>6594</v>
      </c>
      <c r="C245" s="15">
        <f t="shared" si="6"/>
        <v>7.5884049172863859E-4</v>
      </c>
      <c r="D245" s="16">
        <f t="shared" si="7"/>
        <v>-2.6715867158671587E-2</v>
      </c>
    </row>
    <row r="246" spans="1:4" x14ac:dyDescent="0.2">
      <c r="A246" s="14">
        <v>40878</v>
      </c>
      <c r="B246" s="18">
        <f>VLOOKUP(A246,Database!A:Q,MATCH($A$1,Database!$A$1:$Q$1,),)</f>
        <v>6353</v>
      </c>
      <c r="C246" s="15">
        <f t="shared" si="6"/>
        <v>-3.6548377312708526E-2</v>
      </c>
      <c r="D246" s="16">
        <f t="shared" si="7"/>
        <v>-3.5085054678007294E-2</v>
      </c>
    </row>
    <row r="247" spans="1:4" x14ac:dyDescent="0.2">
      <c r="A247" s="13">
        <v>40909</v>
      </c>
      <c r="B247" s="18">
        <f>VLOOKUP(A247,Database!A:Q,MATCH($A$1,Database!$A$1:$Q$1,),)</f>
        <v>6575</v>
      </c>
      <c r="C247" s="15">
        <f t="shared" si="6"/>
        <v>3.4944120887769554E-2</v>
      </c>
      <c r="D247" s="16">
        <f t="shared" si="7"/>
        <v>1.5232292460015233E-3</v>
      </c>
    </row>
    <row r="248" spans="1:4" x14ac:dyDescent="0.2">
      <c r="A248" s="14">
        <v>40940</v>
      </c>
      <c r="B248" s="18">
        <f>VLOOKUP(A248,Database!A:Q,MATCH($A$1,Database!$A$1:$Q$1,),)</f>
        <v>6667</v>
      </c>
      <c r="C248" s="15">
        <f t="shared" si="6"/>
        <v>1.3992395437262358E-2</v>
      </c>
      <c r="D248" s="16">
        <f t="shared" si="7"/>
        <v>8.4707306005142938E-3</v>
      </c>
    </row>
    <row r="249" spans="1:4" x14ac:dyDescent="0.2">
      <c r="A249" s="13">
        <v>40969</v>
      </c>
      <c r="B249" s="18">
        <f>VLOOKUP(A249,Database!A:Q,MATCH($A$1,Database!$A$1:$Q$1,),)</f>
        <v>6815</v>
      </c>
      <c r="C249" s="15">
        <f t="shared" si="6"/>
        <v>2.2198890055497224E-2</v>
      </c>
      <c r="D249" s="16">
        <f t="shared" si="7"/>
        <v>3.9030339990852266E-2</v>
      </c>
    </row>
    <row r="250" spans="1:4" x14ac:dyDescent="0.2">
      <c r="A250" s="14">
        <v>41000</v>
      </c>
      <c r="B250" s="18">
        <f>VLOOKUP(A250,Database!A:Q,MATCH($A$1,Database!$A$1:$Q$1,),)</f>
        <v>6843</v>
      </c>
      <c r="C250" s="15">
        <f t="shared" si="6"/>
        <v>4.1085840058694059E-3</v>
      </c>
      <c r="D250" s="16">
        <f t="shared" si="7"/>
        <v>3.4467120181405894E-2</v>
      </c>
    </row>
    <row r="251" spans="1:4" x14ac:dyDescent="0.2">
      <c r="A251" s="13">
        <v>41030</v>
      </c>
      <c r="B251" s="18">
        <f>VLOOKUP(A251,Database!A:Q,MATCH($A$1,Database!$A$1:$Q$1,),)</f>
        <v>6862</v>
      </c>
      <c r="C251" s="15">
        <f t="shared" si="6"/>
        <v>2.776559988309221E-3</v>
      </c>
      <c r="D251" s="16">
        <f t="shared" si="7"/>
        <v>4.8914704983185571E-2</v>
      </c>
    </row>
    <row r="252" spans="1:4" x14ac:dyDescent="0.2">
      <c r="A252" s="14">
        <v>41061</v>
      </c>
      <c r="B252" s="18">
        <f>VLOOKUP(A252,Database!A:Q,MATCH($A$1,Database!$A$1:$Q$1,),)</f>
        <v>6804</v>
      </c>
      <c r="C252" s="15">
        <f t="shared" si="6"/>
        <v>-8.4523462547362281E-3</v>
      </c>
      <c r="D252" s="16">
        <f t="shared" si="7"/>
        <v>3.4356947400425664E-2</v>
      </c>
    </row>
    <row r="253" spans="1:4" x14ac:dyDescent="0.2">
      <c r="A253" s="13">
        <v>41091</v>
      </c>
      <c r="B253" s="18">
        <f>VLOOKUP(A253,Database!A:Q,MATCH($A$1,Database!$A$1:$Q$1,),)</f>
        <v>6775</v>
      </c>
      <c r="C253" s="15">
        <f t="shared" si="6"/>
        <v>-4.2621987066431511E-3</v>
      </c>
      <c r="D253" s="16">
        <f t="shared" si="7"/>
        <v>5.5131599439339665E-2</v>
      </c>
    </row>
    <row r="254" spans="1:4" x14ac:dyDescent="0.2">
      <c r="A254" s="14">
        <v>41122</v>
      </c>
      <c r="B254" s="18">
        <f>VLOOKUP(A254,Database!A:Q,MATCH($A$1,Database!$A$1:$Q$1,),)</f>
        <v>6750</v>
      </c>
      <c r="C254" s="15">
        <f t="shared" si="6"/>
        <v>-3.6900369003690036E-3</v>
      </c>
      <c r="D254" s="16">
        <f t="shared" si="7"/>
        <v>1.3361357153580543E-2</v>
      </c>
    </row>
    <row r="255" spans="1:4" x14ac:dyDescent="0.2">
      <c r="A255" s="13">
        <v>41153</v>
      </c>
      <c r="B255" s="18">
        <f>VLOOKUP(A255,Database!A:Q,MATCH($A$1,Database!$A$1:$Q$1,),)</f>
        <v>6706</v>
      </c>
      <c r="C255" s="15">
        <f t="shared" si="6"/>
        <v>-6.5185185185185181E-3</v>
      </c>
      <c r="D255" s="16">
        <f t="shared" si="7"/>
        <v>1.9423278051695801E-3</v>
      </c>
    </row>
    <row r="256" spans="1:4" x14ac:dyDescent="0.2">
      <c r="A256" s="14">
        <v>41183</v>
      </c>
      <c r="B256" s="18">
        <f>VLOOKUP(A256,Database!A:Q,MATCH($A$1,Database!$A$1:$Q$1,),)</f>
        <v>6749</v>
      </c>
      <c r="C256" s="15">
        <f t="shared" si="6"/>
        <v>6.4121682075753061E-3</v>
      </c>
      <c r="D256" s="16">
        <f t="shared" si="7"/>
        <v>2.4282895735316435E-2</v>
      </c>
    </row>
    <row r="257" spans="1:4" x14ac:dyDescent="0.2">
      <c r="A257" s="13">
        <v>41214</v>
      </c>
      <c r="B257" s="18">
        <f>VLOOKUP(A257,Database!A:Q,MATCH($A$1,Database!$A$1:$Q$1,),)</f>
        <v>6700</v>
      </c>
      <c r="C257" s="15">
        <f t="shared" si="6"/>
        <v>-7.2603348644243596E-3</v>
      </c>
      <c r="D257" s="16">
        <f t="shared" si="7"/>
        <v>1.6075219896875947E-2</v>
      </c>
    </row>
    <row r="258" spans="1:4" x14ac:dyDescent="0.2">
      <c r="A258" s="14">
        <v>41244</v>
      </c>
      <c r="B258" s="18">
        <f>VLOOKUP(A258,Database!A:Q,MATCH($A$1,Database!$A$1:$Q$1,),)</f>
        <v>6820</v>
      </c>
      <c r="C258" s="15">
        <f t="shared" si="6"/>
        <v>1.7910447761194031E-2</v>
      </c>
      <c r="D258" s="16">
        <f t="shared" si="7"/>
        <v>7.3508578624272E-2</v>
      </c>
    </row>
    <row r="259" spans="1:4" x14ac:dyDescent="0.2">
      <c r="A259" s="13">
        <v>41275</v>
      </c>
      <c r="B259" s="18">
        <f>VLOOKUP(A259,Database!A:Q,MATCH($A$1,Database!$A$1:$Q$1,),)</f>
        <v>7010</v>
      </c>
      <c r="C259" s="15">
        <f t="shared" si="6"/>
        <v>2.7859237536656891E-2</v>
      </c>
      <c r="D259" s="16">
        <f t="shared" si="7"/>
        <v>6.6159695817490496E-2</v>
      </c>
    </row>
    <row r="260" spans="1:4" x14ac:dyDescent="0.2">
      <c r="A260" s="14">
        <v>41306</v>
      </c>
      <c r="B260" s="18">
        <f>VLOOKUP(A260,Database!A:Q,MATCH($A$1,Database!$A$1:$Q$1,),)</f>
        <v>7009</v>
      </c>
      <c r="C260" s="15">
        <f t="shared" si="6"/>
        <v>-1.4265335235378031E-4</v>
      </c>
      <c r="D260" s="16">
        <f t="shared" si="7"/>
        <v>5.1297435128243585E-2</v>
      </c>
    </row>
    <row r="261" spans="1:4" x14ac:dyDescent="0.2">
      <c r="A261" s="13">
        <v>41334</v>
      </c>
      <c r="B261" s="18">
        <f>VLOOKUP(A261,Database!A:Q,MATCH($A$1,Database!$A$1:$Q$1,),)</f>
        <v>6891</v>
      </c>
      <c r="C261" s="15">
        <f t="shared" si="6"/>
        <v>-1.6835497217862747E-2</v>
      </c>
      <c r="D261" s="16">
        <f t="shared" si="7"/>
        <v>1.1151870873074102E-2</v>
      </c>
    </row>
    <row r="262" spans="1:4" x14ac:dyDescent="0.2">
      <c r="A262" s="14">
        <v>41365</v>
      </c>
      <c r="B262" s="18">
        <f>VLOOKUP(A262,Database!A:Q,MATCH($A$1,Database!$A$1:$Q$1,),)</f>
        <v>6795</v>
      </c>
      <c r="C262" s="15">
        <f t="shared" si="6"/>
        <v>-1.3931214627775359E-2</v>
      </c>
      <c r="D262" s="16">
        <f t="shared" si="7"/>
        <v>-7.0144673388864535E-3</v>
      </c>
    </row>
    <row r="263" spans="1:4" x14ac:dyDescent="0.2">
      <c r="A263" s="13">
        <v>41395</v>
      </c>
      <c r="B263" s="18">
        <f>VLOOKUP(A263,Database!A:Q,MATCH($A$1,Database!$A$1:$Q$1,),)</f>
        <v>6857</v>
      </c>
      <c r="C263" s="15">
        <f t="shared" si="6"/>
        <v>9.1243561442236939E-3</v>
      </c>
      <c r="D263" s="16">
        <f t="shared" si="7"/>
        <v>-7.2865053920139898E-4</v>
      </c>
    </row>
    <row r="264" spans="1:4" x14ac:dyDescent="0.2">
      <c r="A264" s="14">
        <v>41426</v>
      </c>
      <c r="B264" s="18">
        <f>VLOOKUP(A264,Database!A:Q,MATCH($A$1,Database!$A$1:$Q$1,),)</f>
        <v>6893</v>
      </c>
      <c r="C264" s="15">
        <f t="shared" si="6"/>
        <v>5.2501093772786937E-3</v>
      </c>
      <c r="D264" s="16">
        <f t="shared" si="7"/>
        <v>1.3080540858318637E-2</v>
      </c>
    </row>
    <row r="265" spans="1:4" x14ac:dyDescent="0.2">
      <c r="A265" s="13">
        <v>41456</v>
      </c>
      <c r="B265" s="18">
        <f>VLOOKUP(A265,Database!A:Q,MATCH($A$1,Database!$A$1:$Q$1,),)</f>
        <v>6938</v>
      </c>
      <c r="C265" s="15">
        <f t="shared" ref="C265:C320" si="8">(B265-B264)/B264</f>
        <v>6.5283621064848394E-3</v>
      </c>
      <c r="D265" s="16">
        <f t="shared" si="7"/>
        <v>2.4059040590405905E-2</v>
      </c>
    </row>
    <row r="266" spans="1:4" x14ac:dyDescent="0.2">
      <c r="A266" s="14">
        <v>41487</v>
      </c>
      <c r="B266" s="18">
        <f>VLOOKUP(A266,Database!A:Q,MATCH($A$1,Database!$A$1:$Q$1,),)</f>
        <v>6764</v>
      </c>
      <c r="C266" s="15">
        <f t="shared" si="8"/>
        <v>-2.5079273565869125E-2</v>
      </c>
      <c r="D266" s="16">
        <f t="shared" si="7"/>
        <v>2.0740740740740741E-3</v>
      </c>
    </row>
    <row r="267" spans="1:4" x14ac:dyDescent="0.2">
      <c r="A267" s="13">
        <v>41518</v>
      </c>
      <c r="B267" s="18">
        <f>VLOOKUP(A267,Database!A:Q,MATCH($A$1,Database!$A$1:$Q$1,),)</f>
        <v>6876</v>
      </c>
      <c r="C267" s="15">
        <f t="shared" si="8"/>
        <v>1.655824955647546E-2</v>
      </c>
      <c r="D267" s="16">
        <f t="shared" si="7"/>
        <v>2.5350432448553534E-2</v>
      </c>
    </row>
    <row r="268" spans="1:4" x14ac:dyDescent="0.2">
      <c r="A268" s="14">
        <v>41548</v>
      </c>
      <c r="B268" s="18">
        <f>VLOOKUP(A268,Database!A:Q,MATCH($A$1,Database!$A$1:$Q$1,),)</f>
        <v>6863</v>
      </c>
      <c r="C268" s="15">
        <f t="shared" si="8"/>
        <v>-1.8906340895869691E-3</v>
      </c>
      <c r="D268" s="16">
        <f t="shared" si="7"/>
        <v>1.6891391317232184E-2</v>
      </c>
    </row>
    <row r="269" spans="1:4" x14ac:dyDescent="0.2">
      <c r="A269" s="13">
        <v>41579</v>
      </c>
      <c r="B269" s="18">
        <f>VLOOKUP(A269,Database!A:Q,MATCH($A$1,Database!$A$1:$Q$1,),)</f>
        <v>6903</v>
      </c>
      <c r="C269" s="15">
        <f t="shared" si="8"/>
        <v>5.8283549468162608E-3</v>
      </c>
      <c r="D269" s="16">
        <f t="shared" si="7"/>
        <v>3.0298507462686568E-2</v>
      </c>
    </row>
    <row r="270" spans="1:4" x14ac:dyDescent="0.2">
      <c r="A270" s="14">
        <v>41609</v>
      </c>
      <c r="B270" s="18">
        <f>VLOOKUP(A270,Database!A:Q,MATCH($A$1,Database!$A$1:$Q$1,),)</f>
        <v>6870</v>
      </c>
      <c r="C270" s="15">
        <f t="shared" si="8"/>
        <v>-4.7805302042590175E-3</v>
      </c>
      <c r="D270" s="16">
        <f t="shared" si="7"/>
        <v>7.331378299120235E-3</v>
      </c>
    </row>
    <row r="271" spans="1:4" x14ac:dyDescent="0.2">
      <c r="A271" s="13">
        <v>41640</v>
      </c>
      <c r="B271" s="18">
        <f>VLOOKUP(A271,Database!A:Q,MATCH($A$1,Database!$A$1:$Q$1,),)</f>
        <v>6485</v>
      </c>
      <c r="C271" s="15">
        <f t="shared" si="8"/>
        <v>-5.6040756914119361E-2</v>
      </c>
      <c r="D271" s="16">
        <f t="shared" si="7"/>
        <v>-7.4893009985734671E-2</v>
      </c>
    </row>
    <row r="272" spans="1:4" x14ac:dyDescent="0.2">
      <c r="A272" s="14">
        <v>41671</v>
      </c>
      <c r="B272" s="18">
        <f>VLOOKUP(A272,Database!A:Q,MATCH($A$1,Database!$A$1:$Q$1,),)</f>
        <v>6798</v>
      </c>
      <c r="C272" s="15">
        <f t="shared" si="8"/>
        <v>4.8265227447956825E-2</v>
      </c>
      <c r="D272" s="16">
        <f t="shared" si="7"/>
        <v>-3.0104151804822371E-2</v>
      </c>
    </row>
    <row r="273" spans="1:4" x14ac:dyDescent="0.2">
      <c r="A273" s="13">
        <v>41699</v>
      </c>
      <c r="B273" s="18">
        <f>VLOOKUP(A273,Database!A:Q,MATCH($A$1,Database!$A$1:$Q$1,),)</f>
        <v>6794</v>
      </c>
      <c r="C273" s="15">
        <f t="shared" si="8"/>
        <v>-5.8840835539864661E-4</v>
      </c>
      <c r="D273" s="16">
        <f t="shared" si="7"/>
        <v>-1.4076331446814685E-2</v>
      </c>
    </row>
    <row r="274" spans="1:4" x14ac:dyDescent="0.2">
      <c r="A274" s="14">
        <v>41730</v>
      </c>
      <c r="B274" s="18">
        <f>VLOOKUP(A274,Database!A:Q,MATCH($A$1,Database!$A$1:$Q$1,),)</f>
        <v>6903</v>
      </c>
      <c r="C274" s="15">
        <f t="shared" si="8"/>
        <v>1.6043567853988815E-2</v>
      </c>
      <c r="D274" s="16">
        <f t="shared" si="7"/>
        <v>1.5894039735099338E-2</v>
      </c>
    </row>
    <row r="275" spans="1:4" x14ac:dyDescent="0.2">
      <c r="A275" s="13">
        <v>41760</v>
      </c>
      <c r="B275" s="18">
        <f>VLOOKUP(A275,Database!A:Q,MATCH($A$1,Database!$A$1:$Q$1,),)</f>
        <v>6877</v>
      </c>
      <c r="C275" s="15">
        <f t="shared" si="8"/>
        <v>-3.766478342749529E-3</v>
      </c>
      <c r="D275" s="16">
        <f t="shared" si="7"/>
        <v>2.9167274318214961E-3</v>
      </c>
    </row>
    <row r="276" spans="1:4" x14ac:dyDescent="0.2">
      <c r="A276" s="14">
        <v>41791</v>
      </c>
      <c r="B276" s="18">
        <f>VLOOKUP(A276,Database!A:Q,MATCH($A$1,Database!$A$1:$Q$1,),)</f>
        <v>6952</v>
      </c>
      <c r="C276" s="15">
        <f t="shared" si="8"/>
        <v>1.0905918278319035E-2</v>
      </c>
      <c r="D276" s="16">
        <f t="shared" ref="D276:D320" si="9">(B276-B264)/B264</f>
        <v>8.5594080951690125E-3</v>
      </c>
    </row>
    <row r="277" spans="1:4" x14ac:dyDescent="0.2">
      <c r="A277" s="13">
        <v>41821</v>
      </c>
      <c r="B277" s="18">
        <f>VLOOKUP(A277,Database!A:Q,MATCH($A$1,Database!$A$1:$Q$1,),)</f>
        <v>6928</v>
      </c>
      <c r="C277" s="15">
        <f t="shared" si="8"/>
        <v>-3.4522439585730723E-3</v>
      </c>
      <c r="D277" s="16">
        <f t="shared" si="9"/>
        <v>-1.4413375612568463E-3</v>
      </c>
    </row>
    <row r="278" spans="1:4" x14ac:dyDescent="0.2">
      <c r="A278" s="14">
        <v>41852</v>
      </c>
      <c r="B278" s="18">
        <f>VLOOKUP(A278,Database!A:Q,MATCH($A$1,Database!$A$1:$Q$1,),)</f>
        <v>7166</v>
      </c>
      <c r="C278" s="15">
        <f t="shared" si="8"/>
        <v>3.4353348729792149E-2</v>
      </c>
      <c r="D278" s="16">
        <f t="shared" si="9"/>
        <v>5.9432288586635129E-2</v>
      </c>
    </row>
    <row r="279" spans="1:4" x14ac:dyDescent="0.2">
      <c r="A279" s="13">
        <v>41883</v>
      </c>
      <c r="B279" s="18">
        <f>VLOOKUP(A279,Database!A:Q,MATCH($A$1,Database!$A$1:$Q$1,),)</f>
        <v>7061</v>
      </c>
      <c r="C279" s="15">
        <f t="shared" si="8"/>
        <v>-1.4652525816355009E-2</v>
      </c>
      <c r="D279" s="16">
        <f t="shared" si="9"/>
        <v>2.6905177428737638E-2</v>
      </c>
    </row>
    <row r="280" spans="1:4" x14ac:dyDescent="0.2">
      <c r="A280" s="14">
        <v>41913</v>
      </c>
      <c r="B280" s="18">
        <f>VLOOKUP(A280,Database!A:Q,MATCH($A$1,Database!$A$1:$Q$1,),)</f>
        <v>7157</v>
      </c>
      <c r="C280" s="15">
        <f t="shared" si="8"/>
        <v>1.3595807959212575E-2</v>
      </c>
      <c r="D280" s="16">
        <f t="shared" si="9"/>
        <v>4.2838408859099522E-2</v>
      </c>
    </row>
    <row r="281" spans="1:4" x14ac:dyDescent="0.2">
      <c r="A281" s="13">
        <v>41944</v>
      </c>
      <c r="B281" s="18">
        <f>VLOOKUP(A281,Database!A:Q,MATCH($A$1,Database!$A$1:$Q$1,),)</f>
        <v>7137</v>
      </c>
      <c r="C281" s="15">
        <f t="shared" si="8"/>
        <v>-2.7944669554282519E-3</v>
      </c>
      <c r="D281" s="16">
        <f t="shared" si="9"/>
        <v>3.3898305084745763E-2</v>
      </c>
    </row>
    <row r="282" spans="1:4" x14ac:dyDescent="0.2">
      <c r="A282" s="14">
        <v>41974</v>
      </c>
      <c r="B282" s="18">
        <f>VLOOKUP(A282,Database!A:Q,MATCH($A$1,Database!$A$1:$Q$1,),)</f>
        <v>7074</v>
      </c>
      <c r="C282" s="15">
        <f t="shared" si="8"/>
        <v>-8.8272383354350576E-3</v>
      </c>
      <c r="D282" s="16">
        <f t="shared" si="9"/>
        <v>2.9694323144104803E-2</v>
      </c>
    </row>
    <row r="283" spans="1:4" x14ac:dyDescent="0.2">
      <c r="A283" s="13">
        <v>42005</v>
      </c>
      <c r="B283" s="18">
        <f>VLOOKUP(A283,Database!A:Q,MATCH($A$1,Database!$A$1:$Q$1,),)</f>
        <v>6951</v>
      </c>
      <c r="C283" s="15">
        <f t="shared" si="8"/>
        <v>-1.7387616624257845E-2</v>
      </c>
      <c r="D283" s="16">
        <f t="shared" si="9"/>
        <v>7.1858134155744019E-2</v>
      </c>
    </row>
    <row r="284" spans="1:4" x14ac:dyDescent="0.2">
      <c r="A284" s="14">
        <v>42036</v>
      </c>
      <c r="B284" s="18">
        <f>VLOOKUP(A284,Database!A:Q,MATCH($A$1,Database!$A$1:$Q$1,),)</f>
        <v>6985</v>
      </c>
      <c r="C284" s="15">
        <f t="shared" si="8"/>
        <v>4.8913825348870666E-3</v>
      </c>
      <c r="D284" s="16">
        <f t="shared" si="9"/>
        <v>2.7508090614886731E-2</v>
      </c>
    </row>
    <row r="285" spans="1:4" x14ac:dyDescent="0.2">
      <c r="A285" s="13">
        <v>42064</v>
      </c>
      <c r="B285" s="18">
        <f>VLOOKUP(A285,Database!A:Q,MATCH($A$1,Database!$A$1:$Q$1,),)</f>
        <v>7076</v>
      </c>
      <c r="C285" s="15">
        <f t="shared" si="8"/>
        <v>1.3027916964924838E-2</v>
      </c>
      <c r="D285" s="16">
        <f t="shared" si="9"/>
        <v>4.1507212246099497E-2</v>
      </c>
    </row>
    <row r="286" spans="1:4" x14ac:dyDescent="0.2">
      <c r="A286" s="14">
        <v>42095</v>
      </c>
      <c r="B286" s="18">
        <f>VLOOKUP(A286,Database!A:Q,MATCH($A$1,Database!$A$1:$Q$1,),)</f>
        <v>7082</v>
      </c>
      <c r="C286" s="15">
        <f t="shared" si="8"/>
        <v>8.4793668739400791E-4</v>
      </c>
      <c r="D286" s="16">
        <f t="shared" si="9"/>
        <v>2.5930754744314066E-2</v>
      </c>
    </row>
    <row r="287" spans="1:4" x14ac:dyDescent="0.2">
      <c r="A287" s="13">
        <v>42125</v>
      </c>
      <c r="B287" s="18">
        <f>VLOOKUP(A287,Database!A:Q,MATCH($A$1,Database!$A$1:$Q$1,),)</f>
        <v>7123</v>
      </c>
      <c r="C287" s="15">
        <f t="shared" si="8"/>
        <v>5.7893250494210676E-3</v>
      </c>
      <c r="D287" s="16">
        <f t="shared" si="9"/>
        <v>3.5771411952886432E-2</v>
      </c>
    </row>
    <row r="288" spans="1:4" x14ac:dyDescent="0.2">
      <c r="A288" s="14">
        <v>42156</v>
      </c>
      <c r="B288" s="18">
        <f>VLOOKUP(A288,Database!A:Q,MATCH($A$1,Database!$A$1:$Q$1,),)</f>
        <v>7094</v>
      </c>
      <c r="C288" s="15">
        <f t="shared" si="8"/>
        <v>-4.0713182647760778E-3</v>
      </c>
      <c r="D288" s="16">
        <f t="shared" si="9"/>
        <v>2.0425776754890677E-2</v>
      </c>
    </row>
    <row r="289" spans="1:4" x14ac:dyDescent="0.2">
      <c r="A289" s="13">
        <v>42186</v>
      </c>
      <c r="B289" s="18">
        <f>VLOOKUP(A289,Database!A:Q,MATCH($A$1,Database!$A$1:$Q$1,),)</f>
        <v>7140</v>
      </c>
      <c r="C289" s="15">
        <f t="shared" si="8"/>
        <v>6.4843529743445162E-3</v>
      </c>
      <c r="D289" s="16">
        <f t="shared" si="9"/>
        <v>3.0600461893764433E-2</v>
      </c>
    </row>
    <row r="290" spans="1:4" x14ac:dyDescent="0.2">
      <c r="A290" s="14">
        <v>42217</v>
      </c>
      <c r="B290" s="18">
        <f>VLOOKUP(A290,Database!A:Q,MATCH($A$1,Database!$A$1:$Q$1,),)</f>
        <v>7170</v>
      </c>
      <c r="C290" s="15">
        <f t="shared" si="8"/>
        <v>4.2016806722689074E-3</v>
      </c>
      <c r="D290" s="16">
        <f t="shared" si="9"/>
        <v>5.5819145967066707E-4</v>
      </c>
    </row>
    <row r="291" spans="1:4" x14ac:dyDescent="0.2">
      <c r="A291" s="13">
        <v>42248</v>
      </c>
      <c r="B291" s="18">
        <f>VLOOKUP(A291,Database!A:Q,MATCH($A$1,Database!$A$1:$Q$1,),)</f>
        <v>7197</v>
      </c>
      <c r="C291" s="15">
        <f t="shared" si="8"/>
        <v>3.7656903765690376E-3</v>
      </c>
      <c r="D291" s="16">
        <f t="shared" si="9"/>
        <v>1.9260727942217816E-2</v>
      </c>
    </row>
    <row r="292" spans="1:4" x14ac:dyDescent="0.2">
      <c r="A292" s="14">
        <v>42278</v>
      </c>
      <c r="B292" s="18">
        <f>VLOOKUP(A292,Database!A:Q,MATCH($A$1,Database!$A$1:$Q$1,),)</f>
        <v>7106</v>
      </c>
      <c r="C292" s="15">
        <f t="shared" si="8"/>
        <v>-1.2644157287758789E-2</v>
      </c>
      <c r="D292" s="16">
        <f t="shared" si="9"/>
        <v>-7.1258907363420431E-3</v>
      </c>
    </row>
    <row r="293" spans="1:4" x14ac:dyDescent="0.2">
      <c r="A293" s="13">
        <v>42309</v>
      </c>
      <c r="B293" s="18">
        <f>VLOOKUP(A293,Database!A:Q,MATCH($A$1,Database!$A$1:$Q$1,),)</f>
        <v>7213</v>
      </c>
      <c r="C293" s="15">
        <f t="shared" si="8"/>
        <v>1.5057697720236419E-2</v>
      </c>
      <c r="D293" s="16">
        <f t="shared" si="9"/>
        <v>1.064873196020737E-2</v>
      </c>
    </row>
    <row r="294" spans="1:4" x14ac:dyDescent="0.2">
      <c r="A294" s="14">
        <v>42339</v>
      </c>
      <c r="B294" s="18">
        <f>VLOOKUP(A294,Database!A:Q,MATCH($A$1,Database!$A$1:$Q$1,),)</f>
        <v>7353</v>
      </c>
      <c r="C294" s="15">
        <f t="shared" si="8"/>
        <v>1.9409399694995149E-2</v>
      </c>
      <c r="D294" s="16">
        <f t="shared" si="9"/>
        <v>3.9440203562340966E-2</v>
      </c>
    </row>
    <row r="295" spans="1:4" x14ac:dyDescent="0.2">
      <c r="A295" s="13">
        <v>42370</v>
      </c>
      <c r="B295" s="18">
        <f>VLOOKUP(A295,Database!A:Q,MATCH($A$1,Database!$A$1:$Q$1,),)</f>
        <v>7303</v>
      </c>
      <c r="C295" s="15">
        <f t="shared" si="8"/>
        <v>-6.7999456004351963E-3</v>
      </c>
      <c r="D295" s="16">
        <f t="shared" si="9"/>
        <v>5.0640195655301395E-2</v>
      </c>
    </row>
    <row r="296" spans="1:4" x14ac:dyDescent="0.2">
      <c r="A296" s="14">
        <v>42401</v>
      </c>
      <c r="B296" s="18">
        <f>VLOOKUP(A296,Database!A:Q,MATCH($A$1,Database!$A$1:$Q$1,),)</f>
        <v>7296</v>
      </c>
      <c r="C296" s="15">
        <f t="shared" si="8"/>
        <v>-9.5851020128714232E-4</v>
      </c>
      <c r="D296" s="16">
        <f t="shared" si="9"/>
        <v>4.4523979957050826E-2</v>
      </c>
    </row>
    <row r="297" spans="1:4" x14ac:dyDescent="0.2">
      <c r="A297" s="13">
        <v>42430</v>
      </c>
      <c r="B297" s="18">
        <f>VLOOKUP(A297,Database!A:Q,MATCH($A$1,Database!$A$1:$Q$1,),)</f>
        <v>7280</v>
      </c>
      <c r="C297" s="15">
        <f t="shared" si="8"/>
        <v>-2.1929824561403508E-3</v>
      </c>
      <c r="D297" s="16">
        <f t="shared" si="9"/>
        <v>2.882984737139627E-2</v>
      </c>
    </row>
    <row r="298" spans="1:4" x14ac:dyDescent="0.2">
      <c r="A298" s="14">
        <v>42461</v>
      </c>
      <c r="B298" s="18">
        <f>VLOOKUP(A298,Database!A:Q,MATCH($A$1,Database!$A$1:$Q$1,),)</f>
        <v>7213</v>
      </c>
      <c r="C298" s="15">
        <f t="shared" si="8"/>
        <v>-9.2032967032967036E-3</v>
      </c>
      <c r="D298" s="16">
        <f t="shared" si="9"/>
        <v>1.849759954815024E-2</v>
      </c>
    </row>
    <row r="299" spans="1:4" x14ac:dyDescent="0.2">
      <c r="A299" s="13">
        <v>42491</v>
      </c>
      <c r="B299" s="18">
        <f>VLOOKUP(A299,Database!A:Q,MATCH($A$1,Database!$A$1:$Q$1,),)</f>
        <v>7261</v>
      </c>
      <c r="C299" s="15">
        <f t="shared" si="8"/>
        <v>6.6546513239983361E-3</v>
      </c>
      <c r="D299" s="16">
        <f t="shared" si="9"/>
        <v>1.9373859328934439E-2</v>
      </c>
    </row>
    <row r="300" spans="1:4" x14ac:dyDescent="0.2">
      <c r="A300" s="14">
        <v>42522</v>
      </c>
      <c r="B300" s="18">
        <f>VLOOKUP(A300,Database!A:Q,MATCH($A$1,Database!$A$1:$Q$1,),)</f>
        <v>7562</v>
      </c>
      <c r="C300" s="15">
        <f t="shared" si="8"/>
        <v>4.1454345131524586E-2</v>
      </c>
      <c r="D300" s="16">
        <f t="shared" si="9"/>
        <v>6.5971243304200733E-2</v>
      </c>
    </row>
    <row r="301" spans="1:4" x14ac:dyDescent="0.2">
      <c r="A301" s="13">
        <v>42552</v>
      </c>
      <c r="B301" s="18">
        <f>VLOOKUP(A301,Database!A:Q,MATCH($A$1,Database!$A$1:$Q$1,),)</f>
        <v>7216</v>
      </c>
      <c r="C301" s="15">
        <f t="shared" si="8"/>
        <v>-4.5755091245702192E-2</v>
      </c>
      <c r="D301" s="16">
        <f t="shared" si="9"/>
        <v>1.0644257703081233E-2</v>
      </c>
    </row>
    <row r="302" spans="1:4" x14ac:dyDescent="0.2">
      <c r="A302" s="14">
        <v>42583</v>
      </c>
      <c r="B302" s="18">
        <f>VLOOKUP(A302,Database!A:Q,MATCH($A$1,Database!$A$1:$Q$1,),)</f>
        <v>7039</v>
      </c>
      <c r="C302" s="15">
        <f t="shared" si="8"/>
        <v>-2.4528824833702882E-2</v>
      </c>
      <c r="D302" s="16">
        <f t="shared" si="9"/>
        <v>-1.8270571827057182E-2</v>
      </c>
    </row>
    <row r="303" spans="1:4" x14ac:dyDescent="0.2">
      <c r="A303" s="13">
        <v>42614</v>
      </c>
      <c r="B303" s="18">
        <f>VLOOKUP(A303,Database!A:Q,MATCH($A$1,Database!$A$1:$Q$1,),)</f>
        <v>7058</v>
      </c>
      <c r="C303" s="15">
        <f t="shared" si="8"/>
        <v>2.6992470521380878E-3</v>
      </c>
      <c r="D303" s="16">
        <f t="shared" si="9"/>
        <v>-1.9313602890093096E-2</v>
      </c>
    </row>
    <row r="304" spans="1:4" x14ac:dyDescent="0.2">
      <c r="A304" s="14">
        <v>42644</v>
      </c>
      <c r="B304" s="18">
        <f>VLOOKUP(A304,Database!A:Q,MATCH($A$1,Database!$A$1:$Q$1,),)</f>
        <v>7084</v>
      </c>
      <c r="C304" s="15">
        <f t="shared" si="8"/>
        <v>3.6837631056956645E-3</v>
      </c>
      <c r="D304" s="16">
        <f t="shared" si="9"/>
        <v>-3.0959752321981426E-3</v>
      </c>
    </row>
    <row r="305" spans="1:4" x14ac:dyDescent="0.2">
      <c r="A305" s="13">
        <v>42675</v>
      </c>
      <c r="B305" s="18">
        <f>VLOOKUP(A305,Database!A:Q,MATCH($A$1,Database!$A$1:$Q$1,),)</f>
        <v>6961</v>
      </c>
      <c r="C305" s="15">
        <f t="shared" si="8"/>
        <v>-1.7363071710897796E-2</v>
      </c>
      <c r="D305" s="16">
        <f t="shared" si="9"/>
        <v>-3.4936919450991269E-2</v>
      </c>
    </row>
    <row r="306" spans="1:4" x14ac:dyDescent="0.2">
      <c r="A306" s="14">
        <v>42705</v>
      </c>
      <c r="B306" s="18">
        <f>VLOOKUP(A306,Database!A:Q,MATCH($A$1,Database!$A$1:$Q$1,),)</f>
        <v>7075</v>
      </c>
      <c r="C306" s="15">
        <f t="shared" si="8"/>
        <v>1.637695733371642E-2</v>
      </c>
      <c r="D306" s="16">
        <f t="shared" si="9"/>
        <v>-3.7807697538419692E-2</v>
      </c>
    </row>
    <row r="307" spans="1:4" x14ac:dyDescent="0.2">
      <c r="A307" s="13">
        <v>42736</v>
      </c>
      <c r="B307" s="18">
        <f>VLOOKUP(A307,Database!A:Q,MATCH($A$1,Database!$A$1:$Q$1,),)</f>
        <v>7227</v>
      </c>
      <c r="C307" s="15">
        <f t="shared" si="8"/>
        <v>2.1484098939929329E-2</v>
      </c>
      <c r="D307" s="16">
        <f t="shared" si="9"/>
        <v>-1.0406682185403259E-2</v>
      </c>
    </row>
    <row r="308" spans="1:4" x14ac:dyDescent="0.2">
      <c r="A308" s="14">
        <v>42767</v>
      </c>
      <c r="B308" s="18">
        <f>VLOOKUP(A308,Database!A:Q,MATCH($A$1,Database!$A$1:$Q$1,),)</f>
        <v>7051</v>
      </c>
      <c r="C308" s="15">
        <f t="shared" si="8"/>
        <v>-2.4353120243531201E-2</v>
      </c>
      <c r="D308" s="16">
        <f t="shared" si="9"/>
        <v>-3.358004385964912E-2</v>
      </c>
    </row>
    <row r="309" spans="1:4" x14ac:dyDescent="0.2">
      <c r="A309" s="13">
        <v>42795</v>
      </c>
      <c r="B309" s="18">
        <f>VLOOKUP(A309,Database!A:Q,MATCH($A$1,Database!$A$1:$Q$1,),)</f>
        <v>6964</v>
      </c>
      <c r="C309" s="15">
        <f t="shared" si="8"/>
        <v>-1.2338675365196426E-2</v>
      </c>
      <c r="D309" s="16">
        <f t="shared" si="9"/>
        <v>-4.3406593406593405E-2</v>
      </c>
    </row>
    <row r="310" spans="1:4" x14ac:dyDescent="0.2">
      <c r="A310" s="14">
        <v>42826</v>
      </c>
      <c r="B310" s="18">
        <f>VLOOKUP(A310,Database!A:Q,MATCH($A$1,Database!$A$1:$Q$1,),)</f>
        <v>7028</v>
      </c>
      <c r="C310" s="15">
        <f t="shared" si="8"/>
        <v>9.190120620333142E-3</v>
      </c>
      <c r="D310" s="16">
        <f t="shared" si="9"/>
        <v>-2.5648135311243589E-2</v>
      </c>
    </row>
    <row r="311" spans="1:4" x14ac:dyDescent="0.2">
      <c r="A311" s="13">
        <v>42856</v>
      </c>
      <c r="B311" s="18">
        <f>VLOOKUP(A311,Database!A:Q,MATCH($A$1,Database!$A$1:$Q$1,),)</f>
        <v>6948</v>
      </c>
      <c r="C311" s="15">
        <f t="shared" si="8"/>
        <v>-1.1383039271485486E-2</v>
      </c>
      <c r="D311" s="16">
        <f t="shared" si="9"/>
        <v>-4.3107010053711613E-2</v>
      </c>
    </row>
    <row r="312" spans="1:4" x14ac:dyDescent="0.2">
      <c r="A312" s="14">
        <v>42887</v>
      </c>
      <c r="B312" s="18">
        <f>VLOOKUP(A312,Database!A:Q,MATCH($A$1,Database!$A$1:$Q$1,),)</f>
        <v>6945</v>
      </c>
      <c r="C312" s="15">
        <f t="shared" si="8"/>
        <v>-4.3177892918825559E-4</v>
      </c>
      <c r="D312" s="16">
        <f t="shared" si="9"/>
        <v>-8.1592171383231951E-2</v>
      </c>
    </row>
    <row r="313" spans="1:4" x14ac:dyDescent="0.2">
      <c r="A313" s="13">
        <v>42917</v>
      </c>
      <c r="B313" s="18">
        <f>VLOOKUP(A313,Database!A:Q,MATCH($A$1,Database!$A$1:$Q$1,),)</f>
        <v>6841</v>
      </c>
      <c r="C313" s="15">
        <f t="shared" si="8"/>
        <v>-1.4974802015838734E-2</v>
      </c>
      <c r="D313" s="16">
        <f t="shared" si="9"/>
        <v>-5.1967849223946788E-2</v>
      </c>
    </row>
    <row r="314" spans="1:4" x14ac:dyDescent="0.2">
      <c r="A314" s="14">
        <v>42948</v>
      </c>
      <c r="B314" s="18">
        <f>VLOOKUP(A314,Database!A:Q,MATCH($A$1,Database!$A$1:$Q$1,),)</f>
        <v>6913</v>
      </c>
      <c r="C314" s="15">
        <f t="shared" si="8"/>
        <v>1.052477707937436E-2</v>
      </c>
      <c r="D314" s="16">
        <f t="shared" si="9"/>
        <v>-1.7900269924705215E-2</v>
      </c>
    </row>
    <row r="315" spans="1:4" x14ac:dyDescent="0.2">
      <c r="A315" s="13">
        <v>42979</v>
      </c>
      <c r="B315" s="18">
        <f>VLOOKUP(A315,Database!A:Q,MATCH($A$1,Database!$A$1:$Q$1,),)</f>
        <v>7002</v>
      </c>
      <c r="C315" s="15">
        <f t="shared" si="8"/>
        <v>1.2874294806885577E-2</v>
      </c>
      <c r="D315" s="16">
        <f t="shared" si="9"/>
        <v>-7.9342589968829699E-3</v>
      </c>
    </row>
    <row r="316" spans="1:4" x14ac:dyDescent="0.2">
      <c r="A316" s="14">
        <v>43009</v>
      </c>
      <c r="B316" s="18">
        <f>VLOOKUP(A316,Database!A:Q,MATCH($A$1,Database!$A$1:$Q$1,),)</f>
        <v>7031</v>
      </c>
      <c r="C316" s="15">
        <f t="shared" si="8"/>
        <v>4.1416738074835759E-3</v>
      </c>
      <c r="D316" s="16">
        <f t="shared" si="9"/>
        <v>-7.481648785996612E-3</v>
      </c>
    </row>
    <row r="317" spans="1:4" x14ac:dyDescent="0.2">
      <c r="A317" s="13">
        <v>43040</v>
      </c>
      <c r="B317" s="18">
        <f>VLOOKUP(A317,Database!A:Q,MATCH($A$1,Database!$A$1:$Q$1,),)</f>
        <v>7144</v>
      </c>
      <c r="C317" s="15">
        <f t="shared" si="8"/>
        <v>1.6071682548712843E-2</v>
      </c>
      <c r="D317" s="16">
        <f t="shared" si="9"/>
        <v>2.628932624622899E-2</v>
      </c>
    </row>
    <row r="318" spans="1:4" x14ac:dyDescent="0.2">
      <c r="A318" s="14">
        <v>43070</v>
      </c>
      <c r="B318" s="18">
        <f>VLOOKUP(A318,Database!A:Q,MATCH($A$1,Database!$A$1:$Q$1,),)</f>
        <v>7059</v>
      </c>
      <c r="C318" s="15">
        <f t="shared" si="8"/>
        <v>-1.1898096304591266E-2</v>
      </c>
      <c r="D318" s="16">
        <f t="shared" si="9"/>
        <v>-2.2614840989399294E-3</v>
      </c>
    </row>
    <row r="319" spans="1:4" x14ac:dyDescent="0.2">
      <c r="A319" s="13">
        <v>43101</v>
      </c>
      <c r="B319" s="18">
        <f>VLOOKUP(A319,Database!A:Q,MATCH($A$1,Database!$A$1:$Q$1,),)</f>
        <v>6879</v>
      </c>
      <c r="C319" s="15">
        <f t="shared" si="8"/>
        <v>-2.5499362515937103E-2</v>
      </c>
      <c r="D319" s="16">
        <f t="shared" si="9"/>
        <v>-4.8152760481527605E-2</v>
      </c>
    </row>
    <row r="320" spans="1:4" x14ac:dyDescent="0.2">
      <c r="A320" s="14">
        <v>43132</v>
      </c>
      <c r="B320" s="18">
        <f>VLOOKUP(A320,Database!A:Q,MATCH($A$1,Database!$A$1:$Q$1,),)</f>
        <v>7163</v>
      </c>
      <c r="C320" s="15">
        <f t="shared" si="8"/>
        <v>4.1285070504433787E-2</v>
      </c>
      <c r="D320" s="16">
        <f t="shared" si="9"/>
        <v>1.5884271734505743E-2</v>
      </c>
    </row>
    <row r="321" spans="1:4" x14ac:dyDescent="0.2">
      <c r="A321" s="13">
        <v>43160</v>
      </c>
      <c r="B321" s="18">
        <f>VLOOKUP(A321,Database!A:Q,MATCH($A$1,Database!$A$1:$Q$1,),)</f>
        <v>7237</v>
      </c>
      <c r="C321" s="15">
        <f t="shared" ref="C321:C322" si="10">(B321-B320)/B320</f>
        <v>1.0330866955186374E-2</v>
      </c>
      <c r="D321" s="16">
        <f t="shared" ref="D321:D322" si="11">(B321-B309)/B309</f>
        <v>3.9201608271108558E-2</v>
      </c>
    </row>
    <row r="322" spans="1:4" x14ac:dyDescent="0.2">
      <c r="A322" s="14">
        <v>43191</v>
      </c>
      <c r="B322" s="18">
        <f>VLOOKUP(A322,Database!A:Q,MATCH($A$1,Database!$A$1:$Q$1,),)</f>
        <v>7127</v>
      </c>
      <c r="C322" s="15">
        <f t="shared" si="10"/>
        <v>-1.5199668370871909E-2</v>
      </c>
      <c r="D322" s="16">
        <f t="shared" si="11"/>
        <v>1.4086511098463289E-2</v>
      </c>
    </row>
    <row r="323" spans="1:4" x14ac:dyDescent="0.2">
      <c r="A323" s="13">
        <v>43221</v>
      </c>
      <c r="B323" s="18">
        <f>VLOOKUP(A323,Database!A:Q,MATCH($A$1,Database!$A$1:$Q$1,),)</f>
        <v>7138</v>
      </c>
      <c r="C323" s="15">
        <f t="shared" ref="C323:C324" si="12">(B323-B322)/B322</f>
        <v>1.5434264066227024E-3</v>
      </c>
      <c r="D323" s="16">
        <f t="shared" ref="D323:D324" si="13">(B323-B311)/B311</f>
        <v>2.7345998848589521E-2</v>
      </c>
    </row>
    <row r="324" spans="1:4" x14ac:dyDescent="0.2">
      <c r="A324" s="14">
        <v>43252</v>
      </c>
      <c r="B324" s="18">
        <f>VLOOKUP(A324,Database!A:Q,MATCH($A$1,Database!$A$1:$Q$1,),)</f>
        <v>6919</v>
      </c>
      <c r="C324" s="15">
        <f t="shared" si="12"/>
        <v>-3.0680862986831044E-2</v>
      </c>
      <c r="D324" s="16">
        <f t="shared" si="13"/>
        <v>-3.7437005039596834E-3</v>
      </c>
    </row>
    <row r="325" spans="1:4" x14ac:dyDescent="0.2">
      <c r="A325" s="13">
        <v>43282</v>
      </c>
      <c r="B325" s="18">
        <f>VLOOKUP(A325,Database!A:Q,MATCH($A$1,Database!$A$1:$Q$1,),)</f>
        <v>6673</v>
      </c>
      <c r="C325" s="15">
        <f t="shared" ref="C325:C326" si="14">(B325-B324)/B324</f>
        <v>-3.5554270848388497E-2</v>
      </c>
      <c r="D325" s="16">
        <f t="shared" ref="D325:D326" si="15">(B325-B313)/B313</f>
        <v>-2.4557813185206841E-2</v>
      </c>
    </row>
    <row r="326" spans="1:4" x14ac:dyDescent="0.2">
      <c r="A326" s="14">
        <v>43313</v>
      </c>
      <c r="B326" s="18">
        <f>VLOOKUP(A326,Database!A:Q,MATCH($A$1,Database!$A$1:$Q$1,),)</f>
        <v>6608</v>
      </c>
      <c r="C326" s="15">
        <f t="shared" si="14"/>
        <v>-9.740746291023528E-3</v>
      </c>
      <c r="D326" s="16">
        <f t="shared" si="15"/>
        <v>-4.4119774338203382E-2</v>
      </c>
    </row>
    <row r="327" spans="1:4" x14ac:dyDescent="0.2">
      <c r="A327" s="13">
        <v>43344</v>
      </c>
      <c r="B327" s="18">
        <f>VLOOKUP(A327,Database!A:Q,MATCH($A$1,Database!$A$1:$Q$1,),)</f>
        <v>6503</v>
      </c>
      <c r="C327" s="15">
        <f t="shared" ref="C327:C328" si="16">(B327-B326)/B326</f>
        <v>-1.5889830508474576E-2</v>
      </c>
      <c r="D327" s="16">
        <f t="shared" ref="D327:D328" si="17">(B327-B315)/B315</f>
        <v>-7.126535275635533E-2</v>
      </c>
    </row>
    <row r="328" spans="1:4" x14ac:dyDescent="0.2">
      <c r="A328" s="14">
        <v>43374</v>
      </c>
      <c r="B328" s="18">
        <f>VLOOKUP(A328,Database!A:Q,MATCH($A$1,Database!$A$1:$Q$1,),)</f>
        <v>6501</v>
      </c>
      <c r="C328" s="15">
        <f t="shared" si="16"/>
        <v>-3.0755036137167463E-4</v>
      </c>
      <c r="D328" s="16">
        <f t="shared" si="17"/>
        <v>-7.5380457971838996E-2</v>
      </c>
    </row>
    <row r="329" spans="1:4" x14ac:dyDescent="0.2">
      <c r="A329" s="13">
        <v>43405</v>
      </c>
      <c r="B329" s="18">
        <f>VLOOKUP(A329,Database!A:Q,MATCH($A$1,Database!$A$1:$Q$1,),)</f>
        <v>6579</v>
      </c>
      <c r="C329" s="15">
        <f t="shared" ref="C329:C330" si="18">(B329-B328)/B328</f>
        <v>1.1998154130133826E-2</v>
      </c>
      <c r="D329" s="16">
        <f t="shared" ref="D329:D330" si="19">(B329-B317)/B317</f>
        <v>-7.908734602463606E-2</v>
      </c>
    </row>
    <row r="330" spans="1:4" x14ac:dyDescent="0.2">
      <c r="A330" s="14">
        <v>43435</v>
      </c>
      <c r="B330" s="18">
        <f>VLOOKUP(A330,Database!A:Q,MATCH($A$1,Database!$A$1:$Q$1,),)</f>
        <v>6398</v>
      </c>
      <c r="C330" s="15">
        <f t="shared" si="18"/>
        <v>-2.7511779905760755E-2</v>
      </c>
      <c r="D330" s="16">
        <f t="shared" si="19"/>
        <v>-9.363932568352458E-2</v>
      </c>
    </row>
    <row r="331" spans="1:4" x14ac:dyDescent="0.2">
      <c r="A331" s="13">
        <v>43466</v>
      </c>
      <c r="B331" s="18">
        <f>VLOOKUP(A331,Database!A:Q,MATCH($A$1,Database!$A$1:$Q$1,),)</f>
        <v>6541</v>
      </c>
      <c r="C331" s="15">
        <f t="shared" ref="C331:C332" si="20">(B331-B330)/B330</f>
        <v>2.2350734604563927E-2</v>
      </c>
      <c r="D331" s="16">
        <f t="shared" ref="D331:D332" si="21">(B331-B319)/B319</f>
        <v>-4.9135048698938796E-2</v>
      </c>
    </row>
    <row r="332" spans="1:4" x14ac:dyDescent="0.2">
      <c r="A332" s="14">
        <v>43497</v>
      </c>
      <c r="B332" s="18">
        <f>VLOOKUP(A332,Database!A:Q,MATCH($A$1,Database!$A$1:$Q$1,),)</f>
        <v>6594</v>
      </c>
      <c r="C332" s="15">
        <f t="shared" si="20"/>
        <v>8.1027365846200895E-3</v>
      </c>
      <c r="D332" s="16">
        <f t="shared" si="21"/>
        <v>-7.9435990506770901E-2</v>
      </c>
    </row>
    <row r="333" spans="1:4" x14ac:dyDescent="0.2">
      <c r="A333" s="13">
        <v>43525</v>
      </c>
      <c r="B333" s="18">
        <f>VLOOKUP(A333,Database!A:Q,MATCH($A$1,Database!$A$1:$Q$1,),)</f>
        <v>6632</v>
      </c>
      <c r="C333" s="15">
        <f t="shared" ref="C333:C334" si="22">(B333-B332)/B332</f>
        <v>5.7628146800121323E-3</v>
      </c>
      <c r="D333" s="16">
        <f t="shared" ref="D333:D334" si="23">(B333-B321)/B321</f>
        <v>-8.3598176039795496E-2</v>
      </c>
    </row>
    <row r="334" spans="1:4" x14ac:dyDescent="0.2">
      <c r="A334" s="14">
        <v>43556</v>
      </c>
      <c r="B334" s="18">
        <f>VLOOKUP(A334,Database!A:Q,MATCH($A$1,Database!$A$1:$Q$1,),)</f>
        <v>6775</v>
      </c>
      <c r="C334" s="15">
        <f t="shared" si="22"/>
        <v>2.1562123039806997E-2</v>
      </c>
      <c r="D334" s="16">
        <f t="shared" si="23"/>
        <v>-4.9389645011926477E-2</v>
      </c>
    </row>
    <row r="335" spans="1:4" x14ac:dyDescent="0.2">
      <c r="A335" s="13">
        <v>43586</v>
      </c>
      <c r="B335" s="18">
        <f>VLOOKUP(A335,Database!A:Q,MATCH($A$1,Database!$A$1:$Q$1,),)</f>
        <v>6815</v>
      </c>
      <c r="C335" s="15">
        <f t="shared" ref="C335:C337" si="24">(B335-B334)/B334</f>
        <v>5.9040590405904057E-3</v>
      </c>
      <c r="D335" s="16">
        <f t="shared" ref="D335:D337" si="25">(B335-B323)/B323</f>
        <v>-4.5250770523956291E-2</v>
      </c>
    </row>
    <row r="336" spans="1:4" x14ac:dyDescent="0.2">
      <c r="A336" s="13">
        <v>43617</v>
      </c>
      <c r="B336" s="18">
        <f>VLOOKUP(A336,Database!A:Q,MATCH($A$1,Database!$A$1:$Q$1,),)</f>
        <v>6892</v>
      </c>
      <c r="C336" s="15">
        <f t="shared" si="24"/>
        <v>1.1298606016140866E-2</v>
      </c>
      <c r="D336" s="16">
        <f t="shared" si="25"/>
        <v>-3.9022980199450788E-3</v>
      </c>
    </row>
    <row r="337" spans="1:4" x14ac:dyDescent="0.2">
      <c r="A337" s="14">
        <v>43647</v>
      </c>
      <c r="B337" s="18">
        <f>VLOOKUP(A337,Database!A:Q,MATCH($A$1,Database!$A$1:$Q$1,),)</f>
        <v>6785</v>
      </c>
      <c r="C337" s="15">
        <f t="shared" si="24"/>
        <v>-1.5525246662797447E-2</v>
      </c>
      <c r="D337" s="16">
        <f t="shared" si="25"/>
        <v>1.6784055147609771E-2</v>
      </c>
    </row>
    <row r="338" spans="1:4" x14ac:dyDescent="0.2">
      <c r="A338" s="13">
        <v>43678</v>
      </c>
      <c r="B338" s="18">
        <f>VLOOKUP(A338,Database!A:Q,MATCH($A$1,Database!$A$1:$Q$1,),)</f>
        <v>6775</v>
      </c>
      <c r="C338" s="15">
        <f t="shared" ref="C338:C340" si="26">(B338-B337)/B337</f>
        <v>-1.4738393515106854E-3</v>
      </c>
      <c r="D338" s="16">
        <f t="shared" ref="D338:D340" si="27">(B338-B326)/B326</f>
        <v>2.5272397094430993E-2</v>
      </c>
    </row>
    <row r="339" spans="1:4" x14ac:dyDescent="0.2">
      <c r="A339" s="13">
        <v>43709</v>
      </c>
      <c r="B339" s="18">
        <f>VLOOKUP(A339,Database!A:Q,MATCH($A$1,Database!$A$1:$Q$1,),)</f>
        <v>6823</v>
      </c>
      <c r="C339" s="15">
        <f t="shared" si="26"/>
        <v>7.0848708487084872E-3</v>
      </c>
      <c r="D339" s="16">
        <f t="shared" si="27"/>
        <v>4.9208057819467937E-2</v>
      </c>
    </row>
    <row r="340" spans="1:4" x14ac:dyDescent="0.2">
      <c r="A340" s="14">
        <v>43739</v>
      </c>
      <c r="B340" s="18">
        <f>VLOOKUP(A340,Database!A:Q,MATCH($A$1,Database!$A$1:$Q$1,),)</f>
        <v>6846</v>
      </c>
      <c r="C340" s="15">
        <f t="shared" si="26"/>
        <v>3.3709511944892277E-3</v>
      </c>
      <c r="D340" s="16">
        <f t="shared" si="27"/>
        <v>5.3068758652515001E-2</v>
      </c>
    </row>
    <row r="341" spans="1:4" x14ac:dyDescent="0.2">
      <c r="A341" s="13">
        <v>43770</v>
      </c>
      <c r="B341" s="18">
        <f>VLOOKUP(A341,Database!A:Q,MATCH($A$1,Database!$A$1:$Q$1,),)</f>
        <v>6633</v>
      </c>
      <c r="C341" s="15">
        <f t="shared" ref="C341:C342" si="28">(B341-B340)/B340</f>
        <v>-3.1113058720420684E-2</v>
      </c>
      <c r="D341" s="16">
        <f t="shared" ref="D341:D342" si="29">(B341-B329)/B329</f>
        <v>8.2079343365253077E-3</v>
      </c>
    </row>
    <row r="342" spans="1:4" x14ac:dyDescent="0.2">
      <c r="A342" s="14">
        <v>43800</v>
      </c>
      <c r="B342" s="18">
        <f>VLOOKUP(A342,Database!A:Q,MATCH($A$1,Database!$A$1:$Q$1,),)</f>
        <v>6702</v>
      </c>
      <c r="C342" s="15">
        <f t="shared" si="28"/>
        <v>1.0402532790592492E-2</v>
      </c>
      <c r="D342" s="16">
        <f t="shared" si="29"/>
        <v>4.7514848390121912E-2</v>
      </c>
    </row>
    <row r="343" spans="1:4" x14ac:dyDescent="0.2">
      <c r="A343" s="13">
        <v>43831</v>
      </c>
      <c r="B343" s="18">
        <f>VLOOKUP(A343,Database!A:Q,MATCH($A$1,Database!$A$1:$Q$1,),)</f>
        <v>6759</v>
      </c>
      <c r="C343" s="15">
        <f t="shared" ref="C343:C344" si="30">(B343-B342)/B342</f>
        <v>8.5049239033124432E-3</v>
      </c>
      <c r="D343" s="16">
        <f t="shared" ref="D343:D344" si="31">(B343-B331)/B331</f>
        <v>3.3328237272588289E-2</v>
      </c>
    </row>
    <row r="344" spans="1:4" x14ac:dyDescent="0.2">
      <c r="A344" s="14">
        <v>43862</v>
      </c>
      <c r="B344" s="18">
        <f>VLOOKUP(A344,Database!A:Q,MATCH($A$1,Database!$A$1:$Q$1,),)</f>
        <v>6769</v>
      </c>
      <c r="C344" s="15">
        <f t="shared" si="30"/>
        <v>1.4795088030773783E-3</v>
      </c>
      <c r="D344" s="16">
        <f t="shared" si="31"/>
        <v>2.6539278131634821E-2</v>
      </c>
    </row>
    <row r="345" spans="1:4" x14ac:dyDescent="0.2">
      <c r="A345" s="13">
        <v>43891</v>
      </c>
      <c r="B345" s="18">
        <f>VLOOKUP(A345,Database!A:Q,MATCH($A$1,Database!$A$1:$Q$1,),)</f>
        <v>5642</v>
      </c>
      <c r="C345" s="15">
        <f t="shared" ref="C345:C346" si="32">(B345-B344)/B344</f>
        <v>-0.16649431230610134</v>
      </c>
      <c r="D345" s="16">
        <f t="shared" ref="D345:D346" si="33">(B345-B333)/B333</f>
        <v>-0.14927623642943305</v>
      </c>
    </row>
    <row r="346" spans="1:4" x14ac:dyDescent="0.2">
      <c r="A346" s="14">
        <v>43922</v>
      </c>
      <c r="B346" s="18">
        <f>VLOOKUP(A346,Database!A:Q,MATCH($A$1,Database!$A$1:$Q$1,),)</f>
        <v>3771</v>
      </c>
      <c r="C346" s="15">
        <f t="shared" si="32"/>
        <v>-0.33161999291031546</v>
      </c>
      <c r="D346" s="16">
        <f t="shared" si="33"/>
        <v>-0.44339483394833951</v>
      </c>
    </row>
    <row r="347" spans="1:4" x14ac:dyDescent="0.2">
      <c r="A347" s="13">
        <v>43952</v>
      </c>
      <c r="B347" s="18">
        <f>VLOOKUP(A347,Database!A:Q,MATCH($A$1,Database!$A$1:$Q$1,),)</f>
        <v>6680</v>
      </c>
      <c r="C347" s="15">
        <f t="shared" ref="C347:C348" si="34">(B347-B346)/B346</f>
        <v>0.77141341819146114</v>
      </c>
      <c r="D347" s="16">
        <f t="shared" ref="D347:D348" si="35">(B347-B335)/B335</f>
        <v>-1.9809244314013204E-2</v>
      </c>
    </row>
    <row r="348" spans="1:4" x14ac:dyDescent="0.2">
      <c r="A348" s="14">
        <v>43983</v>
      </c>
      <c r="B348" s="18">
        <f>VLOOKUP(A348,Database!A:Q,MATCH($A$1,Database!$A$1:$Q$1,),)</f>
        <v>8552</v>
      </c>
      <c r="C348" s="15">
        <f t="shared" si="34"/>
        <v>0.28023952095808385</v>
      </c>
      <c r="D348" s="16">
        <f t="shared" si="35"/>
        <v>0.240858966918166</v>
      </c>
    </row>
    <row r="349" spans="1:4" x14ac:dyDescent="0.2">
      <c r="A349" s="13">
        <v>44013</v>
      </c>
      <c r="B349" s="18">
        <f>VLOOKUP(A349,Database!A:Q,MATCH($A$1,Database!$A$1:$Q$1,),)</f>
        <v>8108</v>
      </c>
      <c r="C349" s="15">
        <f t="shared" ref="C349:C350" si="36">(B349-B348)/B348</f>
        <v>-5.1917680074836298E-2</v>
      </c>
      <c r="D349" s="16">
        <f t="shared" ref="D349:D350" si="37">(B349-B337)/B337</f>
        <v>0.19498894620486368</v>
      </c>
    </row>
    <row r="350" spans="1:4" x14ac:dyDescent="0.2">
      <c r="A350" s="14">
        <v>44044</v>
      </c>
      <c r="B350" s="18">
        <f>VLOOKUP(A350,Database!A:Q,MATCH($A$1,Database!$A$1:$Q$1,),)</f>
        <v>7526</v>
      </c>
      <c r="C350" s="15">
        <f t="shared" si="36"/>
        <v>-7.1780957079427721E-2</v>
      </c>
      <c r="D350" s="16">
        <f t="shared" si="37"/>
        <v>0.11084870848708488</v>
      </c>
    </row>
    <row r="351" spans="1:4" x14ac:dyDescent="0.2">
      <c r="A351" s="13">
        <v>44075</v>
      </c>
      <c r="B351" s="18">
        <f>VLOOKUP(A351,Database!A:Q,MATCH($A$1,Database!$A$1:$Q$1,),)</f>
        <v>8127</v>
      </c>
      <c r="C351" s="15">
        <f t="shared" ref="C351:C352" si="38">(B351-B350)/B350</f>
        <v>7.985649747541855E-2</v>
      </c>
      <c r="D351" s="16">
        <f t="shared" ref="D351:D352" si="39">(B351-B339)/B339</f>
        <v>0.19111827641799795</v>
      </c>
    </row>
    <row r="352" spans="1:4" x14ac:dyDescent="0.2">
      <c r="A352" s="14">
        <v>44105</v>
      </c>
      <c r="B352" s="18">
        <f>VLOOKUP(A352,Database!A:Q,MATCH($A$1,Database!$A$1:$Q$1,),)</f>
        <v>8026</v>
      </c>
      <c r="C352" s="15">
        <f t="shared" si="38"/>
        <v>-1.2427710102128706E-2</v>
      </c>
      <c r="D352" s="16">
        <f t="shared" si="39"/>
        <v>0.17236342389716622</v>
      </c>
    </row>
    <row r="353" spans="1:4" x14ac:dyDescent="0.2">
      <c r="A353" s="13">
        <v>44136</v>
      </c>
      <c r="B353" s="18">
        <f>VLOOKUP(A353,Database!A:Q,MATCH($A$1,Database!$A$1:$Q$1,),)</f>
        <v>7887</v>
      </c>
      <c r="C353" s="15">
        <f t="shared" ref="C353:C354" si="40">(B353-B352)/B352</f>
        <v>-1.7318714178918514E-2</v>
      </c>
      <c r="D353" s="16">
        <f t="shared" ref="D353:D354" si="41">(B353-B341)/B341</f>
        <v>0.1890547263681592</v>
      </c>
    </row>
    <row r="354" spans="1:4" x14ac:dyDescent="0.2">
      <c r="A354" s="14">
        <v>44166</v>
      </c>
      <c r="B354" s="18">
        <f>VLOOKUP(A354,Database!A:Q,MATCH($A$1,Database!$A$1:$Q$1,),)</f>
        <v>7737</v>
      </c>
      <c r="C354" s="15">
        <f t="shared" si="40"/>
        <v>-1.9018638265500189E-2</v>
      </c>
      <c r="D354" s="16">
        <f t="shared" si="41"/>
        <v>0.15443151298119964</v>
      </c>
    </row>
    <row r="355" spans="1:4" x14ac:dyDescent="0.2">
      <c r="A355" s="13">
        <v>44197</v>
      </c>
      <c r="B355" s="18">
        <f>VLOOKUP(A355,Database!A:Q,MATCH($A$1,Database!$A$1:$Q$1,),)</f>
        <v>8579</v>
      </c>
      <c r="C355" s="15">
        <f t="shared" ref="C355:C356" si="42">(B355-B354)/B354</f>
        <v>0.10882771099909526</v>
      </c>
      <c r="D355" s="16">
        <f t="shared" ref="D355:D356" si="43">(B355-B343)/B343</f>
        <v>0.26927060216008286</v>
      </c>
    </row>
    <row r="356" spans="1:4" x14ac:dyDescent="0.2">
      <c r="A356" s="14">
        <v>44228</v>
      </c>
      <c r="B356" s="18">
        <f>VLOOKUP(A356,Database!A:Q,MATCH($A$1,Database!$A$1:$Q$1,),)</f>
        <v>8030</v>
      </c>
      <c r="C356" s="15">
        <f t="shared" si="42"/>
        <v>-6.3993472432684467E-2</v>
      </c>
      <c r="D356" s="16">
        <f t="shared" si="43"/>
        <v>0.18629044171960407</v>
      </c>
    </row>
    <row r="357" spans="1:4" x14ac:dyDescent="0.2">
      <c r="A357" s="13">
        <v>44256</v>
      </c>
      <c r="B357" s="18">
        <f>VLOOKUP(A357,Database!A:Q,MATCH($A$1,Database!$A$1:$Q$1,),)</f>
        <v>9931</v>
      </c>
      <c r="C357" s="15">
        <f t="shared" ref="C357:C358" si="44">(B357-B356)/B356</f>
        <v>0.23673723536737235</v>
      </c>
      <c r="D357" s="16">
        <f t="shared" ref="D357:D358" si="45">(B357-B345)/B345</f>
        <v>0.76019142148174401</v>
      </c>
    </row>
    <row r="358" spans="1:4" x14ac:dyDescent="0.2">
      <c r="A358" s="14">
        <v>44287</v>
      </c>
      <c r="B358" s="18">
        <f>VLOOKUP(A358,Database!A:Q,MATCH($A$1,Database!$A$1:$Q$1,),)</f>
        <v>9749</v>
      </c>
      <c r="C358" s="15">
        <f t="shared" si="44"/>
        <v>-1.8326452522404592E-2</v>
      </c>
      <c r="D358" s="16">
        <f t="shared" si="45"/>
        <v>1.5852559002916997</v>
      </c>
    </row>
    <row r="359" spans="1:4" x14ac:dyDescent="0.2">
      <c r="A359" s="13">
        <v>44317</v>
      </c>
      <c r="B359" s="18">
        <f>VLOOKUP(A359,Database!A:Q,MATCH($A$1,Database!$A$1:$Q$1,),)</f>
        <v>9583</v>
      </c>
      <c r="C359" s="15">
        <f t="shared" ref="C359:C360" si="46">(B359-B358)/B358</f>
        <v>-1.7027387424351215E-2</v>
      </c>
      <c r="D359" s="16">
        <f t="shared" ref="D359:D360" si="47">(B359-B347)/B347</f>
        <v>0.43458083832335331</v>
      </c>
    </row>
    <row r="360" spans="1:4" x14ac:dyDescent="0.2">
      <c r="A360" s="14">
        <v>44348</v>
      </c>
      <c r="B360" s="18">
        <f>VLOOKUP(A360,Database!A:Q,MATCH($A$1,Database!$A$1:$Q$1,),)</f>
        <v>9449</v>
      </c>
      <c r="C360" s="15">
        <f t="shared" si="46"/>
        <v>-1.3983095064176145E-2</v>
      </c>
      <c r="D360" s="16">
        <f t="shared" si="47"/>
        <v>0.10488774555659496</v>
      </c>
    </row>
    <row r="361" spans="1:4" x14ac:dyDescent="0.2">
      <c r="A361" s="13">
        <v>44378</v>
      </c>
      <c r="B361" s="18">
        <f>VLOOKUP(A361,Database!A:Q,MATCH($A$1,Database!$A$1:$Q$1,),)</f>
        <v>9269</v>
      </c>
      <c r="C361" s="15">
        <f t="shared" ref="C361:C362" si="48">(B361-B360)/B360</f>
        <v>-1.9049634881998095E-2</v>
      </c>
      <c r="D361" s="16">
        <f t="shared" ref="D361:D362" si="49">(B361-B349)/B349</f>
        <v>0.14319190922545633</v>
      </c>
    </row>
    <row r="362" spans="1:4" x14ac:dyDescent="0.2">
      <c r="A362" s="14">
        <v>44409</v>
      </c>
      <c r="B362" s="18">
        <f>VLOOKUP(A362,Database!A:Q,MATCH($A$1,Database!$A$1:$Q$1,),)</f>
        <v>9018</v>
      </c>
      <c r="C362" s="15">
        <f t="shared" si="48"/>
        <v>-2.7079512353004639E-2</v>
      </c>
      <c r="D362" s="16">
        <f t="shared" si="49"/>
        <v>0.19824608025511559</v>
      </c>
    </row>
  </sheetData>
  <conditionalFormatting sqref="D19:D362">
    <cfRule type="colorScale" priority="1">
      <colorScale>
        <cfvo type="min"/>
        <cfvo type="percentile" val="50"/>
        <cfvo type="max"/>
        <color rgb="FFF8696B"/>
        <color rgb="FFFFEB84"/>
        <color rgb="FF63BE7B"/>
      </colorScale>
    </cfRule>
  </conditionalFormatting>
  <conditionalFormatting sqref="C8:C362">
    <cfRule type="colorScale" priority="2">
      <colorScale>
        <cfvo type="min"/>
        <cfvo type="percentile" val="50"/>
        <cfvo type="max"/>
        <color rgb="FFF8696B"/>
        <color rgb="FFFFEB84"/>
        <color rgb="FF63BE7B"/>
      </colorScale>
    </cfRule>
  </conditionalFormatting>
  <hyperlinks>
    <hyperlink ref="A2" r:id="rId1" xr:uid="{00000000-0004-0000-0A00-000000000000}"/>
  </hyperlinks>
  <pageMargins left="0.7" right="0.7" top="0.75" bottom="0.75" header="0.3" footer="0.3"/>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dimension ref="A1:D362"/>
  <sheetViews>
    <sheetView zoomScale="160" zoomScaleNormal="160" workbookViewId="0">
      <pane ySplit="6" topLeftCell="A328" activePane="bottomLeft" state="frozen"/>
      <selection pane="bottomLeft" activeCell="A365" sqref="A365"/>
    </sheetView>
  </sheetViews>
  <sheetFormatPr baseColWidth="10" defaultColWidth="9.1640625" defaultRowHeight="15" x14ac:dyDescent="0.2"/>
  <cols>
    <col min="1" max="1" width="14" style="11" customWidth="1"/>
    <col min="2" max="2" width="20.6640625" style="11" customWidth="1"/>
    <col min="3" max="4" width="14.1640625" style="11" customWidth="1"/>
    <col min="5" max="16384" width="9.1640625" style="1"/>
  </cols>
  <sheetData>
    <row r="1" spans="1:4" x14ac:dyDescent="0.2">
      <c r="A1" s="33" t="s">
        <v>30</v>
      </c>
      <c r="B1" s="34" t="s">
        <v>52</v>
      </c>
    </row>
    <row r="2" spans="1:4" x14ac:dyDescent="0.2">
      <c r="A2" s="35" t="s">
        <v>37</v>
      </c>
      <c r="B2" s="33"/>
    </row>
    <row r="3" spans="1:4" x14ac:dyDescent="0.2">
      <c r="A3" s="12"/>
    </row>
    <row r="4" spans="1:4" x14ac:dyDescent="0.2">
      <c r="A4" s="12"/>
    </row>
    <row r="5" spans="1:4" ht="16" thickBot="1" x14ac:dyDescent="0.25"/>
    <row r="6" spans="1:4" ht="44.25" customHeight="1" x14ac:dyDescent="0.2">
      <c r="A6" s="101" t="s">
        <v>2</v>
      </c>
      <c r="B6" s="98" t="s">
        <v>96</v>
      </c>
      <c r="C6" s="99" t="s">
        <v>82</v>
      </c>
      <c r="D6" s="100" t="s">
        <v>83</v>
      </c>
    </row>
    <row r="7" spans="1:4" x14ac:dyDescent="0.2">
      <c r="A7" s="13">
        <v>33604</v>
      </c>
      <c r="B7" s="18">
        <f>VLOOKUP(A7,Database!A:Q,MATCH($A$1,Database!$A$1:$Q$1,),)</f>
        <v>19879</v>
      </c>
      <c r="C7" s="3"/>
      <c r="D7" s="3"/>
    </row>
    <row r="8" spans="1:4" x14ac:dyDescent="0.2">
      <c r="A8" s="14">
        <v>33635</v>
      </c>
      <c r="B8" s="18">
        <f>VLOOKUP(A8,Database!A:Q,MATCH($A$1,Database!$A$1:$Q$1,),)</f>
        <v>20202</v>
      </c>
      <c r="C8" s="15">
        <f>(B8-B7)/B7</f>
        <v>1.6248302228482319E-2</v>
      </c>
      <c r="D8" s="3"/>
    </row>
    <row r="9" spans="1:4" x14ac:dyDescent="0.2">
      <c r="A9" s="13">
        <v>33664</v>
      </c>
      <c r="B9" s="18">
        <f>VLOOKUP(A9,Database!A:Q,MATCH($A$1,Database!$A$1:$Q$1,),)</f>
        <v>20168</v>
      </c>
      <c r="C9" s="15">
        <f t="shared" ref="C9:C72" si="0">(B9-B8)/B8</f>
        <v>-1.6830016830016829E-3</v>
      </c>
      <c r="D9" s="3"/>
    </row>
    <row r="10" spans="1:4" x14ac:dyDescent="0.2">
      <c r="A10" s="14">
        <v>33695</v>
      </c>
      <c r="B10" s="18">
        <f>VLOOKUP(A10,Database!A:Q,MATCH($A$1,Database!$A$1:$Q$1,),)</f>
        <v>20258</v>
      </c>
      <c r="C10" s="15">
        <f t="shared" si="0"/>
        <v>4.4625148750495839E-3</v>
      </c>
      <c r="D10" s="3"/>
    </row>
    <row r="11" spans="1:4" x14ac:dyDescent="0.2">
      <c r="A11" s="13">
        <v>33725</v>
      </c>
      <c r="B11" s="18">
        <f>VLOOKUP(A11,Database!A:Q,MATCH($A$1,Database!$A$1:$Q$1,),)</f>
        <v>20345</v>
      </c>
      <c r="C11" s="15">
        <f t="shared" si="0"/>
        <v>4.2945996643301409E-3</v>
      </c>
      <c r="D11" s="3"/>
    </row>
    <row r="12" spans="1:4" x14ac:dyDescent="0.2">
      <c r="A12" s="14">
        <v>33756</v>
      </c>
      <c r="B12" s="18">
        <f>VLOOKUP(A12,Database!A:Q,MATCH($A$1,Database!$A$1:$Q$1,),)</f>
        <v>20298</v>
      </c>
      <c r="C12" s="15">
        <f t="shared" si="0"/>
        <v>-2.3101499139837798E-3</v>
      </c>
      <c r="D12" s="3"/>
    </row>
    <row r="13" spans="1:4" x14ac:dyDescent="0.2">
      <c r="A13" s="13">
        <v>33786</v>
      </c>
      <c r="B13" s="18">
        <f>VLOOKUP(A13,Database!A:Q,MATCH($A$1,Database!$A$1:$Q$1,),)</f>
        <v>20205</v>
      </c>
      <c r="C13" s="15">
        <f t="shared" si="0"/>
        <v>-4.5817321903635824E-3</v>
      </c>
      <c r="D13" s="3"/>
    </row>
    <row r="14" spans="1:4" x14ac:dyDescent="0.2">
      <c r="A14" s="14">
        <v>33817</v>
      </c>
      <c r="B14" s="18">
        <f>VLOOKUP(A14,Database!A:Q,MATCH($A$1,Database!$A$1:$Q$1,),)</f>
        <v>20593</v>
      </c>
      <c r="C14" s="15">
        <f t="shared" si="0"/>
        <v>1.9203167532788914E-2</v>
      </c>
      <c r="D14" s="3"/>
    </row>
    <row r="15" spans="1:4" x14ac:dyDescent="0.2">
      <c r="A15" s="13">
        <v>33848</v>
      </c>
      <c r="B15" s="18">
        <f>VLOOKUP(A15,Database!A:Q,MATCH($A$1,Database!$A$1:$Q$1,),)</f>
        <v>20684</v>
      </c>
      <c r="C15" s="15">
        <f t="shared" si="0"/>
        <v>4.4189773223911035E-3</v>
      </c>
      <c r="D15" s="3"/>
    </row>
    <row r="16" spans="1:4" x14ac:dyDescent="0.2">
      <c r="A16" s="14">
        <v>33878</v>
      </c>
      <c r="B16" s="18">
        <f>VLOOKUP(A16,Database!A:Q,MATCH($A$1,Database!$A$1:$Q$1,),)</f>
        <v>20851</v>
      </c>
      <c r="C16" s="15">
        <f t="shared" si="0"/>
        <v>8.0738735254302849E-3</v>
      </c>
      <c r="D16" s="3"/>
    </row>
    <row r="17" spans="1:4" x14ac:dyDescent="0.2">
      <c r="A17" s="13">
        <v>33909</v>
      </c>
      <c r="B17" s="18">
        <f>VLOOKUP(A17,Database!A:Q,MATCH($A$1,Database!$A$1:$Q$1,),)</f>
        <v>21078</v>
      </c>
      <c r="C17" s="15">
        <f t="shared" si="0"/>
        <v>1.088676802071843E-2</v>
      </c>
      <c r="D17" s="3"/>
    </row>
    <row r="18" spans="1:4" x14ac:dyDescent="0.2">
      <c r="A18" s="14">
        <v>33939</v>
      </c>
      <c r="B18" s="18">
        <f>VLOOKUP(A18,Database!A:Q,MATCH($A$1,Database!$A$1:$Q$1,),)</f>
        <v>21752</v>
      </c>
      <c r="C18" s="15">
        <f t="shared" si="0"/>
        <v>3.1976468355631463E-2</v>
      </c>
      <c r="D18" s="3"/>
    </row>
    <row r="19" spans="1:4" x14ac:dyDescent="0.2">
      <c r="A19" s="13">
        <v>33970</v>
      </c>
      <c r="B19" s="18">
        <f>VLOOKUP(A19,Database!A:Q,MATCH($A$1,Database!$A$1:$Q$1,),)</f>
        <v>21383</v>
      </c>
      <c r="C19" s="15">
        <f t="shared" si="0"/>
        <v>-1.6963957337256343E-2</v>
      </c>
      <c r="D19" s="16">
        <f>(B19-B7)/B7</f>
        <v>7.5657729262035317E-2</v>
      </c>
    </row>
    <row r="20" spans="1:4" x14ac:dyDescent="0.2">
      <c r="A20" s="14">
        <v>34001</v>
      </c>
      <c r="B20" s="18">
        <f>VLOOKUP(A20,Database!A:Q,MATCH($A$1,Database!$A$1:$Q$1,),)</f>
        <v>21392</v>
      </c>
      <c r="C20" s="15">
        <f t="shared" si="0"/>
        <v>4.2089510358696161E-4</v>
      </c>
      <c r="D20" s="16">
        <f t="shared" ref="D20:D83" si="1">(B20-B8)/B8</f>
        <v>5.8905058905058906E-2</v>
      </c>
    </row>
    <row r="21" spans="1:4" x14ac:dyDescent="0.2">
      <c r="A21" s="13">
        <v>34029</v>
      </c>
      <c r="B21" s="18">
        <f>VLOOKUP(A21,Database!A:Q,MATCH($A$1,Database!$A$1:$Q$1,),)</f>
        <v>21273</v>
      </c>
      <c r="C21" s="15">
        <f t="shared" si="0"/>
        <v>-5.5628272251308898E-3</v>
      </c>
      <c r="D21" s="16">
        <f t="shared" si="1"/>
        <v>5.4789765965886555E-2</v>
      </c>
    </row>
    <row r="22" spans="1:4" x14ac:dyDescent="0.2">
      <c r="A22" s="14">
        <v>34060</v>
      </c>
      <c r="B22" s="18">
        <f>VLOOKUP(A22,Database!A:Q,MATCH($A$1,Database!$A$1:$Q$1,),)</f>
        <v>21759</v>
      </c>
      <c r="C22" s="15">
        <f t="shared" si="0"/>
        <v>2.2845860950500636E-2</v>
      </c>
      <c r="D22" s="16">
        <f t="shared" si="1"/>
        <v>7.4094185013328068E-2</v>
      </c>
    </row>
    <row r="23" spans="1:4" x14ac:dyDescent="0.2">
      <c r="A23" s="13">
        <v>34090</v>
      </c>
      <c r="B23" s="18">
        <f>VLOOKUP(A23,Database!A:Q,MATCH($A$1,Database!$A$1:$Q$1,),)</f>
        <v>21993</v>
      </c>
      <c r="C23" s="15">
        <f t="shared" si="0"/>
        <v>1.0754170687991177E-2</v>
      </c>
      <c r="D23" s="16">
        <f t="shared" si="1"/>
        <v>8.1002703366920614E-2</v>
      </c>
    </row>
    <row r="24" spans="1:4" x14ac:dyDescent="0.2">
      <c r="A24" s="14">
        <v>34121</v>
      </c>
      <c r="B24" s="18">
        <f>VLOOKUP(A24,Database!A:Q,MATCH($A$1,Database!$A$1:$Q$1,),)</f>
        <v>21957</v>
      </c>
      <c r="C24" s="15">
        <f t="shared" si="0"/>
        <v>-1.6368844632383031E-3</v>
      </c>
      <c r="D24" s="16">
        <f t="shared" si="1"/>
        <v>8.1732190363582619E-2</v>
      </c>
    </row>
    <row r="25" spans="1:4" x14ac:dyDescent="0.2">
      <c r="A25" s="13">
        <v>34151</v>
      </c>
      <c r="B25" s="18">
        <f>VLOOKUP(A25,Database!A:Q,MATCH($A$1,Database!$A$1:$Q$1,),)</f>
        <v>22343</v>
      </c>
      <c r="C25" s="15">
        <f t="shared" si="0"/>
        <v>1.7579815093136584E-2</v>
      </c>
      <c r="D25" s="16">
        <f t="shared" si="1"/>
        <v>0.10581539222964613</v>
      </c>
    </row>
    <row r="26" spans="1:4" x14ac:dyDescent="0.2">
      <c r="A26" s="14">
        <v>34182</v>
      </c>
      <c r="B26" s="18">
        <f>VLOOKUP(A26,Database!A:Q,MATCH($A$1,Database!$A$1:$Q$1,),)</f>
        <v>22315</v>
      </c>
      <c r="C26" s="15">
        <f t="shared" si="0"/>
        <v>-1.2531889182294232E-3</v>
      </c>
      <c r="D26" s="16">
        <f t="shared" si="1"/>
        <v>8.3620647792939345E-2</v>
      </c>
    </row>
    <row r="27" spans="1:4" x14ac:dyDescent="0.2">
      <c r="A27" s="13">
        <v>34213</v>
      </c>
      <c r="B27" s="18">
        <f>VLOOKUP(A27,Database!A:Q,MATCH($A$1,Database!$A$1:$Q$1,),)</f>
        <v>22429</v>
      </c>
      <c r="C27" s="15">
        <f t="shared" si="0"/>
        <v>5.1086712973336321E-3</v>
      </c>
      <c r="D27" s="16">
        <f t="shared" si="1"/>
        <v>8.4364726358538006E-2</v>
      </c>
    </row>
    <row r="28" spans="1:4" x14ac:dyDescent="0.2">
      <c r="A28" s="14">
        <v>34243</v>
      </c>
      <c r="B28" s="18">
        <f>VLOOKUP(A28,Database!A:Q,MATCH($A$1,Database!$A$1:$Q$1,),)</f>
        <v>22647</v>
      </c>
      <c r="C28" s="15">
        <f t="shared" si="0"/>
        <v>9.7195594988630785E-3</v>
      </c>
      <c r="D28" s="16">
        <f t="shared" si="1"/>
        <v>8.6134957555992514E-2</v>
      </c>
    </row>
    <row r="29" spans="1:4" x14ac:dyDescent="0.2">
      <c r="A29" s="13">
        <v>34274</v>
      </c>
      <c r="B29" s="18">
        <f>VLOOKUP(A29,Database!A:Q,MATCH($A$1,Database!$A$1:$Q$1,),)</f>
        <v>22760</v>
      </c>
      <c r="C29" s="15">
        <f t="shared" si="0"/>
        <v>4.9896233496710381E-3</v>
      </c>
      <c r="D29" s="16">
        <f t="shared" si="1"/>
        <v>7.9798842394914124E-2</v>
      </c>
    </row>
    <row r="30" spans="1:4" x14ac:dyDescent="0.2">
      <c r="A30" s="14">
        <v>34304</v>
      </c>
      <c r="B30" s="18">
        <f>VLOOKUP(A30,Database!A:Q,MATCH($A$1,Database!$A$1:$Q$1,),)</f>
        <v>22905</v>
      </c>
      <c r="C30" s="15">
        <f t="shared" si="0"/>
        <v>6.3708260105448155E-3</v>
      </c>
      <c r="D30" s="16">
        <f t="shared" si="1"/>
        <v>5.3006620080912101E-2</v>
      </c>
    </row>
    <row r="31" spans="1:4" x14ac:dyDescent="0.2">
      <c r="A31" s="13">
        <v>34335</v>
      </c>
      <c r="B31" s="18">
        <f>VLOOKUP(A31,Database!A:Q,MATCH($A$1,Database!$A$1:$Q$1,),)</f>
        <v>22706</v>
      </c>
      <c r="C31" s="15">
        <f t="shared" si="0"/>
        <v>-8.6880593756821656E-3</v>
      </c>
      <c r="D31" s="16">
        <f t="shared" si="1"/>
        <v>6.1871580227283354E-2</v>
      </c>
    </row>
    <row r="32" spans="1:4" x14ac:dyDescent="0.2">
      <c r="A32" s="14">
        <v>34366</v>
      </c>
      <c r="B32" s="18">
        <f>VLOOKUP(A32,Database!A:Q,MATCH($A$1,Database!$A$1:$Q$1,),)</f>
        <v>23070</v>
      </c>
      <c r="C32" s="15">
        <f t="shared" si="0"/>
        <v>1.6031005020699374E-2</v>
      </c>
      <c r="D32" s="16">
        <f t="shared" si="1"/>
        <v>7.8440538519072553E-2</v>
      </c>
    </row>
    <row r="33" spans="1:4" x14ac:dyDescent="0.2">
      <c r="A33" s="13">
        <v>34394</v>
      </c>
      <c r="B33" s="18">
        <f>VLOOKUP(A33,Database!A:Q,MATCH($A$1,Database!$A$1:$Q$1,),)</f>
        <v>23657</v>
      </c>
      <c r="C33" s="15">
        <f t="shared" si="0"/>
        <v>2.5444299956653663E-2</v>
      </c>
      <c r="D33" s="16">
        <f t="shared" si="1"/>
        <v>0.11206693931274385</v>
      </c>
    </row>
    <row r="34" spans="1:4" x14ac:dyDescent="0.2">
      <c r="A34" s="14">
        <v>34425</v>
      </c>
      <c r="B34" s="18">
        <f>VLOOKUP(A34,Database!A:Q,MATCH($A$1,Database!$A$1:$Q$1,),)</f>
        <v>23354</v>
      </c>
      <c r="C34" s="15">
        <f t="shared" si="0"/>
        <v>-1.2808048357779938E-2</v>
      </c>
      <c r="D34" s="16">
        <f t="shared" si="1"/>
        <v>7.330300105703387E-2</v>
      </c>
    </row>
    <row r="35" spans="1:4" x14ac:dyDescent="0.2">
      <c r="A35" s="13">
        <v>34455</v>
      </c>
      <c r="B35" s="18">
        <f>VLOOKUP(A35,Database!A:Q,MATCH($A$1,Database!$A$1:$Q$1,),)</f>
        <v>23271</v>
      </c>
      <c r="C35" s="15">
        <f t="shared" si="0"/>
        <v>-3.5539950329707974E-3</v>
      </c>
      <c r="D35" s="16">
        <f t="shared" si="1"/>
        <v>5.8109398444959763E-2</v>
      </c>
    </row>
    <row r="36" spans="1:4" x14ac:dyDescent="0.2">
      <c r="A36" s="14">
        <v>34486</v>
      </c>
      <c r="B36" s="18">
        <f>VLOOKUP(A36,Database!A:Q,MATCH($A$1,Database!$A$1:$Q$1,),)</f>
        <v>23626</v>
      </c>
      <c r="C36" s="15">
        <f t="shared" si="0"/>
        <v>1.5255038459885694E-2</v>
      </c>
      <c r="D36" s="16">
        <f t="shared" si="1"/>
        <v>7.6012205674727884E-2</v>
      </c>
    </row>
    <row r="37" spans="1:4" x14ac:dyDescent="0.2">
      <c r="A37" s="13">
        <v>34516</v>
      </c>
      <c r="B37" s="18">
        <f>VLOOKUP(A37,Database!A:Q,MATCH($A$1,Database!$A$1:$Q$1,),)</f>
        <v>23635</v>
      </c>
      <c r="C37" s="15">
        <f t="shared" si="0"/>
        <v>3.809362566663845E-4</v>
      </c>
      <c r="D37" s="16">
        <f t="shared" si="1"/>
        <v>5.782571722687195E-2</v>
      </c>
    </row>
    <row r="38" spans="1:4" x14ac:dyDescent="0.2">
      <c r="A38" s="14">
        <v>34547</v>
      </c>
      <c r="B38" s="18">
        <f>VLOOKUP(A38,Database!A:Q,MATCH($A$1,Database!$A$1:$Q$1,),)</f>
        <v>23889</v>
      </c>
      <c r="C38" s="15">
        <f t="shared" si="0"/>
        <v>1.0746773852337636E-2</v>
      </c>
      <c r="D38" s="16">
        <f t="shared" si="1"/>
        <v>7.0535514228097687E-2</v>
      </c>
    </row>
    <row r="39" spans="1:4" x14ac:dyDescent="0.2">
      <c r="A39" s="13">
        <v>34578</v>
      </c>
      <c r="B39" s="18">
        <f>VLOOKUP(A39,Database!A:Q,MATCH($A$1,Database!$A$1:$Q$1,),)</f>
        <v>23995</v>
      </c>
      <c r="C39" s="15">
        <f t="shared" si="0"/>
        <v>4.4371886642387707E-3</v>
      </c>
      <c r="D39" s="16">
        <f t="shared" si="1"/>
        <v>6.9820321904676977E-2</v>
      </c>
    </row>
    <row r="40" spans="1:4" x14ac:dyDescent="0.2">
      <c r="A40" s="14">
        <v>34608</v>
      </c>
      <c r="B40" s="18">
        <f>VLOOKUP(A40,Database!A:Q,MATCH($A$1,Database!$A$1:$Q$1,),)</f>
        <v>24255</v>
      </c>
      <c r="C40" s="15">
        <f t="shared" si="0"/>
        <v>1.0835590748072515E-2</v>
      </c>
      <c r="D40" s="16">
        <f t="shared" si="1"/>
        <v>7.1002781825407341E-2</v>
      </c>
    </row>
    <row r="41" spans="1:4" x14ac:dyDescent="0.2">
      <c r="A41" s="13">
        <v>34639</v>
      </c>
      <c r="B41" s="18">
        <f>VLOOKUP(A41,Database!A:Q,MATCH($A$1,Database!$A$1:$Q$1,),)</f>
        <v>24356</v>
      </c>
      <c r="C41" s="15">
        <f t="shared" si="0"/>
        <v>4.1640898783755929E-3</v>
      </c>
      <c r="D41" s="16">
        <f t="shared" si="1"/>
        <v>7.0123022847100175E-2</v>
      </c>
    </row>
    <row r="42" spans="1:4" x14ac:dyDescent="0.2">
      <c r="A42" s="14">
        <v>34669</v>
      </c>
      <c r="B42" s="18">
        <f>VLOOKUP(A42,Database!A:Q,MATCH($A$1,Database!$A$1:$Q$1,),)</f>
        <v>24583</v>
      </c>
      <c r="C42" s="15">
        <f t="shared" si="0"/>
        <v>9.3200853999014614E-3</v>
      </c>
      <c r="D42" s="16">
        <f t="shared" si="1"/>
        <v>7.3259113730626504E-2</v>
      </c>
    </row>
    <row r="43" spans="1:4" x14ac:dyDescent="0.2">
      <c r="A43" s="13">
        <v>34700</v>
      </c>
      <c r="B43" s="18">
        <f>VLOOKUP(A43,Database!A:Q,MATCH($A$1,Database!$A$1:$Q$1,),)</f>
        <v>24936</v>
      </c>
      <c r="C43" s="15">
        <f t="shared" si="0"/>
        <v>1.4359516739210024E-2</v>
      </c>
      <c r="D43" s="16">
        <f t="shared" si="1"/>
        <v>9.8211926363075838E-2</v>
      </c>
    </row>
    <row r="44" spans="1:4" x14ac:dyDescent="0.2">
      <c r="A44" s="14">
        <v>34731</v>
      </c>
      <c r="B44" s="18">
        <f>VLOOKUP(A44,Database!A:Q,MATCH($A$1,Database!$A$1:$Q$1,),)</f>
        <v>24115</v>
      </c>
      <c r="C44" s="15">
        <f t="shared" si="0"/>
        <v>-3.292428617260186E-2</v>
      </c>
      <c r="D44" s="16">
        <f t="shared" si="1"/>
        <v>4.5296922410056353E-2</v>
      </c>
    </row>
    <row r="45" spans="1:4" x14ac:dyDescent="0.2">
      <c r="A45" s="13">
        <v>34759</v>
      </c>
      <c r="B45" s="18">
        <f>VLOOKUP(A45,Database!A:Q,MATCH($A$1,Database!$A$1:$Q$1,),)</f>
        <v>24579</v>
      </c>
      <c r="C45" s="15">
        <f t="shared" si="0"/>
        <v>1.9241136222268296E-2</v>
      </c>
      <c r="D45" s="16">
        <f t="shared" si="1"/>
        <v>3.8973665299911232E-2</v>
      </c>
    </row>
    <row r="46" spans="1:4" x14ac:dyDescent="0.2">
      <c r="A46" s="14">
        <v>34790</v>
      </c>
      <c r="B46" s="18">
        <f>VLOOKUP(A46,Database!A:Q,MATCH($A$1,Database!$A$1:$Q$1,),)</f>
        <v>24747</v>
      </c>
      <c r="C46" s="15">
        <f t="shared" si="0"/>
        <v>6.8351031368241184E-3</v>
      </c>
      <c r="D46" s="16">
        <f t="shared" si="1"/>
        <v>5.9647169649738804E-2</v>
      </c>
    </row>
    <row r="47" spans="1:4" x14ac:dyDescent="0.2">
      <c r="A47" s="13">
        <v>34820</v>
      </c>
      <c r="B47" s="18">
        <f>VLOOKUP(A47,Database!A:Q,MATCH($A$1,Database!$A$1:$Q$1,),)</f>
        <v>24851</v>
      </c>
      <c r="C47" s="15">
        <f t="shared" si="0"/>
        <v>4.2025295995474195E-3</v>
      </c>
      <c r="D47" s="16">
        <f t="shared" si="1"/>
        <v>6.7895664131322253E-2</v>
      </c>
    </row>
    <row r="48" spans="1:4" x14ac:dyDescent="0.2">
      <c r="A48" s="14">
        <v>34851</v>
      </c>
      <c r="B48" s="18">
        <f>VLOOKUP(A48,Database!A:Q,MATCH($A$1,Database!$A$1:$Q$1,),)</f>
        <v>25166</v>
      </c>
      <c r="C48" s="15">
        <f t="shared" si="0"/>
        <v>1.2675546255683876E-2</v>
      </c>
      <c r="D48" s="16">
        <f t="shared" si="1"/>
        <v>6.5182426140692459E-2</v>
      </c>
    </row>
    <row r="49" spans="1:4" x14ac:dyDescent="0.2">
      <c r="A49" s="13">
        <v>34881</v>
      </c>
      <c r="B49" s="18">
        <f>VLOOKUP(A49,Database!A:Q,MATCH($A$1,Database!$A$1:$Q$1,),)</f>
        <v>25375</v>
      </c>
      <c r="C49" s="15">
        <f t="shared" si="0"/>
        <v>8.3048557577684173E-3</v>
      </c>
      <c r="D49" s="16">
        <f t="shared" si="1"/>
        <v>7.3619631901840496E-2</v>
      </c>
    </row>
    <row r="50" spans="1:4" x14ac:dyDescent="0.2">
      <c r="A50" s="14">
        <v>34912</v>
      </c>
      <c r="B50" s="18">
        <f>VLOOKUP(A50,Database!A:Q,MATCH($A$1,Database!$A$1:$Q$1,),)</f>
        <v>25174</v>
      </c>
      <c r="C50" s="15">
        <f t="shared" si="0"/>
        <v>-7.9211822660098519E-3</v>
      </c>
      <c r="D50" s="16">
        <f t="shared" si="1"/>
        <v>5.3790447486290763E-2</v>
      </c>
    </row>
    <row r="51" spans="1:4" x14ac:dyDescent="0.2">
      <c r="A51" s="13">
        <v>34943</v>
      </c>
      <c r="B51" s="18">
        <f>VLOOKUP(A51,Database!A:Q,MATCH($A$1,Database!$A$1:$Q$1,),)</f>
        <v>25469</v>
      </c>
      <c r="C51" s="15">
        <f t="shared" si="0"/>
        <v>1.1718439659966632E-2</v>
      </c>
      <c r="D51" s="16">
        <f t="shared" si="1"/>
        <v>6.142946447176495E-2</v>
      </c>
    </row>
    <row r="52" spans="1:4" x14ac:dyDescent="0.2">
      <c r="A52" s="14">
        <v>34973</v>
      </c>
      <c r="B52" s="18">
        <f>VLOOKUP(A52,Database!A:Q,MATCH($A$1,Database!$A$1:$Q$1,),)</f>
        <v>25135</v>
      </c>
      <c r="C52" s="15">
        <f t="shared" si="0"/>
        <v>-1.3113981703247084E-2</v>
      </c>
      <c r="D52" s="16">
        <f t="shared" si="1"/>
        <v>3.6281179138321996E-2</v>
      </c>
    </row>
    <row r="53" spans="1:4" x14ac:dyDescent="0.2">
      <c r="A53" s="13">
        <v>35004</v>
      </c>
      <c r="B53" s="18">
        <f>VLOOKUP(A53,Database!A:Q,MATCH($A$1,Database!$A$1:$Q$1,),)</f>
        <v>25414</v>
      </c>
      <c r="C53" s="15">
        <f t="shared" si="0"/>
        <v>1.1100059677740203E-2</v>
      </c>
      <c r="D53" s="16">
        <f t="shared" si="1"/>
        <v>4.3438988339628837E-2</v>
      </c>
    </row>
    <row r="54" spans="1:4" x14ac:dyDescent="0.2">
      <c r="A54" s="14">
        <v>35034</v>
      </c>
      <c r="B54" s="18">
        <f>VLOOKUP(A54,Database!A:Q,MATCH($A$1,Database!$A$1:$Q$1,),)</f>
        <v>25554</v>
      </c>
      <c r="C54" s="15">
        <f t="shared" si="0"/>
        <v>5.5087746911151331E-3</v>
      </c>
      <c r="D54" s="16">
        <f t="shared" si="1"/>
        <v>3.9498840662246265E-2</v>
      </c>
    </row>
    <row r="55" spans="1:4" x14ac:dyDescent="0.2">
      <c r="A55" s="13">
        <v>35065</v>
      </c>
      <c r="B55" s="18">
        <f>VLOOKUP(A55,Database!A:Q,MATCH($A$1,Database!$A$1:$Q$1,),)</f>
        <v>25215</v>
      </c>
      <c r="C55" s="15">
        <f t="shared" si="0"/>
        <v>-1.3266024888471473E-2</v>
      </c>
      <c r="D55" s="16">
        <f t="shared" si="1"/>
        <v>1.118864292589028E-2</v>
      </c>
    </row>
    <row r="56" spans="1:4" x14ac:dyDescent="0.2">
      <c r="A56" s="14">
        <v>35096</v>
      </c>
      <c r="B56" s="18">
        <f>VLOOKUP(A56,Database!A:Q,MATCH($A$1,Database!$A$1:$Q$1,),)</f>
        <v>25616</v>
      </c>
      <c r="C56" s="15">
        <f t="shared" si="0"/>
        <v>1.5903232203053737E-2</v>
      </c>
      <c r="D56" s="16">
        <f t="shared" si="1"/>
        <v>6.224341696039809E-2</v>
      </c>
    </row>
    <row r="57" spans="1:4" x14ac:dyDescent="0.2">
      <c r="A57" s="13">
        <v>35125</v>
      </c>
      <c r="B57" s="18">
        <f>VLOOKUP(A57,Database!A:Q,MATCH($A$1,Database!$A$1:$Q$1,),)</f>
        <v>25576</v>
      </c>
      <c r="C57" s="15">
        <f t="shared" si="0"/>
        <v>-1.5615240474703309E-3</v>
      </c>
      <c r="D57" s="16">
        <f t="shared" si="1"/>
        <v>4.0563082306033608E-2</v>
      </c>
    </row>
    <row r="58" spans="1:4" x14ac:dyDescent="0.2">
      <c r="A58" s="14">
        <v>35156</v>
      </c>
      <c r="B58" s="18">
        <f>VLOOKUP(A58,Database!A:Q,MATCH($A$1,Database!$A$1:$Q$1,),)</f>
        <v>26103</v>
      </c>
      <c r="C58" s="15">
        <f t="shared" si="0"/>
        <v>2.0605254926493587E-2</v>
      </c>
      <c r="D58" s="16">
        <f t="shared" si="1"/>
        <v>5.4794520547945202E-2</v>
      </c>
    </row>
    <row r="59" spans="1:4" x14ac:dyDescent="0.2">
      <c r="A59" s="13">
        <v>35186</v>
      </c>
      <c r="B59" s="18">
        <f>VLOOKUP(A59,Database!A:Q,MATCH($A$1,Database!$A$1:$Q$1,),)</f>
        <v>26216</v>
      </c>
      <c r="C59" s="15">
        <f t="shared" si="0"/>
        <v>4.329004329004329E-3</v>
      </c>
      <c r="D59" s="16">
        <f t="shared" si="1"/>
        <v>5.4927367107963462E-2</v>
      </c>
    </row>
    <row r="60" spans="1:4" x14ac:dyDescent="0.2">
      <c r="A60" s="14">
        <v>35217</v>
      </c>
      <c r="B60" s="18">
        <f>VLOOKUP(A60,Database!A:Q,MATCH($A$1,Database!$A$1:$Q$1,),)</f>
        <v>26085</v>
      </c>
      <c r="C60" s="15">
        <f t="shared" si="0"/>
        <v>-4.9969484284406469E-3</v>
      </c>
      <c r="D60" s="16">
        <f t="shared" si="1"/>
        <v>3.6517523643010412E-2</v>
      </c>
    </row>
    <row r="61" spans="1:4" x14ac:dyDescent="0.2">
      <c r="A61" s="13">
        <v>35247</v>
      </c>
      <c r="B61" s="18">
        <f>VLOOKUP(A61,Database!A:Q,MATCH($A$1,Database!$A$1:$Q$1,),)</f>
        <v>26209</v>
      </c>
      <c r="C61" s="15">
        <f t="shared" si="0"/>
        <v>4.7536898600728386E-3</v>
      </c>
      <c r="D61" s="16">
        <f t="shared" si="1"/>
        <v>3.2866995073891625E-2</v>
      </c>
    </row>
    <row r="62" spans="1:4" x14ac:dyDescent="0.2">
      <c r="A62" s="14">
        <v>35278</v>
      </c>
      <c r="B62" s="18">
        <f>VLOOKUP(A62,Database!A:Q,MATCH($A$1,Database!$A$1:$Q$1,),)</f>
        <v>26441</v>
      </c>
      <c r="C62" s="15">
        <f t="shared" si="0"/>
        <v>8.8519210958067831E-3</v>
      </c>
      <c r="D62" s="16">
        <f t="shared" si="1"/>
        <v>5.0329705251449912E-2</v>
      </c>
    </row>
    <row r="63" spans="1:4" x14ac:dyDescent="0.2">
      <c r="A63" s="13">
        <v>35309</v>
      </c>
      <c r="B63" s="18">
        <f>VLOOKUP(A63,Database!A:Q,MATCH($A$1,Database!$A$1:$Q$1,),)</f>
        <v>26590</v>
      </c>
      <c r="C63" s="15">
        <f t="shared" si="0"/>
        <v>5.6351877765591319E-3</v>
      </c>
      <c r="D63" s="16">
        <f t="shared" si="1"/>
        <v>4.401429188425144E-2</v>
      </c>
    </row>
    <row r="64" spans="1:4" x14ac:dyDescent="0.2">
      <c r="A64" s="14">
        <v>35339</v>
      </c>
      <c r="B64" s="18">
        <f>VLOOKUP(A64,Database!A:Q,MATCH($A$1,Database!$A$1:$Q$1,),)</f>
        <v>26904</v>
      </c>
      <c r="C64" s="15">
        <f t="shared" si="0"/>
        <v>1.1808950733358406E-2</v>
      </c>
      <c r="D64" s="16">
        <f t="shared" si="1"/>
        <v>7.0379948279291824E-2</v>
      </c>
    </row>
    <row r="65" spans="1:4" x14ac:dyDescent="0.2">
      <c r="A65" s="13">
        <v>35370</v>
      </c>
      <c r="B65" s="18">
        <f>VLOOKUP(A65,Database!A:Q,MATCH($A$1,Database!$A$1:$Q$1,),)</f>
        <v>26772</v>
      </c>
      <c r="C65" s="15">
        <f t="shared" si="0"/>
        <v>-4.906333630686887E-3</v>
      </c>
      <c r="D65" s="16">
        <f t="shared" si="1"/>
        <v>5.3435114503816793E-2</v>
      </c>
    </row>
    <row r="66" spans="1:4" x14ac:dyDescent="0.2">
      <c r="A66" s="14">
        <v>35400</v>
      </c>
      <c r="B66" s="18">
        <f>VLOOKUP(A66,Database!A:Q,MATCH($A$1,Database!$A$1:$Q$1,),)</f>
        <v>27051</v>
      </c>
      <c r="C66" s="15">
        <f t="shared" si="0"/>
        <v>1.0421335723890632E-2</v>
      </c>
      <c r="D66" s="16">
        <f t="shared" si="1"/>
        <v>5.8581826719887299E-2</v>
      </c>
    </row>
    <row r="67" spans="1:4" x14ac:dyDescent="0.2">
      <c r="A67" s="13">
        <v>35431</v>
      </c>
      <c r="B67" s="18">
        <f>VLOOKUP(A67,Database!A:Q,MATCH($A$1,Database!$A$1:$Q$1,),)</f>
        <v>27216</v>
      </c>
      <c r="C67" s="15">
        <f t="shared" si="0"/>
        <v>6.0995896639680601E-3</v>
      </c>
      <c r="D67" s="16">
        <f t="shared" si="1"/>
        <v>7.9357525282569896E-2</v>
      </c>
    </row>
    <row r="68" spans="1:4" x14ac:dyDescent="0.2">
      <c r="A68" s="14">
        <v>35462</v>
      </c>
      <c r="B68" s="18">
        <f>VLOOKUP(A68,Database!A:Q,MATCH($A$1,Database!$A$1:$Q$1,),)</f>
        <v>27262</v>
      </c>
      <c r="C68" s="15">
        <f t="shared" si="0"/>
        <v>1.6901822457378013E-3</v>
      </c>
      <c r="D68" s="16">
        <f t="shared" si="1"/>
        <v>6.4256714553404121E-2</v>
      </c>
    </row>
    <row r="69" spans="1:4" x14ac:dyDescent="0.2">
      <c r="A69" s="13">
        <v>35490</v>
      </c>
      <c r="B69" s="18">
        <f>VLOOKUP(A69,Database!A:Q,MATCH($A$1,Database!$A$1:$Q$1,),)</f>
        <v>27304</v>
      </c>
      <c r="C69" s="15">
        <f t="shared" si="0"/>
        <v>1.540605971682195E-3</v>
      </c>
      <c r="D69" s="16">
        <f t="shared" si="1"/>
        <v>6.7563340631842356E-2</v>
      </c>
    </row>
    <row r="70" spans="1:4" x14ac:dyDescent="0.2">
      <c r="A70" s="14">
        <v>35521</v>
      </c>
      <c r="B70" s="18">
        <f>VLOOKUP(A70,Database!A:Q,MATCH($A$1,Database!$A$1:$Q$1,),)</f>
        <v>27179</v>
      </c>
      <c r="C70" s="15">
        <f t="shared" si="0"/>
        <v>-4.5780837972458251E-3</v>
      </c>
      <c r="D70" s="16">
        <f t="shared" si="1"/>
        <v>4.1221315557598746E-2</v>
      </c>
    </row>
    <row r="71" spans="1:4" x14ac:dyDescent="0.2">
      <c r="A71" s="13">
        <v>35551</v>
      </c>
      <c r="B71" s="18">
        <f>VLOOKUP(A71,Database!A:Q,MATCH($A$1,Database!$A$1:$Q$1,),)</f>
        <v>27328</v>
      </c>
      <c r="C71" s="15">
        <f t="shared" si="0"/>
        <v>5.4821737370764189E-3</v>
      </c>
      <c r="D71" s="16">
        <f t="shared" si="1"/>
        <v>4.2416844675007628E-2</v>
      </c>
    </row>
    <row r="72" spans="1:4" x14ac:dyDescent="0.2">
      <c r="A72" s="14">
        <v>35582</v>
      </c>
      <c r="B72" s="18">
        <f>VLOOKUP(A72,Database!A:Q,MATCH($A$1,Database!$A$1:$Q$1,),)</f>
        <v>27433</v>
      </c>
      <c r="C72" s="15">
        <f t="shared" si="0"/>
        <v>3.8422131147540983E-3</v>
      </c>
      <c r="D72" s="16">
        <f t="shared" si="1"/>
        <v>5.1677209124017631E-2</v>
      </c>
    </row>
    <row r="73" spans="1:4" x14ac:dyDescent="0.2">
      <c r="A73" s="13">
        <v>35612</v>
      </c>
      <c r="B73" s="18">
        <f>VLOOKUP(A73,Database!A:Q,MATCH($A$1,Database!$A$1:$Q$1,),)</f>
        <v>27949</v>
      </c>
      <c r="C73" s="15">
        <f t="shared" ref="C73:C136" si="2">(B73-B72)/B72</f>
        <v>1.8809463055444172E-2</v>
      </c>
      <c r="D73" s="16">
        <f t="shared" si="1"/>
        <v>6.6389408218550883E-2</v>
      </c>
    </row>
    <row r="74" spans="1:4" x14ac:dyDescent="0.2">
      <c r="A74" s="14">
        <v>35643</v>
      </c>
      <c r="B74" s="18">
        <f>VLOOKUP(A74,Database!A:Q,MATCH($A$1,Database!$A$1:$Q$1,),)</f>
        <v>27939</v>
      </c>
      <c r="C74" s="15">
        <f t="shared" si="2"/>
        <v>-3.5779455436688251E-4</v>
      </c>
      <c r="D74" s="16">
        <f t="shared" si="1"/>
        <v>5.665443818312469E-2</v>
      </c>
    </row>
    <row r="75" spans="1:4" x14ac:dyDescent="0.2">
      <c r="A75" s="13">
        <v>35674</v>
      </c>
      <c r="B75" s="18">
        <f>VLOOKUP(A75,Database!A:Q,MATCH($A$1,Database!$A$1:$Q$1,),)</f>
        <v>27868</v>
      </c>
      <c r="C75" s="15">
        <f t="shared" si="2"/>
        <v>-2.5412505816242528E-3</v>
      </c>
      <c r="D75" s="16">
        <f t="shared" si="1"/>
        <v>4.8063181647235803E-2</v>
      </c>
    </row>
    <row r="76" spans="1:4" x14ac:dyDescent="0.2">
      <c r="A76" s="14">
        <v>35704</v>
      </c>
      <c r="B76" s="18">
        <f>VLOOKUP(A76,Database!A:Q,MATCH($A$1,Database!$A$1:$Q$1,),)</f>
        <v>28155</v>
      </c>
      <c r="C76" s="15">
        <f t="shared" si="2"/>
        <v>1.0298550308597675E-2</v>
      </c>
      <c r="D76" s="16">
        <f t="shared" si="1"/>
        <v>4.6498661909009815E-2</v>
      </c>
    </row>
    <row r="77" spans="1:4" x14ac:dyDescent="0.2">
      <c r="A77" s="13">
        <v>35735</v>
      </c>
      <c r="B77" s="18">
        <f>VLOOKUP(A77,Database!A:Q,MATCH($A$1,Database!$A$1:$Q$1,),)</f>
        <v>28151</v>
      </c>
      <c r="C77" s="15">
        <f t="shared" si="2"/>
        <v>-1.4207068016338129E-4</v>
      </c>
      <c r="D77" s="16">
        <f t="shared" si="1"/>
        <v>5.1509039294785598E-2</v>
      </c>
    </row>
    <row r="78" spans="1:4" x14ac:dyDescent="0.2">
      <c r="A78" s="14">
        <v>35765</v>
      </c>
      <c r="B78" s="18">
        <f>VLOOKUP(A78,Database!A:Q,MATCH($A$1,Database!$A$1:$Q$1,),)</f>
        <v>28008</v>
      </c>
      <c r="C78" s="15">
        <f t="shared" si="2"/>
        <v>-5.0797484991652164E-3</v>
      </c>
      <c r="D78" s="16">
        <f t="shared" si="1"/>
        <v>3.5377620051014746E-2</v>
      </c>
    </row>
    <row r="79" spans="1:4" x14ac:dyDescent="0.2">
      <c r="A79" s="13">
        <v>35796</v>
      </c>
      <c r="B79" s="18">
        <f>VLOOKUP(A79,Database!A:Q,MATCH($A$1,Database!$A$1:$Q$1,),)</f>
        <v>28402</v>
      </c>
      <c r="C79" s="15">
        <f t="shared" si="2"/>
        <v>1.4067409311625249E-2</v>
      </c>
      <c r="D79" s="16">
        <f t="shared" si="1"/>
        <v>4.3577307466196355E-2</v>
      </c>
    </row>
    <row r="80" spans="1:4" x14ac:dyDescent="0.2">
      <c r="A80" s="14">
        <v>35827</v>
      </c>
      <c r="B80" s="18">
        <f>VLOOKUP(A80,Database!A:Q,MATCH($A$1,Database!$A$1:$Q$1,),)</f>
        <v>28748</v>
      </c>
      <c r="C80" s="15">
        <f t="shared" si="2"/>
        <v>1.2182240687275544E-2</v>
      </c>
      <c r="D80" s="16">
        <f t="shared" si="1"/>
        <v>5.4508106521898615E-2</v>
      </c>
    </row>
    <row r="81" spans="1:4" x14ac:dyDescent="0.2">
      <c r="A81" s="13">
        <v>35855</v>
      </c>
      <c r="B81" s="18">
        <f>VLOOKUP(A81,Database!A:Q,MATCH($A$1,Database!$A$1:$Q$1,),)</f>
        <v>28714</v>
      </c>
      <c r="C81" s="15">
        <f t="shared" si="2"/>
        <v>-1.1826909698065952E-3</v>
      </c>
      <c r="D81" s="16">
        <f t="shared" si="1"/>
        <v>5.1640785232932904E-2</v>
      </c>
    </row>
    <row r="82" spans="1:4" x14ac:dyDescent="0.2">
      <c r="A82" s="14">
        <v>35886</v>
      </c>
      <c r="B82" s="18">
        <f>VLOOKUP(A82,Database!A:Q,MATCH($A$1,Database!$A$1:$Q$1,),)</f>
        <v>29123</v>
      </c>
      <c r="C82" s="15">
        <f t="shared" si="2"/>
        <v>1.4243922825102737E-2</v>
      </c>
      <c r="D82" s="16">
        <f t="shared" si="1"/>
        <v>7.1525810368299053E-2</v>
      </c>
    </row>
    <row r="83" spans="1:4" x14ac:dyDescent="0.2">
      <c r="A83" s="13">
        <v>35916</v>
      </c>
      <c r="B83" s="18">
        <f>VLOOKUP(A83,Database!A:Q,MATCH($A$1,Database!$A$1:$Q$1,),)</f>
        <v>29076</v>
      </c>
      <c r="C83" s="15">
        <f t="shared" si="2"/>
        <v>-1.613844727534938E-3</v>
      </c>
      <c r="D83" s="16">
        <f t="shared" si="1"/>
        <v>6.3963700234192039E-2</v>
      </c>
    </row>
    <row r="84" spans="1:4" x14ac:dyDescent="0.2">
      <c r="A84" s="14">
        <v>35947</v>
      </c>
      <c r="B84" s="18">
        <f>VLOOKUP(A84,Database!A:Q,MATCH($A$1,Database!$A$1:$Q$1,),)</f>
        <v>29170</v>
      </c>
      <c r="C84" s="15">
        <f t="shared" si="2"/>
        <v>3.2329068647681935E-3</v>
      </c>
      <c r="D84" s="16">
        <f t="shared" ref="D84:D147" si="3">(B84-B72)/B72</f>
        <v>6.3317901797105669E-2</v>
      </c>
    </row>
    <row r="85" spans="1:4" x14ac:dyDescent="0.2">
      <c r="A85" s="13">
        <v>35977</v>
      </c>
      <c r="B85" s="18">
        <f>VLOOKUP(A85,Database!A:Q,MATCH($A$1,Database!$A$1:$Q$1,),)</f>
        <v>29113</v>
      </c>
      <c r="C85" s="15">
        <f t="shared" si="2"/>
        <v>-1.9540623928693862E-3</v>
      </c>
      <c r="D85" s="16">
        <f t="shared" si="3"/>
        <v>4.1647286128305129E-2</v>
      </c>
    </row>
    <row r="86" spans="1:4" x14ac:dyDescent="0.2">
      <c r="A86" s="14">
        <v>36008</v>
      </c>
      <c r="B86" s="18">
        <f>VLOOKUP(A86,Database!A:Q,MATCH($A$1,Database!$A$1:$Q$1,),)</f>
        <v>29274</v>
      </c>
      <c r="C86" s="15">
        <f t="shared" si="2"/>
        <v>5.5301755229622508E-3</v>
      </c>
      <c r="D86" s="16">
        <f t="shared" si="3"/>
        <v>4.7782669386878557E-2</v>
      </c>
    </row>
    <row r="87" spans="1:4" x14ac:dyDescent="0.2">
      <c r="A87" s="13">
        <v>36039</v>
      </c>
      <c r="B87" s="18">
        <f>VLOOKUP(A87,Database!A:Q,MATCH($A$1,Database!$A$1:$Q$1,),)</f>
        <v>29559</v>
      </c>
      <c r="C87" s="15">
        <f t="shared" si="2"/>
        <v>9.7356015576962485E-3</v>
      </c>
      <c r="D87" s="16">
        <f t="shared" si="3"/>
        <v>6.0678914884455287E-2</v>
      </c>
    </row>
    <row r="88" spans="1:4" x14ac:dyDescent="0.2">
      <c r="A88" s="14">
        <v>36069</v>
      </c>
      <c r="B88" s="18">
        <f>VLOOKUP(A88,Database!A:Q,MATCH($A$1,Database!$A$1:$Q$1,),)</f>
        <v>29720</v>
      </c>
      <c r="C88" s="15">
        <f t="shared" si="2"/>
        <v>5.446733651341385E-3</v>
      </c>
      <c r="D88" s="16">
        <f t="shared" si="3"/>
        <v>5.5585153613922925E-2</v>
      </c>
    </row>
    <row r="89" spans="1:4" x14ac:dyDescent="0.2">
      <c r="A89" s="13">
        <v>36100</v>
      </c>
      <c r="B89" s="18">
        <f>VLOOKUP(A89,Database!A:Q,MATCH($A$1,Database!$A$1:$Q$1,),)</f>
        <v>30094</v>
      </c>
      <c r="C89" s="15">
        <f t="shared" si="2"/>
        <v>1.2584118438761777E-2</v>
      </c>
      <c r="D89" s="16">
        <f t="shared" si="3"/>
        <v>6.9020638698447656E-2</v>
      </c>
    </row>
    <row r="90" spans="1:4" x14ac:dyDescent="0.2">
      <c r="A90" s="14">
        <v>36130</v>
      </c>
      <c r="B90" s="18">
        <f>VLOOKUP(A90,Database!A:Q,MATCH($A$1,Database!$A$1:$Q$1,),)</f>
        <v>30129</v>
      </c>
      <c r="C90" s="15">
        <f t="shared" si="2"/>
        <v>1.1630225294078553E-3</v>
      </c>
      <c r="D90" s="16">
        <f t="shared" si="3"/>
        <v>7.5728363324764347E-2</v>
      </c>
    </row>
    <row r="91" spans="1:4" x14ac:dyDescent="0.2">
      <c r="A91" s="13">
        <v>36161</v>
      </c>
      <c r="B91" s="18">
        <f>VLOOKUP(A91,Database!A:Q,MATCH($A$1,Database!$A$1:$Q$1,),)</f>
        <v>30664</v>
      </c>
      <c r="C91" s="15">
        <f t="shared" si="2"/>
        <v>1.7756978326529258E-2</v>
      </c>
      <c r="D91" s="16">
        <f t="shared" si="3"/>
        <v>7.9642278712766704E-2</v>
      </c>
    </row>
    <row r="92" spans="1:4" x14ac:dyDescent="0.2">
      <c r="A92" s="14">
        <v>36192</v>
      </c>
      <c r="B92" s="18">
        <f>VLOOKUP(A92,Database!A:Q,MATCH($A$1,Database!$A$1:$Q$1,),)</f>
        <v>31094</v>
      </c>
      <c r="C92" s="15">
        <f t="shared" si="2"/>
        <v>1.4022958518132012E-2</v>
      </c>
      <c r="D92" s="16">
        <f t="shared" si="3"/>
        <v>8.1605676916655073E-2</v>
      </c>
    </row>
    <row r="93" spans="1:4" x14ac:dyDescent="0.2">
      <c r="A93" s="13">
        <v>36220</v>
      </c>
      <c r="B93" s="18">
        <f>VLOOKUP(A93,Database!A:Q,MATCH($A$1,Database!$A$1:$Q$1,),)</f>
        <v>31390</v>
      </c>
      <c r="C93" s="15">
        <f t="shared" si="2"/>
        <v>9.5195214510838105E-3</v>
      </c>
      <c r="D93" s="16">
        <f t="shared" si="3"/>
        <v>9.3194957163752867E-2</v>
      </c>
    </row>
    <row r="94" spans="1:4" x14ac:dyDescent="0.2">
      <c r="A94" s="14">
        <v>36251</v>
      </c>
      <c r="B94" s="18">
        <f>VLOOKUP(A94,Database!A:Q,MATCH($A$1,Database!$A$1:$Q$1,),)</f>
        <v>31009</v>
      </c>
      <c r="C94" s="15">
        <f t="shared" si="2"/>
        <v>-1.2137623446957629E-2</v>
      </c>
      <c r="D94" s="16">
        <f t="shared" si="3"/>
        <v>6.4759811832572192E-2</v>
      </c>
    </row>
    <row r="95" spans="1:4" x14ac:dyDescent="0.2">
      <c r="A95" s="13">
        <v>36281</v>
      </c>
      <c r="B95" s="18">
        <f>VLOOKUP(A95,Database!A:Q,MATCH($A$1,Database!$A$1:$Q$1,),)</f>
        <v>31165</v>
      </c>
      <c r="C95" s="15">
        <f t="shared" si="2"/>
        <v>5.0307975104002065E-3</v>
      </c>
      <c r="D95" s="16">
        <f t="shared" si="3"/>
        <v>7.1846196175539959E-2</v>
      </c>
    </row>
    <row r="96" spans="1:4" x14ac:dyDescent="0.2">
      <c r="A96" s="14">
        <v>36312</v>
      </c>
      <c r="B96" s="18">
        <f>VLOOKUP(A96,Database!A:Q,MATCH($A$1,Database!$A$1:$Q$1,),)</f>
        <v>31652</v>
      </c>
      <c r="C96" s="15">
        <f t="shared" si="2"/>
        <v>1.5626504091127869E-2</v>
      </c>
      <c r="D96" s="16">
        <f t="shared" si="3"/>
        <v>8.5087418580733626E-2</v>
      </c>
    </row>
    <row r="97" spans="1:4" x14ac:dyDescent="0.2">
      <c r="A97" s="13">
        <v>36342</v>
      </c>
      <c r="B97" s="18">
        <f>VLOOKUP(A97,Database!A:Q,MATCH($A$1,Database!$A$1:$Q$1,),)</f>
        <v>31549</v>
      </c>
      <c r="C97" s="15">
        <f t="shared" si="2"/>
        <v>-3.2541387590041704E-3</v>
      </c>
      <c r="D97" s="16">
        <f t="shared" si="3"/>
        <v>8.3673960086559265E-2</v>
      </c>
    </row>
    <row r="98" spans="1:4" x14ac:dyDescent="0.2">
      <c r="A98" s="14">
        <v>36373</v>
      </c>
      <c r="B98" s="18">
        <f>VLOOKUP(A98,Database!A:Q,MATCH($A$1,Database!$A$1:$Q$1,),)</f>
        <v>31806</v>
      </c>
      <c r="C98" s="15">
        <f t="shared" si="2"/>
        <v>8.146058512155694E-3</v>
      </c>
      <c r="D98" s="16">
        <f t="shared" si="3"/>
        <v>8.649313383890142E-2</v>
      </c>
    </row>
    <row r="99" spans="1:4" x14ac:dyDescent="0.2">
      <c r="A99" s="13">
        <v>36404</v>
      </c>
      <c r="B99" s="18">
        <f>VLOOKUP(A99,Database!A:Q,MATCH($A$1,Database!$A$1:$Q$1,),)</f>
        <v>32152</v>
      </c>
      <c r="C99" s="15">
        <f t="shared" si="2"/>
        <v>1.0878450606803747E-2</v>
      </c>
      <c r="D99" s="16">
        <f t="shared" si="3"/>
        <v>8.7722859366013733E-2</v>
      </c>
    </row>
    <row r="100" spans="1:4" x14ac:dyDescent="0.2">
      <c r="A100" s="14">
        <v>36434</v>
      </c>
      <c r="B100" s="18">
        <f>VLOOKUP(A100,Database!A:Q,MATCH($A$1,Database!$A$1:$Q$1,),)</f>
        <v>32085</v>
      </c>
      <c r="C100" s="15">
        <f t="shared" si="2"/>
        <v>-2.0838517044040805E-3</v>
      </c>
      <c r="D100" s="16">
        <f t="shared" si="3"/>
        <v>7.9576043068640648E-2</v>
      </c>
    </row>
    <row r="101" spans="1:4" x14ac:dyDescent="0.2">
      <c r="A101" s="13">
        <v>36465</v>
      </c>
      <c r="B101" s="18">
        <f>VLOOKUP(A101,Database!A:Q,MATCH($A$1,Database!$A$1:$Q$1,),)</f>
        <v>32161</v>
      </c>
      <c r="C101" s="15">
        <f t="shared" si="2"/>
        <v>2.36870811905875E-3</v>
      </c>
      <c r="D101" s="16">
        <f t="shared" si="3"/>
        <v>6.8684787665315342E-2</v>
      </c>
    </row>
    <row r="102" spans="1:4" x14ac:dyDescent="0.2">
      <c r="A102" s="14">
        <v>36495</v>
      </c>
      <c r="B102" s="18">
        <f>VLOOKUP(A102,Database!A:Q,MATCH($A$1,Database!$A$1:$Q$1,),)</f>
        <v>33101</v>
      </c>
      <c r="C102" s="15">
        <f t="shared" si="2"/>
        <v>2.9227946892198625E-2</v>
      </c>
      <c r="D102" s="16">
        <f t="shared" si="3"/>
        <v>9.8642503899897108E-2</v>
      </c>
    </row>
    <row r="103" spans="1:4" x14ac:dyDescent="0.2">
      <c r="A103" s="13">
        <v>36526</v>
      </c>
      <c r="B103" s="18">
        <f>VLOOKUP(A103,Database!A:Q,MATCH($A$1,Database!$A$1:$Q$1,),)</f>
        <v>32179</v>
      </c>
      <c r="C103" s="15">
        <f t="shared" si="2"/>
        <v>-2.7854143379354098E-2</v>
      </c>
      <c r="D103" s="16">
        <f t="shared" si="3"/>
        <v>4.94064701278372E-2</v>
      </c>
    </row>
    <row r="104" spans="1:4" x14ac:dyDescent="0.2">
      <c r="A104" s="14">
        <v>36557</v>
      </c>
      <c r="B104" s="18">
        <f>VLOOKUP(A104,Database!A:Q,MATCH($A$1,Database!$A$1:$Q$1,),)</f>
        <v>32576</v>
      </c>
      <c r="C104" s="15">
        <f t="shared" si="2"/>
        <v>1.2337238571739333E-2</v>
      </c>
      <c r="D104" s="16">
        <f t="shared" si="3"/>
        <v>4.7661928346304755E-2</v>
      </c>
    </row>
    <row r="105" spans="1:4" x14ac:dyDescent="0.2">
      <c r="A105" s="13">
        <v>36586</v>
      </c>
      <c r="B105" s="18">
        <f>VLOOKUP(A105,Database!A:Q,MATCH($A$1,Database!$A$1:$Q$1,),)</f>
        <v>33105</v>
      </c>
      <c r="C105" s="15">
        <f t="shared" si="2"/>
        <v>1.6238948919449901E-2</v>
      </c>
      <c r="D105" s="16">
        <f t="shared" si="3"/>
        <v>5.4635234151003506E-2</v>
      </c>
    </row>
    <row r="106" spans="1:4" x14ac:dyDescent="0.2">
      <c r="A106" s="14">
        <v>36617</v>
      </c>
      <c r="B106" s="18">
        <f>VLOOKUP(A106,Database!A:Q,MATCH($A$1,Database!$A$1:$Q$1,),)</f>
        <v>32879</v>
      </c>
      <c r="C106" s="15">
        <f t="shared" si="2"/>
        <v>-6.8267633288022957E-3</v>
      </c>
      <c r="D106" s="16">
        <f t="shared" si="3"/>
        <v>6.0305072720822986E-2</v>
      </c>
    </row>
    <row r="107" spans="1:4" x14ac:dyDescent="0.2">
      <c r="A107" s="13">
        <v>36647</v>
      </c>
      <c r="B107" s="18">
        <f>VLOOKUP(A107,Database!A:Q,MATCH($A$1,Database!$A$1:$Q$1,),)</f>
        <v>33339</v>
      </c>
      <c r="C107" s="15">
        <f t="shared" si="2"/>
        <v>1.3990693147601813E-2</v>
      </c>
      <c r="D107" s="16">
        <f t="shared" si="3"/>
        <v>6.9757741055671424E-2</v>
      </c>
    </row>
    <row r="108" spans="1:4" x14ac:dyDescent="0.2">
      <c r="A108" s="14">
        <v>36678</v>
      </c>
      <c r="B108" s="18">
        <f>VLOOKUP(A108,Database!A:Q,MATCH($A$1,Database!$A$1:$Q$1,),)</f>
        <v>33408</v>
      </c>
      <c r="C108" s="15">
        <f t="shared" si="2"/>
        <v>2.0696481598128317E-3</v>
      </c>
      <c r="D108" s="16">
        <f t="shared" si="3"/>
        <v>5.5478326803993429E-2</v>
      </c>
    </row>
    <row r="109" spans="1:4" x14ac:dyDescent="0.2">
      <c r="A109" s="13">
        <v>36708</v>
      </c>
      <c r="B109" s="18">
        <f>VLOOKUP(A109,Database!A:Q,MATCH($A$1,Database!$A$1:$Q$1,),)</f>
        <v>33586</v>
      </c>
      <c r="C109" s="15">
        <f t="shared" si="2"/>
        <v>5.3280651340996167E-3</v>
      </c>
      <c r="D109" s="16">
        <f t="shared" si="3"/>
        <v>6.4566230308409148E-2</v>
      </c>
    </row>
    <row r="110" spans="1:4" x14ac:dyDescent="0.2">
      <c r="A110" s="14">
        <v>36739</v>
      </c>
      <c r="B110" s="18">
        <f>VLOOKUP(A110,Database!A:Q,MATCH($A$1,Database!$A$1:$Q$1,),)</f>
        <v>33823</v>
      </c>
      <c r="C110" s="15">
        <f t="shared" si="2"/>
        <v>7.0565116417554931E-3</v>
      </c>
      <c r="D110" s="16">
        <f t="shared" si="3"/>
        <v>6.3415707728101622E-2</v>
      </c>
    </row>
    <row r="111" spans="1:4" x14ac:dyDescent="0.2">
      <c r="A111" s="13">
        <v>36770</v>
      </c>
      <c r="B111" s="18">
        <f>VLOOKUP(A111,Database!A:Q,MATCH($A$1,Database!$A$1:$Q$1,),)</f>
        <v>34146</v>
      </c>
      <c r="C111" s="15">
        <f t="shared" si="2"/>
        <v>9.54971469118647E-3</v>
      </c>
      <c r="D111" s="16">
        <f t="shared" si="3"/>
        <v>6.2017914904205024E-2</v>
      </c>
    </row>
    <row r="112" spans="1:4" x14ac:dyDescent="0.2">
      <c r="A112" s="14">
        <v>36800</v>
      </c>
      <c r="B112" s="18">
        <f>VLOOKUP(A112,Database!A:Q,MATCH($A$1,Database!$A$1:$Q$1,),)</f>
        <v>34280</v>
      </c>
      <c r="C112" s="15">
        <f t="shared" si="2"/>
        <v>3.9243249575352896E-3</v>
      </c>
      <c r="D112" s="16">
        <f t="shared" si="3"/>
        <v>6.8412030543867852E-2</v>
      </c>
    </row>
    <row r="113" spans="1:4" x14ac:dyDescent="0.2">
      <c r="A113" s="13">
        <v>36831</v>
      </c>
      <c r="B113" s="18">
        <f>VLOOKUP(A113,Database!A:Q,MATCH($A$1,Database!$A$1:$Q$1,),)</f>
        <v>34458</v>
      </c>
      <c r="C113" s="15">
        <f t="shared" si="2"/>
        <v>5.1925320886814473E-3</v>
      </c>
      <c r="D113" s="16">
        <f t="shared" si="3"/>
        <v>7.1421908522744937E-2</v>
      </c>
    </row>
    <row r="114" spans="1:4" x14ac:dyDescent="0.2">
      <c r="A114" s="14">
        <v>36861</v>
      </c>
      <c r="B114" s="18">
        <f>VLOOKUP(A114,Database!A:Q,MATCH($A$1,Database!$A$1:$Q$1,),)</f>
        <v>34734</v>
      </c>
      <c r="C114" s="15">
        <f t="shared" si="2"/>
        <v>8.0097510012188747E-3</v>
      </c>
      <c r="D114" s="16">
        <f t="shared" si="3"/>
        <v>4.9333856983172712E-2</v>
      </c>
    </row>
    <row r="115" spans="1:4" x14ac:dyDescent="0.2">
      <c r="A115" s="13">
        <v>36892</v>
      </c>
      <c r="B115" s="18">
        <f>VLOOKUP(A115,Database!A:Q,MATCH($A$1,Database!$A$1:$Q$1,),)</f>
        <v>35601</v>
      </c>
      <c r="C115" s="15">
        <f t="shared" si="2"/>
        <v>2.4961133183624116E-2</v>
      </c>
      <c r="D115" s="16">
        <f t="shared" si="3"/>
        <v>0.10634264582491687</v>
      </c>
    </row>
    <row r="116" spans="1:4" x14ac:dyDescent="0.2">
      <c r="A116" s="14">
        <v>36923</v>
      </c>
      <c r="B116" s="18">
        <f>VLOOKUP(A116,Database!A:Q,MATCH($A$1,Database!$A$1:$Q$1,),)</f>
        <v>34655</v>
      </c>
      <c r="C116" s="15">
        <f t="shared" si="2"/>
        <v>-2.6572287295300694E-2</v>
      </c>
      <c r="D116" s="16">
        <f t="shared" si="3"/>
        <v>6.381999017681729E-2</v>
      </c>
    </row>
    <row r="117" spans="1:4" x14ac:dyDescent="0.2">
      <c r="A117" s="13">
        <v>36951</v>
      </c>
      <c r="B117" s="18">
        <f>VLOOKUP(A117,Database!A:Q,MATCH($A$1,Database!$A$1:$Q$1,),)</f>
        <v>34069</v>
      </c>
      <c r="C117" s="15">
        <f t="shared" si="2"/>
        <v>-1.6909536863367481E-2</v>
      </c>
      <c r="D117" s="16">
        <f t="shared" si="3"/>
        <v>2.911946835825404E-2</v>
      </c>
    </row>
    <row r="118" spans="1:4" x14ac:dyDescent="0.2">
      <c r="A118" s="14">
        <v>36982</v>
      </c>
      <c r="B118" s="18">
        <f>VLOOKUP(A118,Database!A:Q,MATCH($A$1,Database!$A$1:$Q$1,),)</f>
        <v>35364</v>
      </c>
      <c r="C118" s="15">
        <f t="shared" si="2"/>
        <v>3.8011095130470518E-2</v>
      </c>
      <c r="D118" s="16">
        <f t="shared" si="3"/>
        <v>7.5580157547370658E-2</v>
      </c>
    </row>
    <row r="119" spans="1:4" x14ac:dyDescent="0.2">
      <c r="A119" s="13">
        <v>37012</v>
      </c>
      <c r="B119" s="18">
        <f>VLOOKUP(A119,Database!A:Q,MATCH($A$1,Database!$A$1:$Q$1,),)</f>
        <v>35202</v>
      </c>
      <c r="C119" s="15">
        <f t="shared" si="2"/>
        <v>-4.5809297590770279E-3</v>
      </c>
      <c r="D119" s="16">
        <f t="shared" si="3"/>
        <v>5.5880500314946457E-2</v>
      </c>
    </row>
    <row r="120" spans="1:4" x14ac:dyDescent="0.2">
      <c r="A120" s="14">
        <v>37043</v>
      </c>
      <c r="B120" s="18">
        <f>VLOOKUP(A120,Database!A:Q,MATCH($A$1,Database!$A$1:$Q$1,),)</f>
        <v>35114</v>
      </c>
      <c r="C120" s="15">
        <f t="shared" si="2"/>
        <v>-2.4998579626157604E-3</v>
      </c>
      <c r="D120" s="16">
        <f t="shared" si="3"/>
        <v>5.1065613026819924E-2</v>
      </c>
    </row>
    <row r="121" spans="1:4" x14ac:dyDescent="0.2">
      <c r="A121" s="13">
        <v>37073</v>
      </c>
      <c r="B121" s="18">
        <f>VLOOKUP(A121,Database!A:Q,MATCH($A$1,Database!$A$1:$Q$1,),)</f>
        <v>35720</v>
      </c>
      <c r="C121" s="15">
        <f t="shared" si="2"/>
        <v>1.7258073702796604E-2</v>
      </c>
      <c r="D121" s="16">
        <f t="shared" si="3"/>
        <v>6.3538379086524141E-2</v>
      </c>
    </row>
    <row r="122" spans="1:4" x14ac:dyDescent="0.2">
      <c r="A122" s="14">
        <v>37104</v>
      </c>
      <c r="B122" s="18">
        <f>VLOOKUP(A122,Database!A:Q,MATCH($A$1,Database!$A$1:$Q$1,),)</f>
        <v>35915</v>
      </c>
      <c r="C122" s="15">
        <f t="shared" si="2"/>
        <v>5.4591265397536393E-3</v>
      </c>
      <c r="D122" s="16">
        <f t="shared" si="3"/>
        <v>6.1851402891523521E-2</v>
      </c>
    </row>
    <row r="123" spans="1:4" x14ac:dyDescent="0.2">
      <c r="A123" s="13">
        <v>37135</v>
      </c>
      <c r="B123" s="18">
        <f>VLOOKUP(A123,Database!A:Q,MATCH($A$1,Database!$A$1:$Q$1,),)</f>
        <v>35822</v>
      </c>
      <c r="C123" s="15">
        <f t="shared" si="2"/>
        <v>-2.5894473061394961E-3</v>
      </c>
      <c r="D123" s="16">
        <f t="shared" si="3"/>
        <v>4.9083347976336907E-2</v>
      </c>
    </row>
    <row r="124" spans="1:4" x14ac:dyDescent="0.2">
      <c r="A124" s="14">
        <v>37165</v>
      </c>
      <c r="B124" s="18">
        <f>VLOOKUP(A124,Database!A:Q,MATCH($A$1,Database!$A$1:$Q$1,),)</f>
        <v>36229</v>
      </c>
      <c r="C124" s="15">
        <f t="shared" si="2"/>
        <v>1.1361733013232091E-2</v>
      </c>
      <c r="D124" s="16">
        <f t="shared" si="3"/>
        <v>5.6855309218203032E-2</v>
      </c>
    </row>
    <row r="125" spans="1:4" x14ac:dyDescent="0.2">
      <c r="A125" s="13">
        <v>37196</v>
      </c>
      <c r="B125" s="18">
        <f>VLOOKUP(A125,Database!A:Q,MATCH($A$1,Database!$A$1:$Q$1,),)</f>
        <v>36656</v>
      </c>
      <c r="C125" s="15">
        <f t="shared" si="2"/>
        <v>1.1786138176598857E-2</v>
      </c>
      <c r="D125" s="16">
        <f t="shared" si="3"/>
        <v>6.3787799640141626E-2</v>
      </c>
    </row>
    <row r="126" spans="1:4" x14ac:dyDescent="0.2">
      <c r="A126" s="14">
        <v>37226</v>
      </c>
      <c r="B126" s="18">
        <f>VLOOKUP(A126,Database!A:Q,MATCH($A$1,Database!$A$1:$Q$1,),)</f>
        <v>37054</v>
      </c>
      <c r="C126" s="15">
        <f t="shared" si="2"/>
        <v>1.0857704059362724E-2</v>
      </c>
      <c r="D126" s="16">
        <f t="shared" si="3"/>
        <v>6.6793343697817698E-2</v>
      </c>
    </row>
    <row r="127" spans="1:4" x14ac:dyDescent="0.2">
      <c r="A127" s="13">
        <v>37257</v>
      </c>
      <c r="B127" s="18">
        <f>VLOOKUP(A127,Database!A:Q,MATCH($A$1,Database!$A$1:$Q$1,),)</f>
        <v>36811</v>
      </c>
      <c r="C127" s="15">
        <f t="shared" si="2"/>
        <v>-6.5579964376315646E-3</v>
      </c>
      <c r="D127" s="16">
        <f t="shared" si="3"/>
        <v>3.3987809331198562E-2</v>
      </c>
    </row>
    <row r="128" spans="1:4" x14ac:dyDescent="0.2">
      <c r="A128" s="14">
        <v>37288</v>
      </c>
      <c r="B128" s="18">
        <f>VLOOKUP(A128,Database!A:Q,MATCH($A$1,Database!$A$1:$Q$1,),)</f>
        <v>36974</v>
      </c>
      <c r="C128" s="15">
        <f t="shared" si="2"/>
        <v>4.4280242318872074E-3</v>
      </c>
      <c r="D128" s="16">
        <f t="shared" si="3"/>
        <v>6.6916750829606117E-2</v>
      </c>
    </row>
    <row r="129" spans="1:4" x14ac:dyDescent="0.2">
      <c r="A129" s="13">
        <v>37316</v>
      </c>
      <c r="B129" s="18">
        <f>VLOOKUP(A129,Database!A:Q,MATCH($A$1,Database!$A$1:$Q$1,),)</f>
        <v>37144</v>
      </c>
      <c r="C129" s="15">
        <f t="shared" si="2"/>
        <v>4.5978254989992966E-3</v>
      </c>
      <c r="D129" s="16">
        <f t="shared" si="3"/>
        <v>9.0258005811735015E-2</v>
      </c>
    </row>
    <row r="130" spans="1:4" x14ac:dyDescent="0.2">
      <c r="A130" s="14">
        <v>37347</v>
      </c>
      <c r="B130" s="18">
        <f>VLOOKUP(A130,Database!A:Q,MATCH($A$1,Database!$A$1:$Q$1,),)</f>
        <v>37491</v>
      </c>
      <c r="C130" s="15">
        <f t="shared" si="2"/>
        <v>9.3420202455309076E-3</v>
      </c>
      <c r="D130" s="16">
        <f t="shared" si="3"/>
        <v>6.0145911096029861E-2</v>
      </c>
    </row>
    <row r="131" spans="1:4" x14ac:dyDescent="0.2">
      <c r="A131" s="13">
        <v>37377</v>
      </c>
      <c r="B131" s="18">
        <f>VLOOKUP(A131,Database!A:Q,MATCH($A$1,Database!$A$1:$Q$1,),)</f>
        <v>37114</v>
      </c>
      <c r="C131" s="15">
        <f t="shared" si="2"/>
        <v>-1.0055746712544344E-2</v>
      </c>
      <c r="D131" s="16">
        <f t="shared" si="3"/>
        <v>5.4315095733196976E-2</v>
      </c>
    </row>
    <row r="132" spans="1:4" x14ac:dyDescent="0.2">
      <c r="A132" s="14">
        <v>37408</v>
      </c>
      <c r="B132" s="18">
        <f>VLOOKUP(A132,Database!A:Q,MATCH($A$1,Database!$A$1:$Q$1,),)</f>
        <v>37417</v>
      </c>
      <c r="C132" s="15">
        <f t="shared" si="2"/>
        <v>8.1640351349894918E-3</v>
      </c>
      <c r="D132" s="16">
        <f t="shared" si="3"/>
        <v>6.5586375804522409E-2</v>
      </c>
    </row>
    <row r="133" spans="1:4" x14ac:dyDescent="0.2">
      <c r="A133" s="13">
        <v>37438</v>
      </c>
      <c r="B133" s="18">
        <f>VLOOKUP(A133,Database!A:Q,MATCH($A$1,Database!$A$1:$Q$1,),)</f>
        <v>37132</v>
      </c>
      <c r="C133" s="15">
        <f t="shared" si="2"/>
        <v>-7.616858647139001E-3</v>
      </c>
      <c r="D133" s="16">
        <f t="shared" si="3"/>
        <v>3.9529675251959689E-2</v>
      </c>
    </row>
    <row r="134" spans="1:4" x14ac:dyDescent="0.2">
      <c r="A134" s="14">
        <v>37469</v>
      </c>
      <c r="B134" s="18">
        <f>VLOOKUP(A134,Database!A:Q,MATCH($A$1,Database!$A$1:$Q$1,),)</f>
        <v>37202</v>
      </c>
      <c r="C134" s="15">
        <f t="shared" si="2"/>
        <v>1.8851664332651082E-3</v>
      </c>
      <c r="D134" s="16">
        <f t="shared" si="3"/>
        <v>3.5834609494640124E-2</v>
      </c>
    </row>
    <row r="135" spans="1:4" x14ac:dyDescent="0.2">
      <c r="A135" s="13">
        <v>37500</v>
      </c>
      <c r="B135" s="18">
        <f>VLOOKUP(A135,Database!A:Q,MATCH($A$1,Database!$A$1:$Q$1,),)</f>
        <v>37059</v>
      </c>
      <c r="C135" s="15">
        <f t="shared" si="2"/>
        <v>-3.84387936132466E-3</v>
      </c>
      <c r="D135" s="16">
        <f t="shared" si="3"/>
        <v>3.4531851934565351E-2</v>
      </c>
    </row>
    <row r="136" spans="1:4" x14ac:dyDescent="0.2">
      <c r="A136" s="14">
        <v>37530</v>
      </c>
      <c r="B136" s="18">
        <f>VLOOKUP(A136,Database!A:Q,MATCH($A$1,Database!$A$1:$Q$1,),)</f>
        <v>37816</v>
      </c>
      <c r="C136" s="15">
        <f t="shared" si="2"/>
        <v>2.0426886856094336E-2</v>
      </c>
      <c r="D136" s="16">
        <f t="shared" si="3"/>
        <v>4.3804686853073503E-2</v>
      </c>
    </row>
    <row r="137" spans="1:4" x14ac:dyDescent="0.2">
      <c r="A137" s="13">
        <v>37561</v>
      </c>
      <c r="B137" s="18">
        <f>VLOOKUP(A137,Database!A:Q,MATCH($A$1,Database!$A$1:$Q$1,),)</f>
        <v>37698</v>
      </c>
      <c r="C137" s="15">
        <f t="shared" ref="C137:C200" si="4">(B137-B136)/B136</f>
        <v>-3.1203723291728367E-3</v>
      </c>
      <c r="D137" s="16">
        <f t="shared" si="3"/>
        <v>2.8426451331296378E-2</v>
      </c>
    </row>
    <row r="138" spans="1:4" x14ac:dyDescent="0.2">
      <c r="A138" s="14">
        <v>37591</v>
      </c>
      <c r="B138" s="18">
        <f>VLOOKUP(A138,Database!A:Q,MATCH($A$1,Database!$A$1:$Q$1,),)</f>
        <v>37716</v>
      </c>
      <c r="C138" s="15">
        <f t="shared" si="4"/>
        <v>4.7747891134808211E-4</v>
      </c>
      <c r="D138" s="16">
        <f t="shared" si="3"/>
        <v>1.7865817455605334E-2</v>
      </c>
    </row>
    <row r="139" spans="1:4" x14ac:dyDescent="0.2">
      <c r="A139" s="13">
        <v>37622</v>
      </c>
      <c r="B139" s="18">
        <f>VLOOKUP(A139,Database!A:Q,MATCH($A$1,Database!$A$1:$Q$1,),)</f>
        <v>37740</v>
      </c>
      <c r="C139" s="15">
        <f t="shared" si="4"/>
        <v>6.3633471205854278E-4</v>
      </c>
      <c r="D139" s="16">
        <f t="shared" si="3"/>
        <v>2.5237021542473717E-2</v>
      </c>
    </row>
    <row r="140" spans="1:4" x14ac:dyDescent="0.2">
      <c r="A140" s="14">
        <v>37653</v>
      </c>
      <c r="B140" s="18">
        <f>VLOOKUP(A140,Database!A:Q,MATCH($A$1,Database!$A$1:$Q$1,),)</f>
        <v>38030</v>
      </c>
      <c r="C140" s="15">
        <f t="shared" si="4"/>
        <v>7.6841547429782721E-3</v>
      </c>
      <c r="D140" s="16">
        <f t="shared" si="3"/>
        <v>2.8560610158489749E-2</v>
      </c>
    </row>
    <row r="141" spans="1:4" x14ac:dyDescent="0.2">
      <c r="A141" s="13">
        <v>37681</v>
      </c>
      <c r="B141" s="18">
        <f>VLOOKUP(A141,Database!A:Q,MATCH($A$1,Database!$A$1:$Q$1,),)</f>
        <v>38391</v>
      </c>
      <c r="C141" s="15">
        <f t="shared" si="4"/>
        <v>9.4925059163818038E-3</v>
      </c>
      <c r="D141" s="16">
        <f t="shared" si="3"/>
        <v>3.3572043937109629E-2</v>
      </c>
    </row>
    <row r="142" spans="1:4" x14ac:dyDescent="0.2">
      <c r="A142" s="14">
        <v>37712</v>
      </c>
      <c r="B142" s="18">
        <f>VLOOKUP(A142,Database!A:Q,MATCH($A$1,Database!$A$1:$Q$1,),)</f>
        <v>38321</v>
      </c>
      <c r="C142" s="15">
        <f t="shared" si="4"/>
        <v>-1.8233440129196948E-3</v>
      </c>
      <c r="D142" s="16">
        <f t="shared" si="3"/>
        <v>2.2138646608519379E-2</v>
      </c>
    </row>
    <row r="143" spans="1:4" x14ac:dyDescent="0.2">
      <c r="A143" s="13">
        <v>37742</v>
      </c>
      <c r="B143" s="18">
        <f>VLOOKUP(A143,Database!A:Q,MATCH($A$1,Database!$A$1:$Q$1,),)</f>
        <v>38483</v>
      </c>
      <c r="C143" s="15">
        <f t="shared" si="4"/>
        <v>4.2274470916729727E-3</v>
      </c>
      <c r="D143" s="16">
        <f t="shared" si="3"/>
        <v>3.6886350164358463E-2</v>
      </c>
    </row>
    <row r="144" spans="1:4" x14ac:dyDescent="0.2">
      <c r="A144" s="14">
        <v>37773</v>
      </c>
      <c r="B144" s="18">
        <f>VLOOKUP(A144,Database!A:Q,MATCH($A$1,Database!$A$1:$Q$1,),)</f>
        <v>38866</v>
      </c>
      <c r="C144" s="15">
        <f t="shared" si="4"/>
        <v>9.9524465348335631E-3</v>
      </c>
      <c r="D144" s="16">
        <f t="shared" si="3"/>
        <v>3.8725712911243555E-2</v>
      </c>
    </row>
    <row r="145" spans="1:4" x14ac:dyDescent="0.2">
      <c r="A145" s="13">
        <v>37803</v>
      </c>
      <c r="B145" s="18">
        <f>VLOOKUP(A145,Database!A:Q,MATCH($A$1,Database!$A$1:$Q$1,),)</f>
        <v>39404</v>
      </c>
      <c r="C145" s="15">
        <f t="shared" si="4"/>
        <v>1.3842432974836618E-2</v>
      </c>
      <c r="D145" s="16">
        <f t="shared" si="3"/>
        <v>6.1187116233976088E-2</v>
      </c>
    </row>
    <row r="146" spans="1:4" x14ac:dyDescent="0.2">
      <c r="A146" s="14">
        <v>37834</v>
      </c>
      <c r="B146" s="18">
        <f>VLOOKUP(A146,Database!A:Q,MATCH($A$1,Database!$A$1:$Q$1,),)</f>
        <v>40085</v>
      </c>
      <c r="C146" s="15">
        <f t="shared" si="4"/>
        <v>1.7282509389909655E-2</v>
      </c>
      <c r="D146" s="16">
        <f t="shared" si="3"/>
        <v>7.7495833557335622E-2</v>
      </c>
    </row>
    <row r="147" spans="1:4" x14ac:dyDescent="0.2">
      <c r="A147" s="13">
        <v>37865</v>
      </c>
      <c r="B147" s="18">
        <f>VLOOKUP(A147,Database!A:Q,MATCH($A$1,Database!$A$1:$Q$1,),)</f>
        <v>39896</v>
      </c>
      <c r="C147" s="15">
        <f t="shared" si="4"/>
        <v>-4.71498066608457E-3</v>
      </c>
      <c r="D147" s="16">
        <f t="shared" si="3"/>
        <v>7.6553603712998186E-2</v>
      </c>
    </row>
    <row r="148" spans="1:4" x14ac:dyDescent="0.2">
      <c r="A148" s="14">
        <v>37895</v>
      </c>
      <c r="B148" s="18">
        <f>VLOOKUP(A148,Database!A:Q,MATCH($A$1,Database!$A$1:$Q$1,),)</f>
        <v>39649</v>
      </c>
      <c r="C148" s="15">
        <f t="shared" si="4"/>
        <v>-6.1910968518147187E-3</v>
      </c>
      <c r="D148" s="16">
        <f t="shared" ref="D148:D211" si="5">(B148-B136)/B136</f>
        <v>4.8471546435371271E-2</v>
      </c>
    </row>
    <row r="149" spans="1:4" x14ac:dyDescent="0.2">
      <c r="A149" s="13">
        <v>37926</v>
      </c>
      <c r="B149" s="18">
        <f>VLOOKUP(A149,Database!A:Q,MATCH($A$1,Database!$A$1:$Q$1,),)</f>
        <v>39945</v>
      </c>
      <c r="C149" s="15">
        <f t="shared" si="4"/>
        <v>7.4655098489243106E-3</v>
      </c>
      <c r="D149" s="16">
        <f t="shared" si="5"/>
        <v>5.9605284099952249E-2</v>
      </c>
    </row>
    <row r="150" spans="1:4" x14ac:dyDescent="0.2">
      <c r="A150" s="14">
        <v>37956</v>
      </c>
      <c r="B150" s="18">
        <f>VLOOKUP(A150,Database!A:Q,MATCH($A$1,Database!$A$1:$Q$1,),)</f>
        <v>40084</v>
      </c>
      <c r="C150" s="15">
        <f t="shared" si="4"/>
        <v>3.4797847039679561E-3</v>
      </c>
      <c r="D150" s="16">
        <f t="shared" si="5"/>
        <v>6.2785024923109556E-2</v>
      </c>
    </row>
    <row r="151" spans="1:4" x14ac:dyDescent="0.2">
      <c r="A151" s="13">
        <v>37987</v>
      </c>
      <c r="B151" s="18">
        <f>VLOOKUP(A151,Database!A:Q,MATCH($A$1,Database!$A$1:$Q$1,),)</f>
        <v>40436</v>
      </c>
      <c r="C151" s="15">
        <f t="shared" si="4"/>
        <v>8.7815587266739849E-3</v>
      </c>
      <c r="D151" s="16">
        <f t="shared" si="5"/>
        <v>7.1436142024377314E-2</v>
      </c>
    </row>
    <row r="152" spans="1:4" x14ac:dyDescent="0.2">
      <c r="A152" s="14">
        <v>38018</v>
      </c>
      <c r="B152" s="18">
        <f>VLOOKUP(A152,Database!A:Q,MATCH($A$1,Database!$A$1:$Q$1,),)</f>
        <v>40519</v>
      </c>
      <c r="C152" s="15">
        <f t="shared" si="4"/>
        <v>2.0526263725393215E-3</v>
      </c>
      <c r="D152" s="16">
        <f t="shared" si="5"/>
        <v>6.5448330265579807E-2</v>
      </c>
    </row>
    <row r="153" spans="1:4" x14ac:dyDescent="0.2">
      <c r="A153" s="13">
        <v>38047</v>
      </c>
      <c r="B153" s="18">
        <f>VLOOKUP(A153,Database!A:Q,MATCH($A$1,Database!$A$1:$Q$1,),)</f>
        <v>41079</v>
      </c>
      <c r="C153" s="15">
        <f t="shared" si="4"/>
        <v>1.3820676719563661E-2</v>
      </c>
      <c r="D153" s="16">
        <f t="shared" si="5"/>
        <v>7.0016410096116283E-2</v>
      </c>
    </row>
    <row r="154" spans="1:4" x14ac:dyDescent="0.2">
      <c r="A154" s="14">
        <v>38078</v>
      </c>
      <c r="B154" s="18">
        <f>VLOOKUP(A154,Database!A:Q,MATCH($A$1,Database!$A$1:$Q$1,),)</f>
        <v>40662</v>
      </c>
      <c r="C154" s="15">
        <f t="shared" si="4"/>
        <v>-1.0151172131746147E-2</v>
      </c>
      <c r="D154" s="16">
        <f t="shared" si="5"/>
        <v>6.1089220009916234E-2</v>
      </c>
    </row>
    <row r="155" spans="1:4" x14ac:dyDescent="0.2">
      <c r="A155" s="13">
        <v>38108</v>
      </c>
      <c r="B155" s="18">
        <f>VLOOKUP(A155,Database!A:Q,MATCH($A$1,Database!$A$1:$Q$1,),)</f>
        <v>41332</v>
      </c>
      <c r="C155" s="15">
        <f t="shared" si="4"/>
        <v>1.6477300673847818E-2</v>
      </c>
      <c r="D155" s="16">
        <f t="shared" si="5"/>
        <v>7.4032689759114409E-2</v>
      </c>
    </row>
    <row r="156" spans="1:4" x14ac:dyDescent="0.2">
      <c r="A156" s="14">
        <v>38139</v>
      </c>
      <c r="B156" s="18">
        <f>VLOOKUP(A156,Database!A:Q,MATCH($A$1,Database!$A$1:$Q$1,),)</f>
        <v>40756</v>
      </c>
      <c r="C156" s="15">
        <f t="shared" si="4"/>
        <v>-1.3935933417207006E-2</v>
      </c>
      <c r="D156" s="16">
        <f t="shared" si="5"/>
        <v>4.862862141717697E-2</v>
      </c>
    </row>
    <row r="157" spans="1:4" x14ac:dyDescent="0.2">
      <c r="A157" s="13">
        <v>38169</v>
      </c>
      <c r="B157" s="18">
        <f>VLOOKUP(A157,Database!A:Q,MATCH($A$1,Database!$A$1:$Q$1,),)</f>
        <v>41197</v>
      </c>
      <c r="C157" s="15">
        <f t="shared" si="4"/>
        <v>1.0820492688193149E-2</v>
      </c>
      <c r="D157" s="16">
        <f t="shared" si="5"/>
        <v>4.5502994619835549E-2</v>
      </c>
    </row>
    <row r="158" spans="1:4" x14ac:dyDescent="0.2">
      <c r="A158" s="14">
        <v>38200</v>
      </c>
      <c r="B158" s="18">
        <f>VLOOKUP(A158,Database!A:Q,MATCH($A$1,Database!$A$1:$Q$1,),)</f>
        <v>41323</v>
      </c>
      <c r="C158" s="15">
        <f t="shared" si="4"/>
        <v>3.0584751316843459E-3</v>
      </c>
      <c r="D158" s="16">
        <f t="shared" si="5"/>
        <v>3.0884370712236497E-2</v>
      </c>
    </row>
    <row r="159" spans="1:4" x14ac:dyDescent="0.2">
      <c r="A159" s="13">
        <v>38231</v>
      </c>
      <c r="B159" s="18">
        <f>VLOOKUP(A159,Database!A:Q,MATCH($A$1,Database!$A$1:$Q$1,),)</f>
        <v>41555</v>
      </c>
      <c r="C159" s="15">
        <f t="shared" si="4"/>
        <v>5.6143068025070785E-3</v>
      </c>
      <c r="D159" s="16">
        <f t="shared" si="5"/>
        <v>4.1583116101864846E-2</v>
      </c>
    </row>
    <row r="160" spans="1:4" x14ac:dyDescent="0.2">
      <c r="A160" s="14">
        <v>38261</v>
      </c>
      <c r="B160" s="18">
        <f>VLOOKUP(A160,Database!A:Q,MATCH($A$1,Database!$A$1:$Q$1,),)</f>
        <v>42042</v>
      </c>
      <c r="C160" s="15">
        <f t="shared" si="4"/>
        <v>1.1719408013476117E-2</v>
      </c>
      <c r="D160" s="16">
        <f t="shared" si="5"/>
        <v>6.0354611717823907E-2</v>
      </c>
    </row>
    <row r="161" spans="1:4" x14ac:dyDescent="0.2">
      <c r="A161" s="13">
        <v>38292</v>
      </c>
      <c r="B161" s="18">
        <f>VLOOKUP(A161,Database!A:Q,MATCH($A$1,Database!$A$1:$Q$1,),)</f>
        <v>42179</v>
      </c>
      <c r="C161" s="15">
        <f t="shared" si="4"/>
        <v>3.2586461157889731E-3</v>
      </c>
      <c r="D161" s="16">
        <f t="shared" si="5"/>
        <v>5.5926899486794343E-2</v>
      </c>
    </row>
    <row r="162" spans="1:4" x14ac:dyDescent="0.2">
      <c r="A162" s="14">
        <v>38322</v>
      </c>
      <c r="B162" s="18">
        <f>VLOOKUP(A162,Database!A:Q,MATCH($A$1,Database!$A$1:$Q$1,),)</f>
        <v>42656</v>
      </c>
      <c r="C162" s="15">
        <f t="shared" si="4"/>
        <v>1.130894520970151E-2</v>
      </c>
      <c r="D162" s="16">
        <f t="shared" si="5"/>
        <v>6.4165252968765588E-2</v>
      </c>
    </row>
    <row r="163" spans="1:4" x14ac:dyDescent="0.2">
      <c r="A163" s="13">
        <v>38353</v>
      </c>
      <c r="B163" s="18">
        <f>VLOOKUP(A163,Database!A:Q,MATCH($A$1,Database!$A$1:$Q$1,),)</f>
        <v>42556</v>
      </c>
      <c r="C163" s="15">
        <f t="shared" si="4"/>
        <v>-2.3443360840210052E-3</v>
      </c>
      <c r="D163" s="16">
        <f t="shared" si="5"/>
        <v>5.2428529033534475E-2</v>
      </c>
    </row>
    <row r="164" spans="1:4" x14ac:dyDescent="0.2">
      <c r="A164" s="14">
        <v>38384</v>
      </c>
      <c r="B164" s="18">
        <f>VLOOKUP(A164,Database!A:Q,MATCH($A$1,Database!$A$1:$Q$1,),)</f>
        <v>43183</v>
      </c>
      <c r="C164" s="15">
        <f t="shared" si="4"/>
        <v>1.4733527587179246E-2</v>
      </c>
      <c r="D164" s="16">
        <f t="shared" si="5"/>
        <v>6.574693353735285E-2</v>
      </c>
    </row>
    <row r="165" spans="1:4" x14ac:dyDescent="0.2">
      <c r="A165" s="13">
        <v>38412</v>
      </c>
      <c r="B165" s="18">
        <f>VLOOKUP(A165,Database!A:Q,MATCH($A$1,Database!$A$1:$Q$1,),)</f>
        <v>42949</v>
      </c>
      <c r="C165" s="15">
        <f t="shared" si="4"/>
        <v>-5.4187990644466574E-3</v>
      </c>
      <c r="D165" s="16">
        <f t="shared" si="5"/>
        <v>4.5522042892962342E-2</v>
      </c>
    </row>
    <row r="166" spans="1:4" x14ac:dyDescent="0.2">
      <c r="A166" s="14">
        <v>38443</v>
      </c>
      <c r="B166" s="18">
        <f>VLOOKUP(A166,Database!A:Q,MATCH($A$1,Database!$A$1:$Q$1,),)</f>
        <v>43601</v>
      </c>
      <c r="C166" s="15">
        <f t="shared" si="4"/>
        <v>1.518079582760949E-2</v>
      </c>
      <c r="D166" s="16">
        <f t="shared" si="5"/>
        <v>7.2278786090207076E-2</v>
      </c>
    </row>
    <row r="167" spans="1:4" x14ac:dyDescent="0.2">
      <c r="A167" s="13">
        <v>38473</v>
      </c>
      <c r="B167" s="18">
        <f>VLOOKUP(A167,Database!A:Q,MATCH($A$1,Database!$A$1:$Q$1,),)</f>
        <v>43423</v>
      </c>
      <c r="C167" s="15">
        <f t="shared" si="4"/>
        <v>-4.0824751725877847E-3</v>
      </c>
      <c r="D167" s="16">
        <f t="shared" si="5"/>
        <v>5.0590341623923354E-2</v>
      </c>
    </row>
    <row r="168" spans="1:4" x14ac:dyDescent="0.2">
      <c r="A168" s="14">
        <v>38504</v>
      </c>
      <c r="B168" s="18">
        <f>VLOOKUP(A168,Database!A:Q,MATCH($A$1,Database!$A$1:$Q$1,),)</f>
        <v>44354</v>
      </c>
      <c r="C168" s="15">
        <f t="shared" si="4"/>
        <v>2.1440250558459804E-2</v>
      </c>
      <c r="D168" s="16">
        <f t="shared" si="5"/>
        <v>8.8281480027480611E-2</v>
      </c>
    </row>
    <row r="169" spans="1:4" x14ac:dyDescent="0.2">
      <c r="A169" s="13">
        <v>38534</v>
      </c>
      <c r="B169" s="18">
        <f>VLOOKUP(A169,Database!A:Q,MATCH($A$1,Database!$A$1:$Q$1,),)</f>
        <v>44017</v>
      </c>
      <c r="C169" s="15">
        <f t="shared" si="4"/>
        <v>-7.5979618523695719E-3</v>
      </c>
      <c r="D169" s="16">
        <f t="shared" si="5"/>
        <v>6.8451586280554408E-2</v>
      </c>
    </row>
    <row r="170" spans="1:4" x14ac:dyDescent="0.2">
      <c r="A170" s="14">
        <v>38565</v>
      </c>
      <c r="B170" s="18">
        <f>VLOOKUP(A170,Database!A:Q,MATCH($A$1,Database!$A$1:$Q$1,),)</f>
        <v>44214</v>
      </c>
      <c r="C170" s="15">
        <f t="shared" si="4"/>
        <v>4.4755435399959111E-3</v>
      </c>
      <c r="D170" s="16">
        <f t="shared" si="5"/>
        <v>6.9961038646758469E-2</v>
      </c>
    </row>
    <row r="171" spans="1:4" x14ac:dyDescent="0.2">
      <c r="A171" s="13">
        <v>38596</v>
      </c>
      <c r="B171" s="18">
        <f>VLOOKUP(A171,Database!A:Q,MATCH($A$1,Database!$A$1:$Q$1,),)</f>
        <v>44502</v>
      </c>
      <c r="C171" s="15">
        <f t="shared" si="4"/>
        <v>6.5137739177636043E-3</v>
      </c>
      <c r="D171" s="16">
        <f t="shared" si="5"/>
        <v>7.0918060401877037E-2</v>
      </c>
    </row>
    <row r="172" spans="1:4" x14ac:dyDescent="0.2">
      <c r="A172" s="14">
        <v>38626</v>
      </c>
      <c r="B172" s="18">
        <f>VLOOKUP(A172,Database!A:Q,MATCH($A$1,Database!$A$1:$Q$1,),)</f>
        <v>45267</v>
      </c>
      <c r="C172" s="15">
        <f t="shared" si="4"/>
        <v>1.7190238640959955E-2</v>
      </c>
      <c r="D172" s="16">
        <f t="shared" si="5"/>
        <v>7.6709005280433853E-2</v>
      </c>
    </row>
    <row r="173" spans="1:4" x14ac:dyDescent="0.2">
      <c r="A173" s="13">
        <v>38657</v>
      </c>
      <c r="B173" s="18">
        <f>VLOOKUP(A173,Database!A:Q,MATCH($A$1,Database!$A$1:$Q$1,),)</f>
        <v>45226</v>
      </c>
      <c r="C173" s="15">
        <f t="shared" si="4"/>
        <v>-9.0573707115558792E-4</v>
      </c>
      <c r="D173" s="16">
        <f t="shared" si="5"/>
        <v>7.2239740155053467E-2</v>
      </c>
    </row>
    <row r="174" spans="1:4" x14ac:dyDescent="0.2">
      <c r="A174" s="14">
        <v>38687</v>
      </c>
      <c r="B174" s="18">
        <f>VLOOKUP(A174,Database!A:Q,MATCH($A$1,Database!$A$1:$Q$1,),)</f>
        <v>44778</v>
      </c>
      <c r="C174" s="15">
        <f t="shared" si="4"/>
        <v>-9.9058063945518058E-3</v>
      </c>
      <c r="D174" s="16">
        <f t="shared" si="5"/>
        <v>4.9746811702925733E-2</v>
      </c>
    </row>
    <row r="175" spans="1:4" x14ac:dyDescent="0.2">
      <c r="A175" s="13">
        <v>38718</v>
      </c>
      <c r="B175" s="18">
        <f>VLOOKUP(A175,Database!A:Q,MATCH($A$1,Database!$A$1:$Q$1,),)</f>
        <v>45710</v>
      </c>
      <c r="C175" s="15">
        <f t="shared" si="4"/>
        <v>2.0813792487382198E-2</v>
      </c>
      <c r="D175" s="16">
        <f t="shared" si="5"/>
        <v>7.4114108468841061E-2</v>
      </c>
    </row>
    <row r="176" spans="1:4" x14ac:dyDescent="0.2">
      <c r="A176" s="14">
        <v>38749</v>
      </c>
      <c r="B176" s="18">
        <f>VLOOKUP(A176,Database!A:Q,MATCH($A$1,Database!$A$1:$Q$1,),)</f>
        <v>45774</v>
      </c>
      <c r="C176" s="15">
        <f t="shared" si="4"/>
        <v>1.4001312623058411E-3</v>
      </c>
      <c r="D176" s="16">
        <f t="shared" si="5"/>
        <v>6.0000463145219181E-2</v>
      </c>
    </row>
    <row r="177" spans="1:4" x14ac:dyDescent="0.2">
      <c r="A177" s="13">
        <v>38777</v>
      </c>
      <c r="B177" s="18">
        <f>VLOOKUP(A177,Database!A:Q,MATCH($A$1,Database!$A$1:$Q$1,),)</f>
        <v>45635</v>
      </c>
      <c r="C177" s="15">
        <f t="shared" si="4"/>
        <v>-3.0366583650107046E-3</v>
      </c>
      <c r="D177" s="16">
        <f t="shared" si="5"/>
        <v>6.2539290786747068E-2</v>
      </c>
    </row>
    <row r="178" spans="1:4" x14ac:dyDescent="0.2">
      <c r="A178" s="14">
        <v>38808</v>
      </c>
      <c r="B178" s="18">
        <f>VLOOKUP(A178,Database!A:Q,MATCH($A$1,Database!$A$1:$Q$1,),)</f>
        <v>46048</v>
      </c>
      <c r="C178" s="15">
        <f t="shared" si="4"/>
        <v>9.0500712172674486E-3</v>
      </c>
      <c r="D178" s="16">
        <f t="shared" si="5"/>
        <v>5.6122565996192746E-2</v>
      </c>
    </row>
    <row r="179" spans="1:4" x14ac:dyDescent="0.2">
      <c r="A179" s="13">
        <v>38838</v>
      </c>
      <c r="B179" s="18">
        <f>VLOOKUP(A179,Database!A:Q,MATCH($A$1,Database!$A$1:$Q$1,),)</f>
        <v>45806</v>
      </c>
      <c r="C179" s="15">
        <f t="shared" si="4"/>
        <v>-5.2553856845031274E-3</v>
      </c>
      <c r="D179" s="16">
        <f t="shared" si="5"/>
        <v>5.4878750892384219E-2</v>
      </c>
    </row>
    <row r="180" spans="1:4" x14ac:dyDescent="0.2">
      <c r="A180" s="14">
        <v>38869</v>
      </c>
      <c r="B180" s="18">
        <f>VLOOKUP(A180,Database!A:Q,MATCH($A$1,Database!$A$1:$Q$1,),)</f>
        <v>45956</v>
      </c>
      <c r="C180" s="15">
        <f t="shared" si="4"/>
        <v>3.2746801729031131E-3</v>
      </c>
      <c r="D180" s="16">
        <f t="shared" si="5"/>
        <v>3.6118501149839922E-2</v>
      </c>
    </row>
    <row r="181" spans="1:4" x14ac:dyDescent="0.2">
      <c r="A181" s="13">
        <v>38899</v>
      </c>
      <c r="B181" s="18">
        <f>VLOOKUP(A181,Database!A:Q,MATCH($A$1,Database!$A$1:$Q$1,),)</f>
        <v>45838</v>
      </c>
      <c r="C181" s="15">
        <f t="shared" si="4"/>
        <v>-2.5676734267560276E-3</v>
      </c>
      <c r="D181" s="16">
        <f t="shared" si="5"/>
        <v>4.1370379626053569E-2</v>
      </c>
    </row>
    <row r="182" spans="1:4" x14ac:dyDescent="0.2">
      <c r="A182" s="14">
        <v>38930</v>
      </c>
      <c r="B182" s="18">
        <f>VLOOKUP(A182,Database!A:Q,MATCH($A$1,Database!$A$1:$Q$1,),)</f>
        <v>46043</v>
      </c>
      <c r="C182" s="15">
        <f t="shared" si="4"/>
        <v>4.4722719141323791E-3</v>
      </c>
      <c r="D182" s="16">
        <f t="shared" si="5"/>
        <v>4.1366987831908446E-2</v>
      </c>
    </row>
    <row r="183" spans="1:4" x14ac:dyDescent="0.2">
      <c r="A183" s="13">
        <v>38961</v>
      </c>
      <c r="B183" s="18">
        <f>VLOOKUP(A183,Database!A:Q,MATCH($A$1,Database!$A$1:$Q$1,),)</f>
        <v>46712</v>
      </c>
      <c r="C183" s="15">
        <f t="shared" si="4"/>
        <v>1.452989596681363E-2</v>
      </c>
      <c r="D183" s="16">
        <f t="shared" si="5"/>
        <v>4.9660689407217656E-2</v>
      </c>
    </row>
    <row r="184" spans="1:4" x14ac:dyDescent="0.2">
      <c r="A184" s="14">
        <v>38991</v>
      </c>
      <c r="B184" s="18">
        <f>VLOOKUP(A184,Database!A:Q,MATCH($A$1,Database!$A$1:$Q$1,),)</f>
        <v>46679</v>
      </c>
      <c r="C184" s="15">
        <f t="shared" si="4"/>
        <v>-7.0645658503168353E-4</v>
      </c>
      <c r="D184" s="16">
        <f t="shared" si="5"/>
        <v>3.1192701084675371E-2</v>
      </c>
    </row>
    <row r="185" spans="1:4" x14ac:dyDescent="0.2">
      <c r="A185" s="13">
        <v>39022</v>
      </c>
      <c r="B185" s="18">
        <f>VLOOKUP(A185,Database!A:Q,MATCH($A$1,Database!$A$1:$Q$1,),)</f>
        <v>46800</v>
      </c>
      <c r="C185" s="15">
        <f t="shared" si="4"/>
        <v>2.592172068810386E-3</v>
      </c>
      <c r="D185" s="16">
        <f t="shared" si="5"/>
        <v>3.4802989430858355E-2</v>
      </c>
    </row>
    <row r="186" spans="1:4" x14ac:dyDescent="0.2">
      <c r="A186" s="14">
        <v>39052</v>
      </c>
      <c r="B186" s="18">
        <f>VLOOKUP(A186,Database!A:Q,MATCH($A$1,Database!$A$1:$Q$1,),)</f>
        <v>47344</v>
      </c>
      <c r="C186" s="15">
        <f t="shared" si="4"/>
        <v>1.1623931623931624E-2</v>
      </c>
      <c r="D186" s="16">
        <f t="shared" si="5"/>
        <v>5.7304926526419227E-2</v>
      </c>
    </row>
    <row r="187" spans="1:4" x14ac:dyDescent="0.2">
      <c r="A187" s="13">
        <v>39083</v>
      </c>
      <c r="B187" s="18">
        <f>VLOOKUP(A187,Database!A:Q,MATCH($A$1,Database!$A$1:$Q$1,),)</f>
        <v>48034</v>
      </c>
      <c r="C187" s="15">
        <f t="shared" si="4"/>
        <v>1.4574180466373775E-2</v>
      </c>
      <c r="D187" s="16">
        <f t="shared" si="5"/>
        <v>5.0842266462480856E-2</v>
      </c>
    </row>
    <row r="188" spans="1:4" x14ac:dyDescent="0.2">
      <c r="A188" s="14">
        <v>39114</v>
      </c>
      <c r="B188" s="18">
        <f>VLOOKUP(A188,Database!A:Q,MATCH($A$1,Database!$A$1:$Q$1,),)</f>
        <v>47293</v>
      </c>
      <c r="C188" s="15">
        <f t="shared" si="4"/>
        <v>-1.5426572844235334E-2</v>
      </c>
      <c r="D188" s="16">
        <f t="shared" si="5"/>
        <v>3.3184777384541446E-2</v>
      </c>
    </row>
    <row r="189" spans="1:4" x14ac:dyDescent="0.2">
      <c r="A189" s="13">
        <v>39142</v>
      </c>
      <c r="B189" s="18">
        <f>VLOOKUP(A189,Database!A:Q,MATCH($A$1,Database!$A$1:$Q$1,),)</f>
        <v>48132</v>
      </c>
      <c r="C189" s="15">
        <f t="shared" si="4"/>
        <v>1.7740468991182628E-2</v>
      </c>
      <c r="D189" s="16">
        <f t="shared" si="5"/>
        <v>5.4716774405609729E-2</v>
      </c>
    </row>
    <row r="190" spans="1:4" x14ac:dyDescent="0.2">
      <c r="A190" s="14">
        <v>39173</v>
      </c>
      <c r="B190" s="18">
        <f>VLOOKUP(A190,Database!A:Q,MATCH($A$1,Database!$A$1:$Q$1,),)</f>
        <v>47679</v>
      </c>
      <c r="C190" s="15">
        <f t="shared" si="4"/>
        <v>-9.4116180503615067E-3</v>
      </c>
      <c r="D190" s="16">
        <f t="shared" si="5"/>
        <v>3.5419562195969423E-2</v>
      </c>
    </row>
    <row r="191" spans="1:4" x14ac:dyDescent="0.2">
      <c r="A191" s="13">
        <v>39203</v>
      </c>
      <c r="B191" s="18">
        <f>VLOOKUP(A191,Database!A:Q,MATCH($A$1,Database!$A$1:$Q$1,),)</f>
        <v>47887</v>
      </c>
      <c r="C191" s="15">
        <f t="shared" si="4"/>
        <v>4.362507602927914E-3</v>
      </c>
      <c r="D191" s="16">
        <f t="shared" si="5"/>
        <v>4.5430729598742524E-2</v>
      </c>
    </row>
    <row r="192" spans="1:4" x14ac:dyDescent="0.2">
      <c r="A192" s="14">
        <v>39234</v>
      </c>
      <c r="B192" s="18">
        <f>VLOOKUP(A192,Database!A:Q,MATCH($A$1,Database!$A$1:$Q$1,),)</f>
        <v>47852</v>
      </c>
      <c r="C192" s="15">
        <f t="shared" si="4"/>
        <v>-7.3088729717877502E-4</v>
      </c>
      <c r="D192" s="16">
        <f t="shared" si="5"/>
        <v>4.125685438245278E-2</v>
      </c>
    </row>
    <row r="193" spans="1:4" x14ac:dyDescent="0.2">
      <c r="A193" s="13">
        <v>39264</v>
      </c>
      <c r="B193" s="18">
        <f>VLOOKUP(A193,Database!A:Q,MATCH($A$1,Database!$A$1:$Q$1,),)</f>
        <v>48412</v>
      </c>
      <c r="C193" s="15">
        <f t="shared" si="4"/>
        <v>1.1702750146284377E-2</v>
      </c>
      <c r="D193" s="16">
        <f t="shared" si="5"/>
        <v>5.6154282473057288E-2</v>
      </c>
    </row>
    <row r="194" spans="1:4" x14ac:dyDescent="0.2">
      <c r="A194" s="14">
        <v>39295</v>
      </c>
      <c r="B194" s="18">
        <f>VLOOKUP(A194,Database!A:Q,MATCH($A$1,Database!$A$1:$Q$1,),)</f>
        <v>48704</v>
      </c>
      <c r="C194" s="15">
        <f t="shared" si="4"/>
        <v>6.0315624225398658E-3</v>
      </c>
      <c r="D194" s="16">
        <f t="shared" si="5"/>
        <v>5.7793801446473947E-2</v>
      </c>
    </row>
    <row r="195" spans="1:4" x14ac:dyDescent="0.2">
      <c r="A195" s="13">
        <v>39326</v>
      </c>
      <c r="B195" s="18">
        <f>VLOOKUP(A195,Database!A:Q,MATCH($A$1,Database!$A$1:$Q$1,),)</f>
        <v>48288</v>
      </c>
      <c r="C195" s="15">
        <f t="shared" si="4"/>
        <v>-8.5413929040735869E-3</v>
      </c>
      <c r="D195" s="16">
        <f t="shared" si="5"/>
        <v>3.3738653879088885E-2</v>
      </c>
    </row>
    <row r="196" spans="1:4" x14ac:dyDescent="0.2">
      <c r="A196" s="14">
        <v>39356</v>
      </c>
      <c r="B196" s="18">
        <f>VLOOKUP(A196,Database!A:Q,MATCH($A$1,Database!$A$1:$Q$1,),)</f>
        <v>48540</v>
      </c>
      <c r="C196" s="15">
        <f t="shared" si="4"/>
        <v>5.2186878727634193E-3</v>
      </c>
      <c r="D196" s="16">
        <f t="shared" si="5"/>
        <v>3.9868034876496927E-2</v>
      </c>
    </row>
    <row r="197" spans="1:4" x14ac:dyDescent="0.2">
      <c r="A197" s="13">
        <v>39387</v>
      </c>
      <c r="B197" s="18">
        <f>VLOOKUP(A197,Database!A:Q,MATCH($A$1,Database!$A$1:$Q$1,),)</f>
        <v>49047</v>
      </c>
      <c r="C197" s="15">
        <f t="shared" si="4"/>
        <v>1.0444993819530284E-2</v>
      </c>
      <c r="D197" s="16">
        <f t="shared" si="5"/>
        <v>4.8012820512820513E-2</v>
      </c>
    </row>
    <row r="198" spans="1:4" x14ac:dyDescent="0.2">
      <c r="A198" s="14">
        <v>39417</v>
      </c>
      <c r="B198" s="18">
        <f>VLOOKUP(A198,Database!A:Q,MATCH($A$1,Database!$A$1:$Q$1,),)</f>
        <v>49302</v>
      </c>
      <c r="C198" s="15">
        <f t="shared" si="4"/>
        <v>5.1990947458560154E-3</v>
      </c>
      <c r="D198" s="16">
        <f t="shared" si="5"/>
        <v>4.1356877323420076E-2</v>
      </c>
    </row>
    <row r="199" spans="1:4" x14ac:dyDescent="0.2">
      <c r="A199" s="13">
        <v>39448</v>
      </c>
      <c r="B199" s="18">
        <f>VLOOKUP(A199,Database!A:Q,MATCH($A$1,Database!$A$1:$Q$1,),)</f>
        <v>48951</v>
      </c>
      <c r="C199" s="15">
        <f t="shared" si="4"/>
        <v>-7.1193866374589269E-3</v>
      </c>
      <c r="D199" s="16">
        <f t="shared" si="5"/>
        <v>1.9090644127076655E-2</v>
      </c>
    </row>
    <row r="200" spans="1:4" x14ac:dyDescent="0.2">
      <c r="A200" s="14">
        <v>39479</v>
      </c>
      <c r="B200" s="18">
        <f>VLOOKUP(A200,Database!A:Q,MATCH($A$1,Database!$A$1:$Q$1,),)</f>
        <v>48927</v>
      </c>
      <c r="C200" s="15">
        <f t="shared" si="4"/>
        <v>-4.9028620457191891E-4</v>
      </c>
      <c r="D200" s="16">
        <f t="shared" si="5"/>
        <v>3.4550567737297276E-2</v>
      </c>
    </row>
    <row r="201" spans="1:4" x14ac:dyDescent="0.2">
      <c r="A201" s="13">
        <v>39508</v>
      </c>
      <c r="B201" s="18">
        <f>VLOOKUP(A201,Database!A:Q,MATCH($A$1,Database!$A$1:$Q$1,),)</f>
        <v>48990</v>
      </c>
      <c r="C201" s="15">
        <f t="shared" ref="C201:C264" si="6">(B201-B200)/B200</f>
        <v>1.2876325954994175E-3</v>
      </c>
      <c r="D201" s="16">
        <f t="shared" si="5"/>
        <v>1.7825978558962851E-2</v>
      </c>
    </row>
    <row r="202" spans="1:4" x14ac:dyDescent="0.2">
      <c r="A202" s="14">
        <v>39539</v>
      </c>
      <c r="B202" s="18">
        <f>VLOOKUP(A202,Database!A:Q,MATCH($A$1,Database!$A$1:$Q$1,),)</f>
        <v>49433</v>
      </c>
      <c r="C202" s="15">
        <f t="shared" si="6"/>
        <v>9.0426617677076947E-3</v>
      </c>
      <c r="D202" s="16">
        <f t="shared" si="5"/>
        <v>3.678768430545943E-2</v>
      </c>
    </row>
    <row r="203" spans="1:4" x14ac:dyDescent="0.2">
      <c r="A203" s="13">
        <v>39569</v>
      </c>
      <c r="B203" s="18">
        <f>VLOOKUP(A203,Database!A:Q,MATCH($A$1,Database!$A$1:$Q$1,),)</f>
        <v>50375</v>
      </c>
      <c r="C203" s="15">
        <f t="shared" si="6"/>
        <v>1.905609613011551E-2</v>
      </c>
      <c r="D203" s="16">
        <f t="shared" si="5"/>
        <v>5.1955645582308349E-2</v>
      </c>
    </row>
    <row r="204" spans="1:4" x14ac:dyDescent="0.2">
      <c r="A204" s="14">
        <v>39600</v>
      </c>
      <c r="B204" s="18">
        <f>VLOOKUP(A204,Database!A:Q,MATCH($A$1,Database!$A$1:$Q$1,),)</f>
        <v>50762</v>
      </c>
      <c r="C204" s="15">
        <f t="shared" si="6"/>
        <v>7.682382133995037E-3</v>
      </c>
      <c r="D204" s="16">
        <f t="shared" si="5"/>
        <v>6.081250522444203E-2</v>
      </c>
    </row>
    <row r="205" spans="1:4" x14ac:dyDescent="0.2">
      <c r="A205" s="13">
        <v>39630</v>
      </c>
      <c r="B205" s="18">
        <f>VLOOKUP(A205,Database!A:Q,MATCH($A$1,Database!$A$1:$Q$1,),)</f>
        <v>50582</v>
      </c>
      <c r="C205" s="15">
        <f t="shared" si="6"/>
        <v>-3.5459595760608327E-3</v>
      </c>
      <c r="D205" s="16">
        <f t="shared" si="5"/>
        <v>4.4823597455176403E-2</v>
      </c>
    </row>
    <row r="206" spans="1:4" x14ac:dyDescent="0.2">
      <c r="A206" s="14">
        <v>39661</v>
      </c>
      <c r="B206" s="18">
        <f>VLOOKUP(A206,Database!A:Q,MATCH($A$1,Database!$A$1:$Q$1,),)</f>
        <v>50131</v>
      </c>
      <c r="C206" s="15">
        <f t="shared" si="6"/>
        <v>-8.9162152544383384E-3</v>
      </c>
      <c r="D206" s="16">
        <f t="shared" si="5"/>
        <v>2.9299441524310119E-2</v>
      </c>
    </row>
    <row r="207" spans="1:4" x14ac:dyDescent="0.2">
      <c r="A207" s="13">
        <v>39692</v>
      </c>
      <c r="B207" s="18">
        <f>VLOOKUP(A207,Database!A:Q,MATCH($A$1,Database!$A$1:$Q$1,),)</f>
        <v>49436</v>
      </c>
      <c r="C207" s="15">
        <f t="shared" si="6"/>
        <v>-1.3863677165825537E-2</v>
      </c>
      <c r="D207" s="16">
        <f t="shared" si="5"/>
        <v>2.3774022531477802E-2</v>
      </c>
    </row>
    <row r="208" spans="1:4" x14ac:dyDescent="0.2">
      <c r="A208" s="14">
        <v>39722</v>
      </c>
      <c r="B208" s="18">
        <f>VLOOKUP(A208,Database!A:Q,MATCH($A$1,Database!$A$1:$Q$1,),)</f>
        <v>49260</v>
      </c>
      <c r="C208" s="15">
        <f t="shared" si="6"/>
        <v>-3.5601585888825958E-3</v>
      </c>
      <c r="D208" s="16">
        <f t="shared" si="5"/>
        <v>1.4833127317676144E-2</v>
      </c>
    </row>
    <row r="209" spans="1:4" x14ac:dyDescent="0.2">
      <c r="A209" s="13">
        <v>39753</v>
      </c>
      <c r="B209" s="18">
        <f>VLOOKUP(A209,Database!A:Q,MATCH($A$1,Database!$A$1:$Q$1,),)</f>
        <v>49464</v>
      </c>
      <c r="C209" s="15">
        <f t="shared" si="6"/>
        <v>4.1412911084043845E-3</v>
      </c>
      <c r="D209" s="16">
        <f t="shared" si="5"/>
        <v>8.5020490549880725E-3</v>
      </c>
    </row>
    <row r="210" spans="1:4" x14ac:dyDescent="0.2">
      <c r="A210" s="14">
        <v>39783</v>
      </c>
      <c r="B210" s="18">
        <f>VLOOKUP(A210,Database!A:Q,MATCH($A$1,Database!$A$1:$Q$1,),)</f>
        <v>48906</v>
      </c>
      <c r="C210" s="15">
        <f t="shared" si="6"/>
        <v>-1.1280931586608443E-2</v>
      </c>
      <c r="D210" s="16">
        <f t="shared" si="5"/>
        <v>-8.0321285140562242E-3</v>
      </c>
    </row>
    <row r="211" spans="1:4" x14ac:dyDescent="0.2">
      <c r="A211" s="13">
        <v>39814</v>
      </c>
      <c r="B211" s="18">
        <f>VLOOKUP(A211,Database!A:Q,MATCH($A$1,Database!$A$1:$Q$1,),)</f>
        <v>49288</v>
      </c>
      <c r="C211" s="15">
        <f t="shared" si="6"/>
        <v>7.8109025477446532E-3</v>
      </c>
      <c r="D211" s="16">
        <f t="shared" si="5"/>
        <v>6.8844354558640275E-3</v>
      </c>
    </row>
    <row r="212" spans="1:4" x14ac:dyDescent="0.2">
      <c r="A212" s="14">
        <v>39845</v>
      </c>
      <c r="B212" s="18">
        <f>VLOOKUP(A212,Database!A:Q,MATCH($A$1,Database!$A$1:$Q$1,),)</f>
        <v>49199</v>
      </c>
      <c r="C212" s="15">
        <f t="shared" si="6"/>
        <v>-1.8057133582210681E-3</v>
      </c>
      <c r="D212" s="16">
        <f t="shared" ref="D212:D275" si="7">(B212-B200)/B200</f>
        <v>5.5593026345371679E-3</v>
      </c>
    </row>
    <row r="213" spans="1:4" x14ac:dyDescent="0.2">
      <c r="A213" s="13">
        <v>39873</v>
      </c>
      <c r="B213" s="18">
        <f>VLOOKUP(A213,Database!A:Q,MATCH($A$1,Database!$A$1:$Q$1,),)</f>
        <v>48840</v>
      </c>
      <c r="C213" s="15">
        <f t="shared" si="6"/>
        <v>-7.296896278379642E-3</v>
      </c>
      <c r="D213" s="16">
        <f t="shared" si="7"/>
        <v>-3.0618493570116348E-3</v>
      </c>
    </row>
    <row r="214" spans="1:4" x14ac:dyDescent="0.2">
      <c r="A214" s="14">
        <v>39904</v>
      </c>
      <c r="B214" s="18">
        <f>VLOOKUP(A214,Database!A:Q,MATCH($A$1,Database!$A$1:$Q$1,),)</f>
        <v>48887</v>
      </c>
      <c r="C214" s="15">
        <f t="shared" si="6"/>
        <v>9.6232596232596228E-4</v>
      </c>
      <c r="D214" s="16">
        <f t="shared" si="7"/>
        <v>-1.104525317095867E-2</v>
      </c>
    </row>
    <row r="215" spans="1:4" x14ac:dyDescent="0.2">
      <c r="A215" s="13">
        <v>39934</v>
      </c>
      <c r="B215" s="18">
        <f>VLOOKUP(A215,Database!A:Q,MATCH($A$1,Database!$A$1:$Q$1,),)</f>
        <v>49085</v>
      </c>
      <c r="C215" s="15">
        <f t="shared" si="6"/>
        <v>4.0501564833186733E-3</v>
      </c>
      <c r="D215" s="16">
        <f t="shared" si="7"/>
        <v>-2.5607940446650126E-2</v>
      </c>
    </row>
    <row r="216" spans="1:4" x14ac:dyDescent="0.2">
      <c r="A216" s="14">
        <v>39965</v>
      </c>
      <c r="B216" s="18">
        <f>VLOOKUP(A216,Database!A:Q,MATCH($A$1,Database!$A$1:$Q$1,),)</f>
        <v>48792</v>
      </c>
      <c r="C216" s="15">
        <f t="shared" si="6"/>
        <v>-5.9692370377915863E-3</v>
      </c>
      <c r="D216" s="16">
        <f t="shared" si="7"/>
        <v>-3.8808557582443559E-2</v>
      </c>
    </row>
    <row r="217" spans="1:4" x14ac:dyDescent="0.2">
      <c r="A217" s="13">
        <v>39995</v>
      </c>
      <c r="B217" s="18">
        <f>VLOOKUP(A217,Database!A:Q,MATCH($A$1,Database!$A$1:$Q$1,),)</f>
        <v>48812</v>
      </c>
      <c r="C217" s="15">
        <f t="shared" si="6"/>
        <v>4.0990326282997212E-4</v>
      </c>
      <c r="D217" s="16">
        <f t="shared" si="7"/>
        <v>-3.4992685144913209E-2</v>
      </c>
    </row>
    <row r="218" spans="1:4" x14ac:dyDescent="0.2">
      <c r="A218" s="14">
        <v>40026</v>
      </c>
      <c r="B218" s="18">
        <f>VLOOKUP(A218,Database!A:Q,MATCH($A$1,Database!$A$1:$Q$1,),)</f>
        <v>48934</v>
      </c>
      <c r="C218" s="15">
        <f t="shared" si="6"/>
        <v>2.4993853970335165E-3</v>
      </c>
      <c r="D218" s="16">
        <f t="shared" si="7"/>
        <v>-2.3877441104306715E-2</v>
      </c>
    </row>
    <row r="219" spans="1:4" x14ac:dyDescent="0.2">
      <c r="A219" s="13">
        <v>40057</v>
      </c>
      <c r="B219" s="18">
        <f>VLOOKUP(A219,Database!A:Q,MATCH($A$1,Database!$A$1:$Q$1,),)</f>
        <v>49220</v>
      </c>
      <c r="C219" s="15">
        <f t="shared" si="6"/>
        <v>5.8446070217027012E-3</v>
      </c>
      <c r="D219" s="16">
        <f t="shared" si="7"/>
        <v>-4.3692855409013676E-3</v>
      </c>
    </row>
    <row r="220" spans="1:4" x14ac:dyDescent="0.2">
      <c r="A220" s="14">
        <v>40087</v>
      </c>
      <c r="B220" s="18">
        <f>VLOOKUP(A220,Database!A:Q,MATCH($A$1,Database!$A$1:$Q$1,),)</f>
        <v>49725</v>
      </c>
      <c r="C220" s="15">
        <f t="shared" si="6"/>
        <v>1.0260056887444129E-2</v>
      </c>
      <c r="D220" s="16">
        <f t="shared" si="7"/>
        <v>9.4397076735688191E-3</v>
      </c>
    </row>
    <row r="221" spans="1:4" x14ac:dyDescent="0.2">
      <c r="A221" s="13">
        <v>40118</v>
      </c>
      <c r="B221" s="18">
        <f>VLOOKUP(A221,Database!A:Q,MATCH($A$1,Database!$A$1:$Q$1,),)</f>
        <v>49156</v>
      </c>
      <c r="C221" s="15">
        <f t="shared" si="6"/>
        <v>-1.1442936148818502E-2</v>
      </c>
      <c r="D221" s="16">
        <f t="shared" si="7"/>
        <v>-6.2267507682354844E-3</v>
      </c>
    </row>
    <row r="222" spans="1:4" x14ac:dyDescent="0.2">
      <c r="A222" s="14">
        <v>40148</v>
      </c>
      <c r="B222" s="18">
        <f>VLOOKUP(A222,Database!A:Q,MATCH($A$1,Database!$A$1:$Q$1,),)</f>
        <v>49657</v>
      </c>
      <c r="C222" s="15">
        <f t="shared" si="6"/>
        <v>1.0192041663276101E-2</v>
      </c>
      <c r="D222" s="16">
        <f t="shared" si="7"/>
        <v>1.5355989040199566E-2</v>
      </c>
    </row>
    <row r="223" spans="1:4" x14ac:dyDescent="0.2">
      <c r="A223" s="13">
        <v>40179</v>
      </c>
      <c r="B223" s="18">
        <f>VLOOKUP(A223,Database!A:Q,MATCH($A$1,Database!$A$1:$Q$1,),)</f>
        <v>49849</v>
      </c>
      <c r="C223" s="15">
        <f t="shared" si="6"/>
        <v>3.8665243570896349E-3</v>
      </c>
      <c r="D223" s="16">
        <f t="shared" si="7"/>
        <v>1.1382080831033923E-2</v>
      </c>
    </row>
    <row r="224" spans="1:4" x14ac:dyDescent="0.2">
      <c r="A224" s="14">
        <v>40210</v>
      </c>
      <c r="B224" s="18">
        <f>VLOOKUP(A224,Database!A:Q,MATCH($A$1,Database!$A$1:$Q$1,),)</f>
        <v>50538</v>
      </c>
      <c r="C224" s="15">
        <f t="shared" si="6"/>
        <v>1.3821741659812634E-2</v>
      </c>
      <c r="D224" s="16">
        <f t="shared" si="7"/>
        <v>2.7216000325209863E-2</v>
      </c>
    </row>
    <row r="225" spans="1:4" x14ac:dyDescent="0.2">
      <c r="A225" s="13">
        <v>40238</v>
      </c>
      <c r="B225" s="18">
        <f>VLOOKUP(A225,Database!A:Q,MATCH($A$1,Database!$A$1:$Q$1,),)</f>
        <v>50064</v>
      </c>
      <c r="C225" s="15">
        <f t="shared" si="6"/>
        <v>-9.3790810874985163E-3</v>
      </c>
      <c r="D225" s="16">
        <f t="shared" si="7"/>
        <v>2.5061425061425061E-2</v>
      </c>
    </row>
    <row r="226" spans="1:4" x14ac:dyDescent="0.2">
      <c r="A226" s="14">
        <v>40269</v>
      </c>
      <c r="B226" s="18">
        <f>VLOOKUP(A226,Database!A:Q,MATCH($A$1,Database!$A$1:$Q$1,),)</f>
        <v>50656</v>
      </c>
      <c r="C226" s="15">
        <f t="shared" si="6"/>
        <v>1.1824864173857462E-2</v>
      </c>
      <c r="D226" s="16">
        <f t="shared" si="7"/>
        <v>3.6185488984801686E-2</v>
      </c>
    </row>
    <row r="227" spans="1:4" x14ac:dyDescent="0.2">
      <c r="A227" s="13">
        <v>40299</v>
      </c>
      <c r="B227" s="18">
        <f>VLOOKUP(A227,Database!A:Q,MATCH($A$1,Database!$A$1:$Q$1,),)</f>
        <v>49985</v>
      </c>
      <c r="C227" s="15">
        <f t="shared" si="6"/>
        <v>-1.3246209728363866E-2</v>
      </c>
      <c r="D227" s="16">
        <f t="shared" si="7"/>
        <v>1.8335540389120913E-2</v>
      </c>
    </row>
    <row r="228" spans="1:4" x14ac:dyDescent="0.2">
      <c r="A228" s="14">
        <v>40330</v>
      </c>
      <c r="B228" s="18">
        <f>VLOOKUP(A228,Database!A:Q,MATCH($A$1,Database!$A$1:$Q$1,),)</f>
        <v>49971</v>
      </c>
      <c r="C228" s="15">
        <f t="shared" si="6"/>
        <v>-2.8008402520756227E-4</v>
      </c>
      <c r="D228" s="16">
        <f t="shared" si="7"/>
        <v>2.4163797343826857E-2</v>
      </c>
    </row>
    <row r="229" spans="1:4" x14ac:dyDescent="0.2">
      <c r="A229" s="13">
        <v>40360</v>
      </c>
      <c r="B229" s="18">
        <f>VLOOKUP(A229,Database!A:Q,MATCH($A$1,Database!$A$1:$Q$1,),)</f>
        <v>49870</v>
      </c>
      <c r="C229" s="15">
        <f t="shared" si="6"/>
        <v>-2.0211722799223552E-3</v>
      </c>
      <c r="D229" s="16">
        <f t="shared" si="7"/>
        <v>2.1674997951323445E-2</v>
      </c>
    </row>
    <row r="230" spans="1:4" x14ac:dyDescent="0.2">
      <c r="A230" s="14">
        <v>40391</v>
      </c>
      <c r="B230" s="18">
        <f>VLOOKUP(A230,Database!A:Q,MATCH($A$1,Database!$A$1:$Q$1,),)</f>
        <v>50160</v>
      </c>
      <c r="C230" s="15">
        <f t="shared" si="6"/>
        <v>5.8151193102065372E-3</v>
      </c>
      <c r="D230" s="16">
        <f t="shared" si="7"/>
        <v>2.5054154575550741E-2</v>
      </c>
    </row>
    <row r="231" spans="1:4" x14ac:dyDescent="0.2">
      <c r="A231" s="13">
        <v>40422</v>
      </c>
      <c r="B231" s="18">
        <f>VLOOKUP(A231,Database!A:Q,MATCH($A$1,Database!$A$1:$Q$1,),)</f>
        <v>50254</v>
      </c>
      <c r="C231" s="15">
        <f t="shared" si="6"/>
        <v>1.8740031897926635E-3</v>
      </c>
      <c r="D231" s="16">
        <f t="shared" si="7"/>
        <v>2.1007720438845998E-2</v>
      </c>
    </row>
    <row r="232" spans="1:4" x14ac:dyDescent="0.2">
      <c r="A232" s="14">
        <v>40452</v>
      </c>
      <c r="B232" s="18">
        <f>VLOOKUP(A232,Database!A:Q,MATCH($A$1,Database!$A$1:$Q$1,),)</f>
        <v>50259</v>
      </c>
      <c r="C232" s="15">
        <f t="shared" si="6"/>
        <v>9.9494567596609219E-5</v>
      </c>
      <c r="D232" s="16">
        <f t="shared" si="7"/>
        <v>1.0739064856711916E-2</v>
      </c>
    </row>
    <row r="233" spans="1:4" x14ac:dyDescent="0.2">
      <c r="A233" s="13">
        <v>40483</v>
      </c>
      <c r="B233" s="18">
        <f>VLOOKUP(A233,Database!A:Q,MATCH($A$1,Database!$A$1:$Q$1,),)</f>
        <v>51386</v>
      </c>
      <c r="C233" s="15">
        <f t="shared" si="6"/>
        <v>2.2423844485564774E-2</v>
      </c>
      <c r="D233" s="16">
        <f t="shared" si="7"/>
        <v>4.5365774269672067E-2</v>
      </c>
    </row>
    <row r="234" spans="1:4" x14ac:dyDescent="0.2">
      <c r="A234" s="14">
        <v>40513</v>
      </c>
      <c r="B234" s="18">
        <f>VLOOKUP(A234,Database!A:Q,MATCH($A$1,Database!$A$1:$Q$1,),)</f>
        <v>50916</v>
      </c>
      <c r="C234" s="15">
        <f t="shared" si="6"/>
        <v>-9.1464601253259635E-3</v>
      </c>
      <c r="D234" s="16">
        <f t="shared" si="7"/>
        <v>2.5353927945707552E-2</v>
      </c>
    </row>
    <row r="235" spans="1:4" x14ac:dyDescent="0.2">
      <c r="A235" s="13">
        <v>40544</v>
      </c>
      <c r="B235" s="18">
        <f>VLOOKUP(A235,Database!A:Q,MATCH($A$1,Database!$A$1:$Q$1,),)</f>
        <v>50839</v>
      </c>
      <c r="C235" s="15">
        <f t="shared" si="6"/>
        <v>-1.5122947599968575E-3</v>
      </c>
      <c r="D235" s="16">
        <f t="shared" si="7"/>
        <v>1.9859977130935427E-2</v>
      </c>
    </row>
    <row r="236" spans="1:4" x14ac:dyDescent="0.2">
      <c r="A236" s="14">
        <v>40575</v>
      </c>
      <c r="B236" s="18">
        <f>VLOOKUP(A236,Database!A:Q,MATCH($A$1,Database!$A$1:$Q$1,),)</f>
        <v>51513</v>
      </c>
      <c r="C236" s="15">
        <f t="shared" si="6"/>
        <v>1.3257538503904483E-2</v>
      </c>
      <c r="D236" s="16">
        <f t="shared" si="7"/>
        <v>1.9292413629348214E-2</v>
      </c>
    </row>
    <row r="237" spans="1:4" x14ac:dyDescent="0.2">
      <c r="A237" s="13">
        <v>40603</v>
      </c>
      <c r="B237" s="18">
        <f>VLOOKUP(A237,Database!A:Q,MATCH($A$1,Database!$A$1:$Q$1,),)</f>
        <v>51641</v>
      </c>
      <c r="C237" s="15">
        <f t="shared" si="6"/>
        <v>2.4848096596975519E-3</v>
      </c>
      <c r="D237" s="16">
        <f t="shared" si="7"/>
        <v>3.1499680409076379E-2</v>
      </c>
    </row>
    <row r="238" spans="1:4" x14ac:dyDescent="0.2">
      <c r="A238" s="14">
        <v>40634</v>
      </c>
      <c r="B238" s="18">
        <f>VLOOKUP(A238,Database!A:Q,MATCH($A$1,Database!$A$1:$Q$1,),)</f>
        <v>52005</v>
      </c>
      <c r="C238" s="15">
        <f t="shared" si="6"/>
        <v>7.0486628841424448E-3</v>
      </c>
      <c r="D238" s="16">
        <f t="shared" si="7"/>
        <v>2.6630606443461782E-2</v>
      </c>
    </row>
    <row r="239" spans="1:4" x14ac:dyDescent="0.2">
      <c r="A239" s="13">
        <v>40664</v>
      </c>
      <c r="B239" s="18">
        <f>VLOOKUP(A239,Database!A:Q,MATCH($A$1,Database!$A$1:$Q$1,),)</f>
        <v>51790</v>
      </c>
      <c r="C239" s="15">
        <f t="shared" si="6"/>
        <v>-4.1342178636669547E-3</v>
      </c>
      <c r="D239" s="16">
        <f t="shared" si="7"/>
        <v>3.6110833249974994E-2</v>
      </c>
    </row>
    <row r="240" spans="1:4" x14ac:dyDescent="0.2">
      <c r="A240" s="14">
        <v>40695</v>
      </c>
      <c r="B240" s="18">
        <f>VLOOKUP(A240,Database!A:Q,MATCH($A$1,Database!$A$1:$Q$1,),)</f>
        <v>52353</v>
      </c>
      <c r="C240" s="15">
        <f t="shared" si="6"/>
        <v>1.0870824483491021E-2</v>
      </c>
      <c r="D240" s="16">
        <f t="shared" si="7"/>
        <v>4.7667647235396529E-2</v>
      </c>
    </row>
    <row r="241" spans="1:4" x14ac:dyDescent="0.2">
      <c r="A241" s="13">
        <v>40725</v>
      </c>
      <c r="B241" s="18">
        <f>VLOOKUP(A241,Database!A:Q,MATCH($A$1,Database!$A$1:$Q$1,),)</f>
        <v>52123</v>
      </c>
      <c r="C241" s="15">
        <f t="shared" si="6"/>
        <v>-4.393253490726415E-3</v>
      </c>
      <c r="D241" s="16">
        <f t="shared" si="7"/>
        <v>4.517746139963906E-2</v>
      </c>
    </row>
    <row r="242" spans="1:4" x14ac:dyDescent="0.2">
      <c r="A242" s="14">
        <v>40756</v>
      </c>
      <c r="B242" s="18">
        <f>VLOOKUP(A242,Database!A:Q,MATCH($A$1,Database!$A$1:$Q$1,),)</f>
        <v>52136</v>
      </c>
      <c r="C242" s="15">
        <f t="shared" si="6"/>
        <v>2.4941004930644823E-4</v>
      </c>
      <c r="D242" s="16">
        <f t="shared" si="7"/>
        <v>3.9393939393939391E-2</v>
      </c>
    </row>
    <row r="243" spans="1:4" x14ac:dyDescent="0.2">
      <c r="A243" s="13">
        <v>40787</v>
      </c>
      <c r="B243" s="18">
        <f>VLOOKUP(A243,Database!A:Q,MATCH($A$1,Database!$A$1:$Q$1,),)</f>
        <v>52575</v>
      </c>
      <c r="C243" s="15">
        <f t="shared" si="6"/>
        <v>8.4202854073960418E-3</v>
      </c>
      <c r="D243" s="16">
        <f t="shared" si="7"/>
        <v>4.6185378278346005E-2</v>
      </c>
    </row>
    <row r="244" spans="1:4" x14ac:dyDescent="0.2">
      <c r="A244" s="14">
        <v>40817</v>
      </c>
      <c r="B244" s="18">
        <f>VLOOKUP(A244,Database!A:Q,MATCH($A$1,Database!$A$1:$Q$1,),)</f>
        <v>52455</v>
      </c>
      <c r="C244" s="15">
        <f t="shared" si="6"/>
        <v>-2.282453637660485E-3</v>
      </c>
      <c r="D244" s="16">
        <f t="shared" si="7"/>
        <v>4.3693666805945205E-2</v>
      </c>
    </row>
    <row r="245" spans="1:4" x14ac:dyDescent="0.2">
      <c r="A245" s="13">
        <v>40848</v>
      </c>
      <c r="B245" s="18">
        <f>VLOOKUP(A245,Database!A:Q,MATCH($A$1,Database!$A$1:$Q$1,),)</f>
        <v>52657</v>
      </c>
      <c r="C245" s="15">
        <f t="shared" si="6"/>
        <v>3.8509198360499475E-3</v>
      </c>
      <c r="D245" s="16">
        <f t="shared" si="7"/>
        <v>2.4734363445296385E-2</v>
      </c>
    </row>
    <row r="246" spans="1:4" x14ac:dyDescent="0.2">
      <c r="A246" s="14">
        <v>40878</v>
      </c>
      <c r="B246" s="18">
        <f>VLOOKUP(A246,Database!A:Q,MATCH($A$1,Database!$A$1:$Q$1,),)</f>
        <v>52458</v>
      </c>
      <c r="C246" s="15">
        <f t="shared" si="6"/>
        <v>-3.7791746586398767E-3</v>
      </c>
      <c r="D246" s="16">
        <f t="shared" si="7"/>
        <v>3.0285175583313693E-2</v>
      </c>
    </row>
    <row r="247" spans="1:4" x14ac:dyDescent="0.2">
      <c r="A247" s="13">
        <v>40909</v>
      </c>
      <c r="B247" s="18">
        <f>VLOOKUP(A247,Database!A:Q,MATCH($A$1,Database!$A$1:$Q$1,),)</f>
        <v>53149</v>
      </c>
      <c r="C247" s="15">
        <f t="shared" si="6"/>
        <v>1.3172442716077624E-2</v>
      </c>
      <c r="D247" s="16">
        <f t="shared" si="7"/>
        <v>4.543755778044415E-2</v>
      </c>
    </row>
    <row r="248" spans="1:4" x14ac:dyDescent="0.2">
      <c r="A248" s="14">
        <v>40940</v>
      </c>
      <c r="B248" s="18">
        <f>VLOOKUP(A248,Database!A:Q,MATCH($A$1,Database!$A$1:$Q$1,),)</f>
        <v>53944</v>
      </c>
      <c r="C248" s="15">
        <f t="shared" si="6"/>
        <v>1.4957948409189261E-2</v>
      </c>
      <c r="D248" s="16">
        <f t="shared" si="7"/>
        <v>4.7191970958787105E-2</v>
      </c>
    </row>
    <row r="249" spans="1:4" x14ac:dyDescent="0.2">
      <c r="A249" s="13">
        <v>40969</v>
      </c>
      <c r="B249" s="18">
        <f>VLOOKUP(A249,Database!A:Q,MATCH($A$1,Database!$A$1:$Q$1,),)</f>
        <v>53658</v>
      </c>
      <c r="C249" s="15">
        <f t="shared" si="6"/>
        <v>-5.3017944535073414E-3</v>
      </c>
      <c r="D249" s="16">
        <f t="shared" si="7"/>
        <v>3.9058112739877228E-2</v>
      </c>
    </row>
    <row r="250" spans="1:4" x14ac:dyDescent="0.2">
      <c r="A250" s="14">
        <v>41000</v>
      </c>
      <c r="B250" s="18">
        <f>VLOOKUP(A250,Database!A:Q,MATCH($A$1,Database!$A$1:$Q$1,),)</f>
        <v>53285</v>
      </c>
      <c r="C250" s="15">
        <f t="shared" si="6"/>
        <v>-6.9514331506951429E-3</v>
      </c>
      <c r="D250" s="16">
        <f t="shared" si="7"/>
        <v>2.4613017979040478E-2</v>
      </c>
    </row>
    <row r="251" spans="1:4" x14ac:dyDescent="0.2">
      <c r="A251" s="13">
        <v>41030</v>
      </c>
      <c r="B251" s="18">
        <f>VLOOKUP(A251,Database!A:Q,MATCH($A$1,Database!$A$1:$Q$1,),)</f>
        <v>53154</v>
      </c>
      <c r="C251" s="15">
        <f t="shared" si="6"/>
        <v>-2.4584779956835882E-3</v>
      </c>
      <c r="D251" s="16">
        <f t="shared" si="7"/>
        <v>2.6337130720216258E-2</v>
      </c>
    </row>
    <row r="252" spans="1:4" x14ac:dyDescent="0.2">
      <c r="A252" s="14">
        <v>41061</v>
      </c>
      <c r="B252" s="18">
        <f>VLOOKUP(A252,Database!A:Q,MATCH($A$1,Database!$A$1:$Q$1,),)</f>
        <v>53132</v>
      </c>
      <c r="C252" s="15">
        <f t="shared" si="6"/>
        <v>-4.1389171087782671E-4</v>
      </c>
      <c r="D252" s="16">
        <f t="shared" si="7"/>
        <v>1.4879758562069032E-2</v>
      </c>
    </row>
    <row r="253" spans="1:4" x14ac:dyDescent="0.2">
      <c r="A253" s="13">
        <v>41091</v>
      </c>
      <c r="B253" s="18">
        <f>VLOOKUP(A253,Database!A:Q,MATCH($A$1,Database!$A$1:$Q$1,),)</f>
        <v>53280</v>
      </c>
      <c r="C253" s="15">
        <f t="shared" si="6"/>
        <v>2.7855153203342618E-3</v>
      </c>
      <c r="D253" s="16">
        <f t="shared" si="7"/>
        <v>2.219749438827389E-2</v>
      </c>
    </row>
    <row r="254" spans="1:4" x14ac:dyDescent="0.2">
      <c r="A254" s="14">
        <v>41122</v>
      </c>
      <c r="B254" s="18">
        <f>VLOOKUP(A254,Database!A:Q,MATCH($A$1,Database!$A$1:$Q$1,),)</f>
        <v>53554</v>
      </c>
      <c r="C254" s="15">
        <f t="shared" si="6"/>
        <v>5.1426426426426424E-3</v>
      </c>
      <c r="D254" s="16">
        <f t="shared" si="7"/>
        <v>2.7198097284026394E-2</v>
      </c>
    </row>
    <row r="255" spans="1:4" x14ac:dyDescent="0.2">
      <c r="A255" s="13">
        <v>41153</v>
      </c>
      <c r="B255" s="18">
        <f>VLOOKUP(A255,Database!A:Q,MATCH($A$1,Database!$A$1:$Q$1,),)</f>
        <v>53450</v>
      </c>
      <c r="C255" s="15">
        <f t="shared" si="6"/>
        <v>-1.9419651193188184E-3</v>
      </c>
      <c r="D255" s="16">
        <f t="shared" si="7"/>
        <v>1.6642891107941038E-2</v>
      </c>
    </row>
    <row r="256" spans="1:4" x14ac:dyDescent="0.2">
      <c r="A256" s="14">
        <v>41183</v>
      </c>
      <c r="B256" s="18">
        <f>VLOOKUP(A256,Database!A:Q,MATCH($A$1,Database!$A$1:$Q$1,),)</f>
        <v>53674</v>
      </c>
      <c r="C256" s="15">
        <f t="shared" si="6"/>
        <v>4.1908325537885873E-3</v>
      </c>
      <c r="D256" s="16">
        <f t="shared" si="7"/>
        <v>2.3238966733390525E-2</v>
      </c>
    </row>
    <row r="257" spans="1:4" x14ac:dyDescent="0.2">
      <c r="A257" s="13">
        <v>41214</v>
      </c>
      <c r="B257" s="18">
        <f>VLOOKUP(A257,Database!A:Q,MATCH($A$1,Database!$A$1:$Q$1,),)</f>
        <v>53464</v>
      </c>
      <c r="C257" s="15">
        <f t="shared" si="6"/>
        <v>-3.9125088497223978E-3</v>
      </c>
      <c r="D257" s="16">
        <f t="shared" si="7"/>
        <v>1.532559773629337E-2</v>
      </c>
    </row>
    <row r="258" spans="1:4" x14ac:dyDescent="0.2">
      <c r="A258" s="14">
        <v>41244</v>
      </c>
      <c r="B258" s="18">
        <f>VLOOKUP(A258,Database!A:Q,MATCH($A$1,Database!$A$1:$Q$1,),)</f>
        <v>53676</v>
      </c>
      <c r="C258" s="15">
        <f t="shared" si="6"/>
        <v>3.9652850516235221E-3</v>
      </c>
      <c r="D258" s="16">
        <f t="shared" si="7"/>
        <v>2.321857485988791E-2</v>
      </c>
    </row>
    <row r="259" spans="1:4" x14ac:dyDescent="0.2">
      <c r="A259" s="13">
        <v>41275</v>
      </c>
      <c r="B259" s="18">
        <f>VLOOKUP(A259,Database!A:Q,MATCH($A$1,Database!$A$1:$Q$1,),)</f>
        <v>54074</v>
      </c>
      <c r="C259" s="15">
        <f t="shared" si="6"/>
        <v>7.414859527535584E-3</v>
      </c>
      <c r="D259" s="16">
        <f t="shared" si="7"/>
        <v>1.7403902237107E-2</v>
      </c>
    </row>
    <row r="260" spans="1:4" x14ac:dyDescent="0.2">
      <c r="A260" s="14">
        <v>41306</v>
      </c>
      <c r="B260" s="18">
        <f>VLOOKUP(A260,Database!A:Q,MATCH($A$1,Database!$A$1:$Q$1,),)</f>
        <v>54534</v>
      </c>
      <c r="C260" s="15">
        <f t="shared" si="6"/>
        <v>8.5068609683026965E-3</v>
      </c>
      <c r="D260" s="16">
        <f t="shared" si="7"/>
        <v>1.0937268278214445E-2</v>
      </c>
    </row>
    <row r="261" spans="1:4" x14ac:dyDescent="0.2">
      <c r="A261" s="13">
        <v>41334</v>
      </c>
      <c r="B261" s="18">
        <f>VLOOKUP(A261,Database!A:Q,MATCH($A$1,Database!$A$1:$Q$1,),)</f>
        <v>54236</v>
      </c>
      <c r="C261" s="15">
        <f t="shared" si="6"/>
        <v>-5.4644808743169399E-3</v>
      </c>
      <c r="D261" s="16">
        <f t="shared" si="7"/>
        <v>1.0771925901077192E-2</v>
      </c>
    </row>
    <row r="262" spans="1:4" x14ac:dyDescent="0.2">
      <c r="A262" s="14">
        <v>41365</v>
      </c>
      <c r="B262" s="18">
        <f>VLOOKUP(A262,Database!A:Q,MATCH($A$1,Database!$A$1:$Q$1,),)</f>
        <v>54198</v>
      </c>
      <c r="C262" s="15">
        <f t="shared" si="6"/>
        <v>-7.0064164023895571E-4</v>
      </c>
      <c r="D262" s="16">
        <f t="shared" si="7"/>
        <v>1.7134277939382565E-2</v>
      </c>
    </row>
    <row r="263" spans="1:4" x14ac:dyDescent="0.2">
      <c r="A263" s="13">
        <v>41395</v>
      </c>
      <c r="B263" s="18">
        <f>VLOOKUP(A263,Database!A:Q,MATCH($A$1,Database!$A$1:$Q$1,),)</f>
        <v>54453</v>
      </c>
      <c r="C263" s="15">
        <f t="shared" si="6"/>
        <v>4.7049706631241009E-3</v>
      </c>
      <c r="D263" s="16">
        <f t="shared" si="7"/>
        <v>2.4438424201377131E-2</v>
      </c>
    </row>
    <row r="264" spans="1:4" x14ac:dyDescent="0.2">
      <c r="A264" s="14">
        <v>41426</v>
      </c>
      <c r="B264" s="18">
        <f>VLOOKUP(A264,Database!A:Q,MATCH($A$1,Database!$A$1:$Q$1,),)</f>
        <v>54447</v>
      </c>
      <c r="C264" s="15">
        <f t="shared" si="6"/>
        <v>-1.1018676656933502E-4</v>
      </c>
      <c r="D264" s="16">
        <f t="shared" si="7"/>
        <v>2.4749680042159151E-2</v>
      </c>
    </row>
    <row r="265" spans="1:4" x14ac:dyDescent="0.2">
      <c r="A265" s="13">
        <v>41456</v>
      </c>
      <c r="B265" s="18">
        <f>VLOOKUP(A265,Database!A:Q,MATCH($A$1,Database!$A$1:$Q$1,),)</f>
        <v>54636</v>
      </c>
      <c r="C265" s="15">
        <f t="shared" ref="C265:C320" si="8">(B265-B264)/B264</f>
        <v>3.4712656344702188E-3</v>
      </c>
      <c r="D265" s="16">
        <f t="shared" si="7"/>
        <v>2.5450450450450451E-2</v>
      </c>
    </row>
    <row r="266" spans="1:4" x14ac:dyDescent="0.2">
      <c r="A266" s="14">
        <v>41487</v>
      </c>
      <c r="B266" s="18">
        <f>VLOOKUP(A266,Database!A:Q,MATCH($A$1,Database!$A$1:$Q$1,),)</f>
        <v>54466</v>
      </c>
      <c r="C266" s="15">
        <f t="shared" si="8"/>
        <v>-3.1115015740537373E-3</v>
      </c>
      <c r="D266" s="16">
        <f t="shared" si="7"/>
        <v>1.7029540277103485E-2</v>
      </c>
    </row>
    <row r="267" spans="1:4" x14ac:dyDescent="0.2">
      <c r="A267" s="13">
        <v>41518</v>
      </c>
      <c r="B267" s="18">
        <f>VLOOKUP(A267,Database!A:Q,MATCH($A$1,Database!$A$1:$Q$1,),)</f>
        <v>54836</v>
      </c>
      <c r="C267" s="15">
        <f t="shared" si="8"/>
        <v>6.7932288032901264E-3</v>
      </c>
      <c r="D267" s="16">
        <f t="shared" si="7"/>
        <v>2.5930776426566885E-2</v>
      </c>
    </row>
    <row r="268" spans="1:4" x14ac:dyDescent="0.2">
      <c r="A268" s="14">
        <v>41548</v>
      </c>
      <c r="B268" s="18">
        <f>VLOOKUP(A268,Database!A:Q,MATCH($A$1,Database!$A$1:$Q$1,),)</f>
        <v>54919</v>
      </c>
      <c r="C268" s="15">
        <f t="shared" si="8"/>
        <v>1.5136042016193742E-3</v>
      </c>
      <c r="D268" s="16">
        <f t="shared" si="7"/>
        <v>2.3195588180497075E-2</v>
      </c>
    </row>
    <row r="269" spans="1:4" x14ac:dyDescent="0.2">
      <c r="A269" s="13">
        <v>41579</v>
      </c>
      <c r="B269" s="18">
        <f>VLOOKUP(A269,Database!A:Q,MATCH($A$1,Database!$A$1:$Q$1,),)</f>
        <v>54770</v>
      </c>
      <c r="C269" s="15">
        <f t="shared" si="8"/>
        <v>-2.7130865456399425E-3</v>
      </c>
      <c r="D269" s="16">
        <f t="shared" si="7"/>
        <v>2.4427652251982644E-2</v>
      </c>
    </row>
    <row r="270" spans="1:4" x14ac:dyDescent="0.2">
      <c r="A270" s="14">
        <v>41609</v>
      </c>
      <c r="B270" s="18">
        <f>VLOOKUP(A270,Database!A:Q,MATCH($A$1,Database!$A$1:$Q$1,),)</f>
        <v>54662</v>
      </c>
      <c r="C270" s="15">
        <f t="shared" si="8"/>
        <v>-1.9718824173817783E-3</v>
      </c>
      <c r="D270" s="16">
        <f t="shared" si="7"/>
        <v>1.8369476115954988E-2</v>
      </c>
    </row>
    <row r="271" spans="1:4" x14ac:dyDescent="0.2">
      <c r="A271" s="13">
        <v>41640</v>
      </c>
      <c r="B271" s="18">
        <f>VLOOKUP(A271,Database!A:Q,MATCH($A$1,Database!$A$1:$Q$1,),)</f>
        <v>54538</v>
      </c>
      <c r="C271" s="15">
        <f t="shared" si="8"/>
        <v>-2.2684863341992608E-3</v>
      </c>
      <c r="D271" s="16">
        <f t="shared" si="7"/>
        <v>8.5808336723748931E-3</v>
      </c>
    </row>
    <row r="272" spans="1:4" x14ac:dyDescent="0.2">
      <c r="A272" s="14">
        <v>41671</v>
      </c>
      <c r="B272" s="18">
        <f>VLOOKUP(A272,Database!A:Q,MATCH($A$1,Database!$A$1:$Q$1,),)</f>
        <v>55390</v>
      </c>
      <c r="C272" s="15">
        <f t="shared" si="8"/>
        <v>1.5622135025120099E-2</v>
      </c>
      <c r="D272" s="16">
        <f t="shared" si="7"/>
        <v>1.5696629625554698E-2</v>
      </c>
    </row>
    <row r="273" spans="1:4" x14ac:dyDescent="0.2">
      <c r="A273" s="13">
        <v>41699</v>
      </c>
      <c r="B273" s="18">
        <f>VLOOKUP(A273,Database!A:Q,MATCH($A$1,Database!$A$1:$Q$1,),)</f>
        <v>55469</v>
      </c>
      <c r="C273" s="15">
        <f t="shared" si="8"/>
        <v>1.4262502256725041E-3</v>
      </c>
      <c r="D273" s="16">
        <f t="shared" si="7"/>
        <v>2.2733977431964009E-2</v>
      </c>
    </row>
    <row r="274" spans="1:4" x14ac:dyDescent="0.2">
      <c r="A274" s="14">
        <v>41730</v>
      </c>
      <c r="B274" s="18">
        <f>VLOOKUP(A274,Database!A:Q,MATCH($A$1,Database!$A$1:$Q$1,),)</f>
        <v>55963</v>
      </c>
      <c r="C274" s="15">
        <f t="shared" si="8"/>
        <v>8.9058753538012216E-3</v>
      </c>
      <c r="D274" s="16">
        <f t="shared" si="7"/>
        <v>3.2565777334957011E-2</v>
      </c>
    </row>
    <row r="275" spans="1:4" x14ac:dyDescent="0.2">
      <c r="A275" s="13">
        <v>41760</v>
      </c>
      <c r="B275" s="18">
        <f>VLOOKUP(A275,Database!A:Q,MATCH($A$1,Database!$A$1:$Q$1,),)</f>
        <v>55960</v>
      </c>
      <c r="C275" s="15">
        <f t="shared" si="8"/>
        <v>-5.3606847381305507E-5</v>
      </c>
      <c r="D275" s="16">
        <f t="shared" si="7"/>
        <v>2.7675242869997979E-2</v>
      </c>
    </row>
    <row r="276" spans="1:4" x14ac:dyDescent="0.2">
      <c r="A276" s="14">
        <v>41791</v>
      </c>
      <c r="B276" s="18">
        <f>VLOOKUP(A276,Database!A:Q,MATCH($A$1,Database!$A$1:$Q$1,),)</f>
        <v>55952</v>
      </c>
      <c r="C276" s="15">
        <f t="shared" si="8"/>
        <v>-1.4295925661186561E-4</v>
      </c>
      <c r="D276" s="16">
        <f t="shared" ref="D276:D320" si="9">(B276-B264)/B264</f>
        <v>2.7641559681892483E-2</v>
      </c>
    </row>
    <row r="277" spans="1:4" x14ac:dyDescent="0.2">
      <c r="A277" s="13">
        <v>41821</v>
      </c>
      <c r="B277" s="18">
        <f>VLOOKUP(A277,Database!A:Q,MATCH($A$1,Database!$A$1:$Q$1,),)</f>
        <v>56067</v>
      </c>
      <c r="C277" s="15">
        <f t="shared" si="8"/>
        <v>2.0553331426937374E-3</v>
      </c>
      <c r="D277" s="16">
        <f t="shared" si="9"/>
        <v>2.6191522073358224E-2</v>
      </c>
    </row>
    <row r="278" spans="1:4" x14ac:dyDescent="0.2">
      <c r="A278" s="14">
        <v>41852</v>
      </c>
      <c r="B278" s="18">
        <f>VLOOKUP(A278,Database!A:Q,MATCH($A$1,Database!$A$1:$Q$1,),)</f>
        <v>56433</v>
      </c>
      <c r="C278" s="15">
        <f t="shared" si="8"/>
        <v>6.5279041147198883E-3</v>
      </c>
      <c r="D278" s="16">
        <f t="shared" si="9"/>
        <v>3.6114273124518051E-2</v>
      </c>
    </row>
    <row r="279" spans="1:4" x14ac:dyDescent="0.2">
      <c r="A279" s="13">
        <v>41883</v>
      </c>
      <c r="B279" s="18">
        <f>VLOOKUP(A279,Database!A:Q,MATCH($A$1,Database!$A$1:$Q$1,),)</f>
        <v>56032</v>
      </c>
      <c r="C279" s="15">
        <f t="shared" si="8"/>
        <v>-7.1057714457852675E-3</v>
      </c>
      <c r="D279" s="16">
        <f t="shared" si="9"/>
        <v>2.1810489459479176E-2</v>
      </c>
    </row>
    <row r="280" spans="1:4" x14ac:dyDescent="0.2">
      <c r="A280" s="14">
        <v>41913</v>
      </c>
      <c r="B280" s="18">
        <f>VLOOKUP(A280,Database!A:Q,MATCH($A$1,Database!$A$1:$Q$1,),)</f>
        <v>56249</v>
      </c>
      <c r="C280" s="15">
        <f t="shared" si="8"/>
        <v>3.8727869788692175E-3</v>
      </c>
      <c r="D280" s="16">
        <f t="shared" si="9"/>
        <v>2.4217483930880024E-2</v>
      </c>
    </row>
    <row r="281" spans="1:4" x14ac:dyDescent="0.2">
      <c r="A281" s="13">
        <v>41944</v>
      </c>
      <c r="B281" s="18">
        <f>VLOOKUP(A281,Database!A:Q,MATCH($A$1,Database!$A$1:$Q$1,),)</f>
        <v>56338</v>
      </c>
      <c r="C281" s="15">
        <f t="shared" si="8"/>
        <v>1.5822503511173532E-3</v>
      </c>
      <c r="D281" s="16">
        <f t="shared" si="9"/>
        <v>2.8628811393098412E-2</v>
      </c>
    </row>
    <row r="282" spans="1:4" x14ac:dyDescent="0.2">
      <c r="A282" s="14">
        <v>41974</v>
      </c>
      <c r="B282" s="18">
        <f>VLOOKUP(A282,Database!A:Q,MATCH($A$1,Database!$A$1:$Q$1,),)</f>
        <v>56388</v>
      </c>
      <c r="C282" s="15">
        <f t="shared" si="8"/>
        <v>8.8750044375022184E-4</v>
      </c>
      <c r="D282" s="16">
        <f t="shared" si="9"/>
        <v>3.1575866232483263E-2</v>
      </c>
    </row>
    <row r="283" spans="1:4" x14ac:dyDescent="0.2">
      <c r="A283" s="13">
        <v>42005</v>
      </c>
      <c r="B283" s="18">
        <f>VLOOKUP(A283,Database!A:Q,MATCH($A$1,Database!$A$1:$Q$1,),)</f>
        <v>56497</v>
      </c>
      <c r="C283" s="15">
        <f t="shared" si="8"/>
        <v>1.9330353976023268E-3</v>
      </c>
      <c r="D283" s="16">
        <f t="shared" si="9"/>
        <v>3.5919909054237413E-2</v>
      </c>
    </row>
    <row r="284" spans="1:4" x14ac:dyDescent="0.2">
      <c r="A284" s="14">
        <v>42036</v>
      </c>
      <c r="B284" s="18">
        <f>VLOOKUP(A284,Database!A:Q,MATCH($A$1,Database!$A$1:$Q$1,),)</f>
        <v>56158</v>
      </c>
      <c r="C284" s="15">
        <f t="shared" si="8"/>
        <v>-6.0003186009876634E-3</v>
      </c>
      <c r="D284" s="16">
        <f t="shared" si="9"/>
        <v>1.3865318649575735E-2</v>
      </c>
    </row>
    <row r="285" spans="1:4" x14ac:dyDescent="0.2">
      <c r="A285" s="13">
        <v>42064</v>
      </c>
      <c r="B285" s="18">
        <f>VLOOKUP(A285,Database!A:Q,MATCH($A$1,Database!$A$1:$Q$1,),)</f>
        <v>56368</v>
      </c>
      <c r="C285" s="15">
        <f t="shared" si="8"/>
        <v>3.7394494105915453E-3</v>
      </c>
      <c r="D285" s="16">
        <f t="shared" si="9"/>
        <v>1.6207250896897365E-2</v>
      </c>
    </row>
    <row r="286" spans="1:4" x14ac:dyDescent="0.2">
      <c r="A286" s="14">
        <v>42095</v>
      </c>
      <c r="B286" s="18">
        <f>VLOOKUP(A286,Database!A:Q,MATCH($A$1,Database!$A$1:$Q$1,),)</f>
        <v>56245</v>
      </c>
      <c r="C286" s="15">
        <f t="shared" si="8"/>
        <v>-2.1820891285835933E-3</v>
      </c>
      <c r="D286" s="16">
        <f t="shared" si="9"/>
        <v>5.0390436538427178E-3</v>
      </c>
    </row>
    <row r="287" spans="1:4" x14ac:dyDescent="0.2">
      <c r="A287" s="13">
        <v>42125</v>
      </c>
      <c r="B287" s="18">
        <f>VLOOKUP(A287,Database!A:Q,MATCH($A$1,Database!$A$1:$Q$1,),)</f>
        <v>56778</v>
      </c>
      <c r="C287" s="15">
        <f t="shared" si="8"/>
        <v>9.476397902035737E-3</v>
      </c>
      <c r="D287" s="16">
        <f t="shared" si="9"/>
        <v>1.4617583988563259E-2</v>
      </c>
    </row>
    <row r="288" spans="1:4" x14ac:dyDescent="0.2">
      <c r="A288" s="14">
        <v>42156</v>
      </c>
      <c r="B288" s="18">
        <f>VLOOKUP(A288,Database!A:Q,MATCH($A$1,Database!$A$1:$Q$1,),)</f>
        <v>56644</v>
      </c>
      <c r="C288" s="15">
        <f t="shared" si="8"/>
        <v>-2.3600690408256721E-3</v>
      </c>
      <c r="D288" s="16">
        <f t="shared" si="9"/>
        <v>1.2367743780383186E-2</v>
      </c>
    </row>
    <row r="289" spans="1:4" x14ac:dyDescent="0.2">
      <c r="A289" s="13">
        <v>42186</v>
      </c>
      <c r="B289" s="18">
        <f>VLOOKUP(A289,Database!A:Q,MATCH($A$1,Database!$A$1:$Q$1,),)</f>
        <v>56924</v>
      </c>
      <c r="C289" s="15">
        <f t="shared" si="8"/>
        <v>4.9431537320810681E-3</v>
      </c>
      <c r="D289" s="16">
        <f t="shared" si="9"/>
        <v>1.5285283678456133E-2</v>
      </c>
    </row>
    <row r="290" spans="1:4" x14ac:dyDescent="0.2">
      <c r="A290" s="14">
        <v>42217</v>
      </c>
      <c r="B290" s="18">
        <f>VLOOKUP(A290,Database!A:Q,MATCH($A$1,Database!$A$1:$Q$1,),)</f>
        <v>56743</v>
      </c>
      <c r="C290" s="15">
        <f t="shared" si="8"/>
        <v>-3.1796781673810695E-3</v>
      </c>
      <c r="D290" s="16">
        <f t="shared" si="9"/>
        <v>5.4932397710559426E-3</v>
      </c>
    </row>
    <row r="291" spans="1:4" x14ac:dyDescent="0.2">
      <c r="A291" s="13">
        <v>42248</v>
      </c>
      <c r="B291" s="18">
        <f>VLOOKUP(A291,Database!A:Q,MATCH($A$1,Database!$A$1:$Q$1,),)</f>
        <v>57113</v>
      </c>
      <c r="C291" s="15">
        <f t="shared" si="8"/>
        <v>6.5206280950954303E-3</v>
      </c>
      <c r="D291" s="16">
        <f t="shared" si="9"/>
        <v>1.9292547115933752E-2</v>
      </c>
    </row>
    <row r="292" spans="1:4" x14ac:dyDescent="0.2">
      <c r="A292" s="14">
        <v>42278</v>
      </c>
      <c r="B292" s="18">
        <f>VLOOKUP(A292,Database!A:Q,MATCH($A$1,Database!$A$1:$Q$1,),)</f>
        <v>56750</v>
      </c>
      <c r="C292" s="15">
        <f t="shared" si="8"/>
        <v>-6.3558209164288337E-3</v>
      </c>
      <c r="D292" s="16">
        <f t="shared" si="9"/>
        <v>8.9068250102224047E-3</v>
      </c>
    </row>
    <row r="293" spans="1:4" x14ac:dyDescent="0.2">
      <c r="A293" s="13">
        <v>42309</v>
      </c>
      <c r="B293" s="18">
        <f>VLOOKUP(A293,Database!A:Q,MATCH($A$1,Database!$A$1:$Q$1,),)</f>
        <v>56938</v>
      </c>
      <c r="C293" s="15">
        <f t="shared" si="8"/>
        <v>3.3127753303964758E-3</v>
      </c>
      <c r="D293" s="16">
        <f t="shared" si="9"/>
        <v>1.0650005325002663E-2</v>
      </c>
    </row>
    <row r="294" spans="1:4" x14ac:dyDescent="0.2">
      <c r="A294" s="14">
        <v>42339</v>
      </c>
      <c r="B294" s="18">
        <f>VLOOKUP(A294,Database!A:Q,MATCH($A$1,Database!$A$1:$Q$1,),)</f>
        <v>57161</v>
      </c>
      <c r="C294" s="15">
        <f t="shared" si="8"/>
        <v>3.916540798763567E-3</v>
      </c>
      <c r="D294" s="16">
        <f t="shared" si="9"/>
        <v>1.3708590480244023E-2</v>
      </c>
    </row>
    <row r="295" spans="1:4" x14ac:dyDescent="0.2">
      <c r="A295" s="13">
        <v>42370</v>
      </c>
      <c r="B295" s="18">
        <f>VLOOKUP(A295,Database!A:Q,MATCH($A$1,Database!$A$1:$Q$1,),)</f>
        <v>56318</v>
      </c>
      <c r="C295" s="15">
        <f t="shared" si="8"/>
        <v>-1.4747817567922185E-2</v>
      </c>
      <c r="D295" s="16">
        <f t="shared" si="9"/>
        <v>-3.1683098217604472E-3</v>
      </c>
    </row>
    <row r="296" spans="1:4" x14ac:dyDescent="0.2">
      <c r="A296" s="14">
        <v>42401</v>
      </c>
      <c r="B296" s="18">
        <f>VLOOKUP(A296,Database!A:Q,MATCH($A$1,Database!$A$1:$Q$1,),)</f>
        <v>57185</v>
      </c>
      <c r="C296" s="15">
        <f t="shared" si="8"/>
        <v>1.5394722823963919E-2</v>
      </c>
      <c r="D296" s="16">
        <f t="shared" si="9"/>
        <v>1.8287688307988176E-2</v>
      </c>
    </row>
    <row r="297" spans="1:4" x14ac:dyDescent="0.2">
      <c r="A297" s="13">
        <v>42430</v>
      </c>
      <c r="B297" s="18">
        <f>VLOOKUP(A297,Database!A:Q,MATCH($A$1,Database!$A$1:$Q$1,),)</f>
        <v>56993</v>
      </c>
      <c r="C297" s="15">
        <f t="shared" si="8"/>
        <v>-3.3575238261781934E-3</v>
      </c>
      <c r="D297" s="16">
        <f t="shared" si="9"/>
        <v>1.1087851263128015E-2</v>
      </c>
    </row>
    <row r="298" spans="1:4" x14ac:dyDescent="0.2">
      <c r="A298" s="14">
        <v>42461</v>
      </c>
      <c r="B298" s="18">
        <f>VLOOKUP(A298,Database!A:Q,MATCH($A$1,Database!$A$1:$Q$1,),)</f>
        <v>56917</v>
      </c>
      <c r="C298" s="15">
        <f t="shared" si="8"/>
        <v>-1.333497096134613E-3</v>
      </c>
      <c r="D298" s="16">
        <f t="shared" si="9"/>
        <v>1.19477286869944E-2</v>
      </c>
    </row>
    <row r="299" spans="1:4" x14ac:dyDescent="0.2">
      <c r="A299" s="13">
        <v>42491</v>
      </c>
      <c r="B299" s="18">
        <f>VLOOKUP(A299,Database!A:Q,MATCH($A$1,Database!$A$1:$Q$1,),)</f>
        <v>56668</v>
      </c>
      <c r="C299" s="15">
        <f t="shared" si="8"/>
        <v>-4.3747913628617106E-3</v>
      </c>
      <c r="D299" s="16">
        <f t="shared" si="9"/>
        <v>-1.9373701081404769E-3</v>
      </c>
    </row>
    <row r="300" spans="1:4" x14ac:dyDescent="0.2">
      <c r="A300" s="14">
        <v>42522</v>
      </c>
      <c r="B300" s="18">
        <f>VLOOKUP(A300,Database!A:Q,MATCH($A$1,Database!$A$1:$Q$1,),)</f>
        <v>57085</v>
      </c>
      <c r="C300" s="15">
        <f t="shared" si="8"/>
        <v>7.3586503846968304E-3</v>
      </c>
      <c r="D300" s="16">
        <f t="shared" si="9"/>
        <v>7.7854671280276812E-3</v>
      </c>
    </row>
    <row r="301" spans="1:4" x14ac:dyDescent="0.2">
      <c r="A301" s="13">
        <v>42552</v>
      </c>
      <c r="B301" s="18">
        <f>VLOOKUP(A301,Database!A:Q,MATCH($A$1,Database!$A$1:$Q$1,),)</f>
        <v>56755</v>
      </c>
      <c r="C301" s="15">
        <f t="shared" si="8"/>
        <v>-5.7808531137776998E-3</v>
      </c>
      <c r="D301" s="16">
        <f t="shared" si="9"/>
        <v>-2.9688707750685126E-3</v>
      </c>
    </row>
    <row r="302" spans="1:4" x14ac:dyDescent="0.2">
      <c r="A302" s="14">
        <v>42583</v>
      </c>
      <c r="B302" s="18">
        <f>VLOOKUP(A302,Database!A:Q,MATCH($A$1,Database!$A$1:$Q$1,),)</f>
        <v>56858</v>
      </c>
      <c r="C302" s="15">
        <f t="shared" si="8"/>
        <v>1.814818077702405E-3</v>
      </c>
      <c r="D302" s="16">
        <f t="shared" si="9"/>
        <v>2.0266817052323636E-3</v>
      </c>
    </row>
    <row r="303" spans="1:4" x14ac:dyDescent="0.2">
      <c r="A303" s="13">
        <v>42614</v>
      </c>
      <c r="B303" s="18">
        <f>VLOOKUP(A303,Database!A:Q,MATCH($A$1,Database!$A$1:$Q$1,),)</f>
        <v>56245</v>
      </c>
      <c r="C303" s="15">
        <f t="shared" si="8"/>
        <v>-1.0781244503851701E-2</v>
      </c>
      <c r="D303" s="16">
        <f t="shared" si="9"/>
        <v>-1.5197940924132859E-2</v>
      </c>
    </row>
    <row r="304" spans="1:4" x14ac:dyDescent="0.2">
      <c r="A304" s="14">
        <v>42644</v>
      </c>
      <c r="B304" s="18">
        <f>VLOOKUP(A304,Database!A:Q,MATCH($A$1,Database!$A$1:$Q$1,),)</f>
        <v>56762</v>
      </c>
      <c r="C304" s="15">
        <f t="shared" si="8"/>
        <v>9.1919281713930129E-3</v>
      </c>
      <c r="D304" s="16">
        <f t="shared" si="9"/>
        <v>2.1145374449339208E-4</v>
      </c>
    </row>
    <row r="305" spans="1:4" x14ac:dyDescent="0.2">
      <c r="A305" s="13">
        <v>42675</v>
      </c>
      <c r="B305" s="18">
        <f>VLOOKUP(A305,Database!A:Q,MATCH($A$1,Database!$A$1:$Q$1,),)</f>
        <v>56538</v>
      </c>
      <c r="C305" s="15">
        <f t="shared" si="8"/>
        <v>-3.9463021035199605E-3</v>
      </c>
      <c r="D305" s="16">
        <f t="shared" si="9"/>
        <v>-7.0251852892620039E-3</v>
      </c>
    </row>
    <row r="306" spans="1:4" x14ac:dyDescent="0.2">
      <c r="A306" s="14">
        <v>42705</v>
      </c>
      <c r="B306" s="18">
        <f>VLOOKUP(A306,Database!A:Q,MATCH($A$1,Database!$A$1:$Q$1,),)</f>
        <v>56446</v>
      </c>
      <c r="C306" s="15">
        <f t="shared" si="8"/>
        <v>-1.6272241678163359E-3</v>
      </c>
      <c r="D306" s="16">
        <f t="shared" si="9"/>
        <v>-1.2508528542187855E-2</v>
      </c>
    </row>
    <row r="307" spans="1:4" x14ac:dyDescent="0.2">
      <c r="A307" s="13">
        <v>42736</v>
      </c>
      <c r="B307" s="18">
        <f>VLOOKUP(A307,Database!A:Q,MATCH($A$1,Database!$A$1:$Q$1,),)</f>
        <v>57695</v>
      </c>
      <c r="C307" s="15">
        <f t="shared" si="8"/>
        <v>2.2127342947241613E-2</v>
      </c>
      <c r="D307" s="16">
        <f t="shared" si="9"/>
        <v>2.445044213217799E-2</v>
      </c>
    </row>
    <row r="308" spans="1:4" x14ac:dyDescent="0.2">
      <c r="A308" s="14">
        <v>42767</v>
      </c>
      <c r="B308" s="18">
        <f>VLOOKUP(A308,Database!A:Q,MATCH($A$1,Database!$A$1:$Q$1,),)</f>
        <v>56965</v>
      </c>
      <c r="C308" s="15">
        <f t="shared" si="8"/>
        <v>-1.2652742871999306E-2</v>
      </c>
      <c r="D308" s="16">
        <f t="shared" si="9"/>
        <v>-3.8471627174958469E-3</v>
      </c>
    </row>
    <row r="309" spans="1:4" x14ac:dyDescent="0.2">
      <c r="A309" s="13">
        <v>42795</v>
      </c>
      <c r="B309" s="18">
        <f>VLOOKUP(A309,Database!A:Q,MATCH($A$1,Database!$A$1:$Q$1,),)</f>
        <v>57274</v>
      </c>
      <c r="C309" s="15">
        <f t="shared" si="8"/>
        <v>5.4243833933116823E-3</v>
      </c>
      <c r="D309" s="16">
        <f t="shared" si="9"/>
        <v>4.9304300528135031E-3</v>
      </c>
    </row>
    <row r="310" spans="1:4" x14ac:dyDescent="0.2">
      <c r="A310" s="14">
        <v>42826</v>
      </c>
      <c r="B310" s="18">
        <f>VLOOKUP(A310,Database!A:Q,MATCH($A$1,Database!$A$1:$Q$1,),)</f>
        <v>57655</v>
      </c>
      <c r="C310" s="15">
        <f t="shared" si="8"/>
        <v>6.652233124978175E-3</v>
      </c>
      <c r="D310" s="16">
        <f t="shared" si="9"/>
        <v>1.2966249099566035E-2</v>
      </c>
    </row>
    <row r="311" spans="1:4" x14ac:dyDescent="0.2">
      <c r="A311" s="13">
        <v>42856</v>
      </c>
      <c r="B311" s="18">
        <f>VLOOKUP(A311,Database!A:Q,MATCH($A$1,Database!$A$1:$Q$1,),)</f>
        <v>56600</v>
      </c>
      <c r="C311" s="15">
        <f t="shared" si="8"/>
        <v>-1.8298499696470384E-2</v>
      </c>
      <c r="D311" s="16">
        <f t="shared" si="9"/>
        <v>-1.1999717653702266E-3</v>
      </c>
    </row>
    <row r="312" spans="1:4" x14ac:dyDescent="0.2">
      <c r="A312" s="14">
        <v>42887</v>
      </c>
      <c r="B312" s="18">
        <f>VLOOKUP(A312,Database!A:Q,MATCH($A$1,Database!$A$1:$Q$1,),)</f>
        <v>57767</v>
      </c>
      <c r="C312" s="15">
        <f t="shared" si="8"/>
        <v>2.0618374558303888E-2</v>
      </c>
      <c r="D312" s="16">
        <f t="shared" si="9"/>
        <v>1.1947096435140581E-2</v>
      </c>
    </row>
    <row r="313" spans="1:4" x14ac:dyDescent="0.2">
      <c r="A313" s="13">
        <v>42917</v>
      </c>
      <c r="B313" s="18">
        <f>VLOOKUP(A313,Database!A:Q,MATCH($A$1,Database!$A$1:$Q$1,),)</f>
        <v>57438</v>
      </c>
      <c r="C313" s="15">
        <f t="shared" si="8"/>
        <v>-5.6952931604549312E-3</v>
      </c>
      <c r="D313" s="16">
        <f t="shared" si="9"/>
        <v>1.203418201039556E-2</v>
      </c>
    </row>
    <row r="314" spans="1:4" x14ac:dyDescent="0.2">
      <c r="A314" s="14">
        <v>42948</v>
      </c>
      <c r="B314" s="18">
        <f>VLOOKUP(A314,Database!A:Q,MATCH($A$1,Database!$A$1:$Q$1,),)</f>
        <v>57654</v>
      </c>
      <c r="C314" s="15">
        <f t="shared" si="8"/>
        <v>3.760576621748668E-3</v>
      </c>
      <c r="D314" s="16">
        <f t="shared" si="9"/>
        <v>1.3999788947905307E-2</v>
      </c>
    </row>
    <row r="315" spans="1:4" x14ac:dyDescent="0.2">
      <c r="A315" s="13">
        <v>42979</v>
      </c>
      <c r="B315" s="18">
        <f>VLOOKUP(A315,Database!A:Q,MATCH($A$1,Database!$A$1:$Q$1,),)</f>
        <v>58294</v>
      </c>
      <c r="C315" s="15">
        <f t="shared" si="8"/>
        <v>1.1100704200922747E-2</v>
      </c>
      <c r="D315" s="16">
        <f t="shared" si="9"/>
        <v>3.6429904880433815E-2</v>
      </c>
    </row>
    <row r="316" spans="1:4" x14ac:dyDescent="0.2">
      <c r="A316" s="14">
        <v>43009</v>
      </c>
      <c r="B316" s="18">
        <f>VLOOKUP(A316,Database!A:Q,MATCH($A$1,Database!$A$1:$Q$1,),)</f>
        <v>57996</v>
      </c>
      <c r="C316" s="15">
        <f t="shared" si="8"/>
        <v>-5.1120183895426632E-3</v>
      </c>
      <c r="D316" s="16">
        <f t="shared" si="9"/>
        <v>2.1739896409569782E-2</v>
      </c>
    </row>
    <row r="317" spans="1:4" x14ac:dyDescent="0.2">
      <c r="A317" s="13">
        <v>43040</v>
      </c>
      <c r="B317" s="18">
        <f>VLOOKUP(A317,Database!A:Q,MATCH($A$1,Database!$A$1:$Q$1,),)</f>
        <v>58065</v>
      </c>
      <c r="C317" s="15">
        <f t="shared" si="8"/>
        <v>1.1897372232567763E-3</v>
      </c>
      <c r="D317" s="16">
        <f t="shared" si="9"/>
        <v>2.7008383741908098E-2</v>
      </c>
    </row>
    <row r="318" spans="1:4" x14ac:dyDescent="0.2">
      <c r="A318" s="14">
        <v>43070</v>
      </c>
      <c r="B318" s="18">
        <f>VLOOKUP(A318,Database!A:Q,MATCH($A$1,Database!$A$1:$Q$1,),)</f>
        <v>58591</v>
      </c>
      <c r="C318" s="15">
        <f t="shared" si="8"/>
        <v>9.0588133987772324E-3</v>
      </c>
      <c r="D318" s="16">
        <f t="shared" si="9"/>
        <v>3.8000921234454171E-2</v>
      </c>
    </row>
    <row r="319" spans="1:4" x14ac:dyDescent="0.2">
      <c r="A319" s="13">
        <v>43101</v>
      </c>
      <c r="B319" s="18">
        <f>VLOOKUP(A319,Database!A:Q,MATCH($A$1,Database!$A$1:$Q$1,),)</f>
        <v>58607</v>
      </c>
      <c r="C319" s="15">
        <f t="shared" si="8"/>
        <v>2.7307948319707807E-4</v>
      </c>
      <c r="D319" s="16">
        <f t="shared" si="9"/>
        <v>1.5807262327758038E-2</v>
      </c>
    </row>
    <row r="320" spans="1:4" x14ac:dyDescent="0.2">
      <c r="A320" s="14">
        <v>43132</v>
      </c>
      <c r="B320" s="18">
        <f>VLOOKUP(A320,Database!A:Q,MATCH($A$1,Database!$A$1:$Q$1,),)</f>
        <v>58670</v>
      </c>
      <c r="C320" s="15">
        <f t="shared" si="8"/>
        <v>1.0749569164093026E-3</v>
      </c>
      <c r="D320" s="16">
        <f t="shared" si="9"/>
        <v>2.9930659176687441E-2</v>
      </c>
    </row>
    <row r="321" spans="1:4" x14ac:dyDescent="0.2">
      <c r="A321" s="13">
        <v>43160</v>
      </c>
      <c r="B321" s="18">
        <f>VLOOKUP(A321,Database!A:Q,MATCH($A$1,Database!$A$1:$Q$1,),)</f>
        <v>58081</v>
      </c>
      <c r="C321" s="15">
        <f t="shared" ref="C321:C322" si="10">(B321-B320)/B320</f>
        <v>-1.0039202318050111E-2</v>
      </c>
      <c r="D321" s="16">
        <f t="shared" ref="D321:D322" si="11">(B321-B309)/B309</f>
        <v>1.4090163075741175E-2</v>
      </c>
    </row>
    <row r="322" spans="1:4" x14ac:dyDescent="0.2">
      <c r="A322" s="14">
        <v>43191</v>
      </c>
      <c r="B322" s="18">
        <f>VLOOKUP(A322,Database!A:Q,MATCH($A$1,Database!$A$1:$Q$1,),)</f>
        <v>58423</v>
      </c>
      <c r="C322" s="15">
        <f t="shared" si="10"/>
        <v>5.8883283690019115E-3</v>
      </c>
      <c r="D322" s="16">
        <f t="shared" si="11"/>
        <v>1.3320613997051426E-2</v>
      </c>
    </row>
    <row r="323" spans="1:4" x14ac:dyDescent="0.2">
      <c r="A323" s="13">
        <v>43221</v>
      </c>
      <c r="B323" s="18">
        <f>VLOOKUP(A323,Database!A:Q,MATCH($A$1,Database!$A$1:$Q$1,),)</f>
        <v>59682</v>
      </c>
      <c r="C323" s="15">
        <f t="shared" ref="C323:C324" si="12">(B323-B322)/B322</f>
        <v>2.1549732126046248E-2</v>
      </c>
      <c r="D323" s="16">
        <f t="shared" ref="D323:D324" si="13">(B323-B311)/B311</f>
        <v>5.4452296819787985E-2</v>
      </c>
    </row>
    <row r="324" spans="1:4" x14ac:dyDescent="0.2">
      <c r="A324" s="14">
        <v>43252</v>
      </c>
      <c r="B324" s="18">
        <f>VLOOKUP(A324,Database!A:Q,MATCH($A$1,Database!$A$1:$Q$1,),)</f>
        <v>58687</v>
      </c>
      <c r="C324" s="15">
        <f t="shared" si="12"/>
        <v>-1.667169330786502E-2</v>
      </c>
      <c r="D324" s="16">
        <f t="shared" si="13"/>
        <v>1.5926047743521389E-2</v>
      </c>
    </row>
    <row r="325" spans="1:4" x14ac:dyDescent="0.2">
      <c r="A325" s="13">
        <v>43282</v>
      </c>
      <c r="B325" s="18">
        <f>VLOOKUP(A325,Database!A:Q,MATCH($A$1,Database!$A$1:$Q$1,),)</f>
        <v>58966</v>
      </c>
      <c r="C325" s="15">
        <f t="shared" ref="C325:C326" si="14">(B325-B324)/B324</f>
        <v>4.7540341131766832E-3</v>
      </c>
      <c r="D325" s="16">
        <f t="shared" ref="D325:D326" si="15">(B325-B313)/B313</f>
        <v>2.6602597583481317E-2</v>
      </c>
    </row>
    <row r="326" spans="1:4" x14ac:dyDescent="0.2">
      <c r="A326" s="14">
        <v>43313</v>
      </c>
      <c r="B326" s="18">
        <f>VLOOKUP(A326,Database!A:Q,MATCH($A$1,Database!$A$1:$Q$1,),)</f>
        <v>59202</v>
      </c>
      <c r="C326" s="15">
        <f t="shared" si="14"/>
        <v>4.0023064138656177E-3</v>
      </c>
      <c r="D326" s="16">
        <f t="shared" si="15"/>
        <v>2.6849828285981894E-2</v>
      </c>
    </row>
    <row r="327" spans="1:4" x14ac:dyDescent="0.2">
      <c r="A327" s="13">
        <v>43344</v>
      </c>
      <c r="B327" s="18">
        <f>VLOOKUP(A327,Database!A:Q,MATCH($A$1,Database!$A$1:$Q$1,),)</f>
        <v>58992</v>
      </c>
      <c r="C327" s="15">
        <f t="shared" ref="C327:C328" si="16">(B327-B326)/B326</f>
        <v>-3.5471774602209385E-3</v>
      </c>
      <c r="D327" s="16">
        <f t="shared" ref="D327:D328" si="17">(B327-B315)/B315</f>
        <v>1.19737880399355E-2</v>
      </c>
    </row>
    <row r="328" spans="1:4" x14ac:dyDescent="0.2">
      <c r="A328" s="14">
        <v>43374</v>
      </c>
      <c r="B328" s="18">
        <f>VLOOKUP(A328,Database!A:Q,MATCH($A$1,Database!$A$1:$Q$1,),)</f>
        <v>59355</v>
      </c>
      <c r="C328" s="15">
        <f t="shared" si="16"/>
        <v>6.1533767290480063E-3</v>
      </c>
      <c r="D328" s="16">
        <f t="shared" si="17"/>
        <v>2.3432650527622594E-2</v>
      </c>
    </row>
    <row r="329" spans="1:4" x14ac:dyDescent="0.2">
      <c r="A329" s="13">
        <v>43405</v>
      </c>
      <c r="B329" s="18">
        <f>VLOOKUP(A329,Database!A:Q,MATCH($A$1,Database!$A$1:$Q$1,),)</f>
        <v>59962</v>
      </c>
      <c r="C329" s="15">
        <f t="shared" ref="C329:C330" si="18">(B329-B328)/B328</f>
        <v>1.0226602645101508E-2</v>
      </c>
      <c r="D329" s="16">
        <f t="shared" ref="D329:D330" si="19">(B329-B317)/B317</f>
        <v>3.2670283303194693E-2</v>
      </c>
    </row>
    <row r="330" spans="1:4" x14ac:dyDescent="0.2">
      <c r="A330" s="14">
        <v>43435</v>
      </c>
      <c r="B330" s="18">
        <f>VLOOKUP(A330,Database!A:Q,MATCH($A$1,Database!$A$1:$Q$1,),)</f>
        <v>59257</v>
      </c>
      <c r="C330" s="15">
        <f t="shared" si="18"/>
        <v>-1.175744638270905E-2</v>
      </c>
      <c r="D330" s="16">
        <f t="shared" si="19"/>
        <v>1.1366933488078374E-2</v>
      </c>
    </row>
    <row r="331" spans="1:4" x14ac:dyDescent="0.2">
      <c r="A331" s="13">
        <v>43466</v>
      </c>
      <c r="B331" s="18">
        <f>VLOOKUP(A331,Database!A:Q,MATCH($A$1,Database!$A$1:$Q$1,),)</f>
        <v>59432</v>
      </c>
      <c r="C331" s="15">
        <f t="shared" ref="C331:C332" si="20">(B331-B330)/B330</f>
        <v>2.9532375921832018E-3</v>
      </c>
      <c r="D331" s="16">
        <f t="shared" ref="D331:D332" si="21">(B331-B319)/B319</f>
        <v>1.4076816762502773E-2</v>
      </c>
    </row>
    <row r="332" spans="1:4" x14ac:dyDescent="0.2">
      <c r="A332" s="14">
        <v>43497</v>
      </c>
      <c r="B332" s="18">
        <f>VLOOKUP(A332,Database!A:Q,MATCH($A$1,Database!$A$1:$Q$1,),)</f>
        <v>58756</v>
      </c>
      <c r="C332" s="15">
        <f t="shared" si="20"/>
        <v>-1.1374343787858393E-2</v>
      </c>
      <c r="D332" s="16">
        <f t="shared" si="21"/>
        <v>1.4658258053519687E-3</v>
      </c>
    </row>
    <row r="333" spans="1:4" x14ac:dyDescent="0.2">
      <c r="A333" s="13">
        <v>43525</v>
      </c>
      <c r="B333" s="18">
        <f>VLOOKUP(A333,Database!A:Q,MATCH($A$1,Database!$A$1:$Q$1,),)</f>
        <v>59647</v>
      </c>
      <c r="C333" s="15">
        <f t="shared" ref="C333:C334" si="22">(B333-B332)/B332</f>
        <v>1.5164408741234937E-2</v>
      </c>
      <c r="D333" s="16">
        <f t="shared" ref="D333:D334" si="23">(B333-B321)/B321</f>
        <v>2.696234568964033E-2</v>
      </c>
    </row>
    <row r="334" spans="1:4" x14ac:dyDescent="0.2">
      <c r="A334" s="14">
        <v>43556</v>
      </c>
      <c r="B334" s="18">
        <f>VLOOKUP(A334,Database!A:Q,MATCH($A$1,Database!$A$1:$Q$1,),)</f>
        <v>60161</v>
      </c>
      <c r="C334" s="15">
        <f t="shared" si="22"/>
        <v>8.6173655003604546E-3</v>
      </c>
      <c r="D334" s="16">
        <f t="shared" si="23"/>
        <v>2.9748557930951852E-2</v>
      </c>
    </row>
    <row r="335" spans="1:4" x14ac:dyDescent="0.2">
      <c r="A335" s="13">
        <v>43586</v>
      </c>
      <c r="B335" s="18">
        <f>VLOOKUP(A335,Database!A:Q,MATCH($A$1,Database!$A$1:$Q$1,),)</f>
        <v>59648</v>
      </c>
      <c r="C335" s="15">
        <f t="shared" ref="C335:C336" si="24">(B335-B334)/B334</f>
        <v>-8.5271188976247074E-3</v>
      </c>
      <c r="D335" s="16">
        <f t="shared" ref="D335:D336" si="25">(B335-B323)/B323</f>
        <v>-5.6968600247980967E-4</v>
      </c>
    </row>
    <row r="336" spans="1:4" x14ac:dyDescent="0.2">
      <c r="A336" s="14">
        <v>43617</v>
      </c>
      <c r="B336" s="18">
        <f>VLOOKUP(A336,Database!A:Q,MATCH($A$1,Database!$A$1:$Q$1,),)</f>
        <v>59693</v>
      </c>
      <c r="C336" s="15">
        <f t="shared" si="24"/>
        <v>7.5442596566523601E-4</v>
      </c>
      <c r="D336" s="16">
        <f t="shared" si="25"/>
        <v>1.7141786085504457E-2</v>
      </c>
    </row>
    <row r="337" spans="1:4" x14ac:dyDescent="0.2">
      <c r="A337" s="13">
        <v>43647</v>
      </c>
      <c r="B337" s="18">
        <f>VLOOKUP(A337,Database!A:Q,MATCH($A$1,Database!$A$1:$Q$1,),)</f>
        <v>60138</v>
      </c>
      <c r="C337" s="15">
        <f t="shared" ref="C337:C338" si="26">(B337-B336)/B336</f>
        <v>7.4548104467860553E-3</v>
      </c>
      <c r="D337" s="16">
        <f t="shared" ref="D337:D338" si="27">(B337-B325)/B325</f>
        <v>1.9875860665468235E-2</v>
      </c>
    </row>
    <row r="338" spans="1:4" x14ac:dyDescent="0.2">
      <c r="A338" s="14">
        <v>43678</v>
      </c>
      <c r="B338" s="18">
        <f>VLOOKUP(A338,Database!A:Q,MATCH($A$1,Database!$A$1:$Q$1,),)</f>
        <v>60073</v>
      </c>
      <c r="C338" s="15">
        <f t="shared" si="26"/>
        <v>-1.0808473843493299E-3</v>
      </c>
      <c r="D338" s="16">
        <f t="shared" si="27"/>
        <v>1.4712340799297322E-2</v>
      </c>
    </row>
    <row r="339" spans="1:4" x14ac:dyDescent="0.2">
      <c r="A339" s="13">
        <v>43709</v>
      </c>
      <c r="B339" s="18">
        <f>VLOOKUP(A339,Database!A:Q,MATCH($A$1,Database!$A$1:$Q$1,),)</f>
        <v>59589</v>
      </c>
      <c r="C339" s="15">
        <f t="shared" ref="C339:C340" si="28">(B339-B338)/B338</f>
        <v>-8.0568641486191798E-3</v>
      </c>
      <c r="D339" s="16">
        <f t="shared" ref="D339:D340" si="29">(B339-B327)/B327</f>
        <v>1.0120016273393002E-2</v>
      </c>
    </row>
    <row r="340" spans="1:4" x14ac:dyDescent="0.2">
      <c r="A340" s="14">
        <v>43739</v>
      </c>
      <c r="B340" s="18">
        <f>VLOOKUP(A340,Database!A:Q,MATCH($A$1,Database!$A$1:$Q$1,),)</f>
        <v>59869</v>
      </c>
      <c r="C340" s="15">
        <f t="shared" si="28"/>
        <v>4.6988538153014819E-3</v>
      </c>
      <c r="D340" s="16">
        <f t="shared" si="29"/>
        <v>8.6597590767416386E-3</v>
      </c>
    </row>
    <row r="341" spans="1:4" x14ac:dyDescent="0.2">
      <c r="A341" s="13">
        <v>43770</v>
      </c>
      <c r="B341" s="18">
        <f>VLOOKUP(A341,Database!A:Q,MATCH($A$1,Database!$A$1:$Q$1,),)</f>
        <v>59958</v>
      </c>
      <c r="C341" s="15">
        <f t="shared" ref="C341:C342" si="30">(B341-B340)/B340</f>
        <v>1.486579030884097E-3</v>
      </c>
      <c r="D341" s="16">
        <f t="shared" ref="D341:D342" si="31">(B341-B329)/B329</f>
        <v>-6.6708915646576165E-5</v>
      </c>
    </row>
    <row r="342" spans="1:4" x14ac:dyDescent="0.2">
      <c r="A342" s="14">
        <v>43800</v>
      </c>
      <c r="B342" s="18">
        <f>VLOOKUP(A342,Database!A:Q,MATCH($A$1,Database!$A$1:$Q$1,),)</f>
        <v>60259</v>
      </c>
      <c r="C342" s="15">
        <f t="shared" si="30"/>
        <v>5.0201807932219221E-3</v>
      </c>
      <c r="D342" s="16">
        <f t="shared" si="31"/>
        <v>1.6909394670671818E-2</v>
      </c>
    </row>
    <row r="343" spans="1:4" x14ac:dyDescent="0.2">
      <c r="A343" s="13">
        <v>43831</v>
      </c>
      <c r="B343" s="18">
        <f>VLOOKUP(A343,Database!A:Q,MATCH($A$1,Database!$A$1:$Q$1,),)</f>
        <v>60594</v>
      </c>
      <c r="C343" s="15">
        <f t="shared" ref="C343:C344" si="32">(B343-B342)/B342</f>
        <v>5.5593355349408385E-3</v>
      </c>
      <c r="D343" s="16">
        <f t="shared" ref="D343:D344" si="33">(B343-B331)/B331</f>
        <v>1.9551756629425224E-2</v>
      </c>
    </row>
    <row r="344" spans="1:4" x14ac:dyDescent="0.2">
      <c r="A344" s="14">
        <v>43862</v>
      </c>
      <c r="B344" s="18">
        <f>VLOOKUP(A344,Database!A:Q,MATCH($A$1,Database!$A$1:$Q$1,),)</f>
        <v>60699</v>
      </c>
      <c r="C344" s="15">
        <f t="shared" si="32"/>
        <v>1.7328448361223884E-3</v>
      </c>
      <c r="D344" s="16">
        <f t="shared" si="33"/>
        <v>3.3068963169718836E-2</v>
      </c>
    </row>
    <row r="345" spans="1:4" x14ac:dyDescent="0.2">
      <c r="A345" s="13">
        <v>43891</v>
      </c>
      <c r="B345" s="18">
        <f>VLOOKUP(A345,Database!A:Q,MATCH($A$1,Database!$A$1:$Q$1,),)</f>
        <v>65710</v>
      </c>
      <c r="C345" s="15">
        <f t="shared" ref="C345:C346" si="34">(B345-B344)/B344</f>
        <v>8.2554902057694529E-2</v>
      </c>
      <c r="D345" s="16">
        <f t="shared" ref="D345:D346" si="35">(B345-B333)/B333</f>
        <v>0.10164802923868761</v>
      </c>
    </row>
    <row r="346" spans="1:4" x14ac:dyDescent="0.2">
      <c r="A346" s="14">
        <v>43922</v>
      </c>
      <c r="B346" s="18">
        <f>VLOOKUP(A346,Database!A:Q,MATCH($A$1,Database!$A$1:$Q$1,),)</f>
        <v>57089</v>
      </c>
      <c r="C346" s="15">
        <f t="shared" si="34"/>
        <v>-0.13119768680566124</v>
      </c>
      <c r="D346" s="16">
        <f t="shared" si="35"/>
        <v>-5.1062981000980702E-2</v>
      </c>
    </row>
    <row r="347" spans="1:4" x14ac:dyDescent="0.2">
      <c r="A347" s="13">
        <v>43952</v>
      </c>
      <c r="B347" s="18">
        <f>VLOOKUP(A347,Database!A:Q,MATCH($A$1,Database!$A$1:$Q$1,),)</f>
        <v>61069</v>
      </c>
      <c r="C347" s="15">
        <f t="shared" ref="C347:C348" si="36">(B347-B346)/B346</f>
        <v>6.9715707053898304E-2</v>
      </c>
      <c r="D347" s="16">
        <f t="shared" ref="D347:D348" si="37">(B347-B335)/B335</f>
        <v>2.3823095493562232E-2</v>
      </c>
    </row>
    <row r="348" spans="1:4" x14ac:dyDescent="0.2">
      <c r="A348" s="14">
        <v>43983</v>
      </c>
      <c r="B348" s="18">
        <f>VLOOKUP(A348,Database!A:Q,MATCH($A$1,Database!$A$1:$Q$1,),)</f>
        <v>62024</v>
      </c>
      <c r="C348" s="15">
        <f t="shared" si="36"/>
        <v>1.5638048764512275E-2</v>
      </c>
      <c r="D348" s="16">
        <f t="shared" si="37"/>
        <v>3.9049804834737745E-2</v>
      </c>
    </row>
    <row r="349" spans="1:4" x14ac:dyDescent="0.2">
      <c r="A349" s="13">
        <v>44013</v>
      </c>
      <c r="B349" s="18">
        <f>VLOOKUP(A349,Database!A:Q,MATCH($A$1,Database!$A$1:$Q$1,),)</f>
        <v>61745</v>
      </c>
      <c r="C349" s="15">
        <f t="shared" ref="C349:C350" si="38">(B349-B348)/B348</f>
        <v>-4.4982587385528185E-3</v>
      </c>
      <c r="D349" s="16">
        <f t="shared" ref="D349:D350" si="39">(B349-B337)/B337</f>
        <v>2.672187302537497E-2</v>
      </c>
    </row>
    <row r="350" spans="1:4" x14ac:dyDescent="0.2">
      <c r="A350" s="14">
        <v>44044</v>
      </c>
      <c r="B350" s="18">
        <f>VLOOKUP(A350,Database!A:Q,MATCH($A$1,Database!$A$1:$Q$1,),)</f>
        <v>61165</v>
      </c>
      <c r="C350" s="15">
        <f t="shared" si="38"/>
        <v>-9.3934731557211108E-3</v>
      </c>
      <c r="D350" s="16">
        <f t="shared" si="39"/>
        <v>1.8177883574983771E-2</v>
      </c>
    </row>
    <row r="351" spans="1:4" x14ac:dyDescent="0.2">
      <c r="A351" s="13">
        <v>44075</v>
      </c>
      <c r="B351" s="18">
        <f>VLOOKUP(A351,Database!A:Q,MATCH($A$1,Database!$A$1:$Q$1,),)</f>
        <v>63585</v>
      </c>
      <c r="C351" s="15">
        <f t="shared" ref="C351:C352" si="40">(B351-B350)/B350</f>
        <v>3.9565110765960927E-2</v>
      </c>
      <c r="D351" s="16">
        <f t="shared" ref="D351:D352" si="41">(B351-B339)/B339</f>
        <v>6.7059356592659713E-2</v>
      </c>
    </row>
    <row r="352" spans="1:4" x14ac:dyDescent="0.2">
      <c r="A352" s="14">
        <v>44105</v>
      </c>
      <c r="B352" s="18">
        <f>VLOOKUP(A352,Database!A:Q,MATCH($A$1,Database!$A$1:$Q$1,),)</f>
        <v>62745</v>
      </c>
      <c r="C352" s="15">
        <f t="shared" si="40"/>
        <v>-1.3210662892191555E-2</v>
      </c>
      <c r="D352" s="16">
        <f t="shared" si="41"/>
        <v>4.8038216773288345E-2</v>
      </c>
    </row>
    <row r="353" spans="1:4" x14ac:dyDescent="0.2">
      <c r="A353" s="13">
        <v>44136</v>
      </c>
      <c r="B353" s="18">
        <f>VLOOKUP(A353,Database!A:Q,MATCH($A$1,Database!$A$1:$Q$1,),)</f>
        <v>61878</v>
      </c>
      <c r="C353" s="15">
        <f t="shared" ref="C353:C354" si="42">(B353-B352)/B352</f>
        <v>-1.3817834090365766E-2</v>
      </c>
      <c r="D353" s="16">
        <f t="shared" ref="D353:D354" si="43">(B353-B341)/B341</f>
        <v>3.2022415690983685E-2</v>
      </c>
    </row>
    <row r="354" spans="1:4" x14ac:dyDescent="0.2">
      <c r="A354" s="14">
        <v>44166</v>
      </c>
      <c r="B354" s="18">
        <f>VLOOKUP(A354,Database!A:Q,MATCH($A$1,Database!$A$1:$Q$1,),)</f>
        <v>60777</v>
      </c>
      <c r="C354" s="15">
        <f t="shared" si="42"/>
        <v>-1.7793076699311548E-2</v>
      </c>
      <c r="D354" s="16">
        <f t="shared" si="43"/>
        <v>8.5962262898488188E-3</v>
      </c>
    </row>
    <row r="355" spans="1:4" x14ac:dyDescent="0.2">
      <c r="A355" s="13">
        <v>44197</v>
      </c>
      <c r="B355" s="18">
        <f>VLOOKUP(A355,Database!A:Q,MATCH($A$1,Database!$A$1:$Q$1,),)</f>
        <v>66933</v>
      </c>
      <c r="C355" s="15">
        <f t="shared" ref="C355:C356" si="44">(B355-B354)/B354</f>
        <v>0.10128831630386495</v>
      </c>
      <c r="D355" s="16">
        <f t="shared" ref="D355:D356" si="45">(B355-B343)/B343</f>
        <v>0.10461431824933162</v>
      </c>
    </row>
    <row r="356" spans="1:4" x14ac:dyDescent="0.2">
      <c r="A356" s="14">
        <v>44228</v>
      </c>
      <c r="B356" s="18">
        <f>VLOOKUP(A356,Database!A:Q,MATCH($A$1,Database!$A$1:$Q$1,),)</f>
        <v>62909</v>
      </c>
      <c r="C356" s="15">
        <f t="shared" si="44"/>
        <v>-6.0119821313851164E-2</v>
      </c>
      <c r="D356" s="16">
        <f t="shared" si="45"/>
        <v>3.640916654310615E-2</v>
      </c>
    </row>
    <row r="357" spans="1:4" x14ac:dyDescent="0.2">
      <c r="A357" s="13">
        <v>44256</v>
      </c>
      <c r="B357" s="18">
        <f>VLOOKUP(A357,Database!A:Q,MATCH($A$1,Database!$A$1:$Q$1,),)</f>
        <v>71164</v>
      </c>
      <c r="C357" s="15">
        <f t="shared" ref="C357:C358" si="46">(B357-B356)/B356</f>
        <v>0.13122128789203452</v>
      </c>
      <c r="D357" s="16">
        <f t="shared" ref="D357:D358" si="47">(B357-B345)/B345</f>
        <v>8.3001065286866529E-2</v>
      </c>
    </row>
    <row r="358" spans="1:4" x14ac:dyDescent="0.2">
      <c r="A358" s="14">
        <v>44287</v>
      </c>
      <c r="B358" s="18">
        <f>VLOOKUP(A358,Database!A:Q,MATCH($A$1,Database!$A$1:$Q$1,),)</f>
        <v>69437</v>
      </c>
      <c r="C358" s="15">
        <f t="shared" si="46"/>
        <v>-2.4267888258108033E-2</v>
      </c>
      <c r="D358" s="16">
        <f t="shared" si="47"/>
        <v>0.21629385696018497</v>
      </c>
    </row>
    <row r="359" spans="1:4" x14ac:dyDescent="0.2">
      <c r="A359" s="13">
        <v>44317</v>
      </c>
      <c r="B359" s="18">
        <f>VLOOKUP(A359,Database!A:Q,MATCH($A$1,Database!$A$1:$Q$1,),)</f>
        <v>67394</v>
      </c>
      <c r="C359" s="15">
        <f t="shared" ref="C359:C360" si="48">(B359-B358)/B358</f>
        <v>-2.9422354076356984E-2</v>
      </c>
      <c r="D359" s="16">
        <f t="shared" ref="D359:D360" si="49">(B359-B347)/B347</f>
        <v>0.10357137008957082</v>
      </c>
    </row>
    <row r="360" spans="1:4" x14ac:dyDescent="0.2">
      <c r="A360" s="14">
        <v>44348</v>
      </c>
      <c r="B360" s="18">
        <f>VLOOKUP(A360,Database!A:Q,MATCH($A$1,Database!$A$1:$Q$1,),)</f>
        <v>68999</v>
      </c>
      <c r="C360" s="15">
        <f t="shared" si="48"/>
        <v>2.3815176425201055E-2</v>
      </c>
      <c r="D360" s="16">
        <f t="shared" si="49"/>
        <v>0.11245646846382046</v>
      </c>
    </row>
    <row r="361" spans="1:4" x14ac:dyDescent="0.2">
      <c r="A361" s="13">
        <v>44378</v>
      </c>
      <c r="B361" s="18">
        <f>VLOOKUP(A361,Database!A:Q,MATCH($A$1,Database!$A$1:$Q$1,),)</f>
        <v>68311</v>
      </c>
      <c r="C361" s="15">
        <f t="shared" ref="C361:C362" si="50">(B361-B360)/B360</f>
        <v>-9.9711590023043809E-3</v>
      </c>
      <c r="D361" s="16">
        <f t="shared" ref="D361:D362" si="51">(B361-B349)/B349</f>
        <v>0.10634059438011174</v>
      </c>
    </row>
    <row r="362" spans="1:4" x14ac:dyDescent="0.2">
      <c r="A362" s="14">
        <v>44409</v>
      </c>
      <c r="B362" s="18">
        <f>VLOOKUP(A362,Database!A:Q,MATCH($A$1,Database!$A$1:$Q$1,),)</f>
        <v>70670</v>
      </c>
      <c r="C362" s="15">
        <f t="shared" si="50"/>
        <v>3.4533237692318954E-2</v>
      </c>
      <c r="D362" s="16">
        <f t="shared" si="51"/>
        <v>0.15539932968200768</v>
      </c>
    </row>
  </sheetData>
  <conditionalFormatting sqref="D19:D362">
    <cfRule type="colorScale" priority="1">
      <colorScale>
        <cfvo type="min"/>
        <cfvo type="percentile" val="50"/>
        <cfvo type="max"/>
        <color rgb="FFF8696B"/>
        <color rgb="FFFFEB84"/>
        <color rgb="FF63BE7B"/>
      </colorScale>
    </cfRule>
  </conditionalFormatting>
  <conditionalFormatting sqref="C8:C362">
    <cfRule type="colorScale" priority="2">
      <colorScale>
        <cfvo type="min"/>
        <cfvo type="percentile" val="50"/>
        <cfvo type="max"/>
        <color rgb="FFF8696B"/>
        <color rgb="FFFFEB84"/>
        <color rgb="FF63BE7B"/>
      </colorScale>
    </cfRule>
  </conditionalFormatting>
  <hyperlinks>
    <hyperlink ref="A2" r:id="rId1" xr:uid="{00000000-0004-0000-0B00-000000000000}"/>
  </hyperlinks>
  <pageMargins left="0.7" right="0.7" top="0.75" bottom="0.75" header="0.3" footer="0.3"/>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3"/>
  <dimension ref="A1:D362"/>
  <sheetViews>
    <sheetView zoomScale="150" zoomScaleNormal="150" workbookViewId="0">
      <pane ySplit="6" topLeftCell="A332" activePane="bottomLeft" state="frozen"/>
      <selection pane="bottomLeft" activeCell="A364" sqref="A364"/>
    </sheetView>
  </sheetViews>
  <sheetFormatPr baseColWidth="10" defaultColWidth="9.1640625" defaultRowHeight="15" x14ac:dyDescent="0.2"/>
  <cols>
    <col min="1" max="1" width="14" style="11" customWidth="1"/>
    <col min="2" max="2" width="20.6640625" style="11" customWidth="1"/>
    <col min="3" max="4" width="14.1640625" style="11" customWidth="1"/>
    <col min="5" max="16384" width="9.1640625" style="1"/>
  </cols>
  <sheetData>
    <row r="1" spans="1:4" x14ac:dyDescent="0.2">
      <c r="A1" s="33" t="s">
        <v>31</v>
      </c>
      <c r="B1" s="34" t="s">
        <v>89</v>
      </c>
    </row>
    <row r="2" spans="1:4" x14ac:dyDescent="0.2">
      <c r="A2" s="35"/>
      <c r="B2" s="33"/>
    </row>
    <row r="3" spans="1:4" x14ac:dyDescent="0.2">
      <c r="A3" s="12"/>
    </row>
    <row r="4" spans="1:4" x14ac:dyDescent="0.2">
      <c r="A4" s="12"/>
    </row>
    <row r="5" spans="1:4" ht="16" thickBot="1" x14ac:dyDescent="0.25"/>
    <row r="6" spans="1:4" ht="44.25" customHeight="1" x14ac:dyDescent="0.2">
      <c r="A6" s="101" t="s">
        <v>2</v>
      </c>
      <c r="B6" s="98" t="s">
        <v>97</v>
      </c>
      <c r="C6" s="99" t="s">
        <v>82</v>
      </c>
      <c r="D6" s="100" t="s">
        <v>83</v>
      </c>
    </row>
    <row r="7" spans="1:4" x14ac:dyDescent="0.2">
      <c r="A7" s="13">
        <v>33604</v>
      </c>
      <c r="B7" s="18">
        <f>VLOOKUP(A7,Database!A:K,MATCH($A$1,Database!$A$1:$K$1,),)</f>
        <v>17170</v>
      </c>
      <c r="C7" s="3"/>
      <c r="D7" s="3"/>
    </row>
    <row r="8" spans="1:4" x14ac:dyDescent="0.2">
      <c r="A8" s="14">
        <v>33635</v>
      </c>
      <c r="B8" s="18">
        <f>VLOOKUP(A8,Database!A:K,MATCH($A$1,Database!$A$1:$K$1,),)</f>
        <v>16990</v>
      </c>
      <c r="C8" s="15">
        <f>(B8-B7)/B7</f>
        <v>-1.0483401281304601E-2</v>
      </c>
      <c r="D8" s="3"/>
    </row>
    <row r="9" spans="1:4" x14ac:dyDescent="0.2">
      <c r="A9" s="13">
        <v>33664</v>
      </c>
      <c r="B9" s="18">
        <f>VLOOKUP(A9,Database!A:K,MATCH($A$1,Database!$A$1:$K$1,),)</f>
        <v>16916</v>
      </c>
      <c r="C9" s="15">
        <f t="shared" ref="C9:C72" si="0">(B9-B8)/B8</f>
        <v>-4.3555032371983523E-3</v>
      </c>
      <c r="D9" s="3"/>
    </row>
    <row r="10" spans="1:4" x14ac:dyDescent="0.2">
      <c r="A10" s="14">
        <v>33695</v>
      </c>
      <c r="B10" s="18">
        <f>VLOOKUP(A10,Database!A:K,MATCH($A$1,Database!$A$1:$K$1,),)</f>
        <v>16677</v>
      </c>
      <c r="C10" s="15">
        <f t="shared" si="0"/>
        <v>-1.4128635611255616E-2</v>
      </c>
      <c r="D10" s="3"/>
    </row>
    <row r="11" spans="1:4" x14ac:dyDescent="0.2">
      <c r="A11" s="13">
        <v>33725</v>
      </c>
      <c r="B11" s="18">
        <f>VLOOKUP(A11,Database!A:K,MATCH($A$1,Database!$A$1:$K$1,),)</f>
        <v>16602</v>
      </c>
      <c r="C11" s="15">
        <f t="shared" si="0"/>
        <v>-4.4972117287281881E-3</v>
      </c>
      <c r="D11" s="3"/>
    </row>
    <row r="12" spans="1:4" x14ac:dyDescent="0.2">
      <c r="A12" s="14">
        <v>33756</v>
      </c>
      <c r="B12" s="18">
        <f>VLOOKUP(A12,Database!A:K,MATCH($A$1,Database!$A$1:$K$1,),)</f>
        <v>16277</v>
      </c>
      <c r="C12" s="15">
        <f t="shared" si="0"/>
        <v>-1.95759547042525E-2</v>
      </c>
      <c r="D12" s="3"/>
    </row>
    <row r="13" spans="1:4" x14ac:dyDescent="0.2">
      <c r="A13" s="13">
        <v>33786</v>
      </c>
      <c r="B13" s="18">
        <f>VLOOKUP(A13,Database!A:K,MATCH($A$1,Database!$A$1:$K$1,),)</f>
        <v>16496</v>
      </c>
      <c r="C13" s="15">
        <f t="shared" si="0"/>
        <v>1.3454567795048228E-2</v>
      </c>
      <c r="D13" s="3"/>
    </row>
    <row r="14" spans="1:4" x14ac:dyDescent="0.2">
      <c r="A14" s="14">
        <v>33817</v>
      </c>
      <c r="B14" s="18">
        <f>VLOOKUP(A14,Database!A:K,MATCH($A$1,Database!$A$1:$K$1,),)</f>
        <v>16733</v>
      </c>
      <c r="C14" s="15">
        <f t="shared" si="0"/>
        <v>1.4367119301648884E-2</v>
      </c>
      <c r="D14" s="3"/>
    </row>
    <row r="15" spans="1:4" x14ac:dyDescent="0.2">
      <c r="A15" s="13">
        <v>33848</v>
      </c>
      <c r="B15" s="18">
        <f>VLOOKUP(A15,Database!A:K,MATCH($A$1,Database!$A$1:$K$1,),)</f>
        <v>16812</v>
      </c>
      <c r="C15" s="15">
        <f t="shared" si="0"/>
        <v>4.7212095858483235E-3</v>
      </c>
      <c r="D15" s="3"/>
    </row>
    <row r="16" spans="1:4" x14ac:dyDescent="0.2">
      <c r="A16" s="14">
        <v>33878</v>
      </c>
      <c r="B16" s="18">
        <f>VLOOKUP(A16,Database!A:K,MATCH($A$1,Database!$A$1:$K$1,),)</f>
        <v>17104</v>
      </c>
      <c r="C16" s="15">
        <f t="shared" si="0"/>
        <v>1.736854627646919E-2</v>
      </c>
      <c r="D16" s="3"/>
    </row>
    <row r="17" spans="1:4" x14ac:dyDescent="0.2">
      <c r="A17" s="13">
        <v>33909</v>
      </c>
      <c r="B17" s="18">
        <f>VLOOKUP(A17,Database!A:K,MATCH($A$1,Database!$A$1:$K$1,),)</f>
        <v>17420</v>
      </c>
      <c r="C17" s="15">
        <f t="shared" si="0"/>
        <v>1.8475210477081384E-2</v>
      </c>
      <c r="D17" s="3"/>
    </row>
    <row r="18" spans="1:4" x14ac:dyDescent="0.2">
      <c r="A18" s="14">
        <v>33939</v>
      </c>
      <c r="B18" s="18">
        <f>VLOOKUP(A18,Database!A:K,MATCH($A$1,Database!$A$1:$K$1,),)</f>
        <v>17491</v>
      </c>
      <c r="C18" s="15">
        <f t="shared" si="0"/>
        <v>4.0757749712973593E-3</v>
      </c>
      <c r="D18" s="3"/>
    </row>
    <row r="19" spans="1:4" x14ac:dyDescent="0.2">
      <c r="A19" s="13">
        <v>33970</v>
      </c>
      <c r="B19" s="18">
        <f>VLOOKUP(A19,Database!A:K,MATCH($A$1,Database!$A$1:$K$1,),)</f>
        <v>17553</v>
      </c>
      <c r="C19" s="15">
        <f t="shared" si="0"/>
        <v>3.5446801212051914E-3</v>
      </c>
      <c r="D19" s="16">
        <f>(B19-B7)/B7</f>
        <v>2.2306348281887014E-2</v>
      </c>
    </row>
    <row r="20" spans="1:4" x14ac:dyDescent="0.2">
      <c r="A20" s="14">
        <v>34001</v>
      </c>
      <c r="B20" s="18">
        <f>VLOOKUP(A20,Database!A:K,MATCH($A$1,Database!$A$1:$K$1,),)</f>
        <v>17478</v>
      </c>
      <c r="C20" s="15">
        <f t="shared" si="0"/>
        <v>-4.2727738848060163E-3</v>
      </c>
      <c r="D20" s="16">
        <f t="shared" ref="D20:D83" si="1">(B20-B8)/B8</f>
        <v>2.8722778104767512E-2</v>
      </c>
    </row>
    <row r="21" spans="1:4" x14ac:dyDescent="0.2">
      <c r="A21" s="13">
        <v>34029</v>
      </c>
      <c r="B21" s="18">
        <f>VLOOKUP(A21,Database!A:K,MATCH($A$1,Database!$A$1:$K$1,),)</f>
        <v>17554</v>
      </c>
      <c r="C21" s="15">
        <f t="shared" si="0"/>
        <v>4.3483236068200025E-3</v>
      </c>
      <c r="D21" s="16">
        <f t="shared" si="1"/>
        <v>3.7715772050130054E-2</v>
      </c>
    </row>
    <row r="22" spans="1:4" x14ac:dyDescent="0.2">
      <c r="A22" s="14">
        <v>34060</v>
      </c>
      <c r="B22" s="18">
        <f>VLOOKUP(A22,Database!A:K,MATCH($A$1,Database!$A$1:$K$1,),)</f>
        <v>17770</v>
      </c>
      <c r="C22" s="15">
        <f t="shared" si="0"/>
        <v>1.2304887774866127E-2</v>
      </c>
      <c r="D22" s="16">
        <f t="shared" si="1"/>
        <v>6.5539365593332136E-2</v>
      </c>
    </row>
    <row r="23" spans="1:4" x14ac:dyDescent="0.2">
      <c r="A23" s="13">
        <v>34090</v>
      </c>
      <c r="B23" s="18">
        <f>VLOOKUP(A23,Database!A:K,MATCH($A$1,Database!$A$1:$K$1,),)</f>
        <v>17821</v>
      </c>
      <c r="C23" s="15">
        <f t="shared" si="0"/>
        <v>2.8700056274620148E-3</v>
      </c>
      <c r="D23" s="16">
        <f t="shared" si="1"/>
        <v>7.3424888567642455E-2</v>
      </c>
    </row>
    <row r="24" spans="1:4" x14ac:dyDescent="0.2">
      <c r="A24" s="14">
        <v>34121</v>
      </c>
      <c r="B24" s="18">
        <f>VLOOKUP(A24,Database!A:K,MATCH($A$1,Database!$A$1:$K$1,),)</f>
        <v>18030</v>
      </c>
      <c r="C24" s="15">
        <f t="shared" si="0"/>
        <v>1.1727736939565681E-2</v>
      </c>
      <c r="D24" s="16">
        <f t="shared" si="1"/>
        <v>0.10769797874301161</v>
      </c>
    </row>
    <row r="25" spans="1:4" x14ac:dyDescent="0.2">
      <c r="A25" s="13">
        <v>34151</v>
      </c>
      <c r="B25" s="18">
        <f>VLOOKUP(A25,Database!A:K,MATCH($A$1,Database!$A$1:$K$1,),)</f>
        <v>17927</v>
      </c>
      <c r="C25" s="15">
        <f t="shared" si="0"/>
        <v>-5.7127010537992235E-3</v>
      </c>
      <c r="D25" s="16">
        <f t="shared" si="1"/>
        <v>8.6748302618816678E-2</v>
      </c>
    </row>
    <row r="26" spans="1:4" x14ac:dyDescent="0.2">
      <c r="A26" s="14">
        <v>34182</v>
      </c>
      <c r="B26" s="18">
        <f>VLOOKUP(A26,Database!A:K,MATCH($A$1,Database!$A$1:$K$1,),)</f>
        <v>18201</v>
      </c>
      <c r="C26" s="15">
        <f t="shared" si="0"/>
        <v>1.5284208177609193E-2</v>
      </c>
      <c r="D26" s="16">
        <f t="shared" si="1"/>
        <v>8.773083129145999E-2</v>
      </c>
    </row>
    <row r="27" spans="1:4" x14ac:dyDescent="0.2">
      <c r="A27" s="13">
        <v>34213</v>
      </c>
      <c r="B27" s="18">
        <f>VLOOKUP(A27,Database!A:K,MATCH($A$1,Database!$A$1:$K$1,),)</f>
        <v>18515</v>
      </c>
      <c r="C27" s="15">
        <f t="shared" si="0"/>
        <v>1.7251799351683972E-2</v>
      </c>
      <c r="D27" s="16">
        <f t="shared" si="1"/>
        <v>0.10129669283844872</v>
      </c>
    </row>
    <row r="28" spans="1:4" x14ac:dyDescent="0.2">
      <c r="A28" s="14">
        <v>34243</v>
      </c>
      <c r="B28" s="18">
        <f>VLOOKUP(A28,Database!A:K,MATCH($A$1,Database!$A$1:$K$1,),)</f>
        <v>18199</v>
      </c>
      <c r="C28" s="15">
        <f t="shared" si="0"/>
        <v>-1.7067242776127464E-2</v>
      </c>
      <c r="D28" s="16">
        <f t="shared" si="1"/>
        <v>6.4020112254443401E-2</v>
      </c>
    </row>
    <row r="29" spans="1:4" x14ac:dyDescent="0.2">
      <c r="A29" s="13">
        <v>34274</v>
      </c>
      <c r="B29" s="18">
        <f>VLOOKUP(A29,Database!A:K,MATCH($A$1,Database!$A$1:$K$1,),)</f>
        <v>18153</v>
      </c>
      <c r="C29" s="15">
        <f t="shared" si="0"/>
        <v>-2.5276114072201768E-3</v>
      </c>
      <c r="D29" s="16">
        <f t="shared" si="1"/>
        <v>4.2078071182548797E-2</v>
      </c>
    </row>
    <row r="30" spans="1:4" x14ac:dyDescent="0.2">
      <c r="A30" s="14">
        <v>34304</v>
      </c>
      <c r="B30" s="18">
        <f>VLOOKUP(A30,Database!A:K,MATCH($A$1,Database!$A$1:$K$1,),)</f>
        <v>18238</v>
      </c>
      <c r="C30" s="15">
        <f t="shared" si="0"/>
        <v>4.6824216382967002E-3</v>
      </c>
      <c r="D30" s="16">
        <f t="shared" si="1"/>
        <v>4.270767823452061E-2</v>
      </c>
    </row>
    <row r="31" spans="1:4" x14ac:dyDescent="0.2">
      <c r="A31" s="13">
        <v>34335</v>
      </c>
      <c r="B31" s="18">
        <f>VLOOKUP(A31,Database!A:K,MATCH($A$1,Database!$A$1:$K$1,),)</f>
        <v>17624</v>
      </c>
      <c r="C31" s="15">
        <f t="shared" si="0"/>
        <v>-3.3665972146068646E-2</v>
      </c>
      <c r="D31" s="16">
        <f t="shared" si="1"/>
        <v>4.0448926109496949E-3</v>
      </c>
    </row>
    <row r="32" spans="1:4" x14ac:dyDescent="0.2">
      <c r="A32" s="14">
        <v>34366</v>
      </c>
      <c r="B32" s="18">
        <f>VLOOKUP(A32,Database!A:K,MATCH($A$1,Database!$A$1:$K$1,),)</f>
        <v>18425</v>
      </c>
      <c r="C32" s="15">
        <f t="shared" si="0"/>
        <v>4.5449387199273716E-2</v>
      </c>
      <c r="D32" s="16">
        <f t="shared" si="1"/>
        <v>5.4182400732349242E-2</v>
      </c>
    </row>
    <row r="33" spans="1:4" x14ac:dyDescent="0.2">
      <c r="A33" s="13">
        <v>34394</v>
      </c>
      <c r="B33" s="18">
        <f>VLOOKUP(A33,Database!A:K,MATCH($A$1,Database!$A$1:$K$1,),)</f>
        <v>18813</v>
      </c>
      <c r="C33" s="15">
        <f t="shared" si="0"/>
        <v>2.1058344640434191E-2</v>
      </c>
      <c r="D33" s="16">
        <f t="shared" si="1"/>
        <v>7.1721544947020627E-2</v>
      </c>
    </row>
    <row r="34" spans="1:4" x14ac:dyDescent="0.2">
      <c r="A34" s="14">
        <v>34425</v>
      </c>
      <c r="B34" s="18">
        <f>VLOOKUP(A34,Database!A:K,MATCH($A$1,Database!$A$1:$K$1,),)</f>
        <v>18533</v>
      </c>
      <c r="C34" s="15">
        <f t="shared" si="0"/>
        <v>-1.4883325360123319E-2</v>
      </c>
      <c r="D34" s="16">
        <f t="shared" si="1"/>
        <v>4.2937535171637592E-2</v>
      </c>
    </row>
    <row r="35" spans="1:4" x14ac:dyDescent="0.2">
      <c r="A35" s="13">
        <v>34455</v>
      </c>
      <c r="B35" s="18">
        <f>VLOOKUP(A35,Database!A:K,MATCH($A$1,Database!$A$1:$K$1,),)</f>
        <v>18600</v>
      </c>
      <c r="C35" s="15">
        <f t="shared" si="0"/>
        <v>3.6151729347650139E-3</v>
      </c>
      <c r="D35" s="16">
        <f t="shared" si="1"/>
        <v>4.3712474047472083E-2</v>
      </c>
    </row>
    <row r="36" spans="1:4" x14ac:dyDescent="0.2">
      <c r="A36" s="14">
        <v>34486</v>
      </c>
      <c r="B36" s="18">
        <f>VLOOKUP(A36,Database!A:K,MATCH($A$1,Database!$A$1:$K$1,),)</f>
        <v>18889</v>
      </c>
      <c r="C36" s="15">
        <f t="shared" si="0"/>
        <v>1.553763440860215E-2</v>
      </c>
      <c r="D36" s="16">
        <f t="shared" si="1"/>
        <v>4.7642817526344979E-2</v>
      </c>
    </row>
    <row r="37" spans="1:4" x14ac:dyDescent="0.2">
      <c r="A37" s="13">
        <v>34516</v>
      </c>
      <c r="B37" s="18">
        <f>VLOOKUP(A37,Database!A:K,MATCH($A$1,Database!$A$1:$K$1,),)</f>
        <v>18962</v>
      </c>
      <c r="C37" s="15">
        <f t="shared" si="0"/>
        <v>3.8646831489226536E-3</v>
      </c>
      <c r="D37" s="16">
        <f t="shared" si="1"/>
        <v>5.7734144028560273E-2</v>
      </c>
    </row>
    <row r="38" spans="1:4" x14ac:dyDescent="0.2">
      <c r="A38" s="14">
        <v>34547</v>
      </c>
      <c r="B38" s="18">
        <f>VLOOKUP(A38,Database!A:K,MATCH($A$1,Database!$A$1:$K$1,),)</f>
        <v>18868</v>
      </c>
      <c r="C38" s="15">
        <f t="shared" si="0"/>
        <v>-4.9572829870266847E-3</v>
      </c>
      <c r="D38" s="16">
        <f t="shared" si="1"/>
        <v>3.6646338113290482E-2</v>
      </c>
    </row>
    <row r="39" spans="1:4" x14ac:dyDescent="0.2">
      <c r="A39" s="13">
        <v>34578</v>
      </c>
      <c r="B39" s="18">
        <f>VLOOKUP(A39,Database!A:K,MATCH($A$1,Database!$A$1:$K$1,),)</f>
        <v>18978</v>
      </c>
      <c r="C39" s="15">
        <f t="shared" si="0"/>
        <v>5.82997668009328E-3</v>
      </c>
      <c r="D39" s="16">
        <f t="shared" si="1"/>
        <v>2.5006751282743721E-2</v>
      </c>
    </row>
    <row r="40" spans="1:4" x14ac:dyDescent="0.2">
      <c r="A40" s="14">
        <v>34608</v>
      </c>
      <c r="B40" s="18">
        <f>VLOOKUP(A40,Database!A:K,MATCH($A$1,Database!$A$1:$K$1,),)</f>
        <v>19010</v>
      </c>
      <c r="C40" s="15">
        <f t="shared" si="0"/>
        <v>1.6861629254926757E-3</v>
      </c>
      <c r="D40" s="16">
        <f t="shared" si="1"/>
        <v>4.4562888070773118E-2</v>
      </c>
    </row>
    <row r="41" spans="1:4" x14ac:dyDescent="0.2">
      <c r="A41" s="13">
        <v>34639</v>
      </c>
      <c r="B41" s="18">
        <f>VLOOKUP(A41,Database!A:K,MATCH($A$1,Database!$A$1:$K$1,),)</f>
        <v>19028</v>
      </c>
      <c r="C41" s="15">
        <f t="shared" si="0"/>
        <v>9.4687006838506046E-4</v>
      </c>
      <c r="D41" s="16">
        <f t="shared" si="1"/>
        <v>4.8201399217760149E-2</v>
      </c>
    </row>
    <row r="42" spans="1:4" x14ac:dyDescent="0.2">
      <c r="A42" s="14">
        <v>34669</v>
      </c>
      <c r="B42" s="18">
        <f>VLOOKUP(A42,Database!A:K,MATCH($A$1,Database!$A$1:$K$1,),)</f>
        <v>19178</v>
      </c>
      <c r="C42" s="15">
        <f t="shared" si="0"/>
        <v>7.8831196132015981E-3</v>
      </c>
      <c r="D42" s="16">
        <f t="shared" si="1"/>
        <v>5.1540739116131155E-2</v>
      </c>
    </row>
    <row r="43" spans="1:4" x14ac:dyDescent="0.2">
      <c r="A43" s="13">
        <v>34700</v>
      </c>
      <c r="B43" s="18">
        <f>VLOOKUP(A43,Database!A:K,MATCH($A$1,Database!$A$1:$K$1,),)</f>
        <v>19160</v>
      </c>
      <c r="C43" s="15">
        <f t="shared" si="0"/>
        <v>-9.3857545103764731E-4</v>
      </c>
      <c r="D43" s="16">
        <f t="shared" si="1"/>
        <v>8.7153881071266454E-2</v>
      </c>
    </row>
    <row r="44" spans="1:4" x14ac:dyDescent="0.2">
      <c r="A44" s="14">
        <v>34731</v>
      </c>
      <c r="B44" s="18">
        <f>VLOOKUP(A44,Database!A:K,MATCH($A$1,Database!$A$1:$K$1,),)</f>
        <v>18911</v>
      </c>
      <c r="C44" s="15">
        <f t="shared" si="0"/>
        <v>-1.2995824634655533E-2</v>
      </c>
      <c r="D44" s="16">
        <f t="shared" si="1"/>
        <v>2.637720488466757E-2</v>
      </c>
    </row>
    <row r="45" spans="1:4" x14ac:dyDescent="0.2">
      <c r="A45" s="13">
        <v>34759</v>
      </c>
      <c r="B45" s="18">
        <f>VLOOKUP(A45,Database!A:K,MATCH($A$1,Database!$A$1:$K$1,),)</f>
        <v>19234</v>
      </c>
      <c r="C45" s="15">
        <f t="shared" si="0"/>
        <v>1.7080006345513193E-2</v>
      </c>
      <c r="D45" s="16">
        <f t="shared" si="1"/>
        <v>2.2378142773613989E-2</v>
      </c>
    </row>
    <row r="46" spans="1:4" x14ac:dyDescent="0.2">
      <c r="A46" s="14">
        <v>34790</v>
      </c>
      <c r="B46" s="18">
        <f>VLOOKUP(A46,Database!A:K,MATCH($A$1,Database!$A$1:$K$1,),)</f>
        <v>19346</v>
      </c>
      <c r="C46" s="15">
        <f t="shared" si="0"/>
        <v>5.8230217323489656E-3</v>
      </c>
      <c r="D46" s="16">
        <f t="shared" si="1"/>
        <v>4.3867695462148602E-2</v>
      </c>
    </row>
    <row r="47" spans="1:4" x14ac:dyDescent="0.2">
      <c r="A47" s="13">
        <v>34820</v>
      </c>
      <c r="B47" s="18">
        <f>VLOOKUP(A47,Database!A:K,MATCH($A$1,Database!$A$1:$K$1,),)</f>
        <v>19450</v>
      </c>
      <c r="C47" s="15">
        <f t="shared" si="0"/>
        <v>5.3757882766463354E-3</v>
      </c>
      <c r="D47" s="16">
        <f t="shared" si="1"/>
        <v>4.5698924731182797E-2</v>
      </c>
    </row>
    <row r="48" spans="1:4" x14ac:dyDescent="0.2">
      <c r="A48" s="14">
        <v>34851</v>
      </c>
      <c r="B48" s="18">
        <f>VLOOKUP(A48,Database!A:K,MATCH($A$1,Database!$A$1:$K$1,),)</f>
        <v>19419</v>
      </c>
      <c r="C48" s="15">
        <f t="shared" si="0"/>
        <v>-1.5938303341902313E-3</v>
      </c>
      <c r="D48" s="16">
        <f t="shared" si="1"/>
        <v>2.8058658478479537E-2</v>
      </c>
    </row>
    <row r="49" spans="1:4" x14ac:dyDescent="0.2">
      <c r="A49" s="13">
        <v>34881</v>
      </c>
      <c r="B49" s="18">
        <f>VLOOKUP(A49,Database!A:K,MATCH($A$1,Database!$A$1:$K$1,),)</f>
        <v>19489</v>
      </c>
      <c r="C49" s="15">
        <f t="shared" si="0"/>
        <v>3.6047170297131676E-3</v>
      </c>
      <c r="D49" s="16">
        <f t="shared" si="1"/>
        <v>2.7792426959181521E-2</v>
      </c>
    </row>
    <row r="50" spans="1:4" x14ac:dyDescent="0.2">
      <c r="A50" s="14">
        <v>34912</v>
      </c>
      <c r="B50" s="18">
        <f>VLOOKUP(A50,Database!A:K,MATCH($A$1,Database!$A$1:$K$1,),)</f>
        <v>19715</v>
      </c>
      <c r="C50" s="15">
        <f t="shared" si="0"/>
        <v>1.1596285083893479E-2</v>
      </c>
      <c r="D50" s="16">
        <f t="shared" si="1"/>
        <v>4.489082043671825E-2</v>
      </c>
    </row>
    <row r="51" spans="1:4" x14ac:dyDescent="0.2">
      <c r="A51" s="13">
        <v>34943</v>
      </c>
      <c r="B51" s="18">
        <f>VLOOKUP(A51,Database!A:K,MATCH($A$1,Database!$A$1:$K$1,),)</f>
        <v>19640</v>
      </c>
      <c r="C51" s="15">
        <f t="shared" si="0"/>
        <v>-3.8042099923915802E-3</v>
      </c>
      <c r="D51" s="16">
        <f t="shared" si="1"/>
        <v>3.4882495521129729E-2</v>
      </c>
    </row>
    <row r="52" spans="1:4" x14ac:dyDescent="0.2">
      <c r="A52" s="14">
        <v>34973</v>
      </c>
      <c r="B52" s="18">
        <f>VLOOKUP(A52,Database!A:K,MATCH($A$1,Database!$A$1:$K$1,),)</f>
        <v>19611</v>
      </c>
      <c r="C52" s="15">
        <f t="shared" si="0"/>
        <v>-1.4765784114052953E-3</v>
      </c>
      <c r="D52" s="16">
        <f t="shared" si="1"/>
        <v>3.1614939505523409E-2</v>
      </c>
    </row>
    <row r="53" spans="1:4" x14ac:dyDescent="0.2">
      <c r="A53" s="13">
        <v>35004</v>
      </c>
      <c r="B53" s="18">
        <f>VLOOKUP(A53,Database!A:K,MATCH($A$1,Database!$A$1:$K$1,),)</f>
        <v>19609</v>
      </c>
      <c r="C53" s="15">
        <f t="shared" si="0"/>
        <v>-1.019835806435164E-4</v>
      </c>
      <c r="D53" s="16">
        <f t="shared" si="1"/>
        <v>3.0533949968467523E-2</v>
      </c>
    </row>
    <row r="54" spans="1:4" x14ac:dyDescent="0.2">
      <c r="A54" s="14">
        <v>35034</v>
      </c>
      <c r="B54" s="18">
        <f>VLOOKUP(A54,Database!A:K,MATCH($A$1,Database!$A$1:$K$1,),)</f>
        <v>19625</v>
      </c>
      <c r="C54" s="15">
        <f t="shared" si="0"/>
        <v>8.1595185884032837E-4</v>
      </c>
      <c r="D54" s="16">
        <f t="shared" si="1"/>
        <v>2.3307957034101576E-2</v>
      </c>
    </row>
    <row r="55" spans="1:4" x14ac:dyDescent="0.2">
      <c r="A55" s="13">
        <v>35065</v>
      </c>
      <c r="B55" s="18">
        <f>VLOOKUP(A55,Database!A:K,MATCH($A$1,Database!$A$1:$K$1,),)</f>
        <v>19564</v>
      </c>
      <c r="C55" s="15">
        <f t="shared" si="0"/>
        <v>-3.1082802547770703E-3</v>
      </c>
      <c r="D55" s="16">
        <f t="shared" si="1"/>
        <v>2.1085594989561588E-2</v>
      </c>
    </row>
    <row r="56" spans="1:4" x14ac:dyDescent="0.2">
      <c r="A56" s="14">
        <v>35096</v>
      </c>
      <c r="B56" s="18">
        <f>VLOOKUP(A56,Database!A:K,MATCH($A$1,Database!$A$1:$K$1,),)</f>
        <v>19742</v>
      </c>
      <c r="C56" s="15">
        <f t="shared" si="0"/>
        <v>9.0983438969535878E-3</v>
      </c>
      <c r="D56" s="16">
        <f t="shared" si="1"/>
        <v>4.3942678864153137E-2</v>
      </c>
    </row>
    <row r="57" spans="1:4" x14ac:dyDescent="0.2">
      <c r="A57" s="13">
        <v>35125</v>
      </c>
      <c r="B57" s="18">
        <f>VLOOKUP(A57,Database!A:K,MATCH($A$1,Database!$A$1:$K$1,),)</f>
        <v>19862</v>
      </c>
      <c r="C57" s="15">
        <f t="shared" si="0"/>
        <v>6.0784115084591226E-3</v>
      </c>
      <c r="D57" s="16">
        <f t="shared" si="1"/>
        <v>3.2650514713528124E-2</v>
      </c>
    </row>
    <row r="58" spans="1:4" x14ac:dyDescent="0.2">
      <c r="A58" s="14">
        <v>35156</v>
      </c>
      <c r="B58" s="18">
        <f>VLOOKUP(A58,Database!A:K,MATCH($A$1,Database!$A$1:$K$1,),)</f>
        <v>19932</v>
      </c>
      <c r="C58" s="15">
        <f t="shared" si="0"/>
        <v>3.5243177927701138E-3</v>
      </c>
      <c r="D58" s="16">
        <f t="shared" si="1"/>
        <v>3.0290499328026466E-2</v>
      </c>
    </row>
    <row r="59" spans="1:4" x14ac:dyDescent="0.2">
      <c r="A59" s="13">
        <v>35186</v>
      </c>
      <c r="B59" s="18">
        <f>VLOOKUP(A59,Database!A:K,MATCH($A$1,Database!$A$1:$K$1,),)</f>
        <v>20094</v>
      </c>
      <c r="C59" s="15">
        <f t="shared" si="0"/>
        <v>8.1276339554485245E-3</v>
      </c>
      <c r="D59" s="16">
        <f t="shared" si="1"/>
        <v>3.3110539845758354E-2</v>
      </c>
    </row>
    <row r="60" spans="1:4" x14ac:dyDescent="0.2">
      <c r="A60" s="14">
        <v>35217</v>
      </c>
      <c r="B60" s="18">
        <f>VLOOKUP(A60,Database!A:K,MATCH($A$1,Database!$A$1:$K$1,),)</f>
        <v>19932</v>
      </c>
      <c r="C60" s="15">
        <f t="shared" si="0"/>
        <v>-8.0621080919677512E-3</v>
      </c>
      <c r="D60" s="16">
        <f t="shared" si="1"/>
        <v>2.6417426232040783E-2</v>
      </c>
    </row>
    <row r="61" spans="1:4" x14ac:dyDescent="0.2">
      <c r="A61" s="13">
        <v>35247</v>
      </c>
      <c r="B61" s="18">
        <f>VLOOKUP(A61,Database!A:K,MATCH($A$1,Database!$A$1:$K$1,),)</f>
        <v>20145</v>
      </c>
      <c r="C61" s="15">
        <f t="shared" si="0"/>
        <v>1.0686333534015654E-2</v>
      </c>
      <c r="D61" s="16">
        <f t="shared" si="1"/>
        <v>3.3660013340858948E-2</v>
      </c>
    </row>
    <row r="62" spans="1:4" x14ac:dyDescent="0.2">
      <c r="A62" s="14">
        <v>35278</v>
      </c>
      <c r="B62" s="18">
        <f>VLOOKUP(A62,Database!A:K,MATCH($A$1,Database!$A$1:$K$1,),)</f>
        <v>20140</v>
      </c>
      <c r="C62" s="15">
        <f t="shared" si="0"/>
        <v>-2.4820054604120131E-4</v>
      </c>
      <c r="D62" s="16">
        <f t="shared" si="1"/>
        <v>2.155718995688562E-2</v>
      </c>
    </row>
    <row r="63" spans="1:4" x14ac:dyDescent="0.2">
      <c r="A63" s="13">
        <v>35309</v>
      </c>
      <c r="B63" s="18">
        <f>VLOOKUP(A63,Database!A:K,MATCH($A$1,Database!$A$1:$K$1,),)</f>
        <v>20397</v>
      </c>
      <c r="C63" s="15">
        <f t="shared" si="0"/>
        <v>1.2760675273088381E-2</v>
      </c>
      <c r="D63" s="16">
        <f t="shared" si="1"/>
        <v>3.854378818737271E-2</v>
      </c>
    </row>
    <row r="64" spans="1:4" x14ac:dyDescent="0.2">
      <c r="A64" s="14">
        <v>35339</v>
      </c>
      <c r="B64" s="18">
        <f>VLOOKUP(A64,Database!A:K,MATCH($A$1,Database!$A$1:$K$1,),)</f>
        <v>20551</v>
      </c>
      <c r="C64" s="15">
        <f t="shared" si="0"/>
        <v>7.5501299210668235E-3</v>
      </c>
      <c r="D64" s="16">
        <f t="shared" si="1"/>
        <v>4.7932282902452703E-2</v>
      </c>
    </row>
    <row r="65" spans="1:4" x14ac:dyDescent="0.2">
      <c r="A65" s="13">
        <v>35370</v>
      </c>
      <c r="B65" s="18">
        <f>VLOOKUP(A65,Database!A:K,MATCH($A$1,Database!$A$1:$K$1,),)</f>
        <v>20789</v>
      </c>
      <c r="C65" s="15">
        <f t="shared" si="0"/>
        <v>1.1580944966181695E-2</v>
      </c>
      <c r="D65" s="16">
        <f t="shared" si="1"/>
        <v>6.0176449589474219E-2</v>
      </c>
    </row>
    <row r="66" spans="1:4" x14ac:dyDescent="0.2">
      <c r="A66" s="14">
        <v>35400</v>
      </c>
      <c r="B66" s="18">
        <f>VLOOKUP(A66,Database!A:K,MATCH($A$1,Database!$A$1:$K$1,),)</f>
        <v>20707</v>
      </c>
      <c r="C66" s="15">
        <f t="shared" si="0"/>
        <v>-3.9443936697291836E-3</v>
      </c>
      <c r="D66" s="16">
        <f t="shared" si="1"/>
        <v>5.5133757961783436E-2</v>
      </c>
    </row>
    <row r="67" spans="1:4" x14ac:dyDescent="0.2">
      <c r="A67" s="13">
        <v>35431</v>
      </c>
      <c r="B67" s="18">
        <f>VLOOKUP(A67,Database!A:K,MATCH($A$1,Database!$A$1:$K$1,),)</f>
        <v>21110</v>
      </c>
      <c r="C67" s="15">
        <f t="shared" si="0"/>
        <v>1.9462017675182304E-2</v>
      </c>
      <c r="D67" s="16">
        <f t="shared" si="1"/>
        <v>7.9022694745450831E-2</v>
      </c>
    </row>
    <row r="68" spans="1:4" x14ac:dyDescent="0.2">
      <c r="A68" s="14">
        <v>35462</v>
      </c>
      <c r="B68" s="18">
        <f>VLOOKUP(A68,Database!A:K,MATCH($A$1,Database!$A$1:$K$1,),)</f>
        <v>21136</v>
      </c>
      <c r="C68" s="15">
        <f t="shared" si="0"/>
        <v>1.2316437707247749E-3</v>
      </c>
      <c r="D68" s="16">
        <f t="shared" si="1"/>
        <v>7.0610880356600139E-2</v>
      </c>
    </row>
    <row r="69" spans="1:4" x14ac:dyDescent="0.2">
      <c r="A69" s="13">
        <v>35490</v>
      </c>
      <c r="B69" s="18">
        <f>VLOOKUP(A69,Database!A:K,MATCH($A$1,Database!$A$1:$K$1,),)</f>
        <v>21171</v>
      </c>
      <c r="C69" s="15">
        <f t="shared" si="0"/>
        <v>1.6559424678274034E-3</v>
      </c>
      <c r="D69" s="16">
        <f t="shared" si="1"/>
        <v>6.5904742724801124E-2</v>
      </c>
    </row>
    <row r="70" spans="1:4" x14ac:dyDescent="0.2">
      <c r="A70" s="14">
        <v>35521</v>
      </c>
      <c r="B70" s="18">
        <f>VLOOKUP(A70,Database!A:K,MATCH($A$1,Database!$A$1:$K$1,),)</f>
        <v>21216</v>
      </c>
      <c r="C70" s="15">
        <f t="shared" si="0"/>
        <v>2.1255491001842142E-3</v>
      </c>
      <c r="D70" s="16">
        <f t="shared" si="1"/>
        <v>6.4419024683925352E-2</v>
      </c>
    </row>
    <row r="71" spans="1:4" x14ac:dyDescent="0.2">
      <c r="A71" s="13">
        <v>35551</v>
      </c>
      <c r="B71" s="18">
        <f>VLOOKUP(A71,Database!A:K,MATCH($A$1,Database!$A$1:$K$1,),)</f>
        <v>21230</v>
      </c>
      <c r="C71" s="15">
        <f t="shared" si="0"/>
        <v>6.5987933634992463E-4</v>
      </c>
      <c r="D71" s="16">
        <f t="shared" si="1"/>
        <v>5.6534288842440529E-2</v>
      </c>
    </row>
    <row r="72" spans="1:4" x14ac:dyDescent="0.2">
      <c r="A72" s="14">
        <v>35582</v>
      </c>
      <c r="B72" s="18">
        <f>VLOOKUP(A72,Database!A:K,MATCH($A$1,Database!$A$1:$K$1,),)</f>
        <v>21382</v>
      </c>
      <c r="C72" s="15">
        <f t="shared" si="0"/>
        <v>7.1596796985398019E-3</v>
      </c>
      <c r="D72" s="16">
        <f t="shared" si="1"/>
        <v>7.2747340959261483E-2</v>
      </c>
    </row>
    <row r="73" spans="1:4" x14ac:dyDescent="0.2">
      <c r="A73" s="13">
        <v>35612</v>
      </c>
      <c r="B73" s="18">
        <f>VLOOKUP(A73,Database!A:K,MATCH($A$1,Database!$A$1:$K$1,),)</f>
        <v>21689</v>
      </c>
      <c r="C73" s="15">
        <f t="shared" ref="C73:C136" si="2">(B73-B72)/B72</f>
        <v>1.435787110653821E-2</v>
      </c>
      <c r="D73" s="16">
        <f t="shared" si="1"/>
        <v>7.6644328617522961E-2</v>
      </c>
    </row>
    <row r="74" spans="1:4" x14ac:dyDescent="0.2">
      <c r="A74" s="14">
        <v>35643</v>
      </c>
      <c r="B74" s="18">
        <f>VLOOKUP(A74,Database!A:K,MATCH($A$1,Database!$A$1:$K$1,),)</f>
        <v>21674</v>
      </c>
      <c r="C74" s="15">
        <f t="shared" si="2"/>
        <v>-6.9159481764949978E-4</v>
      </c>
      <c r="D74" s="16">
        <f t="shared" si="1"/>
        <v>7.6166832174776558E-2</v>
      </c>
    </row>
    <row r="75" spans="1:4" x14ac:dyDescent="0.2">
      <c r="A75" s="13">
        <v>35674</v>
      </c>
      <c r="B75" s="18">
        <f>VLOOKUP(A75,Database!A:K,MATCH($A$1,Database!$A$1:$K$1,),)</f>
        <v>21986</v>
      </c>
      <c r="C75" s="15">
        <f t="shared" si="2"/>
        <v>1.439512780289748E-2</v>
      </c>
      <c r="D75" s="16">
        <f t="shared" si="1"/>
        <v>7.7903613276462225E-2</v>
      </c>
    </row>
    <row r="76" spans="1:4" x14ac:dyDescent="0.2">
      <c r="A76" s="14">
        <v>35704</v>
      </c>
      <c r="B76" s="18">
        <f>VLOOKUP(A76,Database!A:K,MATCH($A$1,Database!$A$1:$K$1,),)</f>
        <v>21758</v>
      </c>
      <c r="C76" s="15">
        <f t="shared" si="2"/>
        <v>-1.0370235604475576E-2</v>
      </c>
      <c r="D76" s="16">
        <f t="shared" si="1"/>
        <v>5.8731935185635735E-2</v>
      </c>
    </row>
    <row r="77" spans="1:4" x14ac:dyDescent="0.2">
      <c r="A77" s="13">
        <v>35735</v>
      </c>
      <c r="B77" s="18">
        <f>VLOOKUP(A77,Database!A:K,MATCH($A$1,Database!$A$1:$K$1,),)</f>
        <v>21504</v>
      </c>
      <c r="C77" s="15">
        <f t="shared" si="2"/>
        <v>-1.1673867083371633E-2</v>
      </c>
      <c r="D77" s="16">
        <f t="shared" si="1"/>
        <v>3.4393188705565444E-2</v>
      </c>
    </row>
    <row r="78" spans="1:4" x14ac:dyDescent="0.2">
      <c r="A78" s="14">
        <v>35765</v>
      </c>
      <c r="B78" s="18">
        <f>VLOOKUP(A78,Database!A:K,MATCH($A$1,Database!$A$1:$K$1,),)</f>
        <v>21818</v>
      </c>
      <c r="C78" s="15">
        <f t="shared" si="2"/>
        <v>1.4601934523809524E-2</v>
      </c>
      <c r="D78" s="16">
        <f t="shared" si="1"/>
        <v>5.3653353938281738E-2</v>
      </c>
    </row>
    <row r="79" spans="1:4" x14ac:dyDescent="0.2">
      <c r="A79" s="13">
        <v>35796</v>
      </c>
      <c r="B79" s="18">
        <f>VLOOKUP(A79,Database!A:K,MATCH($A$1,Database!$A$1:$K$1,),)</f>
        <v>21921</v>
      </c>
      <c r="C79" s="15">
        <f t="shared" si="2"/>
        <v>4.7208726739389499E-3</v>
      </c>
      <c r="D79" s="16">
        <f t="shared" si="1"/>
        <v>3.8417811463761248E-2</v>
      </c>
    </row>
    <row r="80" spans="1:4" x14ac:dyDescent="0.2">
      <c r="A80" s="14">
        <v>35827</v>
      </c>
      <c r="B80" s="18">
        <f>VLOOKUP(A80,Database!A:K,MATCH($A$1,Database!$A$1:$K$1,),)</f>
        <v>22132</v>
      </c>
      <c r="C80" s="15">
        <f t="shared" si="2"/>
        <v>9.625473290452078E-3</v>
      </c>
      <c r="D80" s="16">
        <f t="shared" si="1"/>
        <v>4.7123391370174107E-2</v>
      </c>
    </row>
    <row r="81" spans="1:4" x14ac:dyDescent="0.2">
      <c r="A81" s="13">
        <v>35855</v>
      </c>
      <c r="B81" s="18">
        <f>VLOOKUP(A81,Database!A:K,MATCH($A$1,Database!$A$1:$K$1,),)</f>
        <v>22251</v>
      </c>
      <c r="C81" s="15">
        <f t="shared" si="2"/>
        <v>5.3768299295138258E-3</v>
      </c>
      <c r="D81" s="16">
        <f t="shared" si="1"/>
        <v>5.1013178404421142E-2</v>
      </c>
    </row>
    <row r="82" spans="1:4" x14ac:dyDescent="0.2">
      <c r="A82" s="14">
        <v>35886</v>
      </c>
      <c r="B82" s="18">
        <f>VLOOKUP(A82,Database!A:K,MATCH($A$1,Database!$A$1:$K$1,),)</f>
        <v>22353</v>
      </c>
      <c r="C82" s="15">
        <f t="shared" si="2"/>
        <v>4.5840636375893218E-3</v>
      </c>
      <c r="D82" s="16">
        <f t="shared" si="1"/>
        <v>5.3591628959276015E-2</v>
      </c>
    </row>
    <row r="83" spans="1:4" x14ac:dyDescent="0.2">
      <c r="A83" s="13">
        <v>35916</v>
      </c>
      <c r="B83" s="18">
        <f>VLOOKUP(A83,Database!A:K,MATCH($A$1,Database!$A$1:$K$1,),)</f>
        <v>22436</v>
      </c>
      <c r="C83" s="15">
        <f t="shared" si="2"/>
        <v>3.7131481232944123E-3</v>
      </c>
      <c r="D83" s="16">
        <f t="shared" si="1"/>
        <v>5.6806406029203955E-2</v>
      </c>
    </row>
    <row r="84" spans="1:4" x14ac:dyDescent="0.2">
      <c r="A84" s="14">
        <v>35947</v>
      </c>
      <c r="B84" s="18">
        <f>VLOOKUP(A84,Database!A:K,MATCH($A$1,Database!$A$1:$K$1,),)</f>
        <v>22634</v>
      </c>
      <c r="C84" s="15">
        <f t="shared" si="2"/>
        <v>8.8251025138170805E-3</v>
      </c>
      <c r="D84" s="16">
        <f t="shared" ref="D84:D147" si="3">(B84-B72)/B72</f>
        <v>5.8553923861191653E-2</v>
      </c>
    </row>
    <row r="85" spans="1:4" x14ac:dyDescent="0.2">
      <c r="A85" s="13">
        <v>35977</v>
      </c>
      <c r="B85" s="18">
        <f>VLOOKUP(A85,Database!A:K,MATCH($A$1,Database!$A$1:$K$1,),)</f>
        <v>22570</v>
      </c>
      <c r="C85" s="15">
        <f t="shared" si="2"/>
        <v>-2.8276044888221261E-3</v>
      </c>
      <c r="D85" s="16">
        <f t="shared" si="3"/>
        <v>4.0619668956613952E-2</v>
      </c>
    </row>
    <row r="86" spans="1:4" x14ac:dyDescent="0.2">
      <c r="A86" s="14">
        <v>36008</v>
      </c>
      <c r="B86" s="18">
        <f>VLOOKUP(A86,Database!A:K,MATCH($A$1,Database!$A$1:$K$1,),)</f>
        <v>22743</v>
      </c>
      <c r="C86" s="15">
        <f t="shared" si="2"/>
        <v>7.6650420912715992E-3</v>
      </c>
      <c r="D86" s="16">
        <f t="shared" si="3"/>
        <v>4.9321768016978872E-2</v>
      </c>
    </row>
    <row r="87" spans="1:4" x14ac:dyDescent="0.2">
      <c r="A87" s="13">
        <v>36039</v>
      </c>
      <c r="B87" s="18">
        <f>VLOOKUP(A87,Database!A:K,MATCH($A$1,Database!$A$1:$K$1,),)</f>
        <v>22830</v>
      </c>
      <c r="C87" s="15">
        <f t="shared" si="2"/>
        <v>3.8253528558237701E-3</v>
      </c>
      <c r="D87" s="16">
        <f t="shared" si="3"/>
        <v>3.8388065132356958E-2</v>
      </c>
    </row>
    <row r="88" spans="1:4" x14ac:dyDescent="0.2">
      <c r="A88" s="14">
        <v>36069</v>
      </c>
      <c r="B88" s="18">
        <f>VLOOKUP(A88,Database!A:K,MATCH($A$1,Database!$A$1:$K$1,),)</f>
        <v>23066</v>
      </c>
      <c r="C88" s="15">
        <f t="shared" si="2"/>
        <v>1.0337275514673675E-2</v>
      </c>
      <c r="D88" s="16">
        <f t="shared" si="3"/>
        <v>6.0115819468701169E-2</v>
      </c>
    </row>
    <row r="89" spans="1:4" x14ac:dyDescent="0.2">
      <c r="A89" s="13">
        <v>36100</v>
      </c>
      <c r="B89" s="18">
        <f>VLOOKUP(A89,Database!A:K,MATCH($A$1,Database!$A$1:$K$1,),)</f>
        <v>23157</v>
      </c>
      <c r="C89" s="15">
        <f t="shared" si="2"/>
        <v>3.9452007283447502E-3</v>
      </c>
      <c r="D89" s="16">
        <f t="shared" si="3"/>
        <v>7.6869419642857137E-2</v>
      </c>
    </row>
    <row r="90" spans="1:4" x14ac:dyDescent="0.2">
      <c r="A90" s="14">
        <v>36130</v>
      </c>
      <c r="B90" s="18">
        <f>VLOOKUP(A90,Database!A:K,MATCH($A$1,Database!$A$1:$K$1,),)</f>
        <v>23351</v>
      </c>
      <c r="C90" s="15">
        <f t="shared" si="2"/>
        <v>8.3775964071339127E-3</v>
      </c>
      <c r="D90" s="16">
        <f t="shared" si="3"/>
        <v>7.0263085525712712E-2</v>
      </c>
    </row>
    <row r="91" spans="1:4" x14ac:dyDescent="0.2">
      <c r="A91" s="13">
        <v>36161</v>
      </c>
      <c r="B91" s="18">
        <f>VLOOKUP(A91,Database!A:K,MATCH($A$1,Database!$A$1:$K$1,),)</f>
        <v>22871</v>
      </c>
      <c r="C91" s="15">
        <f t="shared" si="2"/>
        <v>-2.0555864845188641E-2</v>
      </c>
      <c r="D91" s="16">
        <f t="shared" si="3"/>
        <v>4.3337438985447743E-2</v>
      </c>
    </row>
    <row r="92" spans="1:4" x14ac:dyDescent="0.2">
      <c r="A92" s="14">
        <v>36192</v>
      </c>
      <c r="B92" s="18">
        <f>VLOOKUP(A92,Database!A:K,MATCH($A$1,Database!$A$1:$K$1,),)</f>
        <v>23270</v>
      </c>
      <c r="C92" s="15">
        <f t="shared" si="2"/>
        <v>1.7445673560404006E-2</v>
      </c>
      <c r="D92" s="16">
        <f t="shared" si="3"/>
        <v>5.1418760166275078E-2</v>
      </c>
    </row>
    <row r="93" spans="1:4" x14ac:dyDescent="0.2">
      <c r="A93" s="13">
        <v>36220</v>
      </c>
      <c r="B93" s="18">
        <f>VLOOKUP(A93,Database!A:K,MATCH($A$1,Database!$A$1:$K$1,),)</f>
        <v>23250</v>
      </c>
      <c r="C93" s="15">
        <f t="shared" si="2"/>
        <v>-8.5947571981091536E-4</v>
      </c>
      <c r="D93" s="16">
        <f t="shared" si="3"/>
        <v>4.4896858568154244E-2</v>
      </c>
    </row>
    <row r="94" spans="1:4" x14ac:dyDescent="0.2">
      <c r="A94" s="14">
        <v>36251</v>
      </c>
      <c r="B94" s="18">
        <f>VLOOKUP(A94,Database!A:K,MATCH($A$1,Database!$A$1:$K$1,),)</f>
        <v>23440</v>
      </c>
      <c r="C94" s="15">
        <f t="shared" si="2"/>
        <v>8.172043010752689E-3</v>
      </c>
      <c r="D94" s="16">
        <f t="shared" si="3"/>
        <v>4.8628819397843692E-2</v>
      </c>
    </row>
    <row r="95" spans="1:4" x14ac:dyDescent="0.2">
      <c r="A95" s="13">
        <v>36281</v>
      </c>
      <c r="B95" s="18">
        <f>VLOOKUP(A95,Database!A:K,MATCH($A$1,Database!$A$1:$K$1,),)</f>
        <v>23500</v>
      </c>
      <c r="C95" s="15">
        <f t="shared" si="2"/>
        <v>2.5597269624573378E-3</v>
      </c>
      <c r="D95" s="16">
        <f t="shared" si="3"/>
        <v>4.7423783205562488E-2</v>
      </c>
    </row>
    <row r="96" spans="1:4" x14ac:dyDescent="0.2">
      <c r="A96" s="14">
        <v>36312</v>
      </c>
      <c r="B96" s="18">
        <f>VLOOKUP(A96,Database!A:K,MATCH($A$1,Database!$A$1:$K$1,),)</f>
        <v>23546</v>
      </c>
      <c r="C96" s="15">
        <f t="shared" si="2"/>
        <v>1.9574468085106385E-3</v>
      </c>
      <c r="D96" s="16">
        <f t="shared" si="3"/>
        <v>4.0293363965715298E-2</v>
      </c>
    </row>
    <row r="97" spans="1:4" x14ac:dyDescent="0.2">
      <c r="A97" s="13">
        <v>36342</v>
      </c>
      <c r="B97" s="18">
        <f>VLOOKUP(A97,Database!A:K,MATCH($A$1,Database!$A$1:$K$1,),)</f>
        <v>23508</v>
      </c>
      <c r="C97" s="15">
        <f t="shared" si="2"/>
        <v>-1.6138622271298735E-3</v>
      </c>
      <c r="D97" s="16">
        <f t="shared" si="3"/>
        <v>4.1559592379264508E-2</v>
      </c>
    </row>
    <row r="98" spans="1:4" x14ac:dyDescent="0.2">
      <c r="A98" s="14">
        <v>36373</v>
      </c>
      <c r="B98" s="18">
        <f>VLOOKUP(A98,Database!A:K,MATCH($A$1,Database!$A$1:$K$1,),)</f>
        <v>23664</v>
      </c>
      <c r="C98" s="15">
        <f t="shared" si="2"/>
        <v>6.636038795303726E-3</v>
      </c>
      <c r="D98" s="16">
        <f t="shared" si="3"/>
        <v>4.0495976784065427E-2</v>
      </c>
    </row>
    <row r="99" spans="1:4" x14ac:dyDescent="0.2">
      <c r="A99" s="13">
        <v>36404</v>
      </c>
      <c r="B99" s="18">
        <f>VLOOKUP(A99,Database!A:K,MATCH($A$1,Database!$A$1:$K$1,),)</f>
        <v>23836</v>
      </c>
      <c r="C99" s="15">
        <f t="shared" si="2"/>
        <v>7.2684246112237998E-3</v>
      </c>
      <c r="D99" s="16">
        <f t="shared" si="3"/>
        <v>4.4064826982041172E-2</v>
      </c>
    </row>
    <row r="100" spans="1:4" x14ac:dyDescent="0.2">
      <c r="A100" s="14">
        <v>36434</v>
      </c>
      <c r="B100" s="18">
        <f>VLOOKUP(A100,Database!A:K,MATCH($A$1,Database!$A$1:$K$1,),)</f>
        <v>24265</v>
      </c>
      <c r="C100" s="15">
        <f t="shared" si="2"/>
        <v>1.7997986239301895E-2</v>
      </c>
      <c r="D100" s="16">
        <f t="shared" si="3"/>
        <v>5.1981271135003899E-2</v>
      </c>
    </row>
    <row r="101" spans="1:4" x14ac:dyDescent="0.2">
      <c r="A101" s="13">
        <v>36465</v>
      </c>
      <c r="B101" s="18">
        <f>VLOOKUP(A101,Database!A:K,MATCH($A$1,Database!$A$1:$K$1,),)</f>
        <v>24421</v>
      </c>
      <c r="C101" s="15">
        <f t="shared" si="2"/>
        <v>6.4290129816608286E-3</v>
      </c>
      <c r="D101" s="16">
        <f t="shared" si="3"/>
        <v>5.4583927106274563E-2</v>
      </c>
    </row>
    <row r="102" spans="1:4" x14ac:dyDescent="0.2">
      <c r="A102" s="14">
        <v>36495</v>
      </c>
      <c r="B102" s="18">
        <f>VLOOKUP(A102,Database!A:K,MATCH($A$1,Database!$A$1:$K$1,),)</f>
        <v>24378</v>
      </c>
      <c r="C102" s="15">
        <f t="shared" si="2"/>
        <v>-1.7607796568527088E-3</v>
      </c>
      <c r="D102" s="16">
        <f t="shared" si="3"/>
        <v>4.39809858250182E-2</v>
      </c>
    </row>
    <row r="103" spans="1:4" x14ac:dyDescent="0.2">
      <c r="A103" s="13">
        <v>36526</v>
      </c>
      <c r="B103" s="18">
        <f>VLOOKUP(A103,Database!A:K,MATCH($A$1,Database!$A$1:$K$1,),)</f>
        <v>24608</v>
      </c>
      <c r="C103" s="15">
        <f t="shared" si="2"/>
        <v>9.4347362375912704E-3</v>
      </c>
      <c r="D103" s="16">
        <f t="shared" si="3"/>
        <v>7.5947706702811424E-2</v>
      </c>
    </row>
    <row r="104" spans="1:4" x14ac:dyDescent="0.2">
      <c r="A104" s="14">
        <v>36557</v>
      </c>
      <c r="B104" s="18">
        <f>VLOOKUP(A104,Database!A:K,MATCH($A$1,Database!$A$1:$K$1,),)</f>
        <v>24887</v>
      </c>
      <c r="C104" s="15">
        <f t="shared" si="2"/>
        <v>1.133777633289987E-2</v>
      </c>
      <c r="D104" s="16">
        <f t="shared" si="3"/>
        <v>6.9488611946712506E-2</v>
      </c>
    </row>
    <row r="105" spans="1:4" x14ac:dyDescent="0.2">
      <c r="A105" s="13">
        <v>36586</v>
      </c>
      <c r="B105" s="18">
        <f>VLOOKUP(A105,Database!A:K,MATCH($A$1,Database!$A$1:$K$1,),)</f>
        <v>25367</v>
      </c>
      <c r="C105" s="15">
        <f t="shared" si="2"/>
        <v>1.9287178044762324E-2</v>
      </c>
      <c r="D105" s="16">
        <f t="shared" si="3"/>
        <v>9.1053763440860219E-2</v>
      </c>
    </row>
    <row r="106" spans="1:4" x14ac:dyDescent="0.2">
      <c r="A106" s="14">
        <v>36617</v>
      </c>
      <c r="B106" s="18">
        <f>VLOOKUP(A106,Database!A:K,MATCH($A$1,Database!$A$1:$K$1,),)</f>
        <v>25215</v>
      </c>
      <c r="C106" s="15">
        <f t="shared" si="2"/>
        <v>-5.9920368983324788E-3</v>
      </c>
      <c r="D106" s="16">
        <f t="shared" si="3"/>
        <v>7.5725255972696248E-2</v>
      </c>
    </row>
    <row r="107" spans="1:4" x14ac:dyDescent="0.2">
      <c r="A107" s="13">
        <v>36647</v>
      </c>
      <c r="B107" s="18">
        <f>VLOOKUP(A107,Database!A:K,MATCH($A$1,Database!$A$1:$K$1,),)</f>
        <v>25193</v>
      </c>
      <c r="C107" s="15">
        <f t="shared" si="2"/>
        <v>-8.7249652984334721E-4</v>
      </c>
      <c r="D107" s="16">
        <f t="shared" si="3"/>
        <v>7.2042553191489361E-2</v>
      </c>
    </row>
    <row r="108" spans="1:4" x14ac:dyDescent="0.2">
      <c r="A108" s="14">
        <v>36678</v>
      </c>
      <c r="B108" s="18">
        <f>VLOOKUP(A108,Database!A:K,MATCH($A$1,Database!$A$1:$K$1,),)</f>
        <v>25262</v>
      </c>
      <c r="C108" s="15">
        <f t="shared" si="2"/>
        <v>2.7388560314373042E-3</v>
      </c>
      <c r="D108" s="16">
        <f t="shared" si="3"/>
        <v>7.2878620572496389E-2</v>
      </c>
    </row>
    <row r="109" spans="1:4" x14ac:dyDescent="0.2">
      <c r="A109" s="13">
        <v>36708</v>
      </c>
      <c r="B109" s="18">
        <f>VLOOKUP(A109,Database!A:K,MATCH($A$1,Database!$A$1:$K$1,),)</f>
        <v>25454</v>
      </c>
      <c r="C109" s="15">
        <f t="shared" si="2"/>
        <v>7.6003483492993427E-3</v>
      </c>
      <c r="D109" s="16">
        <f t="shared" si="3"/>
        <v>8.2780330100391361E-2</v>
      </c>
    </row>
    <row r="110" spans="1:4" x14ac:dyDescent="0.2">
      <c r="A110" s="14">
        <v>36739</v>
      </c>
      <c r="B110" s="18">
        <f>VLOOKUP(A110,Database!A:K,MATCH($A$1,Database!$A$1:$K$1,),)</f>
        <v>25342</v>
      </c>
      <c r="C110" s="15">
        <f t="shared" si="2"/>
        <v>-4.4000942877347373E-3</v>
      </c>
      <c r="D110" s="16">
        <f t="shared" si="3"/>
        <v>7.0909398242055444E-2</v>
      </c>
    </row>
    <row r="111" spans="1:4" x14ac:dyDescent="0.2">
      <c r="A111" s="13">
        <v>36770</v>
      </c>
      <c r="B111" s="18">
        <f>VLOOKUP(A111,Database!A:K,MATCH($A$1,Database!$A$1:$K$1,),)</f>
        <v>25711</v>
      </c>
      <c r="C111" s="15">
        <f t="shared" si="2"/>
        <v>1.4560808144582117E-2</v>
      </c>
      <c r="D111" s="16">
        <f t="shared" si="3"/>
        <v>7.8662527269676125E-2</v>
      </c>
    </row>
    <row r="112" spans="1:4" x14ac:dyDescent="0.2">
      <c r="A112" s="14">
        <v>36800</v>
      </c>
      <c r="B112" s="18">
        <f>VLOOKUP(A112,Database!A:K,MATCH($A$1,Database!$A$1:$K$1,),)</f>
        <v>25706</v>
      </c>
      <c r="C112" s="15">
        <f t="shared" si="2"/>
        <v>-1.9446929329858815E-4</v>
      </c>
      <c r="D112" s="16">
        <f t="shared" si="3"/>
        <v>5.9385946837008034E-2</v>
      </c>
    </row>
    <row r="113" spans="1:4" x14ac:dyDescent="0.2">
      <c r="A113" s="13">
        <v>36831</v>
      </c>
      <c r="B113" s="18">
        <f>VLOOKUP(A113,Database!A:K,MATCH($A$1,Database!$A$1:$K$1,),)</f>
        <v>25698</v>
      </c>
      <c r="C113" s="15">
        <f t="shared" si="2"/>
        <v>-3.1121139033688633E-4</v>
      </c>
      <c r="D113" s="16">
        <f t="shared" si="3"/>
        <v>5.2291060972114167E-2</v>
      </c>
    </row>
    <row r="114" spans="1:4" x14ac:dyDescent="0.2">
      <c r="A114" s="14">
        <v>36861</v>
      </c>
      <c r="B114" s="18">
        <f>VLOOKUP(A114,Database!A:K,MATCH($A$1,Database!$A$1:$K$1,),)</f>
        <v>25133</v>
      </c>
      <c r="C114" s="15">
        <f t="shared" si="2"/>
        <v>-2.1986146781850728E-2</v>
      </c>
      <c r="D114" s="16">
        <f t="shared" si="3"/>
        <v>3.0970547214701782E-2</v>
      </c>
    </row>
    <row r="115" spans="1:4" x14ac:dyDescent="0.2">
      <c r="A115" s="13">
        <v>36892</v>
      </c>
      <c r="B115" s="18">
        <f>VLOOKUP(A115,Database!A:K,MATCH($A$1,Database!$A$1:$K$1,),)</f>
        <v>26180</v>
      </c>
      <c r="C115" s="15">
        <f t="shared" si="2"/>
        <v>4.1658377432061432E-2</v>
      </c>
      <c r="D115" s="16">
        <f t="shared" si="3"/>
        <v>6.3881664499349802E-2</v>
      </c>
    </row>
    <row r="116" spans="1:4" x14ac:dyDescent="0.2">
      <c r="A116" s="14">
        <v>36923</v>
      </c>
      <c r="B116" s="18">
        <f>VLOOKUP(A116,Database!A:K,MATCH($A$1,Database!$A$1:$K$1,),)</f>
        <v>26069</v>
      </c>
      <c r="C116" s="15">
        <f t="shared" si="2"/>
        <v>-4.2398777692895344E-3</v>
      </c>
      <c r="D116" s="16">
        <f t="shared" si="3"/>
        <v>4.7494675935227229E-2</v>
      </c>
    </row>
    <row r="117" spans="1:4" x14ac:dyDescent="0.2">
      <c r="A117" s="13">
        <v>36951</v>
      </c>
      <c r="B117" s="18">
        <f>VLOOKUP(A117,Database!A:K,MATCH($A$1,Database!$A$1:$K$1,),)</f>
        <v>26122</v>
      </c>
      <c r="C117" s="15">
        <f t="shared" si="2"/>
        <v>2.0330660938279181E-3</v>
      </c>
      <c r="D117" s="16">
        <f t="shared" si="3"/>
        <v>2.9763078014743566E-2</v>
      </c>
    </row>
    <row r="118" spans="1:4" x14ac:dyDescent="0.2">
      <c r="A118" s="14">
        <v>36982</v>
      </c>
      <c r="B118" s="18">
        <f>VLOOKUP(A118,Database!A:K,MATCH($A$1,Database!$A$1:$K$1,),)</f>
        <v>26045</v>
      </c>
      <c r="C118" s="15">
        <f t="shared" si="2"/>
        <v>-2.9477069137125796E-3</v>
      </c>
      <c r="D118" s="16">
        <f t="shared" si="3"/>
        <v>3.2916914534999009E-2</v>
      </c>
    </row>
    <row r="119" spans="1:4" x14ac:dyDescent="0.2">
      <c r="A119" s="13">
        <v>37012</v>
      </c>
      <c r="B119" s="18">
        <f>VLOOKUP(A119,Database!A:K,MATCH($A$1,Database!$A$1:$K$1,),)</f>
        <v>26278</v>
      </c>
      <c r="C119" s="15">
        <f t="shared" si="2"/>
        <v>8.9460549049721633E-3</v>
      </c>
      <c r="D119" s="16">
        <f t="shared" si="3"/>
        <v>4.3067518755209783E-2</v>
      </c>
    </row>
    <row r="120" spans="1:4" x14ac:dyDescent="0.2">
      <c r="A120" s="14">
        <v>37043</v>
      </c>
      <c r="B120" s="18">
        <f>VLOOKUP(A120,Database!A:K,MATCH($A$1,Database!$A$1:$K$1,),)</f>
        <v>26379</v>
      </c>
      <c r="C120" s="15">
        <f t="shared" si="2"/>
        <v>3.8435192937057616E-3</v>
      </c>
      <c r="D120" s="16">
        <f t="shared" si="3"/>
        <v>4.4216609927955029E-2</v>
      </c>
    </row>
    <row r="121" spans="1:4" x14ac:dyDescent="0.2">
      <c r="A121" s="13">
        <v>37073</v>
      </c>
      <c r="B121" s="18">
        <f>VLOOKUP(A121,Database!A:K,MATCH($A$1,Database!$A$1:$K$1,),)</f>
        <v>26507</v>
      </c>
      <c r="C121" s="15">
        <f t="shared" si="2"/>
        <v>4.8523446681072065E-3</v>
      </c>
      <c r="D121" s="16">
        <f t="shared" si="3"/>
        <v>4.1368743615934629E-2</v>
      </c>
    </row>
    <row r="122" spans="1:4" x14ac:dyDescent="0.2">
      <c r="A122" s="14">
        <v>37104</v>
      </c>
      <c r="B122" s="18">
        <f>VLOOKUP(A122,Database!A:K,MATCH($A$1,Database!$A$1:$K$1,),)</f>
        <v>26853</v>
      </c>
      <c r="C122" s="15">
        <f t="shared" si="2"/>
        <v>1.3053155770173916E-2</v>
      </c>
      <c r="D122" s="16">
        <f t="shared" si="3"/>
        <v>5.962433904190672E-2</v>
      </c>
    </row>
    <row r="123" spans="1:4" x14ac:dyDescent="0.2">
      <c r="A123" s="13">
        <v>37135</v>
      </c>
      <c r="B123" s="18">
        <f>VLOOKUP(A123,Database!A:K,MATCH($A$1,Database!$A$1:$K$1,),)</f>
        <v>26239</v>
      </c>
      <c r="C123" s="15">
        <f t="shared" si="2"/>
        <v>-2.2865229210888915E-2</v>
      </c>
      <c r="D123" s="16">
        <f t="shared" si="3"/>
        <v>2.053595737233091E-2</v>
      </c>
    </row>
    <row r="124" spans="1:4" x14ac:dyDescent="0.2">
      <c r="A124" s="14">
        <v>37165</v>
      </c>
      <c r="B124" s="18">
        <f>VLOOKUP(A124,Database!A:K,MATCH($A$1,Database!$A$1:$K$1,),)</f>
        <v>26541</v>
      </c>
      <c r="C124" s="15">
        <f t="shared" si="2"/>
        <v>1.1509584968939364E-2</v>
      </c>
      <c r="D124" s="16">
        <f t="shared" si="3"/>
        <v>3.2482688866412514E-2</v>
      </c>
    </row>
    <row r="125" spans="1:4" x14ac:dyDescent="0.2">
      <c r="A125" s="13">
        <v>37196</v>
      </c>
      <c r="B125" s="18">
        <f>VLOOKUP(A125,Database!A:K,MATCH($A$1,Database!$A$1:$K$1,),)</f>
        <v>26597</v>
      </c>
      <c r="C125" s="15">
        <f t="shared" si="2"/>
        <v>2.109943106891225E-3</v>
      </c>
      <c r="D125" s="16">
        <f t="shared" si="3"/>
        <v>3.4983267180325316E-2</v>
      </c>
    </row>
    <row r="126" spans="1:4" x14ac:dyDescent="0.2">
      <c r="A126" s="14">
        <v>37226</v>
      </c>
      <c r="B126" s="18">
        <f>VLOOKUP(A126,Database!A:K,MATCH($A$1,Database!$A$1:$K$1,),)</f>
        <v>27156</v>
      </c>
      <c r="C126" s="15">
        <f t="shared" si="2"/>
        <v>2.1017407978343422E-2</v>
      </c>
      <c r="D126" s="16">
        <f t="shared" si="3"/>
        <v>8.0491783710659293E-2</v>
      </c>
    </row>
    <row r="127" spans="1:4" x14ac:dyDescent="0.2">
      <c r="A127" s="13">
        <v>37257</v>
      </c>
      <c r="B127" s="18">
        <f>VLOOKUP(A127,Database!A:K,MATCH($A$1,Database!$A$1:$K$1,),)</f>
        <v>27201</v>
      </c>
      <c r="C127" s="15">
        <f t="shared" si="2"/>
        <v>1.6570923552806009E-3</v>
      </c>
      <c r="D127" s="16">
        <f t="shared" si="3"/>
        <v>3.8999236058059585E-2</v>
      </c>
    </row>
    <row r="128" spans="1:4" x14ac:dyDescent="0.2">
      <c r="A128" s="14">
        <v>37288</v>
      </c>
      <c r="B128" s="18">
        <f>VLOOKUP(A128,Database!A:K,MATCH($A$1,Database!$A$1:$K$1,),)</f>
        <v>27384</v>
      </c>
      <c r="C128" s="15">
        <f t="shared" si="2"/>
        <v>6.7276938347854854E-3</v>
      </c>
      <c r="D128" s="16">
        <f t="shared" si="3"/>
        <v>5.0443054969504006E-2</v>
      </c>
    </row>
    <row r="129" spans="1:4" x14ac:dyDescent="0.2">
      <c r="A129" s="13">
        <v>37316</v>
      </c>
      <c r="B129" s="18">
        <f>VLOOKUP(A129,Database!A:K,MATCH($A$1,Database!$A$1:$K$1,),)</f>
        <v>27203</v>
      </c>
      <c r="C129" s="15">
        <f t="shared" si="2"/>
        <v>-6.6096990943616714E-3</v>
      </c>
      <c r="D129" s="16">
        <f t="shared" si="3"/>
        <v>4.1382742515886993E-2</v>
      </c>
    </row>
    <row r="130" spans="1:4" x14ac:dyDescent="0.2">
      <c r="A130" s="14">
        <v>37347</v>
      </c>
      <c r="B130" s="18">
        <f>VLOOKUP(A130,Database!A:K,MATCH($A$1,Database!$A$1:$K$1,),)</f>
        <v>27500</v>
      </c>
      <c r="C130" s="15">
        <f t="shared" si="2"/>
        <v>1.0917913465426607E-2</v>
      </c>
      <c r="D130" s="16">
        <f t="shared" si="3"/>
        <v>5.5864849299289691E-2</v>
      </c>
    </row>
    <row r="131" spans="1:4" x14ac:dyDescent="0.2">
      <c r="A131" s="13">
        <v>37377</v>
      </c>
      <c r="B131" s="18">
        <f>VLOOKUP(A131,Database!A:K,MATCH($A$1,Database!$A$1:$K$1,),)</f>
        <v>27378</v>
      </c>
      <c r="C131" s="15">
        <f t="shared" si="2"/>
        <v>-4.4363636363636367E-3</v>
      </c>
      <c r="D131" s="16">
        <f t="shared" si="3"/>
        <v>4.1860111119567701E-2</v>
      </c>
    </row>
    <row r="132" spans="1:4" x14ac:dyDescent="0.2">
      <c r="A132" s="14">
        <v>37408</v>
      </c>
      <c r="B132" s="18">
        <f>VLOOKUP(A132,Database!A:K,MATCH($A$1,Database!$A$1:$K$1,),)</f>
        <v>27586</v>
      </c>
      <c r="C132" s="15">
        <f t="shared" si="2"/>
        <v>7.5973409306742644E-3</v>
      </c>
      <c r="D132" s="16">
        <f t="shared" si="3"/>
        <v>4.5756093862542174E-2</v>
      </c>
    </row>
    <row r="133" spans="1:4" x14ac:dyDescent="0.2">
      <c r="A133" s="13">
        <v>37438</v>
      </c>
      <c r="B133" s="18">
        <f>VLOOKUP(A133,Database!A:K,MATCH($A$1,Database!$A$1:$K$1,),)</f>
        <v>27616</v>
      </c>
      <c r="C133" s="15">
        <f t="shared" si="2"/>
        <v>1.0875081563111724E-3</v>
      </c>
      <c r="D133" s="16">
        <f t="shared" si="3"/>
        <v>4.1838005055268419E-2</v>
      </c>
    </row>
    <row r="134" spans="1:4" x14ac:dyDescent="0.2">
      <c r="A134" s="14">
        <v>37469</v>
      </c>
      <c r="B134" s="18">
        <f>VLOOKUP(A134,Database!A:K,MATCH($A$1,Database!$A$1:$K$1,),)</f>
        <v>27607</v>
      </c>
      <c r="C134" s="15">
        <f t="shared" si="2"/>
        <v>-3.2589803012746235E-4</v>
      </c>
      <c r="D134" s="16">
        <f t="shared" si="3"/>
        <v>2.8078799389267495E-2</v>
      </c>
    </row>
    <row r="135" spans="1:4" x14ac:dyDescent="0.2">
      <c r="A135" s="13">
        <v>37500</v>
      </c>
      <c r="B135" s="18">
        <f>VLOOKUP(A135,Database!A:K,MATCH($A$1,Database!$A$1:$K$1,),)</f>
        <v>27784</v>
      </c>
      <c r="C135" s="15">
        <f t="shared" si="2"/>
        <v>6.4114173941391675E-3</v>
      </c>
      <c r="D135" s="16">
        <f t="shared" si="3"/>
        <v>5.8881817142421584E-2</v>
      </c>
    </row>
    <row r="136" spans="1:4" x14ac:dyDescent="0.2">
      <c r="A136" s="14">
        <v>37530</v>
      </c>
      <c r="B136" s="18">
        <f>VLOOKUP(A136,Database!A:K,MATCH($A$1,Database!$A$1:$K$1,),)</f>
        <v>27623</v>
      </c>
      <c r="C136" s="15">
        <f t="shared" si="2"/>
        <v>-5.794701986754967E-3</v>
      </c>
      <c r="D136" s="16">
        <f t="shared" si="3"/>
        <v>4.0767115029576882E-2</v>
      </c>
    </row>
    <row r="137" spans="1:4" x14ac:dyDescent="0.2">
      <c r="A137" s="13">
        <v>37561</v>
      </c>
      <c r="B137" s="18">
        <f>VLOOKUP(A137,Database!A:K,MATCH($A$1,Database!$A$1:$K$1,),)</f>
        <v>27916</v>
      </c>
      <c r="C137" s="15">
        <f t="shared" ref="C137:C200" si="4">(B137-B136)/B136</f>
        <v>1.0607102776671614E-2</v>
      </c>
      <c r="D137" s="16">
        <f t="shared" si="3"/>
        <v>4.9592059254803172E-2</v>
      </c>
    </row>
    <row r="138" spans="1:4" x14ac:dyDescent="0.2">
      <c r="A138" s="14">
        <v>37591</v>
      </c>
      <c r="B138" s="18">
        <f>VLOOKUP(A138,Database!A:K,MATCH($A$1,Database!$A$1:$K$1,),)</f>
        <v>28017</v>
      </c>
      <c r="C138" s="15">
        <f t="shared" si="4"/>
        <v>3.617996847685915E-3</v>
      </c>
      <c r="D138" s="16">
        <f t="shared" si="3"/>
        <v>3.1705700397702166E-2</v>
      </c>
    </row>
    <row r="139" spans="1:4" x14ac:dyDescent="0.2">
      <c r="A139" s="13">
        <v>37622</v>
      </c>
      <c r="B139" s="18">
        <f>VLOOKUP(A139,Database!A:K,MATCH($A$1,Database!$A$1:$K$1,),)</f>
        <v>28018</v>
      </c>
      <c r="C139" s="15">
        <f t="shared" si="4"/>
        <v>3.5692615197915549E-5</v>
      </c>
      <c r="D139" s="16">
        <f t="shared" si="3"/>
        <v>3.0035660453659793E-2</v>
      </c>
    </row>
    <row r="140" spans="1:4" x14ac:dyDescent="0.2">
      <c r="A140" s="14">
        <v>37653</v>
      </c>
      <c r="B140" s="18">
        <f>VLOOKUP(A140,Database!A:K,MATCH($A$1,Database!$A$1:$K$1,),)</f>
        <v>27979</v>
      </c>
      <c r="C140" s="15">
        <f t="shared" si="4"/>
        <v>-1.3919623099436077E-3</v>
      </c>
      <c r="D140" s="16">
        <f t="shared" si="3"/>
        <v>2.1728016359918199E-2</v>
      </c>
    </row>
    <row r="141" spans="1:4" x14ac:dyDescent="0.2">
      <c r="A141" s="13">
        <v>37681</v>
      </c>
      <c r="B141" s="18">
        <f>VLOOKUP(A141,Database!A:K,MATCH($A$1,Database!$A$1:$K$1,),)</f>
        <v>28505</v>
      </c>
      <c r="C141" s="15">
        <f t="shared" si="4"/>
        <v>1.8799814146324027E-2</v>
      </c>
      <c r="D141" s="16">
        <f t="shared" si="3"/>
        <v>4.786236812116311E-2</v>
      </c>
    </row>
    <row r="142" spans="1:4" x14ac:dyDescent="0.2">
      <c r="A142" s="14">
        <v>37712</v>
      </c>
      <c r="B142" s="18">
        <f>VLOOKUP(A142,Database!A:K,MATCH($A$1,Database!$A$1:$K$1,),)</f>
        <v>28403</v>
      </c>
      <c r="C142" s="15">
        <f t="shared" si="4"/>
        <v>-3.5783195930538503E-3</v>
      </c>
      <c r="D142" s="16">
        <f t="shared" si="3"/>
        <v>3.2836363636363636E-2</v>
      </c>
    </row>
    <row r="143" spans="1:4" x14ac:dyDescent="0.2">
      <c r="A143" s="13">
        <v>37742</v>
      </c>
      <c r="B143" s="18">
        <f>VLOOKUP(A143,Database!A:K,MATCH($A$1,Database!$A$1:$K$1,),)</f>
        <v>29048</v>
      </c>
      <c r="C143" s="15">
        <f t="shared" si="4"/>
        <v>2.2708868781466746E-2</v>
      </c>
      <c r="D143" s="16">
        <f t="shared" si="3"/>
        <v>6.0997881510702026E-2</v>
      </c>
    </row>
    <row r="144" spans="1:4" x14ac:dyDescent="0.2">
      <c r="A144" s="14">
        <v>37773</v>
      </c>
      <c r="B144" s="18">
        <f>VLOOKUP(A144,Database!A:K,MATCH($A$1,Database!$A$1:$K$1,),)</f>
        <v>29230</v>
      </c>
      <c r="C144" s="15">
        <f t="shared" si="4"/>
        <v>6.2654916001101627E-3</v>
      </c>
      <c r="D144" s="16">
        <f t="shared" si="3"/>
        <v>5.9595446965852242E-2</v>
      </c>
    </row>
    <row r="145" spans="1:4" x14ac:dyDescent="0.2">
      <c r="A145" s="13">
        <v>37803</v>
      </c>
      <c r="B145" s="18">
        <f>VLOOKUP(A145,Database!A:K,MATCH($A$1,Database!$A$1:$K$1,),)</f>
        <v>29395</v>
      </c>
      <c r="C145" s="15">
        <f t="shared" si="4"/>
        <v>5.6448853917208351E-3</v>
      </c>
      <c r="D145" s="16">
        <f t="shared" si="3"/>
        <v>6.441917728852839E-2</v>
      </c>
    </row>
    <row r="146" spans="1:4" x14ac:dyDescent="0.2">
      <c r="A146" s="14">
        <v>37834</v>
      </c>
      <c r="B146" s="18">
        <f>VLOOKUP(A146,Database!A:K,MATCH($A$1,Database!$A$1:$K$1,),)</f>
        <v>29844</v>
      </c>
      <c r="C146" s="15">
        <f t="shared" si="4"/>
        <v>1.5274706582752168E-2</v>
      </c>
      <c r="D146" s="16">
        <f t="shared" si="3"/>
        <v>8.1030173506719316E-2</v>
      </c>
    </row>
    <row r="147" spans="1:4" x14ac:dyDescent="0.2">
      <c r="A147" s="13">
        <v>37865</v>
      </c>
      <c r="B147" s="18">
        <f>VLOOKUP(A147,Database!A:K,MATCH($A$1,Database!$A$1:$K$1,),)</f>
        <v>29503</v>
      </c>
      <c r="C147" s="15">
        <f t="shared" si="4"/>
        <v>-1.1426082294598579E-2</v>
      </c>
      <c r="D147" s="16">
        <f t="shared" si="3"/>
        <v>6.1870141088396197E-2</v>
      </c>
    </row>
    <row r="148" spans="1:4" x14ac:dyDescent="0.2">
      <c r="A148" s="14">
        <v>37895</v>
      </c>
      <c r="B148" s="18">
        <f>VLOOKUP(A148,Database!A:K,MATCH($A$1,Database!$A$1:$K$1,),)</f>
        <v>30045</v>
      </c>
      <c r="C148" s="15">
        <f t="shared" si="4"/>
        <v>1.8371013117310105E-2</v>
      </c>
      <c r="D148" s="16">
        <f t="shared" ref="D148:D211" si="5">(B148-B136)/B136</f>
        <v>8.7680556058357173E-2</v>
      </c>
    </row>
    <row r="149" spans="1:4" x14ac:dyDescent="0.2">
      <c r="A149" s="13">
        <v>37926</v>
      </c>
      <c r="B149" s="18">
        <f>VLOOKUP(A149,Database!A:K,MATCH($A$1,Database!$A$1:$K$1,),)</f>
        <v>30229</v>
      </c>
      <c r="C149" s="15">
        <f t="shared" si="4"/>
        <v>6.124147112664337E-3</v>
      </c>
      <c r="D149" s="16">
        <f t="shared" si="5"/>
        <v>8.2855709987104176E-2</v>
      </c>
    </row>
    <row r="150" spans="1:4" x14ac:dyDescent="0.2">
      <c r="A150" s="14">
        <v>37956</v>
      </c>
      <c r="B150" s="18">
        <f>VLOOKUP(A150,Database!A:K,MATCH($A$1,Database!$A$1:$K$1,),)</f>
        <v>29795</v>
      </c>
      <c r="C150" s="15">
        <f t="shared" si="4"/>
        <v>-1.4357074332594529E-2</v>
      </c>
      <c r="D150" s="16">
        <f t="shared" si="5"/>
        <v>6.3461469821893851E-2</v>
      </c>
    </row>
    <row r="151" spans="1:4" x14ac:dyDescent="0.2">
      <c r="A151" s="13">
        <v>37987</v>
      </c>
      <c r="B151" s="18">
        <f>VLOOKUP(A151,Database!A:K,MATCH($A$1,Database!$A$1:$K$1,),)</f>
        <v>30341</v>
      </c>
      <c r="C151" s="15">
        <f t="shared" si="4"/>
        <v>1.832522235274375E-2</v>
      </c>
      <c r="D151" s="16">
        <f t="shared" si="5"/>
        <v>8.2910985794846168E-2</v>
      </c>
    </row>
    <row r="152" spans="1:4" x14ac:dyDescent="0.2">
      <c r="A152" s="14">
        <v>38018</v>
      </c>
      <c r="B152" s="18">
        <f>VLOOKUP(A152,Database!A:K,MATCH($A$1,Database!$A$1:$K$1,),)</f>
        <v>30461</v>
      </c>
      <c r="C152" s="15">
        <f t="shared" si="4"/>
        <v>3.9550443294551927E-3</v>
      </c>
      <c r="D152" s="16">
        <f t="shared" si="5"/>
        <v>8.8709389184745704E-2</v>
      </c>
    </row>
    <row r="153" spans="1:4" x14ac:dyDescent="0.2">
      <c r="A153" s="13">
        <v>38047</v>
      </c>
      <c r="B153" s="18">
        <f>VLOOKUP(A153,Database!A:K,MATCH($A$1,Database!$A$1:$K$1,),)</f>
        <v>30703</v>
      </c>
      <c r="C153" s="15">
        <f t="shared" si="4"/>
        <v>7.9445848790256398E-3</v>
      </c>
      <c r="D153" s="16">
        <f t="shared" si="5"/>
        <v>7.7109279073846695E-2</v>
      </c>
    </row>
    <row r="154" spans="1:4" x14ac:dyDescent="0.2">
      <c r="A154" s="14">
        <v>38078</v>
      </c>
      <c r="B154" s="18">
        <f>VLOOKUP(A154,Database!A:K,MATCH($A$1,Database!$A$1:$K$1,),)</f>
        <v>30560</v>
      </c>
      <c r="C154" s="15">
        <f t="shared" si="4"/>
        <v>-4.6575253232583134E-3</v>
      </c>
      <c r="D154" s="16">
        <f t="shared" si="5"/>
        <v>7.5942682111044602E-2</v>
      </c>
    </row>
    <row r="155" spans="1:4" x14ac:dyDescent="0.2">
      <c r="A155" s="13">
        <v>38108</v>
      </c>
      <c r="B155" s="18">
        <f>VLOOKUP(A155,Database!A:K,MATCH($A$1,Database!$A$1:$K$1,),)</f>
        <v>30712</v>
      </c>
      <c r="C155" s="15">
        <f t="shared" si="4"/>
        <v>4.9738219895287955E-3</v>
      </c>
      <c r="D155" s="16">
        <f t="shared" si="5"/>
        <v>5.7284494629578631E-2</v>
      </c>
    </row>
    <row r="156" spans="1:4" x14ac:dyDescent="0.2">
      <c r="A156" s="14">
        <v>38139</v>
      </c>
      <c r="B156" s="18">
        <f>VLOOKUP(A156,Database!A:K,MATCH($A$1,Database!$A$1:$K$1,),)</f>
        <v>30825</v>
      </c>
      <c r="C156" s="15">
        <f t="shared" si="4"/>
        <v>3.6793435790570461E-3</v>
      </c>
      <c r="D156" s="16">
        <f t="shared" si="5"/>
        <v>5.45672254533014E-2</v>
      </c>
    </row>
    <row r="157" spans="1:4" x14ac:dyDescent="0.2">
      <c r="A157" s="13">
        <v>38169</v>
      </c>
      <c r="B157" s="18">
        <f>VLOOKUP(A157,Database!A:K,MATCH($A$1,Database!$A$1:$K$1,),)</f>
        <v>31191</v>
      </c>
      <c r="C157" s="15">
        <f t="shared" si="4"/>
        <v>1.1873479318734793E-2</v>
      </c>
      <c r="D157" s="16">
        <f t="shared" si="5"/>
        <v>6.1098826331008674E-2</v>
      </c>
    </row>
    <row r="158" spans="1:4" x14ac:dyDescent="0.2">
      <c r="A158" s="14">
        <v>38200</v>
      </c>
      <c r="B158" s="18">
        <f>VLOOKUP(A158,Database!A:K,MATCH($A$1,Database!$A$1:$K$1,),)</f>
        <v>31036</v>
      </c>
      <c r="C158" s="15">
        <f t="shared" si="4"/>
        <v>-4.9693821935814821E-3</v>
      </c>
      <c r="D158" s="16">
        <f t="shared" si="5"/>
        <v>3.9941026672027875E-2</v>
      </c>
    </row>
    <row r="159" spans="1:4" x14ac:dyDescent="0.2">
      <c r="A159" s="13">
        <v>38231</v>
      </c>
      <c r="B159" s="18">
        <f>VLOOKUP(A159,Database!A:K,MATCH($A$1,Database!$A$1:$K$1,),)</f>
        <v>31430</v>
      </c>
      <c r="C159" s="15">
        <f t="shared" si="4"/>
        <v>1.2694934914293078E-2</v>
      </c>
      <c r="D159" s="16">
        <f t="shared" si="5"/>
        <v>6.531539165508593E-2</v>
      </c>
    </row>
    <row r="160" spans="1:4" x14ac:dyDescent="0.2">
      <c r="A160" s="14">
        <v>38261</v>
      </c>
      <c r="B160" s="18">
        <f>VLOOKUP(A160,Database!A:K,MATCH($A$1,Database!$A$1:$K$1,),)</f>
        <v>31625</v>
      </c>
      <c r="C160" s="15">
        <f t="shared" si="4"/>
        <v>6.2042634425707923E-3</v>
      </c>
      <c r="D160" s="16">
        <f t="shared" si="5"/>
        <v>5.2587784989182894E-2</v>
      </c>
    </row>
    <row r="161" spans="1:4" x14ac:dyDescent="0.2">
      <c r="A161" s="13">
        <v>38292</v>
      </c>
      <c r="B161" s="18">
        <f>VLOOKUP(A161,Database!A:K,MATCH($A$1,Database!$A$1:$K$1,),)</f>
        <v>31659</v>
      </c>
      <c r="C161" s="15">
        <f t="shared" si="4"/>
        <v>1.0750988142292489E-3</v>
      </c>
      <c r="D161" s="16">
        <f t="shared" si="5"/>
        <v>4.7305567501405937E-2</v>
      </c>
    </row>
    <row r="162" spans="1:4" x14ac:dyDescent="0.2">
      <c r="A162" s="14">
        <v>38322</v>
      </c>
      <c r="B162" s="18">
        <f>VLOOKUP(A162,Database!A:K,MATCH($A$1,Database!$A$1:$K$1,),)</f>
        <v>32111</v>
      </c>
      <c r="C162" s="15">
        <f t="shared" si="4"/>
        <v>1.4277140781452351E-2</v>
      </c>
      <c r="D162" s="16">
        <f t="shared" si="5"/>
        <v>7.7731162946803156E-2</v>
      </c>
    </row>
    <row r="163" spans="1:4" x14ac:dyDescent="0.2">
      <c r="A163" s="13">
        <v>38353</v>
      </c>
      <c r="B163" s="18">
        <f>VLOOKUP(A163,Database!A:K,MATCH($A$1,Database!$A$1:$K$1,),)</f>
        <v>32000</v>
      </c>
      <c r="C163" s="15">
        <f t="shared" si="4"/>
        <v>-3.456759365949363E-3</v>
      </c>
      <c r="D163" s="16">
        <f t="shared" si="5"/>
        <v>5.4678487854718037E-2</v>
      </c>
    </row>
    <row r="164" spans="1:4" x14ac:dyDescent="0.2">
      <c r="A164" s="14">
        <v>38384</v>
      </c>
      <c r="B164" s="18">
        <f>VLOOKUP(A164,Database!A:K,MATCH($A$1,Database!$A$1:$K$1,),)</f>
        <v>32469</v>
      </c>
      <c r="C164" s="15">
        <f t="shared" si="4"/>
        <v>1.4656249999999999E-2</v>
      </c>
      <c r="D164" s="16">
        <f t="shared" si="5"/>
        <v>6.5920357178030922E-2</v>
      </c>
    </row>
    <row r="165" spans="1:4" x14ac:dyDescent="0.2">
      <c r="A165" s="13">
        <v>38412</v>
      </c>
      <c r="B165" s="18">
        <f>VLOOKUP(A165,Database!A:K,MATCH($A$1,Database!$A$1:$K$1,),)</f>
        <v>32273</v>
      </c>
      <c r="C165" s="15">
        <f t="shared" si="4"/>
        <v>-6.036527148972866E-3</v>
      </c>
      <c r="D165" s="16">
        <f t="shared" si="5"/>
        <v>5.1135068234374491E-2</v>
      </c>
    </row>
    <row r="166" spans="1:4" x14ac:dyDescent="0.2">
      <c r="A166" s="14">
        <v>38443</v>
      </c>
      <c r="B166" s="18">
        <f>VLOOKUP(A166,Database!A:K,MATCH($A$1,Database!$A$1:$K$1,),)</f>
        <v>32823</v>
      </c>
      <c r="C166" s="15">
        <f t="shared" si="4"/>
        <v>1.7042109503299971E-2</v>
      </c>
      <c r="D166" s="16">
        <f t="shared" si="5"/>
        <v>7.405104712041885E-2</v>
      </c>
    </row>
    <row r="167" spans="1:4" x14ac:dyDescent="0.2">
      <c r="A167" s="13">
        <v>38473</v>
      </c>
      <c r="B167" s="18">
        <f>VLOOKUP(A167,Database!A:K,MATCH($A$1,Database!$A$1:$K$1,),)</f>
        <v>32746</v>
      </c>
      <c r="C167" s="15">
        <f t="shared" si="4"/>
        <v>-2.3459159735551289E-3</v>
      </c>
      <c r="D167" s="16">
        <f t="shared" si="5"/>
        <v>6.6228184423026831E-2</v>
      </c>
    </row>
    <row r="168" spans="1:4" x14ac:dyDescent="0.2">
      <c r="A168" s="14">
        <v>38504</v>
      </c>
      <c r="B168" s="18">
        <f>VLOOKUP(A168,Database!A:K,MATCH($A$1,Database!$A$1:$K$1,),)</f>
        <v>33009</v>
      </c>
      <c r="C168" s="15">
        <f t="shared" si="4"/>
        <v>8.031515299578575E-3</v>
      </c>
      <c r="D168" s="16">
        <f t="shared" si="5"/>
        <v>7.085158150851581E-2</v>
      </c>
    </row>
    <row r="169" spans="1:4" x14ac:dyDescent="0.2">
      <c r="A169" s="13">
        <v>38534</v>
      </c>
      <c r="B169" s="18">
        <f>VLOOKUP(A169,Database!A:K,MATCH($A$1,Database!$A$1:$K$1,),)</f>
        <v>33056</v>
      </c>
      <c r="C169" s="15">
        <f t="shared" si="4"/>
        <v>1.4238541003968614E-3</v>
      </c>
      <c r="D169" s="16">
        <f t="shared" si="5"/>
        <v>5.9792888974383639E-2</v>
      </c>
    </row>
    <row r="170" spans="1:4" x14ac:dyDescent="0.2">
      <c r="A170" s="14">
        <v>38565</v>
      </c>
      <c r="B170" s="18">
        <f>VLOOKUP(A170,Database!A:K,MATCH($A$1,Database!$A$1:$K$1,),)</f>
        <v>33261</v>
      </c>
      <c r="C170" s="15">
        <f t="shared" si="4"/>
        <v>6.201597289448209E-3</v>
      </c>
      <c r="D170" s="16">
        <f t="shared" si="5"/>
        <v>7.1690939554066246E-2</v>
      </c>
    </row>
    <row r="171" spans="1:4" x14ac:dyDescent="0.2">
      <c r="A171" s="13">
        <v>38596</v>
      </c>
      <c r="B171" s="18">
        <f>VLOOKUP(A171,Database!A:K,MATCH($A$1,Database!$A$1:$K$1,),)</f>
        <v>33283</v>
      </c>
      <c r="C171" s="15">
        <f t="shared" si="4"/>
        <v>6.6143531463275305E-4</v>
      </c>
      <c r="D171" s="16">
        <f t="shared" si="5"/>
        <v>5.8956411072223991E-2</v>
      </c>
    </row>
    <row r="172" spans="1:4" x14ac:dyDescent="0.2">
      <c r="A172" s="14">
        <v>38626</v>
      </c>
      <c r="B172" s="18">
        <f>VLOOKUP(A172,Database!A:K,MATCH($A$1,Database!$A$1:$K$1,),)</f>
        <v>33618</v>
      </c>
      <c r="C172" s="15">
        <f t="shared" si="4"/>
        <v>1.0065198449658985E-2</v>
      </c>
      <c r="D172" s="16">
        <f t="shared" si="5"/>
        <v>6.30197628458498E-2</v>
      </c>
    </row>
    <row r="173" spans="1:4" x14ac:dyDescent="0.2">
      <c r="A173" s="13">
        <v>38657</v>
      </c>
      <c r="B173" s="18">
        <f>VLOOKUP(A173,Database!A:K,MATCH($A$1,Database!$A$1:$K$1,),)</f>
        <v>34022</v>
      </c>
      <c r="C173" s="15">
        <f t="shared" si="4"/>
        <v>1.2017371646141948E-2</v>
      </c>
      <c r="D173" s="16">
        <f t="shared" si="5"/>
        <v>7.4639123156132539E-2</v>
      </c>
    </row>
    <row r="174" spans="1:4" x14ac:dyDescent="0.2">
      <c r="A174" s="14">
        <v>38687</v>
      </c>
      <c r="B174" s="18">
        <f>VLOOKUP(A174,Database!A:K,MATCH($A$1,Database!$A$1:$K$1,),)</f>
        <v>33932</v>
      </c>
      <c r="C174" s="15">
        <f t="shared" si="4"/>
        <v>-2.6453471283287284E-3</v>
      </c>
      <c r="D174" s="16">
        <f t="shared" si="5"/>
        <v>5.6709538787331447E-2</v>
      </c>
    </row>
    <row r="175" spans="1:4" x14ac:dyDescent="0.2">
      <c r="A175" s="13">
        <v>38718</v>
      </c>
      <c r="B175" s="18">
        <f>VLOOKUP(A175,Database!A:K,MATCH($A$1,Database!$A$1:$K$1,),)</f>
        <v>34983</v>
      </c>
      <c r="C175" s="15">
        <f t="shared" si="4"/>
        <v>3.0973712130142637E-2</v>
      </c>
      <c r="D175" s="16">
        <f t="shared" si="5"/>
        <v>9.3218750000000003E-2</v>
      </c>
    </row>
    <row r="176" spans="1:4" x14ac:dyDescent="0.2">
      <c r="A176" s="14">
        <v>38749</v>
      </c>
      <c r="B176" s="18">
        <f>VLOOKUP(A176,Database!A:K,MATCH($A$1,Database!$A$1:$K$1,),)</f>
        <v>34535</v>
      </c>
      <c r="C176" s="15">
        <f t="shared" si="4"/>
        <v>-1.2806220164079696E-2</v>
      </c>
      <c r="D176" s="16">
        <f t="shared" si="5"/>
        <v>6.3629923927438478E-2</v>
      </c>
    </row>
    <row r="177" spans="1:4" x14ac:dyDescent="0.2">
      <c r="A177" s="13">
        <v>38777</v>
      </c>
      <c r="B177" s="18">
        <f>VLOOKUP(A177,Database!A:K,MATCH($A$1,Database!$A$1:$K$1,),)</f>
        <v>34796</v>
      </c>
      <c r="C177" s="15">
        <f t="shared" si="4"/>
        <v>7.5575503112784133E-3</v>
      </c>
      <c r="D177" s="16">
        <f t="shared" si="5"/>
        <v>7.8176804139683323E-2</v>
      </c>
    </row>
    <row r="178" spans="1:4" x14ac:dyDescent="0.2">
      <c r="A178" s="14">
        <v>38808</v>
      </c>
      <c r="B178" s="18">
        <f>VLOOKUP(A178,Database!A:K,MATCH($A$1,Database!$A$1:$K$1,),)</f>
        <v>34862</v>
      </c>
      <c r="C178" s="15">
        <f t="shared" si="4"/>
        <v>1.8967697436486953E-3</v>
      </c>
      <c r="D178" s="16">
        <f t="shared" si="5"/>
        <v>6.2121073637388419E-2</v>
      </c>
    </row>
    <row r="179" spans="1:4" x14ac:dyDescent="0.2">
      <c r="A179" s="13">
        <v>38838</v>
      </c>
      <c r="B179" s="18">
        <f>VLOOKUP(A179,Database!A:K,MATCH($A$1,Database!$A$1:$K$1,),)</f>
        <v>34910</v>
      </c>
      <c r="C179" s="15">
        <f t="shared" si="4"/>
        <v>1.3768573231598875E-3</v>
      </c>
      <c r="D179" s="16">
        <f t="shared" si="5"/>
        <v>6.6084407255848049E-2</v>
      </c>
    </row>
    <row r="180" spans="1:4" x14ac:dyDescent="0.2">
      <c r="A180" s="14">
        <v>38869</v>
      </c>
      <c r="B180" s="18">
        <f>VLOOKUP(A180,Database!A:K,MATCH($A$1,Database!$A$1:$K$1,),)</f>
        <v>34695</v>
      </c>
      <c r="C180" s="15">
        <f t="shared" si="4"/>
        <v>-6.1586937840160411E-3</v>
      </c>
      <c r="D180" s="16">
        <f t="shared" si="5"/>
        <v>5.1076979005725713E-2</v>
      </c>
    </row>
    <row r="181" spans="1:4" x14ac:dyDescent="0.2">
      <c r="A181" s="13">
        <v>38899</v>
      </c>
      <c r="B181" s="18">
        <f>VLOOKUP(A181,Database!A:K,MATCH($A$1,Database!$A$1:$K$1,),)</f>
        <v>34802</v>
      </c>
      <c r="C181" s="15">
        <f t="shared" si="4"/>
        <v>3.0840178700100879E-3</v>
      </c>
      <c r="D181" s="16">
        <f t="shared" si="5"/>
        <v>5.2819457889641819E-2</v>
      </c>
    </row>
    <row r="182" spans="1:4" x14ac:dyDescent="0.2">
      <c r="A182" s="14">
        <v>38930</v>
      </c>
      <c r="B182" s="18">
        <f>VLOOKUP(A182,Database!A:K,MATCH($A$1,Database!$A$1:$K$1,),)</f>
        <v>35367</v>
      </c>
      <c r="C182" s="15">
        <f t="shared" si="4"/>
        <v>1.6234699155220963E-2</v>
      </c>
      <c r="D182" s="16">
        <f t="shared" si="5"/>
        <v>6.3317398755299001E-2</v>
      </c>
    </row>
    <row r="183" spans="1:4" x14ac:dyDescent="0.2">
      <c r="A183" s="13">
        <v>38961</v>
      </c>
      <c r="B183" s="18">
        <f>VLOOKUP(A183,Database!A:K,MATCH($A$1,Database!$A$1:$K$1,),)</f>
        <v>35725</v>
      </c>
      <c r="C183" s="15">
        <f t="shared" si="4"/>
        <v>1.0122430514321259E-2</v>
      </c>
      <c r="D183" s="16">
        <f t="shared" si="5"/>
        <v>7.3370789892738028E-2</v>
      </c>
    </row>
    <row r="184" spans="1:4" x14ac:dyDescent="0.2">
      <c r="A184" s="14">
        <v>38991</v>
      </c>
      <c r="B184" s="18">
        <f>VLOOKUP(A184,Database!A:K,MATCH($A$1,Database!$A$1:$K$1,),)</f>
        <v>35784</v>
      </c>
      <c r="C184" s="15">
        <f t="shared" si="4"/>
        <v>1.6515045486354093E-3</v>
      </c>
      <c r="D184" s="16">
        <f t="shared" si="5"/>
        <v>6.4429769766196687E-2</v>
      </c>
    </row>
    <row r="185" spans="1:4" x14ac:dyDescent="0.2">
      <c r="A185" s="13">
        <v>39022</v>
      </c>
      <c r="B185" s="18">
        <f>VLOOKUP(A185,Database!A:K,MATCH($A$1,Database!$A$1:$K$1,),)</f>
        <v>35923</v>
      </c>
      <c r="C185" s="15">
        <f t="shared" si="4"/>
        <v>3.8844176168119828E-3</v>
      </c>
      <c r="D185" s="16">
        <f t="shared" si="5"/>
        <v>5.5875609899476812E-2</v>
      </c>
    </row>
    <row r="186" spans="1:4" x14ac:dyDescent="0.2">
      <c r="A186" s="14">
        <v>39052</v>
      </c>
      <c r="B186" s="18">
        <f>VLOOKUP(A186,Database!A:K,MATCH($A$1,Database!$A$1:$K$1,),)</f>
        <v>36881</v>
      </c>
      <c r="C186" s="15">
        <f t="shared" si="4"/>
        <v>2.6668151323664506E-2</v>
      </c>
      <c r="D186" s="16">
        <f t="shared" si="5"/>
        <v>8.6909112342331729E-2</v>
      </c>
    </row>
    <row r="187" spans="1:4" x14ac:dyDescent="0.2">
      <c r="A187" s="13">
        <v>39083</v>
      </c>
      <c r="B187" s="18">
        <f>VLOOKUP(A187,Database!A:K,MATCH($A$1,Database!$A$1:$K$1,),)</f>
        <v>36435</v>
      </c>
      <c r="C187" s="15">
        <f t="shared" si="4"/>
        <v>-1.2092947588189041E-2</v>
      </c>
      <c r="D187" s="16">
        <f t="shared" si="5"/>
        <v>4.1505874281794017E-2</v>
      </c>
    </row>
    <row r="188" spans="1:4" x14ac:dyDescent="0.2">
      <c r="A188" s="14">
        <v>39114</v>
      </c>
      <c r="B188" s="18">
        <f>VLOOKUP(A188,Database!A:K,MATCH($A$1,Database!$A$1:$K$1,),)</f>
        <v>36053</v>
      </c>
      <c r="C188" s="15">
        <f t="shared" si="4"/>
        <v>-1.0484424317277342E-2</v>
      </c>
      <c r="D188" s="16">
        <f t="shared" si="5"/>
        <v>4.3955407557550313E-2</v>
      </c>
    </row>
    <row r="189" spans="1:4" x14ac:dyDescent="0.2">
      <c r="A189" s="13">
        <v>39142</v>
      </c>
      <c r="B189" s="18">
        <f>VLOOKUP(A189,Database!A:K,MATCH($A$1,Database!$A$1:$K$1,),)</f>
        <v>36579</v>
      </c>
      <c r="C189" s="15">
        <f t="shared" si="4"/>
        <v>1.4589631930768591E-2</v>
      </c>
      <c r="D189" s="16">
        <f t="shared" si="5"/>
        <v>5.1241522014024599E-2</v>
      </c>
    </row>
    <row r="190" spans="1:4" x14ac:dyDescent="0.2">
      <c r="A190" s="14">
        <v>39173</v>
      </c>
      <c r="B190" s="18">
        <f>VLOOKUP(A190,Database!A:K,MATCH($A$1,Database!$A$1:$K$1,),)</f>
        <v>36627</v>
      </c>
      <c r="C190" s="15">
        <f t="shared" si="4"/>
        <v>1.3122283277290248E-3</v>
      </c>
      <c r="D190" s="16">
        <f t="shared" si="5"/>
        <v>5.0628191153691701E-2</v>
      </c>
    </row>
    <row r="191" spans="1:4" x14ac:dyDescent="0.2">
      <c r="A191" s="13">
        <v>39203</v>
      </c>
      <c r="B191" s="18">
        <f>VLOOKUP(A191,Database!A:K,MATCH($A$1,Database!$A$1:$K$1,),)</f>
        <v>36732</v>
      </c>
      <c r="C191" s="15">
        <f t="shared" si="4"/>
        <v>2.8667376525513964E-3</v>
      </c>
      <c r="D191" s="16">
        <f t="shared" si="5"/>
        <v>5.219134918361501E-2</v>
      </c>
    </row>
    <row r="192" spans="1:4" x14ac:dyDescent="0.2">
      <c r="A192" s="14">
        <v>39234</v>
      </c>
      <c r="B192" s="18">
        <f>VLOOKUP(A192,Database!A:K,MATCH($A$1,Database!$A$1:$K$1,),)</f>
        <v>37078</v>
      </c>
      <c r="C192" s="15">
        <f t="shared" si="4"/>
        <v>9.4195796580638144E-3</v>
      </c>
      <c r="D192" s="16">
        <f t="shared" si="5"/>
        <v>6.8684248450785412E-2</v>
      </c>
    </row>
    <row r="193" spans="1:4" x14ac:dyDescent="0.2">
      <c r="A193" s="13">
        <v>39264</v>
      </c>
      <c r="B193" s="18">
        <f>VLOOKUP(A193,Database!A:K,MATCH($A$1,Database!$A$1:$K$1,),)</f>
        <v>37272</v>
      </c>
      <c r="C193" s="15">
        <f t="shared" si="4"/>
        <v>5.2322131722315124E-3</v>
      </c>
      <c r="D193" s="16">
        <f t="shared" si="5"/>
        <v>7.0972932590081028E-2</v>
      </c>
    </row>
    <row r="194" spans="1:4" x14ac:dyDescent="0.2">
      <c r="A194" s="14">
        <v>39295</v>
      </c>
      <c r="B194" s="18">
        <f>VLOOKUP(A194,Database!A:K,MATCH($A$1,Database!$A$1:$K$1,),)</f>
        <v>37189</v>
      </c>
      <c r="C194" s="15">
        <f t="shared" si="4"/>
        <v>-2.2268727194676968E-3</v>
      </c>
      <c r="D194" s="16">
        <f t="shared" si="5"/>
        <v>5.1516950829869651E-2</v>
      </c>
    </row>
    <row r="195" spans="1:4" x14ac:dyDescent="0.2">
      <c r="A195" s="13">
        <v>39326</v>
      </c>
      <c r="B195" s="18">
        <f>VLOOKUP(A195,Database!A:K,MATCH($A$1,Database!$A$1:$K$1,),)</f>
        <v>37427</v>
      </c>
      <c r="C195" s="15">
        <f t="shared" si="4"/>
        <v>6.3997418591518994E-3</v>
      </c>
      <c r="D195" s="16">
        <f t="shared" si="5"/>
        <v>4.7641707487753676E-2</v>
      </c>
    </row>
    <row r="196" spans="1:4" x14ac:dyDescent="0.2">
      <c r="A196" s="14">
        <v>39356</v>
      </c>
      <c r="B196" s="18">
        <f>VLOOKUP(A196,Database!A:K,MATCH($A$1,Database!$A$1:$K$1,),)</f>
        <v>37759</v>
      </c>
      <c r="C196" s="15">
        <f t="shared" si="4"/>
        <v>8.8706014374649311E-3</v>
      </c>
      <c r="D196" s="16">
        <f t="shared" si="5"/>
        <v>5.519226469930695E-2</v>
      </c>
    </row>
    <row r="197" spans="1:4" x14ac:dyDescent="0.2">
      <c r="A197" s="13">
        <v>39387</v>
      </c>
      <c r="B197" s="18">
        <f>VLOOKUP(A197,Database!A:K,MATCH($A$1,Database!$A$1:$K$1,),)</f>
        <v>37727</v>
      </c>
      <c r="C197" s="15">
        <f t="shared" si="4"/>
        <v>-8.474800709764559E-4</v>
      </c>
      <c r="D197" s="16">
        <f t="shared" si="5"/>
        <v>5.0218522951869279E-2</v>
      </c>
    </row>
    <row r="198" spans="1:4" x14ac:dyDescent="0.2">
      <c r="A198" s="14">
        <v>39417</v>
      </c>
      <c r="B198" s="18">
        <f>VLOOKUP(A198,Database!A:K,MATCH($A$1,Database!$A$1:$K$1,),)</f>
        <v>38109</v>
      </c>
      <c r="C198" s="15">
        <f t="shared" si="4"/>
        <v>1.012537440029687E-2</v>
      </c>
      <c r="D198" s="16">
        <f t="shared" si="5"/>
        <v>3.3296277215910629E-2</v>
      </c>
    </row>
    <row r="199" spans="1:4" x14ac:dyDescent="0.2">
      <c r="A199" s="13">
        <v>39448</v>
      </c>
      <c r="B199" s="18">
        <f>VLOOKUP(A199,Database!A:K,MATCH($A$1,Database!$A$1:$K$1,),)</f>
        <v>37824</v>
      </c>
      <c r="C199" s="15">
        <f t="shared" si="4"/>
        <v>-7.478548374399748E-3</v>
      </c>
      <c r="D199" s="16">
        <f t="shared" si="5"/>
        <v>3.8122684232194316E-2</v>
      </c>
    </row>
    <row r="200" spans="1:4" x14ac:dyDescent="0.2">
      <c r="A200" s="14">
        <v>39479</v>
      </c>
      <c r="B200" s="18">
        <f>VLOOKUP(A200,Database!A:K,MATCH($A$1,Database!$A$1:$K$1,),)</f>
        <v>37249</v>
      </c>
      <c r="C200" s="15">
        <f t="shared" si="4"/>
        <v>-1.5201988155668358E-2</v>
      </c>
      <c r="D200" s="16">
        <f t="shared" si="5"/>
        <v>3.3173383629656342E-2</v>
      </c>
    </row>
    <row r="201" spans="1:4" x14ac:dyDescent="0.2">
      <c r="A201" s="13">
        <v>39508</v>
      </c>
      <c r="B201" s="18">
        <f>VLOOKUP(A201,Database!A:K,MATCH($A$1,Database!$A$1:$K$1,),)</f>
        <v>37552</v>
      </c>
      <c r="C201" s="15">
        <f t="shared" ref="C201:C264" si="6">(B201-B200)/B200</f>
        <v>8.1344465623238212E-3</v>
      </c>
      <c r="D201" s="16">
        <f t="shared" si="5"/>
        <v>2.6599961726673775E-2</v>
      </c>
    </row>
    <row r="202" spans="1:4" x14ac:dyDescent="0.2">
      <c r="A202" s="14">
        <v>39539</v>
      </c>
      <c r="B202" s="18">
        <f>VLOOKUP(A202,Database!A:K,MATCH($A$1,Database!$A$1:$K$1,),)</f>
        <v>37729</v>
      </c>
      <c r="C202" s="15">
        <f t="shared" si="6"/>
        <v>4.7134639965913929E-3</v>
      </c>
      <c r="D202" s="16">
        <f t="shared" si="5"/>
        <v>3.0087094220110848E-2</v>
      </c>
    </row>
    <row r="203" spans="1:4" x14ac:dyDescent="0.2">
      <c r="A203" s="13">
        <v>39569</v>
      </c>
      <c r="B203" s="18">
        <f>VLOOKUP(A203,Database!A:K,MATCH($A$1,Database!$A$1:$K$1,),)</f>
        <v>38089</v>
      </c>
      <c r="C203" s="15">
        <f t="shared" si="6"/>
        <v>9.5417318243261155E-3</v>
      </c>
      <c r="D203" s="16">
        <f t="shared" si="5"/>
        <v>3.6943264728302297E-2</v>
      </c>
    </row>
    <row r="204" spans="1:4" x14ac:dyDescent="0.2">
      <c r="A204" s="14">
        <v>39600</v>
      </c>
      <c r="B204" s="18">
        <f>VLOOKUP(A204,Database!A:K,MATCH($A$1,Database!$A$1:$K$1,),)</f>
        <v>38144</v>
      </c>
      <c r="C204" s="15">
        <f t="shared" si="6"/>
        <v>1.4439864527816431E-3</v>
      </c>
      <c r="D204" s="16">
        <f t="shared" si="5"/>
        <v>2.875020227628243E-2</v>
      </c>
    </row>
    <row r="205" spans="1:4" x14ac:dyDescent="0.2">
      <c r="A205" s="13">
        <v>39630</v>
      </c>
      <c r="B205" s="18">
        <f>VLOOKUP(A205,Database!A:K,MATCH($A$1,Database!$A$1:$K$1,),)</f>
        <v>38267</v>
      </c>
      <c r="C205" s="15">
        <f t="shared" si="6"/>
        <v>3.2246224832214766E-3</v>
      </c>
      <c r="D205" s="16">
        <f t="shared" si="5"/>
        <v>2.6695642841811546E-2</v>
      </c>
    </row>
    <row r="206" spans="1:4" x14ac:dyDescent="0.2">
      <c r="A206" s="14">
        <v>39661</v>
      </c>
      <c r="B206" s="18">
        <f>VLOOKUP(A206,Database!A:K,MATCH($A$1,Database!$A$1:$K$1,),)</f>
        <v>38239</v>
      </c>
      <c r="C206" s="15">
        <f t="shared" si="6"/>
        <v>-7.3170094337157341E-4</v>
      </c>
      <c r="D206" s="16">
        <f t="shared" si="5"/>
        <v>2.8234155260964264E-2</v>
      </c>
    </row>
    <row r="207" spans="1:4" x14ac:dyDescent="0.2">
      <c r="A207" s="13">
        <v>39692</v>
      </c>
      <c r="B207" s="18">
        <f>VLOOKUP(A207,Database!A:K,MATCH($A$1,Database!$A$1:$K$1,),)</f>
        <v>38386</v>
      </c>
      <c r="C207" s="15">
        <f t="shared" si="6"/>
        <v>3.844242788775857E-3</v>
      </c>
      <c r="D207" s="16">
        <f t="shared" si="5"/>
        <v>2.5623213188339967E-2</v>
      </c>
    </row>
    <row r="208" spans="1:4" x14ac:dyDescent="0.2">
      <c r="A208" s="14">
        <v>39722</v>
      </c>
      <c r="B208" s="18">
        <f>VLOOKUP(A208,Database!A:K,MATCH($A$1,Database!$A$1:$K$1,),)</f>
        <v>38120</v>
      </c>
      <c r="C208" s="15">
        <f t="shared" si="6"/>
        <v>-6.9296097535559839E-3</v>
      </c>
      <c r="D208" s="16">
        <f t="shared" si="5"/>
        <v>9.560634550703143E-3</v>
      </c>
    </row>
    <row r="209" spans="1:4" x14ac:dyDescent="0.2">
      <c r="A209" s="13">
        <v>39753</v>
      </c>
      <c r="B209" s="18">
        <f>VLOOKUP(A209,Database!A:K,MATCH($A$1,Database!$A$1:$K$1,),)</f>
        <v>38018</v>
      </c>
      <c r="C209" s="15">
        <f t="shared" si="6"/>
        <v>-2.675760755508919E-3</v>
      </c>
      <c r="D209" s="16">
        <f t="shared" si="5"/>
        <v>7.713308770906778E-3</v>
      </c>
    </row>
    <row r="210" spans="1:4" x14ac:dyDescent="0.2">
      <c r="A210" s="14">
        <v>39783</v>
      </c>
      <c r="B210" s="18">
        <f>VLOOKUP(A210,Database!A:K,MATCH($A$1,Database!$A$1:$K$1,),)</f>
        <v>38066</v>
      </c>
      <c r="C210" s="15">
        <f t="shared" si="6"/>
        <v>1.2625598400757537E-3</v>
      </c>
      <c r="D210" s="16">
        <f t="shared" si="5"/>
        <v>-1.1283423863129444E-3</v>
      </c>
    </row>
    <row r="211" spans="1:4" x14ac:dyDescent="0.2">
      <c r="A211" s="13">
        <v>39814</v>
      </c>
      <c r="B211" s="18">
        <f>VLOOKUP(A211,Database!A:K,MATCH($A$1,Database!$A$1:$K$1,),)</f>
        <v>38256</v>
      </c>
      <c r="C211" s="15">
        <f t="shared" si="6"/>
        <v>4.9913308464246313E-3</v>
      </c>
      <c r="D211" s="16">
        <f t="shared" si="5"/>
        <v>1.1421319796954314E-2</v>
      </c>
    </row>
    <row r="212" spans="1:4" x14ac:dyDescent="0.2">
      <c r="A212" s="14">
        <v>39845</v>
      </c>
      <c r="B212" s="18">
        <f>VLOOKUP(A212,Database!A:K,MATCH($A$1,Database!$A$1:$K$1,),)</f>
        <v>37945</v>
      </c>
      <c r="C212" s="15">
        <f t="shared" si="6"/>
        <v>-8.1294437473860316E-3</v>
      </c>
      <c r="D212" s="16">
        <f t="shared" ref="D212:D275" si="7">(B212-B200)/B200</f>
        <v>1.868506537088244E-2</v>
      </c>
    </row>
    <row r="213" spans="1:4" x14ac:dyDescent="0.2">
      <c r="A213" s="13">
        <v>39873</v>
      </c>
      <c r="B213" s="18">
        <f>VLOOKUP(A213,Database!A:K,MATCH($A$1,Database!$A$1:$K$1,),)</f>
        <v>37447</v>
      </c>
      <c r="C213" s="15">
        <f t="shared" si="6"/>
        <v>-1.3124258795625248E-2</v>
      </c>
      <c r="D213" s="16">
        <f t="shared" si="7"/>
        <v>-2.7961227098423518E-3</v>
      </c>
    </row>
    <row r="214" spans="1:4" x14ac:dyDescent="0.2">
      <c r="A214" s="14">
        <v>39904</v>
      </c>
      <c r="B214" s="18">
        <f>VLOOKUP(A214,Database!A:K,MATCH($A$1,Database!$A$1:$K$1,),)</f>
        <v>37738</v>
      </c>
      <c r="C214" s="15">
        <f t="shared" si="6"/>
        <v>7.7709829892915324E-3</v>
      </c>
      <c r="D214" s="16">
        <f t="shared" si="7"/>
        <v>2.3854329560815289E-4</v>
      </c>
    </row>
    <row r="215" spans="1:4" x14ac:dyDescent="0.2">
      <c r="A215" s="13">
        <v>39934</v>
      </c>
      <c r="B215" s="18">
        <f>VLOOKUP(A215,Database!A:K,MATCH($A$1,Database!$A$1:$K$1,),)</f>
        <v>37755</v>
      </c>
      <c r="C215" s="15">
        <f t="shared" si="6"/>
        <v>4.5047432296359106E-4</v>
      </c>
      <c r="D215" s="16">
        <f t="shared" si="7"/>
        <v>-8.7689359132557959E-3</v>
      </c>
    </row>
    <row r="216" spans="1:4" x14ac:dyDescent="0.2">
      <c r="A216" s="14">
        <v>39965</v>
      </c>
      <c r="B216" s="18">
        <f>VLOOKUP(A216,Database!A:K,MATCH($A$1,Database!$A$1:$K$1,),)</f>
        <v>37714</v>
      </c>
      <c r="C216" s="15">
        <f t="shared" si="6"/>
        <v>-1.0859488809429215E-3</v>
      </c>
      <c r="D216" s="16">
        <f t="shared" si="7"/>
        <v>-1.1273070469798658E-2</v>
      </c>
    </row>
    <row r="217" spans="1:4" x14ac:dyDescent="0.2">
      <c r="A217" s="13">
        <v>39995</v>
      </c>
      <c r="B217" s="18">
        <f>VLOOKUP(A217,Database!A:K,MATCH($A$1,Database!$A$1:$K$1,),)</f>
        <v>37715</v>
      </c>
      <c r="C217" s="15">
        <f t="shared" si="6"/>
        <v>2.651535238903325E-5</v>
      </c>
      <c r="D217" s="16">
        <f t="shared" si="7"/>
        <v>-1.4424961455039591E-2</v>
      </c>
    </row>
    <row r="218" spans="1:4" x14ac:dyDescent="0.2">
      <c r="A218" s="14">
        <v>40026</v>
      </c>
      <c r="B218" s="18">
        <f>VLOOKUP(A218,Database!A:K,MATCH($A$1,Database!$A$1:$K$1,),)</f>
        <v>37645</v>
      </c>
      <c r="C218" s="15">
        <f t="shared" si="6"/>
        <v>-1.8560254540633701E-3</v>
      </c>
      <c r="D218" s="16">
        <f t="shared" si="7"/>
        <v>-1.5533879024033055E-2</v>
      </c>
    </row>
    <row r="219" spans="1:4" x14ac:dyDescent="0.2">
      <c r="A219" s="13">
        <v>40057</v>
      </c>
      <c r="B219" s="18">
        <f>VLOOKUP(A219,Database!A:K,MATCH($A$1,Database!$A$1:$K$1,),)</f>
        <v>37474</v>
      </c>
      <c r="C219" s="15">
        <f t="shared" si="6"/>
        <v>-4.5424359144640722E-3</v>
      </c>
      <c r="D219" s="16">
        <f t="shared" si="7"/>
        <v>-2.3758662012191945E-2</v>
      </c>
    </row>
    <row r="220" spans="1:4" x14ac:dyDescent="0.2">
      <c r="A220" s="14">
        <v>40087</v>
      </c>
      <c r="B220" s="18">
        <f>VLOOKUP(A220,Database!A:K,MATCH($A$1,Database!$A$1:$K$1,),)</f>
        <v>37500</v>
      </c>
      <c r="C220" s="15">
        <f t="shared" si="6"/>
        <v>6.9381437796872496E-4</v>
      </c>
      <c r="D220" s="16">
        <f t="shared" si="7"/>
        <v>-1.6264428121720881E-2</v>
      </c>
    </row>
    <row r="221" spans="1:4" x14ac:dyDescent="0.2">
      <c r="A221" s="13">
        <v>40118</v>
      </c>
      <c r="B221" s="18">
        <f>VLOOKUP(A221,Database!A:K,MATCH($A$1,Database!$A$1:$K$1,),)</f>
        <v>37700</v>
      </c>
      <c r="C221" s="15">
        <f t="shared" si="6"/>
        <v>5.3333333333333332E-3</v>
      </c>
      <c r="D221" s="16">
        <f t="shared" si="7"/>
        <v>-8.3644589405018673E-3</v>
      </c>
    </row>
    <row r="222" spans="1:4" x14ac:dyDescent="0.2">
      <c r="A222" s="14">
        <v>40148</v>
      </c>
      <c r="B222" s="18">
        <f>VLOOKUP(A222,Database!A:K,MATCH($A$1,Database!$A$1:$K$1,),)</f>
        <v>37659</v>
      </c>
      <c r="C222" s="15">
        <f t="shared" si="6"/>
        <v>-1.0875331564986737E-3</v>
      </c>
      <c r="D222" s="16">
        <f t="shared" si="7"/>
        <v>-1.0691956076288551E-2</v>
      </c>
    </row>
    <row r="223" spans="1:4" x14ac:dyDescent="0.2">
      <c r="A223" s="13">
        <v>40179</v>
      </c>
      <c r="B223" s="18">
        <f>VLOOKUP(A223,Database!A:K,MATCH($A$1,Database!$A$1:$K$1,),)</f>
        <v>37660</v>
      </c>
      <c r="C223" s="15">
        <f t="shared" si="6"/>
        <v>2.6554077378581482E-5</v>
      </c>
      <c r="D223" s="16">
        <f t="shared" si="7"/>
        <v>-1.5579255541614387E-2</v>
      </c>
    </row>
    <row r="224" spans="1:4" x14ac:dyDescent="0.2">
      <c r="A224" s="14">
        <v>40210</v>
      </c>
      <c r="B224" s="18">
        <f>VLOOKUP(A224,Database!A:K,MATCH($A$1,Database!$A$1:$K$1,),)</f>
        <v>38267</v>
      </c>
      <c r="C224" s="15">
        <f t="shared" si="6"/>
        <v>1.611789697291556E-2</v>
      </c>
      <c r="D224" s="16">
        <f t="shared" si="7"/>
        <v>8.4859665305046777E-3</v>
      </c>
    </row>
    <row r="225" spans="1:4" x14ac:dyDescent="0.2">
      <c r="A225" s="13">
        <v>40238</v>
      </c>
      <c r="B225" s="18">
        <f>VLOOKUP(A225,Database!A:K,MATCH($A$1,Database!$A$1:$K$1,),)</f>
        <v>38376</v>
      </c>
      <c r="C225" s="15">
        <f t="shared" si="6"/>
        <v>2.8484072438393392E-3</v>
      </c>
      <c r="D225" s="16">
        <f t="shared" si="7"/>
        <v>2.4808395866157504E-2</v>
      </c>
    </row>
    <row r="226" spans="1:4" x14ac:dyDescent="0.2">
      <c r="A226" s="14">
        <v>40269</v>
      </c>
      <c r="B226" s="18">
        <f>VLOOKUP(A226,Database!A:K,MATCH($A$1,Database!$A$1:$K$1,),)</f>
        <v>38658</v>
      </c>
      <c r="C226" s="15">
        <f t="shared" si="6"/>
        <v>7.3483427141963729E-3</v>
      </c>
      <c r="D226" s="16">
        <f t="shared" si="7"/>
        <v>2.4378610419206106E-2</v>
      </c>
    </row>
    <row r="227" spans="1:4" x14ac:dyDescent="0.2">
      <c r="A227" s="13">
        <v>40299</v>
      </c>
      <c r="B227" s="18">
        <f>VLOOKUP(A227,Database!A:K,MATCH($A$1,Database!$A$1:$K$1,),)</f>
        <v>38695</v>
      </c>
      <c r="C227" s="15">
        <f t="shared" si="6"/>
        <v>9.5711107662062181E-4</v>
      </c>
      <c r="D227" s="16">
        <f t="shared" si="7"/>
        <v>2.4897364587471858E-2</v>
      </c>
    </row>
    <row r="228" spans="1:4" x14ac:dyDescent="0.2">
      <c r="A228" s="14">
        <v>40330</v>
      </c>
      <c r="B228" s="18">
        <f>VLOOKUP(A228,Database!A:K,MATCH($A$1,Database!$A$1:$K$1,),)</f>
        <v>38838</v>
      </c>
      <c r="C228" s="15">
        <f t="shared" si="6"/>
        <v>3.6955679028298229E-3</v>
      </c>
      <c r="D228" s="16">
        <f t="shared" si="7"/>
        <v>2.9803256085273372E-2</v>
      </c>
    </row>
    <row r="229" spans="1:4" x14ac:dyDescent="0.2">
      <c r="A229" s="13">
        <v>40360</v>
      </c>
      <c r="B229" s="18">
        <f>VLOOKUP(A229,Database!A:K,MATCH($A$1,Database!$A$1:$K$1,),)</f>
        <v>39033</v>
      </c>
      <c r="C229" s="15">
        <f t="shared" si="6"/>
        <v>5.0208558628147687E-3</v>
      </c>
      <c r="D229" s="16">
        <f t="shared" si="7"/>
        <v>3.4946307835078884E-2</v>
      </c>
    </row>
    <row r="230" spans="1:4" x14ac:dyDescent="0.2">
      <c r="A230" s="14">
        <v>40391</v>
      </c>
      <c r="B230" s="18">
        <f>VLOOKUP(A230,Database!A:K,MATCH($A$1,Database!$A$1:$K$1,),)</f>
        <v>39402</v>
      </c>
      <c r="C230" s="15">
        <f t="shared" si="6"/>
        <v>9.4535393128890935E-3</v>
      </c>
      <c r="D230" s="16">
        <f t="shared" si="7"/>
        <v>4.6672864922300439E-2</v>
      </c>
    </row>
    <row r="231" spans="1:4" x14ac:dyDescent="0.2">
      <c r="A231" s="13">
        <v>40422</v>
      </c>
      <c r="B231" s="18">
        <f>VLOOKUP(A231,Database!A:K,MATCH($A$1,Database!$A$1:$K$1,),)</f>
        <v>39385</v>
      </c>
      <c r="C231" s="15">
        <f t="shared" si="6"/>
        <v>-4.3145018019389881E-4</v>
      </c>
      <c r="D231" s="16">
        <f t="shared" si="7"/>
        <v>5.0995356780701287E-2</v>
      </c>
    </row>
    <row r="232" spans="1:4" x14ac:dyDescent="0.2">
      <c r="A232" s="14">
        <v>40452</v>
      </c>
      <c r="B232" s="18">
        <f>VLOOKUP(A232,Database!A:K,MATCH($A$1,Database!$A$1:$K$1,),)</f>
        <v>39440</v>
      </c>
      <c r="C232" s="15">
        <f t="shared" si="6"/>
        <v>1.3964707375904533E-3</v>
      </c>
      <c r="D232" s="16">
        <f t="shared" si="7"/>
        <v>5.1733333333333333E-2</v>
      </c>
    </row>
    <row r="233" spans="1:4" x14ac:dyDescent="0.2">
      <c r="A233" s="13">
        <v>40483</v>
      </c>
      <c r="B233" s="18">
        <f>VLOOKUP(A233,Database!A:K,MATCH($A$1,Database!$A$1:$K$1,),)</f>
        <v>39710</v>
      </c>
      <c r="C233" s="15">
        <f t="shared" si="6"/>
        <v>6.8458417849898579E-3</v>
      </c>
      <c r="D233" s="16">
        <f t="shared" si="7"/>
        <v>5.3315649867374006E-2</v>
      </c>
    </row>
    <row r="234" spans="1:4" x14ac:dyDescent="0.2">
      <c r="A234" s="14">
        <v>40513</v>
      </c>
      <c r="B234" s="18">
        <f>VLOOKUP(A234,Database!A:K,MATCH($A$1,Database!$A$1:$K$1,),)</f>
        <v>39508</v>
      </c>
      <c r="C234" s="15">
        <f t="shared" si="6"/>
        <v>-5.0868798791236462E-3</v>
      </c>
      <c r="D234" s="16">
        <f t="shared" si="7"/>
        <v>4.9098489072997159E-2</v>
      </c>
    </row>
    <row r="235" spans="1:4" x14ac:dyDescent="0.2">
      <c r="A235" s="13">
        <v>40544</v>
      </c>
      <c r="B235" s="18">
        <f>VLOOKUP(A235,Database!A:K,MATCH($A$1,Database!$A$1:$K$1,),)</f>
        <v>39700</v>
      </c>
      <c r="C235" s="15">
        <f t="shared" si="6"/>
        <v>4.8597752353953631E-3</v>
      </c>
      <c r="D235" s="16">
        <f t="shared" si="7"/>
        <v>5.4168879447689854E-2</v>
      </c>
    </row>
    <row r="236" spans="1:4" x14ac:dyDescent="0.2">
      <c r="A236" s="14">
        <v>40575</v>
      </c>
      <c r="B236" s="18">
        <f>VLOOKUP(A236,Database!A:K,MATCH($A$1,Database!$A$1:$K$1,),)</f>
        <v>40382</v>
      </c>
      <c r="C236" s="15">
        <f t="shared" si="6"/>
        <v>1.7178841309823677E-2</v>
      </c>
      <c r="D236" s="16">
        <f t="shared" si="7"/>
        <v>5.5269553401102775E-2</v>
      </c>
    </row>
    <row r="237" spans="1:4" x14ac:dyDescent="0.2">
      <c r="A237" s="13">
        <v>40603</v>
      </c>
      <c r="B237" s="18">
        <f>VLOOKUP(A237,Database!A:K,MATCH($A$1,Database!$A$1:$K$1,),)</f>
        <v>40575</v>
      </c>
      <c r="C237" s="15">
        <f t="shared" si="6"/>
        <v>4.7793571393194992E-3</v>
      </c>
      <c r="D237" s="16">
        <f t="shared" si="7"/>
        <v>5.7301438398999371E-2</v>
      </c>
    </row>
    <row r="238" spans="1:4" x14ac:dyDescent="0.2">
      <c r="A238" s="14">
        <v>40634</v>
      </c>
      <c r="B238" s="18">
        <f>VLOOKUP(A238,Database!A:K,MATCH($A$1,Database!$A$1:$K$1,),)</f>
        <v>40624</v>
      </c>
      <c r="C238" s="15">
        <f t="shared" si="6"/>
        <v>1.2076401725200246E-3</v>
      </c>
      <c r="D238" s="16">
        <f t="shared" si="7"/>
        <v>5.085622639557142E-2</v>
      </c>
    </row>
    <row r="239" spans="1:4" x14ac:dyDescent="0.2">
      <c r="A239" s="13">
        <v>40664</v>
      </c>
      <c r="B239" s="18">
        <f>VLOOKUP(A239,Database!A:K,MATCH($A$1,Database!$A$1:$K$1,),)</f>
        <v>41050</v>
      </c>
      <c r="C239" s="15">
        <f t="shared" si="6"/>
        <v>1.0486411973217803E-2</v>
      </c>
      <c r="D239" s="16">
        <f t="shared" si="7"/>
        <v>6.0860576301847782E-2</v>
      </c>
    </row>
    <row r="240" spans="1:4" x14ac:dyDescent="0.2">
      <c r="A240" s="14">
        <v>40695</v>
      </c>
      <c r="B240" s="18">
        <f>VLOOKUP(A240,Database!A:K,MATCH($A$1,Database!$A$1:$K$1,),)</f>
        <v>41540</v>
      </c>
      <c r="C240" s="15">
        <f t="shared" si="6"/>
        <v>1.1936662606577345E-2</v>
      </c>
      <c r="D240" s="16">
        <f t="shared" si="7"/>
        <v>6.9571038673464133E-2</v>
      </c>
    </row>
    <row r="241" spans="1:4" x14ac:dyDescent="0.2">
      <c r="A241" s="13">
        <v>40725</v>
      </c>
      <c r="B241" s="18">
        <f>VLOOKUP(A241,Database!A:K,MATCH($A$1,Database!$A$1:$K$1,),)</f>
        <v>41516</v>
      </c>
      <c r="C241" s="15">
        <f t="shared" si="6"/>
        <v>-5.7775637939335583E-4</v>
      </c>
      <c r="D241" s="16">
        <f t="shared" si="7"/>
        <v>6.3612840417082983E-2</v>
      </c>
    </row>
    <row r="242" spans="1:4" x14ac:dyDescent="0.2">
      <c r="A242" s="14">
        <v>40756</v>
      </c>
      <c r="B242" s="18">
        <f>VLOOKUP(A242,Database!A:K,MATCH($A$1,Database!$A$1:$K$1,),)</f>
        <v>41718</v>
      </c>
      <c r="C242" s="15">
        <f t="shared" si="6"/>
        <v>4.8655939878601024E-3</v>
      </c>
      <c r="D242" s="16">
        <f t="shared" si="7"/>
        <v>5.877874219582762E-2</v>
      </c>
    </row>
    <row r="243" spans="1:4" x14ac:dyDescent="0.2">
      <c r="A243" s="13">
        <v>40787</v>
      </c>
      <c r="B243" s="18">
        <f>VLOOKUP(A243,Database!A:K,MATCH($A$1,Database!$A$1:$K$1,),)</f>
        <v>42013</v>
      </c>
      <c r="C243" s="15">
        <f t="shared" si="6"/>
        <v>7.0712881729709E-3</v>
      </c>
      <c r="D243" s="16">
        <f t="shared" si="7"/>
        <v>6.672591087977657E-2</v>
      </c>
    </row>
    <row r="244" spans="1:4" x14ac:dyDescent="0.2">
      <c r="A244" s="14">
        <v>40817</v>
      </c>
      <c r="B244" s="18">
        <f>VLOOKUP(A244,Database!A:K,MATCH($A$1,Database!$A$1:$K$1,),)</f>
        <v>42162</v>
      </c>
      <c r="C244" s="15">
        <f t="shared" si="6"/>
        <v>3.5465213148311238E-3</v>
      </c>
      <c r="D244" s="16">
        <f t="shared" si="7"/>
        <v>6.9016227180527384E-2</v>
      </c>
    </row>
    <row r="245" spans="1:4" x14ac:dyDescent="0.2">
      <c r="A245" s="13">
        <v>40848</v>
      </c>
      <c r="B245" s="18">
        <f>VLOOKUP(A245,Database!A:K,MATCH($A$1,Database!$A$1:$K$1,),)</f>
        <v>42237</v>
      </c>
      <c r="C245" s="15">
        <f t="shared" si="6"/>
        <v>1.7788529955884446E-3</v>
      </c>
      <c r="D245" s="16">
        <f t="shared" si="7"/>
        <v>6.363636363636363E-2</v>
      </c>
    </row>
    <row r="246" spans="1:4" x14ac:dyDescent="0.2">
      <c r="A246" s="14">
        <v>40878</v>
      </c>
      <c r="B246" s="18">
        <f>VLOOKUP(A246,Database!A:K,MATCH($A$1,Database!$A$1:$K$1,),)</f>
        <v>41864</v>
      </c>
      <c r="C246" s="15">
        <f t="shared" si="6"/>
        <v>-8.8311196344437338E-3</v>
      </c>
      <c r="D246" s="16">
        <f t="shared" si="7"/>
        <v>5.9633491950997264E-2</v>
      </c>
    </row>
    <row r="247" spans="1:4" x14ac:dyDescent="0.2">
      <c r="A247" s="13">
        <v>40909</v>
      </c>
      <c r="B247" s="18">
        <f>VLOOKUP(A247,Database!A:K,MATCH($A$1,Database!$A$1:$K$1,),)</f>
        <v>42858</v>
      </c>
      <c r="C247" s="15">
        <f t="shared" si="6"/>
        <v>2.3743550544620677E-2</v>
      </c>
      <c r="D247" s="16">
        <f t="shared" si="7"/>
        <v>7.9546599496221657E-2</v>
      </c>
    </row>
    <row r="248" spans="1:4" x14ac:dyDescent="0.2">
      <c r="A248" s="14">
        <v>40940</v>
      </c>
      <c r="B248" s="18">
        <f>VLOOKUP(A248,Database!A:K,MATCH($A$1,Database!$A$1:$K$1,),)</f>
        <v>42950</v>
      </c>
      <c r="C248" s="15">
        <f t="shared" si="6"/>
        <v>2.1466237341919827E-3</v>
      </c>
      <c r="D248" s="16">
        <f t="shared" si="7"/>
        <v>6.3592689812292602E-2</v>
      </c>
    </row>
    <row r="249" spans="1:4" x14ac:dyDescent="0.2">
      <c r="A249" s="13">
        <v>40969</v>
      </c>
      <c r="B249" s="18">
        <f>VLOOKUP(A249,Database!A:K,MATCH($A$1,Database!$A$1:$K$1,),)</f>
        <v>42942</v>
      </c>
      <c r="C249" s="15">
        <f t="shared" si="6"/>
        <v>-1.8626309662398137E-4</v>
      </c>
      <c r="D249" s="16">
        <f t="shared" si="7"/>
        <v>5.833641404805915E-2</v>
      </c>
    </row>
    <row r="250" spans="1:4" x14ac:dyDescent="0.2">
      <c r="A250" s="14">
        <v>41000</v>
      </c>
      <c r="B250" s="18">
        <f>VLOOKUP(A250,Database!A:K,MATCH($A$1,Database!$A$1:$K$1,),)</f>
        <v>43365</v>
      </c>
      <c r="C250" s="15">
        <f t="shared" si="6"/>
        <v>9.8504960178845882E-3</v>
      </c>
      <c r="D250" s="16">
        <f t="shared" si="7"/>
        <v>6.7472430090586843E-2</v>
      </c>
    </row>
    <row r="251" spans="1:4" x14ac:dyDescent="0.2">
      <c r="A251" s="13">
        <v>41030</v>
      </c>
      <c r="B251" s="18">
        <f>VLOOKUP(A251,Database!A:K,MATCH($A$1,Database!$A$1:$K$1,),)</f>
        <v>43313</v>
      </c>
      <c r="C251" s="15">
        <f t="shared" si="6"/>
        <v>-1.1991237172835237E-3</v>
      </c>
      <c r="D251" s="16">
        <f t="shared" si="7"/>
        <v>5.5127892813641902E-2</v>
      </c>
    </row>
    <row r="252" spans="1:4" x14ac:dyDescent="0.2">
      <c r="A252" s="14">
        <v>41061</v>
      </c>
      <c r="B252" s="18">
        <f>VLOOKUP(A252,Database!A:K,MATCH($A$1,Database!$A$1:$K$1,),)</f>
        <v>43542</v>
      </c>
      <c r="C252" s="15">
        <f t="shared" si="6"/>
        <v>5.2870962528571101E-3</v>
      </c>
      <c r="D252" s="16">
        <f t="shared" si="7"/>
        <v>4.8194511314395762E-2</v>
      </c>
    </row>
    <row r="253" spans="1:4" x14ac:dyDescent="0.2">
      <c r="A253" s="13">
        <v>41091</v>
      </c>
      <c r="B253" s="18">
        <f>VLOOKUP(A253,Database!A:K,MATCH($A$1,Database!$A$1:$K$1,),)</f>
        <v>43676</v>
      </c>
      <c r="C253" s="15">
        <f t="shared" si="6"/>
        <v>3.077488402002664E-3</v>
      </c>
      <c r="D253" s="16">
        <f t="shared" si="7"/>
        <v>5.2028133731573369E-2</v>
      </c>
    </row>
    <row r="254" spans="1:4" x14ac:dyDescent="0.2">
      <c r="A254" s="14">
        <v>41122</v>
      </c>
      <c r="B254" s="18">
        <f>VLOOKUP(A254,Database!A:K,MATCH($A$1,Database!$A$1:$K$1,),)</f>
        <v>43712</v>
      </c>
      <c r="C254" s="15">
        <f t="shared" si="6"/>
        <v>8.242513050645664E-4</v>
      </c>
      <c r="D254" s="16">
        <f t="shared" si="7"/>
        <v>4.7797113955606693E-2</v>
      </c>
    </row>
    <row r="255" spans="1:4" x14ac:dyDescent="0.2">
      <c r="A255" s="13">
        <v>41153</v>
      </c>
      <c r="B255" s="18">
        <f>VLOOKUP(A255,Database!A:K,MATCH($A$1,Database!$A$1:$K$1,),)</f>
        <v>44085</v>
      </c>
      <c r="C255" s="15">
        <f t="shared" si="6"/>
        <v>8.5331259150805278E-3</v>
      </c>
      <c r="D255" s="16">
        <f t="shared" si="7"/>
        <v>4.9318068216980461E-2</v>
      </c>
    </row>
    <row r="256" spans="1:4" x14ac:dyDescent="0.2">
      <c r="A256" s="14">
        <v>41183</v>
      </c>
      <c r="B256" s="18">
        <f>VLOOKUP(A256,Database!A:K,MATCH($A$1,Database!$A$1:$K$1,),)</f>
        <v>43708</v>
      </c>
      <c r="C256" s="15">
        <f t="shared" si="6"/>
        <v>-8.5516615628898722E-3</v>
      </c>
      <c r="D256" s="16">
        <f t="shared" si="7"/>
        <v>3.6668089749063139E-2</v>
      </c>
    </row>
    <row r="257" spans="1:4" x14ac:dyDescent="0.2">
      <c r="A257" s="13">
        <v>41214</v>
      </c>
      <c r="B257" s="18">
        <f>VLOOKUP(A257,Database!A:K,MATCH($A$1,Database!$A$1:$K$1,),)</f>
        <v>44520</v>
      </c>
      <c r="C257" s="15">
        <f t="shared" si="6"/>
        <v>1.8577834721332478E-2</v>
      </c>
      <c r="D257" s="16">
        <f t="shared" si="7"/>
        <v>5.4052134384544356E-2</v>
      </c>
    </row>
    <row r="258" spans="1:4" x14ac:dyDescent="0.2">
      <c r="A258" s="14">
        <v>41244</v>
      </c>
      <c r="B258" s="18">
        <f>VLOOKUP(A258,Database!A:K,MATCH($A$1,Database!$A$1:$K$1,),)</f>
        <v>44538</v>
      </c>
      <c r="C258" s="15">
        <f t="shared" si="6"/>
        <v>4.0431266846361187E-4</v>
      </c>
      <c r="D258" s="16">
        <f t="shared" si="7"/>
        <v>6.3873495127078156E-2</v>
      </c>
    </row>
    <row r="259" spans="1:4" x14ac:dyDescent="0.2">
      <c r="A259" s="13">
        <v>41275</v>
      </c>
      <c r="B259" s="18">
        <f>VLOOKUP(A259,Database!A:K,MATCH($A$1,Database!$A$1:$K$1,),)</f>
        <v>45146</v>
      </c>
      <c r="C259" s="15">
        <f t="shared" si="6"/>
        <v>1.3651264089092461E-2</v>
      </c>
      <c r="D259" s="16">
        <f t="shared" si="7"/>
        <v>5.3385598954687571E-2</v>
      </c>
    </row>
    <row r="260" spans="1:4" x14ac:dyDescent="0.2">
      <c r="A260" s="14">
        <v>41306</v>
      </c>
      <c r="B260" s="18">
        <f>VLOOKUP(A260,Database!A:K,MATCH($A$1,Database!$A$1:$K$1,),)</f>
        <v>44868</v>
      </c>
      <c r="C260" s="15">
        <f t="shared" si="6"/>
        <v>-6.1577991405661631E-3</v>
      </c>
      <c r="D260" s="16">
        <f t="shared" si="7"/>
        <v>4.4656577415599537E-2</v>
      </c>
    </row>
    <row r="261" spans="1:4" x14ac:dyDescent="0.2">
      <c r="A261" s="13">
        <v>41334</v>
      </c>
      <c r="B261" s="18">
        <f>VLOOKUP(A261,Database!A:K,MATCH($A$1,Database!$A$1:$K$1,),)</f>
        <v>45011</v>
      </c>
      <c r="C261" s="15">
        <f t="shared" si="6"/>
        <v>3.1871266827137382E-3</v>
      </c>
      <c r="D261" s="16">
        <f t="shared" si="7"/>
        <v>4.8181267756508779E-2</v>
      </c>
    </row>
    <row r="262" spans="1:4" x14ac:dyDescent="0.2">
      <c r="A262" s="14">
        <v>41365</v>
      </c>
      <c r="B262" s="18">
        <f>VLOOKUP(A262,Database!A:K,MATCH($A$1,Database!$A$1:$K$1,),)</f>
        <v>44723</v>
      </c>
      <c r="C262" s="15">
        <f t="shared" si="6"/>
        <v>-6.3984359378818512E-3</v>
      </c>
      <c r="D262" s="16">
        <f t="shared" si="7"/>
        <v>3.1315577078288942E-2</v>
      </c>
    </row>
    <row r="263" spans="1:4" x14ac:dyDescent="0.2">
      <c r="A263" s="13">
        <v>41395</v>
      </c>
      <c r="B263" s="18">
        <f>VLOOKUP(A263,Database!A:K,MATCH($A$1,Database!$A$1:$K$1,),)</f>
        <v>44816</v>
      </c>
      <c r="C263" s="15">
        <f t="shared" si="6"/>
        <v>2.0794669409476109E-3</v>
      </c>
      <c r="D263" s="16">
        <f t="shared" si="7"/>
        <v>3.470089811373029E-2</v>
      </c>
    </row>
    <row r="264" spans="1:4" x14ac:dyDescent="0.2">
      <c r="A264" s="14">
        <v>41426</v>
      </c>
      <c r="B264" s="18">
        <f>VLOOKUP(A264,Database!A:K,MATCH($A$1,Database!$A$1:$K$1,),)</f>
        <v>44701</v>
      </c>
      <c r="C264" s="15">
        <f t="shared" si="6"/>
        <v>-2.5660478400571225E-3</v>
      </c>
      <c r="D264" s="16">
        <f t="shared" si="7"/>
        <v>2.661797804418722E-2</v>
      </c>
    </row>
    <row r="265" spans="1:4" x14ac:dyDescent="0.2">
      <c r="A265" s="13">
        <v>41456</v>
      </c>
      <c r="B265" s="18">
        <f>VLOOKUP(A265,Database!A:K,MATCH($A$1,Database!$A$1:$K$1,),)</f>
        <v>45050</v>
      </c>
      <c r="C265" s="15">
        <f t="shared" ref="C265:C320" si="8">(B265-B264)/B264</f>
        <v>7.8074316010827496E-3</v>
      </c>
      <c r="D265" s="16">
        <f t="shared" si="7"/>
        <v>3.1458924809964282E-2</v>
      </c>
    </row>
    <row r="266" spans="1:4" x14ac:dyDescent="0.2">
      <c r="A266" s="14">
        <v>41487</v>
      </c>
      <c r="B266" s="18">
        <f>VLOOKUP(A266,Database!A:K,MATCH($A$1,Database!$A$1:$K$1,),)</f>
        <v>45155</v>
      </c>
      <c r="C266" s="15">
        <f t="shared" si="8"/>
        <v>2.330743618201998E-3</v>
      </c>
      <c r="D266" s="16">
        <f t="shared" si="7"/>
        <v>3.3011530014641285E-2</v>
      </c>
    </row>
    <row r="267" spans="1:4" x14ac:dyDescent="0.2">
      <c r="A267" s="13">
        <v>41518</v>
      </c>
      <c r="B267" s="18">
        <f>VLOOKUP(A267,Database!A:K,MATCH($A$1,Database!$A$1:$K$1,),)</f>
        <v>45344</v>
      </c>
      <c r="C267" s="15">
        <f t="shared" si="8"/>
        <v>4.1855829919167312E-3</v>
      </c>
      <c r="D267" s="16">
        <f t="shared" si="7"/>
        <v>2.855846659861631E-2</v>
      </c>
    </row>
    <row r="268" spans="1:4" x14ac:dyDescent="0.2">
      <c r="A268" s="14">
        <v>41548</v>
      </c>
      <c r="B268" s="18">
        <f>VLOOKUP(A268,Database!A:K,MATCH($A$1,Database!$A$1:$K$1,),)</f>
        <v>45936</v>
      </c>
      <c r="C268" s="15">
        <f t="shared" si="8"/>
        <v>1.305575158786168E-2</v>
      </c>
      <c r="D268" s="16">
        <f t="shared" si="7"/>
        <v>5.0974649949665968E-2</v>
      </c>
    </row>
    <row r="269" spans="1:4" x14ac:dyDescent="0.2">
      <c r="A269" s="13">
        <v>41579</v>
      </c>
      <c r="B269" s="18">
        <f>VLOOKUP(A269,Database!A:K,MATCH($A$1,Database!$A$1:$K$1,),)</f>
        <v>46744</v>
      </c>
      <c r="C269" s="15">
        <f t="shared" si="8"/>
        <v>1.7589690003483108E-2</v>
      </c>
      <c r="D269" s="16">
        <f t="shared" si="7"/>
        <v>4.9955076370170708E-2</v>
      </c>
    </row>
    <row r="270" spans="1:4" x14ac:dyDescent="0.2">
      <c r="A270" s="14">
        <v>41609</v>
      </c>
      <c r="B270" s="18">
        <f>VLOOKUP(A270,Database!A:K,MATCH($A$1,Database!$A$1:$K$1,),)</f>
        <v>46330</v>
      </c>
      <c r="C270" s="15">
        <f t="shared" si="8"/>
        <v>-8.8567516686633586E-3</v>
      </c>
      <c r="D270" s="16">
        <f t="shared" si="7"/>
        <v>4.0235304683640935E-2</v>
      </c>
    </row>
    <row r="271" spans="1:4" x14ac:dyDescent="0.2">
      <c r="A271" s="13">
        <v>41640</v>
      </c>
      <c r="B271" s="18">
        <f>VLOOKUP(A271,Database!A:K,MATCH($A$1,Database!$A$1:$K$1,),)</f>
        <v>45914</v>
      </c>
      <c r="C271" s="15">
        <f t="shared" si="8"/>
        <v>-8.9790632419598539E-3</v>
      </c>
      <c r="D271" s="16">
        <f t="shared" si="7"/>
        <v>1.7011473884729546E-2</v>
      </c>
    </row>
    <row r="272" spans="1:4" x14ac:dyDescent="0.2">
      <c r="A272" s="14">
        <v>41671</v>
      </c>
      <c r="B272" s="18">
        <f>VLOOKUP(A272,Database!A:K,MATCH($A$1,Database!$A$1:$K$1,),)</f>
        <v>46424</v>
      </c>
      <c r="C272" s="15">
        <f t="shared" si="8"/>
        <v>1.110772313455591E-2</v>
      </c>
      <c r="D272" s="16">
        <f t="shared" si="7"/>
        <v>3.4679504323794241E-2</v>
      </c>
    </row>
    <row r="273" spans="1:4" x14ac:dyDescent="0.2">
      <c r="A273" s="13">
        <v>41699</v>
      </c>
      <c r="B273" s="18">
        <f>VLOOKUP(A273,Database!A:K,MATCH($A$1,Database!$A$1:$K$1,),)</f>
        <v>47057</v>
      </c>
      <c r="C273" s="15">
        <f t="shared" si="8"/>
        <v>1.3635188695502327E-2</v>
      </c>
      <c r="D273" s="16">
        <f t="shared" si="7"/>
        <v>4.5455555308702315E-2</v>
      </c>
    </row>
    <row r="274" spans="1:4" x14ac:dyDescent="0.2">
      <c r="A274" s="14">
        <v>41730</v>
      </c>
      <c r="B274" s="18">
        <f>VLOOKUP(A274,Database!A:K,MATCH($A$1,Database!$A$1:$K$1,),)</f>
        <v>47137</v>
      </c>
      <c r="C274" s="15">
        <f t="shared" si="8"/>
        <v>1.7000658775527552E-3</v>
      </c>
      <c r="D274" s="16">
        <f t="shared" si="7"/>
        <v>5.3976701026317554E-2</v>
      </c>
    </row>
    <row r="275" spans="1:4" x14ac:dyDescent="0.2">
      <c r="A275" s="13">
        <v>41760</v>
      </c>
      <c r="B275" s="18">
        <f>VLOOKUP(A275,Database!A:K,MATCH($A$1,Database!$A$1:$K$1,),)</f>
        <v>47540</v>
      </c>
      <c r="C275" s="15">
        <f t="shared" si="8"/>
        <v>8.5495470649383717E-3</v>
      </c>
      <c r="D275" s="16">
        <f t="shared" si="7"/>
        <v>6.0781863620135664E-2</v>
      </c>
    </row>
    <row r="276" spans="1:4" x14ac:dyDescent="0.2">
      <c r="A276" s="14">
        <v>41791</v>
      </c>
      <c r="B276" s="18">
        <f>VLOOKUP(A276,Database!A:K,MATCH($A$1,Database!$A$1:$K$1,),)</f>
        <v>47710</v>
      </c>
      <c r="C276" s="15">
        <f t="shared" si="8"/>
        <v>3.5759360538493898E-3</v>
      </c>
      <c r="D276" s="16">
        <f t="shared" ref="D276:D320" si="9">(B276-B264)/B264</f>
        <v>6.731393033712893E-2</v>
      </c>
    </row>
    <row r="277" spans="1:4" x14ac:dyDescent="0.2">
      <c r="A277" s="13">
        <v>41821</v>
      </c>
      <c r="B277" s="18">
        <f>VLOOKUP(A277,Database!A:K,MATCH($A$1,Database!$A$1:$K$1,),)</f>
        <v>48083</v>
      </c>
      <c r="C277" s="15">
        <f t="shared" si="8"/>
        <v>7.818067491092014E-3</v>
      </c>
      <c r="D277" s="16">
        <f t="shared" si="9"/>
        <v>6.7325194228634852E-2</v>
      </c>
    </row>
    <row r="278" spans="1:4" x14ac:dyDescent="0.2">
      <c r="A278" s="14">
        <v>41852</v>
      </c>
      <c r="B278" s="18">
        <f>VLOOKUP(A278,Database!A:K,MATCH($A$1,Database!$A$1:$K$1,),)</f>
        <v>48375</v>
      </c>
      <c r="C278" s="15">
        <f t="shared" si="8"/>
        <v>6.0728323939854001E-3</v>
      </c>
      <c r="D278" s="16">
        <f t="shared" si="9"/>
        <v>7.1309932454877642E-2</v>
      </c>
    </row>
    <row r="279" spans="1:4" x14ac:dyDescent="0.2">
      <c r="A279" s="13">
        <v>41883</v>
      </c>
      <c r="B279" s="18">
        <f>VLOOKUP(A279,Database!A:K,MATCH($A$1,Database!$A$1:$K$1,),)</f>
        <v>48982</v>
      </c>
      <c r="C279" s="15">
        <f t="shared" si="8"/>
        <v>1.254780361757106E-2</v>
      </c>
      <c r="D279" s="16">
        <f t="shared" si="9"/>
        <v>8.0231122088920248E-2</v>
      </c>
    </row>
    <row r="280" spans="1:4" x14ac:dyDescent="0.2">
      <c r="A280" s="14">
        <v>41913</v>
      </c>
      <c r="B280" s="18">
        <f>VLOOKUP(A280,Database!A:K,MATCH($A$1,Database!$A$1:$K$1,),)</f>
        <v>49658</v>
      </c>
      <c r="C280" s="15">
        <f t="shared" si="8"/>
        <v>1.3800988118084194E-2</v>
      </c>
      <c r="D280" s="16">
        <f t="shared" si="9"/>
        <v>8.1025774991292238E-2</v>
      </c>
    </row>
    <row r="281" spans="1:4" x14ac:dyDescent="0.2">
      <c r="A281" s="13">
        <v>41944</v>
      </c>
      <c r="B281" s="18">
        <f>VLOOKUP(A281,Database!A:K,MATCH($A$1,Database!$A$1:$K$1,),)</f>
        <v>49731</v>
      </c>
      <c r="C281" s="15">
        <f t="shared" si="8"/>
        <v>1.4700551774135084E-3</v>
      </c>
      <c r="D281" s="16">
        <f t="shared" si="9"/>
        <v>6.3901249358206402E-2</v>
      </c>
    </row>
    <row r="282" spans="1:4" x14ac:dyDescent="0.2">
      <c r="A282" s="14">
        <v>41974</v>
      </c>
      <c r="B282" s="18">
        <f>VLOOKUP(A282,Database!A:K,MATCH($A$1,Database!$A$1:$K$1,),)</f>
        <v>50508</v>
      </c>
      <c r="C282" s="15">
        <f t="shared" si="8"/>
        <v>1.5624057428967848E-2</v>
      </c>
      <c r="D282" s="16">
        <f t="shared" si="9"/>
        <v>9.0179149579106416E-2</v>
      </c>
    </row>
    <row r="283" spans="1:4" x14ac:dyDescent="0.2">
      <c r="A283" s="13">
        <v>42005</v>
      </c>
      <c r="B283" s="18">
        <f>VLOOKUP(A283,Database!A:K,MATCH($A$1,Database!$A$1:$K$1,),)</f>
        <v>50834</v>
      </c>
      <c r="C283" s="15">
        <f t="shared" si="8"/>
        <v>6.4544230616931974E-3</v>
      </c>
      <c r="D283" s="16">
        <f t="shared" si="9"/>
        <v>0.10715685847453936</v>
      </c>
    </row>
    <row r="284" spans="1:4" x14ac:dyDescent="0.2">
      <c r="A284" s="14">
        <v>42036</v>
      </c>
      <c r="B284" s="18">
        <f>VLOOKUP(A284,Database!A:K,MATCH($A$1,Database!$A$1:$K$1,),)</f>
        <v>50690</v>
      </c>
      <c r="C284" s="15">
        <f t="shared" si="8"/>
        <v>-2.8327497344297122E-3</v>
      </c>
      <c r="D284" s="16">
        <f t="shared" si="9"/>
        <v>9.1892124763053598E-2</v>
      </c>
    </row>
    <row r="285" spans="1:4" x14ac:dyDescent="0.2">
      <c r="A285" s="13">
        <v>42064</v>
      </c>
      <c r="B285" s="18">
        <f>VLOOKUP(A285,Database!A:K,MATCH($A$1,Database!$A$1:$K$1,),)</f>
        <v>51067</v>
      </c>
      <c r="C285" s="15">
        <f t="shared" si="8"/>
        <v>7.4373643716709407E-3</v>
      </c>
      <c r="D285" s="16">
        <f t="shared" si="9"/>
        <v>8.5215802112331859E-2</v>
      </c>
    </row>
    <row r="286" spans="1:4" x14ac:dyDescent="0.2">
      <c r="A286" s="14">
        <v>42095</v>
      </c>
      <c r="B286" s="18">
        <f>VLOOKUP(A286,Database!A:K,MATCH($A$1,Database!$A$1:$K$1,),)</f>
        <v>51739</v>
      </c>
      <c r="C286" s="15">
        <f t="shared" si="8"/>
        <v>1.3159183034053303E-2</v>
      </c>
      <c r="D286" s="16">
        <f t="shared" si="9"/>
        <v>9.7630311644780116E-2</v>
      </c>
    </row>
    <row r="287" spans="1:4" x14ac:dyDescent="0.2">
      <c r="A287" s="13">
        <v>42125</v>
      </c>
      <c r="B287" s="18">
        <f>VLOOKUP(A287,Database!A:K,MATCH($A$1,Database!$A$1:$K$1,),)</f>
        <v>51811</v>
      </c>
      <c r="C287" s="15">
        <f t="shared" si="8"/>
        <v>1.3916001468911266E-3</v>
      </c>
      <c r="D287" s="16">
        <f t="shared" si="9"/>
        <v>8.9840134623474968E-2</v>
      </c>
    </row>
    <row r="288" spans="1:4" x14ac:dyDescent="0.2">
      <c r="A288" s="14">
        <v>42156</v>
      </c>
      <c r="B288" s="18">
        <f>VLOOKUP(A288,Database!A:K,MATCH($A$1,Database!$A$1:$K$1,),)</f>
        <v>51879</v>
      </c>
      <c r="C288" s="15">
        <f t="shared" si="8"/>
        <v>1.3124626044662331E-3</v>
      </c>
      <c r="D288" s="16">
        <f t="shared" si="9"/>
        <v>8.7382100188639691E-2</v>
      </c>
    </row>
    <row r="289" spans="1:4" x14ac:dyDescent="0.2">
      <c r="A289" s="13">
        <v>42186</v>
      </c>
      <c r="B289" s="18">
        <f>VLOOKUP(A289,Database!A:K,MATCH($A$1,Database!$A$1:$K$1,),)</f>
        <v>52157</v>
      </c>
      <c r="C289" s="15">
        <f t="shared" si="8"/>
        <v>5.3586229495556966E-3</v>
      </c>
      <c r="D289" s="16">
        <f t="shared" si="9"/>
        <v>8.4728490318823707E-2</v>
      </c>
    </row>
    <row r="290" spans="1:4" x14ac:dyDescent="0.2">
      <c r="A290" s="14">
        <v>42217</v>
      </c>
      <c r="B290" s="18">
        <f>VLOOKUP(A290,Database!A:K,MATCH($A$1,Database!$A$1:$K$1,),)</f>
        <v>52416</v>
      </c>
      <c r="C290" s="15">
        <f t="shared" si="8"/>
        <v>4.9657764058515632E-3</v>
      </c>
      <c r="D290" s="16">
        <f t="shared" si="9"/>
        <v>8.3534883720930236E-2</v>
      </c>
    </row>
    <row r="291" spans="1:4" x14ac:dyDescent="0.2">
      <c r="A291" s="13">
        <v>42248</v>
      </c>
      <c r="B291" s="18">
        <f>VLOOKUP(A291,Database!A:K,MATCH($A$1,Database!$A$1:$K$1,),)</f>
        <v>52387</v>
      </c>
      <c r="C291" s="15">
        <f t="shared" si="8"/>
        <v>-5.5326617826617825E-4</v>
      </c>
      <c r="D291" s="16">
        <f t="shared" si="9"/>
        <v>6.9515332162835328E-2</v>
      </c>
    </row>
    <row r="292" spans="1:4" x14ac:dyDescent="0.2">
      <c r="A292" s="14">
        <v>42278</v>
      </c>
      <c r="B292" s="18">
        <f>VLOOKUP(A292,Database!A:K,MATCH($A$1,Database!$A$1:$K$1,),)</f>
        <v>52759</v>
      </c>
      <c r="C292" s="15">
        <f t="shared" si="8"/>
        <v>7.1009983392826461E-3</v>
      </c>
      <c r="D292" s="16">
        <f t="shared" si="9"/>
        <v>6.2447138426839584E-2</v>
      </c>
    </row>
    <row r="293" spans="1:4" x14ac:dyDescent="0.2">
      <c r="A293" s="13">
        <v>42309</v>
      </c>
      <c r="B293" s="18">
        <f>VLOOKUP(A293,Database!A:K,MATCH($A$1,Database!$A$1:$K$1,),)</f>
        <v>52881</v>
      </c>
      <c r="C293" s="15">
        <f t="shared" si="8"/>
        <v>2.3124016755435091E-3</v>
      </c>
      <c r="D293" s="16">
        <f t="shared" si="9"/>
        <v>6.3340773360680461E-2</v>
      </c>
    </row>
    <row r="294" spans="1:4" x14ac:dyDescent="0.2">
      <c r="A294" s="14">
        <v>42339</v>
      </c>
      <c r="B294" s="18">
        <f>VLOOKUP(A294,Database!A:K,MATCH($A$1,Database!$A$1:$K$1,),)</f>
        <v>53740</v>
      </c>
      <c r="C294" s="15">
        <f t="shared" si="8"/>
        <v>1.6244019591157503E-2</v>
      </c>
      <c r="D294" s="16">
        <f t="shared" si="9"/>
        <v>6.3989862992001267E-2</v>
      </c>
    </row>
    <row r="295" spans="1:4" x14ac:dyDescent="0.2">
      <c r="A295" s="13">
        <v>42370</v>
      </c>
      <c r="B295" s="18">
        <f>VLOOKUP(A295,Database!A:K,MATCH($A$1,Database!$A$1:$K$1,),)</f>
        <v>53045</v>
      </c>
      <c r="C295" s="15">
        <f t="shared" si="8"/>
        <v>-1.2932638630442873E-2</v>
      </c>
      <c r="D295" s="16">
        <f t="shared" si="9"/>
        <v>4.3494511547389543E-2</v>
      </c>
    </row>
    <row r="296" spans="1:4" x14ac:dyDescent="0.2">
      <c r="A296" s="14">
        <v>42401</v>
      </c>
      <c r="B296" s="18">
        <f>VLOOKUP(A296,Database!A:K,MATCH($A$1,Database!$A$1:$K$1,),)</f>
        <v>54237</v>
      </c>
      <c r="C296" s="15">
        <f t="shared" si="8"/>
        <v>2.2471486473748702E-2</v>
      </c>
      <c r="D296" s="16">
        <f t="shared" si="9"/>
        <v>6.9974353915959756E-2</v>
      </c>
    </row>
    <row r="297" spans="1:4" x14ac:dyDescent="0.2">
      <c r="A297" s="13">
        <v>42430</v>
      </c>
      <c r="B297" s="18">
        <f>VLOOKUP(A297,Database!A:K,MATCH($A$1,Database!$A$1:$K$1,),)</f>
        <v>53919</v>
      </c>
      <c r="C297" s="15">
        <f t="shared" si="8"/>
        <v>-5.8631561480170366E-3</v>
      </c>
      <c r="D297" s="16">
        <f t="shared" si="9"/>
        <v>5.584819942428574E-2</v>
      </c>
    </row>
    <row r="298" spans="1:4" x14ac:dyDescent="0.2">
      <c r="A298" s="14">
        <v>42461</v>
      </c>
      <c r="B298" s="18">
        <f>VLOOKUP(A298,Database!A:K,MATCH($A$1,Database!$A$1:$K$1,),)</f>
        <v>54240</v>
      </c>
      <c r="C298" s="15">
        <f t="shared" si="8"/>
        <v>5.9533745062037499E-3</v>
      </c>
      <c r="D298" s="16">
        <f t="shared" si="9"/>
        <v>4.8338777324648717E-2</v>
      </c>
    </row>
    <row r="299" spans="1:4" x14ac:dyDescent="0.2">
      <c r="A299" s="13">
        <v>42491</v>
      </c>
      <c r="B299" s="18">
        <f>VLOOKUP(A299,Database!A:K,MATCH($A$1,Database!$A$1:$K$1,),)</f>
        <v>54300</v>
      </c>
      <c r="C299" s="15">
        <f t="shared" si="8"/>
        <v>1.1061946902654867E-3</v>
      </c>
      <c r="D299" s="16">
        <f t="shared" si="9"/>
        <v>4.8039991507594915E-2</v>
      </c>
    </row>
    <row r="300" spans="1:4" x14ac:dyDescent="0.2">
      <c r="A300" s="14">
        <v>42522</v>
      </c>
      <c r="B300" s="18">
        <f>VLOOKUP(A300,Database!A:K,MATCH($A$1,Database!$A$1:$K$1,),)</f>
        <v>54296</v>
      </c>
      <c r="C300" s="15">
        <f t="shared" si="8"/>
        <v>-7.3664825046040511E-5</v>
      </c>
      <c r="D300" s="16">
        <f t="shared" si="9"/>
        <v>4.6589178665741436E-2</v>
      </c>
    </row>
    <row r="301" spans="1:4" x14ac:dyDescent="0.2">
      <c r="A301" s="13">
        <v>42552</v>
      </c>
      <c r="B301" s="18">
        <f>VLOOKUP(A301,Database!A:K,MATCH($A$1,Database!$A$1:$K$1,),)</f>
        <v>54330</v>
      </c>
      <c r="C301" s="15">
        <f t="shared" si="8"/>
        <v>6.261971415942243E-4</v>
      </c>
      <c r="D301" s="16">
        <f t="shared" si="9"/>
        <v>4.1662672316275857E-2</v>
      </c>
    </row>
    <row r="302" spans="1:4" x14ac:dyDescent="0.2">
      <c r="A302" s="14">
        <v>42583</v>
      </c>
      <c r="B302" s="18">
        <f>VLOOKUP(A302,Database!A:K,MATCH($A$1,Database!$A$1:$K$1,),)</f>
        <v>54803</v>
      </c>
      <c r="C302" s="15">
        <f t="shared" si="8"/>
        <v>8.7060555862322839E-3</v>
      </c>
      <c r="D302" s="16">
        <f t="shared" si="9"/>
        <v>4.5539529914529912E-2</v>
      </c>
    </row>
    <row r="303" spans="1:4" x14ac:dyDescent="0.2">
      <c r="A303" s="13">
        <v>42614</v>
      </c>
      <c r="B303" s="18">
        <f>VLOOKUP(A303,Database!A:K,MATCH($A$1,Database!$A$1:$K$1,),)</f>
        <v>55366</v>
      </c>
      <c r="C303" s="15">
        <f t="shared" si="8"/>
        <v>1.0273160228454647E-2</v>
      </c>
      <c r="D303" s="16">
        <f t="shared" si="9"/>
        <v>5.6865252829900549E-2</v>
      </c>
    </row>
    <row r="304" spans="1:4" x14ac:dyDescent="0.2">
      <c r="A304" s="14">
        <v>42644</v>
      </c>
      <c r="B304" s="18">
        <f>VLOOKUP(A304,Database!A:K,MATCH($A$1,Database!$A$1:$K$1,),)</f>
        <v>55375</v>
      </c>
      <c r="C304" s="15">
        <f t="shared" si="8"/>
        <v>1.6255463641946322E-4</v>
      </c>
      <c r="D304" s="16">
        <f t="shared" si="9"/>
        <v>4.9583957239523115E-2</v>
      </c>
    </row>
    <row r="305" spans="1:4" x14ac:dyDescent="0.2">
      <c r="A305" s="13">
        <v>42675</v>
      </c>
      <c r="B305" s="18">
        <f>VLOOKUP(A305,Database!A:K,MATCH($A$1,Database!$A$1:$K$1,),)</f>
        <v>56346</v>
      </c>
      <c r="C305" s="15">
        <f t="shared" si="8"/>
        <v>1.7534988713318284E-2</v>
      </c>
      <c r="D305" s="16">
        <f t="shared" si="9"/>
        <v>6.5524479491688881E-2</v>
      </c>
    </row>
    <row r="306" spans="1:4" x14ac:dyDescent="0.2">
      <c r="A306" s="14">
        <v>42705</v>
      </c>
      <c r="B306" s="18">
        <f>VLOOKUP(A306,Database!A:K,MATCH($A$1,Database!$A$1:$K$1,),)</f>
        <v>55451</v>
      </c>
      <c r="C306" s="15">
        <f t="shared" si="8"/>
        <v>-1.5884002413658466E-2</v>
      </c>
      <c r="D306" s="16">
        <f t="shared" si="9"/>
        <v>3.1838481577967995E-2</v>
      </c>
    </row>
    <row r="307" spans="1:4" x14ac:dyDescent="0.2">
      <c r="A307" s="13">
        <v>42736</v>
      </c>
      <c r="B307" s="18">
        <f>VLOOKUP(A307,Database!A:K,MATCH($A$1,Database!$A$1:$K$1,),)</f>
        <v>57403</v>
      </c>
      <c r="C307" s="15">
        <f t="shared" si="8"/>
        <v>3.5202250635696382E-2</v>
      </c>
      <c r="D307" s="16">
        <f t="shared" si="9"/>
        <v>8.2156659440098034E-2</v>
      </c>
    </row>
    <row r="308" spans="1:4" x14ac:dyDescent="0.2">
      <c r="A308" s="14">
        <v>42767</v>
      </c>
      <c r="B308" s="18">
        <f>VLOOKUP(A308,Database!A:K,MATCH($A$1,Database!$A$1:$K$1,),)</f>
        <v>57492</v>
      </c>
      <c r="C308" s="15">
        <f t="shared" si="8"/>
        <v>1.5504416145497623E-3</v>
      </c>
      <c r="D308" s="16">
        <f t="shared" si="9"/>
        <v>6.0014381326400794E-2</v>
      </c>
    </row>
    <row r="309" spans="1:4" x14ac:dyDescent="0.2">
      <c r="A309" s="13">
        <v>42795</v>
      </c>
      <c r="B309" s="18">
        <f>VLOOKUP(A309,Database!A:K,MATCH($A$1,Database!$A$1:$K$1,),)</f>
        <v>57379</v>
      </c>
      <c r="C309" s="15">
        <f t="shared" si="8"/>
        <v>-1.9654908509009949E-3</v>
      </c>
      <c r="D309" s="16">
        <f t="shared" si="9"/>
        <v>6.4170329568426721E-2</v>
      </c>
    </row>
    <row r="310" spans="1:4" x14ac:dyDescent="0.2">
      <c r="A310" s="14">
        <v>42826</v>
      </c>
      <c r="B310" s="18">
        <f>VLOOKUP(A310,Database!A:K,MATCH($A$1,Database!$A$1:$K$1,),)</f>
        <v>57474</v>
      </c>
      <c r="C310" s="15">
        <f t="shared" si="8"/>
        <v>1.655657993342512E-3</v>
      </c>
      <c r="D310" s="16">
        <f t="shared" si="9"/>
        <v>5.9623893805309733E-2</v>
      </c>
    </row>
    <row r="311" spans="1:4" x14ac:dyDescent="0.2">
      <c r="A311" s="13">
        <v>42856</v>
      </c>
      <c r="B311" s="18">
        <f>VLOOKUP(A311,Database!A:K,MATCH($A$1,Database!$A$1:$K$1,),)</f>
        <v>57470</v>
      </c>
      <c r="C311" s="15">
        <f t="shared" si="8"/>
        <v>-6.9596687197689394E-5</v>
      </c>
      <c r="D311" s="16">
        <f t="shared" si="9"/>
        <v>5.8379373848987108E-2</v>
      </c>
    </row>
    <row r="312" spans="1:4" x14ac:dyDescent="0.2">
      <c r="A312" s="14">
        <v>42887</v>
      </c>
      <c r="B312" s="18">
        <f>VLOOKUP(A312,Database!A:K,MATCH($A$1,Database!$A$1:$K$1,),)</f>
        <v>57263</v>
      </c>
      <c r="C312" s="15">
        <f t="shared" si="8"/>
        <v>-3.6018792413433096E-3</v>
      </c>
      <c r="D312" s="16">
        <f t="shared" si="9"/>
        <v>5.46449093855901E-2</v>
      </c>
    </row>
    <row r="313" spans="1:4" x14ac:dyDescent="0.2">
      <c r="A313" s="13">
        <v>42917</v>
      </c>
      <c r="B313" s="18">
        <f>VLOOKUP(A313,Database!A:K,MATCH($A$1,Database!$A$1:$K$1,),)</f>
        <v>57215</v>
      </c>
      <c r="C313" s="15">
        <f t="shared" si="8"/>
        <v>-8.3823760543457382E-4</v>
      </c>
      <c r="D313" s="16">
        <f t="shared" si="9"/>
        <v>5.3101417264862873E-2</v>
      </c>
    </row>
    <row r="314" spans="1:4" x14ac:dyDescent="0.2">
      <c r="A314" s="14">
        <v>42948</v>
      </c>
      <c r="B314" s="18">
        <f>VLOOKUP(A314,Database!A:K,MATCH($A$1,Database!$A$1:$K$1,),)</f>
        <v>57524</v>
      </c>
      <c r="C314" s="15">
        <f t="shared" si="8"/>
        <v>5.4006816394302198E-3</v>
      </c>
      <c r="D314" s="16">
        <f t="shared" si="9"/>
        <v>4.9650566574822544E-2</v>
      </c>
    </row>
    <row r="315" spans="1:4" x14ac:dyDescent="0.2">
      <c r="A315" s="13">
        <v>42979</v>
      </c>
      <c r="B315" s="18">
        <f>VLOOKUP(A315,Database!A:K,MATCH($A$1,Database!$A$1:$K$1,),)</f>
        <v>57884</v>
      </c>
      <c r="C315" s="15">
        <f t="shared" si="8"/>
        <v>6.2582574229886655E-3</v>
      </c>
      <c r="D315" s="16">
        <f t="shared" si="9"/>
        <v>4.5479174944912042E-2</v>
      </c>
    </row>
    <row r="316" spans="1:4" x14ac:dyDescent="0.2">
      <c r="A316" s="14">
        <v>43009</v>
      </c>
      <c r="B316" s="18">
        <f>VLOOKUP(A316,Database!A:K,MATCH($A$1,Database!$A$1:$K$1,),)</f>
        <v>58126</v>
      </c>
      <c r="C316" s="15">
        <f t="shared" si="8"/>
        <v>4.1807753437910307E-3</v>
      </c>
      <c r="D316" s="16">
        <f t="shared" si="9"/>
        <v>4.9679458239277649E-2</v>
      </c>
    </row>
    <row r="317" spans="1:4" x14ac:dyDescent="0.2">
      <c r="A317" s="13">
        <v>43040</v>
      </c>
      <c r="B317" s="18">
        <f>VLOOKUP(A317,Database!A:K,MATCH($A$1,Database!$A$1:$K$1,),)</f>
        <v>58849</v>
      </c>
      <c r="C317" s="15">
        <f t="shared" si="8"/>
        <v>1.2438495681794722E-2</v>
      </c>
      <c r="D317" s="16">
        <f t="shared" si="9"/>
        <v>4.4421964292052675E-2</v>
      </c>
    </row>
    <row r="318" spans="1:4" x14ac:dyDescent="0.2">
      <c r="A318" s="14">
        <v>43070</v>
      </c>
      <c r="B318" s="18">
        <f>VLOOKUP(A318,Database!A:K,MATCH($A$1,Database!$A$1:$K$1,),)</f>
        <v>59119</v>
      </c>
      <c r="C318" s="15">
        <f t="shared" si="8"/>
        <v>4.5880133902020427E-3</v>
      </c>
      <c r="D318" s="16">
        <f t="shared" si="9"/>
        <v>6.6148491460929465E-2</v>
      </c>
    </row>
    <row r="319" spans="1:4" x14ac:dyDescent="0.2">
      <c r="A319" s="13">
        <v>43101</v>
      </c>
      <c r="B319" s="18">
        <f>VLOOKUP(A319,Database!A:K,MATCH($A$1,Database!$A$1:$K$1,),)</f>
        <v>59344</v>
      </c>
      <c r="C319" s="15">
        <f t="shared" si="8"/>
        <v>3.8058830494426495E-3</v>
      </c>
      <c r="D319" s="16">
        <f t="shared" si="9"/>
        <v>3.3813563751023464E-2</v>
      </c>
    </row>
    <row r="320" spans="1:4" x14ac:dyDescent="0.2">
      <c r="A320" s="14">
        <v>43132</v>
      </c>
      <c r="B320" s="18">
        <f>VLOOKUP(A320,Database!A:K,MATCH($A$1,Database!$A$1:$K$1,),)</f>
        <v>59653</v>
      </c>
      <c r="C320" s="15">
        <f t="shared" si="8"/>
        <v>5.2069290913992986E-3</v>
      </c>
      <c r="D320" s="16">
        <f t="shared" si="9"/>
        <v>3.7587838307938493E-2</v>
      </c>
    </row>
    <row r="321" spans="1:4" x14ac:dyDescent="0.2">
      <c r="A321" s="13">
        <v>43160</v>
      </c>
      <c r="B321" s="18">
        <f>VLOOKUP(A321,Database!A:K,MATCH($A$1,Database!$A$1:$K$1,),)</f>
        <v>60141</v>
      </c>
      <c r="C321" s="15">
        <f t="shared" ref="C321:C322" si="10">(B321-B320)/B320</f>
        <v>8.1806447286808717E-3</v>
      </c>
      <c r="D321" s="16">
        <f t="shared" ref="D321:D322" si="11">(B321-B309)/B309</f>
        <v>4.8136077659073878E-2</v>
      </c>
    </row>
    <row r="322" spans="1:4" x14ac:dyDescent="0.2">
      <c r="A322" s="14">
        <v>43191</v>
      </c>
      <c r="B322" s="18">
        <f>VLOOKUP(A322,Database!A:K,MATCH($A$1,Database!$A$1:$K$1,),)</f>
        <v>59415</v>
      </c>
      <c r="C322" s="15">
        <f t="shared" si="10"/>
        <v>-1.2071631665585874E-2</v>
      </c>
      <c r="D322" s="16">
        <f t="shared" si="11"/>
        <v>3.3771792462678779E-2</v>
      </c>
    </row>
    <row r="323" spans="1:4" x14ac:dyDescent="0.2">
      <c r="A323" s="13">
        <v>43221</v>
      </c>
      <c r="B323" s="18">
        <f>VLOOKUP(A323,Database!A:K,MATCH($A$1,Database!$A$1:$K$1,),)</f>
        <v>60723</v>
      </c>
      <c r="C323" s="15">
        <f t="shared" ref="C323:C324" si="12">(B323-B322)/B322</f>
        <v>2.2014642766978038E-2</v>
      </c>
      <c r="D323" s="16">
        <f t="shared" ref="D323:D324" si="13">(B323-B311)/B311</f>
        <v>5.6603445275796069E-2</v>
      </c>
    </row>
    <row r="324" spans="1:4" x14ac:dyDescent="0.2">
      <c r="A324" s="14">
        <v>43252</v>
      </c>
      <c r="B324" s="18">
        <f>VLOOKUP(A324,Database!A:K,MATCH($A$1,Database!$A$1:$K$1,),)</f>
        <v>61440</v>
      </c>
      <c r="C324" s="15">
        <f t="shared" si="12"/>
        <v>1.1807717010029148E-2</v>
      </c>
      <c r="D324" s="16">
        <f t="shared" si="13"/>
        <v>7.2944134956254472E-2</v>
      </c>
    </row>
    <row r="325" spans="1:4" x14ac:dyDescent="0.2">
      <c r="A325" s="13">
        <v>43282</v>
      </c>
      <c r="B325" s="18">
        <f>VLOOKUP(A325,Database!A:K,MATCH($A$1,Database!$A$1:$K$1,),)</f>
        <v>62259</v>
      </c>
      <c r="C325" s="15">
        <f t="shared" ref="C325:C326" si="14">(B325-B324)/B324</f>
        <v>1.3330078125E-2</v>
      </c>
      <c r="D325" s="16">
        <f t="shared" ref="D325:D326" si="15">(B325-B313)/B313</f>
        <v>8.8158699641702351E-2</v>
      </c>
    </row>
    <row r="326" spans="1:4" x14ac:dyDescent="0.2">
      <c r="A326" s="14">
        <v>43313</v>
      </c>
      <c r="B326" s="18">
        <f>VLOOKUP(A326,Database!A:K,MATCH($A$1,Database!$A$1:$K$1,),)</f>
        <v>62635</v>
      </c>
      <c r="C326" s="15">
        <f t="shared" si="14"/>
        <v>6.0392874925713552E-3</v>
      </c>
      <c r="D326" s="16">
        <f t="shared" si="15"/>
        <v>8.8849871358041857E-2</v>
      </c>
    </row>
    <row r="327" spans="1:4" x14ac:dyDescent="0.2">
      <c r="A327" s="13">
        <v>43344</v>
      </c>
      <c r="B327" s="18">
        <f>VLOOKUP(A327,Database!A:K,MATCH($A$1,Database!$A$1:$K$1,),)</f>
        <v>61377</v>
      </c>
      <c r="C327" s="15">
        <f t="shared" ref="C327:C328" si="16">(B327-B326)/B326</f>
        <v>-2.0084617226790134E-2</v>
      </c>
      <c r="D327" s="16">
        <f t="shared" ref="D327:D328" si="17">(B327-B315)/B315</f>
        <v>6.0344827586206899E-2</v>
      </c>
    </row>
    <row r="328" spans="1:4" x14ac:dyDescent="0.2">
      <c r="A328" s="14">
        <v>43374</v>
      </c>
      <c r="B328" s="18">
        <f>VLOOKUP(A328,Database!A:K,MATCH($A$1,Database!$A$1:$K$1,),)</f>
        <v>61972</v>
      </c>
      <c r="C328" s="15">
        <f t="shared" si="16"/>
        <v>9.6941851182038869E-3</v>
      </c>
      <c r="D328" s="16">
        <f t="shared" si="17"/>
        <v>6.6166603585314662E-2</v>
      </c>
    </row>
    <row r="329" spans="1:4" x14ac:dyDescent="0.2">
      <c r="A329" s="13">
        <v>43405</v>
      </c>
      <c r="B329" s="18">
        <f>VLOOKUP(A329,Database!A:K,MATCH($A$1,Database!$A$1:$K$1,),)</f>
        <v>61731</v>
      </c>
      <c r="C329" s="15">
        <f t="shared" ref="C329:C330" si="18">(B329-B328)/B328</f>
        <v>-3.8888530304008262E-3</v>
      </c>
      <c r="D329" s="16">
        <f t="shared" ref="D329:D330" si="19">(B329-B317)/B317</f>
        <v>4.8972794779860322E-2</v>
      </c>
    </row>
    <row r="330" spans="1:4" x14ac:dyDescent="0.2">
      <c r="A330" s="14">
        <v>43435</v>
      </c>
      <c r="B330" s="18">
        <f>VLOOKUP(A330,Database!A:K,MATCH($A$1,Database!$A$1:$K$1,),)</f>
        <v>61790</v>
      </c>
      <c r="C330" s="15">
        <f t="shared" si="18"/>
        <v>9.55759666942055E-4</v>
      </c>
      <c r="D330" s="16">
        <f t="shared" si="19"/>
        <v>4.5180060555828072E-2</v>
      </c>
    </row>
    <row r="331" spans="1:4" x14ac:dyDescent="0.2">
      <c r="A331" s="13">
        <v>43466</v>
      </c>
      <c r="B331" s="18">
        <f>VLOOKUP(A331,Database!A:K,MATCH($A$1,Database!$A$1:$K$1,),)</f>
        <v>61973</v>
      </c>
      <c r="C331" s="15">
        <f t="shared" ref="C331:C332" si="20">(B331-B330)/B330</f>
        <v>2.9616442790095484E-3</v>
      </c>
      <c r="D331" s="16">
        <f t="shared" ref="D331:D332" si="21">(B331-B319)/B319</f>
        <v>4.4301024534915072E-2</v>
      </c>
    </row>
    <row r="332" spans="1:4" x14ac:dyDescent="0.2">
      <c r="A332" s="14">
        <v>43497</v>
      </c>
      <c r="B332" s="18">
        <f>VLOOKUP(A332,Database!A:K,MATCH($A$1,Database!$A$1:$K$1,),)</f>
        <v>62631</v>
      </c>
      <c r="C332" s="15">
        <f t="shared" si="20"/>
        <v>1.0617526987559099E-2</v>
      </c>
      <c r="D332" s="16">
        <f t="shared" si="21"/>
        <v>4.9922049184450069E-2</v>
      </c>
    </row>
    <row r="333" spans="1:4" x14ac:dyDescent="0.2">
      <c r="A333" s="13">
        <v>43525</v>
      </c>
      <c r="B333" s="18">
        <f>VLOOKUP(A333,Database!A:K,MATCH($A$1,Database!$A$1:$K$1,),)</f>
        <v>63153</v>
      </c>
      <c r="C333" s="15">
        <f t="shared" ref="C333:C334" si="22">(B333-B332)/B332</f>
        <v>8.3345308233941651E-3</v>
      </c>
      <c r="D333" s="16">
        <f t="shared" ref="D333:D334" si="23">(B333-B321)/B321</f>
        <v>5.0082306579538084E-2</v>
      </c>
    </row>
    <row r="334" spans="1:4" x14ac:dyDescent="0.2">
      <c r="A334" s="14">
        <v>43556</v>
      </c>
      <c r="B334" s="18">
        <f>VLOOKUP(A334,Database!A:K,MATCH($A$1,Database!$A$1:$K$1,),)</f>
        <v>63617</v>
      </c>
      <c r="C334" s="15">
        <f t="shared" si="22"/>
        <v>7.34723607746267E-3</v>
      </c>
      <c r="D334" s="16">
        <f t="shared" si="23"/>
        <v>7.0722881427249015E-2</v>
      </c>
    </row>
    <row r="335" spans="1:4" x14ac:dyDescent="0.2">
      <c r="A335" s="13">
        <v>43586</v>
      </c>
      <c r="B335" s="18">
        <f>VLOOKUP(A335,Database!A:K,MATCH($A$1,Database!$A$1:$K$1,),)</f>
        <v>64318</v>
      </c>
      <c r="C335" s="15">
        <f t="shared" ref="C335:C336" si="24">(B335-B334)/B334</f>
        <v>1.1019067230457268E-2</v>
      </c>
      <c r="D335" s="16">
        <f t="shared" ref="D335:D336" si="25">(B335-B323)/B323</f>
        <v>5.9203267295752843E-2</v>
      </c>
    </row>
    <row r="336" spans="1:4" x14ac:dyDescent="0.2">
      <c r="A336" s="14">
        <v>43617</v>
      </c>
      <c r="B336" s="18">
        <f>VLOOKUP(A336,Database!A:K,MATCH($A$1,Database!$A$1:$K$1,),)</f>
        <v>64984</v>
      </c>
      <c r="C336" s="15">
        <f t="shared" si="24"/>
        <v>1.0354799589539476E-2</v>
      </c>
      <c r="D336" s="16">
        <f t="shared" si="25"/>
        <v>5.768229166666667E-2</v>
      </c>
    </row>
    <row r="337" spans="1:4" x14ac:dyDescent="0.2">
      <c r="A337" s="13">
        <v>43647</v>
      </c>
      <c r="B337" s="18">
        <f>VLOOKUP(A337,Database!A:K,MATCH($A$1,Database!$A$1:$K$1,),)</f>
        <v>65435</v>
      </c>
      <c r="C337" s="15">
        <f t="shared" ref="C337:C338" si="26">(B337-B336)/B336</f>
        <v>6.9401698879724243E-3</v>
      </c>
      <c r="D337" s="16">
        <f t="shared" ref="D337:D338" si="27">(B337-B325)/B325</f>
        <v>5.101270499044315E-2</v>
      </c>
    </row>
    <row r="338" spans="1:4" x14ac:dyDescent="0.2">
      <c r="A338" s="14">
        <v>43678</v>
      </c>
      <c r="B338" s="18">
        <f>VLOOKUP(A338,Database!A:K,MATCH($A$1,Database!$A$1:$K$1,),)</f>
        <v>65333</v>
      </c>
      <c r="C338" s="15">
        <f t="shared" si="26"/>
        <v>-1.5587988079773822E-3</v>
      </c>
      <c r="D338" s="16">
        <f t="shared" si="27"/>
        <v>4.3074958090524466E-2</v>
      </c>
    </row>
    <row r="339" spans="1:4" x14ac:dyDescent="0.2">
      <c r="A339" s="13">
        <v>43709</v>
      </c>
      <c r="B339" s="18">
        <f>VLOOKUP(A339,Database!A:K,MATCH($A$1,Database!$A$1:$K$1,),)</f>
        <v>65756</v>
      </c>
      <c r="C339" s="15">
        <f t="shared" ref="C339:C340" si="28">(B339-B338)/B338</f>
        <v>6.4745228291981085E-3</v>
      </c>
      <c r="D339" s="16">
        <f t="shared" ref="D339:D340" si="29">(B339-B327)/B327</f>
        <v>7.1345943920361046E-2</v>
      </c>
    </row>
    <row r="340" spans="1:4" x14ac:dyDescent="0.2">
      <c r="A340" s="14">
        <v>43739</v>
      </c>
      <c r="B340" s="18">
        <f>VLOOKUP(A340,Database!A:K,MATCH($A$1,Database!$A$1:$K$1,),)</f>
        <v>65628</v>
      </c>
      <c r="C340" s="15">
        <f t="shared" si="28"/>
        <v>-1.946590425208346E-3</v>
      </c>
      <c r="D340" s="16">
        <f t="shared" si="29"/>
        <v>5.8994384560769379E-2</v>
      </c>
    </row>
    <row r="341" spans="1:4" x14ac:dyDescent="0.2">
      <c r="A341" s="13">
        <v>43770</v>
      </c>
      <c r="B341" s="18">
        <f>VLOOKUP(A341,Database!A:K,MATCH($A$1,Database!$A$1:$K$1,),)</f>
        <v>65147</v>
      </c>
      <c r="C341" s="15">
        <f t="shared" ref="C341:C342" si="30">(B341-B340)/B340</f>
        <v>-7.3291887608947399E-3</v>
      </c>
      <c r="D341" s="16">
        <f t="shared" ref="D341:D342" si="31">(B341-B329)/B329</f>
        <v>5.5336864784306106E-2</v>
      </c>
    </row>
    <row r="342" spans="1:4" x14ac:dyDescent="0.2">
      <c r="A342" s="14">
        <v>43800</v>
      </c>
      <c r="B342" s="18">
        <f>VLOOKUP(A342,Database!A:K,MATCH($A$1,Database!$A$1:$K$1,),)</f>
        <v>65807</v>
      </c>
      <c r="C342" s="15">
        <f t="shared" si="30"/>
        <v>1.0130934655471472E-2</v>
      </c>
      <c r="D342" s="16">
        <f t="shared" si="31"/>
        <v>6.5010519501537467E-2</v>
      </c>
    </row>
    <row r="343" spans="1:4" x14ac:dyDescent="0.2">
      <c r="A343" s="13">
        <v>43831</v>
      </c>
      <c r="B343" s="18">
        <f>VLOOKUP(A343,Database!A:K,MATCH($A$1,Database!$A$1:$K$1,),)</f>
        <v>66344</v>
      </c>
      <c r="C343" s="15">
        <f t="shared" ref="C343:C344" si="32">(B343-B342)/B342</f>
        <v>8.1602261157627601E-3</v>
      </c>
      <c r="D343" s="16">
        <f t="shared" ref="D343:D344" si="33">(B343-B331)/B331</f>
        <v>7.0530714988785437E-2</v>
      </c>
    </row>
    <row r="344" spans="1:4" x14ac:dyDescent="0.2">
      <c r="A344" s="14">
        <v>43862</v>
      </c>
      <c r="B344" s="18">
        <f>VLOOKUP(A344,Database!A:K,MATCH($A$1,Database!$A$1:$K$1,),)</f>
        <v>66200</v>
      </c>
      <c r="C344" s="15">
        <f t="shared" si="32"/>
        <v>-2.1705052453876764E-3</v>
      </c>
      <c r="D344" s="16">
        <f t="shared" si="33"/>
        <v>5.6984560361482334E-2</v>
      </c>
    </row>
    <row r="345" spans="1:4" x14ac:dyDescent="0.2">
      <c r="A345" s="13">
        <v>43891</v>
      </c>
      <c r="B345" s="18">
        <f>VLOOKUP(A345,Database!A:K,MATCH($A$1,Database!$A$1:$K$1,),)</f>
        <v>46126</v>
      </c>
      <c r="C345" s="15">
        <f t="shared" ref="C345:C346" si="34">(B345-B344)/B344</f>
        <v>-0.30323262839879156</v>
      </c>
      <c r="D345" s="16">
        <f t="shared" ref="D345:D346" si="35">(B345-B333)/B333</f>
        <v>-0.26961506183395878</v>
      </c>
    </row>
    <row r="346" spans="1:4" x14ac:dyDescent="0.2">
      <c r="A346" s="14">
        <v>43922</v>
      </c>
      <c r="B346" s="18">
        <f>VLOOKUP(A346,Database!A:K,MATCH($A$1,Database!$A$1:$K$1,),)</f>
        <v>29927</v>
      </c>
      <c r="C346" s="15">
        <f t="shared" si="34"/>
        <v>-0.35119021809825263</v>
      </c>
      <c r="D346" s="16">
        <f t="shared" si="35"/>
        <v>-0.52957542795164814</v>
      </c>
    </row>
    <row r="347" spans="1:4" x14ac:dyDescent="0.2">
      <c r="A347" s="13">
        <v>43952</v>
      </c>
      <c r="B347" s="18">
        <f>VLOOKUP(A347,Database!A:K,MATCH($A$1,Database!$A$1:$K$1,),)</f>
        <v>39664</v>
      </c>
      <c r="C347" s="15">
        <f t="shared" ref="C347:C348" si="36">(B347-B346)/B346</f>
        <v>0.32535837203862733</v>
      </c>
      <c r="D347" s="16">
        <f t="shared" ref="D347:D348" si="37">(B347-B335)/B335</f>
        <v>-0.38331415777853789</v>
      </c>
    </row>
    <row r="348" spans="1:4" x14ac:dyDescent="0.2">
      <c r="A348" s="14">
        <v>43983</v>
      </c>
      <c r="B348" s="18">
        <f>VLOOKUP(A348,Database!A:K,MATCH($A$1,Database!$A$1:$K$1,),)</f>
        <v>50464</v>
      </c>
      <c r="C348" s="15">
        <f t="shared" si="36"/>
        <v>0.27228721258572003</v>
      </c>
      <c r="D348" s="16">
        <f t="shared" si="37"/>
        <v>-0.22343961590545364</v>
      </c>
    </row>
    <row r="349" spans="1:4" x14ac:dyDescent="0.2">
      <c r="A349" s="13">
        <v>44013</v>
      </c>
      <c r="B349" s="18">
        <f>VLOOKUP(A349,Database!A:K,MATCH($A$1,Database!$A$1:$K$1,),)</f>
        <v>52214</v>
      </c>
      <c r="C349" s="15">
        <f t="shared" ref="C349:C350" si="38">(B349-B348)/B348</f>
        <v>3.4678186429930244E-2</v>
      </c>
      <c r="D349" s="16">
        <f t="shared" ref="D349:D350" si="39">(B349-B337)/B337</f>
        <v>-0.20204783372812715</v>
      </c>
    </row>
    <row r="350" spans="1:4" x14ac:dyDescent="0.2">
      <c r="A350" s="14">
        <v>44044</v>
      </c>
      <c r="B350" s="18">
        <f>VLOOKUP(A350,Database!A:K,MATCH($A$1,Database!$A$1:$K$1,),)</f>
        <v>54558</v>
      </c>
      <c r="C350" s="15">
        <f t="shared" si="38"/>
        <v>4.489217451258283E-2</v>
      </c>
      <c r="D350" s="16">
        <f t="shared" si="39"/>
        <v>-0.1649243108383206</v>
      </c>
    </row>
    <row r="351" spans="1:4" x14ac:dyDescent="0.2">
      <c r="A351" s="13">
        <v>44075</v>
      </c>
      <c r="B351" s="18">
        <f>VLOOKUP(A351,Database!A:K,MATCH($A$1,Database!$A$1:$K$1,),)</f>
        <v>56201</v>
      </c>
      <c r="C351" s="15">
        <f t="shared" ref="C351:C352" si="40">(B351-B350)/B350</f>
        <v>3.0114740276403092E-2</v>
      </c>
      <c r="D351" s="16">
        <f t="shared" ref="D351:D352" si="41">(B351-B339)/B339</f>
        <v>-0.14530993369426365</v>
      </c>
    </row>
    <row r="352" spans="1:4" x14ac:dyDescent="0.2">
      <c r="A352" s="14">
        <v>44105</v>
      </c>
      <c r="B352" s="18">
        <f>VLOOKUP(A352,Database!A:K,MATCH($A$1,Database!$A$1:$K$1,),)</f>
        <v>56047</v>
      </c>
      <c r="C352" s="15">
        <f t="shared" si="40"/>
        <v>-2.7401647657514989E-3</v>
      </c>
      <c r="D352" s="16">
        <f t="shared" si="41"/>
        <v>-0.14598951666971416</v>
      </c>
    </row>
    <row r="353" spans="1:4" x14ac:dyDescent="0.2">
      <c r="A353" s="13">
        <v>44136</v>
      </c>
      <c r="B353" s="18">
        <f>VLOOKUP(A353,Database!A:K,MATCH($A$1,Database!$A$1:$K$1,),)</f>
        <v>53931</v>
      </c>
      <c r="C353" s="15">
        <f t="shared" ref="C353:C354" si="42">(B353-B352)/B352</f>
        <v>-3.7754027869466696E-2</v>
      </c>
      <c r="D353" s="16">
        <f t="shared" ref="D353:D354" si="43">(B353-B341)/B341</f>
        <v>-0.17216448953904248</v>
      </c>
    </row>
    <row r="354" spans="1:4" x14ac:dyDescent="0.2">
      <c r="A354" s="14">
        <v>44166</v>
      </c>
      <c r="B354" s="18">
        <f>VLOOKUP(A354,Database!A:K,MATCH($A$1,Database!$A$1:$K$1,),)</f>
        <v>51190</v>
      </c>
      <c r="C354" s="15">
        <f t="shared" si="42"/>
        <v>-5.0824201294246349E-2</v>
      </c>
      <c r="D354" s="16">
        <f t="shared" si="43"/>
        <v>-0.22211922743781057</v>
      </c>
    </row>
    <row r="355" spans="1:4" x14ac:dyDescent="0.2">
      <c r="A355" s="13">
        <v>44197</v>
      </c>
      <c r="B355" s="18">
        <f>VLOOKUP(A355,Database!A:K,MATCH($A$1,Database!$A$1:$K$1,),)</f>
        <v>56304</v>
      </c>
      <c r="C355" s="15">
        <f t="shared" ref="C355:C356" si="44">(B355-B354)/B354</f>
        <v>9.990232467278766E-2</v>
      </c>
      <c r="D355" s="16">
        <f t="shared" ref="D355:D356" si="45">(B355-B343)/B343</f>
        <v>-0.15133244905341856</v>
      </c>
    </row>
    <row r="356" spans="1:4" x14ac:dyDescent="0.2">
      <c r="A356" s="14">
        <v>44228</v>
      </c>
      <c r="B356" s="18">
        <f>VLOOKUP(A356,Database!A:K,MATCH($A$1,Database!$A$1:$K$1,),)</f>
        <v>55512</v>
      </c>
      <c r="C356" s="15">
        <f t="shared" si="44"/>
        <v>-1.4066496163682864E-2</v>
      </c>
      <c r="D356" s="16">
        <f t="shared" si="45"/>
        <v>-0.16145015105740182</v>
      </c>
    </row>
    <row r="357" spans="1:4" x14ac:dyDescent="0.2">
      <c r="A357" s="13">
        <v>44256</v>
      </c>
      <c r="B357" s="18">
        <f>VLOOKUP(A357,Database!A:K,MATCH($A$1,Database!$A$1:$K$1,),)</f>
        <v>63248</v>
      </c>
      <c r="C357" s="15">
        <f t="shared" ref="C357:C358" si="46">(B357-B356)/B356</f>
        <v>0.13935725608877361</v>
      </c>
      <c r="D357" s="16">
        <f t="shared" ref="D357:D358" si="47">(B357-B345)/B345</f>
        <v>0.37120062437670726</v>
      </c>
    </row>
    <row r="358" spans="1:4" x14ac:dyDescent="0.2">
      <c r="A358" s="14">
        <v>44287</v>
      </c>
      <c r="B358" s="18">
        <f>VLOOKUP(A358,Database!A:K,MATCH($A$1,Database!$A$1:$K$1,),)</f>
        <v>66482</v>
      </c>
      <c r="C358" s="15">
        <f t="shared" si="46"/>
        <v>5.1132051606374906E-2</v>
      </c>
      <c r="D358" s="16">
        <f t="shared" si="47"/>
        <v>1.2214722491395729</v>
      </c>
    </row>
    <row r="359" spans="1:4" x14ac:dyDescent="0.2">
      <c r="A359" s="13">
        <v>44317</v>
      </c>
      <c r="B359" s="18">
        <f>VLOOKUP(A359,Database!A:K,MATCH($A$1,Database!$A$1:$K$1,),)</f>
        <v>69338</v>
      </c>
      <c r="C359" s="15">
        <f t="shared" ref="C359:C360" si="48">(B359-B358)/B358</f>
        <v>4.2958996420083634E-2</v>
      </c>
      <c r="D359" s="16">
        <f t="shared" ref="D359:D360" si="49">(B359-B347)/B347</f>
        <v>0.74813432835820892</v>
      </c>
    </row>
    <row r="360" spans="1:4" x14ac:dyDescent="0.2">
      <c r="A360" s="14">
        <v>44348</v>
      </c>
      <c r="B360" s="18">
        <f>VLOOKUP(A360,Database!A:K,MATCH($A$1,Database!$A$1:$K$1,),)</f>
        <v>71017</v>
      </c>
      <c r="C360" s="15">
        <f t="shared" si="48"/>
        <v>2.421471631717096E-2</v>
      </c>
      <c r="D360" s="16">
        <f t="shared" si="49"/>
        <v>0.40728043753963222</v>
      </c>
    </row>
    <row r="361" spans="1:4" x14ac:dyDescent="0.2">
      <c r="A361" s="13">
        <v>44378</v>
      </c>
      <c r="B361" s="18">
        <f>VLOOKUP(A361,Database!A:K,MATCH($A$1,Database!$A$1:$K$1,),)</f>
        <v>71962</v>
      </c>
      <c r="C361" s="15">
        <f t="shared" ref="C361:C362" si="50">(B361-B360)/B360</f>
        <v>1.3306673050114761E-2</v>
      </c>
      <c r="D361" s="16">
        <f t="shared" ref="D361:D362" si="51">(B361-B349)/B349</f>
        <v>0.37821273987819359</v>
      </c>
    </row>
    <row r="362" spans="1:4" x14ac:dyDescent="0.2">
      <c r="A362" s="14">
        <v>44409</v>
      </c>
      <c r="B362" s="18">
        <f>VLOOKUP(A362,Database!A:K,MATCH($A$1,Database!$A$1:$K$1,),)</f>
        <v>71984</v>
      </c>
      <c r="C362" s="15">
        <f t="shared" si="50"/>
        <v>3.057169061449098E-4</v>
      </c>
      <c r="D362" s="16">
        <f t="shared" si="51"/>
        <v>0.31940320392976285</v>
      </c>
    </row>
  </sheetData>
  <conditionalFormatting sqref="D19:D362">
    <cfRule type="colorScale" priority="1">
      <colorScale>
        <cfvo type="min"/>
        <cfvo type="percentile" val="50"/>
        <cfvo type="max"/>
        <color rgb="FFF8696B"/>
        <color rgb="FFFFEB84"/>
        <color rgb="FF63BE7B"/>
      </colorScale>
    </cfRule>
  </conditionalFormatting>
  <conditionalFormatting sqref="C8:C362">
    <cfRule type="colorScale" priority="2">
      <colorScale>
        <cfvo type="min"/>
        <cfvo type="percentile" val="50"/>
        <cfvo type="max"/>
        <color rgb="FFF8696B"/>
        <color rgb="FFFFEB84"/>
        <color rgb="FF63BE7B"/>
      </colorScale>
    </cfRule>
  </conditionalFormatting>
  <pageMargins left="0.7" right="0.7" top="0.75" bottom="0.75" header="0.3" footer="0.3"/>
  <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4"/>
  <dimension ref="A1:D362"/>
  <sheetViews>
    <sheetView zoomScale="160" zoomScaleNormal="160" workbookViewId="0">
      <pane ySplit="6" topLeftCell="A336" activePane="bottomLeft" state="frozen"/>
      <selection pane="bottomLeft" activeCell="A363" sqref="A363"/>
    </sheetView>
  </sheetViews>
  <sheetFormatPr baseColWidth="10" defaultColWidth="9.1640625" defaultRowHeight="15" x14ac:dyDescent="0.2"/>
  <cols>
    <col min="1" max="1" width="14" style="11" customWidth="1"/>
    <col min="2" max="2" width="20.6640625" style="11" customWidth="1"/>
    <col min="3" max="4" width="14.1640625" style="11" customWidth="1"/>
    <col min="5" max="16384" width="9.1640625" style="1"/>
  </cols>
  <sheetData>
    <row r="1" spans="1:4" x14ac:dyDescent="0.2">
      <c r="A1" s="33" t="s">
        <v>32</v>
      </c>
      <c r="B1" s="34" t="s">
        <v>51</v>
      </c>
    </row>
    <row r="2" spans="1:4" x14ac:dyDescent="0.2">
      <c r="A2" s="35" t="s">
        <v>38</v>
      </c>
      <c r="B2" s="33"/>
    </row>
    <row r="3" spans="1:4" x14ac:dyDescent="0.2">
      <c r="A3" s="12"/>
    </row>
    <row r="4" spans="1:4" x14ac:dyDescent="0.2">
      <c r="A4" s="12"/>
    </row>
    <row r="5" spans="1:4" ht="16" thickBot="1" x14ac:dyDescent="0.25"/>
    <row r="6" spans="1:4" ht="44.25" customHeight="1" x14ac:dyDescent="0.2">
      <c r="A6" s="101" t="s">
        <v>2</v>
      </c>
      <c r="B6" s="98" t="s">
        <v>98</v>
      </c>
      <c r="C6" s="99" t="s">
        <v>82</v>
      </c>
      <c r="D6" s="100" t="s">
        <v>83</v>
      </c>
    </row>
    <row r="7" spans="1:4" x14ac:dyDescent="0.2">
      <c r="A7" s="13">
        <v>33604</v>
      </c>
      <c r="B7" s="18">
        <f>VLOOKUP(A7,Database!A:K,MATCH($A$1,Database!$A$1:$K$1,),)</f>
        <v>12803</v>
      </c>
      <c r="C7" s="3"/>
      <c r="D7" s="3"/>
    </row>
    <row r="8" spans="1:4" x14ac:dyDescent="0.2">
      <c r="A8" s="14">
        <v>33635</v>
      </c>
      <c r="B8" s="18">
        <f>VLOOKUP(A8,Database!A:K,MATCH($A$1,Database!$A$1:$K$1,),)</f>
        <v>12601</v>
      </c>
      <c r="C8" s="15">
        <f>(B8-B7)/B7</f>
        <v>-1.5777552136218075E-2</v>
      </c>
      <c r="D8" s="3"/>
    </row>
    <row r="9" spans="1:4" x14ac:dyDescent="0.2">
      <c r="A9" s="13">
        <v>33664</v>
      </c>
      <c r="B9" s="18">
        <f>VLOOKUP(A9,Database!A:K,MATCH($A$1,Database!$A$1:$K$1,),)</f>
        <v>12639</v>
      </c>
      <c r="C9" s="15">
        <f t="shared" ref="C9:C72" si="0">(B9-B8)/B8</f>
        <v>3.015633679866677E-3</v>
      </c>
      <c r="D9" s="3"/>
    </row>
    <row r="10" spans="1:4" x14ac:dyDescent="0.2">
      <c r="A10" s="14">
        <v>33695</v>
      </c>
      <c r="B10" s="18">
        <f>VLOOKUP(A10,Database!A:K,MATCH($A$1,Database!$A$1:$K$1,),)</f>
        <v>12710</v>
      </c>
      <c r="C10" s="15">
        <f t="shared" si="0"/>
        <v>5.6175330326766358E-3</v>
      </c>
      <c r="D10" s="3"/>
    </row>
    <row r="11" spans="1:4" x14ac:dyDescent="0.2">
      <c r="A11" s="13">
        <v>33725</v>
      </c>
      <c r="B11" s="18">
        <f>VLOOKUP(A11,Database!A:K,MATCH($A$1,Database!$A$1:$K$1,),)</f>
        <v>12870</v>
      </c>
      <c r="C11" s="15">
        <f t="shared" si="0"/>
        <v>1.2588512981904013E-2</v>
      </c>
      <c r="D11" s="3"/>
    </row>
    <row r="12" spans="1:4" x14ac:dyDescent="0.2">
      <c r="A12" s="14">
        <v>33756</v>
      </c>
      <c r="B12" s="18">
        <f>VLOOKUP(A12,Database!A:K,MATCH($A$1,Database!$A$1:$K$1,),)</f>
        <v>12886</v>
      </c>
      <c r="C12" s="15">
        <f t="shared" si="0"/>
        <v>1.2432012432012432E-3</v>
      </c>
      <c r="D12" s="3"/>
    </row>
    <row r="13" spans="1:4" x14ac:dyDescent="0.2">
      <c r="A13" s="13">
        <v>33786</v>
      </c>
      <c r="B13" s="18">
        <f>VLOOKUP(A13,Database!A:K,MATCH($A$1,Database!$A$1:$K$1,),)</f>
        <v>12966</v>
      </c>
      <c r="C13" s="15">
        <f t="shared" si="0"/>
        <v>6.2082880645661954E-3</v>
      </c>
      <c r="D13" s="3"/>
    </row>
    <row r="14" spans="1:4" x14ac:dyDescent="0.2">
      <c r="A14" s="14">
        <v>33817</v>
      </c>
      <c r="B14" s="18">
        <f>VLOOKUP(A14,Database!A:K,MATCH($A$1,Database!$A$1:$K$1,),)</f>
        <v>13092</v>
      </c>
      <c r="C14" s="15">
        <f t="shared" si="0"/>
        <v>9.7177232762609908E-3</v>
      </c>
      <c r="D14" s="3"/>
    </row>
    <row r="15" spans="1:4" x14ac:dyDescent="0.2">
      <c r="A15" s="13">
        <v>33848</v>
      </c>
      <c r="B15" s="18">
        <f>VLOOKUP(A15,Database!A:K,MATCH($A$1,Database!$A$1:$K$1,),)</f>
        <v>13246</v>
      </c>
      <c r="C15" s="15">
        <f t="shared" si="0"/>
        <v>1.1762908646501681E-2</v>
      </c>
      <c r="D15" s="3"/>
    </row>
    <row r="16" spans="1:4" x14ac:dyDescent="0.2">
      <c r="A16" s="14">
        <v>33878</v>
      </c>
      <c r="B16" s="18">
        <f>VLOOKUP(A16,Database!A:K,MATCH($A$1,Database!$A$1:$K$1,),)</f>
        <v>13304</v>
      </c>
      <c r="C16" s="15">
        <f t="shared" si="0"/>
        <v>4.3786803563339877E-3</v>
      </c>
      <c r="D16" s="3"/>
    </row>
    <row r="17" spans="1:4" x14ac:dyDescent="0.2">
      <c r="A17" s="13">
        <v>33909</v>
      </c>
      <c r="B17" s="18">
        <f>VLOOKUP(A17,Database!A:K,MATCH($A$1,Database!$A$1:$K$1,),)</f>
        <v>13358</v>
      </c>
      <c r="C17" s="15">
        <f t="shared" si="0"/>
        <v>4.0589296452194831E-3</v>
      </c>
      <c r="D17" s="3"/>
    </row>
    <row r="18" spans="1:4" x14ac:dyDescent="0.2">
      <c r="A18" s="14">
        <v>33939</v>
      </c>
      <c r="B18" s="18">
        <f>VLOOKUP(A18,Database!A:K,MATCH($A$1,Database!$A$1:$K$1,),)</f>
        <v>13475</v>
      </c>
      <c r="C18" s="15">
        <f t="shared" si="0"/>
        <v>8.7587962269800868E-3</v>
      </c>
      <c r="D18" s="3"/>
    </row>
    <row r="19" spans="1:4" x14ac:dyDescent="0.2">
      <c r="A19" s="13">
        <v>33970</v>
      </c>
      <c r="B19" s="18">
        <f>VLOOKUP(A19,Database!A:K,MATCH($A$1,Database!$A$1:$K$1,),)</f>
        <v>13398</v>
      </c>
      <c r="C19" s="15">
        <f t="shared" si="0"/>
        <v>-5.7142857142857143E-3</v>
      </c>
      <c r="D19" s="16">
        <f>(B19-B7)/B7</f>
        <v>4.6473482777474026E-2</v>
      </c>
    </row>
    <row r="20" spans="1:4" x14ac:dyDescent="0.2">
      <c r="A20" s="14">
        <v>34001</v>
      </c>
      <c r="B20" s="18">
        <f>VLOOKUP(A20,Database!A:K,MATCH($A$1,Database!$A$1:$K$1,),)</f>
        <v>13596</v>
      </c>
      <c r="C20" s="15">
        <f t="shared" si="0"/>
        <v>1.4778325123152709E-2</v>
      </c>
      <c r="D20" s="16">
        <f t="shared" ref="D20:D83" si="1">(B20-B8)/B8</f>
        <v>7.8961987143877477E-2</v>
      </c>
    </row>
    <row r="21" spans="1:4" x14ac:dyDescent="0.2">
      <c r="A21" s="13">
        <v>34029</v>
      </c>
      <c r="B21" s="18">
        <f>VLOOKUP(A21,Database!A:K,MATCH($A$1,Database!$A$1:$K$1,),)</f>
        <v>13487</v>
      </c>
      <c r="C21" s="15">
        <f t="shared" si="0"/>
        <v>-8.0170638423065609E-3</v>
      </c>
      <c r="D21" s="16">
        <f t="shared" si="1"/>
        <v>6.709391565788432E-2</v>
      </c>
    </row>
    <row r="22" spans="1:4" x14ac:dyDescent="0.2">
      <c r="A22" s="14">
        <v>34060</v>
      </c>
      <c r="B22" s="18">
        <f>VLOOKUP(A22,Database!A:K,MATCH($A$1,Database!$A$1:$K$1,),)</f>
        <v>13539</v>
      </c>
      <c r="C22" s="15">
        <f t="shared" si="0"/>
        <v>3.8555646177800846E-3</v>
      </c>
      <c r="D22" s="16">
        <f t="shared" si="1"/>
        <v>6.5224232887490172E-2</v>
      </c>
    </row>
    <row r="23" spans="1:4" x14ac:dyDescent="0.2">
      <c r="A23" s="13">
        <v>34090</v>
      </c>
      <c r="B23" s="18">
        <f>VLOOKUP(A23,Database!A:K,MATCH($A$1,Database!$A$1:$K$1,),)</f>
        <v>13521</v>
      </c>
      <c r="C23" s="15">
        <f t="shared" si="0"/>
        <v>-1.3294925769997785E-3</v>
      </c>
      <c r="D23" s="16">
        <f t="shared" si="1"/>
        <v>5.058275058275058E-2</v>
      </c>
    </row>
    <row r="24" spans="1:4" x14ac:dyDescent="0.2">
      <c r="A24" s="14">
        <v>34121</v>
      </c>
      <c r="B24" s="18">
        <f>VLOOKUP(A24,Database!A:K,MATCH($A$1,Database!$A$1:$K$1,),)</f>
        <v>13461</v>
      </c>
      <c r="C24" s="15">
        <f t="shared" si="0"/>
        <v>-4.4375416019525179E-3</v>
      </c>
      <c r="D24" s="16">
        <f t="shared" si="1"/>
        <v>4.4622070464069533E-2</v>
      </c>
    </row>
    <row r="25" spans="1:4" x14ac:dyDescent="0.2">
      <c r="A25" s="13">
        <v>34151</v>
      </c>
      <c r="B25" s="18">
        <f>VLOOKUP(A25,Database!A:K,MATCH($A$1,Database!$A$1:$K$1,),)</f>
        <v>13502</v>
      </c>
      <c r="C25" s="15">
        <f t="shared" si="0"/>
        <v>3.0458361191590521E-3</v>
      </c>
      <c r="D25" s="16">
        <f t="shared" si="1"/>
        <v>4.1338886318062623E-2</v>
      </c>
    </row>
    <row r="26" spans="1:4" x14ac:dyDescent="0.2">
      <c r="A26" s="14">
        <v>34182</v>
      </c>
      <c r="B26" s="18">
        <f>VLOOKUP(A26,Database!A:K,MATCH($A$1,Database!$A$1:$K$1,),)</f>
        <v>13372</v>
      </c>
      <c r="C26" s="15">
        <f t="shared" si="0"/>
        <v>-9.6282032291512363E-3</v>
      </c>
      <c r="D26" s="16">
        <f t="shared" si="1"/>
        <v>2.1387106630003056E-2</v>
      </c>
    </row>
    <row r="27" spans="1:4" x14ac:dyDescent="0.2">
      <c r="A27" s="13">
        <v>34213</v>
      </c>
      <c r="B27" s="18">
        <f>VLOOKUP(A27,Database!A:K,MATCH($A$1,Database!$A$1:$K$1,),)</f>
        <v>13416</v>
      </c>
      <c r="C27" s="15">
        <f t="shared" si="0"/>
        <v>3.290457672749028E-3</v>
      </c>
      <c r="D27" s="16">
        <f t="shared" si="1"/>
        <v>1.2834063113392722E-2</v>
      </c>
    </row>
    <row r="28" spans="1:4" x14ac:dyDescent="0.2">
      <c r="A28" s="14">
        <v>34243</v>
      </c>
      <c r="B28" s="18">
        <f>VLOOKUP(A28,Database!A:K,MATCH($A$1,Database!$A$1:$K$1,),)</f>
        <v>13755</v>
      </c>
      <c r="C28" s="15">
        <f t="shared" si="0"/>
        <v>2.5268336314847942E-2</v>
      </c>
      <c r="D28" s="16">
        <f t="shared" si="1"/>
        <v>3.3899579073962717E-2</v>
      </c>
    </row>
    <row r="29" spans="1:4" x14ac:dyDescent="0.2">
      <c r="A29" s="13">
        <v>34274</v>
      </c>
      <c r="B29" s="18">
        <f>VLOOKUP(A29,Database!A:K,MATCH($A$1,Database!$A$1:$K$1,),)</f>
        <v>13754</v>
      </c>
      <c r="C29" s="15">
        <f t="shared" si="0"/>
        <v>-7.2700836059614679E-5</v>
      </c>
      <c r="D29" s="16">
        <f t="shared" si="1"/>
        <v>2.9645156460547988E-2</v>
      </c>
    </row>
    <row r="30" spans="1:4" x14ac:dyDescent="0.2">
      <c r="A30" s="14">
        <v>34304</v>
      </c>
      <c r="B30" s="18">
        <f>VLOOKUP(A30,Database!A:K,MATCH($A$1,Database!$A$1:$K$1,),)</f>
        <v>13627</v>
      </c>
      <c r="C30" s="15">
        <f t="shared" si="0"/>
        <v>-9.2336774756434491E-3</v>
      </c>
      <c r="D30" s="16">
        <f t="shared" si="1"/>
        <v>1.1280148423005567E-2</v>
      </c>
    </row>
    <row r="31" spans="1:4" x14ac:dyDescent="0.2">
      <c r="A31" s="13">
        <v>34335</v>
      </c>
      <c r="B31" s="18">
        <f>VLOOKUP(A31,Database!A:K,MATCH($A$1,Database!$A$1:$K$1,),)</f>
        <v>13656</v>
      </c>
      <c r="C31" s="15">
        <f t="shared" si="0"/>
        <v>2.128127981213767E-3</v>
      </c>
      <c r="D31" s="16">
        <f t="shared" si="1"/>
        <v>1.9256605463502014E-2</v>
      </c>
    </row>
    <row r="32" spans="1:4" x14ac:dyDescent="0.2">
      <c r="A32" s="14">
        <v>34366</v>
      </c>
      <c r="B32" s="18">
        <f>VLOOKUP(A32,Database!A:K,MATCH($A$1,Database!$A$1:$K$1,),)</f>
        <v>13875</v>
      </c>
      <c r="C32" s="15">
        <f t="shared" si="0"/>
        <v>1.6036906854130051E-2</v>
      </c>
      <c r="D32" s="16">
        <f t="shared" si="1"/>
        <v>2.0520741394527801E-2</v>
      </c>
    </row>
    <row r="33" spans="1:4" x14ac:dyDescent="0.2">
      <c r="A33" s="13">
        <v>34394</v>
      </c>
      <c r="B33" s="18">
        <f>VLOOKUP(A33,Database!A:K,MATCH($A$1,Database!$A$1:$K$1,),)</f>
        <v>13911</v>
      </c>
      <c r="C33" s="15">
        <f t="shared" si="0"/>
        <v>2.5945945945945945E-3</v>
      </c>
      <c r="D33" s="16">
        <f t="shared" si="1"/>
        <v>3.1437680729591459E-2</v>
      </c>
    </row>
    <row r="34" spans="1:4" x14ac:dyDescent="0.2">
      <c r="A34" s="14">
        <v>34425</v>
      </c>
      <c r="B34" s="18">
        <f>VLOOKUP(A34,Database!A:K,MATCH($A$1,Database!$A$1:$K$1,),)</f>
        <v>13867</v>
      </c>
      <c r="C34" s="15">
        <f t="shared" si="0"/>
        <v>-3.1629645604198116E-3</v>
      </c>
      <c r="D34" s="16">
        <f t="shared" si="1"/>
        <v>2.422630918088485E-2</v>
      </c>
    </row>
    <row r="35" spans="1:4" x14ac:dyDescent="0.2">
      <c r="A35" s="13">
        <v>34455</v>
      </c>
      <c r="B35" s="18">
        <f>VLOOKUP(A35,Database!A:K,MATCH($A$1,Database!$A$1:$K$1,),)</f>
        <v>13773</v>
      </c>
      <c r="C35" s="15">
        <f t="shared" si="0"/>
        <v>-6.7786832047306558E-3</v>
      </c>
      <c r="D35" s="16">
        <f t="shared" si="1"/>
        <v>1.8637674728200576E-2</v>
      </c>
    </row>
    <row r="36" spans="1:4" x14ac:dyDescent="0.2">
      <c r="A36" s="14">
        <v>34486</v>
      </c>
      <c r="B36" s="18">
        <f>VLOOKUP(A36,Database!A:K,MATCH($A$1,Database!$A$1:$K$1,),)</f>
        <v>14059</v>
      </c>
      <c r="C36" s="15">
        <f t="shared" si="0"/>
        <v>2.0765265374283016E-2</v>
      </c>
      <c r="D36" s="16">
        <f t="shared" si="1"/>
        <v>4.4424634128222271E-2</v>
      </c>
    </row>
    <row r="37" spans="1:4" x14ac:dyDescent="0.2">
      <c r="A37" s="13">
        <v>34516</v>
      </c>
      <c r="B37" s="18">
        <f>VLOOKUP(A37,Database!A:K,MATCH($A$1,Database!$A$1:$K$1,),)</f>
        <v>14322</v>
      </c>
      <c r="C37" s="15">
        <f t="shared" si="0"/>
        <v>1.8706878156341134E-2</v>
      </c>
      <c r="D37" s="16">
        <f t="shared" si="1"/>
        <v>6.0731743445415494E-2</v>
      </c>
    </row>
    <row r="38" spans="1:4" x14ac:dyDescent="0.2">
      <c r="A38" s="14">
        <v>34547</v>
      </c>
      <c r="B38" s="18">
        <f>VLOOKUP(A38,Database!A:K,MATCH($A$1,Database!$A$1:$K$1,),)</f>
        <v>14685</v>
      </c>
      <c r="C38" s="15">
        <f t="shared" si="0"/>
        <v>2.5345622119815669E-2</v>
      </c>
      <c r="D38" s="16">
        <f t="shared" si="1"/>
        <v>9.8190248279988041E-2</v>
      </c>
    </row>
    <row r="39" spans="1:4" x14ac:dyDescent="0.2">
      <c r="A39" s="13">
        <v>34578</v>
      </c>
      <c r="B39" s="18">
        <f>VLOOKUP(A39,Database!A:K,MATCH($A$1,Database!$A$1:$K$1,),)</f>
        <v>14649</v>
      </c>
      <c r="C39" s="15">
        <f t="shared" si="0"/>
        <v>-2.4514811031664963E-3</v>
      </c>
      <c r="D39" s="16">
        <f t="shared" si="1"/>
        <v>9.1905187835420399E-2</v>
      </c>
    </row>
    <row r="40" spans="1:4" x14ac:dyDescent="0.2">
      <c r="A40" s="14">
        <v>34608</v>
      </c>
      <c r="B40" s="18">
        <f>VLOOKUP(A40,Database!A:K,MATCH($A$1,Database!$A$1:$K$1,),)</f>
        <v>14709</v>
      </c>
      <c r="C40" s="15">
        <f t="shared" si="0"/>
        <v>4.0958427196395655E-3</v>
      </c>
      <c r="D40" s="16">
        <f t="shared" si="1"/>
        <v>6.9356597600872413E-2</v>
      </c>
    </row>
    <row r="41" spans="1:4" x14ac:dyDescent="0.2">
      <c r="A41" s="13">
        <v>34639</v>
      </c>
      <c r="B41" s="18">
        <f>VLOOKUP(A41,Database!A:K,MATCH($A$1,Database!$A$1:$K$1,),)</f>
        <v>14878</v>
      </c>
      <c r="C41" s="15">
        <f t="shared" si="0"/>
        <v>1.1489564212386973E-2</v>
      </c>
      <c r="D41" s="16">
        <f t="shared" si="1"/>
        <v>8.1721680965537294E-2</v>
      </c>
    </row>
    <row r="42" spans="1:4" x14ac:dyDescent="0.2">
      <c r="A42" s="14">
        <v>34669</v>
      </c>
      <c r="B42" s="18">
        <f>VLOOKUP(A42,Database!A:K,MATCH($A$1,Database!$A$1:$K$1,),)</f>
        <v>14885</v>
      </c>
      <c r="C42" s="15">
        <f t="shared" si="0"/>
        <v>4.7049334587982255E-4</v>
      </c>
      <c r="D42" s="16">
        <f t="shared" si="1"/>
        <v>9.2316724150583396E-2</v>
      </c>
    </row>
    <row r="43" spans="1:4" x14ac:dyDescent="0.2">
      <c r="A43" s="13">
        <v>34700</v>
      </c>
      <c r="B43" s="18">
        <f>VLOOKUP(A43,Database!A:K,MATCH($A$1,Database!$A$1:$K$1,),)</f>
        <v>14915</v>
      </c>
      <c r="C43" s="15">
        <f t="shared" si="0"/>
        <v>2.0154517971111858E-3</v>
      </c>
      <c r="D43" s="16">
        <f t="shared" si="1"/>
        <v>9.2193907439953135E-2</v>
      </c>
    </row>
    <row r="44" spans="1:4" x14ac:dyDescent="0.2">
      <c r="A44" s="14">
        <v>34731</v>
      </c>
      <c r="B44" s="18">
        <f>VLOOKUP(A44,Database!A:K,MATCH($A$1,Database!$A$1:$K$1,),)</f>
        <v>14963</v>
      </c>
      <c r="C44" s="15">
        <f t="shared" si="0"/>
        <v>3.2182366744887697E-3</v>
      </c>
      <c r="D44" s="16">
        <f t="shared" si="1"/>
        <v>7.8414414414414421E-2</v>
      </c>
    </row>
    <row r="45" spans="1:4" x14ac:dyDescent="0.2">
      <c r="A45" s="13">
        <v>34759</v>
      </c>
      <c r="B45" s="18">
        <f>VLOOKUP(A45,Database!A:K,MATCH($A$1,Database!$A$1:$K$1,),)</f>
        <v>14921</v>
      </c>
      <c r="C45" s="15">
        <f t="shared" si="0"/>
        <v>-2.8069237452382542E-3</v>
      </c>
      <c r="D45" s="16">
        <f t="shared" si="1"/>
        <v>7.2604413773272952E-2</v>
      </c>
    </row>
    <row r="46" spans="1:4" x14ac:dyDescent="0.2">
      <c r="A46" s="14">
        <v>34790</v>
      </c>
      <c r="B46" s="18">
        <f>VLOOKUP(A46,Database!A:K,MATCH($A$1,Database!$A$1:$K$1,),)</f>
        <v>15021</v>
      </c>
      <c r="C46" s="15">
        <f t="shared" si="0"/>
        <v>6.7019636753568798E-3</v>
      </c>
      <c r="D46" s="16">
        <f t="shared" si="1"/>
        <v>8.3219153385735919E-2</v>
      </c>
    </row>
    <row r="47" spans="1:4" x14ac:dyDescent="0.2">
      <c r="A47" s="13">
        <v>34820</v>
      </c>
      <c r="B47" s="18">
        <f>VLOOKUP(A47,Database!A:K,MATCH($A$1,Database!$A$1:$K$1,),)</f>
        <v>15215</v>
      </c>
      <c r="C47" s="15">
        <f t="shared" si="0"/>
        <v>1.2915251980560549E-2</v>
      </c>
      <c r="D47" s="16">
        <f t="shared" si="1"/>
        <v>0.10469759674725913</v>
      </c>
    </row>
    <row r="48" spans="1:4" x14ac:dyDescent="0.2">
      <c r="A48" s="14">
        <v>34851</v>
      </c>
      <c r="B48" s="18">
        <f>VLOOKUP(A48,Database!A:K,MATCH($A$1,Database!$A$1:$K$1,),)</f>
        <v>15333</v>
      </c>
      <c r="C48" s="15">
        <f t="shared" si="0"/>
        <v>7.7555044364114364E-3</v>
      </c>
      <c r="D48" s="16">
        <f t="shared" si="1"/>
        <v>9.0618109396116364E-2</v>
      </c>
    </row>
    <row r="49" spans="1:4" x14ac:dyDescent="0.2">
      <c r="A49" s="13">
        <v>34881</v>
      </c>
      <c r="B49" s="18">
        <f>VLOOKUP(A49,Database!A:K,MATCH($A$1,Database!$A$1:$K$1,),)</f>
        <v>15249</v>
      </c>
      <c r="C49" s="15">
        <f t="shared" si="0"/>
        <v>-5.4783799647818432E-3</v>
      </c>
      <c r="D49" s="16">
        <f t="shared" si="1"/>
        <v>6.4725596983661496E-2</v>
      </c>
    </row>
    <row r="50" spans="1:4" x14ac:dyDescent="0.2">
      <c r="A50" s="14">
        <v>34912</v>
      </c>
      <c r="B50" s="18">
        <f>VLOOKUP(A50,Database!A:K,MATCH($A$1,Database!$A$1:$K$1,),)</f>
        <v>15227</v>
      </c>
      <c r="C50" s="15">
        <f t="shared" si="0"/>
        <v>-1.4427175552495246E-3</v>
      </c>
      <c r="D50" s="16">
        <f t="shared" si="1"/>
        <v>3.6908409942117811E-2</v>
      </c>
    </row>
    <row r="51" spans="1:4" x14ac:dyDescent="0.2">
      <c r="A51" s="13">
        <v>34943</v>
      </c>
      <c r="B51" s="18">
        <f>VLOOKUP(A51,Database!A:K,MATCH($A$1,Database!$A$1:$K$1,),)</f>
        <v>15194</v>
      </c>
      <c r="C51" s="15">
        <f t="shared" si="0"/>
        <v>-2.1672029946805016E-3</v>
      </c>
      <c r="D51" s="16">
        <f t="shared" si="1"/>
        <v>3.7203904703392722E-2</v>
      </c>
    </row>
    <row r="52" spans="1:4" x14ac:dyDescent="0.2">
      <c r="A52" s="14">
        <v>34973</v>
      </c>
      <c r="B52" s="18">
        <f>VLOOKUP(A52,Database!A:K,MATCH($A$1,Database!$A$1:$K$1,),)</f>
        <v>15007</v>
      </c>
      <c r="C52" s="15">
        <f t="shared" si="0"/>
        <v>-1.2307489798604713E-2</v>
      </c>
      <c r="D52" s="16">
        <f t="shared" si="1"/>
        <v>2.0259704942552179E-2</v>
      </c>
    </row>
    <row r="53" spans="1:4" x14ac:dyDescent="0.2">
      <c r="A53" s="13">
        <v>35004</v>
      </c>
      <c r="B53" s="18">
        <f>VLOOKUP(A53,Database!A:K,MATCH($A$1,Database!$A$1:$K$1,),)</f>
        <v>14981</v>
      </c>
      <c r="C53" s="15">
        <f t="shared" si="0"/>
        <v>-1.7325248217498501E-3</v>
      </c>
      <c r="D53" s="16">
        <f t="shared" si="1"/>
        <v>6.9229735179459602E-3</v>
      </c>
    </row>
    <row r="54" spans="1:4" x14ac:dyDescent="0.2">
      <c r="A54" s="14">
        <v>35034</v>
      </c>
      <c r="B54" s="18">
        <f>VLOOKUP(A54,Database!A:K,MATCH($A$1,Database!$A$1:$K$1,),)</f>
        <v>15246</v>
      </c>
      <c r="C54" s="15">
        <f t="shared" si="0"/>
        <v>1.7689072825579067E-2</v>
      </c>
      <c r="D54" s="16">
        <f t="shared" si="1"/>
        <v>2.4252603291904602E-2</v>
      </c>
    </row>
    <row r="55" spans="1:4" x14ac:dyDescent="0.2">
      <c r="A55" s="13">
        <v>35065</v>
      </c>
      <c r="B55" s="18">
        <f>VLOOKUP(A55,Database!A:K,MATCH($A$1,Database!$A$1:$K$1,),)</f>
        <v>15479</v>
      </c>
      <c r="C55" s="15">
        <f t="shared" si="0"/>
        <v>1.5282697100878919E-2</v>
      </c>
      <c r="D55" s="16">
        <f t="shared" si="1"/>
        <v>3.7814280925243041E-2</v>
      </c>
    </row>
    <row r="56" spans="1:4" x14ac:dyDescent="0.2">
      <c r="A56" s="14">
        <v>35096</v>
      </c>
      <c r="B56" s="18">
        <f>VLOOKUP(A56,Database!A:K,MATCH($A$1,Database!$A$1:$K$1,),)</f>
        <v>15457</v>
      </c>
      <c r="C56" s="15">
        <f t="shared" si="0"/>
        <v>-1.4212804444731571E-3</v>
      </c>
      <c r="D56" s="16">
        <f t="shared" si="1"/>
        <v>3.3014769765421371E-2</v>
      </c>
    </row>
    <row r="57" spans="1:4" x14ac:dyDescent="0.2">
      <c r="A57" s="13">
        <v>35125</v>
      </c>
      <c r="B57" s="18">
        <f>VLOOKUP(A57,Database!A:K,MATCH($A$1,Database!$A$1:$K$1,),)</f>
        <v>15951</v>
      </c>
      <c r="C57" s="15">
        <f t="shared" si="0"/>
        <v>3.1959629941126999E-2</v>
      </c>
      <c r="D57" s="16">
        <f t="shared" si="1"/>
        <v>6.9030225856175853E-2</v>
      </c>
    </row>
    <row r="58" spans="1:4" x14ac:dyDescent="0.2">
      <c r="A58" s="14">
        <v>35156</v>
      </c>
      <c r="B58" s="18">
        <f>VLOOKUP(A58,Database!A:K,MATCH($A$1,Database!$A$1:$K$1,),)</f>
        <v>16252</v>
      </c>
      <c r="C58" s="15">
        <f t="shared" si="0"/>
        <v>1.8870290263933297E-2</v>
      </c>
      <c r="D58" s="16">
        <f t="shared" si="1"/>
        <v>8.1951933959123896E-2</v>
      </c>
    </row>
    <row r="59" spans="1:4" x14ac:dyDescent="0.2">
      <c r="A59" s="13">
        <v>35186</v>
      </c>
      <c r="B59" s="18">
        <f>VLOOKUP(A59,Database!A:K,MATCH($A$1,Database!$A$1:$K$1,),)</f>
        <v>16488</v>
      </c>
      <c r="C59" s="15">
        <f t="shared" si="0"/>
        <v>1.4521289687423087E-2</v>
      </c>
      <c r="D59" s="16">
        <f t="shared" si="1"/>
        <v>8.366743345382846E-2</v>
      </c>
    </row>
    <row r="60" spans="1:4" x14ac:dyDescent="0.2">
      <c r="A60" s="14">
        <v>35217</v>
      </c>
      <c r="B60" s="18">
        <f>VLOOKUP(A60,Database!A:K,MATCH($A$1,Database!$A$1:$K$1,),)</f>
        <v>16352</v>
      </c>
      <c r="C60" s="15">
        <f t="shared" si="0"/>
        <v>-8.2484230955846682E-3</v>
      </c>
      <c r="D60" s="16">
        <f t="shared" si="1"/>
        <v>6.6457966477532118E-2</v>
      </c>
    </row>
    <row r="61" spans="1:4" x14ac:dyDescent="0.2">
      <c r="A61" s="13">
        <v>35247</v>
      </c>
      <c r="B61" s="18">
        <f>VLOOKUP(A61,Database!A:K,MATCH($A$1,Database!$A$1:$K$1,),)</f>
        <v>16075</v>
      </c>
      <c r="C61" s="15">
        <f t="shared" si="0"/>
        <v>-1.6939823874755382E-2</v>
      </c>
      <c r="D61" s="16">
        <f t="shared" si="1"/>
        <v>5.4167486392550333E-2</v>
      </c>
    </row>
    <row r="62" spans="1:4" x14ac:dyDescent="0.2">
      <c r="A62" s="14">
        <v>35278</v>
      </c>
      <c r="B62" s="18">
        <f>VLOOKUP(A62,Database!A:K,MATCH($A$1,Database!$A$1:$K$1,),)</f>
        <v>16066</v>
      </c>
      <c r="C62" s="15">
        <f t="shared" si="0"/>
        <v>-5.5987558320373253E-4</v>
      </c>
      <c r="D62" s="16">
        <f t="shared" si="1"/>
        <v>5.5099494319301244E-2</v>
      </c>
    </row>
    <row r="63" spans="1:4" x14ac:dyDescent="0.2">
      <c r="A63" s="13">
        <v>35309</v>
      </c>
      <c r="B63" s="18">
        <f>VLOOKUP(A63,Database!A:K,MATCH($A$1,Database!$A$1:$K$1,),)</f>
        <v>16088</v>
      </c>
      <c r="C63" s="15">
        <f t="shared" si="0"/>
        <v>1.3693514253703472E-3</v>
      </c>
      <c r="D63" s="16">
        <f t="shared" si="1"/>
        <v>5.8839015400816111E-2</v>
      </c>
    </row>
    <row r="64" spans="1:4" x14ac:dyDescent="0.2">
      <c r="A64" s="14">
        <v>35339</v>
      </c>
      <c r="B64" s="18">
        <f>VLOOKUP(A64,Database!A:K,MATCH($A$1,Database!$A$1:$K$1,),)</f>
        <v>16360</v>
      </c>
      <c r="C64" s="15">
        <f t="shared" si="0"/>
        <v>1.6907011437095974E-2</v>
      </c>
      <c r="D64" s="16">
        <f t="shared" si="1"/>
        <v>9.015792630105951E-2</v>
      </c>
    </row>
    <row r="65" spans="1:4" x14ac:dyDescent="0.2">
      <c r="A65" s="13">
        <v>35370</v>
      </c>
      <c r="B65" s="18">
        <f>VLOOKUP(A65,Database!A:K,MATCH($A$1,Database!$A$1:$K$1,),)</f>
        <v>16602</v>
      </c>
      <c r="C65" s="15">
        <f t="shared" si="0"/>
        <v>1.4792176039119805E-2</v>
      </c>
      <c r="D65" s="16">
        <f t="shared" si="1"/>
        <v>0.1082037247179761</v>
      </c>
    </row>
    <row r="66" spans="1:4" x14ac:dyDescent="0.2">
      <c r="A66" s="14">
        <v>35400</v>
      </c>
      <c r="B66" s="18">
        <f>VLOOKUP(A66,Database!A:K,MATCH($A$1,Database!$A$1:$K$1,),)</f>
        <v>16759</v>
      </c>
      <c r="C66" s="15">
        <f t="shared" si="0"/>
        <v>9.4566919648235159E-3</v>
      </c>
      <c r="D66" s="16">
        <f t="shared" si="1"/>
        <v>9.9239144693690148E-2</v>
      </c>
    </row>
    <row r="67" spans="1:4" x14ac:dyDescent="0.2">
      <c r="A67" s="13">
        <v>35431</v>
      </c>
      <c r="B67" s="18">
        <f>VLOOKUP(A67,Database!A:K,MATCH($A$1,Database!$A$1:$K$1,),)</f>
        <v>16938</v>
      </c>
      <c r="C67" s="15">
        <f t="shared" si="0"/>
        <v>1.0680828211707143E-2</v>
      </c>
      <c r="D67" s="16">
        <f t="shared" si="1"/>
        <v>9.42567349311971E-2</v>
      </c>
    </row>
    <row r="68" spans="1:4" x14ac:dyDescent="0.2">
      <c r="A68" s="14">
        <v>35462</v>
      </c>
      <c r="B68" s="18">
        <f>VLOOKUP(A68,Database!A:K,MATCH($A$1,Database!$A$1:$K$1,),)</f>
        <v>16984</v>
      </c>
      <c r="C68" s="15">
        <f t="shared" si="0"/>
        <v>2.7157869878379976E-3</v>
      </c>
      <c r="D68" s="16">
        <f t="shared" si="1"/>
        <v>9.879019214595329E-2</v>
      </c>
    </row>
    <row r="69" spans="1:4" x14ac:dyDescent="0.2">
      <c r="A69" s="13">
        <v>35490</v>
      </c>
      <c r="B69" s="18">
        <f>VLOOKUP(A69,Database!A:K,MATCH($A$1,Database!$A$1:$K$1,),)</f>
        <v>16969</v>
      </c>
      <c r="C69" s="15">
        <f t="shared" si="0"/>
        <v>-8.8318417333961379E-4</v>
      </c>
      <c r="D69" s="16">
        <f t="shared" si="1"/>
        <v>6.3820450128518585E-2</v>
      </c>
    </row>
    <row r="70" spans="1:4" x14ac:dyDescent="0.2">
      <c r="A70" s="14">
        <v>35521</v>
      </c>
      <c r="B70" s="18">
        <f>VLOOKUP(A70,Database!A:K,MATCH($A$1,Database!$A$1:$K$1,),)</f>
        <v>16613</v>
      </c>
      <c r="C70" s="15">
        <f t="shared" si="0"/>
        <v>-2.0979433083858801E-2</v>
      </c>
      <c r="D70" s="16">
        <f t="shared" si="1"/>
        <v>2.2212650750676841E-2</v>
      </c>
    </row>
    <row r="71" spans="1:4" x14ac:dyDescent="0.2">
      <c r="A71" s="13">
        <v>35551</v>
      </c>
      <c r="B71" s="18">
        <f>VLOOKUP(A71,Database!A:K,MATCH($A$1,Database!$A$1:$K$1,),)</f>
        <v>16367</v>
      </c>
      <c r="C71" s="15">
        <f t="shared" si="0"/>
        <v>-1.4807680731956901E-2</v>
      </c>
      <c r="D71" s="16">
        <f t="shared" si="1"/>
        <v>-7.3386705482775347E-3</v>
      </c>
    </row>
    <row r="72" spans="1:4" x14ac:dyDescent="0.2">
      <c r="A72" s="14">
        <v>35582</v>
      </c>
      <c r="B72" s="18">
        <f>VLOOKUP(A72,Database!A:K,MATCH($A$1,Database!$A$1:$K$1,),)</f>
        <v>16378</v>
      </c>
      <c r="C72" s="15">
        <f t="shared" si="0"/>
        <v>6.720840716075029E-4</v>
      </c>
      <c r="D72" s="16">
        <f t="shared" si="1"/>
        <v>1.5900195694716242E-3</v>
      </c>
    </row>
    <row r="73" spans="1:4" x14ac:dyDescent="0.2">
      <c r="A73" s="13">
        <v>35612</v>
      </c>
      <c r="B73" s="18">
        <f>VLOOKUP(A73,Database!A:K,MATCH($A$1,Database!$A$1:$K$1,),)</f>
        <v>16396</v>
      </c>
      <c r="C73" s="15">
        <f t="shared" ref="C73:C136" si="2">(B73-B72)/B72</f>
        <v>1.0990352912443521E-3</v>
      </c>
      <c r="D73" s="16">
        <f t="shared" si="1"/>
        <v>1.9968895800933126E-2</v>
      </c>
    </row>
    <row r="74" spans="1:4" x14ac:dyDescent="0.2">
      <c r="A74" s="14">
        <v>35643</v>
      </c>
      <c r="B74" s="18">
        <f>VLOOKUP(A74,Database!A:K,MATCH($A$1,Database!$A$1:$K$1,),)</f>
        <v>16682</v>
      </c>
      <c r="C74" s="15">
        <f t="shared" si="2"/>
        <v>1.7443278848499635E-2</v>
      </c>
      <c r="D74" s="16">
        <f t="shared" si="1"/>
        <v>3.8341839910369727E-2</v>
      </c>
    </row>
    <row r="75" spans="1:4" x14ac:dyDescent="0.2">
      <c r="A75" s="13">
        <v>35674</v>
      </c>
      <c r="B75" s="18">
        <f>VLOOKUP(A75,Database!A:K,MATCH($A$1,Database!$A$1:$K$1,),)</f>
        <v>16757</v>
      </c>
      <c r="C75" s="15">
        <f t="shared" si="2"/>
        <v>4.4958638052991244E-3</v>
      </c>
      <c r="D75" s="16">
        <f t="shared" si="1"/>
        <v>4.1583789159622075E-2</v>
      </c>
    </row>
    <row r="76" spans="1:4" x14ac:dyDescent="0.2">
      <c r="A76" s="14">
        <v>35704</v>
      </c>
      <c r="B76" s="18">
        <f>VLOOKUP(A76,Database!A:K,MATCH($A$1,Database!$A$1:$K$1,),)</f>
        <v>16711</v>
      </c>
      <c r="C76" s="15">
        <f t="shared" si="2"/>
        <v>-2.7451214417855223E-3</v>
      </c>
      <c r="D76" s="16">
        <f t="shared" si="1"/>
        <v>2.145476772616137E-2</v>
      </c>
    </row>
    <row r="77" spans="1:4" x14ac:dyDescent="0.2">
      <c r="A77" s="13">
        <v>35735</v>
      </c>
      <c r="B77" s="18">
        <f>VLOOKUP(A77,Database!A:K,MATCH($A$1,Database!$A$1:$K$1,),)</f>
        <v>16638</v>
      </c>
      <c r="C77" s="15">
        <f t="shared" si="2"/>
        <v>-4.368380108910299E-3</v>
      </c>
      <c r="D77" s="16">
        <f t="shared" si="1"/>
        <v>2.1684134441633538E-3</v>
      </c>
    </row>
    <row r="78" spans="1:4" x14ac:dyDescent="0.2">
      <c r="A78" s="14">
        <v>35765</v>
      </c>
      <c r="B78" s="18">
        <f>VLOOKUP(A78,Database!A:K,MATCH($A$1,Database!$A$1:$K$1,),)</f>
        <v>16536</v>
      </c>
      <c r="C78" s="15">
        <f t="shared" si="2"/>
        <v>-6.1305445366029573E-3</v>
      </c>
      <c r="D78" s="16">
        <f t="shared" si="1"/>
        <v>-1.3306283191121189E-2</v>
      </c>
    </row>
    <row r="79" spans="1:4" x14ac:dyDescent="0.2">
      <c r="A79" s="13">
        <v>35796</v>
      </c>
      <c r="B79" s="18">
        <f>VLOOKUP(A79,Database!A:K,MATCH($A$1,Database!$A$1:$K$1,),)</f>
        <v>16225</v>
      </c>
      <c r="C79" s="15">
        <f t="shared" si="2"/>
        <v>-1.8807450411223996E-2</v>
      </c>
      <c r="D79" s="16">
        <f t="shared" si="1"/>
        <v>-4.2094698311488959E-2</v>
      </c>
    </row>
    <row r="80" spans="1:4" x14ac:dyDescent="0.2">
      <c r="A80" s="14">
        <v>35827</v>
      </c>
      <c r="B80" s="18">
        <f>VLOOKUP(A80,Database!A:K,MATCH($A$1,Database!$A$1:$K$1,),)</f>
        <v>16054</v>
      </c>
      <c r="C80" s="15">
        <f t="shared" si="2"/>
        <v>-1.0539291217257319E-2</v>
      </c>
      <c r="D80" s="16">
        <f t="shared" si="1"/>
        <v>-5.4757418747056051E-2</v>
      </c>
    </row>
    <row r="81" spans="1:4" x14ac:dyDescent="0.2">
      <c r="A81" s="13">
        <v>35855</v>
      </c>
      <c r="B81" s="18">
        <f>VLOOKUP(A81,Database!A:K,MATCH($A$1,Database!$A$1:$K$1,),)</f>
        <v>15703</v>
      </c>
      <c r="C81" s="15">
        <f t="shared" si="2"/>
        <v>-2.1863709978821477E-2</v>
      </c>
      <c r="D81" s="16">
        <f t="shared" si="1"/>
        <v>-7.4606635629677648E-2</v>
      </c>
    </row>
    <row r="82" spans="1:4" x14ac:dyDescent="0.2">
      <c r="A82" s="14">
        <v>35886</v>
      </c>
      <c r="B82" s="18">
        <f>VLOOKUP(A82,Database!A:K,MATCH($A$1,Database!$A$1:$K$1,),)</f>
        <v>15798</v>
      </c>
      <c r="C82" s="15">
        <f t="shared" si="2"/>
        <v>6.0497994013882696E-3</v>
      </c>
      <c r="D82" s="16">
        <f t="shared" si="1"/>
        <v>-4.9057966652621444E-2</v>
      </c>
    </row>
    <row r="83" spans="1:4" x14ac:dyDescent="0.2">
      <c r="A83" s="13">
        <v>35916</v>
      </c>
      <c r="B83" s="18">
        <f>VLOOKUP(A83,Database!A:K,MATCH($A$1,Database!$A$1:$K$1,),)</f>
        <v>16057</v>
      </c>
      <c r="C83" s="15">
        <f t="shared" si="2"/>
        <v>1.6394480313963792E-2</v>
      </c>
      <c r="D83" s="16">
        <f t="shared" si="1"/>
        <v>-1.8940551108938719E-2</v>
      </c>
    </row>
    <row r="84" spans="1:4" x14ac:dyDescent="0.2">
      <c r="A84" s="14">
        <v>35947</v>
      </c>
      <c r="B84" s="18">
        <f>VLOOKUP(A84,Database!A:K,MATCH($A$1,Database!$A$1:$K$1,),)</f>
        <v>15933</v>
      </c>
      <c r="C84" s="15">
        <f t="shared" si="2"/>
        <v>-7.7224886342405182E-3</v>
      </c>
      <c r="D84" s="16">
        <f t="shared" ref="D84:D147" si="3">(B84-B72)/B72</f>
        <v>-2.7170594700207596E-2</v>
      </c>
    </row>
    <row r="85" spans="1:4" x14ac:dyDescent="0.2">
      <c r="A85" s="13">
        <v>35977</v>
      </c>
      <c r="B85" s="18">
        <f>VLOOKUP(A85,Database!A:K,MATCH($A$1,Database!$A$1:$K$1,),)</f>
        <v>16087</v>
      </c>
      <c r="C85" s="15">
        <f t="shared" si="2"/>
        <v>9.6654741730998559E-3</v>
      </c>
      <c r="D85" s="16">
        <f t="shared" si="3"/>
        <v>-1.8846060014637716E-2</v>
      </c>
    </row>
    <row r="86" spans="1:4" x14ac:dyDescent="0.2">
      <c r="A86" s="14">
        <v>36008</v>
      </c>
      <c r="B86" s="18">
        <f>VLOOKUP(A86,Database!A:K,MATCH($A$1,Database!$A$1:$K$1,),)</f>
        <v>15851</v>
      </c>
      <c r="C86" s="15">
        <f t="shared" si="2"/>
        <v>-1.4670230620998322E-2</v>
      </c>
      <c r="D86" s="16">
        <f t="shared" si="3"/>
        <v>-4.9814170962714302E-2</v>
      </c>
    </row>
    <row r="87" spans="1:4" x14ac:dyDescent="0.2">
      <c r="A87" s="13">
        <v>36039</v>
      </c>
      <c r="B87" s="18">
        <f>VLOOKUP(A87,Database!A:K,MATCH($A$1,Database!$A$1:$K$1,),)</f>
        <v>15812</v>
      </c>
      <c r="C87" s="15">
        <f t="shared" si="2"/>
        <v>-2.4604125922654723E-3</v>
      </c>
      <c r="D87" s="16">
        <f t="shared" si="3"/>
        <v>-5.6394342662767799E-2</v>
      </c>
    </row>
    <row r="88" spans="1:4" x14ac:dyDescent="0.2">
      <c r="A88" s="14">
        <v>36069</v>
      </c>
      <c r="B88" s="18">
        <f>VLOOKUP(A88,Database!A:K,MATCH($A$1,Database!$A$1:$K$1,),)</f>
        <v>15948</v>
      </c>
      <c r="C88" s="15">
        <f t="shared" si="2"/>
        <v>8.601062484189223E-3</v>
      </c>
      <c r="D88" s="16">
        <f t="shared" si="3"/>
        <v>-4.5658548261624077E-2</v>
      </c>
    </row>
    <row r="89" spans="1:4" x14ac:dyDescent="0.2">
      <c r="A89" s="13">
        <v>36100</v>
      </c>
      <c r="B89" s="18">
        <f>VLOOKUP(A89,Database!A:K,MATCH($A$1,Database!$A$1:$K$1,),)</f>
        <v>16014</v>
      </c>
      <c r="C89" s="15">
        <f t="shared" si="2"/>
        <v>4.1384499623777276E-3</v>
      </c>
      <c r="D89" s="16">
        <f t="shared" si="3"/>
        <v>-3.750450775333574E-2</v>
      </c>
    </row>
    <row r="90" spans="1:4" x14ac:dyDescent="0.2">
      <c r="A90" s="14">
        <v>36130</v>
      </c>
      <c r="B90" s="18">
        <f>VLOOKUP(A90,Database!A:K,MATCH($A$1,Database!$A$1:$K$1,),)</f>
        <v>16399</v>
      </c>
      <c r="C90" s="15">
        <f t="shared" si="2"/>
        <v>2.4041463719245659E-2</v>
      </c>
      <c r="D90" s="16">
        <f t="shared" si="3"/>
        <v>-8.2849540396710206E-3</v>
      </c>
    </row>
    <row r="91" spans="1:4" x14ac:dyDescent="0.2">
      <c r="A91" s="13">
        <v>36161</v>
      </c>
      <c r="B91" s="18">
        <f>VLOOKUP(A91,Database!A:K,MATCH($A$1,Database!$A$1:$K$1,),)</f>
        <v>16394</v>
      </c>
      <c r="C91" s="15">
        <f t="shared" si="2"/>
        <v>-3.0489664003902674E-4</v>
      </c>
      <c r="D91" s="16">
        <f t="shared" si="3"/>
        <v>1.0416024653312789E-2</v>
      </c>
    </row>
    <row r="92" spans="1:4" x14ac:dyDescent="0.2">
      <c r="A92" s="14">
        <v>36192</v>
      </c>
      <c r="B92" s="18">
        <f>VLOOKUP(A92,Database!A:K,MATCH($A$1,Database!$A$1:$K$1,),)</f>
        <v>16309</v>
      </c>
      <c r="C92" s="15">
        <f t="shared" si="2"/>
        <v>-5.1848237159936566E-3</v>
      </c>
      <c r="D92" s="16">
        <f t="shared" si="3"/>
        <v>1.5883891864955774E-2</v>
      </c>
    </row>
    <row r="93" spans="1:4" x14ac:dyDescent="0.2">
      <c r="A93" s="13">
        <v>36220</v>
      </c>
      <c r="B93" s="18">
        <f>VLOOKUP(A93,Database!A:K,MATCH($A$1,Database!$A$1:$K$1,),)</f>
        <v>16529</v>
      </c>
      <c r="C93" s="15">
        <f t="shared" si="2"/>
        <v>1.3489484333803422E-2</v>
      </c>
      <c r="D93" s="16">
        <f t="shared" si="3"/>
        <v>5.2601413742596956E-2</v>
      </c>
    </row>
    <row r="94" spans="1:4" x14ac:dyDescent="0.2">
      <c r="A94" s="14">
        <v>36251</v>
      </c>
      <c r="B94" s="18">
        <f>VLOOKUP(A94,Database!A:K,MATCH($A$1,Database!$A$1:$K$1,),)</f>
        <v>17115</v>
      </c>
      <c r="C94" s="15">
        <f t="shared" si="2"/>
        <v>3.5452840462217923E-2</v>
      </c>
      <c r="D94" s="16">
        <f t="shared" si="3"/>
        <v>8.3364982909229016E-2</v>
      </c>
    </row>
    <row r="95" spans="1:4" x14ac:dyDescent="0.2">
      <c r="A95" s="13">
        <v>36281</v>
      </c>
      <c r="B95" s="18">
        <f>VLOOKUP(A95,Database!A:K,MATCH($A$1,Database!$A$1:$K$1,),)</f>
        <v>17186</v>
      </c>
      <c r="C95" s="15">
        <f t="shared" si="2"/>
        <v>4.1484078293894241E-3</v>
      </c>
      <c r="D95" s="16">
        <f t="shared" si="3"/>
        <v>7.031201345207698E-2</v>
      </c>
    </row>
    <row r="96" spans="1:4" x14ac:dyDescent="0.2">
      <c r="A96" s="14">
        <v>36312</v>
      </c>
      <c r="B96" s="18">
        <f>VLOOKUP(A96,Database!A:K,MATCH($A$1,Database!$A$1:$K$1,),)</f>
        <v>17070</v>
      </c>
      <c r="C96" s="15">
        <f t="shared" si="2"/>
        <v>-6.7496799720702895E-3</v>
      </c>
      <c r="D96" s="16">
        <f t="shared" si="3"/>
        <v>7.1361325550743746E-2</v>
      </c>
    </row>
    <row r="97" spans="1:4" x14ac:dyDescent="0.2">
      <c r="A97" s="13">
        <v>36342</v>
      </c>
      <c r="B97" s="18">
        <f>VLOOKUP(A97,Database!A:K,MATCH($A$1,Database!$A$1:$K$1,),)</f>
        <v>17704</v>
      </c>
      <c r="C97" s="15">
        <f t="shared" si="2"/>
        <v>3.7141183362624487E-2</v>
      </c>
      <c r="D97" s="16">
        <f t="shared" si="3"/>
        <v>0.10051594455150122</v>
      </c>
    </row>
    <row r="98" spans="1:4" x14ac:dyDescent="0.2">
      <c r="A98" s="14">
        <v>36373</v>
      </c>
      <c r="B98" s="18">
        <f>VLOOKUP(A98,Database!A:K,MATCH($A$1,Database!$A$1:$K$1,),)</f>
        <v>18135</v>
      </c>
      <c r="C98" s="15">
        <f t="shared" si="2"/>
        <v>2.4344780840488026E-2</v>
      </c>
      <c r="D98" s="16">
        <f t="shared" si="3"/>
        <v>0.14409185540344457</v>
      </c>
    </row>
    <row r="99" spans="1:4" x14ac:dyDescent="0.2">
      <c r="A99" s="13">
        <v>36404</v>
      </c>
      <c r="B99" s="18">
        <f>VLOOKUP(A99,Database!A:K,MATCH($A$1,Database!$A$1:$K$1,),)</f>
        <v>18339</v>
      </c>
      <c r="C99" s="15">
        <f t="shared" si="2"/>
        <v>1.1248966087675765E-2</v>
      </c>
      <c r="D99" s="16">
        <f t="shared" si="3"/>
        <v>0.15981533012901594</v>
      </c>
    </row>
    <row r="100" spans="1:4" x14ac:dyDescent="0.2">
      <c r="A100" s="14">
        <v>36434</v>
      </c>
      <c r="B100" s="18">
        <f>VLOOKUP(A100,Database!A:K,MATCH($A$1,Database!$A$1:$K$1,),)</f>
        <v>18632</v>
      </c>
      <c r="C100" s="15">
        <f t="shared" si="2"/>
        <v>1.5976879873493648E-2</v>
      </c>
      <c r="D100" s="16">
        <f t="shared" si="3"/>
        <v>0.16829696513669426</v>
      </c>
    </row>
    <row r="101" spans="1:4" x14ac:dyDescent="0.2">
      <c r="A101" s="13">
        <v>36465</v>
      </c>
      <c r="B101" s="18">
        <f>VLOOKUP(A101,Database!A:K,MATCH($A$1,Database!$A$1:$K$1,),)</f>
        <v>18992</v>
      </c>
      <c r="C101" s="15">
        <f t="shared" si="2"/>
        <v>1.9321597252039503E-2</v>
      </c>
      <c r="D101" s="16">
        <f t="shared" si="3"/>
        <v>0.18596228300237291</v>
      </c>
    </row>
    <row r="102" spans="1:4" x14ac:dyDescent="0.2">
      <c r="A102" s="14">
        <v>36495</v>
      </c>
      <c r="B102" s="18">
        <f>VLOOKUP(A102,Database!A:K,MATCH($A$1,Database!$A$1:$K$1,),)</f>
        <v>20095</v>
      </c>
      <c r="C102" s="15">
        <f t="shared" si="2"/>
        <v>5.8077085088458297E-2</v>
      </c>
      <c r="D102" s="16">
        <f t="shared" si="3"/>
        <v>0.22537959631684859</v>
      </c>
    </row>
    <row r="103" spans="1:4" x14ac:dyDescent="0.2">
      <c r="A103" s="13">
        <v>36526</v>
      </c>
      <c r="B103" s="18">
        <f>VLOOKUP(A103,Database!A:K,MATCH($A$1,Database!$A$1:$K$1,),)</f>
        <v>19358</v>
      </c>
      <c r="C103" s="15">
        <f t="shared" si="2"/>
        <v>-3.6675789997511817E-2</v>
      </c>
      <c r="D103" s="16">
        <f t="shared" si="3"/>
        <v>0.18079785287300232</v>
      </c>
    </row>
    <row r="104" spans="1:4" x14ac:dyDescent="0.2">
      <c r="A104" s="14">
        <v>36557</v>
      </c>
      <c r="B104" s="18">
        <f>VLOOKUP(A104,Database!A:K,MATCH($A$1,Database!$A$1:$K$1,),)</f>
        <v>20214</v>
      </c>
      <c r="C104" s="15">
        <f t="shared" si="2"/>
        <v>4.4219444157454282E-2</v>
      </c>
      <c r="D104" s="16">
        <f t="shared" si="3"/>
        <v>0.23943834692501073</v>
      </c>
    </row>
    <row r="105" spans="1:4" x14ac:dyDescent="0.2">
      <c r="A105" s="13">
        <v>36586</v>
      </c>
      <c r="B105" s="18">
        <f>VLOOKUP(A105,Database!A:K,MATCH($A$1,Database!$A$1:$K$1,),)</f>
        <v>20819</v>
      </c>
      <c r="C105" s="15">
        <f t="shared" si="2"/>
        <v>2.9929751657267242E-2</v>
      </c>
      <c r="D105" s="16">
        <f t="shared" si="3"/>
        <v>0.25954383205275577</v>
      </c>
    </row>
    <row r="106" spans="1:4" x14ac:dyDescent="0.2">
      <c r="A106" s="14">
        <v>36617</v>
      </c>
      <c r="B106" s="18">
        <f>VLOOKUP(A106,Database!A:K,MATCH($A$1,Database!$A$1:$K$1,),)</f>
        <v>19907</v>
      </c>
      <c r="C106" s="15">
        <f t="shared" si="2"/>
        <v>-4.3806138623372883E-2</v>
      </c>
      <c r="D106" s="16">
        <f t="shared" si="3"/>
        <v>0.16313175576979258</v>
      </c>
    </row>
    <row r="107" spans="1:4" x14ac:dyDescent="0.2">
      <c r="A107" s="13">
        <v>36647</v>
      </c>
      <c r="B107" s="18">
        <f>VLOOKUP(A107,Database!A:K,MATCH($A$1,Database!$A$1:$K$1,),)</f>
        <v>20242</v>
      </c>
      <c r="C107" s="15">
        <f t="shared" si="2"/>
        <v>1.6828251368865222E-2</v>
      </c>
      <c r="D107" s="16">
        <f t="shared" si="3"/>
        <v>0.17781915512626556</v>
      </c>
    </row>
    <row r="108" spans="1:4" x14ac:dyDescent="0.2">
      <c r="A108" s="14">
        <v>36678</v>
      </c>
      <c r="B108" s="18">
        <f>VLOOKUP(A108,Database!A:K,MATCH($A$1,Database!$A$1:$K$1,),)</f>
        <v>20885</v>
      </c>
      <c r="C108" s="15">
        <f t="shared" si="2"/>
        <v>3.1765635806738461E-2</v>
      </c>
      <c r="D108" s="16">
        <f t="shared" si="3"/>
        <v>0.22349150556531927</v>
      </c>
    </row>
    <row r="109" spans="1:4" x14ac:dyDescent="0.2">
      <c r="A109" s="13">
        <v>36708</v>
      </c>
      <c r="B109" s="18">
        <f>VLOOKUP(A109,Database!A:K,MATCH($A$1,Database!$A$1:$K$1,),)</f>
        <v>20905</v>
      </c>
      <c r="C109" s="15">
        <f t="shared" si="2"/>
        <v>9.5762508977735214E-4</v>
      </c>
      <c r="D109" s="16">
        <f t="shared" si="3"/>
        <v>0.18080659737912336</v>
      </c>
    </row>
    <row r="110" spans="1:4" x14ac:dyDescent="0.2">
      <c r="A110" s="14">
        <v>36739</v>
      </c>
      <c r="B110" s="18">
        <f>VLOOKUP(A110,Database!A:K,MATCH($A$1,Database!$A$1:$K$1,),)</f>
        <v>20574</v>
      </c>
      <c r="C110" s="15">
        <f t="shared" si="2"/>
        <v>-1.5833532647691939E-2</v>
      </c>
      <c r="D110" s="16">
        <f t="shared" si="3"/>
        <v>0.13449131513647641</v>
      </c>
    </row>
    <row r="111" spans="1:4" x14ac:dyDescent="0.2">
      <c r="A111" s="13">
        <v>36770</v>
      </c>
      <c r="B111" s="18">
        <f>VLOOKUP(A111,Database!A:K,MATCH($A$1,Database!$A$1:$K$1,),)</f>
        <v>21327</v>
      </c>
      <c r="C111" s="15">
        <f t="shared" si="2"/>
        <v>3.6599591717701954E-2</v>
      </c>
      <c r="D111" s="16">
        <f t="shared" si="3"/>
        <v>0.16293145754948471</v>
      </c>
    </row>
    <row r="112" spans="1:4" x14ac:dyDescent="0.2">
      <c r="A112" s="14">
        <v>36800</v>
      </c>
      <c r="B112" s="18">
        <f>VLOOKUP(A112,Database!A:K,MATCH($A$1,Database!$A$1:$K$1,),)</f>
        <v>21412</v>
      </c>
      <c r="C112" s="15">
        <f t="shared" si="2"/>
        <v>3.9855582125943641E-3</v>
      </c>
      <c r="D112" s="16">
        <f t="shared" si="3"/>
        <v>0.14920566766852728</v>
      </c>
    </row>
    <row r="113" spans="1:4" x14ac:dyDescent="0.2">
      <c r="A113" s="13">
        <v>36831</v>
      </c>
      <c r="B113" s="18">
        <f>VLOOKUP(A113,Database!A:K,MATCH($A$1,Database!$A$1:$K$1,),)</f>
        <v>21906</v>
      </c>
      <c r="C113" s="15">
        <f t="shared" si="2"/>
        <v>2.3071175042032505E-2</v>
      </c>
      <c r="D113" s="16">
        <f t="shared" si="3"/>
        <v>0.15343302443133952</v>
      </c>
    </row>
    <row r="114" spans="1:4" x14ac:dyDescent="0.2">
      <c r="A114" s="14">
        <v>36861</v>
      </c>
      <c r="B114" s="18">
        <f>VLOOKUP(A114,Database!A:K,MATCH($A$1,Database!$A$1:$K$1,),)</f>
        <v>22124</v>
      </c>
      <c r="C114" s="15">
        <f t="shared" si="2"/>
        <v>9.9516114306582668E-3</v>
      </c>
      <c r="D114" s="16">
        <f t="shared" si="3"/>
        <v>0.10097039064443891</v>
      </c>
    </row>
    <row r="115" spans="1:4" x14ac:dyDescent="0.2">
      <c r="A115" s="13">
        <v>36892</v>
      </c>
      <c r="B115" s="18">
        <f>VLOOKUP(A115,Database!A:K,MATCH($A$1,Database!$A$1:$K$1,),)</f>
        <v>21931</v>
      </c>
      <c r="C115" s="15">
        <f t="shared" si="2"/>
        <v>-8.7235581269209904E-3</v>
      </c>
      <c r="D115" s="16">
        <f t="shared" si="3"/>
        <v>0.13291662361814238</v>
      </c>
    </row>
    <row r="116" spans="1:4" x14ac:dyDescent="0.2">
      <c r="A116" s="14">
        <v>36923</v>
      </c>
      <c r="B116" s="18">
        <f>VLOOKUP(A116,Database!A:K,MATCH($A$1,Database!$A$1:$K$1,),)</f>
        <v>21615</v>
      </c>
      <c r="C116" s="15">
        <f t="shared" si="2"/>
        <v>-1.4408827686835986E-2</v>
      </c>
      <c r="D116" s="16">
        <f t="shared" si="3"/>
        <v>6.9308400118729588E-2</v>
      </c>
    </row>
    <row r="117" spans="1:4" x14ac:dyDescent="0.2">
      <c r="A117" s="13">
        <v>36951</v>
      </c>
      <c r="B117" s="18">
        <f>VLOOKUP(A117,Database!A:K,MATCH($A$1,Database!$A$1:$K$1,),)</f>
        <v>20652</v>
      </c>
      <c r="C117" s="15">
        <f t="shared" si="2"/>
        <v>-4.4552394170714785E-2</v>
      </c>
      <c r="D117" s="16">
        <f t="shared" si="3"/>
        <v>-8.021518804937797E-3</v>
      </c>
    </row>
    <row r="118" spans="1:4" x14ac:dyDescent="0.2">
      <c r="A118" s="14">
        <v>36982</v>
      </c>
      <c r="B118" s="18">
        <f>VLOOKUP(A118,Database!A:K,MATCH($A$1,Database!$A$1:$K$1,),)</f>
        <v>21618</v>
      </c>
      <c r="C118" s="15">
        <f t="shared" si="2"/>
        <v>4.6775130737943059E-2</v>
      </c>
      <c r="D118" s="16">
        <f t="shared" si="3"/>
        <v>8.5949665946651932E-2</v>
      </c>
    </row>
    <row r="119" spans="1:4" x14ac:dyDescent="0.2">
      <c r="A119" s="13">
        <v>37012</v>
      </c>
      <c r="B119" s="18">
        <f>VLOOKUP(A119,Database!A:K,MATCH($A$1,Database!$A$1:$K$1,),)</f>
        <v>22628</v>
      </c>
      <c r="C119" s="15">
        <f t="shared" si="2"/>
        <v>4.6720325654547139E-2</v>
      </c>
      <c r="D119" s="16">
        <f t="shared" si="3"/>
        <v>0.11787372789250074</v>
      </c>
    </row>
    <row r="120" spans="1:4" x14ac:dyDescent="0.2">
      <c r="A120" s="14">
        <v>37043</v>
      </c>
      <c r="B120" s="18">
        <f>VLOOKUP(A120,Database!A:K,MATCH($A$1,Database!$A$1:$K$1,),)</f>
        <v>21928</v>
      </c>
      <c r="C120" s="15">
        <f t="shared" si="2"/>
        <v>-3.0935124624359201E-2</v>
      </c>
      <c r="D120" s="16">
        <f t="shared" si="3"/>
        <v>4.9940148431888917E-2</v>
      </c>
    </row>
    <row r="121" spans="1:4" x14ac:dyDescent="0.2">
      <c r="A121" s="13">
        <v>37073</v>
      </c>
      <c r="B121" s="18">
        <f>VLOOKUP(A121,Database!A:K,MATCH($A$1,Database!$A$1:$K$1,),)</f>
        <v>20686</v>
      </c>
      <c r="C121" s="15">
        <f t="shared" si="2"/>
        <v>-5.6639912440715069E-2</v>
      </c>
      <c r="D121" s="16">
        <f t="shared" si="3"/>
        <v>-1.0475962688352068E-2</v>
      </c>
    </row>
    <row r="122" spans="1:4" x14ac:dyDescent="0.2">
      <c r="A122" s="14">
        <v>37104</v>
      </c>
      <c r="B122" s="18">
        <f>VLOOKUP(A122,Database!A:K,MATCH($A$1,Database!$A$1:$K$1,),)</f>
        <v>20878</v>
      </c>
      <c r="C122" s="15">
        <f t="shared" si="2"/>
        <v>9.2816397563569557E-3</v>
      </c>
      <c r="D122" s="16">
        <f t="shared" si="3"/>
        <v>1.4775930786429473E-2</v>
      </c>
    </row>
    <row r="123" spans="1:4" x14ac:dyDescent="0.2">
      <c r="A123" s="13">
        <v>37135</v>
      </c>
      <c r="B123" s="18">
        <f>VLOOKUP(A123,Database!A:K,MATCH($A$1,Database!$A$1:$K$1,),)</f>
        <v>21336</v>
      </c>
      <c r="C123" s="15">
        <f t="shared" si="2"/>
        <v>2.1936967142446594E-2</v>
      </c>
      <c r="D123" s="16">
        <f t="shared" si="3"/>
        <v>4.2200028133352089E-4</v>
      </c>
    </row>
    <row r="124" spans="1:4" x14ac:dyDescent="0.2">
      <c r="A124" s="14">
        <v>37165</v>
      </c>
      <c r="B124" s="18">
        <f>VLOOKUP(A124,Database!A:K,MATCH($A$1,Database!$A$1:$K$1,),)</f>
        <v>20033</v>
      </c>
      <c r="C124" s="15">
        <f t="shared" si="2"/>
        <v>-6.1070491188601424E-2</v>
      </c>
      <c r="D124" s="16">
        <f t="shared" si="3"/>
        <v>-6.4403138427050255E-2</v>
      </c>
    </row>
    <row r="125" spans="1:4" x14ac:dyDescent="0.2">
      <c r="A125" s="13">
        <v>37196</v>
      </c>
      <c r="B125" s="18">
        <f>VLOOKUP(A125,Database!A:K,MATCH($A$1,Database!$A$1:$K$1,),)</f>
        <v>19245</v>
      </c>
      <c r="C125" s="15">
        <f t="shared" si="2"/>
        <v>-3.9335097089801825E-2</v>
      </c>
      <c r="D125" s="16">
        <f t="shared" si="3"/>
        <v>-0.12147356888523692</v>
      </c>
    </row>
    <row r="126" spans="1:4" x14ac:dyDescent="0.2">
      <c r="A126" s="14">
        <v>37226</v>
      </c>
      <c r="B126" s="18">
        <f>VLOOKUP(A126,Database!A:K,MATCH($A$1,Database!$A$1:$K$1,),)</f>
        <v>18950</v>
      </c>
      <c r="C126" s="15">
        <f t="shared" si="2"/>
        <v>-1.532865679397246E-2</v>
      </c>
      <c r="D126" s="16">
        <f t="shared" si="3"/>
        <v>-0.14346411137226542</v>
      </c>
    </row>
    <row r="127" spans="1:4" x14ac:dyDescent="0.2">
      <c r="A127" s="13">
        <v>37257</v>
      </c>
      <c r="B127" s="18">
        <f>VLOOKUP(A127,Database!A:K,MATCH($A$1,Database!$A$1:$K$1,),)</f>
        <v>19130</v>
      </c>
      <c r="C127" s="15">
        <f t="shared" si="2"/>
        <v>9.4986807387862793E-3</v>
      </c>
      <c r="D127" s="16">
        <f t="shared" si="3"/>
        <v>-0.12771875427477086</v>
      </c>
    </row>
    <row r="128" spans="1:4" x14ac:dyDescent="0.2">
      <c r="A128" s="14">
        <v>37288</v>
      </c>
      <c r="B128" s="18">
        <f>VLOOKUP(A128,Database!A:K,MATCH($A$1,Database!$A$1:$K$1,),)</f>
        <v>19068</v>
      </c>
      <c r="C128" s="15">
        <f t="shared" si="2"/>
        <v>-3.2409827496079455E-3</v>
      </c>
      <c r="D128" s="16">
        <f t="shared" si="3"/>
        <v>-0.11783483691880639</v>
      </c>
    </row>
    <row r="129" spans="1:4" x14ac:dyDescent="0.2">
      <c r="A129" s="13">
        <v>37316</v>
      </c>
      <c r="B129" s="18">
        <f>VLOOKUP(A129,Database!A:K,MATCH($A$1,Database!$A$1:$K$1,),)</f>
        <v>19813</v>
      </c>
      <c r="C129" s="15">
        <f t="shared" si="2"/>
        <v>3.9070694357037972E-2</v>
      </c>
      <c r="D129" s="16">
        <f t="shared" si="3"/>
        <v>-4.0625605268254893E-2</v>
      </c>
    </row>
    <row r="130" spans="1:4" x14ac:dyDescent="0.2">
      <c r="A130" s="14">
        <v>37347</v>
      </c>
      <c r="B130" s="18">
        <f>VLOOKUP(A130,Database!A:K,MATCH($A$1,Database!$A$1:$K$1,),)</f>
        <v>20856</v>
      </c>
      <c r="C130" s="15">
        <f t="shared" si="2"/>
        <v>5.2642204613132793E-2</v>
      </c>
      <c r="D130" s="16">
        <f t="shared" si="3"/>
        <v>-3.5248404107688036E-2</v>
      </c>
    </row>
    <row r="131" spans="1:4" x14ac:dyDescent="0.2">
      <c r="A131" s="13">
        <v>37377</v>
      </c>
      <c r="B131" s="18">
        <f>VLOOKUP(A131,Database!A:K,MATCH($A$1,Database!$A$1:$K$1,),)</f>
        <v>20930</v>
      </c>
      <c r="C131" s="15">
        <f t="shared" si="2"/>
        <v>3.5481396240889911E-3</v>
      </c>
      <c r="D131" s="16">
        <f t="shared" si="3"/>
        <v>-7.503977373165989E-2</v>
      </c>
    </row>
    <row r="132" spans="1:4" x14ac:dyDescent="0.2">
      <c r="A132" s="14">
        <v>37408</v>
      </c>
      <c r="B132" s="18">
        <f>VLOOKUP(A132,Database!A:K,MATCH($A$1,Database!$A$1:$K$1,),)</f>
        <v>20733</v>
      </c>
      <c r="C132" s="15">
        <f t="shared" si="2"/>
        <v>-9.4123268036311516E-3</v>
      </c>
      <c r="D132" s="16">
        <f t="shared" si="3"/>
        <v>-5.4496534111638087E-2</v>
      </c>
    </row>
    <row r="133" spans="1:4" x14ac:dyDescent="0.2">
      <c r="A133" s="13">
        <v>37438</v>
      </c>
      <c r="B133" s="18">
        <f>VLOOKUP(A133,Database!A:K,MATCH($A$1,Database!$A$1:$K$1,),)</f>
        <v>21438</v>
      </c>
      <c r="C133" s="15">
        <f t="shared" si="2"/>
        <v>3.4003762118362028E-2</v>
      </c>
      <c r="D133" s="16">
        <f t="shared" si="3"/>
        <v>3.635308904573141E-2</v>
      </c>
    </row>
    <row r="134" spans="1:4" x14ac:dyDescent="0.2">
      <c r="A134" s="14">
        <v>37469</v>
      </c>
      <c r="B134" s="18">
        <f>VLOOKUP(A134,Database!A:K,MATCH($A$1,Database!$A$1:$K$1,),)</f>
        <v>21182</v>
      </c>
      <c r="C134" s="15">
        <f t="shared" si="2"/>
        <v>-1.1941412445190782E-2</v>
      </c>
      <c r="D134" s="16">
        <f t="shared" si="3"/>
        <v>1.4560781684069355E-2</v>
      </c>
    </row>
    <row r="135" spans="1:4" x14ac:dyDescent="0.2">
      <c r="A135" s="13">
        <v>37500</v>
      </c>
      <c r="B135" s="18">
        <f>VLOOKUP(A135,Database!A:K,MATCH($A$1,Database!$A$1:$K$1,),)</f>
        <v>21272</v>
      </c>
      <c r="C135" s="15">
        <f t="shared" si="2"/>
        <v>4.2488905674629403E-3</v>
      </c>
      <c r="D135" s="16">
        <f t="shared" si="3"/>
        <v>-2.9996250468691415E-3</v>
      </c>
    </row>
    <row r="136" spans="1:4" x14ac:dyDescent="0.2">
      <c r="A136" s="14">
        <v>37530</v>
      </c>
      <c r="B136" s="18">
        <f>VLOOKUP(A136,Database!A:K,MATCH($A$1,Database!$A$1:$K$1,),)</f>
        <v>21659</v>
      </c>
      <c r="C136" s="15">
        <f t="shared" si="2"/>
        <v>1.8192929672809326E-2</v>
      </c>
      <c r="D136" s="16">
        <f t="shared" si="3"/>
        <v>8.1166075974641844E-2</v>
      </c>
    </row>
    <row r="137" spans="1:4" x14ac:dyDescent="0.2">
      <c r="A137" s="13">
        <v>37561</v>
      </c>
      <c r="B137" s="18">
        <f>VLOOKUP(A137,Database!A:K,MATCH($A$1,Database!$A$1:$K$1,),)</f>
        <v>22009</v>
      </c>
      <c r="C137" s="15">
        <f t="shared" ref="C137:C200" si="4">(B137-B136)/B136</f>
        <v>1.615956415346969E-2</v>
      </c>
      <c r="D137" s="16">
        <f t="shared" si="3"/>
        <v>0.14362171992725384</v>
      </c>
    </row>
    <row r="138" spans="1:4" x14ac:dyDescent="0.2">
      <c r="A138" s="14">
        <v>37591</v>
      </c>
      <c r="B138" s="18">
        <f>VLOOKUP(A138,Database!A:K,MATCH($A$1,Database!$A$1:$K$1,),)</f>
        <v>22464</v>
      </c>
      <c r="C138" s="15">
        <f t="shared" si="4"/>
        <v>2.0673360897814529E-2</v>
      </c>
      <c r="D138" s="16">
        <f t="shared" si="3"/>
        <v>0.1854353562005277</v>
      </c>
    </row>
    <row r="139" spans="1:4" x14ac:dyDescent="0.2">
      <c r="A139" s="13">
        <v>37622</v>
      </c>
      <c r="B139" s="18">
        <f>VLOOKUP(A139,Database!A:K,MATCH($A$1,Database!$A$1:$K$1,),)</f>
        <v>23073</v>
      </c>
      <c r="C139" s="15">
        <f t="shared" si="4"/>
        <v>2.7110042735042736E-2</v>
      </c>
      <c r="D139" s="16">
        <f t="shared" si="3"/>
        <v>0.2061160480920021</v>
      </c>
    </row>
    <row r="140" spans="1:4" x14ac:dyDescent="0.2">
      <c r="A140" s="14">
        <v>37653</v>
      </c>
      <c r="B140" s="18">
        <f>VLOOKUP(A140,Database!A:K,MATCH($A$1,Database!$A$1:$K$1,),)</f>
        <v>23885</v>
      </c>
      <c r="C140" s="15">
        <f t="shared" si="4"/>
        <v>3.5192649417067567E-2</v>
      </c>
      <c r="D140" s="16">
        <f t="shared" si="3"/>
        <v>0.25262219425215021</v>
      </c>
    </row>
    <row r="141" spans="1:4" x14ac:dyDescent="0.2">
      <c r="A141" s="13">
        <v>37681</v>
      </c>
      <c r="B141" s="18">
        <f>VLOOKUP(A141,Database!A:K,MATCH($A$1,Database!$A$1:$K$1,),)</f>
        <v>23968</v>
      </c>
      <c r="C141" s="15">
        <f t="shared" si="4"/>
        <v>3.4749842997697298E-3</v>
      </c>
      <c r="D141" s="16">
        <f t="shared" si="3"/>
        <v>0.20971079594205824</v>
      </c>
    </row>
    <row r="142" spans="1:4" x14ac:dyDescent="0.2">
      <c r="A142" s="14">
        <v>37712</v>
      </c>
      <c r="B142" s="18">
        <f>VLOOKUP(A142,Database!A:K,MATCH($A$1,Database!$A$1:$K$1,),)</f>
        <v>22581</v>
      </c>
      <c r="C142" s="15">
        <f t="shared" si="4"/>
        <v>-5.7868825100133511E-2</v>
      </c>
      <c r="D142" s="16">
        <f t="shared" si="3"/>
        <v>8.2710011507479864E-2</v>
      </c>
    </row>
    <row r="143" spans="1:4" x14ac:dyDescent="0.2">
      <c r="A143" s="13">
        <v>37742</v>
      </c>
      <c r="B143" s="18">
        <f>VLOOKUP(A143,Database!A:K,MATCH($A$1,Database!$A$1:$K$1,),)</f>
        <v>21810</v>
      </c>
      <c r="C143" s="15">
        <f t="shared" si="4"/>
        <v>-3.4143749169655908E-2</v>
      </c>
      <c r="D143" s="16">
        <f t="shared" si="3"/>
        <v>4.2044911610129E-2</v>
      </c>
    </row>
    <row r="144" spans="1:4" x14ac:dyDescent="0.2">
      <c r="A144" s="14">
        <v>37773</v>
      </c>
      <c r="B144" s="18">
        <f>VLOOKUP(A144,Database!A:K,MATCH($A$1,Database!$A$1:$K$1,),)</f>
        <v>21777</v>
      </c>
      <c r="C144" s="15">
        <f t="shared" si="4"/>
        <v>-1.5130674002751031E-3</v>
      </c>
      <c r="D144" s="16">
        <f t="shared" si="3"/>
        <v>5.0354507307191432E-2</v>
      </c>
    </row>
    <row r="145" spans="1:4" x14ac:dyDescent="0.2">
      <c r="A145" s="13">
        <v>37803</v>
      </c>
      <c r="B145" s="18">
        <f>VLOOKUP(A145,Database!A:K,MATCH($A$1,Database!$A$1:$K$1,),)</f>
        <v>22196</v>
      </c>
      <c r="C145" s="15">
        <f t="shared" si="4"/>
        <v>1.9240483078477293E-2</v>
      </c>
      <c r="D145" s="16">
        <f t="shared" si="3"/>
        <v>3.5357775911932086E-2</v>
      </c>
    </row>
    <row r="146" spans="1:4" x14ac:dyDescent="0.2">
      <c r="A146" s="14">
        <v>37834</v>
      </c>
      <c r="B146" s="18">
        <f>VLOOKUP(A146,Database!A:K,MATCH($A$1,Database!$A$1:$K$1,),)</f>
        <v>23073</v>
      </c>
      <c r="C146" s="15">
        <f t="shared" si="4"/>
        <v>3.9511623715984864E-2</v>
      </c>
      <c r="D146" s="16">
        <f t="shared" si="3"/>
        <v>8.9273911811915782E-2</v>
      </c>
    </row>
    <row r="147" spans="1:4" x14ac:dyDescent="0.2">
      <c r="A147" s="13">
        <v>37865</v>
      </c>
      <c r="B147" s="18">
        <f>VLOOKUP(A147,Database!A:K,MATCH($A$1,Database!$A$1:$K$1,),)</f>
        <v>23214</v>
      </c>
      <c r="C147" s="15">
        <f t="shared" si="4"/>
        <v>6.1110388766090233E-3</v>
      </c>
      <c r="D147" s="16">
        <f t="shared" si="3"/>
        <v>9.1293719443399771E-2</v>
      </c>
    </row>
    <row r="148" spans="1:4" x14ac:dyDescent="0.2">
      <c r="A148" s="14">
        <v>37895</v>
      </c>
      <c r="B148" s="18">
        <f>VLOOKUP(A148,Database!A:K,MATCH($A$1,Database!$A$1:$K$1,),)</f>
        <v>22714</v>
      </c>
      <c r="C148" s="15">
        <f t="shared" si="4"/>
        <v>-2.1538726630481606E-2</v>
      </c>
      <c r="D148" s="16">
        <f t="shared" ref="D148:D211" si="5">(B148-B136)/B136</f>
        <v>4.8709543376887203E-2</v>
      </c>
    </row>
    <row r="149" spans="1:4" x14ac:dyDescent="0.2">
      <c r="A149" s="13">
        <v>37926</v>
      </c>
      <c r="B149" s="18">
        <f>VLOOKUP(A149,Database!A:K,MATCH($A$1,Database!$A$1:$K$1,),)</f>
        <v>23472</v>
      </c>
      <c r="C149" s="15">
        <f t="shared" si="4"/>
        <v>3.3371488949546536E-2</v>
      </c>
      <c r="D149" s="16">
        <f t="shared" si="5"/>
        <v>6.6472806579126714E-2</v>
      </c>
    </row>
    <row r="150" spans="1:4" x14ac:dyDescent="0.2">
      <c r="A150" s="14">
        <v>37956</v>
      </c>
      <c r="B150" s="18">
        <f>VLOOKUP(A150,Database!A:K,MATCH($A$1,Database!$A$1:$K$1,),)</f>
        <v>23994</v>
      </c>
      <c r="C150" s="15">
        <f t="shared" si="4"/>
        <v>2.2239263803680982E-2</v>
      </c>
      <c r="D150" s="16">
        <f t="shared" si="5"/>
        <v>6.8108974358974353E-2</v>
      </c>
    </row>
    <row r="151" spans="1:4" x14ac:dyDescent="0.2">
      <c r="A151" s="13">
        <v>37987</v>
      </c>
      <c r="B151" s="18">
        <f>VLOOKUP(A151,Database!A:K,MATCH($A$1,Database!$A$1:$K$1,),)</f>
        <v>24889</v>
      </c>
      <c r="C151" s="15">
        <f t="shared" si="4"/>
        <v>3.730099191464533E-2</v>
      </c>
      <c r="D151" s="16">
        <f t="shared" si="5"/>
        <v>7.8706713474624018E-2</v>
      </c>
    </row>
    <row r="152" spans="1:4" x14ac:dyDescent="0.2">
      <c r="A152" s="14">
        <v>38018</v>
      </c>
      <c r="B152" s="18">
        <f>VLOOKUP(A152,Database!A:K,MATCH($A$1,Database!$A$1:$K$1,),)</f>
        <v>25256</v>
      </c>
      <c r="C152" s="15">
        <f t="shared" si="4"/>
        <v>1.4745469886295151E-2</v>
      </c>
      <c r="D152" s="16">
        <f t="shared" si="5"/>
        <v>5.7400041867280718E-2</v>
      </c>
    </row>
    <row r="153" spans="1:4" x14ac:dyDescent="0.2">
      <c r="A153" s="13">
        <v>38047</v>
      </c>
      <c r="B153" s="18">
        <f>VLOOKUP(A153,Database!A:K,MATCH($A$1,Database!$A$1:$K$1,),)</f>
        <v>25679</v>
      </c>
      <c r="C153" s="15">
        <f t="shared" si="4"/>
        <v>1.6748495407031994E-2</v>
      </c>
      <c r="D153" s="16">
        <f t="shared" si="5"/>
        <v>7.1386849132176231E-2</v>
      </c>
    </row>
    <row r="154" spans="1:4" x14ac:dyDescent="0.2">
      <c r="A154" s="14">
        <v>38078</v>
      </c>
      <c r="B154" s="18">
        <f>VLOOKUP(A154,Database!A:K,MATCH($A$1,Database!$A$1:$K$1,),)</f>
        <v>25518</v>
      </c>
      <c r="C154" s="15">
        <f t="shared" si="4"/>
        <v>-6.2697145527473809E-3</v>
      </c>
      <c r="D154" s="16">
        <f t="shared" si="5"/>
        <v>0.13006509897701607</v>
      </c>
    </row>
    <row r="155" spans="1:4" x14ac:dyDescent="0.2">
      <c r="A155" s="13">
        <v>38108</v>
      </c>
      <c r="B155" s="18">
        <f>VLOOKUP(A155,Database!A:K,MATCH($A$1,Database!$A$1:$K$1,),)</f>
        <v>27011</v>
      </c>
      <c r="C155" s="15">
        <f t="shared" si="4"/>
        <v>5.8507720040755544E-2</v>
      </c>
      <c r="D155" s="16">
        <f t="shared" si="5"/>
        <v>0.23846859238881246</v>
      </c>
    </row>
    <row r="156" spans="1:4" x14ac:dyDescent="0.2">
      <c r="A156" s="14">
        <v>38139</v>
      </c>
      <c r="B156" s="18">
        <f>VLOOKUP(A156,Database!A:K,MATCH($A$1,Database!$A$1:$K$1,),)</f>
        <v>27050</v>
      </c>
      <c r="C156" s="15">
        <f t="shared" si="4"/>
        <v>1.4438562067305913E-3</v>
      </c>
      <c r="D156" s="16">
        <f t="shared" si="5"/>
        <v>0.24213619874179179</v>
      </c>
    </row>
    <row r="157" spans="1:4" x14ac:dyDescent="0.2">
      <c r="A157" s="13">
        <v>38169</v>
      </c>
      <c r="B157" s="18">
        <f>VLOOKUP(A157,Database!A:K,MATCH($A$1,Database!$A$1:$K$1,),)</f>
        <v>26745</v>
      </c>
      <c r="C157" s="15">
        <f t="shared" si="4"/>
        <v>-1.1275415896487985E-2</v>
      </c>
      <c r="D157" s="16">
        <f t="shared" si="5"/>
        <v>0.20494683726797622</v>
      </c>
    </row>
    <row r="158" spans="1:4" x14ac:dyDescent="0.2">
      <c r="A158" s="14">
        <v>38200</v>
      </c>
      <c r="B158" s="18">
        <f>VLOOKUP(A158,Database!A:K,MATCH($A$1,Database!$A$1:$K$1,),)</f>
        <v>26552</v>
      </c>
      <c r="C158" s="15">
        <f t="shared" si="4"/>
        <v>-7.2163021125444008E-3</v>
      </c>
      <c r="D158" s="16">
        <f t="shared" si="5"/>
        <v>0.15078229965760845</v>
      </c>
    </row>
    <row r="159" spans="1:4" x14ac:dyDescent="0.2">
      <c r="A159" s="13">
        <v>38231</v>
      </c>
      <c r="B159" s="18">
        <f>VLOOKUP(A159,Database!A:K,MATCH($A$1,Database!$A$1:$K$1,),)</f>
        <v>27161</v>
      </c>
      <c r="C159" s="15">
        <f t="shared" si="4"/>
        <v>2.2936125338957516E-2</v>
      </c>
      <c r="D159" s="16">
        <f t="shared" si="5"/>
        <v>0.17002670802102179</v>
      </c>
    </row>
    <row r="160" spans="1:4" x14ac:dyDescent="0.2">
      <c r="A160" s="14">
        <v>38261</v>
      </c>
      <c r="B160" s="18">
        <f>VLOOKUP(A160,Database!A:K,MATCH($A$1,Database!$A$1:$K$1,),)</f>
        <v>28656</v>
      </c>
      <c r="C160" s="15">
        <f t="shared" si="4"/>
        <v>5.5042156032546669E-2</v>
      </c>
      <c r="D160" s="16">
        <f t="shared" si="5"/>
        <v>0.26160077485251387</v>
      </c>
    </row>
    <row r="161" spans="1:4" x14ac:dyDescent="0.2">
      <c r="A161" s="13">
        <v>38292</v>
      </c>
      <c r="B161" s="18">
        <f>VLOOKUP(A161,Database!A:K,MATCH($A$1,Database!$A$1:$K$1,),)</f>
        <v>29349</v>
      </c>
      <c r="C161" s="15">
        <f t="shared" si="4"/>
        <v>2.4183417085427136E-2</v>
      </c>
      <c r="D161" s="16">
        <f t="shared" si="5"/>
        <v>0.25038343558282211</v>
      </c>
    </row>
    <row r="162" spans="1:4" x14ac:dyDescent="0.2">
      <c r="A162" s="14">
        <v>38322</v>
      </c>
      <c r="B162" s="18">
        <f>VLOOKUP(A162,Database!A:K,MATCH($A$1,Database!$A$1:$K$1,),)</f>
        <v>29046</v>
      </c>
      <c r="C162" s="15">
        <f t="shared" si="4"/>
        <v>-1.0324031483185118E-2</v>
      </c>
      <c r="D162" s="16">
        <f t="shared" si="5"/>
        <v>0.2105526381595399</v>
      </c>
    </row>
    <row r="163" spans="1:4" x14ac:dyDescent="0.2">
      <c r="A163" s="13">
        <v>38353</v>
      </c>
      <c r="B163" s="18">
        <f>VLOOKUP(A163,Database!A:K,MATCH($A$1,Database!$A$1:$K$1,),)</f>
        <v>28375</v>
      </c>
      <c r="C163" s="15">
        <f t="shared" si="4"/>
        <v>-2.3101287612752187E-2</v>
      </c>
      <c r="D163" s="16">
        <f t="shared" si="5"/>
        <v>0.14006187472377354</v>
      </c>
    </row>
    <row r="164" spans="1:4" x14ac:dyDescent="0.2">
      <c r="A164" s="14">
        <v>38384</v>
      </c>
      <c r="B164" s="18">
        <f>VLOOKUP(A164,Database!A:K,MATCH($A$1,Database!$A$1:$K$1,),)</f>
        <v>29015</v>
      </c>
      <c r="C164" s="15">
        <f t="shared" si="4"/>
        <v>2.2555066079295156E-2</v>
      </c>
      <c r="D164" s="16">
        <f t="shared" si="5"/>
        <v>0.14883592017738359</v>
      </c>
    </row>
    <row r="165" spans="1:4" x14ac:dyDescent="0.2">
      <c r="A165" s="13">
        <v>38412</v>
      </c>
      <c r="B165" s="18">
        <f>VLOOKUP(A165,Database!A:K,MATCH($A$1,Database!$A$1:$K$1,),)</f>
        <v>29498</v>
      </c>
      <c r="C165" s="15">
        <f t="shared" si="4"/>
        <v>1.6646562123039808E-2</v>
      </c>
      <c r="D165" s="16">
        <f t="shared" si="5"/>
        <v>0.14872074457728104</v>
      </c>
    </row>
    <row r="166" spans="1:4" x14ac:dyDescent="0.2">
      <c r="A166" s="14">
        <v>38443</v>
      </c>
      <c r="B166" s="18">
        <f>VLOOKUP(A166,Database!A:K,MATCH($A$1,Database!$A$1:$K$1,),)</f>
        <v>30009</v>
      </c>
      <c r="C166" s="15">
        <f t="shared" si="4"/>
        <v>1.7323208353108684E-2</v>
      </c>
      <c r="D166" s="16">
        <f t="shared" si="5"/>
        <v>0.17599341641194452</v>
      </c>
    </row>
    <row r="167" spans="1:4" x14ac:dyDescent="0.2">
      <c r="A167" s="13">
        <v>38473</v>
      </c>
      <c r="B167" s="18">
        <f>VLOOKUP(A167,Database!A:K,MATCH($A$1,Database!$A$1:$K$1,),)</f>
        <v>29140</v>
      </c>
      <c r="C167" s="15">
        <f t="shared" si="4"/>
        <v>-2.89579792728848E-2</v>
      </c>
      <c r="D167" s="16">
        <f t="shared" si="5"/>
        <v>7.8819740105882788E-2</v>
      </c>
    </row>
    <row r="168" spans="1:4" x14ac:dyDescent="0.2">
      <c r="A168" s="14">
        <v>38504</v>
      </c>
      <c r="B168" s="18">
        <f>VLOOKUP(A168,Database!A:K,MATCH($A$1,Database!$A$1:$K$1,),)</f>
        <v>29889</v>
      </c>
      <c r="C168" s="15">
        <f t="shared" si="4"/>
        <v>2.5703500343170899E-2</v>
      </c>
      <c r="D168" s="16">
        <f t="shared" si="5"/>
        <v>0.10495378927911275</v>
      </c>
    </row>
    <row r="169" spans="1:4" x14ac:dyDescent="0.2">
      <c r="A169" s="13">
        <v>38534</v>
      </c>
      <c r="B169" s="18">
        <f>VLOOKUP(A169,Database!A:K,MATCH($A$1,Database!$A$1:$K$1,),)</f>
        <v>30976</v>
      </c>
      <c r="C169" s="15">
        <f t="shared" si="4"/>
        <v>3.6367894543142959E-2</v>
      </c>
      <c r="D169" s="16">
        <f t="shared" si="5"/>
        <v>0.15819779398018322</v>
      </c>
    </row>
    <row r="170" spans="1:4" x14ac:dyDescent="0.2">
      <c r="A170" s="14">
        <v>38565</v>
      </c>
      <c r="B170" s="18">
        <f>VLOOKUP(A170,Database!A:K,MATCH($A$1,Database!$A$1:$K$1,),)</f>
        <v>33399</v>
      </c>
      <c r="C170" s="15">
        <f t="shared" si="4"/>
        <v>7.8221849173553723E-2</v>
      </c>
      <c r="D170" s="16">
        <f t="shared" si="5"/>
        <v>0.25787134679120216</v>
      </c>
    </row>
    <row r="171" spans="1:4" x14ac:dyDescent="0.2">
      <c r="A171" s="13">
        <v>38596</v>
      </c>
      <c r="B171" s="18">
        <f>VLOOKUP(A171,Database!A:K,MATCH($A$1,Database!$A$1:$K$1,),)</f>
        <v>36116</v>
      </c>
      <c r="C171" s="15">
        <f t="shared" si="4"/>
        <v>8.1349741010209892E-2</v>
      </c>
      <c r="D171" s="16">
        <f t="shared" si="5"/>
        <v>0.32970067376017081</v>
      </c>
    </row>
    <row r="172" spans="1:4" x14ac:dyDescent="0.2">
      <c r="A172" s="14">
        <v>38626</v>
      </c>
      <c r="B172" s="18">
        <f>VLOOKUP(A172,Database!A:K,MATCH($A$1,Database!$A$1:$K$1,),)</f>
        <v>35911</v>
      </c>
      <c r="C172" s="15">
        <f t="shared" si="4"/>
        <v>-5.6761546129139437E-3</v>
      </c>
      <c r="D172" s="16">
        <f t="shared" si="5"/>
        <v>0.2531756002233389</v>
      </c>
    </row>
    <row r="173" spans="1:4" x14ac:dyDescent="0.2">
      <c r="A173" s="13">
        <v>38657</v>
      </c>
      <c r="B173" s="18">
        <f>VLOOKUP(A173,Database!A:K,MATCH($A$1,Database!$A$1:$K$1,),)</f>
        <v>33185</v>
      </c>
      <c r="C173" s="15">
        <f t="shared" si="4"/>
        <v>-7.5909888335050538E-2</v>
      </c>
      <c r="D173" s="16">
        <f t="shared" si="5"/>
        <v>0.1307029200313469</v>
      </c>
    </row>
    <row r="174" spans="1:4" x14ac:dyDescent="0.2">
      <c r="A174" s="14">
        <v>38687</v>
      </c>
      <c r="B174" s="18">
        <f>VLOOKUP(A174,Database!A:K,MATCH($A$1,Database!$A$1:$K$1,),)</f>
        <v>33154</v>
      </c>
      <c r="C174" s="15">
        <f t="shared" si="4"/>
        <v>-9.341569986439656E-4</v>
      </c>
      <c r="D174" s="16">
        <f t="shared" si="5"/>
        <v>0.14143083384975555</v>
      </c>
    </row>
    <row r="175" spans="1:4" x14ac:dyDescent="0.2">
      <c r="A175" s="13">
        <v>38718</v>
      </c>
      <c r="B175" s="18">
        <f>VLOOKUP(A175,Database!A:K,MATCH($A$1,Database!$A$1:$K$1,),)</f>
        <v>34298</v>
      </c>
      <c r="C175" s="15">
        <f t="shared" si="4"/>
        <v>3.4505640345056404E-2</v>
      </c>
      <c r="D175" s="16">
        <f t="shared" si="5"/>
        <v>0.20874008810572686</v>
      </c>
    </row>
    <row r="176" spans="1:4" x14ac:dyDescent="0.2">
      <c r="A176" s="14">
        <v>38749</v>
      </c>
      <c r="B176" s="18">
        <f>VLOOKUP(A176,Database!A:K,MATCH($A$1,Database!$A$1:$K$1,),)</f>
        <v>34174</v>
      </c>
      <c r="C176" s="15">
        <f t="shared" si="4"/>
        <v>-3.6153711586681438E-3</v>
      </c>
      <c r="D176" s="16">
        <f t="shared" si="5"/>
        <v>0.17780458383594691</v>
      </c>
    </row>
    <row r="177" spans="1:4" x14ac:dyDescent="0.2">
      <c r="A177" s="13">
        <v>38777</v>
      </c>
      <c r="B177" s="18">
        <f>VLOOKUP(A177,Database!A:K,MATCH($A$1,Database!$A$1:$K$1,),)</f>
        <v>34195</v>
      </c>
      <c r="C177" s="15">
        <f t="shared" si="4"/>
        <v>6.1450225317492835E-4</v>
      </c>
      <c r="D177" s="16">
        <f t="shared" si="5"/>
        <v>0.15923113431419078</v>
      </c>
    </row>
    <row r="178" spans="1:4" x14ac:dyDescent="0.2">
      <c r="A178" s="14">
        <v>38808</v>
      </c>
      <c r="B178" s="18">
        <f>VLOOKUP(A178,Database!A:K,MATCH($A$1,Database!$A$1:$K$1,),)</f>
        <v>35646</v>
      </c>
      <c r="C178" s="15">
        <f t="shared" si="4"/>
        <v>4.2433104255008042E-2</v>
      </c>
      <c r="D178" s="16">
        <f t="shared" si="5"/>
        <v>0.18784364690592822</v>
      </c>
    </row>
    <row r="179" spans="1:4" x14ac:dyDescent="0.2">
      <c r="A179" s="13">
        <v>38838</v>
      </c>
      <c r="B179" s="18">
        <f>VLOOKUP(A179,Database!A:K,MATCH($A$1,Database!$A$1:$K$1,),)</f>
        <v>36159</v>
      </c>
      <c r="C179" s="15">
        <f t="shared" si="4"/>
        <v>1.4391516579700387E-2</v>
      </c>
      <c r="D179" s="16">
        <f t="shared" si="5"/>
        <v>0.24087165408373371</v>
      </c>
    </row>
    <row r="180" spans="1:4" x14ac:dyDescent="0.2">
      <c r="A180" s="14">
        <v>38869</v>
      </c>
      <c r="B180" s="18">
        <f>VLOOKUP(A180,Database!A:K,MATCH($A$1,Database!$A$1:$K$1,),)</f>
        <v>36228</v>
      </c>
      <c r="C180" s="15">
        <f t="shared" si="4"/>
        <v>1.9082386127934955E-3</v>
      </c>
      <c r="D180" s="16">
        <f t="shared" si="5"/>
        <v>0.21208471343972699</v>
      </c>
    </row>
    <row r="181" spans="1:4" x14ac:dyDescent="0.2">
      <c r="A181" s="13">
        <v>38899</v>
      </c>
      <c r="B181" s="18">
        <f>VLOOKUP(A181,Database!A:K,MATCH($A$1,Database!$A$1:$K$1,),)</f>
        <v>36963</v>
      </c>
      <c r="C181" s="15">
        <f t="shared" si="4"/>
        <v>2.0288174892348458E-2</v>
      </c>
      <c r="D181" s="16">
        <f t="shared" si="5"/>
        <v>0.19327866735537191</v>
      </c>
    </row>
    <row r="182" spans="1:4" x14ac:dyDescent="0.2">
      <c r="A182" s="14">
        <v>38930</v>
      </c>
      <c r="B182" s="18">
        <f>VLOOKUP(A182,Database!A:K,MATCH($A$1,Database!$A$1:$K$1,),)</f>
        <v>37696</v>
      </c>
      <c r="C182" s="15">
        <f t="shared" si="4"/>
        <v>1.9830641452263074E-2</v>
      </c>
      <c r="D182" s="16">
        <f t="shared" si="5"/>
        <v>0.1286565466031917</v>
      </c>
    </row>
    <row r="183" spans="1:4" x14ac:dyDescent="0.2">
      <c r="A183" s="13">
        <v>38961</v>
      </c>
      <c r="B183" s="18">
        <f>VLOOKUP(A183,Database!A:K,MATCH($A$1,Database!$A$1:$K$1,),)</f>
        <v>34935</v>
      </c>
      <c r="C183" s="15">
        <f t="shared" si="4"/>
        <v>-7.3243845500848892E-2</v>
      </c>
      <c r="D183" s="16">
        <f t="shared" si="5"/>
        <v>-3.2700188282201795E-2</v>
      </c>
    </row>
    <row r="184" spans="1:4" x14ac:dyDescent="0.2">
      <c r="A184" s="14">
        <v>38991</v>
      </c>
      <c r="B184" s="18">
        <f>VLOOKUP(A184,Database!A:K,MATCH($A$1,Database!$A$1:$K$1,),)</f>
        <v>32912</v>
      </c>
      <c r="C184" s="15">
        <f t="shared" si="4"/>
        <v>-5.7907542579075426E-2</v>
      </c>
      <c r="D184" s="16">
        <f t="shared" si="5"/>
        <v>-8.3512015816880628E-2</v>
      </c>
    </row>
    <row r="185" spans="1:4" x14ac:dyDescent="0.2">
      <c r="A185" s="13">
        <v>39022</v>
      </c>
      <c r="B185" s="18">
        <f>VLOOKUP(A185,Database!A:K,MATCH($A$1,Database!$A$1:$K$1,),)</f>
        <v>33322</v>
      </c>
      <c r="C185" s="15">
        <f t="shared" si="4"/>
        <v>1.2457462323772484E-2</v>
      </c>
      <c r="D185" s="16">
        <f t="shared" si="5"/>
        <v>4.128371252071719E-3</v>
      </c>
    </row>
    <row r="186" spans="1:4" x14ac:dyDescent="0.2">
      <c r="A186" s="14">
        <v>39052</v>
      </c>
      <c r="B186" s="18">
        <f>VLOOKUP(A186,Database!A:K,MATCH($A$1,Database!$A$1:$K$1,),)</f>
        <v>34895</v>
      </c>
      <c r="C186" s="15">
        <f t="shared" si="4"/>
        <v>4.7206050057019389E-2</v>
      </c>
      <c r="D186" s="16">
        <f t="shared" si="5"/>
        <v>5.2512517343306989E-2</v>
      </c>
    </row>
    <row r="187" spans="1:4" x14ac:dyDescent="0.2">
      <c r="A187" s="13">
        <v>39083</v>
      </c>
      <c r="B187" s="18">
        <f>VLOOKUP(A187,Database!A:K,MATCH($A$1,Database!$A$1:$K$1,),)</f>
        <v>34244</v>
      </c>
      <c r="C187" s="15">
        <f t="shared" si="4"/>
        <v>-1.8655967903711133E-2</v>
      </c>
      <c r="D187" s="16">
        <f t="shared" si="5"/>
        <v>-1.5744358271619337E-3</v>
      </c>
    </row>
    <row r="188" spans="1:4" x14ac:dyDescent="0.2">
      <c r="A188" s="14">
        <v>39114</v>
      </c>
      <c r="B188" s="18">
        <f>VLOOKUP(A188,Database!A:K,MATCH($A$1,Database!$A$1:$K$1,),)</f>
        <v>34932</v>
      </c>
      <c r="C188" s="15">
        <f t="shared" si="4"/>
        <v>2.0091110851536035E-2</v>
      </c>
      <c r="D188" s="16">
        <f t="shared" si="5"/>
        <v>2.2180605138409318E-2</v>
      </c>
    </row>
    <row r="189" spans="1:4" x14ac:dyDescent="0.2">
      <c r="A189" s="13">
        <v>39142</v>
      </c>
      <c r="B189" s="18">
        <f>VLOOKUP(A189,Database!A:K,MATCH($A$1,Database!$A$1:$K$1,),)</f>
        <v>35999</v>
      </c>
      <c r="C189" s="15">
        <f t="shared" si="4"/>
        <v>3.0545058971716478E-2</v>
      </c>
      <c r="D189" s="16">
        <f t="shared" si="5"/>
        <v>5.2756250913876299E-2</v>
      </c>
    </row>
    <row r="190" spans="1:4" x14ac:dyDescent="0.2">
      <c r="A190" s="14">
        <v>39173</v>
      </c>
      <c r="B190" s="18">
        <f>VLOOKUP(A190,Database!A:K,MATCH($A$1,Database!$A$1:$K$1,),)</f>
        <v>36350</v>
      </c>
      <c r="C190" s="15">
        <f t="shared" si="4"/>
        <v>9.7502708408566899E-3</v>
      </c>
      <c r="D190" s="16">
        <f t="shared" si="5"/>
        <v>1.9749761544072267E-2</v>
      </c>
    </row>
    <row r="191" spans="1:4" x14ac:dyDescent="0.2">
      <c r="A191" s="13">
        <v>39203</v>
      </c>
      <c r="B191" s="18">
        <f>VLOOKUP(A191,Database!A:K,MATCH($A$1,Database!$A$1:$K$1,),)</f>
        <v>37996</v>
      </c>
      <c r="C191" s="15">
        <f t="shared" si="4"/>
        <v>4.528198074277854E-2</v>
      </c>
      <c r="D191" s="16">
        <f t="shared" si="5"/>
        <v>5.0803396111618132E-2</v>
      </c>
    </row>
    <row r="192" spans="1:4" x14ac:dyDescent="0.2">
      <c r="A192" s="14">
        <v>39234</v>
      </c>
      <c r="B192" s="18">
        <f>VLOOKUP(A192,Database!A:K,MATCH($A$1,Database!$A$1:$K$1,),)</f>
        <v>37310</v>
      </c>
      <c r="C192" s="15">
        <f t="shared" si="4"/>
        <v>-1.8054532056005896E-2</v>
      </c>
      <c r="D192" s="16">
        <f t="shared" si="5"/>
        <v>2.9866401678259911E-2</v>
      </c>
    </row>
    <row r="193" spans="1:4" x14ac:dyDescent="0.2">
      <c r="A193" s="13">
        <v>39264</v>
      </c>
      <c r="B193" s="18">
        <f>VLOOKUP(A193,Database!A:K,MATCH($A$1,Database!$A$1:$K$1,),)</f>
        <v>36963</v>
      </c>
      <c r="C193" s="15">
        <f t="shared" si="4"/>
        <v>-9.300455641919057E-3</v>
      </c>
      <c r="D193" s="16">
        <f t="shared" si="5"/>
        <v>0</v>
      </c>
    </row>
    <row r="194" spans="1:4" x14ac:dyDescent="0.2">
      <c r="A194" s="14">
        <v>39295</v>
      </c>
      <c r="B194" s="18">
        <f>VLOOKUP(A194,Database!A:K,MATCH($A$1,Database!$A$1:$K$1,),)</f>
        <v>37223</v>
      </c>
      <c r="C194" s="15">
        <f t="shared" si="4"/>
        <v>7.0340610881151422E-3</v>
      </c>
      <c r="D194" s="16">
        <f t="shared" si="5"/>
        <v>-1.2547750424448218E-2</v>
      </c>
    </row>
    <row r="195" spans="1:4" x14ac:dyDescent="0.2">
      <c r="A195" s="13">
        <v>39326</v>
      </c>
      <c r="B195" s="18">
        <f>VLOOKUP(A195,Database!A:K,MATCH($A$1,Database!$A$1:$K$1,),)</f>
        <v>38210</v>
      </c>
      <c r="C195" s="15">
        <f t="shared" si="4"/>
        <v>2.6515863847621095E-2</v>
      </c>
      <c r="D195" s="16">
        <f t="shared" si="5"/>
        <v>9.3745527408043511E-2</v>
      </c>
    </row>
    <row r="196" spans="1:4" x14ac:dyDescent="0.2">
      <c r="A196" s="14">
        <v>39356</v>
      </c>
      <c r="B196" s="18">
        <f>VLOOKUP(A196,Database!A:K,MATCH($A$1,Database!$A$1:$K$1,),)</f>
        <v>39307</v>
      </c>
      <c r="C196" s="15">
        <f t="shared" si="4"/>
        <v>2.8709761842449621E-2</v>
      </c>
      <c r="D196" s="16">
        <f t="shared" si="5"/>
        <v>0.19430602819640252</v>
      </c>
    </row>
    <row r="197" spans="1:4" x14ac:dyDescent="0.2">
      <c r="A197" s="13">
        <v>39387</v>
      </c>
      <c r="B197" s="18">
        <f>VLOOKUP(A197,Database!A:K,MATCH($A$1,Database!$A$1:$K$1,),)</f>
        <v>41985</v>
      </c>
      <c r="C197" s="15">
        <f t="shared" si="4"/>
        <v>6.8130358460325127E-2</v>
      </c>
      <c r="D197" s="16">
        <f t="shared" si="5"/>
        <v>0.2599783926535022</v>
      </c>
    </row>
    <row r="198" spans="1:4" x14ac:dyDescent="0.2">
      <c r="A198" s="14">
        <v>39417</v>
      </c>
      <c r="B198" s="18">
        <f>VLOOKUP(A198,Database!A:K,MATCH($A$1,Database!$A$1:$K$1,),)</f>
        <v>41593</v>
      </c>
      <c r="C198" s="15">
        <f t="shared" si="4"/>
        <v>-9.3366678575681795E-3</v>
      </c>
      <c r="D198" s="16">
        <f t="shared" si="5"/>
        <v>0.19194727038257631</v>
      </c>
    </row>
    <row r="199" spans="1:4" x14ac:dyDescent="0.2">
      <c r="A199" s="13">
        <v>39448</v>
      </c>
      <c r="B199" s="18">
        <f>VLOOKUP(A199,Database!A:K,MATCH($A$1,Database!$A$1:$K$1,),)</f>
        <v>42423</v>
      </c>
      <c r="C199" s="15">
        <f t="shared" si="4"/>
        <v>1.9955280936696077E-2</v>
      </c>
      <c r="D199" s="16">
        <f t="shared" si="5"/>
        <v>0.23884476112603667</v>
      </c>
    </row>
    <row r="200" spans="1:4" x14ac:dyDescent="0.2">
      <c r="A200" s="14">
        <v>39479</v>
      </c>
      <c r="B200" s="18">
        <f>VLOOKUP(A200,Database!A:K,MATCH($A$1,Database!$A$1:$K$1,),)</f>
        <v>42504</v>
      </c>
      <c r="C200" s="15">
        <f t="shared" si="4"/>
        <v>1.9093416307191854E-3</v>
      </c>
      <c r="D200" s="16">
        <f t="shared" si="5"/>
        <v>0.21676399862590176</v>
      </c>
    </row>
    <row r="201" spans="1:4" x14ac:dyDescent="0.2">
      <c r="A201" s="13">
        <v>39508</v>
      </c>
      <c r="B201" s="18">
        <f>VLOOKUP(A201,Database!A:K,MATCH($A$1,Database!$A$1:$K$1,),)</f>
        <v>43044</v>
      </c>
      <c r="C201" s="15">
        <f t="shared" ref="C201:C264" si="6">(B201-B200)/B200</f>
        <v>1.2704686617730096E-2</v>
      </c>
      <c r="D201" s="16">
        <f t="shared" si="5"/>
        <v>0.19569988055223755</v>
      </c>
    </row>
    <row r="202" spans="1:4" x14ac:dyDescent="0.2">
      <c r="A202" s="14">
        <v>39539</v>
      </c>
      <c r="B202" s="18">
        <f>VLOOKUP(A202,Database!A:K,MATCH($A$1,Database!$A$1:$K$1,),)</f>
        <v>42933</v>
      </c>
      <c r="C202" s="15">
        <f t="shared" si="6"/>
        <v>-2.5787566211318649E-3</v>
      </c>
      <c r="D202" s="16">
        <f t="shared" si="5"/>
        <v>0.18110041265474552</v>
      </c>
    </row>
    <row r="203" spans="1:4" x14ac:dyDescent="0.2">
      <c r="A203" s="13">
        <v>39569</v>
      </c>
      <c r="B203" s="18">
        <f>VLOOKUP(A203,Database!A:K,MATCH($A$1,Database!$A$1:$K$1,),)</f>
        <v>44344</v>
      </c>
      <c r="C203" s="15">
        <f t="shared" si="6"/>
        <v>3.2865161996599355E-2</v>
      </c>
      <c r="D203" s="16">
        <f t="shared" si="5"/>
        <v>0.16707021791767554</v>
      </c>
    </row>
    <row r="204" spans="1:4" x14ac:dyDescent="0.2">
      <c r="A204" s="14">
        <v>39600</v>
      </c>
      <c r="B204" s="18">
        <f>VLOOKUP(A204,Database!A:K,MATCH($A$1,Database!$A$1:$K$1,),)</f>
        <v>46547</v>
      </c>
      <c r="C204" s="15">
        <f t="shared" si="6"/>
        <v>4.9679776294425403E-2</v>
      </c>
      <c r="D204" s="16">
        <f t="shared" si="5"/>
        <v>0.24757437684266953</v>
      </c>
    </row>
    <row r="205" spans="1:4" x14ac:dyDescent="0.2">
      <c r="A205" s="13">
        <v>39630</v>
      </c>
      <c r="B205" s="18">
        <f>VLOOKUP(A205,Database!A:K,MATCH($A$1,Database!$A$1:$K$1,),)</f>
        <v>46813</v>
      </c>
      <c r="C205" s="15">
        <f t="shared" si="6"/>
        <v>5.7146540056287193E-3</v>
      </c>
      <c r="D205" s="16">
        <f t="shared" si="5"/>
        <v>0.26648269891513132</v>
      </c>
    </row>
    <row r="206" spans="1:4" x14ac:dyDescent="0.2">
      <c r="A206" s="14">
        <v>39661</v>
      </c>
      <c r="B206" s="18">
        <f>VLOOKUP(A206,Database!A:K,MATCH($A$1,Database!$A$1:$K$1,),)</f>
        <v>45645</v>
      </c>
      <c r="C206" s="15">
        <f t="shared" si="6"/>
        <v>-2.4950334308845832E-2</v>
      </c>
      <c r="D206" s="16">
        <f t="shared" si="5"/>
        <v>0.22625795878892083</v>
      </c>
    </row>
    <row r="207" spans="1:4" x14ac:dyDescent="0.2">
      <c r="A207" s="13">
        <v>39692</v>
      </c>
      <c r="B207" s="18">
        <f>VLOOKUP(A207,Database!A:K,MATCH($A$1,Database!$A$1:$K$1,),)</f>
        <v>45777</v>
      </c>
      <c r="C207" s="15">
        <f t="shared" si="6"/>
        <v>2.891883010187315E-3</v>
      </c>
      <c r="D207" s="16">
        <f t="shared" si="5"/>
        <v>0.19803716304632296</v>
      </c>
    </row>
    <row r="208" spans="1:4" x14ac:dyDescent="0.2">
      <c r="A208" s="14">
        <v>39722</v>
      </c>
      <c r="B208" s="18">
        <f>VLOOKUP(A208,Database!A:K,MATCH($A$1,Database!$A$1:$K$1,),)</f>
        <v>40584</v>
      </c>
      <c r="C208" s="15">
        <f t="shared" si="6"/>
        <v>-0.11344124778819058</v>
      </c>
      <c r="D208" s="16">
        <f t="shared" si="5"/>
        <v>3.2487852036532934E-2</v>
      </c>
    </row>
    <row r="209" spans="1:4" x14ac:dyDescent="0.2">
      <c r="A209" s="13">
        <v>39753</v>
      </c>
      <c r="B209" s="18">
        <f>VLOOKUP(A209,Database!A:K,MATCH($A$1,Database!$A$1:$K$1,),)</f>
        <v>31776</v>
      </c>
      <c r="C209" s="15">
        <f t="shared" si="6"/>
        <v>-0.21703134240094618</v>
      </c>
      <c r="D209" s="16">
        <f t="shared" si="5"/>
        <v>-0.24315827081100394</v>
      </c>
    </row>
    <row r="210" spans="1:4" x14ac:dyDescent="0.2">
      <c r="A210" s="14">
        <v>39783</v>
      </c>
      <c r="B210" s="18">
        <f>VLOOKUP(A210,Database!A:K,MATCH($A$1,Database!$A$1:$K$1,),)</f>
        <v>27999</v>
      </c>
      <c r="C210" s="15">
        <f t="shared" si="6"/>
        <v>-0.11886329305135952</v>
      </c>
      <c r="D210" s="16">
        <f t="shared" si="5"/>
        <v>-0.32683384223306805</v>
      </c>
    </row>
    <row r="211" spans="1:4" x14ac:dyDescent="0.2">
      <c r="A211" s="13">
        <v>39814</v>
      </c>
      <c r="B211" s="18">
        <f>VLOOKUP(A211,Database!A:K,MATCH($A$1,Database!$A$1:$K$1,),)</f>
        <v>28818</v>
      </c>
      <c r="C211" s="15">
        <f t="shared" si="6"/>
        <v>2.9251044680167149E-2</v>
      </c>
      <c r="D211" s="16">
        <f t="shared" si="5"/>
        <v>-0.32069867760412984</v>
      </c>
    </row>
    <row r="212" spans="1:4" x14ac:dyDescent="0.2">
      <c r="A212" s="14">
        <v>39845</v>
      </c>
      <c r="B212" s="18">
        <f>VLOOKUP(A212,Database!A:K,MATCH($A$1,Database!$A$1:$K$1,),)</f>
        <v>29860</v>
      </c>
      <c r="C212" s="15">
        <f t="shared" si="6"/>
        <v>3.6157956832535219E-2</v>
      </c>
      <c r="D212" s="16">
        <f t="shared" ref="D212:D275" si="7">(B212-B200)/B200</f>
        <v>-0.29747788443440615</v>
      </c>
    </row>
    <row r="213" spans="1:4" x14ac:dyDescent="0.2">
      <c r="A213" s="13">
        <v>39873</v>
      </c>
      <c r="B213" s="18">
        <f>VLOOKUP(A213,Database!A:K,MATCH($A$1,Database!$A$1:$K$1,),)</f>
        <v>28825</v>
      </c>
      <c r="C213" s="15">
        <f t="shared" si="6"/>
        <v>-3.4661754855994639E-2</v>
      </c>
      <c r="D213" s="16">
        <f t="shared" si="7"/>
        <v>-0.33033639996282871</v>
      </c>
    </row>
    <row r="214" spans="1:4" x14ac:dyDescent="0.2">
      <c r="A214" s="14">
        <v>39904</v>
      </c>
      <c r="B214" s="18">
        <f>VLOOKUP(A214,Database!A:K,MATCH($A$1,Database!$A$1:$K$1,),)</f>
        <v>28747</v>
      </c>
      <c r="C214" s="15">
        <f t="shared" si="6"/>
        <v>-2.7059843885516043E-3</v>
      </c>
      <c r="D214" s="16">
        <f t="shared" si="7"/>
        <v>-0.33042182004518666</v>
      </c>
    </row>
    <row r="215" spans="1:4" x14ac:dyDescent="0.2">
      <c r="A215" s="13">
        <v>39934</v>
      </c>
      <c r="B215" s="18">
        <f>VLOOKUP(A215,Database!A:K,MATCH($A$1,Database!$A$1:$K$1,),)</f>
        <v>30488</v>
      </c>
      <c r="C215" s="15">
        <f t="shared" si="6"/>
        <v>6.0562841339965909E-2</v>
      </c>
      <c r="D215" s="16">
        <f t="shared" si="7"/>
        <v>-0.31246617355222805</v>
      </c>
    </row>
    <row r="216" spans="1:4" x14ac:dyDescent="0.2">
      <c r="A216" s="14">
        <v>39965</v>
      </c>
      <c r="B216" s="18">
        <f>VLOOKUP(A216,Database!A:K,MATCH($A$1,Database!$A$1:$K$1,),)</f>
        <v>33375</v>
      </c>
      <c r="C216" s="15">
        <f t="shared" si="6"/>
        <v>9.4692993964838629E-2</v>
      </c>
      <c r="D216" s="16">
        <f t="shared" si="7"/>
        <v>-0.28298279158699807</v>
      </c>
    </row>
    <row r="217" spans="1:4" x14ac:dyDescent="0.2">
      <c r="A217" s="13">
        <v>39995</v>
      </c>
      <c r="B217" s="18">
        <f>VLOOKUP(A217,Database!A:K,MATCH($A$1,Database!$A$1:$K$1,),)</f>
        <v>33066</v>
      </c>
      <c r="C217" s="15">
        <f t="shared" si="6"/>
        <v>-9.258426966292135E-3</v>
      </c>
      <c r="D217" s="16">
        <f t="shared" si="7"/>
        <v>-0.29365774464358191</v>
      </c>
    </row>
    <row r="218" spans="1:4" x14ac:dyDescent="0.2">
      <c r="A218" s="14">
        <v>40026</v>
      </c>
      <c r="B218" s="18">
        <f>VLOOKUP(A218,Database!A:K,MATCH($A$1,Database!$A$1:$K$1,),)</f>
        <v>34658</v>
      </c>
      <c r="C218" s="15">
        <f t="shared" si="6"/>
        <v>4.8146131978467309E-2</v>
      </c>
      <c r="D218" s="16">
        <f t="shared" si="7"/>
        <v>-0.24070544418884873</v>
      </c>
    </row>
    <row r="219" spans="1:4" x14ac:dyDescent="0.2">
      <c r="A219" s="13">
        <v>40057</v>
      </c>
      <c r="B219" s="18">
        <f>VLOOKUP(A219,Database!A:K,MATCH($A$1,Database!$A$1:$K$1,),)</f>
        <v>34800</v>
      </c>
      <c r="C219" s="15">
        <f t="shared" si="6"/>
        <v>4.0971781406890185E-3</v>
      </c>
      <c r="D219" s="16">
        <f t="shared" si="7"/>
        <v>-0.23979290910282455</v>
      </c>
    </row>
    <row r="220" spans="1:4" x14ac:dyDescent="0.2">
      <c r="A220" s="14">
        <v>40087</v>
      </c>
      <c r="B220" s="18">
        <f>VLOOKUP(A220,Database!A:K,MATCH($A$1,Database!$A$1:$K$1,),)</f>
        <v>34885</v>
      </c>
      <c r="C220" s="15">
        <f t="shared" si="6"/>
        <v>2.4425287356321839E-3</v>
      </c>
      <c r="D220" s="16">
        <f t="shared" si="7"/>
        <v>-0.14042479794993101</v>
      </c>
    </row>
    <row r="221" spans="1:4" x14ac:dyDescent="0.2">
      <c r="A221" s="13">
        <v>40118</v>
      </c>
      <c r="B221" s="18">
        <f>VLOOKUP(A221,Database!A:K,MATCH($A$1,Database!$A$1:$K$1,),)</f>
        <v>36573</v>
      </c>
      <c r="C221" s="15">
        <f t="shared" si="6"/>
        <v>4.8387559122832165E-2</v>
      </c>
      <c r="D221" s="16">
        <f t="shared" si="7"/>
        <v>0.15096299093655588</v>
      </c>
    </row>
    <row r="222" spans="1:4" x14ac:dyDescent="0.2">
      <c r="A222" s="14">
        <v>40148</v>
      </c>
      <c r="B222" s="18">
        <f>VLOOKUP(A222,Database!A:K,MATCH($A$1,Database!$A$1:$K$1,),)</f>
        <v>37182</v>
      </c>
      <c r="C222" s="15">
        <f t="shared" si="6"/>
        <v>1.6651628250348618E-2</v>
      </c>
      <c r="D222" s="16">
        <f t="shared" si="7"/>
        <v>0.32797599914282655</v>
      </c>
    </row>
    <row r="223" spans="1:4" x14ac:dyDescent="0.2">
      <c r="A223" s="13">
        <v>40179</v>
      </c>
      <c r="B223" s="18">
        <f>VLOOKUP(A223,Database!A:K,MATCH($A$1,Database!$A$1:$K$1,),)</f>
        <v>37358</v>
      </c>
      <c r="C223" s="15">
        <f t="shared" si="6"/>
        <v>4.7334731859501912E-3</v>
      </c>
      <c r="D223" s="16">
        <f t="shared" si="7"/>
        <v>0.29634256367548062</v>
      </c>
    </row>
    <row r="224" spans="1:4" x14ac:dyDescent="0.2">
      <c r="A224" s="14">
        <v>40210</v>
      </c>
      <c r="B224" s="18">
        <f>VLOOKUP(A224,Database!A:K,MATCH($A$1,Database!$A$1:$K$1,),)</f>
        <v>36950</v>
      </c>
      <c r="C224" s="15">
        <f t="shared" si="6"/>
        <v>-1.0921355532951442E-2</v>
      </c>
      <c r="D224" s="16">
        <f t="shared" si="7"/>
        <v>0.23744139316811788</v>
      </c>
    </row>
    <row r="225" spans="1:4" x14ac:dyDescent="0.2">
      <c r="A225" s="13">
        <v>40238</v>
      </c>
      <c r="B225" s="18">
        <f>VLOOKUP(A225,Database!A:K,MATCH($A$1,Database!$A$1:$K$1,),)</f>
        <v>37160</v>
      </c>
      <c r="C225" s="15">
        <f t="shared" si="6"/>
        <v>5.6833558863328823E-3</v>
      </c>
      <c r="D225" s="16">
        <f t="shared" si="7"/>
        <v>0.28915871639202084</v>
      </c>
    </row>
    <row r="226" spans="1:4" x14ac:dyDescent="0.2">
      <c r="A226" s="14">
        <v>40269</v>
      </c>
      <c r="B226" s="18">
        <f>VLOOKUP(A226,Database!A:K,MATCH($A$1,Database!$A$1:$K$1,),)</f>
        <v>37218</v>
      </c>
      <c r="C226" s="15">
        <f t="shared" si="6"/>
        <v>1.5608180839612486E-3</v>
      </c>
      <c r="D226" s="16">
        <f t="shared" si="7"/>
        <v>0.29467422687584793</v>
      </c>
    </row>
    <row r="227" spans="1:4" x14ac:dyDescent="0.2">
      <c r="A227" s="13">
        <v>40299</v>
      </c>
      <c r="B227" s="18">
        <f>VLOOKUP(A227,Database!A:K,MATCH($A$1,Database!$A$1:$K$1,),)</f>
        <v>36606</v>
      </c>
      <c r="C227" s="15">
        <f t="shared" si="6"/>
        <v>-1.6443656295340964E-2</v>
      </c>
      <c r="D227" s="16">
        <f t="shared" si="7"/>
        <v>0.20066911571765941</v>
      </c>
    </row>
    <row r="228" spans="1:4" x14ac:dyDescent="0.2">
      <c r="A228" s="14">
        <v>40330</v>
      </c>
      <c r="B228" s="18">
        <f>VLOOKUP(A228,Database!A:K,MATCH($A$1,Database!$A$1:$K$1,),)</f>
        <v>35642</v>
      </c>
      <c r="C228" s="15">
        <f t="shared" si="6"/>
        <v>-2.6334480686226302E-2</v>
      </c>
      <c r="D228" s="16">
        <f t="shared" si="7"/>
        <v>6.7925093632958802E-2</v>
      </c>
    </row>
    <row r="229" spans="1:4" x14ac:dyDescent="0.2">
      <c r="A229" s="13">
        <v>40360</v>
      </c>
      <c r="B229" s="18">
        <f>VLOOKUP(A229,Database!A:K,MATCH($A$1,Database!$A$1:$K$1,),)</f>
        <v>35764</v>
      </c>
      <c r="C229" s="15">
        <f t="shared" si="6"/>
        <v>3.4229280062847201E-3</v>
      </c>
      <c r="D229" s="16">
        <f t="shared" si="7"/>
        <v>8.1594386983608547E-2</v>
      </c>
    </row>
    <row r="230" spans="1:4" x14ac:dyDescent="0.2">
      <c r="A230" s="14">
        <v>40391</v>
      </c>
      <c r="B230" s="18">
        <f>VLOOKUP(A230,Database!A:K,MATCH($A$1,Database!$A$1:$K$1,),)</f>
        <v>36189</v>
      </c>
      <c r="C230" s="15">
        <f t="shared" si="6"/>
        <v>1.18834582261492E-2</v>
      </c>
      <c r="D230" s="16">
        <f t="shared" si="7"/>
        <v>4.4174505164752728E-2</v>
      </c>
    </row>
    <row r="231" spans="1:4" x14ac:dyDescent="0.2">
      <c r="A231" s="13">
        <v>40422</v>
      </c>
      <c r="B231" s="18">
        <f>VLOOKUP(A231,Database!A:K,MATCH($A$1,Database!$A$1:$K$1,),)</f>
        <v>37357</v>
      </c>
      <c r="C231" s="15">
        <f t="shared" si="6"/>
        <v>3.2275000690817651E-2</v>
      </c>
      <c r="D231" s="16">
        <f t="shared" si="7"/>
        <v>7.347701149425287E-2</v>
      </c>
    </row>
    <row r="232" spans="1:4" x14ac:dyDescent="0.2">
      <c r="A232" s="14">
        <v>40452</v>
      </c>
      <c r="B232" s="18">
        <f>VLOOKUP(A232,Database!A:K,MATCH($A$1,Database!$A$1:$K$1,),)</f>
        <v>38480</v>
      </c>
      <c r="C232" s="15">
        <f t="shared" si="6"/>
        <v>3.0061300425623043E-2</v>
      </c>
      <c r="D232" s="16">
        <f t="shared" si="7"/>
        <v>0.10305288806077111</v>
      </c>
    </row>
    <row r="233" spans="1:4" x14ac:dyDescent="0.2">
      <c r="A233" s="13">
        <v>40483</v>
      </c>
      <c r="B233" s="18">
        <f>VLOOKUP(A233,Database!A:K,MATCH($A$1,Database!$A$1:$K$1,),)</f>
        <v>39272</v>
      </c>
      <c r="C233" s="15">
        <f t="shared" si="6"/>
        <v>2.0582120582120583E-2</v>
      </c>
      <c r="D233" s="16">
        <f t="shared" si="7"/>
        <v>7.3797610258934193E-2</v>
      </c>
    </row>
    <row r="234" spans="1:4" x14ac:dyDescent="0.2">
      <c r="A234" s="14">
        <v>40513</v>
      </c>
      <c r="B234" s="18">
        <f>VLOOKUP(A234,Database!A:K,MATCH($A$1,Database!$A$1:$K$1,),)</f>
        <v>41279</v>
      </c>
      <c r="C234" s="15">
        <f t="shared" si="6"/>
        <v>5.1105113057649212E-2</v>
      </c>
      <c r="D234" s="16">
        <f t="shared" si="7"/>
        <v>0.11018772524339734</v>
      </c>
    </row>
    <row r="235" spans="1:4" x14ac:dyDescent="0.2">
      <c r="A235" s="13">
        <v>40544</v>
      </c>
      <c r="B235" s="18">
        <f>VLOOKUP(A235,Database!A:K,MATCH($A$1,Database!$A$1:$K$1,),)</f>
        <v>41778</v>
      </c>
      <c r="C235" s="15">
        <f t="shared" si="6"/>
        <v>1.2088471135444173E-2</v>
      </c>
      <c r="D235" s="16">
        <f t="shared" si="7"/>
        <v>0.11831468494030729</v>
      </c>
    </row>
    <row r="236" spans="1:4" x14ac:dyDescent="0.2">
      <c r="A236" s="14">
        <v>40575</v>
      </c>
      <c r="B236" s="18">
        <f>VLOOKUP(A236,Database!A:K,MATCH($A$1,Database!$A$1:$K$1,),)</f>
        <v>42294</v>
      </c>
      <c r="C236" s="15">
        <f t="shared" si="6"/>
        <v>1.2350998132988655E-2</v>
      </c>
      <c r="D236" s="16">
        <f t="shared" si="7"/>
        <v>0.14462787550744249</v>
      </c>
    </row>
    <row r="237" spans="1:4" x14ac:dyDescent="0.2">
      <c r="A237" s="13">
        <v>40603</v>
      </c>
      <c r="B237" s="18">
        <f>VLOOKUP(A237,Database!A:K,MATCH($A$1,Database!$A$1:$K$1,),)</f>
        <v>43823</v>
      </c>
      <c r="C237" s="15">
        <f t="shared" si="6"/>
        <v>3.6151700004728803E-2</v>
      </c>
      <c r="D237" s="16">
        <f t="shared" si="7"/>
        <v>0.17930570505920346</v>
      </c>
    </row>
    <row r="238" spans="1:4" x14ac:dyDescent="0.2">
      <c r="A238" s="14">
        <v>40634</v>
      </c>
      <c r="B238" s="18">
        <f>VLOOKUP(A238,Database!A:K,MATCH($A$1,Database!$A$1:$K$1,),)</f>
        <v>44604</v>
      </c>
      <c r="C238" s="15">
        <f t="shared" si="6"/>
        <v>1.7821691805672821E-2</v>
      </c>
      <c r="D238" s="16">
        <f t="shared" si="7"/>
        <v>0.19845236176043848</v>
      </c>
    </row>
    <row r="239" spans="1:4" x14ac:dyDescent="0.2">
      <c r="A239" s="13">
        <v>40664</v>
      </c>
      <c r="B239" s="18">
        <f>VLOOKUP(A239,Database!A:K,MATCH($A$1,Database!$A$1:$K$1,),)</f>
        <v>45300</v>
      </c>
      <c r="C239" s="15">
        <f t="shared" si="6"/>
        <v>1.5603981705676621E-2</v>
      </c>
      <c r="D239" s="16">
        <f t="shared" si="7"/>
        <v>0.23750204884445172</v>
      </c>
    </row>
    <row r="240" spans="1:4" x14ac:dyDescent="0.2">
      <c r="A240" s="14">
        <v>40695</v>
      </c>
      <c r="B240" s="18">
        <f>VLOOKUP(A240,Database!A:K,MATCH($A$1,Database!$A$1:$K$1,),)</f>
        <v>44614</v>
      </c>
      <c r="C240" s="15">
        <f t="shared" si="6"/>
        <v>-1.5143487858719646E-2</v>
      </c>
      <c r="D240" s="16">
        <f t="shared" si="7"/>
        <v>0.25172549239661074</v>
      </c>
    </row>
    <row r="241" spans="1:4" x14ac:dyDescent="0.2">
      <c r="A241" s="13">
        <v>40725</v>
      </c>
      <c r="B241" s="18">
        <f>VLOOKUP(A241,Database!A:K,MATCH($A$1,Database!$A$1:$K$1,),)</f>
        <v>44754</v>
      </c>
      <c r="C241" s="15">
        <f t="shared" si="6"/>
        <v>3.1380284215717039E-3</v>
      </c>
      <c r="D241" s="16">
        <f t="shared" si="7"/>
        <v>0.25137009283077955</v>
      </c>
    </row>
    <row r="242" spans="1:4" x14ac:dyDescent="0.2">
      <c r="A242" s="14">
        <v>40756</v>
      </c>
      <c r="B242" s="18">
        <f>VLOOKUP(A242,Database!A:K,MATCH($A$1,Database!$A$1:$K$1,),)</f>
        <v>45075</v>
      </c>
      <c r="C242" s="15">
        <f t="shared" si="6"/>
        <v>7.1725432363587615E-3</v>
      </c>
      <c r="D242" s="16">
        <f t="shared" si="7"/>
        <v>0.2455442261460665</v>
      </c>
    </row>
    <row r="243" spans="1:4" x14ac:dyDescent="0.2">
      <c r="A243" s="13">
        <v>40787</v>
      </c>
      <c r="B243" s="18">
        <f>VLOOKUP(A243,Database!A:K,MATCH($A$1,Database!$A$1:$K$1,),)</f>
        <v>45082</v>
      </c>
      <c r="C243" s="15">
        <f t="shared" si="6"/>
        <v>1.552967276760954E-4</v>
      </c>
      <c r="D243" s="16">
        <f t="shared" si="7"/>
        <v>0.20678855368471771</v>
      </c>
    </row>
    <row r="244" spans="1:4" x14ac:dyDescent="0.2">
      <c r="A244" s="14">
        <v>40817</v>
      </c>
      <c r="B244" s="18">
        <f>VLOOKUP(A244,Database!A:K,MATCH($A$1,Database!$A$1:$K$1,),)</f>
        <v>44846</v>
      </c>
      <c r="C244" s="15">
        <f t="shared" si="6"/>
        <v>-5.2349052837052483E-3</v>
      </c>
      <c r="D244" s="16">
        <f t="shared" si="7"/>
        <v>0.16543659043659042</v>
      </c>
    </row>
    <row r="245" spans="1:4" x14ac:dyDescent="0.2">
      <c r="A245" s="13">
        <v>40848</v>
      </c>
      <c r="B245" s="18">
        <f>VLOOKUP(A245,Database!A:K,MATCH($A$1,Database!$A$1:$K$1,),)</f>
        <v>45622</v>
      </c>
      <c r="C245" s="15">
        <f t="shared" si="6"/>
        <v>1.7303661419078624E-2</v>
      </c>
      <c r="D245" s="16">
        <f t="shared" si="7"/>
        <v>0.16169280912609493</v>
      </c>
    </row>
    <row r="246" spans="1:4" x14ac:dyDescent="0.2">
      <c r="A246" s="14">
        <v>40878</v>
      </c>
      <c r="B246" s="18">
        <f>VLOOKUP(A246,Database!A:K,MATCH($A$1,Database!$A$1:$K$1,),)</f>
        <v>45291</v>
      </c>
      <c r="C246" s="15">
        <f t="shared" si="6"/>
        <v>-7.2552715795011179E-3</v>
      </c>
      <c r="D246" s="16">
        <f t="shared" si="7"/>
        <v>9.7192276944693429E-2</v>
      </c>
    </row>
    <row r="247" spans="1:4" x14ac:dyDescent="0.2">
      <c r="A247" s="13">
        <v>40909</v>
      </c>
      <c r="B247" s="18">
        <f>VLOOKUP(A247,Database!A:K,MATCH($A$1,Database!$A$1:$K$1,),)</f>
        <v>45752</v>
      </c>
      <c r="C247" s="15">
        <f t="shared" si="6"/>
        <v>1.0178622684418537E-2</v>
      </c>
      <c r="D247" s="16">
        <f t="shared" si="7"/>
        <v>9.5121834458327351E-2</v>
      </c>
    </row>
    <row r="248" spans="1:4" x14ac:dyDescent="0.2">
      <c r="A248" s="14">
        <v>40940</v>
      </c>
      <c r="B248" s="18">
        <f>VLOOKUP(A248,Database!A:K,MATCH($A$1,Database!$A$1:$K$1,),)</f>
        <v>47171</v>
      </c>
      <c r="C248" s="15">
        <f t="shared" si="6"/>
        <v>3.1015037593984961E-2</v>
      </c>
      <c r="D248" s="16">
        <f t="shared" si="7"/>
        <v>0.11531186456707808</v>
      </c>
    </row>
    <row r="249" spans="1:4" x14ac:dyDescent="0.2">
      <c r="A249" s="13">
        <v>40969</v>
      </c>
      <c r="B249" s="18">
        <f>VLOOKUP(A249,Database!A:K,MATCH($A$1,Database!$A$1:$K$1,),)</f>
        <v>47541</v>
      </c>
      <c r="C249" s="15">
        <f t="shared" si="6"/>
        <v>7.8438023361811285E-3</v>
      </c>
      <c r="D249" s="16">
        <f t="shared" si="7"/>
        <v>8.4841293384752298E-2</v>
      </c>
    </row>
    <row r="250" spans="1:4" x14ac:dyDescent="0.2">
      <c r="A250" s="14">
        <v>41000</v>
      </c>
      <c r="B250" s="18">
        <f>VLOOKUP(A250,Database!A:K,MATCH($A$1,Database!$A$1:$K$1,),)</f>
        <v>47006</v>
      </c>
      <c r="C250" s="15">
        <f t="shared" si="6"/>
        <v>-1.1253444395364002E-2</v>
      </c>
      <c r="D250" s="16">
        <f t="shared" si="7"/>
        <v>5.3851672495740292E-2</v>
      </c>
    </row>
    <row r="251" spans="1:4" x14ac:dyDescent="0.2">
      <c r="A251" s="13">
        <v>41030</v>
      </c>
      <c r="B251" s="18">
        <f>VLOOKUP(A251,Database!A:K,MATCH($A$1,Database!$A$1:$K$1,),)</f>
        <v>45808</v>
      </c>
      <c r="C251" s="15">
        <f t="shared" si="6"/>
        <v>-2.5486108156405566E-2</v>
      </c>
      <c r="D251" s="16">
        <f t="shared" si="7"/>
        <v>1.1214128035320089E-2</v>
      </c>
    </row>
    <row r="252" spans="1:4" x14ac:dyDescent="0.2">
      <c r="A252" s="14">
        <v>41061</v>
      </c>
      <c r="B252" s="18">
        <f>VLOOKUP(A252,Database!A:K,MATCH($A$1,Database!$A$1:$K$1,),)</f>
        <v>43646</v>
      </c>
      <c r="C252" s="15">
        <f t="shared" si="6"/>
        <v>-4.7196996157876356E-2</v>
      </c>
      <c r="D252" s="16">
        <f t="shared" si="7"/>
        <v>-2.169722508629578E-2</v>
      </c>
    </row>
    <row r="253" spans="1:4" x14ac:dyDescent="0.2">
      <c r="A253" s="13">
        <v>41091</v>
      </c>
      <c r="B253" s="18">
        <f>VLOOKUP(A253,Database!A:K,MATCH($A$1,Database!$A$1:$K$1,),)</f>
        <v>43484</v>
      </c>
      <c r="C253" s="15">
        <f t="shared" si="6"/>
        <v>-3.7116803372588551E-3</v>
      </c>
      <c r="D253" s="16">
        <f t="shared" si="7"/>
        <v>-2.8377351745095411E-2</v>
      </c>
    </row>
    <row r="254" spans="1:4" x14ac:dyDescent="0.2">
      <c r="A254" s="14">
        <v>41122</v>
      </c>
      <c r="B254" s="18">
        <f>VLOOKUP(A254,Database!A:K,MATCH($A$1,Database!$A$1:$K$1,),)</f>
        <v>46391</v>
      </c>
      <c r="C254" s="15">
        <f t="shared" si="6"/>
        <v>6.6852175512832304E-2</v>
      </c>
      <c r="D254" s="16">
        <f t="shared" si="7"/>
        <v>2.9195784803105935E-2</v>
      </c>
    </row>
    <row r="255" spans="1:4" x14ac:dyDescent="0.2">
      <c r="A255" s="13">
        <v>41153</v>
      </c>
      <c r="B255" s="18">
        <f>VLOOKUP(A255,Database!A:K,MATCH($A$1,Database!$A$1:$K$1,),)</f>
        <v>47107</v>
      </c>
      <c r="C255" s="15">
        <f t="shared" si="6"/>
        <v>1.5434028152012244E-2</v>
      </c>
      <c r="D255" s="16">
        <f t="shared" si="7"/>
        <v>4.491814915043698E-2</v>
      </c>
    </row>
    <row r="256" spans="1:4" x14ac:dyDescent="0.2">
      <c r="A256" s="14">
        <v>41183</v>
      </c>
      <c r="B256" s="18">
        <f>VLOOKUP(A256,Database!A:K,MATCH($A$1,Database!$A$1:$K$1,),)</f>
        <v>47976</v>
      </c>
      <c r="C256" s="15">
        <f t="shared" si="6"/>
        <v>1.8447364510582293E-2</v>
      </c>
      <c r="D256" s="16">
        <f t="shared" si="7"/>
        <v>6.9794407527984659E-2</v>
      </c>
    </row>
    <row r="257" spans="1:4" x14ac:dyDescent="0.2">
      <c r="A257" s="13">
        <v>41214</v>
      </c>
      <c r="B257" s="18">
        <f>VLOOKUP(A257,Database!A:K,MATCH($A$1,Database!$A$1:$K$1,),)</f>
        <v>46822</v>
      </c>
      <c r="C257" s="15">
        <f t="shared" si="6"/>
        <v>-2.4053693513423378E-2</v>
      </c>
      <c r="D257" s="16">
        <f t="shared" si="7"/>
        <v>2.6303099381877165E-2</v>
      </c>
    </row>
    <row r="258" spans="1:4" x14ac:dyDescent="0.2">
      <c r="A258" s="14">
        <v>41244</v>
      </c>
      <c r="B258" s="18">
        <f>VLOOKUP(A258,Database!A:K,MATCH($A$1,Database!$A$1:$K$1,),)</f>
        <v>45886</v>
      </c>
      <c r="C258" s="15">
        <f t="shared" si="6"/>
        <v>-1.9990602708128656E-2</v>
      </c>
      <c r="D258" s="16">
        <f t="shared" si="7"/>
        <v>1.3137267889867745E-2</v>
      </c>
    </row>
    <row r="259" spans="1:4" x14ac:dyDescent="0.2">
      <c r="A259" s="13">
        <v>41275</v>
      </c>
      <c r="B259" s="18">
        <f>VLOOKUP(A259,Database!A:K,MATCH($A$1,Database!$A$1:$K$1,),)</f>
        <v>46044</v>
      </c>
      <c r="C259" s="15">
        <f t="shared" si="6"/>
        <v>3.4433160441093144E-3</v>
      </c>
      <c r="D259" s="16">
        <f t="shared" si="7"/>
        <v>6.3822346564084628E-3</v>
      </c>
    </row>
    <row r="260" spans="1:4" x14ac:dyDescent="0.2">
      <c r="A260" s="14">
        <v>41306</v>
      </c>
      <c r="B260" s="18">
        <f>VLOOKUP(A260,Database!A:K,MATCH($A$1,Database!$A$1:$K$1,),)</f>
        <v>49046</v>
      </c>
      <c r="C260" s="15">
        <f t="shared" si="6"/>
        <v>6.5198505777082791E-2</v>
      </c>
      <c r="D260" s="16">
        <f t="shared" si="7"/>
        <v>3.9748998325242202E-2</v>
      </c>
    </row>
    <row r="261" spans="1:4" x14ac:dyDescent="0.2">
      <c r="A261" s="13">
        <v>41334</v>
      </c>
      <c r="B261" s="18">
        <f>VLOOKUP(A261,Database!A:K,MATCH($A$1,Database!$A$1:$K$1,),)</f>
        <v>47587</v>
      </c>
      <c r="C261" s="15">
        <f t="shared" si="6"/>
        <v>-2.9747583900827795E-2</v>
      </c>
      <c r="D261" s="16">
        <f t="shared" si="7"/>
        <v>9.6758587324625057E-4</v>
      </c>
    </row>
    <row r="262" spans="1:4" x14ac:dyDescent="0.2">
      <c r="A262" s="14">
        <v>41365</v>
      </c>
      <c r="B262" s="18">
        <f>VLOOKUP(A262,Database!A:K,MATCH($A$1,Database!$A$1:$K$1,),)</f>
        <v>46169</v>
      </c>
      <c r="C262" s="15">
        <f t="shared" si="6"/>
        <v>-2.9798054090402842E-2</v>
      </c>
      <c r="D262" s="16">
        <f t="shared" si="7"/>
        <v>-1.7806237501595542E-2</v>
      </c>
    </row>
    <row r="263" spans="1:4" x14ac:dyDescent="0.2">
      <c r="A263" s="13">
        <v>41395</v>
      </c>
      <c r="B263" s="18">
        <f>VLOOKUP(A263,Database!A:K,MATCH($A$1,Database!$A$1:$K$1,),)</f>
        <v>45593</v>
      </c>
      <c r="C263" s="15">
        <f t="shared" si="6"/>
        <v>-1.2475903744937079E-2</v>
      </c>
      <c r="D263" s="16">
        <f t="shared" si="7"/>
        <v>-4.6935033181976947E-3</v>
      </c>
    </row>
    <row r="264" spans="1:4" x14ac:dyDescent="0.2">
      <c r="A264" s="14">
        <v>41426</v>
      </c>
      <c r="B264" s="18">
        <f>VLOOKUP(A264,Database!A:K,MATCH($A$1,Database!$A$1:$K$1,),)</f>
        <v>45828</v>
      </c>
      <c r="C264" s="15">
        <f t="shared" si="6"/>
        <v>5.154300002193319E-3</v>
      </c>
      <c r="D264" s="16">
        <f t="shared" si="7"/>
        <v>4.9993126517893963E-2</v>
      </c>
    </row>
    <row r="265" spans="1:4" x14ac:dyDescent="0.2">
      <c r="A265" s="13">
        <v>41456</v>
      </c>
      <c r="B265" s="18">
        <f>VLOOKUP(A265,Database!A:K,MATCH($A$1,Database!$A$1:$K$1,),)</f>
        <v>46006</v>
      </c>
      <c r="C265" s="15">
        <f t="shared" ref="C265:C320" si="8">(B265-B264)/B264</f>
        <v>3.8840883302784326E-3</v>
      </c>
      <c r="D265" s="16">
        <f t="shared" si="7"/>
        <v>5.7998344218563147E-2</v>
      </c>
    </row>
    <row r="266" spans="1:4" x14ac:dyDescent="0.2">
      <c r="A266" s="14">
        <v>41487</v>
      </c>
      <c r="B266" s="18">
        <f>VLOOKUP(A266,Database!A:K,MATCH($A$1,Database!$A$1:$K$1,),)</f>
        <v>45638</v>
      </c>
      <c r="C266" s="15">
        <f t="shared" si="8"/>
        <v>-7.9989566578272404E-3</v>
      </c>
      <c r="D266" s="16">
        <f t="shared" si="7"/>
        <v>-1.6231596645901146E-2</v>
      </c>
    </row>
    <row r="267" spans="1:4" x14ac:dyDescent="0.2">
      <c r="A267" s="13">
        <v>41518</v>
      </c>
      <c r="B267" s="18">
        <f>VLOOKUP(A267,Database!A:K,MATCH($A$1,Database!$A$1:$K$1,),)</f>
        <v>45752</v>
      </c>
      <c r="C267" s="15">
        <f t="shared" si="8"/>
        <v>2.4979184013322231E-3</v>
      </c>
      <c r="D267" s="16">
        <f t="shared" si="7"/>
        <v>-2.876430254526928E-2</v>
      </c>
    </row>
    <row r="268" spans="1:4" x14ac:dyDescent="0.2">
      <c r="A268" s="14">
        <v>41548</v>
      </c>
      <c r="B268" s="18">
        <f>VLOOKUP(A268,Database!A:K,MATCH($A$1,Database!$A$1:$K$1,),)</f>
        <v>45075</v>
      </c>
      <c r="C268" s="15">
        <f t="shared" si="8"/>
        <v>-1.4797167336947019E-2</v>
      </c>
      <c r="D268" s="16">
        <f t="shared" si="7"/>
        <v>-6.0467733866933465E-2</v>
      </c>
    </row>
    <row r="269" spans="1:4" x14ac:dyDescent="0.2">
      <c r="A269" s="13">
        <v>41579</v>
      </c>
      <c r="B269" s="18">
        <f>VLOOKUP(A269,Database!A:K,MATCH($A$1,Database!$A$1:$K$1,),)</f>
        <v>44723</v>
      </c>
      <c r="C269" s="15">
        <f t="shared" si="8"/>
        <v>-7.8092068774265116E-3</v>
      </c>
      <c r="D269" s="16">
        <f t="shared" si="7"/>
        <v>-4.4829353722609031E-2</v>
      </c>
    </row>
    <row r="270" spans="1:4" x14ac:dyDescent="0.2">
      <c r="A270" s="14">
        <v>41609</v>
      </c>
      <c r="B270" s="18">
        <f>VLOOKUP(A270,Database!A:K,MATCH($A$1,Database!$A$1:$K$1,),)</f>
        <v>46672</v>
      </c>
      <c r="C270" s="15">
        <f t="shared" si="8"/>
        <v>4.35793663215795E-2</v>
      </c>
      <c r="D270" s="16">
        <f t="shared" si="7"/>
        <v>1.7129407662467854E-2</v>
      </c>
    </row>
    <row r="271" spans="1:4" x14ac:dyDescent="0.2">
      <c r="A271" s="13">
        <v>41640</v>
      </c>
      <c r="B271" s="18">
        <f>VLOOKUP(A271,Database!A:K,MATCH($A$1,Database!$A$1:$K$1,),)</f>
        <v>47135</v>
      </c>
      <c r="C271" s="15">
        <f t="shared" si="8"/>
        <v>9.9202948234487481E-3</v>
      </c>
      <c r="D271" s="16">
        <f t="shared" si="7"/>
        <v>2.3694726783077057E-2</v>
      </c>
    </row>
    <row r="272" spans="1:4" x14ac:dyDescent="0.2">
      <c r="A272" s="14">
        <v>41671</v>
      </c>
      <c r="B272" s="18">
        <f>VLOOKUP(A272,Database!A:K,MATCH($A$1,Database!$A$1:$K$1,),)</f>
        <v>47522</v>
      </c>
      <c r="C272" s="15">
        <f t="shared" si="8"/>
        <v>8.2104593189774051E-3</v>
      </c>
      <c r="D272" s="16">
        <f t="shared" si="7"/>
        <v>-3.1072870366594625E-2</v>
      </c>
    </row>
    <row r="273" spans="1:4" x14ac:dyDescent="0.2">
      <c r="A273" s="13">
        <v>41699</v>
      </c>
      <c r="B273" s="18">
        <f>VLOOKUP(A273,Database!A:K,MATCH($A$1,Database!$A$1:$K$1,),)</f>
        <v>46868</v>
      </c>
      <c r="C273" s="15">
        <f t="shared" si="8"/>
        <v>-1.3762047051891756E-2</v>
      </c>
      <c r="D273" s="16">
        <f t="shared" si="7"/>
        <v>-1.5109168470380565E-2</v>
      </c>
    </row>
    <row r="274" spans="1:4" x14ac:dyDescent="0.2">
      <c r="A274" s="14">
        <v>41730</v>
      </c>
      <c r="B274" s="18">
        <f>VLOOKUP(A274,Database!A:K,MATCH($A$1,Database!$A$1:$K$1,),)</f>
        <v>47088</v>
      </c>
      <c r="C274" s="15">
        <f t="shared" si="8"/>
        <v>4.6940343091234956E-3</v>
      </c>
      <c r="D274" s="16">
        <f t="shared" si="7"/>
        <v>1.9905131148606207E-2</v>
      </c>
    </row>
    <row r="275" spans="1:4" x14ac:dyDescent="0.2">
      <c r="A275" s="13">
        <v>41760</v>
      </c>
      <c r="B275" s="18">
        <f>VLOOKUP(A275,Database!A:K,MATCH($A$1,Database!$A$1:$K$1,),)</f>
        <v>46787</v>
      </c>
      <c r="C275" s="15">
        <f t="shared" si="8"/>
        <v>-6.3922867821950393E-3</v>
      </c>
      <c r="D275" s="16">
        <f t="shared" si="7"/>
        <v>2.6188230649441799E-2</v>
      </c>
    </row>
    <row r="276" spans="1:4" x14ac:dyDescent="0.2">
      <c r="A276" s="14">
        <v>41791</v>
      </c>
      <c r="B276" s="18">
        <f>VLOOKUP(A276,Database!A:K,MATCH($A$1,Database!$A$1:$K$1,),)</f>
        <v>45784</v>
      </c>
      <c r="C276" s="15">
        <f t="shared" si="8"/>
        <v>-2.1437578814627996E-2</v>
      </c>
      <c r="D276" s="16">
        <f t="shared" ref="D276:D320" si="9">(B276-B264)/B264</f>
        <v>-9.6011172209129793E-4</v>
      </c>
    </row>
    <row r="277" spans="1:4" x14ac:dyDescent="0.2">
      <c r="A277" s="13">
        <v>41821</v>
      </c>
      <c r="B277" s="18">
        <f>VLOOKUP(A277,Database!A:K,MATCH($A$1,Database!$A$1:$K$1,),)</f>
        <v>45815</v>
      </c>
      <c r="C277" s="15">
        <f t="shared" si="8"/>
        <v>6.7709243403809194E-4</v>
      </c>
      <c r="D277" s="16">
        <f t="shared" si="9"/>
        <v>-4.1516323957744641E-3</v>
      </c>
    </row>
    <row r="278" spans="1:4" x14ac:dyDescent="0.2">
      <c r="A278" s="14">
        <v>41852</v>
      </c>
      <c r="B278" s="18">
        <f>VLOOKUP(A278,Database!A:K,MATCH($A$1,Database!$A$1:$K$1,),)</f>
        <v>45873</v>
      </c>
      <c r="C278" s="15">
        <f t="shared" si="8"/>
        <v>1.265960929826476E-3</v>
      </c>
      <c r="D278" s="16">
        <f t="shared" si="9"/>
        <v>5.1492177571322148E-3</v>
      </c>
    </row>
    <row r="279" spans="1:4" x14ac:dyDescent="0.2">
      <c r="A279" s="13">
        <v>41883</v>
      </c>
      <c r="B279" s="18">
        <f>VLOOKUP(A279,Database!A:K,MATCH($A$1,Database!$A$1:$K$1,),)</f>
        <v>45440</v>
      </c>
      <c r="C279" s="15">
        <f t="shared" si="8"/>
        <v>-9.439103612146579E-3</v>
      </c>
      <c r="D279" s="16">
        <f t="shared" si="9"/>
        <v>-6.8193740164364403E-3</v>
      </c>
    </row>
    <row r="280" spans="1:4" x14ac:dyDescent="0.2">
      <c r="A280" s="14">
        <v>41913</v>
      </c>
      <c r="B280" s="18">
        <f>VLOOKUP(A280,Database!A:K,MATCH($A$1,Database!$A$1:$K$1,),)</f>
        <v>44512</v>
      </c>
      <c r="C280" s="15">
        <f t="shared" si="8"/>
        <v>-2.0422535211267606E-2</v>
      </c>
      <c r="D280" s="16">
        <f t="shared" si="9"/>
        <v>-1.2490293954520244E-2</v>
      </c>
    </row>
    <row r="281" spans="1:4" x14ac:dyDescent="0.2">
      <c r="A281" s="13">
        <v>41944</v>
      </c>
      <c r="B281" s="18">
        <f>VLOOKUP(A281,Database!A:K,MATCH($A$1,Database!$A$1:$K$1,),)</f>
        <v>43641</v>
      </c>
      <c r="C281" s="15">
        <f t="shared" si="8"/>
        <v>-1.9567757009345793E-2</v>
      </c>
      <c r="D281" s="16">
        <f t="shared" si="9"/>
        <v>-2.4193368065648549E-2</v>
      </c>
    </row>
    <row r="282" spans="1:4" x14ac:dyDescent="0.2">
      <c r="A282" s="14">
        <v>41974</v>
      </c>
      <c r="B282" s="18">
        <f>VLOOKUP(A282,Database!A:K,MATCH($A$1,Database!$A$1:$K$1,),)</f>
        <v>40499</v>
      </c>
      <c r="C282" s="15">
        <f t="shared" si="8"/>
        <v>-7.1996517036731517E-2</v>
      </c>
      <c r="D282" s="16">
        <f t="shared" si="9"/>
        <v>-0.13226345560507372</v>
      </c>
    </row>
    <row r="283" spans="1:4" x14ac:dyDescent="0.2">
      <c r="A283" s="13">
        <v>42005</v>
      </c>
      <c r="B283" s="18">
        <f>VLOOKUP(A283,Database!A:K,MATCH($A$1,Database!$A$1:$K$1,),)</f>
        <v>36581</v>
      </c>
      <c r="C283" s="15">
        <f t="shared" si="8"/>
        <v>-9.6743129459986671E-2</v>
      </c>
      <c r="D283" s="16">
        <f t="shared" si="9"/>
        <v>-0.22391004561366287</v>
      </c>
    </row>
    <row r="284" spans="1:4" x14ac:dyDescent="0.2">
      <c r="A284" s="14">
        <v>42036</v>
      </c>
      <c r="B284" s="18">
        <f>VLOOKUP(A284,Database!A:K,MATCH($A$1,Database!$A$1:$K$1,),)</f>
        <v>37808</v>
      </c>
      <c r="C284" s="15">
        <f t="shared" si="8"/>
        <v>3.3542002678986362E-2</v>
      </c>
      <c r="D284" s="16">
        <f t="shared" si="9"/>
        <v>-0.20441058877993351</v>
      </c>
    </row>
    <row r="285" spans="1:4" x14ac:dyDescent="0.2">
      <c r="A285" s="13">
        <v>42064</v>
      </c>
      <c r="B285" s="18">
        <f>VLOOKUP(A285,Database!A:K,MATCH($A$1,Database!$A$1:$K$1,),)</f>
        <v>38377</v>
      </c>
      <c r="C285" s="15">
        <f t="shared" si="8"/>
        <v>1.50497249259416E-2</v>
      </c>
      <c r="D285" s="16">
        <f t="shared" si="9"/>
        <v>-0.18116838781258002</v>
      </c>
    </row>
    <row r="286" spans="1:4" x14ac:dyDescent="0.2">
      <c r="A286" s="14">
        <v>42095</v>
      </c>
      <c r="B286" s="18">
        <f>VLOOKUP(A286,Database!A:K,MATCH($A$1,Database!$A$1:$K$1,),)</f>
        <v>37832</v>
      </c>
      <c r="C286" s="15">
        <f t="shared" si="8"/>
        <v>-1.4201214268963182E-2</v>
      </c>
      <c r="D286" s="16">
        <f t="shared" si="9"/>
        <v>-0.1965681277607883</v>
      </c>
    </row>
    <row r="287" spans="1:4" x14ac:dyDescent="0.2">
      <c r="A287" s="13">
        <v>42125</v>
      </c>
      <c r="B287" s="18">
        <f>VLOOKUP(A287,Database!A:K,MATCH($A$1,Database!$A$1:$K$1,),)</f>
        <v>39269</v>
      </c>
      <c r="C287" s="15">
        <f t="shared" si="8"/>
        <v>3.7983717487840983E-2</v>
      </c>
      <c r="D287" s="16">
        <f t="shared" si="9"/>
        <v>-0.16068566054673306</v>
      </c>
    </row>
    <row r="288" spans="1:4" x14ac:dyDescent="0.2">
      <c r="A288" s="14">
        <v>42156</v>
      </c>
      <c r="B288" s="18">
        <f>VLOOKUP(A288,Database!A:K,MATCH($A$1,Database!$A$1:$K$1,),)</f>
        <v>39887</v>
      </c>
      <c r="C288" s="15">
        <f t="shared" si="8"/>
        <v>1.5737604726374494E-2</v>
      </c>
      <c r="D288" s="16">
        <f t="shared" si="9"/>
        <v>-0.12880045430718154</v>
      </c>
    </row>
    <row r="289" spans="1:4" x14ac:dyDescent="0.2">
      <c r="A289" s="13">
        <v>42186</v>
      </c>
      <c r="B289" s="18">
        <f>VLOOKUP(A289,Database!A:K,MATCH($A$1,Database!$A$1:$K$1,),)</f>
        <v>40293</v>
      </c>
      <c r="C289" s="15">
        <f t="shared" si="8"/>
        <v>1.0178754982826485E-2</v>
      </c>
      <c r="D289" s="16">
        <f t="shared" si="9"/>
        <v>-0.12052821128451381</v>
      </c>
    </row>
    <row r="290" spans="1:4" x14ac:dyDescent="0.2">
      <c r="A290" s="14">
        <v>42217</v>
      </c>
      <c r="B290" s="18">
        <f>VLOOKUP(A290,Database!A:K,MATCH($A$1,Database!$A$1:$K$1,),)</f>
        <v>39229</v>
      </c>
      <c r="C290" s="15">
        <f t="shared" si="8"/>
        <v>-2.6406571861117317E-2</v>
      </c>
      <c r="D290" s="16">
        <f t="shared" si="9"/>
        <v>-0.14483465219192118</v>
      </c>
    </row>
    <row r="291" spans="1:4" x14ac:dyDescent="0.2">
      <c r="A291" s="13">
        <v>42248</v>
      </c>
      <c r="B291" s="18">
        <f>VLOOKUP(A291,Database!A:K,MATCH($A$1,Database!$A$1:$K$1,),)</f>
        <v>36953</v>
      </c>
      <c r="C291" s="15">
        <f t="shared" si="8"/>
        <v>-5.8018302786204082E-2</v>
      </c>
      <c r="D291" s="16">
        <f t="shared" si="9"/>
        <v>-0.1867737676056338</v>
      </c>
    </row>
    <row r="292" spans="1:4" x14ac:dyDescent="0.2">
      <c r="A292" s="14">
        <v>42278</v>
      </c>
      <c r="B292" s="18">
        <f>VLOOKUP(A292,Database!A:K,MATCH($A$1,Database!$A$1:$K$1,),)</f>
        <v>36566</v>
      </c>
      <c r="C292" s="15">
        <f t="shared" si="8"/>
        <v>-1.0472762698563039E-2</v>
      </c>
      <c r="D292" s="16">
        <f t="shared" si="9"/>
        <v>-0.17851365923795831</v>
      </c>
    </row>
    <row r="293" spans="1:4" x14ac:dyDescent="0.2">
      <c r="A293" s="13">
        <v>42309</v>
      </c>
      <c r="B293" s="18">
        <f>VLOOKUP(A293,Database!A:K,MATCH($A$1,Database!$A$1:$K$1,),)</f>
        <v>36134</v>
      </c>
      <c r="C293" s="15">
        <f t="shared" si="8"/>
        <v>-1.181425367828037E-2</v>
      </c>
      <c r="D293" s="16">
        <f t="shared" si="9"/>
        <v>-0.17201713984555808</v>
      </c>
    </row>
    <row r="294" spans="1:4" x14ac:dyDescent="0.2">
      <c r="A294" s="14">
        <v>42339</v>
      </c>
      <c r="B294" s="18">
        <f>VLOOKUP(A294,Database!A:K,MATCH($A$1,Database!$A$1:$K$1,),)</f>
        <v>35976</v>
      </c>
      <c r="C294" s="15">
        <f t="shared" si="8"/>
        <v>-4.3726130514197157E-3</v>
      </c>
      <c r="D294" s="16">
        <f t="shared" si="9"/>
        <v>-0.11168176992024495</v>
      </c>
    </row>
    <row r="295" spans="1:4" x14ac:dyDescent="0.2">
      <c r="A295" s="13">
        <v>42370</v>
      </c>
      <c r="B295" s="18">
        <f>VLOOKUP(A295,Database!A:K,MATCH($A$1,Database!$A$1:$K$1,),)</f>
        <v>34498</v>
      </c>
      <c r="C295" s="15">
        <f t="shared" si="8"/>
        <v>-4.1082944185012231E-2</v>
      </c>
      <c r="D295" s="16">
        <f t="shared" si="9"/>
        <v>-5.6942128427325663E-2</v>
      </c>
    </row>
    <row r="296" spans="1:4" x14ac:dyDescent="0.2">
      <c r="A296" s="14">
        <v>42401</v>
      </c>
      <c r="B296" s="18">
        <f>VLOOKUP(A296,Database!A:K,MATCH($A$1,Database!$A$1:$K$1,),)</f>
        <v>32865</v>
      </c>
      <c r="C296" s="15">
        <f t="shared" si="8"/>
        <v>-4.7336077453765439E-2</v>
      </c>
      <c r="D296" s="16">
        <f t="shared" si="9"/>
        <v>-0.13073952602623784</v>
      </c>
    </row>
    <row r="297" spans="1:4" x14ac:dyDescent="0.2">
      <c r="A297" s="13">
        <v>42430</v>
      </c>
      <c r="B297" s="18">
        <f>VLOOKUP(A297,Database!A:K,MATCH($A$1,Database!$A$1:$K$1,),)</f>
        <v>34202</v>
      </c>
      <c r="C297" s="15">
        <f t="shared" si="8"/>
        <v>4.0681576144834933E-2</v>
      </c>
      <c r="D297" s="16">
        <f t="shared" si="9"/>
        <v>-0.10878911848242437</v>
      </c>
    </row>
    <row r="298" spans="1:4" x14ac:dyDescent="0.2">
      <c r="A298" s="14">
        <v>42461</v>
      </c>
      <c r="B298" s="18">
        <f>VLOOKUP(A298,Database!A:K,MATCH($A$1,Database!$A$1:$K$1,),)</f>
        <v>35101</v>
      </c>
      <c r="C298" s="15">
        <f t="shared" si="8"/>
        <v>2.6285012572364191E-2</v>
      </c>
      <c r="D298" s="16">
        <f t="shared" si="9"/>
        <v>-7.2187566081624022E-2</v>
      </c>
    </row>
    <row r="299" spans="1:4" x14ac:dyDescent="0.2">
      <c r="A299" s="13">
        <v>42491</v>
      </c>
      <c r="B299" s="18">
        <f>VLOOKUP(A299,Database!A:K,MATCH($A$1,Database!$A$1:$K$1,),)</f>
        <v>36033</v>
      </c>
      <c r="C299" s="15">
        <f t="shared" si="8"/>
        <v>2.6551950086892113E-2</v>
      </c>
      <c r="D299" s="16">
        <f t="shared" si="9"/>
        <v>-8.240596908502891E-2</v>
      </c>
    </row>
    <row r="300" spans="1:4" x14ac:dyDescent="0.2">
      <c r="A300" s="14">
        <v>42522</v>
      </c>
      <c r="B300" s="18">
        <f>VLOOKUP(A300,Database!A:K,MATCH($A$1,Database!$A$1:$K$1,),)</f>
        <v>37267</v>
      </c>
      <c r="C300" s="15">
        <f t="shared" si="8"/>
        <v>3.4246385257957986E-2</v>
      </c>
      <c r="D300" s="16">
        <f t="shared" si="9"/>
        <v>-6.5685561711835941E-2</v>
      </c>
    </row>
    <row r="301" spans="1:4" x14ac:dyDescent="0.2">
      <c r="A301" s="13">
        <v>42552</v>
      </c>
      <c r="B301" s="18">
        <f>VLOOKUP(A301,Database!A:K,MATCH($A$1,Database!$A$1:$K$1,),)</f>
        <v>36807</v>
      </c>
      <c r="C301" s="15">
        <f t="shared" si="8"/>
        <v>-1.2343360077280168E-2</v>
      </c>
      <c r="D301" s="16">
        <f t="shared" si="9"/>
        <v>-8.6516268334450155E-2</v>
      </c>
    </row>
    <row r="302" spans="1:4" x14ac:dyDescent="0.2">
      <c r="A302" s="14">
        <v>42583</v>
      </c>
      <c r="B302" s="18">
        <f>VLOOKUP(A302,Database!A:K,MATCH($A$1,Database!$A$1:$K$1,),)</f>
        <v>36018</v>
      </c>
      <c r="C302" s="15">
        <f t="shared" si="8"/>
        <v>-2.1436139864699649E-2</v>
      </c>
      <c r="D302" s="16">
        <f t="shared" si="9"/>
        <v>-8.1852711004613929E-2</v>
      </c>
    </row>
    <row r="303" spans="1:4" x14ac:dyDescent="0.2">
      <c r="A303" s="13">
        <v>42614</v>
      </c>
      <c r="B303" s="18">
        <f>VLOOKUP(A303,Database!A:K,MATCH($A$1,Database!$A$1:$K$1,),)</f>
        <v>36963</v>
      </c>
      <c r="C303" s="15">
        <f t="shared" si="8"/>
        <v>2.6236881559220389E-2</v>
      </c>
      <c r="D303" s="16">
        <f t="shared" si="9"/>
        <v>2.7061402321868318E-4</v>
      </c>
    </row>
    <row r="304" spans="1:4" x14ac:dyDescent="0.2">
      <c r="A304" s="14">
        <v>42644</v>
      </c>
      <c r="B304" s="18">
        <f>VLOOKUP(A304,Database!A:K,MATCH($A$1,Database!$A$1:$K$1,),)</f>
        <v>37953</v>
      </c>
      <c r="C304" s="15">
        <f t="shared" si="8"/>
        <v>2.678354029705381E-2</v>
      </c>
      <c r="D304" s="16">
        <f t="shared" si="9"/>
        <v>3.793141169392332E-2</v>
      </c>
    </row>
    <row r="305" spans="1:4" x14ac:dyDescent="0.2">
      <c r="A305" s="13">
        <v>42675</v>
      </c>
      <c r="B305" s="18">
        <f>VLOOKUP(A305,Database!A:K,MATCH($A$1,Database!$A$1:$K$1,),)</f>
        <v>37578</v>
      </c>
      <c r="C305" s="15">
        <f t="shared" si="8"/>
        <v>-9.8806418464943476E-3</v>
      </c>
      <c r="D305" s="16">
        <f t="shared" si="9"/>
        <v>3.9962362318038409E-2</v>
      </c>
    </row>
    <row r="306" spans="1:4" x14ac:dyDescent="0.2">
      <c r="A306" s="14">
        <v>42705</v>
      </c>
      <c r="B306" s="18">
        <f>VLOOKUP(A306,Database!A:K,MATCH($A$1,Database!$A$1:$K$1,),)</f>
        <v>39400</v>
      </c>
      <c r="C306" s="15">
        <f t="shared" si="8"/>
        <v>4.8485816169035072E-2</v>
      </c>
      <c r="D306" s="16">
        <f t="shared" si="9"/>
        <v>9.5174560818323331E-2</v>
      </c>
    </row>
    <row r="307" spans="1:4" x14ac:dyDescent="0.2">
      <c r="A307" s="13">
        <v>42736</v>
      </c>
      <c r="B307" s="18">
        <f>VLOOKUP(A307,Database!A:K,MATCH($A$1,Database!$A$1:$K$1,),)</f>
        <v>39871</v>
      </c>
      <c r="C307" s="15">
        <f t="shared" si="8"/>
        <v>1.1954314720812183E-2</v>
      </c>
      <c r="D307" s="16">
        <f t="shared" si="9"/>
        <v>0.15574815931358341</v>
      </c>
    </row>
    <row r="308" spans="1:4" x14ac:dyDescent="0.2">
      <c r="A308" s="14">
        <v>42767</v>
      </c>
      <c r="B308" s="18">
        <f>VLOOKUP(A308,Database!A:K,MATCH($A$1,Database!$A$1:$K$1,),)</f>
        <v>40106</v>
      </c>
      <c r="C308" s="15">
        <f t="shared" si="8"/>
        <v>5.8940081763687894E-3</v>
      </c>
      <c r="D308" s="16">
        <f t="shared" si="9"/>
        <v>0.22032557431918454</v>
      </c>
    </row>
    <row r="309" spans="1:4" x14ac:dyDescent="0.2">
      <c r="A309" s="13">
        <v>42795</v>
      </c>
      <c r="B309" s="18">
        <f>VLOOKUP(A309,Database!A:K,MATCH($A$1,Database!$A$1:$K$1,),)</f>
        <v>39779</v>
      </c>
      <c r="C309" s="15">
        <f t="shared" si="8"/>
        <v>-8.1533935072059041E-3</v>
      </c>
      <c r="D309" s="16">
        <f t="shared" si="9"/>
        <v>0.16306063972867083</v>
      </c>
    </row>
    <row r="310" spans="1:4" x14ac:dyDescent="0.2">
      <c r="A310" s="14">
        <v>42826</v>
      </c>
      <c r="B310" s="18">
        <f>VLOOKUP(A310,Database!A:K,MATCH($A$1,Database!$A$1:$K$1,),)</f>
        <v>39539</v>
      </c>
      <c r="C310" s="15">
        <f t="shared" si="8"/>
        <v>-6.0333341712964124E-3</v>
      </c>
      <c r="D310" s="16">
        <f t="shared" si="9"/>
        <v>0.12643514429788325</v>
      </c>
    </row>
    <row r="311" spans="1:4" x14ac:dyDescent="0.2">
      <c r="A311" s="13">
        <v>42856</v>
      </c>
      <c r="B311" s="18">
        <f>VLOOKUP(A311,Database!A:K,MATCH($A$1,Database!$A$1:$K$1,),)</f>
        <v>38057</v>
      </c>
      <c r="C311" s="15">
        <f t="shared" si="8"/>
        <v>-3.7481979817395483E-2</v>
      </c>
      <c r="D311" s="16">
        <f t="shared" si="9"/>
        <v>5.6170732384203372E-2</v>
      </c>
    </row>
    <row r="312" spans="1:4" x14ac:dyDescent="0.2">
      <c r="A312" s="14">
        <v>42887</v>
      </c>
      <c r="B312" s="18">
        <f>VLOOKUP(A312,Database!A:K,MATCH($A$1,Database!$A$1:$K$1,),)</f>
        <v>37633</v>
      </c>
      <c r="C312" s="15">
        <f t="shared" si="8"/>
        <v>-1.1141182962398508E-2</v>
      </c>
      <c r="D312" s="16">
        <f t="shared" si="9"/>
        <v>9.8210212788794379E-3</v>
      </c>
    </row>
    <row r="313" spans="1:4" x14ac:dyDescent="0.2">
      <c r="A313" s="13">
        <v>42917</v>
      </c>
      <c r="B313" s="18">
        <f>VLOOKUP(A313,Database!A:K,MATCH($A$1,Database!$A$1:$K$1,),)</f>
        <v>37545</v>
      </c>
      <c r="C313" s="15">
        <f t="shared" si="8"/>
        <v>-2.338373236255414E-3</v>
      </c>
      <c r="D313" s="16">
        <f t="shared" si="9"/>
        <v>2.0050533865840738E-2</v>
      </c>
    </row>
    <row r="314" spans="1:4" x14ac:dyDescent="0.2">
      <c r="A314" s="14">
        <v>42948</v>
      </c>
      <c r="B314" s="18">
        <f>VLOOKUP(A314,Database!A:K,MATCH($A$1,Database!$A$1:$K$1,),)</f>
        <v>38765</v>
      </c>
      <c r="C314" s="15">
        <f t="shared" si="8"/>
        <v>3.249434012518311E-2</v>
      </c>
      <c r="D314" s="16">
        <f t="shared" si="9"/>
        <v>7.626742184463324E-2</v>
      </c>
    </row>
    <row r="315" spans="1:4" x14ac:dyDescent="0.2">
      <c r="A315" s="13">
        <v>42979</v>
      </c>
      <c r="B315" s="18">
        <f>VLOOKUP(A315,Database!A:K,MATCH($A$1,Database!$A$1:$K$1,),)</f>
        <v>40820</v>
      </c>
      <c r="C315" s="15">
        <f t="shared" si="8"/>
        <v>5.3011737391977301E-2</v>
      </c>
      <c r="D315" s="16">
        <f t="shared" si="9"/>
        <v>0.10434759083407733</v>
      </c>
    </row>
    <row r="316" spans="1:4" x14ac:dyDescent="0.2">
      <c r="A316" s="14">
        <v>43009</v>
      </c>
      <c r="B316" s="18">
        <f>VLOOKUP(A316,Database!A:K,MATCH($A$1,Database!$A$1:$K$1,),)</f>
        <v>40940</v>
      </c>
      <c r="C316" s="15">
        <f t="shared" si="8"/>
        <v>2.9397354238118569E-3</v>
      </c>
      <c r="D316" s="16">
        <f t="shared" si="9"/>
        <v>7.8702605854609642E-2</v>
      </c>
    </row>
    <row r="317" spans="1:4" x14ac:dyDescent="0.2">
      <c r="A317" s="13">
        <v>43040</v>
      </c>
      <c r="B317" s="18">
        <f>VLOOKUP(A317,Database!A:K,MATCH($A$1,Database!$A$1:$K$1,),)</f>
        <v>42005</v>
      </c>
      <c r="C317" s="15">
        <f t="shared" si="8"/>
        <v>2.6013678553981436E-2</v>
      </c>
      <c r="D317" s="16">
        <f t="shared" si="9"/>
        <v>0.11780829208579488</v>
      </c>
    </row>
    <row r="318" spans="1:4" x14ac:dyDescent="0.2">
      <c r="A318" s="14">
        <v>43070</v>
      </c>
      <c r="B318" s="18">
        <f>VLOOKUP(A318,Database!A:K,MATCH($A$1,Database!$A$1:$K$1,),)</f>
        <v>42720</v>
      </c>
      <c r="C318" s="15">
        <f t="shared" si="8"/>
        <v>1.7021783121057017E-2</v>
      </c>
      <c r="D318" s="16">
        <f t="shared" si="9"/>
        <v>8.4263959390862939E-2</v>
      </c>
    </row>
    <row r="319" spans="1:4" x14ac:dyDescent="0.2">
      <c r="A319" s="13">
        <v>43101</v>
      </c>
      <c r="B319" s="18">
        <f>VLOOKUP(A319,Database!A:K,MATCH($A$1,Database!$A$1:$K$1,),)</f>
        <v>42760</v>
      </c>
      <c r="C319" s="15">
        <f t="shared" si="8"/>
        <v>9.3632958801498128E-4</v>
      </c>
      <c r="D319" s="16">
        <f t="shared" si="9"/>
        <v>7.2458679240550772E-2</v>
      </c>
    </row>
    <row r="320" spans="1:4" x14ac:dyDescent="0.2">
      <c r="A320" s="14">
        <v>43132</v>
      </c>
      <c r="B320" s="18">
        <f>VLOOKUP(A320,Database!A:K,MATCH($A$1,Database!$A$1:$K$1,),)</f>
        <v>43184</v>
      </c>
      <c r="C320" s="15">
        <f t="shared" si="8"/>
        <v>9.9158091674462108E-3</v>
      </c>
      <c r="D320" s="16">
        <f t="shared" si="9"/>
        <v>7.6746621453149158E-2</v>
      </c>
    </row>
    <row r="321" spans="1:4" x14ac:dyDescent="0.2">
      <c r="A321" s="13">
        <v>43160</v>
      </c>
      <c r="B321" s="18">
        <f>VLOOKUP(A321,Database!A:K,MATCH($A$1,Database!$A$1:$K$1,),)</f>
        <v>42612</v>
      </c>
      <c r="C321" s="15">
        <f t="shared" ref="C321:C322" si="10">(B321-B320)/B320</f>
        <v>-1.3245646535753983E-2</v>
      </c>
      <c r="D321" s="16">
        <f t="shared" ref="D321:D322" si="11">(B321-B309)/B309</f>
        <v>7.1218482113678067E-2</v>
      </c>
    </row>
    <row r="322" spans="1:4" x14ac:dyDescent="0.2">
      <c r="A322" s="14">
        <v>43191</v>
      </c>
      <c r="B322" s="18">
        <f>VLOOKUP(A322,Database!A:K,MATCH($A$1,Database!$A$1:$K$1,),)</f>
        <v>42403</v>
      </c>
      <c r="C322" s="15">
        <f t="shared" si="10"/>
        <v>-4.9047216746456396E-3</v>
      </c>
      <c r="D322" s="16">
        <f t="shared" si="11"/>
        <v>7.2434811199069277E-2</v>
      </c>
    </row>
    <row r="323" spans="1:4" x14ac:dyDescent="0.2">
      <c r="A323" s="13">
        <v>43221</v>
      </c>
      <c r="B323" s="18">
        <f>VLOOKUP(A323,Database!A:K,MATCH($A$1,Database!$A$1:$K$1,),)</f>
        <v>43525</v>
      </c>
      <c r="C323" s="15">
        <f t="shared" ref="C323:C324" si="12">(B323-B322)/B322</f>
        <v>2.6460391953399522E-2</v>
      </c>
      <c r="D323" s="16">
        <f t="shared" ref="D323:D324" si="13">(B323-B311)/B311</f>
        <v>0.14367921801508263</v>
      </c>
    </row>
    <row r="324" spans="1:4" x14ac:dyDescent="0.2">
      <c r="A324" s="14">
        <v>43252</v>
      </c>
      <c r="B324" s="18">
        <f>VLOOKUP(A324,Database!A:K,MATCH($A$1,Database!$A$1:$K$1,),)</f>
        <v>43773</v>
      </c>
      <c r="C324" s="15">
        <f t="shared" si="12"/>
        <v>5.6978747846065476E-3</v>
      </c>
      <c r="D324" s="16">
        <f t="shared" si="13"/>
        <v>0.16315467807509368</v>
      </c>
    </row>
    <row r="325" spans="1:4" x14ac:dyDescent="0.2">
      <c r="A325" s="13">
        <v>43282</v>
      </c>
      <c r="B325" s="18">
        <f>VLOOKUP(A325,Database!A:K,MATCH($A$1,Database!$A$1:$K$1,),)</f>
        <v>44174</v>
      </c>
      <c r="C325" s="15">
        <f t="shared" ref="C325:C326" si="14">(B325-B324)/B324</f>
        <v>9.1608982706234444E-3</v>
      </c>
      <c r="D325" s="16">
        <f t="shared" ref="D325:D326" si="15">(B325-B313)/B313</f>
        <v>0.17656145958183514</v>
      </c>
    </row>
    <row r="326" spans="1:4" x14ac:dyDescent="0.2">
      <c r="A326" s="14">
        <v>43313</v>
      </c>
      <c r="B326" s="18">
        <f>VLOOKUP(A326,Database!A:K,MATCH($A$1,Database!$A$1:$K$1,),)</f>
        <v>44616</v>
      </c>
      <c r="C326" s="15">
        <f t="shared" si="14"/>
        <v>1.0005885815185403E-2</v>
      </c>
      <c r="D326" s="16">
        <f t="shared" si="15"/>
        <v>0.1509351218883013</v>
      </c>
    </row>
    <row r="327" spans="1:4" x14ac:dyDescent="0.2">
      <c r="A327" s="13">
        <v>43344</v>
      </c>
      <c r="B327" s="18">
        <f>VLOOKUP(A327,Database!A:K,MATCH($A$1,Database!$A$1:$K$1,),)</f>
        <v>44089</v>
      </c>
      <c r="C327" s="15">
        <f t="shared" ref="C327:C328" si="16">(B327-B326)/B326</f>
        <v>-1.1811906042675274E-2</v>
      </c>
      <c r="D327" s="16">
        <f t="shared" ref="D327:D328" si="17">(B327-B315)/B315</f>
        <v>8.0083292503674672E-2</v>
      </c>
    </row>
    <row r="328" spans="1:4" x14ac:dyDescent="0.2">
      <c r="A328" s="14">
        <v>43374</v>
      </c>
      <c r="B328" s="18">
        <f>VLOOKUP(A328,Database!A:K,MATCH($A$1,Database!$A$1:$K$1,),)</f>
        <v>45878</v>
      </c>
      <c r="C328" s="15">
        <f t="shared" si="16"/>
        <v>4.0577014674862209E-2</v>
      </c>
      <c r="D328" s="16">
        <f t="shared" si="17"/>
        <v>0.12061553492916463</v>
      </c>
    </row>
    <row r="329" spans="1:4" x14ac:dyDescent="0.2">
      <c r="A329" s="13">
        <v>43405</v>
      </c>
      <c r="B329" s="18">
        <f>VLOOKUP(A329,Database!A:K,MATCH($A$1,Database!$A$1:$K$1,),)</f>
        <v>43722</v>
      </c>
      <c r="C329" s="15">
        <f t="shared" ref="C329:C330" si="18">(B329-B328)/B328</f>
        <v>-4.6994202014037229E-2</v>
      </c>
      <c r="D329" s="16">
        <f t="shared" ref="D329:D330" si="19">(B329-B317)/B317</f>
        <v>4.0876086180216639E-2</v>
      </c>
    </row>
    <row r="330" spans="1:4" x14ac:dyDescent="0.2">
      <c r="A330" s="14">
        <v>43435</v>
      </c>
      <c r="B330" s="18">
        <f>VLOOKUP(A330,Database!A:K,MATCH($A$1,Database!$A$1:$K$1,),)</f>
        <v>40962</v>
      </c>
      <c r="C330" s="15">
        <f t="shared" si="18"/>
        <v>-6.3126114999313851E-2</v>
      </c>
      <c r="D330" s="16">
        <f t="shared" si="19"/>
        <v>-4.1151685393258426E-2</v>
      </c>
    </row>
    <row r="331" spans="1:4" x14ac:dyDescent="0.2">
      <c r="A331" s="13">
        <v>43466</v>
      </c>
      <c r="B331" s="18">
        <f>VLOOKUP(A331,Database!A:K,MATCH($A$1,Database!$A$1:$K$1,),)</f>
        <v>39781</v>
      </c>
      <c r="C331" s="15">
        <f t="shared" ref="C331:C332" si="20">(B331-B330)/B330</f>
        <v>-2.8831600019530296E-2</v>
      </c>
      <c r="D331" s="16">
        <f t="shared" ref="D331:D332" si="21">(B331-B319)/B319</f>
        <v>-6.9667913938260051E-2</v>
      </c>
    </row>
    <row r="332" spans="1:4" x14ac:dyDescent="0.2">
      <c r="A332" s="14">
        <v>43497</v>
      </c>
      <c r="B332" s="18">
        <f>VLOOKUP(A332,Database!A:K,MATCH($A$1,Database!$A$1:$K$1,),)</f>
        <v>41440</v>
      </c>
      <c r="C332" s="15">
        <f t="shared" si="20"/>
        <v>4.1703325708252685E-2</v>
      </c>
      <c r="D332" s="16">
        <f t="shared" si="21"/>
        <v>-4.0385327899221932E-2</v>
      </c>
    </row>
    <row r="333" spans="1:4" x14ac:dyDescent="0.2">
      <c r="A333" s="13">
        <v>43525</v>
      </c>
      <c r="B333" s="18">
        <f>VLOOKUP(A333,Database!A:K,MATCH($A$1,Database!$A$1:$K$1,),)</f>
        <v>42662</v>
      </c>
      <c r="C333" s="15">
        <f t="shared" ref="C333:C334" si="22">(B333-B332)/B332</f>
        <v>2.9488416988416987E-2</v>
      </c>
      <c r="D333" s="16">
        <f t="shared" ref="D333:D334" si="23">(B333-B321)/B321</f>
        <v>1.1733783910635501E-3</v>
      </c>
    </row>
    <row r="334" spans="1:4" x14ac:dyDescent="0.2">
      <c r="A334" s="14">
        <v>43556</v>
      </c>
      <c r="B334" s="18">
        <f>VLOOKUP(A334,Database!A:K,MATCH($A$1,Database!$A$1:$K$1,),)</f>
        <v>43487</v>
      </c>
      <c r="C334" s="15">
        <f t="shared" si="22"/>
        <v>1.933805259950307E-2</v>
      </c>
      <c r="D334" s="16">
        <f t="shared" si="23"/>
        <v>2.5564228946065137E-2</v>
      </c>
    </row>
    <row r="335" spans="1:4" x14ac:dyDescent="0.2">
      <c r="A335" s="13">
        <v>43586</v>
      </c>
      <c r="B335" s="18">
        <f>VLOOKUP(A335,Database!A:K,MATCH($A$1,Database!$A$1:$K$1,),)</f>
        <v>43276</v>
      </c>
      <c r="C335" s="15">
        <f t="shared" ref="C335:C336" si="24">(B335-B334)/B334</f>
        <v>-4.8520247430266514E-3</v>
      </c>
      <c r="D335" s="16">
        <f t="shared" ref="D335:D336" si="25">(B335-B323)/B323</f>
        <v>-5.7208500861573811E-3</v>
      </c>
    </row>
    <row r="336" spans="1:4" x14ac:dyDescent="0.2">
      <c r="A336" s="14">
        <v>43617</v>
      </c>
      <c r="B336" s="18">
        <f>VLOOKUP(A336,Database!A:K,MATCH($A$1,Database!$A$1:$K$1,),)</f>
        <v>42617</v>
      </c>
      <c r="C336" s="15">
        <f t="shared" si="24"/>
        <v>-1.5227839911267214E-2</v>
      </c>
      <c r="D336" s="16">
        <f t="shared" si="25"/>
        <v>-2.6408973568181299E-2</v>
      </c>
    </row>
    <row r="337" spans="1:4" x14ac:dyDescent="0.2">
      <c r="A337" s="13">
        <v>43647</v>
      </c>
      <c r="B337" s="18">
        <f>VLOOKUP(A337,Database!A:K,MATCH($A$1,Database!$A$1:$K$1,),)</f>
        <v>43398</v>
      </c>
      <c r="C337" s="15">
        <f t="shared" ref="C337:C338" si="26">(B337-B336)/B336</f>
        <v>1.8326020132810851E-2</v>
      </c>
      <c r="D337" s="16">
        <f t="shared" ref="D337:D338" si="27">(B337-B325)/B325</f>
        <v>-1.7566894553357179E-2</v>
      </c>
    </row>
    <row r="338" spans="1:4" x14ac:dyDescent="0.2">
      <c r="A338" s="14">
        <v>43678</v>
      </c>
      <c r="B338" s="18">
        <f>VLOOKUP(A338,Database!A:K,MATCH($A$1,Database!$A$1:$K$1,),)</f>
        <v>42783</v>
      </c>
      <c r="C338" s="15">
        <f t="shared" si="26"/>
        <v>-1.4171159961288539E-2</v>
      </c>
      <c r="D338" s="16">
        <f t="shared" si="27"/>
        <v>-4.1083916083916081E-2</v>
      </c>
    </row>
    <row r="339" spans="1:4" x14ac:dyDescent="0.2">
      <c r="A339" s="13">
        <v>43709</v>
      </c>
      <c r="B339" s="18">
        <f>VLOOKUP(A339,Database!A:K,MATCH($A$1,Database!$A$1:$K$1,),)</f>
        <v>42538</v>
      </c>
      <c r="C339" s="15">
        <f t="shared" ref="C339:C340" si="28">(B339-B338)/B338</f>
        <v>-5.7265736390622445E-3</v>
      </c>
      <c r="D339" s="16">
        <f t="shared" ref="D339:D340" si="29">(B339-B327)/B327</f>
        <v>-3.5178842795255051E-2</v>
      </c>
    </row>
    <row r="340" spans="1:4" x14ac:dyDescent="0.2">
      <c r="A340" s="14">
        <v>43739</v>
      </c>
      <c r="B340" s="18">
        <f>VLOOKUP(A340,Database!A:K,MATCH($A$1,Database!$A$1:$K$1,),)</f>
        <v>43266</v>
      </c>
      <c r="C340" s="15">
        <f t="shared" si="28"/>
        <v>1.7114109737176173E-2</v>
      </c>
      <c r="D340" s="16">
        <f t="shared" si="29"/>
        <v>-5.6933606521644364E-2</v>
      </c>
    </row>
    <row r="341" spans="1:4" x14ac:dyDescent="0.2">
      <c r="A341" s="13">
        <v>43770</v>
      </c>
      <c r="B341" s="18">
        <f>VLOOKUP(A341,Database!A:K,MATCH($A$1,Database!$A$1:$K$1,),)</f>
        <v>43240</v>
      </c>
      <c r="C341" s="15">
        <f t="shared" ref="C341:C342" si="30">(B341-B340)/B340</f>
        <v>-6.0093375860953175E-4</v>
      </c>
      <c r="D341" s="16">
        <f t="shared" ref="D341:D342" si="31">(B341-B329)/B329</f>
        <v>-1.102419834408307E-2</v>
      </c>
    </row>
    <row r="342" spans="1:4" x14ac:dyDescent="0.2">
      <c r="A342" s="14">
        <v>43800</v>
      </c>
      <c r="B342" s="18">
        <f>VLOOKUP(A342,Database!A:K,MATCH($A$1,Database!$A$1:$K$1,),)</f>
        <v>44093</v>
      </c>
      <c r="C342" s="15">
        <f t="shared" si="30"/>
        <v>1.9727104532839962E-2</v>
      </c>
      <c r="D342" s="16">
        <f t="shared" si="31"/>
        <v>7.6436697426883457E-2</v>
      </c>
    </row>
    <row r="343" spans="1:4" x14ac:dyDescent="0.2">
      <c r="A343" s="13">
        <v>43831</v>
      </c>
      <c r="B343" s="18">
        <f>VLOOKUP(A343,Database!A:K,MATCH($A$1,Database!$A$1:$K$1,),)</f>
        <v>43195</v>
      </c>
      <c r="C343" s="15">
        <f t="shared" ref="C343:C344" si="32">(B343-B342)/B342</f>
        <v>-2.0366044496858911E-2</v>
      </c>
      <c r="D343" s="16">
        <f t="shared" ref="D343:D344" si="33">(B343-B331)/B331</f>
        <v>8.5819863754053441E-2</v>
      </c>
    </row>
    <row r="344" spans="1:4" x14ac:dyDescent="0.2">
      <c r="A344" s="14">
        <v>43862</v>
      </c>
      <c r="B344" s="18">
        <f>VLOOKUP(A344,Database!A:K,MATCH($A$1,Database!$A$1:$K$1,),)</f>
        <v>41625</v>
      </c>
      <c r="C344" s="15">
        <f t="shared" si="32"/>
        <v>-3.6346799398078479E-2</v>
      </c>
      <c r="D344" s="16">
        <f t="shared" si="33"/>
        <v>4.464285714285714E-3</v>
      </c>
    </row>
    <row r="345" spans="1:4" x14ac:dyDescent="0.2">
      <c r="A345" s="13">
        <v>43891</v>
      </c>
      <c r="B345" s="18">
        <f>VLOOKUP(A345,Database!A:K,MATCH($A$1,Database!$A$1:$K$1,),)</f>
        <v>34677</v>
      </c>
      <c r="C345" s="15">
        <f t="shared" ref="C345:C346" si="34">(B345-B344)/B344</f>
        <v>-0.16691891891891891</v>
      </c>
      <c r="D345" s="16">
        <f t="shared" ref="D345:D346" si="35">(B345-B333)/B333</f>
        <v>-0.18716890909943276</v>
      </c>
    </row>
    <row r="346" spans="1:4" x14ac:dyDescent="0.2">
      <c r="A346" s="14">
        <v>43922</v>
      </c>
      <c r="B346" s="18">
        <f>VLOOKUP(A346,Database!A:K,MATCH($A$1,Database!$A$1:$K$1,),)</f>
        <v>26131</v>
      </c>
      <c r="C346" s="15">
        <f t="shared" si="34"/>
        <v>-0.24644577097211409</v>
      </c>
      <c r="D346" s="16">
        <f t="shared" si="35"/>
        <v>-0.39910777933635339</v>
      </c>
    </row>
    <row r="347" spans="1:4" x14ac:dyDescent="0.2">
      <c r="A347" s="13">
        <v>43952</v>
      </c>
      <c r="B347" s="18">
        <f>VLOOKUP(A347,Database!A:K,MATCH($A$1,Database!$A$1:$K$1,),)</f>
        <v>29616</v>
      </c>
      <c r="C347" s="15">
        <f t="shared" ref="C347:C348" si="36">(B347-B346)/B346</f>
        <v>0.13336649955990967</v>
      </c>
      <c r="D347" s="16">
        <f t="shared" ref="D347:D348" si="37">(B347-B335)/B335</f>
        <v>-0.3156483963397726</v>
      </c>
    </row>
    <row r="348" spans="1:4" x14ac:dyDescent="0.2">
      <c r="A348" s="14">
        <v>43983</v>
      </c>
      <c r="B348" s="18">
        <f>VLOOKUP(A348,Database!A:K,MATCH($A$1,Database!$A$1:$K$1,),)</f>
        <v>34291</v>
      </c>
      <c r="C348" s="15">
        <f t="shared" si="36"/>
        <v>0.15785386277687735</v>
      </c>
      <c r="D348" s="16">
        <f t="shared" si="37"/>
        <v>-0.19536804561559939</v>
      </c>
    </row>
    <row r="349" spans="1:4" x14ac:dyDescent="0.2">
      <c r="A349" s="13">
        <v>44013</v>
      </c>
      <c r="B349" s="18">
        <f>VLOOKUP(A349,Database!A:K,MATCH($A$1,Database!$A$1:$K$1,),)</f>
        <v>35996</v>
      </c>
      <c r="C349" s="15">
        <f t="shared" ref="C349:C350" si="38">(B349-B348)/B348</f>
        <v>4.972150126855443E-2</v>
      </c>
      <c r="D349" s="16">
        <f t="shared" ref="D349:D350" si="39">(B349-B337)/B337</f>
        <v>-0.17056085533895571</v>
      </c>
    </row>
    <row r="350" spans="1:4" x14ac:dyDescent="0.2">
      <c r="A350" s="14">
        <v>44044</v>
      </c>
      <c r="B350" s="18">
        <f>VLOOKUP(A350,Database!A:K,MATCH($A$1,Database!$A$1:$K$1,),)</f>
        <v>36366</v>
      </c>
      <c r="C350" s="15">
        <f t="shared" si="38"/>
        <v>1.0278919879986664E-2</v>
      </c>
      <c r="D350" s="16">
        <f t="shared" si="39"/>
        <v>-0.14998948180352009</v>
      </c>
    </row>
    <row r="351" spans="1:4" x14ac:dyDescent="0.2">
      <c r="A351" s="13">
        <v>44075</v>
      </c>
      <c r="B351" s="18">
        <f>VLOOKUP(A351,Database!A:K,MATCH($A$1,Database!$A$1:$K$1,),)</f>
        <v>37009</v>
      </c>
      <c r="C351" s="15">
        <f t="shared" ref="C351:C352" si="40">(B351-B350)/B350</f>
        <v>1.7681350712203708E-2</v>
      </c>
      <c r="D351" s="16">
        <f t="shared" ref="D351:D352" si="41">(B351-B339)/B339</f>
        <v>-0.12997790211105364</v>
      </c>
    </row>
    <row r="352" spans="1:4" x14ac:dyDescent="0.2">
      <c r="A352" s="14">
        <v>44105</v>
      </c>
      <c r="B352" s="18">
        <f>VLOOKUP(A352,Database!A:K,MATCH($A$1,Database!$A$1:$K$1,),)</f>
        <v>37194</v>
      </c>
      <c r="C352" s="15">
        <f t="shared" si="40"/>
        <v>4.9987840795482179E-3</v>
      </c>
      <c r="D352" s="16">
        <f t="shared" si="41"/>
        <v>-0.14034114547219526</v>
      </c>
    </row>
    <row r="353" spans="1:4" x14ac:dyDescent="0.2">
      <c r="A353" s="13">
        <v>44136</v>
      </c>
      <c r="B353" s="18">
        <f>VLOOKUP(A353,Database!A:K,MATCH($A$1,Database!$A$1:$K$1,),)</f>
        <v>36473</v>
      </c>
      <c r="C353" s="15">
        <f t="shared" ref="C353:C354" si="42">(B353-B352)/B352</f>
        <v>-1.9384847018336291E-2</v>
      </c>
      <c r="D353" s="16">
        <f t="shared" ref="D353:D354" si="43">(B353-B341)/B341</f>
        <v>-0.15649861239592969</v>
      </c>
    </row>
    <row r="354" spans="1:4" x14ac:dyDescent="0.2">
      <c r="A354" s="14">
        <v>44166</v>
      </c>
      <c r="B354" s="18">
        <f>VLOOKUP(A354,Database!A:K,MATCH($A$1,Database!$A$1:$K$1,),)</f>
        <v>39098</v>
      </c>
      <c r="C354" s="15">
        <f t="shared" si="42"/>
        <v>7.197104707591917E-2</v>
      </c>
      <c r="D354" s="16">
        <f t="shared" si="43"/>
        <v>-0.11328328759667067</v>
      </c>
    </row>
    <row r="355" spans="1:4" x14ac:dyDescent="0.2">
      <c r="A355" s="13">
        <v>44197</v>
      </c>
      <c r="B355" s="18">
        <f>VLOOKUP(A355,Database!A:K,MATCH($A$1,Database!$A$1:$K$1,),)</f>
        <v>40895</v>
      </c>
      <c r="C355" s="15">
        <f t="shared" ref="C355:C356" si="44">(B355-B354)/B354</f>
        <v>4.5961430252186811E-2</v>
      </c>
      <c r="D355" s="16">
        <f t="shared" ref="D355:D356" si="45">(B355-B343)/B343</f>
        <v>-5.3246903576802868E-2</v>
      </c>
    </row>
    <row r="356" spans="1:4" x14ac:dyDescent="0.2">
      <c r="A356" s="14">
        <v>44228</v>
      </c>
      <c r="B356" s="18">
        <f>VLOOKUP(A356,Database!A:K,MATCH($A$1,Database!$A$1:$K$1,),)</f>
        <v>42203</v>
      </c>
      <c r="C356" s="15">
        <f t="shared" si="44"/>
        <v>3.1984350165056852E-2</v>
      </c>
      <c r="D356" s="16">
        <f t="shared" si="45"/>
        <v>1.3885885885885886E-2</v>
      </c>
    </row>
    <row r="357" spans="1:4" x14ac:dyDescent="0.2">
      <c r="A357" s="13">
        <v>44256</v>
      </c>
      <c r="B357" s="18">
        <f>VLOOKUP(A357,Database!A:K,MATCH($A$1,Database!$A$1:$K$1,),)</f>
        <v>46453</v>
      </c>
      <c r="C357" s="15">
        <f t="shared" ref="C357:C358" si="46">(B357-B356)/B356</f>
        <v>0.10070374144018197</v>
      </c>
      <c r="D357" s="16">
        <f t="shared" ref="D357:D358" si="47">(B357-B345)/B345</f>
        <v>0.33959108342705541</v>
      </c>
    </row>
    <row r="358" spans="1:4" x14ac:dyDescent="0.2">
      <c r="A358" s="14">
        <v>44287</v>
      </c>
      <c r="B358" s="18">
        <f>VLOOKUP(A358,Database!A:K,MATCH($A$1,Database!$A$1:$K$1,),)</f>
        <v>45808</v>
      </c>
      <c r="C358" s="15">
        <f t="shared" si="46"/>
        <v>-1.388500204507782E-2</v>
      </c>
      <c r="D358" s="16">
        <f t="shared" si="47"/>
        <v>0.75301366193410124</v>
      </c>
    </row>
    <row r="359" spans="1:4" x14ac:dyDescent="0.2">
      <c r="A359" s="13">
        <v>44317</v>
      </c>
      <c r="B359" s="18">
        <f>VLOOKUP(A359,Database!A:K,MATCH($A$1,Database!$A$1:$K$1,),)</f>
        <v>46636</v>
      </c>
      <c r="C359" s="15">
        <f t="shared" ref="C359:C360" si="48">(B359-B358)/B358</f>
        <v>1.8075445337059029E-2</v>
      </c>
      <c r="D359" s="16">
        <f t="shared" ref="D359:D360" si="49">(B359-B347)/B347</f>
        <v>0.57468935710426794</v>
      </c>
    </row>
    <row r="360" spans="1:4" x14ac:dyDescent="0.2">
      <c r="A360" s="14">
        <v>44348</v>
      </c>
      <c r="B360" s="18">
        <f>VLOOKUP(A360,Database!A:K,MATCH($A$1,Database!$A$1:$K$1,),)</f>
        <v>48308</v>
      </c>
      <c r="C360" s="15">
        <f t="shared" si="48"/>
        <v>3.5852131400634701E-2</v>
      </c>
      <c r="D360" s="16">
        <f t="shared" si="49"/>
        <v>0.4087661485520982</v>
      </c>
    </row>
    <row r="361" spans="1:4" x14ac:dyDescent="0.2">
      <c r="A361" s="13">
        <v>44378</v>
      </c>
      <c r="B361" s="18">
        <f>VLOOKUP(A361,Database!A:K,MATCH($A$1,Database!$A$1:$K$1,),)</f>
        <v>49269</v>
      </c>
      <c r="C361" s="15">
        <f t="shared" ref="C361:C362" si="50">(B361-B360)/B360</f>
        <v>1.9893185393723607E-2</v>
      </c>
      <c r="D361" s="16">
        <f t="shared" ref="D361:D362" si="51">(B361-B349)/B349</f>
        <v>0.36873541504611623</v>
      </c>
    </row>
    <row r="362" spans="1:4" x14ac:dyDescent="0.2">
      <c r="A362" s="14">
        <v>44409</v>
      </c>
      <c r="B362" s="18">
        <f>VLOOKUP(A362,Database!A:K,MATCH($A$1,Database!$A$1:$K$1,),)</f>
        <v>49356</v>
      </c>
      <c r="C362" s="15">
        <f t="shared" si="50"/>
        <v>1.7658162333313036E-3</v>
      </c>
      <c r="D362" s="16">
        <f t="shared" si="51"/>
        <v>0.3572017818841775</v>
      </c>
    </row>
  </sheetData>
  <conditionalFormatting sqref="D19:D362">
    <cfRule type="colorScale" priority="1">
      <colorScale>
        <cfvo type="min"/>
        <cfvo type="percentile" val="50"/>
        <cfvo type="max"/>
        <color rgb="FFF8696B"/>
        <color rgb="FFFFEB84"/>
        <color rgb="FF63BE7B"/>
      </colorScale>
    </cfRule>
  </conditionalFormatting>
  <conditionalFormatting sqref="C8:C362">
    <cfRule type="colorScale" priority="2">
      <colorScale>
        <cfvo type="min"/>
        <cfvo type="percentile" val="50"/>
        <cfvo type="max"/>
        <color rgb="FFF8696B"/>
        <color rgb="FFFFEB84"/>
        <color rgb="FF63BE7B"/>
      </colorScale>
    </cfRule>
  </conditionalFormatting>
  <hyperlinks>
    <hyperlink ref="A2" r:id="rId1" xr:uid="{00000000-0004-0000-0D00-000000000000}"/>
  </hyperlinks>
  <pageMargins left="0.7" right="0.7" top="0.75" bottom="0.75" header="0.3" footer="0.3"/>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5"/>
  <dimension ref="A1:D362"/>
  <sheetViews>
    <sheetView zoomScale="160" zoomScaleNormal="160" workbookViewId="0">
      <pane ySplit="6" topLeftCell="A330" activePane="bottomLeft" state="frozen"/>
      <selection pane="bottomLeft" activeCell="A364" sqref="A364"/>
    </sheetView>
  </sheetViews>
  <sheetFormatPr baseColWidth="10" defaultColWidth="9.1640625" defaultRowHeight="15" x14ac:dyDescent="0.2"/>
  <cols>
    <col min="1" max="1" width="14" style="11" customWidth="1"/>
    <col min="2" max="2" width="20.6640625" style="11" customWidth="1"/>
    <col min="3" max="4" width="14.1640625" style="11" customWidth="1"/>
    <col min="5" max="16384" width="9.1640625" style="1"/>
  </cols>
  <sheetData>
    <row r="1" spans="1:4" x14ac:dyDescent="0.2">
      <c r="A1" s="33" t="s">
        <v>33</v>
      </c>
      <c r="B1" s="34" t="s">
        <v>50</v>
      </c>
    </row>
    <row r="2" spans="1:4" x14ac:dyDescent="0.2">
      <c r="A2" s="35" t="s">
        <v>39</v>
      </c>
      <c r="B2" s="33"/>
    </row>
    <row r="3" spans="1:4" x14ac:dyDescent="0.2">
      <c r="A3" s="12"/>
    </row>
    <row r="4" spans="1:4" x14ac:dyDescent="0.2">
      <c r="A4" s="12"/>
    </row>
    <row r="5" spans="1:4" ht="16" thickBot="1" x14ac:dyDescent="0.25"/>
    <row r="6" spans="1:4" ht="44.25" customHeight="1" x14ac:dyDescent="0.2">
      <c r="A6" s="101" t="s">
        <v>2</v>
      </c>
      <c r="B6" s="98" t="s">
        <v>102</v>
      </c>
      <c r="C6" s="99" t="s">
        <v>82</v>
      </c>
      <c r="D6" s="100" t="s">
        <v>83</v>
      </c>
    </row>
    <row r="7" spans="1:4" x14ac:dyDescent="0.2">
      <c r="A7" s="13">
        <v>33604</v>
      </c>
      <c r="B7" s="18">
        <f>VLOOKUP(A7,Database!A:Q,MATCH($A$1,Database!$A$1:$Q$1,),)</f>
        <v>33478</v>
      </c>
      <c r="C7" s="3"/>
      <c r="D7" s="3"/>
    </row>
    <row r="8" spans="1:4" x14ac:dyDescent="0.2">
      <c r="A8" s="14">
        <v>33635</v>
      </c>
      <c r="B8" s="18">
        <f>VLOOKUP(A8,Database!A:Q,MATCH($A$1,Database!$A$1:$Q$1,),)</f>
        <v>33817</v>
      </c>
      <c r="C8" s="15">
        <f>(B8-B7)/B7</f>
        <v>1.0126052930282573E-2</v>
      </c>
      <c r="D8" s="3"/>
    </row>
    <row r="9" spans="1:4" x14ac:dyDescent="0.2">
      <c r="A9" s="13">
        <v>33664</v>
      </c>
      <c r="B9" s="18">
        <f>VLOOKUP(A9,Database!A:Q,MATCH($A$1,Database!$A$1:$Q$1,),)</f>
        <v>33336</v>
      </c>
      <c r="C9" s="15">
        <f t="shared" ref="C9:C72" si="0">(B9-B8)/B8</f>
        <v>-1.4223615341396338E-2</v>
      </c>
      <c r="D9" s="3"/>
    </row>
    <row r="10" spans="1:4" x14ac:dyDescent="0.2">
      <c r="A10" s="14">
        <v>33695</v>
      </c>
      <c r="B10" s="18">
        <f>VLOOKUP(A10,Database!A:Q,MATCH($A$1,Database!$A$1:$Q$1,),)</f>
        <v>33776</v>
      </c>
      <c r="C10" s="15">
        <f t="shared" si="0"/>
        <v>1.3198944084473242E-2</v>
      </c>
      <c r="D10" s="3"/>
    </row>
    <row r="11" spans="1:4" x14ac:dyDescent="0.2">
      <c r="A11" s="13">
        <v>33725</v>
      </c>
      <c r="B11" s="18">
        <f>VLOOKUP(A11,Database!A:Q,MATCH($A$1,Database!$A$1:$Q$1,),)</f>
        <v>34357</v>
      </c>
      <c r="C11" s="15">
        <f t="shared" si="0"/>
        <v>1.7201563240170536E-2</v>
      </c>
      <c r="D11" s="3"/>
    </row>
    <row r="12" spans="1:4" x14ac:dyDescent="0.2">
      <c r="A12" s="14">
        <v>33756</v>
      </c>
      <c r="B12" s="18">
        <f>VLOOKUP(A12,Database!A:Q,MATCH($A$1,Database!$A$1:$Q$1,),)</f>
        <v>34781</v>
      </c>
      <c r="C12" s="15">
        <f t="shared" si="0"/>
        <v>1.2341007654917484E-2</v>
      </c>
      <c r="D12" s="3"/>
    </row>
    <row r="13" spans="1:4" x14ac:dyDescent="0.2">
      <c r="A13" s="13">
        <v>33786</v>
      </c>
      <c r="B13" s="18">
        <f>VLOOKUP(A13,Database!A:Q,MATCH($A$1,Database!$A$1:$Q$1,),)</f>
        <v>35199</v>
      </c>
      <c r="C13" s="15">
        <f t="shared" si="0"/>
        <v>1.2018055835082373E-2</v>
      </c>
      <c r="D13" s="3"/>
    </row>
    <row r="14" spans="1:4" x14ac:dyDescent="0.2">
      <c r="A14" s="14">
        <v>33817</v>
      </c>
      <c r="B14" s="18">
        <f>VLOOKUP(A14,Database!A:Q,MATCH($A$1,Database!$A$1:$Q$1,),)</f>
        <v>34585</v>
      </c>
      <c r="C14" s="15">
        <f t="shared" si="0"/>
        <v>-1.7443677377198215E-2</v>
      </c>
      <c r="D14" s="3"/>
    </row>
    <row r="15" spans="1:4" x14ac:dyDescent="0.2">
      <c r="A15" s="13">
        <v>33848</v>
      </c>
      <c r="B15" s="18">
        <f>VLOOKUP(A15,Database!A:Q,MATCH($A$1,Database!$A$1:$Q$1,),)</f>
        <v>35890</v>
      </c>
      <c r="C15" s="15">
        <f t="shared" si="0"/>
        <v>3.7733121295359259E-2</v>
      </c>
      <c r="D15" s="3"/>
    </row>
    <row r="16" spans="1:4" x14ac:dyDescent="0.2">
      <c r="A16" s="14">
        <v>33878</v>
      </c>
      <c r="B16" s="18">
        <f>VLOOKUP(A16,Database!A:Q,MATCH($A$1,Database!$A$1:$Q$1,),)</f>
        <v>35972</v>
      </c>
      <c r="C16" s="15">
        <f t="shared" si="0"/>
        <v>2.2847589857899137E-3</v>
      </c>
      <c r="D16" s="3"/>
    </row>
    <row r="17" spans="1:4" x14ac:dyDescent="0.2">
      <c r="A17" s="13">
        <v>33909</v>
      </c>
      <c r="B17" s="18">
        <f>VLOOKUP(A17,Database!A:Q,MATCH($A$1,Database!$A$1:$Q$1,),)</f>
        <v>35928</v>
      </c>
      <c r="C17" s="15">
        <f t="shared" si="0"/>
        <v>-1.2231735794506838E-3</v>
      </c>
      <c r="D17" s="3"/>
    </row>
    <row r="18" spans="1:4" x14ac:dyDescent="0.2">
      <c r="A18" s="14">
        <v>33939</v>
      </c>
      <c r="B18" s="18">
        <f>VLOOKUP(A18,Database!A:Q,MATCH($A$1,Database!$A$1:$Q$1,),)</f>
        <v>36272</v>
      </c>
      <c r="C18" s="15">
        <f t="shared" si="0"/>
        <v>9.5747049654865291E-3</v>
      </c>
      <c r="D18" s="3"/>
    </row>
    <row r="19" spans="1:4" x14ac:dyDescent="0.2">
      <c r="A19" s="13">
        <v>33970</v>
      </c>
      <c r="B19" s="18">
        <f>VLOOKUP(A19,Database!A:Q,MATCH($A$1,Database!$A$1:$Q$1,),)</f>
        <v>37621</v>
      </c>
      <c r="C19" s="15">
        <f t="shared" si="0"/>
        <v>3.7191221879135421E-2</v>
      </c>
      <c r="D19" s="16">
        <f>(B19-B7)/B7</f>
        <v>0.12375291236035606</v>
      </c>
    </row>
    <row r="20" spans="1:4" x14ac:dyDescent="0.2">
      <c r="A20" s="14">
        <v>34001</v>
      </c>
      <c r="B20" s="18">
        <f>VLOOKUP(A20,Database!A:Q,MATCH($A$1,Database!$A$1:$Q$1,),)</f>
        <v>36723</v>
      </c>
      <c r="C20" s="15">
        <f t="shared" si="0"/>
        <v>-2.3869647271470722E-2</v>
      </c>
      <c r="D20" s="16">
        <f t="shared" ref="D20:D83" si="1">(B20-B8)/B8</f>
        <v>8.5933110565691806E-2</v>
      </c>
    </row>
    <row r="21" spans="1:4" x14ac:dyDescent="0.2">
      <c r="A21" s="13">
        <v>34029</v>
      </c>
      <c r="B21" s="18">
        <f>VLOOKUP(A21,Database!A:Q,MATCH($A$1,Database!$A$1:$Q$1,),)</f>
        <v>35955</v>
      </c>
      <c r="C21" s="15">
        <f t="shared" si="0"/>
        <v>-2.0913324074830486E-2</v>
      </c>
      <c r="D21" s="16">
        <f t="shared" si="1"/>
        <v>7.856371490280778E-2</v>
      </c>
    </row>
    <row r="22" spans="1:4" x14ac:dyDescent="0.2">
      <c r="A22" s="14">
        <v>34060</v>
      </c>
      <c r="B22" s="18">
        <f>VLOOKUP(A22,Database!A:Q,MATCH($A$1,Database!$A$1:$Q$1,),)</f>
        <v>38521</v>
      </c>
      <c r="C22" s="15">
        <f t="shared" si="0"/>
        <v>7.1366986510916428E-2</v>
      </c>
      <c r="D22" s="16">
        <f t="shared" si="1"/>
        <v>0.14048436759829463</v>
      </c>
    </row>
    <row r="23" spans="1:4" x14ac:dyDescent="0.2">
      <c r="A23" s="13">
        <v>34090</v>
      </c>
      <c r="B23" s="18">
        <f>VLOOKUP(A23,Database!A:Q,MATCH($A$1,Database!$A$1:$Q$1,),)</f>
        <v>39006</v>
      </c>
      <c r="C23" s="15">
        <f t="shared" si="0"/>
        <v>1.2590535032839231E-2</v>
      </c>
      <c r="D23" s="16">
        <f t="shared" si="1"/>
        <v>0.13531449195214948</v>
      </c>
    </row>
    <row r="24" spans="1:4" x14ac:dyDescent="0.2">
      <c r="A24" s="14">
        <v>34121</v>
      </c>
      <c r="B24" s="18">
        <f>VLOOKUP(A24,Database!A:Q,MATCH($A$1,Database!$A$1:$Q$1,),)</f>
        <v>38892</v>
      </c>
      <c r="C24" s="15">
        <f t="shared" si="0"/>
        <v>-2.9226272881095216E-3</v>
      </c>
      <c r="D24" s="16">
        <f t="shared" si="1"/>
        <v>0.11819671659814267</v>
      </c>
    </row>
    <row r="25" spans="1:4" x14ac:dyDescent="0.2">
      <c r="A25" s="13">
        <v>34151</v>
      </c>
      <c r="B25" s="18">
        <f>VLOOKUP(A25,Database!A:Q,MATCH($A$1,Database!$A$1:$Q$1,),)</f>
        <v>40290</v>
      </c>
      <c r="C25" s="15">
        <f t="shared" si="0"/>
        <v>3.5945695772909597E-2</v>
      </c>
      <c r="D25" s="16">
        <f t="shared" si="1"/>
        <v>0.14463479076110117</v>
      </c>
    </row>
    <row r="26" spans="1:4" x14ac:dyDescent="0.2">
      <c r="A26" s="14">
        <v>34182</v>
      </c>
      <c r="B26" s="18">
        <f>VLOOKUP(A26,Database!A:Q,MATCH($A$1,Database!$A$1:$Q$1,),)</f>
        <v>40504</v>
      </c>
      <c r="C26" s="15">
        <f t="shared" si="0"/>
        <v>5.3114916852817079E-3</v>
      </c>
      <c r="D26" s="16">
        <f t="shared" si="1"/>
        <v>0.17114355934653752</v>
      </c>
    </row>
    <row r="27" spans="1:4" x14ac:dyDescent="0.2">
      <c r="A27" s="13">
        <v>34213</v>
      </c>
      <c r="B27" s="18">
        <f>VLOOKUP(A27,Database!A:Q,MATCH($A$1,Database!$A$1:$Q$1,),)</f>
        <v>40203</v>
      </c>
      <c r="C27" s="15">
        <f t="shared" si="0"/>
        <v>-7.4313648034761998E-3</v>
      </c>
      <c r="D27" s="16">
        <f t="shared" si="1"/>
        <v>0.12017275006965729</v>
      </c>
    </row>
    <row r="28" spans="1:4" x14ac:dyDescent="0.2">
      <c r="A28" s="14">
        <v>34243</v>
      </c>
      <c r="B28" s="18">
        <f>VLOOKUP(A28,Database!A:Q,MATCH($A$1,Database!$A$1:$Q$1,),)</f>
        <v>40857</v>
      </c>
      <c r="C28" s="15">
        <f t="shared" si="0"/>
        <v>1.6267442728154616E-2</v>
      </c>
      <c r="D28" s="16">
        <f t="shared" si="1"/>
        <v>0.13580006671855888</v>
      </c>
    </row>
    <row r="29" spans="1:4" x14ac:dyDescent="0.2">
      <c r="A29" s="13">
        <v>34274</v>
      </c>
      <c r="B29" s="18">
        <f>VLOOKUP(A29,Database!A:Q,MATCH($A$1,Database!$A$1:$Q$1,),)</f>
        <v>42077</v>
      </c>
      <c r="C29" s="15">
        <f t="shared" si="0"/>
        <v>2.9860244266588346E-2</v>
      </c>
      <c r="D29" s="16">
        <f t="shared" si="1"/>
        <v>0.17114785125807169</v>
      </c>
    </row>
    <row r="30" spans="1:4" x14ac:dyDescent="0.2">
      <c r="A30" s="14">
        <v>34304</v>
      </c>
      <c r="B30" s="18">
        <f>VLOOKUP(A30,Database!A:Q,MATCH($A$1,Database!$A$1:$Q$1,),)</f>
        <v>42796</v>
      </c>
      <c r="C30" s="15">
        <f t="shared" si="0"/>
        <v>1.7087720132138697E-2</v>
      </c>
      <c r="D30" s="16">
        <f t="shared" si="1"/>
        <v>0.17986325540361711</v>
      </c>
    </row>
    <row r="31" spans="1:4" x14ac:dyDescent="0.2">
      <c r="A31" s="13">
        <v>34335</v>
      </c>
      <c r="B31" s="18">
        <f>VLOOKUP(A31,Database!A:Q,MATCH($A$1,Database!$A$1:$Q$1,),)</f>
        <v>42660</v>
      </c>
      <c r="C31" s="15">
        <f t="shared" si="0"/>
        <v>-3.1778670903822785E-3</v>
      </c>
      <c r="D31" s="16">
        <f t="shared" si="1"/>
        <v>0.13394114988968928</v>
      </c>
    </row>
    <row r="32" spans="1:4" x14ac:dyDescent="0.2">
      <c r="A32" s="14">
        <v>34366</v>
      </c>
      <c r="B32" s="18">
        <f>VLOOKUP(A32,Database!A:Q,MATCH($A$1,Database!$A$1:$Q$1,),)</f>
        <v>43685</v>
      </c>
      <c r="C32" s="15">
        <f t="shared" si="0"/>
        <v>2.4027191748710736E-2</v>
      </c>
      <c r="D32" s="16">
        <f t="shared" si="1"/>
        <v>0.18958146120959615</v>
      </c>
    </row>
    <row r="33" spans="1:4" x14ac:dyDescent="0.2">
      <c r="A33" s="13">
        <v>34394</v>
      </c>
      <c r="B33" s="18">
        <f>VLOOKUP(A33,Database!A:Q,MATCH($A$1,Database!$A$1:$Q$1,),)</f>
        <v>44475</v>
      </c>
      <c r="C33" s="15">
        <f t="shared" si="0"/>
        <v>1.8084010529930181E-2</v>
      </c>
      <c r="D33" s="16">
        <f t="shared" si="1"/>
        <v>0.23696287025448479</v>
      </c>
    </row>
    <row r="34" spans="1:4" x14ac:dyDescent="0.2">
      <c r="A34" s="14">
        <v>34425</v>
      </c>
      <c r="B34" s="18">
        <f>VLOOKUP(A34,Database!A:Q,MATCH($A$1,Database!$A$1:$Q$1,),)</f>
        <v>45072</v>
      </c>
      <c r="C34" s="15">
        <f t="shared" si="0"/>
        <v>1.342327150084317E-2</v>
      </c>
      <c r="D34" s="16">
        <f t="shared" si="1"/>
        <v>0.17006308247449442</v>
      </c>
    </row>
    <row r="35" spans="1:4" x14ac:dyDescent="0.2">
      <c r="A35" s="13">
        <v>34455</v>
      </c>
      <c r="B35" s="18">
        <f>VLOOKUP(A35,Database!A:Q,MATCH($A$1,Database!$A$1:$Q$1,),)</f>
        <v>44098</v>
      </c>
      <c r="C35" s="15">
        <f t="shared" si="0"/>
        <v>-2.1609868654597089E-2</v>
      </c>
      <c r="D35" s="16">
        <f t="shared" si="1"/>
        <v>0.13054401886889197</v>
      </c>
    </row>
    <row r="36" spans="1:4" x14ac:dyDescent="0.2">
      <c r="A36" s="14">
        <v>34486</v>
      </c>
      <c r="B36" s="18">
        <f>VLOOKUP(A36,Database!A:Q,MATCH($A$1,Database!$A$1:$Q$1,),)</f>
        <v>44541</v>
      </c>
      <c r="C36" s="15">
        <f t="shared" si="0"/>
        <v>1.0045807066080095E-2</v>
      </c>
      <c r="D36" s="16">
        <f t="shared" si="1"/>
        <v>0.14524838012958963</v>
      </c>
    </row>
    <row r="37" spans="1:4" x14ac:dyDescent="0.2">
      <c r="A37" s="13">
        <v>34516</v>
      </c>
      <c r="B37" s="18">
        <f>VLOOKUP(A37,Database!A:Q,MATCH($A$1,Database!$A$1:$Q$1,),)</f>
        <v>44477</v>
      </c>
      <c r="C37" s="15">
        <f t="shared" si="0"/>
        <v>-1.4368783817157226E-3</v>
      </c>
      <c r="D37" s="16">
        <f t="shared" si="1"/>
        <v>0.10392156862745099</v>
      </c>
    </row>
    <row r="38" spans="1:4" x14ac:dyDescent="0.2">
      <c r="A38" s="14">
        <v>34547</v>
      </c>
      <c r="B38" s="18">
        <f>VLOOKUP(A38,Database!A:Q,MATCH($A$1,Database!$A$1:$Q$1,),)</f>
        <v>45232</v>
      </c>
      <c r="C38" s="15">
        <f t="shared" si="0"/>
        <v>1.697506576432763E-2</v>
      </c>
      <c r="D38" s="16">
        <f t="shared" si="1"/>
        <v>0.11672921192968595</v>
      </c>
    </row>
    <row r="39" spans="1:4" x14ac:dyDescent="0.2">
      <c r="A39" s="13">
        <v>34578</v>
      </c>
      <c r="B39" s="18">
        <f>VLOOKUP(A39,Database!A:Q,MATCH($A$1,Database!$A$1:$Q$1,),)</f>
        <v>46314</v>
      </c>
      <c r="C39" s="15">
        <f t="shared" si="0"/>
        <v>2.3921117792713123E-2</v>
      </c>
      <c r="D39" s="16">
        <f t="shared" si="1"/>
        <v>0.15200358182225207</v>
      </c>
    </row>
    <row r="40" spans="1:4" x14ac:dyDescent="0.2">
      <c r="A40" s="14">
        <v>34608</v>
      </c>
      <c r="B40" s="18">
        <f>VLOOKUP(A40,Database!A:Q,MATCH($A$1,Database!$A$1:$Q$1,),)</f>
        <v>47041</v>
      </c>
      <c r="C40" s="15">
        <f t="shared" si="0"/>
        <v>1.5697197391717408E-2</v>
      </c>
      <c r="D40" s="16">
        <f t="shared" si="1"/>
        <v>0.15135717257752648</v>
      </c>
    </row>
    <row r="41" spans="1:4" x14ac:dyDescent="0.2">
      <c r="A41" s="13">
        <v>34639</v>
      </c>
      <c r="B41" s="18">
        <f>VLOOKUP(A41,Database!A:Q,MATCH($A$1,Database!$A$1:$Q$1,),)</f>
        <v>47203</v>
      </c>
      <c r="C41" s="15">
        <f t="shared" si="0"/>
        <v>3.4438043408941137E-3</v>
      </c>
      <c r="D41" s="16">
        <f t="shared" si="1"/>
        <v>0.12182427454428785</v>
      </c>
    </row>
    <row r="42" spans="1:4" x14ac:dyDescent="0.2">
      <c r="A42" s="14">
        <v>34669</v>
      </c>
      <c r="B42" s="18">
        <f>VLOOKUP(A42,Database!A:Q,MATCH($A$1,Database!$A$1:$Q$1,),)</f>
        <v>46941</v>
      </c>
      <c r="C42" s="15">
        <f t="shared" si="0"/>
        <v>-5.5504946719488165E-3</v>
      </c>
      <c r="D42" s="16">
        <f t="shared" si="1"/>
        <v>9.6854846247312831E-2</v>
      </c>
    </row>
    <row r="43" spans="1:4" x14ac:dyDescent="0.2">
      <c r="A43" s="13">
        <v>34700</v>
      </c>
      <c r="B43" s="18">
        <f>VLOOKUP(A43,Database!A:Q,MATCH($A$1,Database!$A$1:$Q$1,),)</f>
        <v>47224</v>
      </c>
      <c r="C43" s="15">
        <f t="shared" si="0"/>
        <v>6.0288447199676187E-3</v>
      </c>
      <c r="D43" s="16">
        <f t="shared" si="1"/>
        <v>0.10698546647913737</v>
      </c>
    </row>
    <row r="44" spans="1:4" x14ac:dyDescent="0.2">
      <c r="A44" s="14">
        <v>34731</v>
      </c>
      <c r="B44" s="18">
        <f>VLOOKUP(A44,Database!A:Q,MATCH($A$1,Database!$A$1:$Q$1,),)</f>
        <v>45902</v>
      </c>
      <c r="C44" s="15">
        <f t="shared" si="0"/>
        <v>-2.7994240216838894E-2</v>
      </c>
      <c r="D44" s="16">
        <f t="shared" si="1"/>
        <v>5.0749685246652167E-2</v>
      </c>
    </row>
    <row r="45" spans="1:4" x14ac:dyDescent="0.2">
      <c r="A45" s="13">
        <v>34759</v>
      </c>
      <c r="B45" s="18">
        <f>VLOOKUP(A45,Database!A:Q,MATCH($A$1,Database!$A$1:$Q$1,),)</f>
        <v>46681</v>
      </c>
      <c r="C45" s="15">
        <f t="shared" si="0"/>
        <v>1.697093808548647E-2</v>
      </c>
      <c r="D45" s="16">
        <f t="shared" si="1"/>
        <v>4.9600899381675098E-2</v>
      </c>
    </row>
    <row r="46" spans="1:4" x14ac:dyDescent="0.2">
      <c r="A46" s="14">
        <v>34790</v>
      </c>
      <c r="B46" s="18">
        <f>VLOOKUP(A46,Database!A:Q,MATCH($A$1,Database!$A$1:$Q$1,),)</f>
        <v>47056</v>
      </c>
      <c r="C46" s="15">
        <f t="shared" si="0"/>
        <v>8.0332469312996719E-3</v>
      </c>
      <c r="D46" s="16">
        <f t="shared" si="1"/>
        <v>4.4018459353922609E-2</v>
      </c>
    </row>
    <row r="47" spans="1:4" x14ac:dyDescent="0.2">
      <c r="A47" s="13">
        <v>34820</v>
      </c>
      <c r="B47" s="18">
        <f>VLOOKUP(A47,Database!A:Q,MATCH($A$1,Database!$A$1:$Q$1,),)</f>
        <v>47718</v>
      </c>
      <c r="C47" s="15">
        <f t="shared" si="0"/>
        <v>1.4068344100646038E-2</v>
      </c>
      <c r="D47" s="16">
        <f t="shared" si="1"/>
        <v>8.2089890697990844E-2</v>
      </c>
    </row>
    <row r="48" spans="1:4" x14ac:dyDescent="0.2">
      <c r="A48" s="14">
        <v>34851</v>
      </c>
      <c r="B48" s="18">
        <f>VLOOKUP(A48,Database!A:Q,MATCH($A$1,Database!$A$1:$Q$1,),)</f>
        <v>49652</v>
      </c>
      <c r="C48" s="15">
        <f t="shared" si="0"/>
        <v>4.0529779118990736E-2</v>
      </c>
      <c r="D48" s="16">
        <f t="shared" si="1"/>
        <v>0.11474820951482903</v>
      </c>
    </row>
    <row r="49" spans="1:4" x14ac:dyDescent="0.2">
      <c r="A49" s="13">
        <v>34881</v>
      </c>
      <c r="B49" s="18">
        <f>VLOOKUP(A49,Database!A:Q,MATCH($A$1,Database!$A$1:$Q$1,),)</f>
        <v>48832</v>
      </c>
      <c r="C49" s="15">
        <f t="shared" si="0"/>
        <v>-1.6514944010311769E-2</v>
      </c>
      <c r="D49" s="16">
        <f t="shared" si="1"/>
        <v>9.791577669357196E-2</v>
      </c>
    </row>
    <row r="50" spans="1:4" x14ac:dyDescent="0.2">
      <c r="A50" s="14">
        <v>34912</v>
      </c>
      <c r="B50" s="18">
        <f>VLOOKUP(A50,Database!A:Q,MATCH($A$1,Database!$A$1:$Q$1,),)</f>
        <v>49748</v>
      </c>
      <c r="C50" s="15">
        <f t="shared" si="0"/>
        <v>1.8758191349934471E-2</v>
      </c>
      <c r="D50" s="16">
        <f t="shared" si="1"/>
        <v>9.9840820657941282E-2</v>
      </c>
    </row>
    <row r="51" spans="1:4" x14ac:dyDescent="0.2">
      <c r="A51" s="13">
        <v>34943</v>
      </c>
      <c r="B51" s="18">
        <f>VLOOKUP(A51,Database!A:Q,MATCH($A$1,Database!$A$1:$Q$1,),)</f>
        <v>49188</v>
      </c>
      <c r="C51" s="15">
        <f t="shared" si="0"/>
        <v>-1.1256733939052826E-2</v>
      </c>
      <c r="D51" s="16">
        <f t="shared" si="1"/>
        <v>6.2054670294079545E-2</v>
      </c>
    </row>
    <row r="52" spans="1:4" x14ac:dyDescent="0.2">
      <c r="A52" s="14">
        <v>34973</v>
      </c>
      <c r="B52" s="18">
        <f>VLOOKUP(A52,Database!A:Q,MATCH($A$1,Database!$A$1:$Q$1,),)</f>
        <v>49271</v>
      </c>
      <c r="C52" s="15">
        <f t="shared" si="0"/>
        <v>1.6874034317313166E-3</v>
      </c>
      <c r="D52" s="16">
        <f t="shared" si="1"/>
        <v>4.7405454816011564E-2</v>
      </c>
    </row>
    <row r="53" spans="1:4" x14ac:dyDescent="0.2">
      <c r="A53" s="13">
        <v>35004</v>
      </c>
      <c r="B53" s="18">
        <f>VLOOKUP(A53,Database!A:Q,MATCH($A$1,Database!$A$1:$Q$1,),)</f>
        <v>49863</v>
      </c>
      <c r="C53" s="15">
        <f t="shared" si="0"/>
        <v>1.2015181343995453E-2</v>
      </c>
      <c r="D53" s="16">
        <f t="shared" si="1"/>
        <v>5.6352350486197911E-2</v>
      </c>
    </row>
    <row r="54" spans="1:4" x14ac:dyDescent="0.2">
      <c r="A54" s="14">
        <v>35034</v>
      </c>
      <c r="B54" s="18">
        <f>VLOOKUP(A54,Database!A:Q,MATCH($A$1,Database!$A$1:$Q$1,),)</f>
        <v>50163</v>
      </c>
      <c r="C54" s="15">
        <f t="shared" si="0"/>
        <v>6.0164851693640577E-3</v>
      </c>
      <c r="D54" s="16">
        <f t="shared" si="1"/>
        <v>6.8639355787051826E-2</v>
      </c>
    </row>
    <row r="55" spans="1:4" x14ac:dyDescent="0.2">
      <c r="A55" s="13">
        <v>35065</v>
      </c>
      <c r="B55" s="18">
        <f>VLOOKUP(A55,Database!A:Q,MATCH($A$1,Database!$A$1:$Q$1,),)</f>
        <v>50349</v>
      </c>
      <c r="C55" s="15">
        <f t="shared" si="0"/>
        <v>3.7079122062077625E-3</v>
      </c>
      <c r="D55" s="16">
        <f t="shared" si="1"/>
        <v>6.6173979332542779E-2</v>
      </c>
    </row>
    <row r="56" spans="1:4" x14ac:dyDescent="0.2">
      <c r="A56" s="14">
        <v>35096</v>
      </c>
      <c r="B56" s="18">
        <f>VLOOKUP(A56,Database!A:Q,MATCH($A$1,Database!$A$1:$Q$1,),)</f>
        <v>52288</v>
      </c>
      <c r="C56" s="15">
        <f t="shared" si="0"/>
        <v>3.8511191880672903E-2</v>
      </c>
      <c r="D56" s="16">
        <f t="shared" si="1"/>
        <v>0.13912247832338459</v>
      </c>
    </row>
    <row r="57" spans="1:4" x14ac:dyDescent="0.2">
      <c r="A57" s="13">
        <v>35125</v>
      </c>
      <c r="B57" s="18">
        <f>VLOOKUP(A57,Database!A:Q,MATCH($A$1,Database!$A$1:$Q$1,),)</f>
        <v>52348</v>
      </c>
      <c r="C57" s="15">
        <f t="shared" si="0"/>
        <v>1.1474908200734394E-3</v>
      </c>
      <c r="D57" s="16">
        <f t="shared" si="1"/>
        <v>0.12139842762580065</v>
      </c>
    </row>
    <row r="58" spans="1:4" x14ac:dyDescent="0.2">
      <c r="A58" s="14">
        <v>35156</v>
      </c>
      <c r="B58" s="18">
        <f>VLOOKUP(A58,Database!A:Q,MATCH($A$1,Database!$A$1:$Q$1,),)</f>
        <v>51531</v>
      </c>
      <c r="C58" s="15">
        <f t="shared" si="0"/>
        <v>-1.5607091006342172E-2</v>
      </c>
      <c r="D58" s="16">
        <f t="shared" si="1"/>
        <v>9.509945596735804E-2</v>
      </c>
    </row>
    <row r="59" spans="1:4" x14ac:dyDescent="0.2">
      <c r="A59" s="13">
        <v>35186</v>
      </c>
      <c r="B59" s="18">
        <f>VLOOKUP(A59,Database!A:Q,MATCH($A$1,Database!$A$1:$Q$1,),)</f>
        <v>52200</v>
      </c>
      <c r="C59" s="15">
        <f t="shared" si="0"/>
        <v>1.2982476567503056E-2</v>
      </c>
      <c r="D59" s="16">
        <f t="shared" si="1"/>
        <v>9.3926820067898903E-2</v>
      </c>
    </row>
    <row r="60" spans="1:4" x14ac:dyDescent="0.2">
      <c r="A60" s="14">
        <v>35217</v>
      </c>
      <c r="B60" s="18">
        <f>VLOOKUP(A60,Database!A:Q,MATCH($A$1,Database!$A$1:$Q$1,),)</f>
        <v>51798</v>
      </c>
      <c r="C60" s="15">
        <f t="shared" si="0"/>
        <v>-7.7011494252873566E-3</v>
      </c>
      <c r="D60" s="16">
        <f t="shared" si="1"/>
        <v>4.322081688552324E-2</v>
      </c>
    </row>
    <row r="61" spans="1:4" x14ac:dyDescent="0.2">
      <c r="A61" s="13">
        <v>35247</v>
      </c>
      <c r="B61" s="18">
        <f>VLOOKUP(A61,Database!A:Q,MATCH($A$1,Database!$A$1:$Q$1,),)</f>
        <v>52004</v>
      </c>
      <c r="C61" s="15">
        <f t="shared" si="0"/>
        <v>3.9769875284760029E-3</v>
      </c>
      <c r="D61" s="16">
        <f t="shared" si="1"/>
        <v>6.4957404980340763E-2</v>
      </c>
    </row>
    <row r="62" spans="1:4" x14ac:dyDescent="0.2">
      <c r="A62" s="14">
        <v>35278</v>
      </c>
      <c r="B62" s="18">
        <f>VLOOKUP(A62,Database!A:Q,MATCH($A$1,Database!$A$1:$Q$1,),)</f>
        <v>51472</v>
      </c>
      <c r="C62" s="15">
        <f t="shared" si="0"/>
        <v>-1.022998230905315E-2</v>
      </c>
      <c r="D62" s="16">
        <f t="shared" si="1"/>
        <v>3.4654659483798346E-2</v>
      </c>
    </row>
    <row r="63" spans="1:4" x14ac:dyDescent="0.2">
      <c r="A63" s="13">
        <v>35309</v>
      </c>
      <c r="B63" s="18">
        <f>VLOOKUP(A63,Database!A:Q,MATCH($A$1,Database!$A$1:$Q$1,),)</f>
        <v>53184</v>
      </c>
      <c r="C63" s="15">
        <f t="shared" si="0"/>
        <v>3.3260801989431148E-2</v>
      </c>
      <c r="D63" s="16">
        <f t="shared" si="1"/>
        <v>8.123932666504026E-2</v>
      </c>
    </row>
    <row r="64" spans="1:4" x14ac:dyDescent="0.2">
      <c r="A64" s="14">
        <v>35339</v>
      </c>
      <c r="B64" s="18">
        <f>VLOOKUP(A64,Database!A:Q,MATCH($A$1,Database!$A$1:$Q$1,),)</f>
        <v>53450</v>
      </c>
      <c r="C64" s="15">
        <f t="shared" si="0"/>
        <v>5.0015042117930201E-3</v>
      </c>
      <c r="D64" s="16">
        <f t="shared" si="1"/>
        <v>8.4816626413103044E-2</v>
      </c>
    </row>
    <row r="65" spans="1:4" x14ac:dyDescent="0.2">
      <c r="A65" s="13">
        <v>35370</v>
      </c>
      <c r="B65" s="18">
        <f>VLOOKUP(A65,Database!A:Q,MATCH($A$1,Database!$A$1:$Q$1,),)</f>
        <v>52710</v>
      </c>
      <c r="C65" s="15">
        <f t="shared" si="0"/>
        <v>-1.3844714686623013E-2</v>
      </c>
      <c r="D65" s="16">
        <f t="shared" si="1"/>
        <v>5.7096444257264907E-2</v>
      </c>
    </row>
    <row r="66" spans="1:4" x14ac:dyDescent="0.2">
      <c r="A66" s="14">
        <v>35400</v>
      </c>
      <c r="B66" s="18">
        <f>VLOOKUP(A66,Database!A:Q,MATCH($A$1,Database!$A$1:$Q$1,),)</f>
        <v>52835</v>
      </c>
      <c r="C66" s="15">
        <f t="shared" si="0"/>
        <v>2.3714665148928098E-3</v>
      </c>
      <c r="D66" s="16">
        <f t="shared" si="1"/>
        <v>5.3266351693479257E-2</v>
      </c>
    </row>
    <row r="67" spans="1:4" x14ac:dyDescent="0.2">
      <c r="A67" s="13">
        <v>35431</v>
      </c>
      <c r="B67" s="18">
        <f>VLOOKUP(A67,Database!A:Q,MATCH($A$1,Database!$A$1:$Q$1,),)</f>
        <v>54010</v>
      </c>
      <c r="C67" s="15">
        <f t="shared" si="0"/>
        <v>2.2239046086874232E-2</v>
      </c>
      <c r="D67" s="16">
        <f t="shared" si="1"/>
        <v>7.2712466980476273E-2</v>
      </c>
    </row>
    <row r="68" spans="1:4" x14ac:dyDescent="0.2">
      <c r="A68" s="14">
        <v>35462</v>
      </c>
      <c r="B68" s="18">
        <f>VLOOKUP(A68,Database!A:Q,MATCH($A$1,Database!$A$1:$Q$1,),)</f>
        <v>54601</v>
      </c>
      <c r="C68" s="15">
        <f t="shared" si="0"/>
        <v>1.0942418070727643E-2</v>
      </c>
      <c r="D68" s="16">
        <f t="shared" si="1"/>
        <v>4.4235771113831091E-2</v>
      </c>
    </row>
    <row r="69" spans="1:4" x14ac:dyDescent="0.2">
      <c r="A69" s="13">
        <v>35490</v>
      </c>
      <c r="B69" s="18">
        <f>VLOOKUP(A69,Database!A:Q,MATCH($A$1,Database!$A$1:$Q$1,),)</f>
        <v>54233</v>
      </c>
      <c r="C69" s="15">
        <f t="shared" si="0"/>
        <v>-6.7398033003058548E-3</v>
      </c>
      <c r="D69" s="16">
        <f t="shared" si="1"/>
        <v>3.6009016581340259E-2</v>
      </c>
    </row>
    <row r="70" spans="1:4" x14ac:dyDescent="0.2">
      <c r="A70" s="14">
        <v>35521</v>
      </c>
      <c r="B70" s="18">
        <f>VLOOKUP(A70,Database!A:Q,MATCH($A$1,Database!$A$1:$Q$1,),)</f>
        <v>53861</v>
      </c>
      <c r="C70" s="15">
        <f t="shared" si="0"/>
        <v>-6.859292312798481E-3</v>
      </c>
      <c r="D70" s="16">
        <f t="shared" si="1"/>
        <v>4.5215501348702725E-2</v>
      </c>
    </row>
    <row r="71" spans="1:4" x14ac:dyDescent="0.2">
      <c r="A71" s="13">
        <v>35551</v>
      </c>
      <c r="B71" s="18">
        <f>VLOOKUP(A71,Database!A:Q,MATCH($A$1,Database!$A$1:$Q$1,),)</f>
        <v>52191</v>
      </c>
      <c r="C71" s="15">
        <f t="shared" si="0"/>
        <v>-3.1005736989658566E-2</v>
      </c>
      <c r="D71" s="16">
        <f t="shared" si="1"/>
        <v>-1.7241379310344826E-4</v>
      </c>
    </row>
    <row r="72" spans="1:4" x14ac:dyDescent="0.2">
      <c r="A72" s="14">
        <v>35582</v>
      </c>
      <c r="B72" s="18">
        <f>VLOOKUP(A72,Database!A:Q,MATCH($A$1,Database!$A$1:$Q$1,),)</f>
        <v>54066</v>
      </c>
      <c r="C72" s="15">
        <f t="shared" si="0"/>
        <v>3.5925734322009545E-2</v>
      </c>
      <c r="D72" s="16">
        <f t="shared" si="1"/>
        <v>4.3785474342638714E-2</v>
      </c>
    </row>
    <row r="73" spans="1:4" x14ac:dyDescent="0.2">
      <c r="A73" s="13">
        <v>35612</v>
      </c>
      <c r="B73" s="18">
        <f>VLOOKUP(A73,Database!A:Q,MATCH($A$1,Database!$A$1:$Q$1,),)</f>
        <v>55255</v>
      </c>
      <c r="C73" s="15">
        <f t="shared" ref="C73:C136" si="2">(B73-B72)/B72</f>
        <v>2.1991639847593683E-2</v>
      </c>
      <c r="D73" s="16">
        <f t="shared" si="1"/>
        <v>6.2514421967540965E-2</v>
      </c>
    </row>
    <row r="74" spans="1:4" x14ac:dyDescent="0.2">
      <c r="A74" s="14">
        <v>35643</v>
      </c>
      <c r="B74" s="18">
        <f>VLOOKUP(A74,Database!A:Q,MATCH($A$1,Database!$A$1:$Q$1,),)</f>
        <v>55488</v>
      </c>
      <c r="C74" s="15">
        <f t="shared" si="2"/>
        <v>4.2168129581033392E-3</v>
      </c>
      <c r="D74" s="16">
        <f t="shared" si="1"/>
        <v>7.8023002797637547E-2</v>
      </c>
    </row>
    <row r="75" spans="1:4" x14ac:dyDescent="0.2">
      <c r="A75" s="13">
        <v>35674</v>
      </c>
      <c r="B75" s="18">
        <f>VLOOKUP(A75,Database!A:Q,MATCH($A$1,Database!$A$1:$Q$1,),)</f>
        <v>55334</v>
      </c>
      <c r="C75" s="15">
        <f t="shared" si="2"/>
        <v>-2.775374855824683E-3</v>
      </c>
      <c r="D75" s="16">
        <f t="shared" si="1"/>
        <v>4.042569193742479E-2</v>
      </c>
    </row>
    <row r="76" spans="1:4" x14ac:dyDescent="0.2">
      <c r="A76" s="14">
        <v>35704</v>
      </c>
      <c r="B76" s="18">
        <f>VLOOKUP(A76,Database!A:Q,MATCH($A$1,Database!$A$1:$Q$1,),)</f>
        <v>54856</v>
      </c>
      <c r="C76" s="15">
        <f t="shared" si="2"/>
        <v>-8.6384501391549504E-3</v>
      </c>
      <c r="D76" s="16">
        <f t="shared" si="1"/>
        <v>2.6304957904583724E-2</v>
      </c>
    </row>
    <row r="77" spans="1:4" x14ac:dyDescent="0.2">
      <c r="A77" s="13">
        <v>35735</v>
      </c>
      <c r="B77" s="18">
        <f>VLOOKUP(A77,Database!A:Q,MATCH($A$1,Database!$A$1:$Q$1,),)</f>
        <v>55314</v>
      </c>
      <c r="C77" s="15">
        <f t="shared" si="2"/>
        <v>8.3491322735890338E-3</v>
      </c>
      <c r="D77" s="16">
        <f t="shared" si="1"/>
        <v>4.9402390438247012E-2</v>
      </c>
    </row>
    <row r="78" spans="1:4" x14ac:dyDescent="0.2">
      <c r="A78" s="14">
        <v>35765</v>
      </c>
      <c r="B78" s="18">
        <f>VLOOKUP(A78,Database!A:Q,MATCH($A$1,Database!$A$1:$Q$1,),)</f>
        <v>55763</v>
      </c>
      <c r="C78" s="15">
        <f t="shared" si="2"/>
        <v>8.1172939942871607E-3</v>
      </c>
      <c r="D78" s="16">
        <f t="shared" si="1"/>
        <v>5.5417810163717232E-2</v>
      </c>
    </row>
    <row r="79" spans="1:4" x14ac:dyDescent="0.2">
      <c r="A79" s="13">
        <v>35796</v>
      </c>
      <c r="B79" s="18">
        <f>VLOOKUP(A79,Database!A:Q,MATCH($A$1,Database!$A$1:$Q$1,),)</f>
        <v>55494</v>
      </c>
      <c r="C79" s="15">
        <f t="shared" si="2"/>
        <v>-4.8239872316769182E-3</v>
      </c>
      <c r="D79" s="16">
        <f t="shared" si="1"/>
        <v>2.7476393260507312E-2</v>
      </c>
    </row>
    <row r="80" spans="1:4" x14ac:dyDescent="0.2">
      <c r="A80" s="14">
        <v>35827</v>
      </c>
      <c r="B80" s="18">
        <f>VLOOKUP(A80,Database!A:Q,MATCH($A$1,Database!$A$1:$Q$1,),)</f>
        <v>54841</v>
      </c>
      <c r="C80" s="15">
        <f t="shared" si="2"/>
        <v>-1.1767037877968789E-2</v>
      </c>
      <c r="D80" s="16">
        <f t="shared" si="1"/>
        <v>4.3955238915038188E-3</v>
      </c>
    </row>
    <row r="81" spans="1:4" x14ac:dyDescent="0.2">
      <c r="A81" s="13">
        <v>35855</v>
      </c>
      <c r="B81" s="18">
        <f>VLOOKUP(A81,Database!A:Q,MATCH($A$1,Database!$A$1:$Q$1,),)</f>
        <v>56135</v>
      </c>
      <c r="C81" s="15">
        <f t="shared" si="2"/>
        <v>2.3595485129738698E-2</v>
      </c>
      <c r="D81" s="16">
        <f t="shared" si="1"/>
        <v>3.5070897792856749E-2</v>
      </c>
    </row>
    <row r="82" spans="1:4" x14ac:dyDescent="0.2">
      <c r="A82" s="14">
        <v>35886</v>
      </c>
      <c r="B82" s="18">
        <f>VLOOKUP(A82,Database!A:Q,MATCH($A$1,Database!$A$1:$Q$1,),)</f>
        <v>57464</v>
      </c>
      <c r="C82" s="15">
        <f t="shared" si="2"/>
        <v>2.3675069030016923E-2</v>
      </c>
      <c r="D82" s="16">
        <f t="shared" si="1"/>
        <v>6.689441339744899E-2</v>
      </c>
    </row>
    <row r="83" spans="1:4" x14ac:dyDescent="0.2">
      <c r="A83" s="13">
        <v>35916</v>
      </c>
      <c r="B83" s="18">
        <f>VLOOKUP(A83,Database!A:Q,MATCH($A$1,Database!$A$1:$Q$1,),)</f>
        <v>57882</v>
      </c>
      <c r="C83" s="15">
        <f t="shared" si="2"/>
        <v>7.2741194486983154E-3</v>
      </c>
      <c r="D83" s="16">
        <f t="shared" si="1"/>
        <v>0.10904178881416336</v>
      </c>
    </row>
    <row r="84" spans="1:4" x14ac:dyDescent="0.2">
      <c r="A84" s="14">
        <v>35947</v>
      </c>
      <c r="B84" s="18">
        <f>VLOOKUP(A84,Database!A:Q,MATCH($A$1,Database!$A$1:$Q$1,),)</f>
        <v>59264</v>
      </c>
      <c r="C84" s="15">
        <f t="shared" si="2"/>
        <v>2.3876161846515323E-2</v>
      </c>
      <c r="D84" s="16">
        <f t="shared" ref="D84:D147" si="3">(B84-B72)/B72</f>
        <v>9.6141752672659342E-2</v>
      </c>
    </row>
    <row r="85" spans="1:4" x14ac:dyDescent="0.2">
      <c r="A85" s="13">
        <v>35977</v>
      </c>
      <c r="B85" s="18">
        <f>VLOOKUP(A85,Database!A:Q,MATCH($A$1,Database!$A$1:$Q$1,),)</f>
        <v>56320</v>
      </c>
      <c r="C85" s="15">
        <f t="shared" si="2"/>
        <v>-4.9676025917926567E-2</v>
      </c>
      <c r="D85" s="16">
        <f t="shared" si="3"/>
        <v>1.927427382137363E-2</v>
      </c>
    </row>
    <row r="86" spans="1:4" x14ac:dyDescent="0.2">
      <c r="A86" s="14">
        <v>36008</v>
      </c>
      <c r="B86" s="18">
        <f>VLOOKUP(A86,Database!A:Q,MATCH($A$1,Database!$A$1:$Q$1,),)</f>
        <v>54997</v>
      </c>
      <c r="C86" s="15">
        <f t="shared" si="2"/>
        <v>-2.3490767045454546E-2</v>
      </c>
      <c r="D86" s="16">
        <f t="shared" si="3"/>
        <v>-8.8487600922722027E-3</v>
      </c>
    </row>
    <row r="87" spans="1:4" x14ac:dyDescent="0.2">
      <c r="A87" s="13">
        <v>36039</v>
      </c>
      <c r="B87" s="18">
        <f>VLOOKUP(A87,Database!A:Q,MATCH($A$1,Database!$A$1:$Q$1,),)</f>
        <v>57196</v>
      </c>
      <c r="C87" s="15">
        <f t="shared" si="2"/>
        <v>3.9983999127225119E-2</v>
      </c>
      <c r="D87" s="16">
        <f t="shared" si="3"/>
        <v>3.3650196985578487E-2</v>
      </c>
    </row>
    <row r="88" spans="1:4" x14ac:dyDescent="0.2">
      <c r="A88" s="14">
        <v>36069</v>
      </c>
      <c r="B88" s="18">
        <f>VLOOKUP(A88,Database!A:Q,MATCH($A$1,Database!$A$1:$Q$1,),)</f>
        <v>59294</v>
      </c>
      <c r="C88" s="15">
        <f t="shared" si="2"/>
        <v>3.6680886775298974E-2</v>
      </c>
      <c r="D88" s="16">
        <f t="shared" si="3"/>
        <v>8.0902727140148747E-2</v>
      </c>
    </row>
    <row r="89" spans="1:4" x14ac:dyDescent="0.2">
      <c r="A89" s="13">
        <v>36100</v>
      </c>
      <c r="B89" s="18">
        <f>VLOOKUP(A89,Database!A:Q,MATCH($A$1,Database!$A$1:$Q$1,),)</f>
        <v>59817</v>
      </c>
      <c r="C89" s="15">
        <f t="shared" si="2"/>
        <v>8.8204540088373199E-3</v>
      </c>
      <c r="D89" s="16">
        <f t="shared" si="3"/>
        <v>8.1407961817984598E-2</v>
      </c>
    </row>
    <row r="90" spans="1:4" x14ac:dyDescent="0.2">
      <c r="A90" s="14">
        <v>36130</v>
      </c>
      <c r="B90" s="18">
        <f>VLOOKUP(A90,Database!A:Q,MATCH($A$1,Database!$A$1:$Q$1,),)</f>
        <v>60473</v>
      </c>
      <c r="C90" s="15">
        <f t="shared" si="2"/>
        <v>1.0966782018489727E-2</v>
      </c>
      <c r="D90" s="16">
        <f t="shared" si="3"/>
        <v>8.4464609149436001E-2</v>
      </c>
    </row>
    <row r="91" spans="1:4" x14ac:dyDescent="0.2">
      <c r="A91" s="13">
        <v>36161</v>
      </c>
      <c r="B91" s="18">
        <f>VLOOKUP(A91,Database!A:Q,MATCH($A$1,Database!$A$1:$Q$1,),)</f>
        <v>60535</v>
      </c>
      <c r="C91" s="15">
        <f t="shared" si="2"/>
        <v>1.0252509384353348E-3</v>
      </c>
      <c r="D91" s="16">
        <f t="shared" si="3"/>
        <v>9.0838649223339465E-2</v>
      </c>
    </row>
    <row r="92" spans="1:4" x14ac:dyDescent="0.2">
      <c r="A92" s="14">
        <v>36192</v>
      </c>
      <c r="B92" s="18">
        <f>VLOOKUP(A92,Database!A:Q,MATCH($A$1,Database!$A$1:$Q$1,),)</f>
        <v>61260</v>
      </c>
      <c r="C92" s="15">
        <f t="shared" si="2"/>
        <v>1.197654249607665E-2</v>
      </c>
      <c r="D92" s="16">
        <f t="shared" si="3"/>
        <v>0.11704746448824785</v>
      </c>
    </row>
    <row r="93" spans="1:4" x14ac:dyDescent="0.2">
      <c r="A93" s="13">
        <v>36220</v>
      </c>
      <c r="B93" s="18">
        <f>VLOOKUP(A93,Database!A:Q,MATCH($A$1,Database!$A$1:$Q$1,),)</f>
        <v>61641</v>
      </c>
      <c r="C93" s="15">
        <f t="shared" si="2"/>
        <v>6.2193927522037219E-3</v>
      </c>
      <c r="D93" s="16">
        <f t="shared" si="3"/>
        <v>9.8084973724058069E-2</v>
      </c>
    </row>
    <row r="94" spans="1:4" x14ac:dyDescent="0.2">
      <c r="A94" s="14">
        <v>36251</v>
      </c>
      <c r="B94" s="18">
        <f>VLOOKUP(A94,Database!A:Q,MATCH($A$1,Database!$A$1:$Q$1,),)</f>
        <v>62150</v>
      </c>
      <c r="C94" s="15">
        <f t="shared" si="2"/>
        <v>8.2574909556950727E-3</v>
      </c>
      <c r="D94" s="16">
        <f t="shared" si="3"/>
        <v>8.1546707503828489E-2</v>
      </c>
    </row>
    <row r="95" spans="1:4" x14ac:dyDescent="0.2">
      <c r="A95" s="13">
        <v>36281</v>
      </c>
      <c r="B95" s="18">
        <f>VLOOKUP(A95,Database!A:Q,MATCH($A$1,Database!$A$1:$Q$1,),)</f>
        <v>63211</v>
      </c>
      <c r="C95" s="15">
        <f t="shared" si="2"/>
        <v>1.7071600965406275E-2</v>
      </c>
      <c r="D95" s="16">
        <f t="shared" si="3"/>
        <v>9.2066618292387964E-2</v>
      </c>
    </row>
    <row r="96" spans="1:4" x14ac:dyDescent="0.2">
      <c r="A96" s="14">
        <v>36312</v>
      </c>
      <c r="B96" s="18">
        <f>VLOOKUP(A96,Database!A:Q,MATCH($A$1,Database!$A$1:$Q$1,),)</f>
        <v>63452</v>
      </c>
      <c r="C96" s="15">
        <f t="shared" si="2"/>
        <v>3.8126275490025468E-3</v>
      </c>
      <c r="D96" s="16">
        <f t="shared" si="3"/>
        <v>7.0666846652267815E-2</v>
      </c>
    </row>
    <row r="97" spans="1:4" x14ac:dyDescent="0.2">
      <c r="A97" s="13">
        <v>36342</v>
      </c>
      <c r="B97" s="18">
        <f>VLOOKUP(A97,Database!A:Q,MATCH($A$1,Database!$A$1:$Q$1,),)</f>
        <v>64509</v>
      </c>
      <c r="C97" s="15">
        <f t="shared" si="2"/>
        <v>1.6658261362920004E-2</v>
      </c>
      <c r="D97" s="16">
        <f t="shared" si="3"/>
        <v>0.14540127840909092</v>
      </c>
    </row>
    <row r="98" spans="1:4" x14ac:dyDescent="0.2">
      <c r="A98" s="14">
        <v>36373</v>
      </c>
      <c r="B98" s="18">
        <f>VLOOKUP(A98,Database!A:Q,MATCH($A$1,Database!$A$1:$Q$1,),)</f>
        <v>65713</v>
      </c>
      <c r="C98" s="15">
        <f t="shared" si="2"/>
        <v>1.8664062378892867E-2</v>
      </c>
      <c r="D98" s="16">
        <f t="shared" si="3"/>
        <v>0.19484699165409022</v>
      </c>
    </row>
    <row r="99" spans="1:4" x14ac:dyDescent="0.2">
      <c r="A99" s="13">
        <v>36404</v>
      </c>
      <c r="B99" s="18">
        <f>VLOOKUP(A99,Database!A:Q,MATCH($A$1,Database!$A$1:$Q$1,),)</f>
        <v>65150</v>
      </c>
      <c r="C99" s="15">
        <f t="shared" si="2"/>
        <v>-8.5675589305008147E-3</v>
      </c>
      <c r="D99" s="16">
        <f t="shared" si="3"/>
        <v>0.13906566892789707</v>
      </c>
    </row>
    <row r="100" spans="1:4" x14ac:dyDescent="0.2">
      <c r="A100" s="14">
        <v>36434</v>
      </c>
      <c r="B100" s="18">
        <f>VLOOKUP(A100,Database!A:Q,MATCH($A$1,Database!$A$1:$Q$1,),)</f>
        <v>64519</v>
      </c>
      <c r="C100" s="15">
        <f t="shared" si="2"/>
        <v>-9.685341519570222E-3</v>
      </c>
      <c r="D100" s="16">
        <f t="shared" si="3"/>
        <v>8.8120214524235171E-2</v>
      </c>
    </row>
    <row r="101" spans="1:4" x14ac:dyDescent="0.2">
      <c r="A101" s="13">
        <v>36465</v>
      </c>
      <c r="B101" s="18">
        <f>VLOOKUP(A101,Database!A:Q,MATCH($A$1,Database!$A$1:$Q$1,),)</f>
        <v>66269</v>
      </c>
      <c r="C101" s="15">
        <f t="shared" si="2"/>
        <v>2.7123792991211891E-2</v>
      </c>
      <c r="D101" s="16">
        <f t="shared" si="3"/>
        <v>0.10786231338917031</v>
      </c>
    </row>
    <row r="102" spans="1:4" x14ac:dyDescent="0.2">
      <c r="A102" s="14">
        <v>36495</v>
      </c>
      <c r="B102" s="18">
        <f>VLOOKUP(A102,Database!A:Q,MATCH($A$1,Database!$A$1:$Q$1,),)</f>
        <v>65909</v>
      </c>
      <c r="C102" s="15">
        <f t="shared" si="2"/>
        <v>-5.4324042915993905E-3</v>
      </c>
      <c r="D102" s="16">
        <f t="shared" si="3"/>
        <v>8.9891356473136771E-2</v>
      </c>
    </row>
    <row r="103" spans="1:4" x14ac:dyDescent="0.2">
      <c r="A103" s="13">
        <v>36526</v>
      </c>
      <c r="B103" s="18">
        <f>VLOOKUP(A103,Database!A:Q,MATCH($A$1,Database!$A$1:$Q$1,),)</f>
        <v>67679</v>
      </c>
      <c r="C103" s="15">
        <f t="shared" si="2"/>
        <v>2.6855209455461319E-2</v>
      </c>
      <c r="D103" s="16">
        <f t="shared" si="3"/>
        <v>0.11801437185099529</v>
      </c>
    </row>
    <row r="104" spans="1:4" x14ac:dyDescent="0.2">
      <c r="A104" s="14">
        <v>36557</v>
      </c>
      <c r="B104" s="18">
        <f>VLOOKUP(A104,Database!A:Q,MATCH($A$1,Database!$A$1:$Q$1,),)</f>
        <v>69085</v>
      </c>
      <c r="C104" s="15">
        <f t="shared" si="2"/>
        <v>2.0774538630889936E-2</v>
      </c>
      <c r="D104" s="16">
        <f t="shared" si="3"/>
        <v>0.12773424746980086</v>
      </c>
    </row>
    <row r="105" spans="1:4" x14ac:dyDescent="0.2">
      <c r="A105" s="13">
        <v>36586</v>
      </c>
      <c r="B105" s="18">
        <f>VLOOKUP(A105,Database!A:Q,MATCH($A$1,Database!$A$1:$Q$1,),)</f>
        <v>68433</v>
      </c>
      <c r="C105" s="15">
        <f t="shared" si="2"/>
        <v>-9.4376492726351603E-3</v>
      </c>
      <c r="D105" s="16">
        <f t="shared" si="3"/>
        <v>0.1101864019078211</v>
      </c>
    </row>
    <row r="106" spans="1:4" x14ac:dyDescent="0.2">
      <c r="A106" s="14">
        <v>36617</v>
      </c>
      <c r="B106" s="18">
        <f>VLOOKUP(A106,Database!A:Q,MATCH($A$1,Database!$A$1:$Q$1,),)</f>
        <v>65812</v>
      </c>
      <c r="C106" s="15">
        <f t="shared" si="2"/>
        <v>-3.8300235266611138E-2</v>
      </c>
      <c r="D106" s="16">
        <f t="shared" si="3"/>
        <v>5.8921962992759452E-2</v>
      </c>
    </row>
    <row r="107" spans="1:4" x14ac:dyDescent="0.2">
      <c r="A107" s="13">
        <v>36647</v>
      </c>
      <c r="B107" s="18">
        <f>VLOOKUP(A107,Database!A:Q,MATCH($A$1,Database!$A$1:$Q$1,),)</f>
        <v>65781</v>
      </c>
      <c r="C107" s="15">
        <f t="shared" si="2"/>
        <v>-4.7103871634352395E-4</v>
      </c>
      <c r="D107" s="16">
        <f t="shared" si="3"/>
        <v>4.0657480501811394E-2</v>
      </c>
    </row>
    <row r="108" spans="1:4" x14ac:dyDescent="0.2">
      <c r="A108" s="14">
        <v>36678</v>
      </c>
      <c r="B108" s="18">
        <f>VLOOKUP(A108,Database!A:Q,MATCH($A$1,Database!$A$1:$Q$1,),)</f>
        <v>66638</v>
      </c>
      <c r="C108" s="15">
        <f t="shared" si="2"/>
        <v>1.3028078016448518E-2</v>
      </c>
      <c r="D108" s="16">
        <f t="shared" si="3"/>
        <v>5.0211183256634935E-2</v>
      </c>
    </row>
    <row r="109" spans="1:4" x14ac:dyDescent="0.2">
      <c r="A109" s="13">
        <v>36708</v>
      </c>
      <c r="B109" s="18">
        <f>VLOOKUP(A109,Database!A:Q,MATCH($A$1,Database!$A$1:$Q$1,),)</f>
        <v>65205</v>
      </c>
      <c r="C109" s="15">
        <f t="shared" si="2"/>
        <v>-2.1504246826135238E-2</v>
      </c>
      <c r="D109" s="16">
        <f t="shared" si="3"/>
        <v>1.0789192205738735E-2</v>
      </c>
    </row>
    <row r="110" spans="1:4" x14ac:dyDescent="0.2">
      <c r="A110" s="14">
        <v>36739</v>
      </c>
      <c r="B110" s="18">
        <f>VLOOKUP(A110,Database!A:Q,MATCH($A$1,Database!$A$1:$Q$1,),)</f>
        <v>65311</v>
      </c>
      <c r="C110" s="15">
        <f t="shared" si="2"/>
        <v>1.6256422053523502E-3</v>
      </c>
      <c r="D110" s="16">
        <f t="shared" si="3"/>
        <v>-6.1175109947803324E-3</v>
      </c>
    </row>
    <row r="111" spans="1:4" x14ac:dyDescent="0.2">
      <c r="A111" s="13">
        <v>36770</v>
      </c>
      <c r="B111" s="18">
        <f>VLOOKUP(A111,Database!A:Q,MATCH($A$1,Database!$A$1:$Q$1,),)</f>
        <v>66850</v>
      </c>
      <c r="C111" s="15">
        <f t="shared" si="2"/>
        <v>2.3564177550489198E-2</v>
      </c>
      <c r="D111" s="16">
        <f t="shared" si="3"/>
        <v>2.6093630084420567E-2</v>
      </c>
    </row>
    <row r="112" spans="1:4" x14ac:dyDescent="0.2">
      <c r="A112" s="14">
        <v>36800</v>
      </c>
      <c r="B112" s="18">
        <f>VLOOKUP(A112,Database!A:Q,MATCH($A$1,Database!$A$1:$Q$1,),)</f>
        <v>66208</v>
      </c>
      <c r="C112" s="15">
        <f t="shared" si="2"/>
        <v>-9.6035901271503358E-3</v>
      </c>
      <c r="D112" s="16">
        <f t="shared" si="3"/>
        <v>2.6178335064089647E-2</v>
      </c>
    </row>
    <row r="113" spans="1:4" x14ac:dyDescent="0.2">
      <c r="A113" s="13">
        <v>36831</v>
      </c>
      <c r="B113" s="18">
        <f>VLOOKUP(A113,Database!A:Q,MATCH($A$1,Database!$A$1:$Q$1,),)</f>
        <v>64645</v>
      </c>
      <c r="C113" s="15">
        <f t="shared" si="2"/>
        <v>-2.3607419043015949E-2</v>
      </c>
      <c r="D113" s="16">
        <f t="shared" si="3"/>
        <v>-2.4506179359881693E-2</v>
      </c>
    </row>
    <row r="114" spans="1:4" x14ac:dyDescent="0.2">
      <c r="A114" s="14">
        <v>36861</v>
      </c>
      <c r="B114" s="18">
        <f>VLOOKUP(A114,Database!A:Q,MATCH($A$1,Database!$A$1:$Q$1,),)</f>
        <v>63524</v>
      </c>
      <c r="C114" s="15">
        <f t="shared" si="2"/>
        <v>-1.7340861628896281E-2</v>
      </c>
      <c r="D114" s="16">
        <f t="shared" si="3"/>
        <v>-3.618625680863008E-2</v>
      </c>
    </row>
    <row r="115" spans="1:4" x14ac:dyDescent="0.2">
      <c r="A115" s="13">
        <v>36892</v>
      </c>
      <c r="B115" s="18">
        <f>VLOOKUP(A115,Database!A:Q,MATCH($A$1,Database!$A$1:$Q$1,),)</f>
        <v>65926</v>
      </c>
      <c r="C115" s="15">
        <f t="shared" si="2"/>
        <v>3.7812480322397833E-2</v>
      </c>
      <c r="D115" s="16">
        <f t="shared" si="3"/>
        <v>-2.5901682944487952E-2</v>
      </c>
    </row>
    <row r="116" spans="1:4" x14ac:dyDescent="0.2">
      <c r="A116" s="14">
        <v>36923</v>
      </c>
      <c r="B116" s="18">
        <f>VLOOKUP(A116,Database!A:Q,MATCH($A$1,Database!$A$1:$Q$1,),)</f>
        <v>66188</v>
      </c>
      <c r="C116" s="15">
        <f t="shared" si="2"/>
        <v>3.974152838030519E-3</v>
      </c>
      <c r="D116" s="16">
        <f t="shared" si="3"/>
        <v>-4.193384960555837E-2</v>
      </c>
    </row>
    <row r="117" spans="1:4" x14ac:dyDescent="0.2">
      <c r="A117" s="13">
        <v>36951</v>
      </c>
      <c r="B117" s="18">
        <f>VLOOKUP(A117,Database!A:Q,MATCH($A$1,Database!$A$1:$Q$1,),)</f>
        <v>65671</v>
      </c>
      <c r="C117" s="15">
        <f t="shared" si="2"/>
        <v>-7.8110835801051548E-3</v>
      </c>
      <c r="D117" s="16">
        <f t="shared" si="3"/>
        <v>-4.0360644718191514E-2</v>
      </c>
    </row>
    <row r="118" spans="1:4" x14ac:dyDescent="0.2">
      <c r="A118" s="14">
        <v>36982</v>
      </c>
      <c r="B118" s="18">
        <f>VLOOKUP(A118,Database!A:Q,MATCH($A$1,Database!$A$1:$Q$1,),)</f>
        <v>66933</v>
      </c>
      <c r="C118" s="15">
        <f t="shared" si="2"/>
        <v>1.9217005984376666E-2</v>
      </c>
      <c r="D118" s="16">
        <f t="shared" si="3"/>
        <v>1.7033367774873884E-2</v>
      </c>
    </row>
    <row r="119" spans="1:4" x14ac:dyDescent="0.2">
      <c r="A119" s="13">
        <v>37012</v>
      </c>
      <c r="B119" s="18">
        <f>VLOOKUP(A119,Database!A:Q,MATCH($A$1,Database!$A$1:$Q$1,),)</f>
        <v>67039</v>
      </c>
      <c r="C119" s="15">
        <f t="shared" si="2"/>
        <v>1.5836732254642702E-3</v>
      </c>
      <c r="D119" s="16">
        <f t="shared" si="3"/>
        <v>1.91240631793375E-2</v>
      </c>
    </row>
    <row r="120" spans="1:4" x14ac:dyDescent="0.2">
      <c r="A120" s="14">
        <v>37043</v>
      </c>
      <c r="B120" s="18">
        <f>VLOOKUP(A120,Database!A:Q,MATCH($A$1,Database!$A$1:$Q$1,),)</f>
        <v>66710</v>
      </c>
      <c r="C120" s="15">
        <f t="shared" si="2"/>
        <v>-4.9075911036859142E-3</v>
      </c>
      <c r="D120" s="16">
        <f t="shared" si="3"/>
        <v>1.0804645997779046E-3</v>
      </c>
    </row>
    <row r="121" spans="1:4" x14ac:dyDescent="0.2">
      <c r="A121" s="13">
        <v>37073</v>
      </c>
      <c r="B121" s="18">
        <f>VLOOKUP(A121,Database!A:Q,MATCH($A$1,Database!$A$1:$Q$1,),)</f>
        <v>66067</v>
      </c>
      <c r="C121" s="15">
        <f t="shared" si="2"/>
        <v>-9.6387348223654617E-3</v>
      </c>
      <c r="D121" s="16">
        <f t="shared" si="3"/>
        <v>1.3219845103903075E-2</v>
      </c>
    </row>
    <row r="122" spans="1:4" x14ac:dyDescent="0.2">
      <c r="A122" s="14">
        <v>37104</v>
      </c>
      <c r="B122" s="18">
        <f>VLOOKUP(A122,Database!A:Q,MATCH($A$1,Database!$A$1:$Q$1,),)</f>
        <v>66350</v>
      </c>
      <c r="C122" s="15">
        <f t="shared" si="2"/>
        <v>4.2835303555481558E-3</v>
      </c>
      <c r="D122" s="16">
        <f t="shared" si="3"/>
        <v>1.5908499333955994E-2</v>
      </c>
    </row>
    <row r="123" spans="1:4" x14ac:dyDescent="0.2">
      <c r="A123" s="13">
        <v>37135</v>
      </c>
      <c r="B123" s="18">
        <f>VLOOKUP(A123,Database!A:Q,MATCH($A$1,Database!$A$1:$Q$1,),)</f>
        <v>63929</v>
      </c>
      <c r="C123" s="15">
        <f t="shared" si="2"/>
        <v>-3.6488319517709117E-2</v>
      </c>
      <c r="D123" s="16">
        <f t="shared" si="3"/>
        <v>-4.3694839192221391E-2</v>
      </c>
    </row>
    <row r="124" spans="1:4" x14ac:dyDescent="0.2">
      <c r="A124" s="14">
        <v>37165</v>
      </c>
      <c r="B124" s="18">
        <f>VLOOKUP(A124,Database!A:Q,MATCH($A$1,Database!$A$1:$Q$1,),)</f>
        <v>80455</v>
      </c>
      <c r="C124" s="15">
        <f t="shared" si="2"/>
        <v>0.25850552957186879</v>
      </c>
      <c r="D124" s="16">
        <f t="shared" si="3"/>
        <v>0.21518547607539876</v>
      </c>
    </row>
    <row r="125" spans="1:4" x14ac:dyDescent="0.2">
      <c r="A125" s="13">
        <v>37196</v>
      </c>
      <c r="B125" s="18">
        <f>VLOOKUP(A125,Database!A:Q,MATCH($A$1,Database!$A$1:$Q$1,),)</f>
        <v>72413</v>
      </c>
      <c r="C125" s="15">
        <f t="shared" si="2"/>
        <v>-9.9956497420918528E-2</v>
      </c>
      <c r="D125" s="16">
        <f t="shared" si="3"/>
        <v>0.12016397246500116</v>
      </c>
    </row>
    <row r="126" spans="1:4" x14ac:dyDescent="0.2">
      <c r="A126" s="14">
        <v>37226</v>
      </c>
      <c r="B126" s="18">
        <f>VLOOKUP(A126,Database!A:Q,MATCH($A$1,Database!$A$1:$Q$1,),)</f>
        <v>68220</v>
      </c>
      <c r="C126" s="15">
        <f t="shared" si="2"/>
        <v>-5.7903967519644266E-2</v>
      </c>
      <c r="D126" s="16">
        <f t="shared" si="3"/>
        <v>7.3924815817643721E-2</v>
      </c>
    </row>
    <row r="127" spans="1:4" x14ac:dyDescent="0.2">
      <c r="A127" s="13">
        <v>37257</v>
      </c>
      <c r="B127" s="18">
        <f>VLOOKUP(A127,Database!A:Q,MATCH($A$1,Database!$A$1:$Q$1,),)</f>
        <v>67665</v>
      </c>
      <c r="C127" s="15">
        <f t="shared" si="2"/>
        <v>-8.1354441512752861E-3</v>
      </c>
      <c r="D127" s="16">
        <f t="shared" si="3"/>
        <v>2.6378060249370505E-2</v>
      </c>
    </row>
    <row r="128" spans="1:4" x14ac:dyDescent="0.2">
      <c r="A128" s="14">
        <v>37288</v>
      </c>
      <c r="B128" s="18">
        <f>VLOOKUP(A128,Database!A:Q,MATCH($A$1,Database!$A$1:$Q$1,),)</f>
        <v>68168</v>
      </c>
      <c r="C128" s="15">
        <f t="shared" si="2"/>
        <v>7.4336806325278944E-3</v>
      </c>
      <c r="D128" s="16">
        <f t="shared" si="3"/>
        <v>2.9914788179126125E-2</v>
      </c>
    </row>
    <row r="129" spans="1:4" x14ac:dyDescent="0.2">
      <c r="A129" s="13">
        <v>37316</v>
      </c>
      <c r="B129" s="18">
        <f>VLOOKUP(A129,Database!A:Q,MATCH($A$1,Database!$A$1:$Q$1,),)</f>
        <v>66570</v>
      </c>
      <c r="C129" s="15">
        <f t="shared" si="2"/>
        <v>-2.3442084262410515E-2</v>
      </c>
      <c r="D129" s="16">
        <f t="shared" si="3"/>
        <v>1.3689451965098749E-2</v>
      </c>
    </row>
    <row r="130" spans="1:4" x14ac:dyDescent="0.2">
      <c r="A130" s="14">
        <v>37347</v>
      </c>
      <c r="B130" s="18">
        <f>VLOOKUP(A130,Database!A:Q,MATCH($A$1,Database!$A$1:$Q$1,),)</f>
        <v>68251</v>
      </c>
      <c r="C130" s="15">
        <f t="shared" si="2"/>
        <v>2.5251614841520203E-2</v>
      </c>
      <c r="D130" s="16">
        <f t="shared" si="3"/>
        <v>1.9691333124168944E-2</v>
      </c>
    </row>
    <row r="131" spans="1:4" x14ac:dyDescent="0.2">
      <c r="A131" s="13">
        <v>37377</v>
      </c>
      <c r="B131" s="18">
        <f>VLOOKUP(A131,Database!A:Q,MATCH($A$1,Database!$A$1:$Q$1,),)</f>
        <v>65062</v>
      </c>
      <c r="C131" s="15">
        <f t="shared" si="2"/>
        <v>-4.6724590115895741E-2</v>
      </c>
      <c r="D131" s="16">
        <f t="shared" si="3"/>
        <v>-2.9490296692969764E-2</v>
      </c>
    </row>
    <row r="132" spans="1:4" x14ac:dyDescent="0.2">
      <c r="A132" s="14">
        <v>37408</v>
      </c>
      <c r="B132" s="18">
        <f>VLOOKUP(A132,Database!A:Q,MATCH($A$1,Database!$A$1:$Q$1,),)</f>
        <v>67354</v>
      </c>
      <c r="C132" s="15">
        <f t="shared" si="2"/>
        <v>3.5227936429866893E-2</v>
      </c>
      <c r="D132" s="16">
        <f t="shared" si="3"/>
        <v>9.6537250786988462E-3</v>
      </c>
    </row>
    <row r="133" spans="1:4" x14ac:dyDescent="0.2">
      <c r="A133" s="13">
        <v>37438</v>
      </c>
      <c r="B133" s="18">
        <f>VLOOKUP(A133,Database!A:Q,MATCH($A$1,Database!$A$1:$Q$1,),)</f>
        <v>69944</v>
      </c>
      <c r="C133" s="15">
        <f t="shared" si="2"/>
        <v>3.8453543961754315E-2</v>
      </c>
      <c r="D133" s="16">
        <f t="shared" si="3"/>
        <v>5.8682852256043111E-2</v>
      </c>
    </row>
    <row r="134" spans="1:4" x14ac:dyDescent="0.2">
      <c r="A134" s="14">
        <v>37469</v>
      </c>
      <c r="B134" s="18">
        <f>VLOOKUP(A134,Database!A:Q,MATCH($A$1,Database!$A$1:$Q$1,),)</f>
        <v>72204</v>
      </c>
      <c r="C134" s="15">
        <f t="shared" si="2"/>
        <v>3.2311563536543519E-2</v>
      </c>
      <c r="D134" s="16">
        <f t="shared" si="3"/>
        <v>8.8229088168801803E-2</v>
      </c>
    </row>
    <row r="135" spans="1:4" x14ac:dyDescent="0.2">
      <c r="A135" s="13">
        <v>37500</v>
      </c>
      <c r="B135" s="18">
        <f>VLOOKUP(A135,Database!A:Q,MATCH($A$1,Database!$A$1:$Q$1,),)</f>
        <v>68066</v>
      </c>
      <c r="C135" s="15">
        <f t="shared" si="2"/>
        <v>-5.7309844329954021E-2</v>
      </c>
      <c r="D135" s="16">
        <f t="shared" si="3"/>
        <v>6.4712415335763107E-2</v>
      </c>
    </row>
    <row r="136" spans="1:4" x14ac:dyDescent="0.2">
      <c r="A136" s="14">
        <v>37530</v>
      </c>
      <c r="B136" s="18">
        <f>VLOOKUP(A136,Database!A:Q,MATCH($A$1,Database!$A$1:$Q$1,),)</f>
        <v>67553</v>
      </c>
      <c r="C136" s="15">
        <f t="shared" si="2"/>
        <v>-7.5368025152058298E-3</v>
      </c>
      <c r="D136" s="16">
        <f t="shared" si="3"/>
        <v>-0.16036293580262259</v>
      </c>
    </row>
    <row r="137" spans="1:4" x14ac:dyDescent="0.2">
      <c r="A137" s="13">
        <v>37561</v>
      </c>
      <c r="B137" s="18">
        <f>VLOOKUP(A137,Database!A:Q,MATCH($A$1,Database!$A$1:$Q$1,),)</f>
        <v>67931</v>
      </c>
      <c r="C137" s="15">
        <f t="shared" ref="C137:C200" si="4">(B137-B136)/B136</f>
        <v>5.595606412742587E-3</v>
      </c>
      <c r="D137" s="16">
        <f t="shared" si="3"/>
        <v>-6.1894963611506218E-2</v>
      </c>
    </row>
    <row r="138" spans="1:4" x14ac:dyDescent="0.2">
      <c r="A138" s="14">
        <v>37591</v>
      </c>
      <c r="B138" s="18">
        <f>VLOOKUP(A138,Database!A:Q,MATCH($A$1,Database!$A$1:$Q$1,),)</f>
        <v>69794</v>
      </c>
      <c r="C138" s="15">
        <f t="shared" si="4"/>
        <v>2.7424887017709145E-2</v>
      </c>
      <c r="D138" s="16">
        <f t="shared" si="3"/>
        <v>2.3072412782175315E-2</v>
      </c>
    </row>
    <row r="139" spans="1:4" x14ac:dyDescent="0.2">
      <c r="A139" s="13">
        <v>37622</v>
      </c>
      <c r="B139" s="18">
        <f>VLOOKUP(A139,Database!A:Q,MATCH($A$1,Database!$A$1:$Q$1,),)</f>
        <v>69673</v>
      </c>
      <c r="C139" s="15">
        <f t="shared" si="4"/>
        <v>-1.7336733816660458E-3</v>
      </c>
      <c r="D139" s="16">
        <f t="shared" si="3"/>
        <v>2.9675607773590483E-2</v>
      </c>
    </row>
    <row r="140" spans="1:4" x14ac:dyDescent="0.2">
      <c r="A140" s="14">
        <v>37653</v>
      </c>
      <c r="B140" s="18">
        <f>VLOOKUP(A140,Database!A:Q,MATCH($A$1,Database!$A$1:$Q$1,),)</f>
        <v>66535</v>
      </c>
      <c r="C140" s="15">
        <f t="shared" si="4"/>
        <v>-4.5038967749343364E-2</v>
      </c>
      <c r="D140" s="16">
        <f t="shared" si="3"/>
        <v>-2.3955521652388217E-2</v>
      </c>
    </row>
    <row r="141" spans="1:4" x14ac:dyDescent="0.2">
      <c r="A141" s="13">
        <v>37681</v>
      </c>
      <c r="B141" s="18">
        <f>VLOOKUP(A141,Database!A:Q,MATCH($A$1,Database!$A$1:$Q$1,),)</f>
        <v>68628</v>
      </c>
      <c r="C141" s="15">
        <f t="shared" si="4"/>
        <v>3.1457127827459234E-2</v>
      </c>
      <c r="D141" s="16">
        <f t="shared" si="3"/>
        <v>3.0914826498422712E-2</v>
      </c>
    </row>
    <row r="142" spans="1:4" x14ac:dyDescent="0.2">
      <c r="A142" s="14">
        <v>37712</v>
      </c>
      <c r="B142" s="18">
        <f>VLOOKUP(A142,Database!A:Q,MATCH($A$1,Database!$A$1:$Q$1,),)</f>
        <v>69580</v>
      </c>
      <c r="C142" s="15">
        <f t="shared" si="4"/>
        <v>1.38718890248878E-2</v>
      </c>
      <c r="D142" s="16">
        <f t="shared" si="3"/>
        <v>1.9472242164949964E-2</v>
      </c>
    </row>
    <row r="143" spans="1:4" x14ac:dyDescent="0.2">
      <c r="A143" s="13">
        <v>37742</v>
      </c>
      <c r="B143" s="18">
        <f>VLOOKUP(A143,Database!A:Q,MATCH($A$1,Database!$A$1:$Q$1,),)</f>
        <v>69660</v>
      </c>
      <c r="C143" s="15">
        <f t="shared" si="4"/>
        <v>1.1497556769186547E-3</v>
      </c>
      <c r="D143" s="16">
        <f t="shared" si="3"/>
        <v>7.0671052227106457E-2</v>
      </c>
    </row>
    <row r="144" spans="1:4" x14ac:dyDescent="0.2">
      <c r="A144" s="14">
        <v>37773</v>
      </c>
      <c r="B144" s="18">
        <f>VLOOKUP(A144,Database!A:Q,MATCH($A$1,Database!$A$1:$Q$1,),)</f>
        <v>70325</v>
      </c>
      <c r="C144" s="15">
        <f t="shared" si="4"/>
        <v>9.5463680734998568E-3</v>
      </c>
      <c r="D144" s="16">
        <f t="shared" si="3"/>
        <v>4.4110223594738249E-2</v>
      </c>
    </row>
    <row r="145" spans="1:4" x14ac:dyDescent="0.2">
      <c r="A145" s="13">
        <v>37803</v>
      </c>
      <c r="B145" s="18">
        <f>VLOOKUP(A145,Database!A:Q,MATCH($A$1,Database!$A$1:$Q$1,),)</f>
        <v>71049</v>
      </c>
      <c r="C145" s="15">
        <f t="shared" si="4"/>
        <v>1.0295058656238891E-2</v>
      </c>
      <c r="D145" s="16">
        <f t="shared" si="3"/>
        <v>1.5798352968088757E-2</v>
      </c>
    </row>
    <row r="146" spans="1:4" x14ac:dyDescent="0.2">
      <c r="A146" s="14">
        <v>37834</v>
      </c>
      <c r="B146" s="18">
        <f>VLOOKUP(A146,Database!A:Q,MATCH($A$1,Database!$A$1:$Q$1,),)</f>
        <v>72919</v>
      </c>
      <c r="C146" s="15">
        <f t="shared" si="4"/>
        <v>2.631986375599938E-2</v>
      </c>
      <c r="D146" s="16">
        <f t="shared" si="3"/>
        <v>9.9024984765386966E-3</v>
      </c>
    </row>
    <row r="147" spans="1:4" x14ac:dyDescent="0.2">
      <c r="A147" s="13">
        <v>37865</v>
      </c>
      <c r="B147" s="18">
        <f>VLOOKUP(A147,Database!A:Q,MATCH($A$1,Database!$A$1:$Q$1,),)</f>
        <v>71184</v>
      </c>
      <c r="C147" s="15">
        <f t="shared" si="4"/>
        <v>-2.3793524321507425E-2</v>
      </c>
      <c r="D147" s="16">
        <f t="shared" si="3"/>
        <v>4.5808480004701321E-2</v>
      </c>
    </row>
    <row r="148" spans="1:4" x14ac:dyDescent="0.2">
      <c r="A148" s="14">
        <v>37895</v>
      </c>
      <c r="B148" s="18">
        <f>VLOOKUP(A148,Database!A:Q,MATCH($A$1,Database!$A$1:$Q$1,),)</f>
        <v>69817</v>
      </c>
      <c r="C148" s="15">
        <f t="shared" si="4"/>
        <v>-1.9203753652506182E-2</v>
      </c>
      <c r="D148" s="16">
        <f t="shared" ref="D148:D211" si="5">(B148-B136)/B136</f>
        <v>3.3514425710183114E-2</v>
      </c>
    </row>
    <row r="149" spans="1:4" x14ac:dyDescent="0.2">
      <c r="A149" s="13">
        <v>37926</v>
      </c>
      <c r="B149" s="18">
        <f>VLOOKUP(A149,Database!A:Q,MATCH($A$1,Database!$A$1:$Q$1,),)</f>
        <v>71738</v>
      </c>
      <c r="C149" s="15">
        <f t="shared" si="4"/>
        <v>2.7514788661787245E-2</v>
      </c>
      <c r="D149" s="16">
        <f t="shared" si="5"/>
        <v>5.6042160427492604E-2</v>
      </c>
    </row>
    <row r="150" spans="1:4" x14ac:dyDescent="0.2">
      <c r="A150" s="14">
        <v>37956</v>
      </c>
      <c r="B150" s="18">
        <f>VLOOKUP(A150,Database!A:Q,MATCH($A$1,Database!$A$1:$Q$1,),)</f>
        <v>70103</v>
      </c>
      <c r="C150" s="15">
        <f t="shared" si="4"/>
        <v>-2.2791268226044773E-2</v>
      </c>
      <c r="D150" s="16">
        <f t="shared" si="5"/>
        <v>4.4273146688827121E-3</v>
      </c>
    </row>
    <row r="151" spans="1:4" x14ac:dyDescent="0.2">
      <c r="A151" s="13">
        <v>37987</v>
      </c>
      <c r="B151" s="18">
        <f>VLOOKUP(A151,Database!A:Q,MATCH($A$1,Database!$A$1:$Q$1,),)</f>
        <v>69270</v>
      </c>
      <c r="C151" s="15">
        <f t="shared" si="4"/>
        <v>-1.188251572685905E-2</v>
      </c>
      <c r="D151" s="16">
        <f t="shared" si="5"/>
        <v>-5.7841631622005656E-3</v>
      </c>
    </row>
    <row r="152" spans="1:4" x14ac:dyDescent="0.2">
      <c r="A152" s="14">
        <v>38018</v>
      </c>
      <c r="B152" s="18">
        <f>VLOOKUP(A152,Database!A:Q,MATCH($A$1,Database!$A$1:$Q$1,),)</f>
        <v>71093</v>
      </c>
      <c r="C152" s="15">
        <f t="shared" si="4"/>
        <v>2.6317309080409988E-2</v>
      </c>
      <c r="D152" s="16">
        <f t="shared" si="5"/>
        <v>6.8505297963477874E-2</v>
      </c>
    </row>
    <row r="153" spans="1:4" x14ac:dyDescent="0.2">
      <c r="A153" s="13">
        <v>38047</v>
      </c>
      <c r="B153" s="18">
        <f>VLOOKUP(A153,Database!A:Q,MATCH($A$1,Database!$A$1:$Q$1,),)</f>
        <v>72137</v>
      </c>
      <c r="C153" s="15">
        <f t="shared" si="4"/>
        <v>1.468499008341187E-2</v>
      </c>
      <c r="D153" s="16">
        <f t="shared" si="5"/>
        <v>5.1130733811272366E-2</v>
      </c>
    </row>
    <row r="154" spans="1:4" x14ac:dyDescent="0.2">
      <c r="A154" s="14">
        <v>38078</v>
      </c>
      <c r="B154" s="18">
        <f>VLOOKUP(A154,Database!A:Q,MATCH($A$1,Database!$A$1:$Q$1,),)</f>
        <v>69960</v>
      </c>
      <c r="C154" s="15">
        <f t="shared" si="4"/>
        <v>-3.0178687774651013E-2</v>
      </c>
      <c r="D154" s="16">
        <f t="shared" si="5"/>
        <v>5.4613394653636104E-3</v>
      </c>
    </row>
    <row r="155" spans="1:4" x14ac:dyDescent="0.2">
      <c r="A155" s="13">
        <v>38108</v>
      </c>
      <c r="B155" s="18">
        <f>VLOOKUP(A155,Database!A:Q,MATCH($A$1,Database!$A$1:$Q$1,),)</f>
        <v>72821</v>
      </c>
      <c r="C155" s="15">
        <f t="shared" si="4"/>
        <v>4.0894797026872501E-2</v>
      </c>
      <c r="D155" s="16">
        <f t="shared" si="5"/>
        <v>4.5377548090726388E-2</v>
      </c>
    </row>
    <row r="156" spans="1:4" x14ac:dyDescent="0.2">
      <c r="A156" s="14">
        <v>38139</v>
      </c>
      <c r="B156" s="18">
        <f>VLOOKUP(A156,Database!A:Q,MATCH($A$1,Database!$A$1:$Q$1,),)</f>
        <v>68991</v>
      </c>
      <c r="C156" s="15">
        <f t="shared" si="4"/>
        <v>-5.2594718556460363E-2</v>
      </c>
      <c r="D156" s="16">
        <f t="shared" si="5"/>
        <v>-1.8969072164948454E-2</v>
      </c>
    </row>
    <row r="157" spans="1:4" x14ac:dyDescent="0.2">
      <c r="A157" s="13">
        <v>38169</v>
      </c>
      <c r="B157" s="18">
        <f>VLOOKUP(A157,Database!A:Q,MATCH($A$1,Database!$A$1:$Q$1,),)</f>
        <v>71238</v>
      </c>
      <c r="C157" s="15">
        <f t="shared" si="4"/>
        <v>3.2569465582467282E-2</v>
      </c>
      <c r="D157" s="16">
        <f t="shared" si="5"/>
        <v>2.6601359625047501E-3</v>
      </c>
    </row>
    <row r="158" spans="1:4" x14ac:dyDescent="0.2">
      <c r="A158" s="14">
        <v>38200</v>
      </c>
      <c r="B158" s="18">
        <f>VLOOKUP(A158,Database!A:Q,MATCH($A$1,Database!$A$1:$Q$1,),)</f>
        <v>71365</v>
      </c>
      <c r="C158" s="15">
        <f t="shared" si="4"/>
        <v>1.7827563940593504E-3</v>
      </c>
      <c r="D158" s="16">
        <f t="shared" si="5"/>
        <v>-2.1311318037822789E-2</v>
      </c>
    </row>
    <row r="159" spans="1:4" x14ac:dyDescent="0.2">
      <c r="A159" s="13">
        <v>38231</v>
      </c>
      <c r="B159" s="18">
        <f>VLOOKUP(A159,Database!A:Q,MATCH($A$1,Database!$A$1:$Q$1,),)</f>
        <v>74729</v>
      </c>
      <c r="C159" s="15">
        <f t="shared" si="4"/>
        <v>4.7137952777972399E-2</v>
      </c>
      <c r="D159" s="16">
        <f t="shared" si="5"/>
        <v>4.9800516970105645E-2</v>
      </c>
    </row>
    <row r="160" spans="1:4" x14ac:dyDescent="0.2">
      <c r="A160" s="14">
        <v>38261</v>
      </c>
      <c r="B160" s="18">
        <f>VLOOKUP(A160,Database!A:Q,MATCH($A$1,Database!$A$1:$Q$1,),)</f>
        <v>73858</v>
      </c>
      <c r="C160" s="15">
        <f t="shared" si="4"/>
        <v>-1.1655448353383559E-2</v>
      </c>
      <c r="D160" s="16">
        <f t="shared" si="5"/>
        <v>5.7879885987653437E-2</v>
      </c>
    </row>
    <row r="161" spans="1:4" x14ac:dyDescent="0.2">
      <c r="A161" s="13">
        <v>38292</v>
      </c>
      <c r="B161" s="18">
        <f>VLOOKUP(A161,Database!A:Q,MATCH($A$1,Database!$A$1:$Q$1,),)</f>
        <v>73407</v>
      </c>
      <c r="C161" s="15">
        <f t="shared" si="4"/>
        <v>-6.1063121124319639E-3</v>
      </c>
      <c r="D161" s="16">
        <f t="shared" si="5"/>
        <v>2.3265215088237753E-2</v>
      </c>
    </row>
    <row r="162" spans="1:4" x14ac:dyDescent="0.2">
      <c r="A162" s="14">
        <v>38322</v>
      </c>
      <c r="B162" s="18">
        <f>VLOOKUP(A162,Database!A:Q,MATCH($A$1,Database!$A$1:$Q$1,),)</f>
        <v>75387</v>
      </c>
      <c r="C162" s="15">
        <f t="shared" si="4"/>
        <v>2.6972904491397279E-2</v>
      </c>
      <c r="D162" s="16">
        <f t="shared" si="5"/>
        <v>7.5374805643125112E-2</v>
      </c>
    </row>
    <row r="163" spans="1:4" x14ac:dyDescent="0.2">
      <c r="A163" s="13">
        <v>38353</v>
      </c>
      <c r="B163" s="18">
        <f>VLOOKUP(A163,Database!A:Q,MATCH($A$1,Database!$A$1:$Q$1,),)</f>
        <v>72083</v>
      </c>
      <c r="C163" s="15">
        <f t="shared" si="4"/>
        <v>-4.3827185058431826E-2</v>
      </c>
      <c r="D163" s="16">
        <f t="shared" si="5"/>
        <v>4.060921033636495E-2</v>
      </c>
    </row>
    <row r="164" spans="1:4" x14ac:dyDescent="0.2">
      <c r="A164" s="14">
        <v>38384</v>
      </c>
      <c r="B164" s="18">
        <f>VLOOKUP(A164,Database!A:Q,MATCH($A$1,Database!$A$1:$Q$1,),)</f>
        <v>73773</v>
      </c>
      <c r="C164" s="15">
        <f t="shared" si="4"/>
        <v>2.3445195122289583E-2</v>
      </c>
      <c r="D164" s="16">
        <f t="shared" si="5"/>
        <v>3.7697100980405948E-2</v>
      </c>
    </row>
    <row r="165" spans="1:4" x14ac:dyDescent="0.2">
      <c r="A165" s="13">
        <v>38412</v>
      </c>
      <c r="B165" s="18">
        <f>VLOOKUP(A165,Database!A:Q,MATCH($A$1,Database!$A$1:$Q$1,),)</f>
        <v>74147</v>
      </c>
      <c r="C165" s="15">
        <f t="shared" si="4"/>
        <v>5.0696054111937974E-3</v>
      </c>
      <c r="D165" s="16">
        <f t="shared" si="5"/>
        <v>2.7863648335805482E-2</v>
      </c>
    </row>
    <row r="166" spans="1:4" x14ac:dyDescent="0.2">
      <c r="A166" s="14">
        <v>38443</v>
      </c>
      <c r="B166" s="18">
        <f>VLOOKUP(A166,Database!A:Q,MATCH($A$1,Database!$A$1:$Q$1,),)</f>
        <v>73649</v>
      </c>
      <c r="C166" s="15">
        <f t="shared" si="4"/>
        <v>-6.7163877162933093E-3</v>
      </c>
      <c r="D166" s="16">
        <f t="shared" si="5"/>
        <v>5.2730131503716408E-2</v>
      </c>
    </row>
    <row r="167" spans="1:4" x14ac:dyDescent="0.2">
      <c r="A167" s="13">
        <v>38473</v>
      </c>
      <c r="B167" s="18">
        <f>VLOOKUP(A167,Database!A:Q,MATCH($A$1,Database!$A$1:$Q$1,),)</f>
        <v>73225</v>
      </c>
      <c r="C167" s="15">
        <f t="shared" si="4"/>
        <v>-5.7570367554209837E-3</v>
      </c>
      <c r="D167" s="16">
        <f t="shared" si="5"/>
        <v>5.5478502080443829E-3</v>
      </c>
    </row>
    <row r="168" spans="1:4" x14ac:dyDescent="0.2">
      <c r="A168" s="14">
        <v>38504</v>
      </c>
      <c r="B168" s="18">
        <f>VLOOKUP(A168,Database!A:Q,MATCH($A$1,Database!$A$1:$Q$1,),)</f>
        <v>79639</v>
      </c>
      <c r="C168" s="15">
        <f t="shared" si="4"/>
        <v>8.7593035165585517E-2</v>
      </c>
      <c r="D168" s="16">
        <f t="shared" si="5"/>
        <v>0.15433897174993841</v>
      </c>
    </row>
    <row r="169" spans="1:4" x14ac:dyDescent="0.2">
      <c r="A169" s="13">
        <v>38534</v>
      </c>
      <c r="B169" s="18">
        <f>VLOOKUP(A169,Database!A:Q,MATCH($A$1,Database!$A$1:$Q$1,),)</f>
        <v>81605</v>
      </c>
      <c r="C169" s="15">
        <f t="shared" si="4"/>
        <v>2.4686397368123659E-2</v>
      </c>
      <c r="D169" s="16">
        <f t="shared" si="5"/>
        <v>0.14552626407254554</v>
      </c>
    </row>
    <row r="170" spans="1:4" x14ac:dyDescent="0.2">
      <c r="A170" s="14">
        <v>38565</v>
      </c>
      <c r="B170" s="18">
        <f>VLOOKUP(A170,Database!A:Q,MATCH($A$1,Database!$A$1:$Q$1,),)</f>
        <v>73787</v>
      </c>
      <c r="C170" s="15">
        <f t="shared" si="4"/>
        <v>-9.5802953250413575E-2</v>
      </c>
      <c r="D170" s="16">
        <f t="shared" si="5"/>
        <v>3.3938205002452183E-2</v>
      </c>
    </row>
    <row r="171" spans="1:4" x14ac:dyDescent="0.2">
      <c r="A171" s="13">
        <v>38596</v>
      </c>
      <c r="B171" s="18">
        <f>VLOOKUP(A171,Database!A:Q,MATCH($A$1,Database!$A$1:$Q$1,),)</f>
        <v>70627</v>
      </c>
      <c r="C171" s="15">
        <f t="shared" si="4"/>
        <v>-4.2825972054697979E-2</v>
      </c>
      <c r="D171" s="16">
        <f t="shared" si="5"/>
        <v>-5.4891675253248402E-2</v>
      </c>
    </row>
    <row r="172" spans="1:4" x14ac:dyDescent="0.2">
      <c r="A172" s="14">
        <v>38626</v>
      </c>
      <c r="B172" s="18">
        <f>VLOOKUP(A172,Database!A:Q,MATCH($A$1,Database!$A$1:$Q$1,),)</f>
        <v>67853</v>
      </c>
      <c r="C172" s="15">
        <f t="shared" si="4"/>
        <v>-3.9276763843855748E-2</v>
      </c>
      <c r="D172" s="16">
        <f t="shared" si="5"/>
        <v>-8.1304665709875712E-2</v>
      </c>
    </row>
    <row r="173" spans="1:4" x14ac:dyDescent="0.2">
      <c r="A173" s="13">
        <v>38657</v>
      </c>
      <c r="B173" s="18">
        <f>VLOOKUP(A173,Database!A:Q,MATCH($A$1,Database!$A$1:$Q$1,),)</f>
        <v>73211</v>
      </c>
      <c r="C173" s="15">
        <f t="shared" si="4"/>
        <v>7.8964821010124822E-2</v>
      </c>
      <c r="D173" s="16">
        <f t="shared" si="5"/>
        <v>-2.6700450910676094E-3</v>
      </c>
    </row>
    <row r="174" spans="1:4" x14ac:dyDescent="0.2">
      <c r="A174" s="14">
        <v>38687</v>
      </c>
      <c r="B174" s="18">
        <f>VLOOKUP(A174,Database!A:Q,MATCH($A$1,Database!$A$1:$Q$1,),)</f>
        <v>73332</v>
      </c>
      <c r="C174" s="15">
        <f t="shared" si="4"/>
        <v>1.6527570993429949E-3</v>
      </c>
      <c r="D174" s="16">
        <f t="shared" si="5"/>
        <v>-2.7259341796330931E-2</v>
      </c>
    </row>
    <row r="175" spans="1:4" x14ac:dyDescent="0.2">
      <c r="A175" s="13">
        <v>38718</v>
      </c>
      <c r="B175" s="18">
        <f>VLOOKUP(A175,Database!A:Q,MATCH($A$1,Database!$A$1:$Q$1,),)</f>
        <v>76757</v>
      </c>
      <c r="C175" s="15">
        <f t="shared" si="4"/>
        <v>4.6705394643538976E-2</v>
      </c>
      <c r="D175" s="16">
        <f t="shared" si="5"/>
        <v>6.4841918344131069E-2</v>
      </c>
    </row>
    <row r="176" spans="1:4" x14ac:dyDescent="0.2">
      <c r="A176" s="14">
        <v>38749</v>
      </c>
      <c r="B176" s="18">
        <f>VLOOKUP(A176,Database!A:Q,MATCH($A$1,Database!$A$1:$Q$1,),)</f>
        <v>74108</v>
      </c>
      <c r="C176" s="15">
        <f t="shared" si="4"/>
        <v>-3.4511510350847478E-2</v>
      </c>
      <c r="D176" s="16">
        <f t="shared" si="5"/>
        <v>4.5409567185826791E-3</v>
      </c>
    </row>
    <row r="177" spans="1:4" x14ac:dyDescent="0.2">
      <c r="A177" s="13">
        <v>38777</v>
      </c>
      <c r="B177" s="18">
        <f>VLOOKUP(A177,Database!A:Q,MATCH($A$1,Database!$A$1:$Q$1,),)</f>
        <v>74609</v>
      </c>
      <c r="C177" s="15">
        <f t="shared" si="4"/>
        <v>6.7604037350893287E-3</v>
      </c>
      <c r="D177" s="16">
        <f t="shared" si="5"/>
        <v>6.2308657127058409E-3</v>
      </c>
    </row>
    <row r="178" spans="1:4" x14ac:dyDescent="0.2">
      <c r="A178" s="14">
        <v>38808</v>
      </c>
      <c r="B178" s="18">
        <f>VLOOKUP(A178,Database!A:Q,MATCH($A$1,Database!$A$1:$Q$1,),)</f>
        <v>74898</v>
      </c>
      <c r="C178" s="15">
        <f t="shared" si="4"/>
        <v>3.8735273224409922E-3</v>
      </c>
      <c r="D178" s="16">
        <f t="shared" si="5"/>
        <v>1.6958818178115113E-2</v>
      </c>
    </row>
    <row r="179" spans="1:4" x14ac:dyDescent="0.2">
      <c r="A179" s="13">
        <v>38838</v>
      </c>
      <c r="B179" s="18">
        <f>VLOOKUP(A179,Database!A:Q,MATCH($A$1,Database!$A$1:$Q$1,),)</f>
        <v>74081</v>
      </c>
      <c r="C179" s="15">
        <f t="shared" si="4"/>
        <v>-1.0908168442415017E-2</v>
      </c>
      <c r="D179" s="16">
        <f t="shared" si="5"/>
        <v>1.1689996585865482E-2</v>
      </c>
    </row>
    <row r="180" spans="1:4" x14ac:dyDescent="0.2">
      <c r="A180" s="14">
        <v>38869</v>
      </c>
      <c r="B180" s="18">
        <f>VLOOKUP(A180,Database!A:Q,MATCH($A$1,Database!$A$1:$Q$1,),)</f>
        <v>75369</v>
      </c>
      <c r="C180" s="15">
        <f t="shared" si="4"/>
        <v>1.7386374373996032E-2</v>
      </c>
      <c r="D180" s="16">
        <f t="shared" si="5"/>
        <v>-5.3616946470950159E-2</v>
      </c>
    </row>
    <row r="181" spans="1:4" x14ac:dyDescent="0.2">
      <c r="A181" s="13">
        <v>38899</v>
      </c>
      <c r="B181" s="18">
        <f>VLOOKUP(A181,Database!A:Q,MATCH($A$1,Database!$A$1:$Q$1,),)</f>
        <v>75964</v>
      </c>
      <c r="C181" s="15">
        <f t="shared" si="4"/>
        <v>7.8944924305749051E-3</v>
      </c>
      <c r="D181" s="16">
        <f t="shared" si="5"/>
        <v>-6.912566631946572E-2</v>
      </c>
    </row>
    <row r="182" spans="1:4" x14ac:dyDescent="0.2">
      <c r="A182" s="14">
        <v>38930</v>
      </c>
      <c r="B182" s="18">
        <f>VLOOKUP(A182,Database!A:Q,MATCH($A$1,Database!$A$1:$Q$1,),)</f>
        <v>75187</v>
      </c>
      <c r="C182" s="15">
        <f t="shared" si="4"/>
        <v>-1.022852930335422E-2</v>
      </c>
      <c r="D182" s="16">
        <f t="shared" si="5"/>
        <v>1.8973531922967461E-2</v>
      </c>
    </row>
    <row r="183" spans="1:4" x14ac:dyDescent="0.2">
      <c r="A183" s="13">
        <v>38961</v>
      </c>
      <c r="B183" s="18">
        <f>VLOOKUP(A183,Database!A:Q,MATCH($A$1,Database!$A$1:$Q$1,),)</f>
        <v>74579</v>
      </c>
      <c r="C183" s="15">
        <f t="shared" si="4"/>
        <v>-8.0865043159056745E-3</v>
      </c>
      <c r="D183" s="16">
        <f t="shared" si="5"/>
        <v>5.5955937530972576E-2</v>
      </c>
    </row>
    <row r="184" spans="1:4" x14ac:dyDescent="0.2">
      <c r="A184" s="14">
        <v>38991</v>
      </c>
      <c r="B184" s="18">
        <f>VLOOKUP(A184,Database!A:Q,MATCH($A$1,Database!$A$1:$Q$1,),)</f>
        <v>75447</v>
      </c>
      <c r="C184" s="15">
        <f t="shared" si="4"/>
        <v>1.16386650397565E-2</v>
      </c>
      <c r="D184" s="16">
        <f t="shared" si="5"/>
        <v>0.11191841186093467</v>
      </c>
    </row>
    <row r="185" spans="1:4" x14ac:dyDescent="0.2">
      <c r="A185" s="13">
        <v>39022</v>
      </c>
      <c r="B185" s="18">
        <f>VLOOKUP(A185,Database!A:Q,MATCH($A$1,Database!$A$1:$Q$1,),)</f>
        <v>76064</v>
      </c>
      <c r="C185" s="15">
        <f t="shared" si="4"/>
        <v>8.1779262263575753E-3</v>
      </c>
      <c r="D185" s="16">
        <f t="shared" si="5"/>
        <v>3.8969553755583176E-2</v>
      </c>
    </row>
    <row r="186" spans="1:4" x14ac:dyDescent="0.2">
      <c r="A186" s="14">
        <v>39052</v>
      </c>
      <c r="B186" s="18">
        <f>VLOOKUP(A186,Database!A:Q,MATCH($A$1,Database!$A$1:$Q$1,),)</f>
        <v>75438</v>
      </c>
      <c r="C186" s="15">
        <f t="shared" si="4"/>
        <v>-8.2299116533445515E-3</v>
      </c>
      <c r="D186" s="16">
        <f t="shared" si="5"/>
        <v>2.8718703976435934E-2</v>
      </c>
    </row>
    <row r="187" spans="1:4" x14ac:dyDescent="0.2">
      <c r="A187" s="13">
        <v>39083</v>
      </c>
      <c r="B187" s="18">
        <f>VLOOKUP(A187,Database!A:Q,MATCH($A$1,Database!$A$1:$Q$1,),)</f>
        <v>75399</v>
      </c>
      <c r="C187" s="15">
        <f t="shared" si="4"/>
        <v>-5.169808319414619E-4</v>
      </c>
      <c r="D187" s="16">
        <f t="shared" si="5"/>
        <v>-1.7692197454303841E-2</v>
      </c>
    </row>
    <row r="188" spans="1:4" x14ac:dyDescent="0.2">
      <c r="A188" s="14">
        <v>39114</v>
      </c>
      <c r="B188" s="18">
        <f>VLOOKUP(A188,Database!A:Q,MATCH($A$1,Database!$A$1:$Q$1,),)</f>
        <v>75841</v>
      </c>
      <c r="C188" s="15">
        <f t="shared" si="4"/>
        <v>5.8621467128211245E-3</v>
      </c>
      <c r="D188" s="16">
        <f t="shared" si="5"/>
        <v>2.338478976628704E-2</v>
      </c>
    </row>
    <row r="189" spans="1:4" x14ac:dyDescent="0.2">
      <c r="A189" s="13">
        <v>39142</v>
      </c>
      <c r="B189" s="18">
        <f>VLOOKUP(A189,Database!A:Q,MATCH($A$1,Database!$A$1:$Q$1,),)</f>
        <v>75472</v>
      </c>
      <c r="C189" s="15">
        <f t="shared" si="4"/>
        <v>-4.8654421750768057E-3</v>
      </c>
      <c r="D189" s="16">
        <f t="shared" si="5"/>
        <v>1.15669691324103E-2</v>
      </c>
    </row>
    <row r="190" spans="1:4" x14ac:dyDescent="0.2">
      <c r="A190" s="14">
        <v>39173</v>
      </c>
      <c r="B190" s="18">
        <f>VLOOKUP(A190,Database!A:Q,MATCH($A$1,Database!$A$1:$Q$1,),)</f>
        <v>76205</v>
      </c>
      <c r="C190" s="15">
        <f t="shared" si="4"/>
        <v>9.7122111511553956E-3</v>
      </c>
      <c r="D190" s="16">
        <f t="shared" si="5"/>
        <v>1.745039920959171E-2</v>
      </c>
    </row>
    <row r="191" spans="1:4" x14ac:dyDescent="0.2">
      <c r="A191" s="13">
        <v>39203</v>
      </c>
      <c r="B191" s="18">
        <f>VLOOKUP(A191,Database!A:Q,MATCH($A$1,Database!$A$1:$Q$1,),)</f>
        <v>77186</v>
      </c>
      <c r="C191" s="15">
        <f t="shared" si="4"/>
        <v>1.2873171051768257E-2</v>
      </c>
      <c r="D191" s="16">
        <f t="shared" si="5"/>
        <v>4.1913581080169002E-2</v>
      </c>
    </row>
    <row r="192" spans="1:4" x14ac:dyDescent="0.2">
      <c r="A192" s="14">
        <v>39234</v>
      </c>
      <c r="B192" s="18">
        <f>VLOOKUP(A192,Database!A:Q,MATCH($A$1,Database!$A$1:$Q$1,),)</f>
        <v>74794</v>
      </c>
      <c r="C192" s="15">
        <f t="shared" si="4"/>
        <v>-3.0990075920503717E-2</v>
      </c>
      <c r="D192" s="16">
        <f t="shared" si="5"/>
        <v>-7.6291313404715467E-3</v>
      </c>
    </row>
    <row r="193" spans="1:4" x14ac:dyDescent="0.2">
      <c r="A193" s="13">
        <v>39264</v>
      </c>
      <c r="B193" s="18">
        <f>VLOOKUP(A193,Database!A:Q,MATCH($A$1,Database!$A$1:$Q$1,),)</f>
        <v>74932</v>
      </c>
      <c r="C193" s="15">
        <f t="shared" si="4"/>
        <v>1.8450677861860578E-3</v>
      </c>
      <c r="D193" s="16">
        <f t="shared" si="5"/>
        <v>-1.3585382549628771E-2</v>
      </c>
    </row>
    <row r="194" spans="1:4" x14ac:dyDescent="0.2">
      <c r="A194" s="14">
        <v>39295</v>
      </c>
      <c r="B194" s="18">
        <f>VLOOKUP(A194,Database!A:Q,MATCH($A$1,Database!$A$1:$Q$1,),)</f>
        <v>76549</v>
      </c>
      <c r="C194" s="15">
        <f t="shared" si="4"/>
        <v>2.1579565472695243E-2</v>
      </c>
      <c r="D194" s="16">
        <f t="shared" si="5"/>
        <v>1.8114833681354491E-2</v>
      </c>
    </row>
    <row r="195" spans="1:4" x14ac:dyDescent="0.2">
      <c r="A195" s="13">
        <v>39326</v>
      </c>
      <c r="B195" s="18">
        <f>VLOOKUP(A195,Database!A:Q,MATCH($A$1,Database!$A$1:$Q$1,),)</f>
        <v>77176</v>
      </c>
      <c r="C195" s="15">
        <f t="shared" si="4"/>
        <v>8.1908320160942669E-3</v>
      </c>
      <c r="D195" s="16">
        <f t="shared" si="5"/>
        <v>3.4822134917335983E-2</v>
      </c>
    </row>
    <row r="196" spans="1:4" x14ac:dyDescent="0.2">
      <c r="A196" s="14">
        <v>39356</v>
      </c>
      <c r="B196" s="18">
        <f>VLOOKUP(A196,Database!A:Q,MATCH($A$1,Database!$A$1:$Q$1,),)</f>
        <v>77617</v>
      </c>
      <c r="C196" s="15">
        <f t="shared" si="4"/>
        <v>5.7142116720223903E-3</v>
      </c>
      <c r="D196" s="16">
        <f t="shared" si="5"/>
        <v>2.8761912335811893E-2</v>
      </c>
    </row>
    <row r="197" spans="1:4" x14ac:dyDescent="0.2">
      <c r="A197" s="13">
        <v>39387</v>
      </c>
      <c r="B197" s="18">
        <f>VLOOKUP(A197,Database!A:Q,MATCH($A$1,Database!$A$1:$Q$1,),)</f>
        <v>75921</v>
      </c>
      <c r="C197" s="15">
        <f t="shared" si="4"/>
        <v>-2.1850883182807888E-2</v>
      </c>
      <c r="D197" s="16">
        <f t="shared" si="5"/>
        <v>-1.8799957930164073E-3</v>
      </c>
    </row>
    <row r="198" spans="1:4" x14ac:dyDescent="0.2">
      <c r="A198" s="14">
        <v>39417</v>
      </c>
      <c r="B198" s="18">
        <f>VLOOKUP(A198,Database!A:Q,MATCH($A$1,Database!$A$1:$Q$1,),)</f>
        <v>73345</v>
      </c>
      <c r="C198" s="15">
        <f t="shared" si="4"/>
        <v>-3.393000619064554E-2</v>
      </c>
      <c r="D198" s="16">
        <f t="shared" si="5"/>
        <v>-2.7744637980858453E-2</v>
      </c>
    </row>
    <row r="199" spans="1:4" x14ac:dyDescent="0.2">
      <c r="A199" s="13">
        <v>39448</v>
      </c>
      <c r="B199" s="18">
        <f>VLOOKUP(A199,Database!A:Q,MATCH($A$1,Database!$A$1:$Q$1,),)</f>
        <v>73834</v>
      </c>
      <c r="C199" s="15">
        <f t="shared" si="4"/>
        <v>6.6671211398186651E-3</v>
      </c>
      <c r="D199" s="16">
        <f t="shared" si="5"/>
        <v>-2.0756243451504661E-2</v>
      </c>
    </row>
    <row r="200" spans="1:4" x14ac:dyDescent="0.2">
      <c r="A200" s="14">
        <v>39479</v>
      </c>
      <c r="B200" s="18">
        <f>VLOOKUP(A200,Database!A:Q,MATCH($A$1,Database!$A$1:$Q$1,),)</f>
        <v>72206</v>
      </c>
      <c r="C200" s="15">
        <f t="shared" si="4"/>
        <v>-2.2049462307338084E-2</v>
      </c>
      <c r="D200" s="16">
        <f t="shared" si="5"/>
        <v>-4.7929220342558775E-2</v>
      </c>
    </row>
    <row r="201" spans="1:4" x14ac:dyDescent="0.2">
      <c r="A201" s="13">
        <v>39508</v>
      </c>
      <c r="B201" s="18">
        <f>VLOOKUP(A201,Database!A:Q,MATCH($A$1,Database!$A$1:$Q$1,),)</f>
        <v>71774</v>
      </c>
      <c r="C201" s="15">
        <f t="shared" ref="C201:C264" si="6">(B201-B200)/B200</f>
        <v>-5.9828823089493948E-3</v>
      </c>
      <c r="D201" s="16">
        <f t="shared" si="5"/>
        <v>-4.8998304006783976E-2</v>
      </c>
    </row>
    <row r="202" spans="1:4" x14ac:dyDescent="0.2">
      <c r="A202" s="14">
        <v>39539</v>
      </c>
      <c r="B202" s="18">
        <f>VLOOKUP(A202,Database!A:Q,MATCH($A$1,Database!$A$1:$Q$1,),)</f>
        <v>70052</v>
      </c>
      <c r="C202" s="15">
        <f t="shared" si="6"/>
        <v>-2.3991974809819711E-2</v>
      </c>
      <c r="D202" s="16">
        <f t="shared" si="5"/>
        <v>-8.0742733416442489E-2</v>
      </c>
    </row>
    <row r="203" spans="1:4" x14ac:dyDescent="0.2">
      <c r="A203" s="13">
        <v>39569</v>
      </c>
      <c r="B203" s="18">
        <f>VLOOKUP(A203,Database!A:Q,MATCH($A$1,Database!$A$1:$Q$1,),)</f>
        <v>69143</v>
      </c>
      <c r="C203" s="15">
        <f t="shared" si="6"/>
        <v>-1.2976074915776851E-2</v>
      </c>
      <c r="D203" s="16">
        <f t="shared" si="5"/>
        <v>-0.10420283471095794</v>
      </c>
    </row>
    <row r="204" spans="1:4" x14ac:dyDescent="0.2">
      <c r="A204" s="14">
        <v>39600</v>
      </c>
      <c r="B204" s="18">
        <f>VLOOKUP(A204,Database!A:Q,MATCH($A$1,Database!$A$1:$Q$1,),)</f>
        <v>67161</v>
      </c>
      <c r="C204" s="15">
        <f t="shared" si="6"/>
        <v>-2.8665230030516464E-2</v>
      </c>
      <c r="D204" s="16">
        <f t="shared" si="5"/>
        <v>-0.10205364066636362</v>
      </c>
    </row>
    <row r="205" spans="1:4" x14ac:dyDescent="0.2">
      <c r="A205" s="13">
        <v>39630</v>
      </c>
      <c r="B205" s="18">
        <f>VLOOKUP(A205,Database!A:Q,MATCH($A$1,Database!$A$1:$Q$1,),)</f>
        <v>64397</v>
      </c>
      <c r="C205" s="15">
        <f t="shared" si="6"/>
        <v>-4.1154836884501424E-2</v>
      </c>
      <c r="D205" s="16">
        <f t="shared" si="5"/>
        <v>-0.14059413868574175</v>
      </c>
    </row>
    <row r="206" spans="1:4" x14ac:dyDescent="0.2">
      <c r="A206" s="14">
        <v>39661</v>
      </c>
      <c r="B206" s="18">
        <f>VLOOKUP(A206,Database!A:Q,MATCH($A$1,Database!$A$1:$Q$1,),)</f>
        <v>64985</v>
      </c>
      <c r="C206" s="15">
        <f t="shared" si="6"/>
        <v>9.1308601332360205E-3</v>
      </c>
      <c r="D206" s="16">
        <f t="shared" si="5"/>
        <v>-0.15106663705600334</v>
      </c>
    </row>
    <row r="207" spans="1:4" x14ac:dyDescent="0.2">
      <c r="A207" s="13">
        <v>39692</v>
      </c>
      <c r="B207" s="18">
        <f>VLOOKUP(A207,Database!A:Q,MATCH($A$1,Database!$A$1:$Q$1,),)</f>
        <v>62549</v>
      </c>
      <c r="C207" s="15">
        <f t="shared" si="6"/>
        <v>-3.7485573593906286E-2</v>
      </c>
      <c r="D207" s="16">
        <f t="shared" si="5"/>
        <v>-0.18952783248678345</v>
      </c>
    </row>
    <row r="208" spans="1:4" x14ac:dyDescent="0.2">
      <c r="A208" s="14">
        <v>39722</v>
      </c>
      <c r="B208" s="18">
        <f>VLOOKUP(A208,Database!A:Q,MATCH($A$1,Database!$A$1:$Q$1,),)</f>
        <v>56599</v>
      </c>
      <c r="C208" s="15">
        <f t="shared" si="6"/>
        <v>-9.5125421669411181E-2</v>
      </c>
      <c r="D208" s="16">
        <f t="shared" si="5"/>
        <v>-0.27079119265109447</v>
      </c>
    </row>
    <row r="209" spans="1:4" x14ac:dyDescent="0.2">
      <c r="A209" s="13">
        <v>39753</v>
      </c>
      <c r="B209" s="18">
        <f>VLOOKUP(A209,Database!A:Q,MATCH($A$1,Database!$A$1:$Q$1,),)</f>
        <v>54984</v>
      </c>
      <c r="C209" s="15">
        <f t="shared" si="6"/>
        <v>-2.8534073040159719E-2</v>
      </c>
      <c r="D209" s="16">
        <f t="shared" si="5"/>
        <v>-0.27577350140277396</v>
      </c>
    </row>
    <row r="210" spans="1:4" x14ac:dyDescent="0.2">
      <c r="A210" s="14">
        <v>39783</v>
      </c>
      <c r="B210" s="18">
        <f>VLOOKUP(A210,Database!A:Q,MATCH($A$1,Database!$A$1:$Q$1,),)</f>
        <v>54123</v>
      </c>
      <c r="C210" s="15">
        <f t="shared" si="6"/>
        <v>-1.5659100829332168E-2</v>
      </c>
      <c r="D210" s="16">
        <f t="shared" si="5"/>
        <v>-0.26207648783148135</v>
      </c>
    </row>
    <row r="211" spans="1:4" x14ac:dyDescent="0.2">
      <c r="A211" s="13">
        <v>39814</v>
      </c>
      <c r="B211" s="18">
        <f>VLOOKUP(A211,Database!A:Q,MATCH($A$1,Database!$A$1:$Q$1,),)</f>
        <v>55790</v>
      </c>
      <c r="C211" s="15">
        <f t="shared" si="6"/>
        <v>3.0800214326626389E-2</v>
      </c>
      <c r="D211" s="16">
        <f t="shared" si="5"/>
        <v>-0.24438605520491916</v>
      </c>
    </row>
    <row r="212" spans="1:4" x14ac:dyDescent="0.2">
      <c r="A212" s="14">
        <v>39845</v>
      </c>
      <c r="B212" s="18">
        <f>VLOOKUP(A212,Database!A:Q,MATCH($A$1,Database!$A$1:$Q$1,),)</f>
        <v>54188</v>
      </c>
      <c r="C212" s="15">
        <f t="shared" si="6"/>
        <v>-2.8714823445061839E-2</v>
      </c>
      <c r="D212" s="16">
        <f t="shared" ref="D212:D275" si="7">(B212-B200)/B200</f>
        <v>-0.24953604963576434</v>
      </c>
    </row>
    <row r="213" spans="1:4" x14ac:dyDescent="0.2">
      <c r="A213" s="13">
        <v>39873</v>
      </c>
      <c r="B213" s="18">
        <f>VLOOKUP(A213,Database!A:Q,MATCH($A$1,Database!$A$1:$Q$1,),)</f>
        <v>53100</v>
      </c>
      <c r="C213" s="15">
        <f t="shared" si="6"/>
        <v>-2.0078246106148962E-2</v>
      </c>
      <c r="D213" s="16">
        <f t="shared" si="7"/>
        <v>-0.26017778025468835</v>
      </c>
    </row>
    <row r="214" spans="1:4" x14ac:dyDescent="0.2">
      <c r="A214" s="14">
        <v>39904</v>
      </c>
      <c r="B214" s="18">
        <f>VLOOKUP(A214,Database!A:Q,MATCH($A$1,Database!$A$1:$Q$1,),)</f>
        <v>53557</v>
      </c>
      <c r="C214" s="15">
        <f t="shared" si="6"/>
        <v>8.606403013182674E-3</v>
      </c>
      <c r="D214" s="16">
        <f t="shared" si="7"/>
        <v>-0.23546793810312339</v>
      </c>
    </row>
    <row r="215" spans="1:4" x14ac:dyDescent="0.2">
      <c r="A215" s="13">
        <v>39934</v>
      </c>
      <c r="B215" s="18">
        <f>VLOOKUP(A215,Database!A:Q,MATCH($A$1,Database!$A$1:$Q$1,),)</f>
        <v>54089</v>
      </c>
      <c r="C215" s="15">
        <f t="shared" si="6"/>
        <v>9.9333420467912683E-3</v>
      </c>
      <c r="D215" s="16">
        <f t="shared" si="7"/>
        <v>-0.21772269065559782</v>
      </c>
    </row>
    <row r="216" spans="1:4" x14ac:dyDescent="0.2">
      <c r="A216" s="14">
        <v>39965</v>
      </c>
      <c r="B216" s="18">
        <f>VLOOKUP(A216,Database!A:Q,MATCH($A$1,Database!$A$1:$Q$1,),)</f>
        <v>56611</v>
      </c>
      <c r="C216" s="15">
        <f t="shared" si="6"/>
        <v>4.6626855737765538E-2</v>
      </c>
      <c r="D216" s="16">
        <f t="shared" si="7"/>
        <v>-0.15708521314453328</v>
      </c>
    </row>
    <row r="217" spans="1:4" x14ac:dyDescent="0.2">
      <c r="A217" s="13">
        <v>39995</v>
      </c>
      <c r="B217" s="18">
        <f>VLOOKUP(A217,Database!A:Q,MATCH($A$1,Database!$A$1:$Q$1,),)</f>
        <v>57748</v>
      </c>
      <c r="C217" s="15">
        <f t="shared" si="6"/>
        <v>2.0084435887018425E-2</v>
      </c>
      <c r="D217" s="16">
        <f t="shared" si="7"/>
        <v>-0.10325015140456853</v>
      </c>
    </row>
    <row r="218" spans="1:4" x14ac:dyDescent="0.2">
      <c r="A218" s="14">
        <v>40026</v>
      </c>
      <c r="B218" s="18">
        <f>VLOOKUP(A218,Database!A:Q,MATCH($A$1,Database!$A$1:$Q$1,),)</f>
        <v>62263</v>
      </c>
      <c r="C218" s="15">
        <f t="shared" si="6"/>
        <v>7.818452587102584E-2</v>
      </c>
      <c r="D218" s="16">
        <f t="shared" si="7"/>
        <v>-4.1886589212895287E-2</v>
      </c>
    </row>
    <row r="219" spans="1:4" x14ac:dyDescent="0.2">
      <c r="A219" s="13">
        <v>40057</v>
      </c>
      <c r="B219" s="18">
        <f>VLOOKUP(A219,Database!A:Q,MATCH($A$1,Database!$A$1:$Q$1,),)</f>
        <v>53534</v>
      </c>
      <c r="C219" s="15">
        <f t="shared" si="6"/>
        <v>-0.14019562179785747</v>
      </c>
      <c r="D219" s="16">
        <f t="shared" si="7"/>
        <v>-0.14412700442852802</v>
      </c>
    </row>
    <row r="220" spans="1:4" x14ac:dyDescent="0.2">
      <c r="A220" s="14">
        <v>40087</v>
      </c>
      <c r="B220" s="18">
        <f>VLOOKUP(A220,Database!A:Q,MATCH($A$1,Database!$A$1:$Q$1,),)</f>
        <v>56469</v>
      </c>
      <c r="C220" s="15">
        <f t="shared" si="6"/>
        <v>5.4824971046437777E-2</v>
      </c>
      <c r="D220" s="16">
        <f t="shared" si="7"/>
        <v>-2.2968603685577485E-3</v>
      </c>
    </row>
    <row r="221" spans="1:4" x14ac:dyDescent="0.2">
      <c r="A221" s="13">
        <v>40118</v>
      </c>
      <c r="B221" s="18">
        <f>VLOOKUP(A221,Database!A:Q,MATCH($A$1,Database!$A$1:$Q$1,),)</f>
        <v>57355</v>
      </c>
      <c r="C221" s="15">
        <f t="shared" si="6"/>
        <v>1.5690024615275636E-2</v>
      </c>
      <c r="D221" s="16">
        <f t="shared" si="7"/>
        <v>4.3121635384839228E-2</v>
      </c>
    </row>
    <row r="222" spans="1:4" x14ac:dyDescent="0.2">
      <c r="A222" s="14">
        <v>40148</v>
      </c>
      <c r="B222" s="18">
        <f>VLOOKUP(A222,Database!A:Q,MATCH($A$1,Database!$A$1:$Q$1,),)</f>
        <v>57079</v>
      </c>
      <c r="C222" s="15">
        <f t="shared" si="6"/>
        <v>-4.8121349490018303E-3</v>
      </c>
      <c r="D222" s="16">
        <f t="shared" si="7"/>
        <v>5.4616336862332096E-2</v>
      </c>
    </row>
    <row r="223" spans="1:4" x14ac:dyDescent="0.2">
      <c r="A223" s="13">
        <v>40179</v>
      </c>
      <c r="B223" s="18">
        <f>VLOOKUP(A223,Database!A:Q,MATCH($A$1,Database!$A$1:$Q$1,),)</f>
        <v>56740</v>
      </c>
      <c r="C223" s="15">
        <f t="shared" si="6"/>
        <v>-5.9391369855813876E-3</v>
      </c>
      <c r="D223" s="16">
        <f t="shared" si="7"/>
        <v>1.702814124395053E-2</v>
      </c>
    </row>
    <row r="224" spans="1:4" x14ac:dyDescent="0.2">
      <c r="A224" s="14">
        <v>40210</v>
      </c>
      <c r="B224" s="18">
        <f>VLOOKUP(A224,Database!A:Q,MATCH($A$1,Database!$A$1:$Q$1,),)</f>
        <v>55856</v>
      </c>
      <c r="C224" s="15">
        <f t="shared" si="6"/>
        <v>-1.5579837856891082E-2</v>
      </c>
      <c r="D224" s="16">
        <f t="shared" si="7"/>
        <v>3.0781722890676901E-2</v>
      </c>
    </row>
    <row r="225" spans="1:4" x14ac:dyDescent="0.2">
      <c r="A225" s="13">
        <v>40238</v>
      </c>
      <c r="B225" s="18">
        <f>VLOOKUP(A225,Database!A:Q,MATCH($A$1,Database!$A$1:$Q$1,),)</f>
        <v>60897</v>
      </c>
      <c r="C225" s="15">
        <f t="shared" si="6"/>
        <v>9.0249928387281575E-2</v>
      </c>
      <c r="D225" s="16">
        <f t="shared" si="7"/>
        <v>0.14683615819209039</v>
      </c>
    </row>
    <row r="226" spans="1:4" x14ac:dyDescent="0.2">
      <c r="A226" s="14">
        <v>40269</v>
      </c>
      <c r="B226" s="18">
        <f>VLOOKUP(A226,Database!A:Q,MATCH($A$1,Database!$A$1:$Q$1,),)</f>
        <v>61829</v>
      </c>
      <c r="C226" s="15">
        <f t="shared" si="6"/>
        <v>1.5304530600850616E-2</v>
      </c>
      <c r="D226" s="16">
        <f t="shared" si="7"/>
        <v>0.15445226581025823</v>
      </c>
    </row>
    <row r="227" spans="1:4" x14ac:dyDescent="0.2">
      <c r="A227" s="13">
        <v>40299</v>
      </c>
      <c r="B227" s="18">
        <f>VLOOKUP(A227,Database!A:Q,MATCH($A$1,Database!$A$1:$Q$1,),)</f>
        <v>61623</v>
      </c>
      <c r="C227" s="15">
        <f t="shared" si="6"/>
        <v>-3.3317698814472173E-3</v>
      </c>
      <c r="D227" s="16">
        <f t="shared" si="7"/>
        <v>0.13928894969402281</v>
      </c>
    </row>
    <row r="228" spans="1:4" x14ac:dyDescent="0.2">
      <c r="A228" s="14">
        <v>40330</v>
      </c>
      <c r="B228" s="18">
        <f>VLOOKUP(A228,Database!A:Q,MATCH($A$1,Database!$A$1:$Q$1,),)</f>
        <v>61367</v>
      </c>
      <c r="C228" s="15">
        <f t="shared" si="6"/>
        <v>-4.1542930399363874E-3</v>
      </c>
      <c r="D228" s="16">
        <f t="shared" si="7"/>
        <v>8.4011941142180843E-2</v>
      </c>
    </row>
    <row r="229" spans="1:4" x14ac:dyDescent="0.2">
      <c r="A229" s="13">
        <v>40360</v>
      </c>
      <c r="B229" s="18">
        <f>VLOOKUP(A229,Database!A:Q,MATCH($A$1,Database!$A$1:$Q$1,),)</f>
        <v>62620</v>
      </c>
      <c r="C229" s="15">
        <f t="shared" si="6"/>
        <v>2.0418140042693957E-2</v>
      </c>
      <c r="D229" s="16">
        <f t="shared" si="7"/>
        <v>8.4366558149199966E-2</v>
      </c>
    </row>
    <row r="230" spans="1:4" x14ac:dyDescent="0.2">
      <c r="A230" s="14">
        <v>40391</v>
      </c>
      <c r="B230" s="18">
        <f>VLOOKUP(A230,Database!A:Q,MATCH($A$1,Database!$A$1:$Q$1,),)</f>
        <v>62651</v>
      </c>
      <c r="C230" s="15">
        <f t="shared" si="6"/>
        <v>4.9504950495049506E-4</v>
      </c>
      <c r="D230" s="16">
        <f t="shared" si="7"/>
        <v>6.231630342257842E-3</v>
      </c>
    </row>
    <row r="231" spans="1:4" x14ac:dyDescent="0.2">
      <c r="A231" s="13">
        <v>40422</v>
      </c>
      <c r="B231" s="18">
        <f>VLOOKUP(A231,Database!A:Q,MATCH($A$1,Database!$A$1:$Q$1,),)</f>
        <v>63260</v>
      </c>
      <c r="C231" s="15">
        <f t="shared" si="6"/>
        <v>9.7205152351917765E-3</v>
      </c>
      <c r="D231" s="16">
        <f t="shared" si="7"/>
        <v>0.18167893301453283</v>
      </c>
    </row>
    <row r="232" spans="1:4" x14ac:dyDescent="0.2">
      <c r="A232" s="14">
        <v>40452</v>
      </c>
      <c r="B232" s="18">
        <f>VLOOKUP(A232,Database!A:Q,MATCH($A$1,Database!$A$1:$Q$1,),)</f>
        <v>64730</v>
      </c>
      <c r="C232" s="15">
        <f t="shared" si="6"/>
        <v>2.3237432816945937E-2</v>
      </c>
      <c r="D232" s="16">
        <f t="shared" si="7"/>
        <v>0.14629265614762083</v>
      </c>
    </row>
    <row r="233" spans="1:4" x14ac:dyDescent="0.2">
      <c r="A233" s="13">
        <v>40483</v>
      </c>
      <c r="B233" s="18">
        <f>VLOOKUP(A233,Database!A:Q,MATCH($A$1,Database!$A$1:$Q$1,),)</f>
        <v>65512</v>
      </c>
      <c r="C233" s="15">
        <f t="shared" si="6"/>
        <v>1.2080951645295844E-2</v>
      </c>
      <c r="D233" s="16">
        <f t="shared" si="7"/>
        <v>0.14221951006886932</v>
      </c>
    </row>
    <row r="234" spans="1:4" x14ac:dyDescent="0.2">
      <c r="A234" s="14">
        <v>40513</v>
      </c>
      <c r="B234" s="18">
        <f>VLOOKUP(A234,Database!A:Q,MATCH($A$1,Database!$A$1:$Q$1,),)</f>
        <v>65237</v>
      </c>
      <c r="C234" s="15">
        <f t="shared" si="6"/>
        <v>-4.1977042373916229E-3</v>
      </c>
      <c r="D234" s="16">
        <f t="shared" si="7"/>
        <v>0.14292471837278159</v>
      </c>
    </row>
    <row r="235" spans="1:4" x14ac:dyDescent="0.2">
      <c r="A235" s="13">
        <v>40544</v>
      </c>
      <c r="B235" s="18">
        <f>VLOOKUP(A235,Database!A:Q,MATCH($A$1,Database!$A$1:$Q$1,),)</f>
        <v>66286</v>
      </c>
      <c r="C235" s="15">
        <f t="shared" si="6"/>
        <v>1.6079831997179515E-2</v>
      </c>
      <c r="D235" s="16">
        <f t="shared" si="7"/>
        <v>0.16824109975326049</v>
      </c>
    </row>
    <row r="236" spans="1:4" x14ac:dyDescent="0.2">
      <c r="A236" s="14">
        <v>40575</v>
      </c>
      <c r="B236" s="18">
        <f>VLOOKUP(A236,Database!A:Q,MATCH($A$1,Database!$A$1:$Q$1,),)</f>
        <v>67320</v>
      </c>
      <c r="C236" s="15">
        <f t="shared" si="6"/>
        <v>1.5599070693660804E-2</v>
      </c>
      <c r="D236" s="16">
        <f t="shared" si="7"/>
        <v>0.20524205098825551</v>
      </c>
    </row>
    <row r="237" spans="1:4" x14ac:dyDescent="0.2">
      <c r="A237" s="13">
        <v>40603</v>
      </c>
      <c r="B237" s="18">
        <f>VLOOKUP(A237,Database!A:Q,MATCH($A$1,Database!$A$1:$Q$1,),)</f>
        <v>67574</v>
      </c>
      <c r="C237" s="15">
        <f t="shared" si="6"/>
        <v>3.7730243612596553E-3</v>
      </c>
      <c r="D237" s="16">
        <f t="shared" si="7"/>
        <v>0.10964415324236006</v>
      </c>
    </row>
    <row r="238" spans="1:4" x14ac:dyDescent="0.2">
      <c r="A238" s="14">
        <v>40634</v>
      </c>
      <c r="B238" s="18">
        <f>VLOOKUP(A238,Database!A:Q,MATCH($A$1,Database!$A$1:$Q$1,),)</f>
        <v>66717</v>
      </c>
      <c r="C238" s="15">
        <f t="shared" si="6"/>
        <v>-1.2682392636221031E-2</v>
      </c>
      <c r="D238" s="16">
        <f t="shared" si="7"/>
        <v>7.905675330346601E-2</v>
      </c>
    </row>
    <row r="239" spans="1:4" x14ac:dyDescent="0.2">
      <c r="A239" s="13">
        <v>40664</v>
      </c>
      <c r="B239" s="18">
        <f>VLOOKUP(A239,Database!A:Q,MATCH($A$1,Database!$A$1:$Q$1,),)</f>
        <v>65911</v>
      </c>
      <c r="C239" s="15">
        <f t="shared" si="6"/>
        <v>-1.2080878936403016E-2</v>
      </c>
      <c r="D239" s="16">
        <f t="shared" si="7"/>
        <v>6.9584408418934485E-2</v>
      </c>
    </row>
    <row r="240" spans="1:4" x14ac:dyDescent="0.2">
      <c r="A240" s="14">
        <v>40695</v>
      </c>
      <c r="B240" s="18">
        <f>VLOOKUP(A240,Database!A:Q,MATCH($A$1,Database!$A$1:$Q$1,),)</f>
        <v>66768</v>
      </c>
      <c r="C240" s="15">
        <f t="shared" si="6"/>
        <v>1.3002381999969656E-2</v>
      </c>
      <c r="D240" s="16">
        <f t="shared" si="7"/>
        <v>8.8011471963759025E-2</v>
      </c>
    </row>
    <row r="241" spans="1:4" x14ac:dyDescent="0.2">
      <c r="A241" s="13">
        <v>40725</v>
      </c>
      <c r="B241" s="18">
        <f>VLOOKUP(A241,Database!A:Q,MATCH($A$1,Database!$A$1:$Q$1,),)</f>
        <v>66422</v>
      </c>
      <c r="C241" s="15">
        <f t="shared" si="6"/>
        <v>-5.1821231727773786E-3</v>
      </c>
      <c r="D241" s="16">
        <f t="shared" si="7"/>
        <v>6.071542638134781E-2</v>
      </c>
    </row>
    <row r="242" spans="1:4" x14ac:dyDescent="0.2">
      <c r="A242" s="14">
        <v>40756</v>
      </c>
      <c r="B242" s="18">
        <f>VLOOKUP(A242,Database!A:Q,MATCH($A$1,Database!$A$1:$Q$1,),)</f>
        <v>65859</v>
      </c>
      <c r="C242" s="15">
        <f t="shared" si="6"/>
        <v>-8.4761073138417999E-3</v>
      </c>
      <c r="D242" s="16">
        <f t="shared" si="7"/>
        <v>5.1204290434310705E-2</v>
      </c>
    </row>
    <row r="243" spans="1:4" x14ac:dyDescent="0.2">
      <c r="A243" s="13">
        <v>40787</v>
      </c>
      <c r="B243" s="18">
        <f>VLOOKUP(A243,Database!A:Q,MATCH($A$1,Database!$A$1:$Q$1,),)</f>
        <v>68816</v>
      </c>
      <c r="C243" s="15">
        <f t="shared" si="6"/>
        <v>4.4898950788806388E-2</v>
      </c>
      <c r="D243" s="16">
        <f t="shared" si="7"/>
        <v>8.7828011381599749E-2</v>
      </c>
    </row>
    <row r="244" spans="1:4" x14ac:dyDescent="0.2">
      <c r="A244" s="14">
        <v>40817</v>
      </c>
      <c r="B244" s="18">
        <f>VLOOKUP(A244,Database!A:Q,MATCH($A$1,Database!$A$1:$Q$1,),)</f>
        <v>69880</v>
      </c>
      <c r="C244" s="15">
        <f t="shared" si="6"/>
        <v>1.5461520576610091E-2</v>
      </c>
      <c r="D244" s="16">
        <f t="shared" si="7"/>
        <v>7.9561254441526341E-2</v>
      </c>
    </row>
    <row r="245" spans="1:4" x14ac:dyDescent="0.2">
      <c r="A245" s="13">
        <v>40848</v>
      </c>
      <c r="B245" s="18">
        <f>VLOOKUP(A245,Database!A:Q,MATCH($A$1,Database!$A$1:$Q$1,),)</f>
        <v>70223</v>
      </c>
      <c r="C245" s="15">
        <f t="shared" si="6"/>
        <v>4.9084144247281049E-3</v>
      </c>
      <c r="D245" s="16">
        <f t="shared" si="7"/>
        <v>7.1910489681279763E-2</v>
      </c>
    </row>
    <row r="246" spans="1:4" x14ac:dyDescent="0.2">
      <c r="A246" s="14">
        <v>40878</v>
      </c>
      <c r="B246" s="18">
        <f>VLOOKUP(A246,Database!A:Q,MATCH($A$1,Database!$A$1:$Q$1,),)</f>
        <v>71485</v>
      </c>
      <c r="C246" s="15">
        <f t="shared" si="6"/>
        <v>1.7971319937912081E-2</v>
      </c>
      <c r="D246" s="16">
        <f t="shared" si="7"/>
        <v>9.5773870656222698E-2</v>
      </c>
    </row>
    <row r="247" spans="1:4" x14ac:dyDescent="0.2">
      <c r="A247" s="13">
        <v>40909</v>
      </c>
      <c r="B247" s="18">
        <f>VLOOKUP(A247,Database!A:Q,MATCH($A$1,Database!$A$1:$Q$1,),)</f>
        <v>71720</v>
      </c>
      <c r="C247" s="15">
        <f t="shared" si="6"/>
        <v>3.2874029516681822E-3</v>
      </c>
      <c r="D247" s="16">
        <f t="shared" si="7"/>
        <v>8.1978094922004641E-2</v>
      </c>
    </row>
    <row r="248" spans="1:4" x14ac:dyDescent="0.2">
      <c r="A248" s="14">
        <v>40940</v>
      </c>
      <c r="B248" s="18">
        <f>VLOOKUP(A248,Database!A:Q,MATCH($A$1,Database!$A$1:$Q$1,),)</f>
        <v>72589</v>
      </c>
      <c r="C248" s="15">
        <f t="shared" si="6"/>
        <v>1.2116564417177914E-2</v>
      </c>
      <c r="D248" s="16">
        <f t="shared" si="7"/>
        <v>7.826797385620915E-2</v>
      </c>
    </row>
    <row r="249" spans="1:4" x14ac:dyDescent="0.2">
      <c r="A249" s="13">
        <v>40969</v>
      </c>
      <c r="B249" s="18">
        <f>VLOOKUP(A249,Database!A:Q,MATCH($A$1,Database!$A$1:$Q$1,),)</f>
        <v>72651</v>
      </c>
      <c r="C249" s="15">
        <f t="shared" si="6"/>
        <v>8.5412390307071319E-4</v>
      </c>
      <c r="D249" s="16">
        <f t="shared" si="7"/>
        <v>7.513244739100837E-2</v>
      </c>
    </row>
    <row r="250" spans="1:4" x14ac:dyDescent="0.2">
      <c r="A250" s="14">
        <v>41000</v>
      </c>
      <c r="B250" s="18">
        <f>VLOOKUP(A250,Database!A:Q,MATCH($A$1,Database!$A$1:$Q$1,),)</f>
        <v>72944</v>
      </c>
      <c r="C250" s="15">
        <f t="shared" si="6"/>
        <v>4.0329795873422251E-3</v>
      </c>
      <c r="D250" s="16">
        <f t="shared" si="7"/>
        <v>9.3334532428016842E-2</v>
      </c>
    </row>
    <row r="251" spans="1:4" x14ac:dyDescent="0.2">
      <c r="A251" s="13">
        <v>41030</v>
      </c>
      <c r="B251" s="18">
        <f>VLOOKUP(A251,Database!A:Q,MATCH($A$1,Database!$A$1:$Q$1,),)</f>
        <v>73639</v>
      </c>
      <c r="C251" s="15">
        <f t="shared" si="6"/>
        <v>9.5278569861811796E-3</v>
      </c>
      <c r="D251" s="16">
        <f t="shared" si="7"/>
        <v>0.11724901761466219</v>
      </c>
    </row>
    <row r="252" spans="1:4" x14ac:dyDescent="0.2">
      <c r="A252" s="14">
        <v>41061</v>
      </c>
      <c r="B252" s="18">
        <f>VLOOKUP(A252,Database!A:Q,MATCH($A$1,Database!$A$1:$Q$1,),)</f>
        <v>72386</v>
      </c>
      <c r="C252" s="15">
        <f t="shared" si="6"/>
        <v>-1.7015440187943889E-2</v>
      </c>
      <c r="D252" s="16">
        <f t="shared" si="7"/>
        <v>8.4142104001917087E-2</v>
      </c>
    </row>
    <row r="253" spans="1:4" x14ac:dyDescent="0.2">
      <c r="A253" s="13">
        <v>41091</v>
      </c>
      <c r="B253" s="18">
        <f>VLOOKUP(A253,Database!A:Q,MATCH($A$1,Database!$A$1:$Q$1,),)</f>
        <v>73125</v>
      </c>
      <c r="C253" s="15">
        <f t="shared" si="6"/>
        <v>1.0209156466720083E-2</v>
      </c>
      <c r="D253" s="16">
        <f t="shared" si="7"/>
        <v>0.10091535936888381</v>
      </c>
    </row>
    <row r="254" spans="1:4" x14ac:dyDescent="0.2">
      <c r="A254" s="14">
        <v>41122</v>
      </c>
      <c r="B254" s="18">
        <f>VLOOKUP(A254,Database!A:Q,MATCH($A$1,Database!$A$1:$Q$1,),)</f>
        <v>73920</v>
      </c>
      <c r="C254" s="15">
        <f t="shared" si="6"/>
        <v>1.0871794871794871E-2</v>
      </c>
      <c r="D254" s="16">
        <f t="shared" si="7"/>
        <v>0.12239784995217054</v>
      </c>
    </row>
    <row r="255" spans="1:4" x14ac:dyDescent="0.2">
      <c r="A255" s="13">
        <v>41153</v>
      </c>
      <c r="B255" s="18">
        <f>VLOOKUP(A255,Database!A:Q,MATCH($A$1,Database!$A$1:$Q$1,),)</f>
        <v>75195</v>
      </c>
      <c r="C255" s="15">
        <f t="shared" si="6"/>
        <v>1.7248376623376624E-2</v>
      </c>
      <c r="D255" s="16">
        <f t="shared" si="7"/>
        <v>9.2696465938153921E-2</v>
      </c>
    </row>
    <row r="256" spans="1:4" x14ac:dyDescent="0.2">
      <c r="A256" s="14">
        <v>41183</v>
      </c>
      <c r="B256" s="18">
        <f>VLOOKUP(A256,Database!A:Q,MATCH($A$1,Database!$A$1:$Q$1,),)</f>
        <v>74813</v>
      </c>
      <c r="C256" s="15">
        <f t="shared" si="6"/>
        <v>-5.0801250083117233E-3</v>
      </c>
      <c r="D256" s="16">
        <f t="shared" si="7"/>
        <v>7.0592444190040071E-2</v>
      </c>
    </row>
    <row r="257" spans="1:4" x14ac:dyDescent="0.2">
      <c r="A257" s="13">
        <v>41214</v>
      </c>
      <c r="B257" s="18">
        <f>VLOOKUP(A257,Database!A:Q,MATCH($A$1,Database!$A$1:$Q$1,),)</f>
        <v>75838</v>
      </c>
      <c r="C257" s="15">
        <f t="shared" si="6"/>
        <v>1.3700827396308127E-2</v>
      </c>
      <c r="D257" s="16">
        <f t="shared" si="7"/>
        <v>7.9959557409965396E-2</v>
      </c>
    </row>
    <row r="258" spans="1:4" x14ac:dyDescent="0.2">
      <c r="A258" s="14">
        <v>41244</v>
      </c>
      <c r="B258" s="18">
        <f>VLOOKUP(A258,Database!A:Q,MATCH($A$1,Database!$A$1:$Q$1,),)</f>
        <v>76867</v>
      </c>
      <c r="C258" s="15">
        <f t="shared" si="6"/>
        <v>1.3568395791028245E-2</v>
      </c>
      <c r="D258" s="16">
        <f t="shared" si="7"/>
        <v>7.5288522067566616E-2</v>
      </c>
    </row>
    <row r="259" spans="1:4" x14ac:dyDescent="0.2">
      <c r="A259" s="13">
        <v>41275</v>
      </c>
      <c r="B259" s="18">
        <f>VLOOKUP(A259,Database!A:Q,MATCH($A$1,Database!$A$1:$Q$1,),)</f>
        <v>77699</v>
      </c>
      <c r="C259" s="15">
        <f t="shared" si="6"/>
        <v>1.0823890616259253E-2</v>
      </c>
      <c r="D259" s="16">
        <f t="shared" si="7"/>
        <v>8.3365867261572787E-2</v>
      </c>
    </row>
    <row r="260" spans="1:4" x14ac:dyDescent="0.2">
      <c r="A260" s="14">
        <v>41306</v>
      </c>
      <c r="B260" s="18">
        <f>VLOOKUP(A260,Database!A:Q,MATCH($A$1,Database!$A$1:$Q$1,),)</f>
        <v>78821</v>
      </c>
      <c r="C260" s="15">
        <f t="shared" si="6"/>
        <v>1.4440340287519789E-2</v>
      </c>
      <c r="D260" s="16">
        <f t="shared" si="7"/>
        <v>8.5853228450591693E-2</v>
      </c>
    </row>
    <row r="261" spans="1:4" x14ac:dyDescent="0.2">
      <c r="A261" s="13">
        <v>41334</v>
      </c>
      <c r="B261" s="18">
        <f>VLOOKUP(A261,Database!A:Q,MATCH($A$1,Database!$A$1:$Q$1,),)</f>
        <v>77910</v>
      </c>
      <c r="C261" s="15">
        <f t="shared" si="6"/>
        <v>-1.1557833572271348E-2</v>
      </c>
      <c r="D261" s="16">
        <f t="shared" si="7"/>
        <v>7.2387166040384851E-2</v>
      </c>
    </row>
    <row r="262" spans="1:4" x14ac:dyDescent="0.2">
      <c r="A262" s="14">
        <v>41365</v>
      </c>
      <c r="B262" s="18">
        <f>VLOOKUP(A262,Database!A:Q,MATCH($A$1,Database!$A$1:$Q$1,),)</f>
        <v>78389</v>
      </c>
      <c r="C262" s="15">
        <f t="shared" si="6"/>
        <v>6.1481196252085738E-3</v>
      </c>
      <c r="D262" s="16">
        <f t="shared" si="7"/>
        <v>7.464630401403817E-2</v>
      </c>
    </row>
    <row r="263" spans="1:4" x14ac:dyDescent="0.2">
      <c r="A263" s="13">
        <v>41395</v>
      </c>
      <c r="B263" s="18">
        <f>VLOOKUP(A263,Database!A:Q,MATCH($A$1,Database!$A$1:$Q$1,),)</f>
        <v>79718</v>
      </c>
      <c r="C263" s="15">
        <f t="shared" si="6"/>
        <v>1.6953909349526081E-2</v>
      </c>
      <c r="D263" s="16">
        <f t="shared" si="7"/>
        <v>8.2551365444940863E-2</v>
      </c>
    </row>
    <row r="264" spans="1:4" x14ac:dyDescent="0.2">
      <c r="A264" s="14">
        <v>41426</v>
      </c>
      <c r="B264" s="18">
        <f>VLOOKUP(A264,Database!A:Q,MATCH($A$1,Database!$A$1:$Q$1,),)</f>
        <v>81317</v>
      </c>
      <c r="C264" s="15">
        <f t="shared" si="6"/>
        <v>2.0058205173235654E-2</v>
      </c>
      <c r="D264" s="16">
        <f t="shared" si="7"/>
        <v>0.12338021164313541</v>
      </c>
    </row>
    <row r="265" spans="1:4" x14ac:dyDescent="0.2">
      <c r="A265" s="13">
        <v>41456</v>
      </c>
      <c r="B265" s="18">
        <f>VLOOKUP(A265,Database!A:Q,MATCH($A$1,Database!$A$1:$Q$1,),)</f>
        <v>81715</v>
      </c>
      <c r="C265" s="15">
        <f t="shared" ref="C265:C320" si="8">(B265-B264)/B264</f>
        <v>4.8944255198789923E-3</v>
      </c>
      <c r="D265" s="16">
        <f t="shared" si="7"/>
        <v>0.11747008547008547</v>
      </c>
    </row>
    <row r="266" spans="1:4" x14ac:dyDescent="0.2">
      <c r="A266" s="14">
        <v>41487</v>
      </c>
      <c r="B266" s="18">
        <f>VLOOKUP(A266,Database!A:Q,MATCH($A$1,Database!$A$1:$Q$1,),)</f>
        <v>81372</v>
      </c>
      <c r="C266" s="15">
        <f t="shared" si="8"/>
        <v>-4.1975157559811542E-3</v>
      </c>
      <c r="D266" s="16">
        <f t="shared" si="7"/>
        <v>0.10081168831168831</v>
      </c>
    </row>
    <row r="267" spans="1:4" x14ac:dyDescent="0.2">
      <c r="A267" s="13">
        <v>41518</v>
      </c>
      <c r="B267" s="18">
        <f>VLOOKUP(A267,Database!A:Q,MATCH($A$1,Database!$A$1:$Q$1,),)</f>
        <v>80196</v>
      </c>
      <c r="C267" s="15">
        <f t="shared" si="8"/>
        <v>-1.4452145701224009E-2</v>
      </c>
      <c r="D267" s="16">
        <f t="shared" si="7"/>
        <v>6.6507081587871539E-2</v>
      </c>
    </row>
    <row r="268" spans="1:4" x14ac:dyDescent="0.2">
      <c r="A268" s="14">
        <v>41548</v>
      </c>
      <c r="B268" s="18">
        <f>VLOOKUP(A268,Database!A:Q,MATCH($A$1,Database!$A$1:$Q$1,),)</f>
        <v>81491</v>
      </c>
      <c r="C268" s="15">
        <f t="shared" si="8"/>
        <v>1.6147937552995161E-2</v>
      </c>
      <c r="D268" s="16">
        <f t="shared" si="7"/>
        <v>8.926256131955676E-2</v>
      </c>
    </row>
    <row r="269" spans="1:4" x14ac:dyDescent="0.2">
      <c r="A269" s="13">
        <v>41579</v>
      </c>
      <c r="B269" s="18">
        <f>VLOOKUP(A269,Database!A:Q,MATCH($A$1,Database!$A$1:$Q$1,),)</f>
        <v>81822</v>
      </c>
      <c r="C269" s="15">
        <f t="shared" si="8"/>
        <v>4.0617982353879567E-3</v>
      </c>
      <c r="D269" s="16">
        <f t="shared" si="7"/>
        <v>7.8905034415464537E-2</v>
      </c>
    </row>
    <row r="270" spans="1:4" x14ac:dyDescent="0.2">
      <c r="A270" s="14">
        <v>41609</v>
      </c>
      <c r="B270" s="18">
        <f>VLOOKUP(A270,Database!A:Q,MATCH($A$1,Database!$A$1:$Q$1,),)</f>
        <v>81464</v>
      </c>
      <c r="C270" s="15">
        <f t="shared" si="8"/>
        <v>-4.3753513724915059E-3</v>
      </c>
      <c r="D270" s="16">
        <f t="shared" si="7"/>
        <v>5.980459755161513E-2</v>
      </c>
    </row>
    <row r="271" spans="1:4" x14ac:dyDescent="0.2">
      <c r="A271" s="13">
        <v>41640</v>
      </c>
      <c r="B271" s="18">
        <f>VLOOKUP(A271,Database!A:Q,MATCH($A$1,Database!$A$1:$Q$1,),)</f>
        <v>79035</v>
      </c>
      <c r="C271" s="15">
        <f t="shared" si="8"/>
        <v>-2.9816851615437494E-2</v>
      </c>
      <c r="D271" s="16">
        <f t="shared" si="7"/>
        <v>1.7194558488526236E-2</v>
      </c>
    </row>
    <row r="272" spans="1:4" x14ac:dyDescent="0.2">
      <c r="A272" s="14">
        <v>41671</v>
      </c>
      <c r="B272" s="18">
        <f>VLOOKUP(A272,Database!A:Q,MATCH($A$1,Database!$A$1:$Q$1,),)</f>
        <v>81569</v>
      </c>
      <c r="C272" s="15">
        <f t="shared" si="8"/>
        <v>3.2061744796609094E-2</v>
      </c>
      <c r="D272" s="16">
        <f t="shared" si="7"/>
        <v>3.4863805331066595E-2</v>
      </c>
    </row>
    <row r="273" spans="1:4" x14ac:dyDescent="0.2">
      <c r="A273" s="13">
        <v>41699</v>
      </c>
      <c r="B273" s="18">
        <f>VLOOKUP(A273,Database!A:Q,MATCH($A$1,Database!$A$1:$Q$1,),)</f>
        <v>84506</v>
      </c>
      <c r="C273" s="15">
        <f t="shared" si="8"/>
        <v>3.600632593264598E-2</v>
      </c>
      <c r="D273" s="16">
        <f t="shared" si="7"/>
        <v>8.4661789243999488E-2</v>
      </c>
    </row>
    <row r="274" spans="1:4" x14ac:dyDescent="0.2">
      <c r="A274" s="14">
        <v>41730</v>
      </c>
      <c r="B274" s="18">
        <f>VLOOKUP(A274,Database!A:Q,MATCH($A$1,Database!$A$1:$Q$1,),)</f>
        <v>85816</v>
      </c>
      <c r="C274" s="15">
        <f t="shared" si="8"/>
        <v>1.5501857856246894E-2</v>
      </c>
      <c r="D274" s="16">
        <f t="shared" si="7"/>
        <v>9.4745436221918888E-2</v>
      </c>
    </row>
    <row r="275" spans="1:4" x14ac:dyDescent="0.2">
      <c r="A275" s="13">
        <v>41760</v>
      </c>
      <c r="B275" s="18">
        <f>VLOOKUP(A275,Database!A:Q,MATCH($A$1,Database!$A$1:$Q$1,),)</f>
        <v>85984</v>
      </c>
      <c r="C275" s="15">
        <f t="shared" si="8"/>
        <v>1.9576768900904261E-3</v>
      </c>
      <c r="D275" s="16">
        <f t="shared" si="7"/>
        <v>7.860207230487469E-2</v>
      </c>
    </row>
    <row r="276" spans="1:4" x14ac:dyDescent="0.2">
      <c r="A276" s="14">
        <v>41791</v>
      </c>
      <c r="B276" s="18">
        <f>VLOOKUP(A276,Database!A:Q,MATCH($A$1,Database!$A$1:$Q$1,),)</f>
        <v>86228</v>
      </c>
      <c r="C276" s="15">
        <f t="shared" si="8"/>
        <v>2.8377372534425008E-3</v>
      </c>
      <c r="D276" s="16">
        <f t="shared" ref="D276:D320" si="9">(B276-B264)/B264</f>
        <v>6.0393275698808369E-2</v>
      </c>
    </row>
    <row r="277" spans="1:4" x14ac:dyDescent="0.2">
      <c r="A277" s="13">
        <v>41821</v>
      </c>
      <c r="B277" s="18">
        <f>VLOOKUP(A277,Database!A:Q,MATCH($A$1,Database!$A$1:$Q$1,),)</f>
        <v>86589</v>
      </c>
      <c r="C277" s="15">
        <f t="shared" si="8"/>
        <v>4.1865751264090548E-3</v>
      </c>
      <c r="D277" s="16">
        <f t="shared" si="9"/>
        <v>5.9646331762834244E-2</v>
      </c>
    </row>
    <row r="278" spans="1:4" x14ac:dyDescent="0.2">
      <c r="A278" s="14">
        <v>41852</v>
      </c>
      <c r="B278" s="18">
        <f>VLOOKUP(A278,Database!A:Q,MATCH($A$1,Database!$A$1:$Q$1,),)</f>
        <v>87217</v>
      </c>
      <c r="C278" s="15">
        <f t="shared" si="8"/>
        <v>7.2526533393387155E-3</v>
      </c>
      <c r="D278" s="16">
        <f t="shared" si="9"/>
        <v>7.1830605122155042E-2</v>
      </c>
    </row>
    <row r="279" spans="1:4" x14ac:dyDescent="0.2">
      <c r="A279" s="13">
        <v>41883</v>
      </c>
      <c r="B279" s="18">
        <f>VLOOKUP(A279,Database!A:Q,MATCH($A$1,Database!$A$1:$Q$1,),)</f>
        <v>86510</v>
      </c>
      <c r="C279" s="15">
        <f t="shared" si="8"/>
        <v>-8.106217824506691E-3</v>
      </c>
      <c r="D279" s="16">
        <f t="shared" si="9"/>
        <v>7.8732106339468297E-2</v>
      </c>
    </row>
    <row r="280" spans="1:4" x14ac:dyDescent="0.2">
      <c r="A280" s="14">
        <v>41913</v>
      </c>
      <c r="B280" s="18">
        <f>VLOOKUP(A280,Database!A:Q,MATCH($A$1,Database!$A$1:$Q$1,),)</f>
        <v>86755</v>
      </c>
      <c r="C280" s="15">
        <f t="shared" si="8"/>
        <v>2.832042538434863E-3</v>
      </c>
      <c r="D280" s="16">
        <f t="shared" si="9"/>
        <v>6.4596090365807268E-2</v>
      </c>
    </row>
    <row r="281" spans="1:4" x14ac:dyDescent="0.2">
      <c r="A281" s="13">
        <v>41944</v>
      </c>
      <c r="B281" s="18">
        <f>VLOOKUP(A281,Database!A:Q,MATCH($A$1,Database!$A$1:$Q$1,),)</f>
        <v>87815</v>
      </c>
      <c r="C281" s="15">
        <f t="shared" si="8"/>
        <v>1.2218315947207653E-2</v>
      </c>
      <c r="D281" s="16">
        <f t="shared" si="9"/>
        <v>7.3244359707658094E-2</v>
      </c>
    </row>
    <row r="282" spans="1:4" x14ac:dyDescent="0.2">
      <c r="A282" s="14">
        <v>41974</v>
      </c>
      <c r="B282" s="18">
        <f>VLOOKUP(A282,Database!A:Q,MATCH($A$1,Database!$A$1:$Q$1,),)</f>
        <v>87466</v>
      </c>
      <c r="C282" s="15">
        <f t="shared" si="8"/>
        <v>-3.9742640778910208E-3</v>
      </c>
      <c r="D282" s="16">
        <f t="shared" si="9"/>
        <v>7.3676716095453204E-2</v>
      </c>
    </row>
    <row r="283" spans="1:4" x14ac:dyDescent="0.2">
      <c r="A283" s="13">
        <v>42005</v>
      </c>
      <c r="B283" s="18">
        <f>VLOOKUP(A283,Database!A:Q,MATCH($A$1,Database!$A$1:$Q$1,),)</f>
        <v>88519</v>
      </c>
      <c r="C283" s="15">
        <f t="shared" si="8"/>
        <v>1.2038963711613655E-2</v>
      </c>
      <c r="D283" s="16">
        <f t="shared" si="9"/>
        <v>0.1199974694755488</v>
      </c>
    </row>
    <row r="284" spans="1:4" x14ac:dyDescent="0.2">
      <c r="A284" s="14">
        <v>42036</v>
      </c>
      <c r="B284" s="18">
        <f>VLOOKUP(A284,Database!A:Q,MATCH($A$1,Database!$A$1:$Q$1,),)</f>
        <v>87285</v>
      </c>
      <c r="C284" s="15">
        <f t="shared" si="8"/>
        <v>-1.3940509947017024E-2</v>
      </c>
      <c r="D284" s="16">
        <f t="shared" si="9"/>
        <v>7.0075641481445156E-2</v>
      </c>
    </row>
    <row r="285" spans="1:4" x14ac:dyDescent="0.2">
      <c r="A285" s="13">
        <v>42064</v>
      </c>
      <c r="B285" s="18">
        <f>VLOOKUP(A285,Database!A:Q,MATCH($A$1,Database!$A$1:$Q$1,),)</f>
        <v>91140</v>
      </c>
      <c r="C285" s="15">
        <f t="shared" si="8"/>
        <v>4.4165664203471386E-2</v>
      </c>
      <c r="D285" s="16">
        <f t="shared" si="9"/>
        <v>7.8503301540719009E-2</v>
      </c>
    </row>
    <row r="286" spans="1:4" x14ac:dyDescent="0.2">
      <c r="A286" s="14">
        <v>42095</v>
      </c>
      <c r="B286" s="18">
        <f>VLOOKUP(A286,Database!A:Q,MATCH($A$1,Database!$A$1:$Q$1,),)</f>
        <v>91692</v>
      </c>
      <c r="C286" s="15">
        <f t="shared" si="8"/>
        <v>6.0566161948650424E-3</v>
      </c>
      <c r="D286" s="16">
        <f t="shared" si="9"/>
        <v>6.8472079798638952E-2</v>
      </c>
    </row>
    <row r="287" spans="1:4" x14ac:dyDescent="0.2">
      <c r="A287" s="13">
        <v>42125</v>
      </c>
      <c r="B287" s="18">
        <f>VLOOKUP(A287,Database!A:Q,MATCH($A$1,Database!$A$1:$Q$1,),)</f>
        <v>92313</v>
      </c>
      <c r="C287" s="15">
        <f t="shared" si="8"/>
        <v>6.7726737338044763E-3</v>
      </c>
      <c r="D287" s="16">
        <f t="shared" si="9"/>
        <v>7.3606717528842569E-2</v>
      </c>
    </row>
    <row r="288" spans="1:4" x14ac:dyDescent="0.2">
      <c r="A288" s="14">
        <v>42156</v>
      </c>
      <c r="B288" s="18">
        <f>VLOOKUP(A288,Database!A:Q,MATCH($A$1,Database!$A$1:$Q$1,),)</f>
        <v>92405</v>
      </c>
      <c r="C288" s="15">
        <f t="shared" si="8"/>
        <v>9.9660936162837294E-4</v>
      </c>
      <c r="D288" s="16">
        <f t="shared" si="9"/>
        <v>7.1635663589553283E-2</v>
      </c>
    </row>
    <row r="289" spans="1:4" x14ac:dyDescent="0.2">
      <c r="A289" s="13">
        <v>42186</v>
      </c>
      <c r="B289" s="18">
        <f>VLOOKUP(A289,Database!A:Q,MATCH($A$1,Database!$A$1:$Q$1,),)</f>
        <v>92495</v>
      </c>
      <c r="C289" s="15">
        <f t="shared" si="8"/>
        <v>9.7397326984470533E-4</v>
      </c>
      <c r="D289" s="16">
        <f t="shared" si="9"/>
        <v>6.8207278060723645E-2</v>
      </c>
    </row>
    <row r="290" spans="1:4" x14ac:dyDescent="0.2">
      <c r="A290" s="14">
        <v>42217</v>
      </c>
      <c r="B290" s="18">
        <f>VLOOKUP(A290,Database!A:Q,MATCH($A$1,Database!$A$1:$Q$1,),)</f>
        <v>93201</v>
      </c>
      <c r="C290" s="15">
        <f t="shared" si="8"/>
        <v>7.6328450186496566E-3</v>
      </c>
      <c r="D290" s="16">
        <f t="shared" si="9"/>
        <v>6.8610477315202312E-2</v>
      </c>
    </row>
    <row r="291" spans="1:4" x14ac:dyDescent="0.2">
      <c r="A291" s="13">
        <v>42248</v>
      </c>
      <c r="B291" s="18">
        <f>VLOOKUP(A291,Database!A:Q,MATCH($A$1,Database!$A$1:$Q$1,),)</f>
        <v>93600</v>
      </c>
      <c r="C291" s="15">
        <f t="shared" si="8"/>
        <v>4.281069945601442E-3</v>
      </c>
      <c r="D291" s="16">
        <f t="shared" si="9"/>
        <v>8.1955843255115013E-2</v>
      </c>
    </row>
    <row r="292" spans="1:4" x14ac:dyDescent="0.2">
      <c r="A292" s="14">
        <v>42278</v>
      </c>
      <c r="B292" s="18">
        <f>VLOOKUP(A292,Database!A:Q,MATCH($A$1,Database!$A$1:$Q$1,),)</f>
        <v>92891</v>
      </c>
      <c r="C292" s="15">
        <f t="shared" si="8"/>
        <v>-7.5747863247863246E-3</v>
      </c>
      <c r="D292" s="16">
        <f t="shared" si="9"/>
        <v>7.0727911935911478E-2</v>
      </c>
    </row>
    <row r="293" spans="1:4" x14ac:dyDescent="0.2">
      <c r="A293" s="13">
        <v>42309</v>
      </c>
      <c r="B293" s="18">
        <f>VLOOKUP(A293,Database!A:Q,MATCH($A$1,Database!$A$1:$Q$1,),)</f>
        <v>93924</v>
      </c>
      <c r="C293" s="15">
        <f t="shared" si="8"/>
        <v>1.1120560657114252E-2</v>
      </c>
      <c r="D293" s="16">
        <f t="shared" si="9"/>
        <v>6.9566702727324486E-2</v>
      </c>
    </row>
    <row r="294" spans="1:4" x14ac:dyDescent="0.2">
      <c r="A294" s="14">
        <v>42339</v>
      </c>
      <c r="B294" s="18">
        <f>VLOOKUP(A294,Database!A:Q,MATCH($A$1,Database!$A$1:$Q$1,),)</f>
        <v>93472</v>
      </c>
      <c r="C294" s="15">
        <f t="shared" si="8"/>
        <v>-4.8124015161194154E-3</v>
      </c>
      <c r="D294" s="16">
        <f t="shared" si="9"/>
        <v>6.8666681910685298E-2</v>
      </c>
    </row>
    <row r="295" spans="1:4" x14ac:dyDescent="0.2">
      <c r="A295" s="13">
        <v>42370</v>
      </c>
      <c r="B295" s="18">
        <f>VLOOKUP(A295,Database!A:Q,MATCH($A$1,Database!$A$1:$Q$1,),)</f>
        <v>93093</v>
      </c>
      <c r="C295" s="15">
        <f t="shared" si="8"/>
        <v>-4.0546901745977405E-3</v>
      </c>
      <c r="D295" s="16">
        <f t="shared" si="9"/>
        <v>5.1672522283351598E-2</v>
      </c>
    </row>
    <row r="296" spans="1:4" x14ac:dyDescent="0.2">
      <c r="A296" s="14">
        <v>42401</v>
      </c>
      <c r="B296" s="18">
        <f>VLOOKUP(A296,Database!A:Q,MATCH($A$1,Database!$A$1:$Q$1,),)</f>
        <v>95572</v>
      </c>
      <c r="C296" s="15">
        <f t="shared" si="8"/>
        <v>2.6629284693800822E-2</v>
      </c>
      <c r="D296" s="16">
        <f t="shared" si="9"/>
        <v>9.4941857134673777E-2</v>
      </c>
    </row>
    <row r="297" spans="1:4" x14ac:dyDescent="0.2">
      <c r="A297" s="13">
        <v>42430</v>
      </c>
      <c r="B297" s="18">
        <f>VLOOKUP(A297,Database!A:Q,MATCH($A$1,Database!$A$1:$Q$1,),)</f>
        <v>93557</v>
      </c>
      <c r="C297" s="15">
        <f t="shared" si="8"/>
        <v>-2.1083580965136232E-2</v>
      </c>
      <c r="D297" s="16">
        <f t="shared" si="9"/>
        <v>2.6519640114110159E-2</v>
      </c>
    </row>
    <row r="298" spans="1:4" x14ac:dyDescent="0.2">
      <c r="A298" s="14">
        <v>42461</v>
      </c>
      <c r="B298" s="18">
        <f>VLOOKUP(A298,Database!A:Q,MATCH($A$1,Database!$A$1:$Q$1,),)</f>
        <v>93739</v>
      </c>
      <c r="C298" s="15">
        <f t="shared" si="8"/>
        <v>1.9453381361095375E-3</v>
      </c>
      <c r="D298" s="16">
        <f t="shared" si="9"/>
        <v>2.2324739344762902E-2</v>
      </c>
    </row>
    <row r="299" spans="1:4" x14ac:dyDescent="0.2">
      <c r="A299" s="13">
        <v>42491</v>
      </c>
      <c r="B299" s="18">
        <f>VLOOKUP(A299,Database!A:Q,MATCH($A$1,Database!$A$1:$Q$1,),)</f>
        <v>94121</v>
      </c>
      <c r="C299" s="15">
        <f t="shared" si="8"/>
        <v>4.0751448169918606E-3</v>
      </c>
      <c r="D299" s="16">
        <f t="shared" si="9"/>
        <v>1.9585540498088028E-2</v>
      </c>
    </row>
    <row r="300" spans="1:4" x14ac:dyDescent="0.2">
      <c r="A300" s="14">
        <v>42522</v>
      </c>
      <c r="B300" s="18">
        <f>VLOOKUP(A300,Database!A:Q,MATCH($A$1,Database!$A$1:$Q$1,),)</f>
        <v>94752</v>
      </c>
      <c r="C300" s="15">
        <f t="shared" si="8"/>
        <v>6.7041361651491169E-3</v>
      </c>
      <c r="D300" s="16">
        <f t="shared" si="9"/>
        <v>2.5399058492505816E-2</v>
      </c>
    </row>
    <row r="301" spans="1:4" x14ac:dyDescent="0.2">
      <c r="A301" s="13">
        <v>42552</v>
      </c>
      <c r="B301" s="18">
        <f>VLOOKUP(A301,Database!A:Q,MATCH($A$1,Database!$A$1:$Q$1,),)</f>
        <v>95942</v>
      </c>
      <c r="C301" s="15">
        <f t="shared" si="8"/>
        <v>1.2559101654846336E-2</v>
      </c>
      <c r="D301" s="16">
        <f t="shared" si="9"/>
        <v>3.7266879290772471E-2</v>
      </c>
    </row>
    <row r="302" spans="1:4" x14ac:dyDescent="0.2">
      <c r="A302" s="14">
        <v>42583</v>
      </c>
      <c r="B302" s="18">
        <f>VLOOKUP(A302,Database!A:Q,MATCH($A$1,Database!$A$1:$Q$1,),)</f>
        <v>96336</v>
      </c>
      <c r="C302" s="15">
        <f t="shared" si="8"/>
        <v>4.1066477663588416E-3</v>
      </c>
      <c r="D302" s="16">
        <f t="shared" si="9"/>
        <v>3.3636978144011329E-2</v>
      </c>
    </row>
    <row r="303" spans="1:4" x14ac:dyDescent="0.2">
      <c r="A303" s="13">
        <v>42614</v>
      </c>
      <c r="B303" s="18">
        <f>VLOOKUP(A303,Database!A:Q,MATCH($A$1,Database!$A$1:$Q$1,),)</f>
        <v>97177</v>
      </c>
      <c r="C303" s="15">
        <f t="shared" si="8"/>
        <v>8.7298621491446599E-3</v>
      </c>
      <c r="D303" s="16">
        <f t="shared" si="9"/>
        <v>3.8215811965811967E-2</v>
      </c>
    </row>
    <row r="304" spans="1:4" x14ac:dyDescent="0.2">
      <c r="A304" s="14">
        <v>42644</v>
      </c>
      <c r="B304" s="18">
        <f>VLOOKUP(A304,Database!A:Q,MATCH($A$1,Database!$A$1:$Q$1,),)</f>
        <v>97032</v>
      </c>
      <c r="C304" s="15">
        <f t="shared" si="8"/>
        <v>-1.4921226216079936E-3</v>
      </c>
      <c r="D304" s="16">
        <f t="shared" si="9"/>
        <v>4.45791303786158E-2</v>
      </c>
    </row>
    <row r="305" spans="1:4" x14ac:dyDescent="0.2">
      <c r="A305" s="13">
        <v>42675</v>
      </c>
      <c r="B305" s="18">
        <f>VLOOKUP(A305,Database!A:Q,MATCH($A$1,Database!$A$1:$Q$1,),)</f>
        <v>96612</v>
      </c>
      <c r="C305" s="15">
        <f t="shared" si="8"/>
        <v>-4.3284689586940393E-3</v>
      </c>
      <c r="D305" s="16">
        <f t="shared" si="9"/>
        <v>2.8618883352497765E-2</v>
      </c>
    </row>
    <row r="306" spans="1:4" x14ac:dyDescent="0.2">
      <c r="A306" s="14">
        <v>42705</v>
      </c>
      <c r="B306" s="18">
        <f>VLOOKUP(A306,Database!A:Q,MATCH($A$1,Database!$A$1:$Q$1,),)</f>
        <v>99444</v>
      </c>
      <c r="C306" s="15">
        <f t="shared" si="8"/>
        <v>2.9313128803875294E-2</v>
      </c>
      <c r="D306" s="16">
        <f t="shared" si="9"/>
        <v>6.3890790825059912E-2</v>
      </c>
    </row>
    <row r="307" spans="1:4" x14ac:dyDescent="0.2">
      <c r="A307" s="13">
        <v>42736</v>
      </c>
      <c r="B307" s="18">
        <f>VLOOKUP(A307,Database!A:Q,MATCH($A$1,Database!$A$1:$Q$1,),)</f>
        <v>99420</v>
      </c>
      <c r="C307" s="15">
        <f t="shared" si="8"/>
        <v>-2.4134186074574636E-4</v>
      </c>
      <c r="D307" s="16">
        <f t="shared" si="9"/>
        <v>6.7964293770745379E-2</v>
      </c>
    </row>
    <row r="308" spans="1:4" x14ac:dyDescent="0.2">
      <c r="A308" s="14">
        <v>42767</v>
      </c>
      <c r="B308" s="18">
        <f>VLOOKUP(A308,Database!A:Q,MATCH($A$1,Database!$A$1:$Q$1,),)</f>
        <v>98817</v>
      </c>
      <c r="C308" s="15">
        <f t="shared" si="8"/>
        <v>-6.0651780325890166E-3</v>
      </c>
      <c r="D308" s="16">
        <f t="shared" si="9"/>
        <v>3.3953459172142465E-2</v>
      </c>
    </row>
    <row r="309" spans="1:4" x14ac:dyDescent="0.2">
      <c r="A309" s="13">
        <v>42795</v>
      </c>
      <c r="B309" s="18">
        <f>VLOOKUP(A309,Database!A:Q,MATCH($A$1,Database!$A$1:$Q$1,),)</f>
        <v>96705</v>
      </c>
      <c r="C309" s="15">
        <f t="shared" si="8"/>
        <v>-2.1372840705546615E-2</v>
      </c>
      <c r="D309" s="16">
        <f t="shared" si="9"/>
        <v>3.3647936552048487E-2</v>
      </c>
    </row>
    <row r="310" spans="1:4" x14ac:dyDescent="0.2">
      <c r="A310" s="14">
        <v>42826</v>
      </c>
      <c r="B310" s="18">
        <f>VLOOKUP(A310,Database!A:Q,MATCH($A$1,Database!$A$1:$Q$1,),)</f>
        <v>97453</v>
      </c>
      <c r="C310" s="15">
        <f t="shared" si="8"/>
        <v>7.7348637609223926E-3</v>
      </c>
      <c r="D310" s="16">
        <f t="shared" si="9"/>
        <v>3.9620648822795208E-2</v>
      </c>
    </row>
    <row r="311" spans="1:4" x14ac:dyDescent="0.2">
      <c r="A311" s="13">
        <v>42856</v>
      </c>
      <c r="B311" s="18">
        <f>VLOOKUP(A311,Database!A:Q,MATCH($A$1,Database!$A$1:$Q$1,),)</f>
        <v>97863</v>
      </c>
      <c r="C311" s="15">
        <f t="shared" si="8"/>
        <v>4.2071562702020457E-3</v>
      </c>
      <c r="D311" s="16">
        <f t="shared" si="9"/>
        <v>3.9757333644988894E-2</v>
      </c>
    </row>
    <row r="312" spans="1:4" x14ac:dyDescent="0.2">
      <c r="A312" s="14">
        <v>42887</v>
      </c>
      <c r="B312" s="18">
        <f>VLOOKUP(A312,Database!A:Q,MATCH($A$1,Database!$A$1:$Q$1,),)</f>
        <v>98696</v>
      </c>
      <c r="C312" s="15">
        <f t="shared" si="8"/>
        <v>8.5118992877798554E-3</v>
      </c>
      <c r="D312" s="16">
        <f t="shared" si="9"/>
        <v>4.1624451198919284E-2</v>
      </c>
    </row>
    <row r="313" spans="1:4" x14ac:dyDescent="0.2">
      <c r="A313" s="13">
        <v>42917</v>
      </c>
      <c r="B313" s="18">
        <f>VLOOKUP(A313,Database!A:Q,MATCH($A$1,Database!$A$1:$Q$1,),)</f>
        <v>98921</v>
      </c>
      <c r="C313" s="15">
        <f t="shared" si="8"/>
        <v>2.2797276485369213E-3</v>
      </c>
      <c r="D313" s="16">
        <f t="shared" si="9"/>
        <v>3.1050009380667487E-2</v>
      </c>
    </row>
    <row r="314" spans="1:4" x14ac:dyDescent="0.2">
      <c r="A314" s="14">
        <v>42948</v>
      </c>
      <c r="B314" s="18">
        <f>VLOOKUP(A314,Database!A:Q,MATCH($A$1,Database!$A$1:$Q$1,),)</f>
        <v>96659</v>
      </c>
      <c r="C314" s="15">
        <f t="shared" si="8"/>
        <v>-2.2866732038697546E-2</v>
      </c>
      <c r="D314" s="16">
        <f t="shared" si="9"/>
        <v>3.3528483640591264E-3</v>
      </c>
    </row>
    <row r="315" spans="1:4" x14ac:dyDescent="0.2">
      <c r="A315" s="13">
        <v>42979</v>
      </c>
      <c r="B315" s="18">
        <f>VLOOKUP(A315,Database!A:Q,MATCH($A$1,Database!$A$1:$Q$1,),)</f>
        <v>100949</v>
      </c>
      <c r="C315" s="15">
        <f t="shared" si="8"/>
        <v>4.4382830362408053E-2</v>
      </c>
      <c r="D315" s="16">
        <f t="shared" si="9"/>
        <v>3.8815769163485184E-2</v>
      </c>
    </row>
    <row r="316" spans="1:4" x14ac:dyDescent="0.2">
      <c r="A316" s="14">
        <v>43009</v>
      </c>
      <c r="B316" s="18">
        <f>VLOOKUP(A316,Database!A:Q,MATCH($A$1,Database!$A$1:$Q$1,),)</f>
        <v>101500</v>
      </c>
      <c r="C316" s="15">
        <f t="shared" si="8"/>
        <v>5.4582016661878768E-3</v>
      </c>
      <c r="D316" s="16">
        <f t="shared" si="9"/>
        <v>4.6046665017726113E-2</v>
      </c>
    </row>
    <row r="317" spans="1:4" x14ac:dyDescent="0.2">
      <c r="A317" s="13">
        <v>43040</v>
      </c>
      <c r="B317" s="18">
        <f>VLOOKUP(A317,Database!A:Q,MATCH($A$1,Database!$A$1:$Q$1,),)</f>
        <v>100613</v>
      </c>
      <c r="C317" s="15">
        <f t="shared" si="8"/>
        <v>-8.7389162561576361E-3</v>
      </c>
      <c r="D317" s="16">
        <f t="shared" si="9"/>
        <v>4.1413074980333704E-2</v>
      </c>
    </row>
    <row r="318" spans="1:4" x14ac:dyDescent="0.2">
      <c r="A318" s="14">
        <v>43070</v>
      </c>
      <c r="B318" s="18">
        <f>VLOOKUP(A318,Database!A:Q,MATCH($A$1,Database!$A$1:$Q$1,),)</f>
        <v>100380</v>
      </c>
      <c r="C318" s="15">
        <f t="shared" si="8"/>
        <v>-2.3158041207398646E-3</v>
      </c>
      <c r="D318" s="16">
        <f t="shared" si="9"/>
        <v>9.4123325690841069E-3</v>
      </c>
    </row>
    <row r="319" spans="1:4" x14ac:dyDescent="0.2">
      <c r="A319" s="13">
        <v>43101</v>
      </c>
      <c r="B319" s="18">
        <f>VLOOKUP(A319,Database!A:Q,MATCH($A$1,Database!$A$1:$Q$1,),)</f>
        <v>100279</v>
      </c>
      <c r="C319" s="15">
        <f t="shared" si="8"/>
        <v>-1.0061765291890816E-3</v>
      </c>
      <c r="D319" s="16">
        <f t="shared" si="9"/>
        <v>8.6401126533896602E-3</v>
      </c>
    </row>
    <row r="320" spans="1:4" x14ac:dyDescent="0.2">
      <c r="A320" s="14">
        <v>43132</v>
      </c>
      <c r="B320" s="18">
        <f>VLOOKUP(A320,Database!A:Q,MATCH($A$1,Database!$A$1:$Q$1,),)</f>
        <v>99817</v>
      </c>
      <c r="C320" s="15">
        <f t="shared" si="8"/>
        <v>-4.6071460624856654E-3</v>
      </c>
      <c r="D320" s="16">
        <f t="shared" si="9"/>
        <v>1.0119716243156543E-2</v>
      </c>
    </row>
    <row r="321" spans="1:4" x14ac:dyDescent="0.2">
      <c r="A321" s="13">
        <v>43160</v>
      </c>
      <c r="B321" s="18">
        <f>VLOOKUP(A321,Database!A:Q,MATCH($A$1,Database!$A$1:$Q$1,),)</f>
        <v>100129</v>
      </c>
      <c r="C321" s="15">
        <f t="shared" ref="C321:C322" si="10">(B321-B320)/B320</f>
        <v>3.1257200677239348E-3</v>
      </c>
      <c r="D321" s="16">
        <f t="shared" ref="D321:D322" si="11">(B321-B309)/B309</f>
        <v>3.5406649087430846E-2</v>
      </c>
    </row>
    <row r="322" spans="1:4" x14ac:dyDescent="0.2">
      <c r="A322" s="14">
        <v>43191</v>
      </c>
      <c r="B322" s="18">
        <f>VLOOKUP(A322,Database!A:Q,MATCH($A$1,Database!$A$1:$Q$1,),)</f>
        <v>100463</v>
      </c>
      <c r="C322" s="15">
        <f t="shared" si="10"/>
        <v>3.3356969509332961E-3</v>
      </c>
      <c r="D322" s="16">
        <f t="shared" si="11"/>
        <v>3.0886683837336972E-2</v>
      </c>
    </row>
    <row r="323" spans="1:4" x14ac:dyDescent="0.2">
      <c r="A323" s="13">
        <v>43221</v>
      </c>
      <c r="B323" s="18">
        <f>VLOOKUP(A323,Database!A:Q,MATCH($A$1,Database!$A$1:$Q$1,),)</f>
        <v>100878</v>
      </c>
      <c r="C323" s="15">
        <f t="shared" ref="C323:C324" si="12">(B323-B322)/B322</f>
        <v>4.1308740531339899E-3</v>
      </c>
      <c r="D323" s="16">
        <f t="shared" ref="D323:D324" si="13">(B323-B311)/B311</f>
        <v>3.0808374973176789E-2</v>
      </c>
    </row>
    <row r="324" spans="1:4" x14ac:dyDescent="0.2">
      <c r="A324" s="14">
        <v>43252</v>
      </c>
      <c r="B324" s="18">
        <f>VLOOKUP(A324,Database!A:Q,MATCH($A$1,Database!$A$1:$Q$1,),)</f>
        <v>100593</v>
      </c>
      <c r="C324" s="15">
        <f t="shared" si="12"/>
        <v>-2.8251947897460299E-3</v>
      </c>
      <c r="D324" s="16">
        <f t="shared" si="13"/>
        <v>1.9220637107886844E-2</v>
      </c>
    </row>
    <row r="325" spans="1:4" x14ac:dyDescent="0.2">
      <c r="A325" s="13">
        <v>43282</v>
      </c>
      <c r="B325" s="18">
        <f>VLOOKUP(A325,Database!A:Q,MATCH($A$1,Database!$A$1:$Q$1,),)</f>
        <v>101183</v>
      </c>
      <c r="C325" s="15">
        <f t="shared" ref="C325:C326" si="14">(B325-B324)/B324</f>
        <v>5.8652192498483994E-3</v>
      </c>
      <c r="D325" s="16">
        <f t="shared" ref="D325:D326" si="15">(B325-B313)/B313</f>
        <v>2.2866732038697546E-2</v>
      </c>
    </row>
    <row r="326" spans="1:4" x14ac:dyDescent="0.2">
      <c r="A326" s="14">
        <v>43313</v>
      </c>
      <c r="B326" s="18">
        <f>VLOOKUP(A326,Database!A:Q,MATCH($A$1,Database!$A$1:$Q$1,),)</f>
        <v>99709</v>
      </c>
      <c r="C326" s="15">
        <f t="shared" si="14"/>
        <v>-1.456766452862635E-2</v>
      </c>
      <c r="D326" s="16">
        <f t="shared" si="15"/>
        <v>3.1554226714532535E-2</v>
      </c>
    </row>
    <row r="327" spans="1:4" x14ac:dyDescent="0.2">
      <c r="A327" s="13">
        <v>43344</v>
      </c>
      <c r="B327" s="18">
        <f>VLOOKUP(A327,Database!A:Q,MATCH($A$1,Database!$A$1:$Q$1,),)</f>
        <v>99414</v>
      </c>
      <c r="C327" s="15">
        <f t="shared" ref="C327:C328" si="16">(B327-B326)/B326</f>
        <v>-2.9586095538015624E-3</v>
      </c>
      <c r="D327" s="16">
        <f t="shared" ref="D327:D328" si="17">(B327-B315)/B315</f>
        <v>-1.5205697926675846E-2</v>
      </c>
    </row>
    <row r="328" spans="1:4" x14ac:dyDescent="0.2">
      <c r="A328" s="14">
        <v>43374</v>
      </c>
      <c r="B328" s="18">
        <f>VLOOKUP(A328,Database!A:Q,MATCH($A$1,Database!$A$1:$Q$1,),)</f>
        <v>99879</v>
      </c>
      <c r="C328" s="15">
        <f t="shared" si="16"/>
        <v>4.6774096203753999E-3</v>
      </c>
      <c r="D328" s="16">
        <f t="shared" si="17"/>
        <v>-1.5970443349753696E-2</v>
      </c>
    </row>
    <row r="329" spans="1:4" x14ac:dyDescent="0.2">
      <c r="A329" s="13">
        <v>43405</v>
      </c>
      <c r="B329" s="18">
        <f>VLOOKUP(A329,Database!A:Q,MATCH($A$1,Database!$A$1:$Q$1,),)</f>
        <v>100696</v>
      </c>
      <c r="C329" s="15">
        <f t="shared" ref="C329:C330" si="18">(B329-B328)/B328</f>
        <v>8.1798976761881872E-3</v>
      </c>
      <c r="D329" s="16">
        <f t="shared" ref="D329:D330" si="19">(B329-B317)/B317</f>
        <v>8.2494309880432948E-4</v>
      </c>
    </row>
    <row r="330" spans="1:4" x14ac:dyDescent="0.2">
      <c r="A330" s="14">
        <v>43435</v>
      </c>
      <c r="B330" s="18">
        <f>VLOOKUP(A330,Database!A:Q,MATCH($A$1,Database!$A$1:$Q$1,),)</f>
        <v>101771</v>
      </c>
      <c r="C330" s="15">
        <f t="shared" si="18"/>
        <v>1.0675697147850957E-2</v>
      </c>
      <c r="D330" s="16">
        <f t="shared" si="19"/>
        <v>1.3857342100019925E-2</v>
      </c>
    </row>
    <row r="331" spans="1:4" x14ac:dyDescent="0.2">
      <c r="A331" s="13">
        <v>43466</v>
      </c>
      <c r="B331" s="18">
        <f>VLOOKUP(A331,Database!A:Q,MATCH($A$1,Database!$A$1:$Q$1,),)</f>
        <v>99605</v>
      </c>
      <c r="C331" s="15">
        <f t="shared" ref="C331:C332" si="20">(B331-B330)/B330</f>
        <v>-2.1283076711440391E-2</v>
      </c>
      <c r="D331" s="16">
        <f t="shared" ref="D331:D332" si="21">(B331-B319)/B319</f>
        <v>-6.7212477188643687E-3</v>
      </c>
    </row>
    <row r="332" spans="1:4" x14ac:dyDescent="0.2">
      <c r="A332" s="14">
        <v>43497</v>
      </c>
      <c r="B332" s="18">
        <f>VLOOKUP(A332,Database!A:Q,MATCH($A$1,Database!$A$1:$Q$1,),)</f>
        <v>100353</v>
      </c>
      <c r="C332" s="15">
        <f t="shared" si="20"/>
        <v>7.5096631695196021E-3</v>
      </c>
      <c r="D332" s="16">
        <f t="shared" si="21"/>
        <v>5.3698267830129135E-3</v>
      </c>
    </row>
    <row r="333" spans="1:4" x14ac:dyDescent="0.2">
      <c r="A333" s="13">
        <v>43525</v>
      </c>
      <c r="B333" s="18">
        <f>VLOOKUP(A333,Database!A:Q,MATCH($A$1,Database!$A$1:$Q$1,),)</f>
        <v>103240</v>
      </c>
      <c r="C333" s="15">
        <f t="shared" ref="C333:C334" si="22">(B333-B332)/B332</f>
        <v>2.8768447380745965E-2</v>
      </c>
      <c r="D333" s="16">
        <f t="shared" ref="D333:D334" si="23">(B333-B321)/B321</f>
        <v>3.1069919803453545E-2</v>
      </c>
    </row>
    <row r="334" spans="1:4" x14ac:dyDescent="0.2">
      <c r="A334" s="14">
        <v>43556</v>
      </c>
      <c r="B334" s="18">
        <f>VLOOKUP(A334,Database!A:Q,MATCH($A$1,Database!$A$1:$Q$1,),)</f>
        <v>102189</v>
      </c>
      <c r="C334" s="15">
        <f t="shared" si="22"/>
        <v>-1.0180162727624951E-2</v>
      </c>
      <c r="D334" s="16">
        <f t="shared" si="23"/>
        <v>1.7180454495684977E-2</v>
      </c>
    </row>
    <row r="335" spans="1:4" x14ac:dyDescent="0.2">
      <c r="A335" s="13">
        <v>43586</v>
      </c>
      <c r="B335" s="18">
        <f>VLOOKUP(A335,Database!A:Q,MATCH($A$1,Database!$A$1:$Q$1,),)</f>
        <v>102619</v>
      </c>
      <c r="C335" s="15">
        <f t="shared" ref="C335:C336" si="24">(B335-B334)/B334</f>
        <v>4.2078893031539596E-3</v>
      </c>
      <c r="D335" s="16">
        <f t="shared" ref="D335:D336" si="25">(B335-B323)/B323</f>
        <v>1.725847062788715E-2</v>
      </c>
    </row>
    <row r="336" spans="1:4" x14ac:dyDescent="0.2">
      <c r="A336" s="14">
        <v>43617</v>
      </c>
      <c r="B336" s="18">
        <f>VLOOKUP(A336,Database!A:Q,MATCH($A$1,Database!$A$1:$Q$1,),)</f>
        <v>102956</v>
      </c>
      <c r="C336" s="15">
        <f t="shared" si="24"/>
        <v>3.2839922431518532E-3</v>
      </c>
      <c r="D336" s="16">
        <f t="shared" si="25"/>
        <v>2.349070014812164E-2</v>
      </c>
    </row>
    <row r="337" spans="1:4" x14ac:dyDescent="0.2">
      <c r="A337" s="13">
        <v>43647</v>
      </c>
      <c r="B337" s="18">
        <f>VLOOKUP(A337,Database!A:Q,MATCH($A$1,Database!$A$1:$Q$1,),)</f>
        <v>103680</v>
      </c>
      <c r="C337" s="15">
        <f t="shared" ref="C337:C338" si="26">(B337-B336)/B336</f>
        <v>7.0321302303896814E-3</v>
      </c>
      <c r="D337" s="16">
        <f t="shared" ref="D337:D338" si="27">(B337-B325)/B325</f>
        <v>2.4678058567150607E-2</v>
      </c>
    </row>
    <row r="338" spans="1:4" x14ac:dyDescent="0.2">
      <c r="A338" s="14">
        <v>43678</v>
      </c>
      <c r="B338" s="18">
        <f>VLOOKUP(A338,Database!A:Q,MATCH($A$1,Database!$A$1:$Q$1,),)</f>
        <v>105600</v>
      </c>
      <c r="C338" s="15">
        <f t="shared" si="26"/>
        <v>1.8518518518518517E-2</v>
      </c>
      <c r="D338" s="16">
        <f t="shared" si="27"/>
        <v>5.9081928411677982E-2</v>
      </c>
    </row>
    <row r="339" spans="1:4" x14ac:dyDescent="0.2">
      <c r="A339" s="13">
        <v>43709</v>
      </c>
      <c r="B339" s="18">
        <f>VLOOKUP(A339,Database!A:Q,MATCH($A$1,Database!$A$1:$Q$1,),)</f>
        <v>103712</v>
      </c>
      <c r="C339" s="15">
        <f t="shared" ref="C339:C340" si="28">(B339-B338)/B338</f>
        <v>-1.7878787878787879E-2</v>
      </c>
      <c r="D339" s="16">
        <f t="shared" ref="D339:D340" si="29">(B339-B327)/B327</f>
        <v>4.3233347415856924E-2</v>
      </c>
    </row>
    <row r="340" spans="1:4" x14ac:dyDescent="0.2">
      <c r="A340" s="14">
        <v>43739</v>
      </c>
      <c r="B340" s="18">
        <f>VLOOKUP(A340,Database!A:Q,MATCH($A$1,Database!$A$1:$Q$1,),)</f>
        <v>104097</v>
      </c>
      <c r="C340" s="15">
        <f t="shared" si="28"/>
        <v>3.7122030237580995E-3</v>
      </c>
      <c r="D340" s="16">
        <f t="shared" si="29"/>
        <v>4.2231099630552972E-2</v>
      </c>
    </row>
    <row r="341" spans="1:4" x14ac:dyDescent="0.2">
      <c r="A341" s="13">
        <v>43770</v>
      </c>
      <c r="B341" s="18">
        <f>VLOOKUP(A341,Database!A:Q,MATCH($A$1,Database!$A$1:$Q$1,),)</f>
        <v>106580</v>
      </c>
      <c r="C341" s="15">
        <f t="shared" ref="C341:C342" si="30">(B341-B340)/B340</f>
        <v>2.3852752721019818E-2</v>
      </c>
      <c r="D341" s="16">
        <f t="shared" ref="D341:D342" si="31">(B341-B329)/B329</f>
        <v>5.8433304202748865E-2</v>
      </c>
    </row>
    <row r="342" spans="1:4" x14ac:dyDescent="0.2">
      <c r="A342" s="14">
        <v>43800</v>
      </c>
      <c r="B342" s="18">
        <f>VLOOKUP(A342,Database!A:Q,MATCH($A$1,Database!$A$1:$Q$1,),)</f>
        <v>104823</v>
      </c>
      <c r="C342" s="15">
        <f t="shared" si="30"/>
        <v>-1.648526928129105E-2</v>
      </c>
      <c r="D342" s="16">
        <f t="shared" si="31"/>
        <v>2.9988896640496802E-2</v>
      </c>
    </row>
    <row r="343" spans="1:4" x14ac:dyDescent="0.2">
      <c r="A343" s="13">
        <v>43831</v>
      </c>
      <c r="B343" s="18">
        <f>VLOOKUP(A343,Database!A:Q,MATCH($A$1,Database!$A$1:$Q$1,),)</f>
        <v>105162</v>
      </c>
      <c r="C343" s="15">
        <f t="shared" ref="C343:C344" si="32">(B343-B342)/B342</f>
        <v>3.2340230674565698E-3</v>
      </c>
      <c r="D343" s="16">
        <f t="shared" ref="D343:D344" si="33">(B343-B331)/B331</f>
        <v>5.5790371969278649E-2</v>
      </c>
    </row>
    <row r="344" spans="1:4" x14ac:dyDescent="0.2">
      <c r="A344" s="14">
        <v>43862</v>
      </c>
      <c r="B344" s="18">
        <f>VLOOKUP(A344,Database!A:Q,MATCH($A$1,Database!$A$1:$Q$1,),)</f>
        <v>105520</v>
      </c>
      <c r="C344" s="15">
        <f t="shared" si="32"/>
        <v>3.4042715049162247E-3</v>
      </c>
      <c r="D344" s="16">
        <f t="shared" si="33"/>
        <v>5.1488246489890685E-2</v>
      </c>
    </row>
    <row r="345" spans="1:4" x14ac:dyDescent="0.2">
      <c r="A345" s="13">
        <v>43891</v>
      </c>
      <c r="B345" s="18">
        <f>VLOOKUP(A345,Database!A:Q,MATCH($A$1,Database!$A$1:$Q$1,),)</f>
        <v>78046</v>
      </c>
      <c r="C345" s="15">
        <f t="shared" ref="C345:C346" si="34">(B345-B344)/B344</f>
        <v>-0.26036770280515542</v>
      </c>
      <c r="D345" s="16">
        <f t="shared" ref="D345:D346" si="35">(B345-B333)/B333</f>
        <v>-0.24403332041844247</v>
      </c>
    </row>
    <row r="346" spans="1:4" x14ac:dyDescent="0.2">
      <c r="A346" s="14">
        <v>43922</v>
      </c>
      <c r="B346" s="18">
        <f>VLOOKUP(A346,Database!A:Q,MATCH($A$1,Database!$A$1:$Q$1,),)</f>
        <v>68198</v>
      </c>
      <c r="C346" s="15">
        <f t="shared" si="34"/>
        <v>-0.1261819952335802</v>
      </c>
      <c r="D346" s="16">
        <f t="shared" si="35"/>
        <v>-0.33262875651978197</v>
      </c>
    </row>
    <row r="347" spans="1:4" x14ac:dyDescent="0.2">
      <c r="A347" s="13">
        <v>43952</v>
      </c>
      <c r="B347" s="18">
        <f>VLOOKUP(A347,Database!A:Q,MATCH($A$1,Database!$A$1:$Q$1,),)</f>
        <v>100942</v>
      </c>
      <c r="C347" s="15">
        <f t="shared" ref="C347:C348" si="36">(B347-B346)/B346</f>
        <v>0.48013138215196927</v>
      </c>
      <c r="D347" s="16">
        <f t="shared" ref="D347:D348" si="37">(B347-B335)/B335</f>
        <v>-1.6342002942924799E-2</v>
      </c>
    </row>
    <row r="348" spans="1:4" x14ac:dyDescent="0.2">
      <c r="A348" s="14">
        <v>43983</v>
      </c>
      <c r="B348" s="18">
        <f>VLOOKUP(A348,Database!A:Q,MATCH($A$1,Database!$A$1:$Q$1,),)</f>
        <v>110574</v>
      </c>
      <c r="C348" s="15">
        <f t="shared" si="36"/>
        <v>9.5421132927819938E-2</v>
      </c>
      <c r="D348" s="16">
        <f t="shared" si="37"/>
        <v>7.399277361202844E-2</v>
      </c>
    </row>
    <row r="349" spans="1:4" x14ac:dyDescent="0.2">
      <c r="A349" s="13">
        <v>44013</v>
      </c>
      <c r="B349" s="18">
        <f>VLOOKUP(A349,Database!A:Q,MATCH($A$1,Database!$A$1:$Q$1,),)</f>
        <v>109448</v>
      </c>
      <c r="C349" s="15">
        <f t="shared" ref="C349:C350" si="38">(B349-B348)/B348</f>
        <v>-1.0183225713097111E-2</v>
      </c>
      <c r="D349" s="16">
        <f t="shared" ref="D349:D350" si="39">(B349-B337)/B337</f>
        <v>5.5632716049382719E-2</v>
      </c>
    </row>
    <row r="350" spans="1:4" x14ac:dyDescent="0.2">
      <c r="A350" s="14">
        <v>44044</v>
      </c>
      <c r="B350" s="18">
        <f>VLOOKUP(A350,Database!A:Q,MATCH($A$1,Database!$A$1:$Q$1,),)</f>
        <v>109716</v>
      </c>
      <c r="C350" s="15">
        <f t="shared" si="38"/>
        <v>2.4486514143702946E-3</v>
      </c>
      <c r="D350" s="16">
        <f t="shared" si="39"/>
        <v>3.8977272727272728E-2</v>
      </c>
    </row>
    <row r="351" spans="1:4" x14ac:dyDescent="0.2">
      <c r="A351" s="13">
        <v>44075</v>
      </c>
      <c r="B351" s="18">
        <f>VLOOKUP(A351,Database!A:Q,MATCH($A$1,Database!$A$1:$Q$1,),)</f>
        <v>114374</v>
      </c>
      <c r="C351" s="15">
        <f t="shared" ref="C351:C352" si="40">(B351-B350)/B350</f>
        <v>4.2455065806263445E-2</v>
      </c>
      <c r="D351" s="16">
        <f t="shared" ref="D351:D352" si="41">(B351-B339)/B339</f>
        <v>0.10280391854365936</v>
      </c>
    </row>
    <row r="352" spans="1:4" x14ac:dyDescent="0.2">
      <c r="A352" s="14">
        <v>44105</v>
      </c>
      <c r="B352" s="18">
        <f>VLOOKUP(A352,Database!A:Q,MATCH($A$1,Database!$A$1:$Q$1,),)</f>
        <v>114247</v>
      </c>
      <c r="C352" s="15">
        <f t="shared" si="40"/>
        <v>-1.1103922220084984E-3</v>
      </c>
      <c r="D352" s="16">
        <f t="shared" si="41"/>
        <v>9.7505211485441459E-2</v>
      </c>
    </row>
    <row r="353" spans="1:4" x14ac:dyDescent="0.2">
      <c r="A353" s="13">
        <v>44136</v>
      </c>
      <c r="B353" s="18">
        <f>VLOOKUP(A353,Database!A:Q,MATCH($A$1,Database!$A$1:$Q$1,),)</f>
        <v>112202</v>
      </c>
      <c r="C353" s="15">
        <f t="shared" ref="C353:C354" si="42">(B353-B352)/B352</f>
        <v>-1.7899813561844075E-2</v>
      </c>
      <c r="D353" s="16">
        <f t="shared" ref="D353:D354" si="43">(B353-B341)/B341</f>
        <v>5.274910865077876E-2</v>
      </c>
    </row>
    <row r="354" spans="1:4" x14ac:dyDescent="0.2">
      <c r="A354" s="14">
        <v>44166</v>
      </c>
      <c r="B354" s="18">
        <f>VLOOKUP(A354,Database!A:Q,MATCH($A$1,Database!$A$1:$Q$1,),)</f>
        <v>114447</v>
      </c>
      <c r="C354" s="15">
        <f t="shared" si="42"/>
        <v>2.0008555997219301E-2</v>
      </c>
      <c r="D354" s="16">
        <f t="shared" si="43"/>
        <v>9.1811911507970578E-2</v>
      </c>
    </row>
    <row r="355" spans="1:4" x14ac:dyDescent="0.2">
      <c r="A355" s="13">
        <v>44197</v>
      </c>
      <c r="B355" s="18">
        <f>VLOOKUP(A355,Database!A:Q,MATCH($A$1,Database!$A$1:$Q$1,),)</f>
        <v>120079</v>
      </c>
      <c r="C355" s="15">
        <f t="shared" ref="C355:C356" si="44">(B355-B354)/B354</f>
        <v>4.9210551609041739E-2</v>
      </c>
      <c r="D355" s="16">
        <f t="shared" ref="D355:D356" si="45">(B355-B343)/B343</f>
        <v>0.14184781575093666</v>
      </c>
    </row>
    <row r="356" spans="1:4" x14ac:dyDescent="0.2">
      <c r="A356" s="14">
        <v>44228</v>
      </c>
      <c r="B356" s="18">
        <f>VLOOKUP(A356,Database!A:Q,MATCH($A$1,Database!$A$1:$Q$1,),)</f>
        <v>115742</v>
      </c>
      <c r="C356" s="15">
        <f t="shared" si="44"/>
        <v>-3.611788905637122E-2</v>
      </c>
      <c r="D356" s="16">
        <f t="shared" si="45"/>
        <v>9.6872630780894614E-2</v>
      </c>
    </row>
    <row r="357" spans="1:4" x14ac:dyDescent="0.2">
      <c r="A357" s="13">
        <v>44256</v>
      </c>
      <c r="B357" s="18">
        <f>VLOOKUP(A357,Database!A:Q,MATCH($A$1,Database!$A$1:$Q$1,),)</f>
        <v>135432</v>
      </c>
      <c r="C357" s="15">
        <f t="shared" ref="C357:C358" si="46">(B357-B356)/B356</f>
        <v>0.17011974909712982</v>
      </c>
      <c r="D357" s="16">
        <f t="shared" ref="D357:D358" si="47">(B357-B345)/B345</f>
        <v>0.73528431950388229</v>
      </c>
    </row>
    <row r="358" spans="1:4" x14ac:dyDescent="0.2">
      <c r="A358" s="14">
        <v>44287</v>
      </c>
      <c r="B358" s="18">
        <f>VLOOKUP(A358,Database!A:Q,MATCH($A$1,Database!$A$1:$Q$1,),)</f>
        <v>141387</v>
      </c>
      <c r="C358" s="15">
        <f t="shared" si="46"/>
        <v>4.3970405812511076E-2</v>
      </c>
      <c r="D358" s="16">
        <f t="shared" si="47"/>
        <v>1.0731839643391301</v>
      </c>
    </row>
    <row r="359" spans="1:4" x14ac:dyDescent="0.2">
      <c r="A359" s="13">
        <v>44317</v>
      </c>
      <c r="B359" s="18">
        <f>VLOOKUP(A359,Database!A:Q,MATCH($A$1,Database!$A$1:$Q$1,),)</f>
        <v>134847</v>
      </c>
      <c r="C359" s="15">
        <f t="shared" ref="C359:C360" si="48">(B359-B358)/B358</f>
        <v>-4.625602070911753E-2</v>
      </c>
      <c r="D359" s="16">
        <f t="shared" ref="D359:D360" si="49">(B359-B347)/B347</f>
        <v>0.33588595431039608</v>
      </c>
    </row>
    <row r="360" spans="1:4" x14ac:dyDescent="0.2">
      <c r="A360" s="14">
        <v>44348</v>
      </c>
      <c r="B360" s="18">
        <f>VLOOKUP(A360,Database!A:Q,MATCH($A$1,Database!$A$1:$Q$1,),)</f>
        <v>132018</v>
      </c>
      <c r="C360" s="15">
        <f t="shared" si="48"/>
        <v>-2.0979332131971791E-2</v>
      </c>
      <c r="D360" s="16">
        <f t="shared" si="49"/>
        <v>0.19393347441532369</v>
      </c>
    </row>
    <row r="361" spans="1:4" x14ac:dyDescent="0.2">
      <c r="A361" s="13">
        <v>44378</v>
      </c>
      <c r="B361" s="18">
        <f>VLOOKUP(A361,Database!A:Q,MATCH($A$1,Database!$A$1:$Q$1,),)</f>
        <v>125989</v>
      </c>
      <c r="C361" s="15">
        <f t="shared" ref="C361:C362" si="50">(B361-B360)/B360</f>
        <v>-4.5668014967655927E-2</v>
      </c>
      <c r="D361" s="16">
        <f t="shared" ref="D361:D362" si="51">(B361-B349)/B349</f>
        <v>0.15113113076529494</v>
      </c>
    </row>
    <row r="362" spans="1:4" x14ac:dyDescent="0.2">
      <c r="A362" s="14">
        <v>44409</v>
      </c>
      <c r="B362" s="18">
        <f>VLOOKUP(A362,Database!A:Q,MATCH($A$1,Database!$A$1:$Q$1,),)</f>
        <v>121498</v>
      </c>
      <c r="C362" s="15">
        <f t="shared" si="50"/>
        <v>-3.5645969092539823E-2</v>
      </c>
      <c r="D362" s="16">
        <f t="shared" si="51"/>
        <v>0.10738634292172518</v>
      </c>
    </row>
  </sheetData>
  <conditionalFormatting sqref="D19:D362">
    <cfRule type="colorScale" priority="50">
      <colorScale>
        <cfvo type="min"/>
        <cfvo type="percentile" val="50"/>
        <cfvo type="max"/>
        <color rgb="FFF8696B"/>
        <color rgb="FFFFEB84"/>
        <color rgb="FF63BE7B"/>
      </colorScale>
    </cfRule>
  </conditionalFormatting>
  <conditionalFormatting sqref="C8:C362">
    <cfRule type="colorScale" priority="51">
      <colorScale>
        <cfvo type="min"/>
        <cfvo type="percentile" val="50"/>
        <cfvo type="max"/>
        <color rgb="FFF8696B"/>
        <color rgb="FFFFEB84"/>
        <color rgb="FF63BE7B"/>
      </colorScale>
    </cfRule>
  </conditionalFormatting>
  <hyperlinks>
    <hyperlink ref="A2" r:id="rId1" xr:uid="{00000000-0004-0000-0E00-000000000000}"/>
  </hyperlinks>
  <pageMargins left="0.7" right="0.7" top="0.75" bottom="0.75" header="0.3" footer="0.3"/>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DEF647-8551-48AB-836E-6C3DEB0307ED}">
  <sheetPr codeName="Sheet22"/>
  <dimension ref="A1:D362"/>
  <sheetViews>
    <sheetView zoomScale="160" zoomScaleNormal="160" workbookViewId="0">
      <pane ySplit="6" topLeftCell="A335" activePane="bottomLeft" state="frozen"/>
      <selection pane="bottomLeft" activeCell="A365" sqref="A365"/>
    </sheetView>
  </sheetViews>
  <sheetFormatPr baseColWidth="10" defaultColWidth="9.1640625" defaultRowHeight="15" x14ac:dyDescent="0.2"/>
  <cols>
    <col min="1" max="1" width="14" style="11" customWidth="1"/>
    <col min="2" max="2" width="20.6640625" style="11" customWidth="1"/>
    <col min="3" max="3" width="14.33203125" style="11" customWidth="1"/>
    <col min="4" max="4" width="14.1640625" style="11" customWidth="1"/>
    <col min="5" max="16384" width="9.1640625" style="1"/>
  </cols>
  <sheetData>
    <row r="1" spans="1:4" x14ac:dyDescent="0.2">
      <c r="A1" s="33" t="s">
        <v>34</v>
      </c>
      <c r="B1" s="34" t="s">
        <v>49</v>
      </c>
    </row>
    <row r="2" spans="1:4" x14ac:dyDescent="0.2">
      <c r="A2" s="35" t="s">
        <v>40</v>
      </c>
      <c r="B2" s="33"/>
    </row>
    <row r="3" spans="1:4" x14ac:dyDescent="0.2">
      <c r="A3" s="12"/>
    </row>
    <row r="4" spans="1:4" x14ac:dyDescent="0.2">
      <c r="A4" s="12"/>
    </row>
    <row r="5" spans="1:4" ht="16" thickBot="1" x14ac:dyDescent="0.25">
      <c r="A5" s="12"/>
    </row>
    <row r="6" spans="1:4" ht="16" thickBot="1" x14ac:dyDescent="0.25">
      <c r="A6" s="103" t="s">
        <v>2</v>
      </c>
      <c r="B6" s="104" t="s">
        <v>101</v>
      </c>
      <c r="C6" s="104" t="s">
        <v>4</v>
      </c>
      <c r="D6" s="105" t="s">
        <v>5</v>
      </c>
    </row>
    <row r="7" spans="1:4" x14ac:dyDescent="0.2">
      <c r="A7" s="20">
        <v>33604</v>
      </c>
      <c r="B7" s="21">
        <f>VLOOKUP(A7,Database!A:K,MATCH($A$1,Database!$A$1:$K$1,),)</f>
        <v>10845</v>
      </c>
      <c r="C7" s="22"/>
      <c r="D7" s="22"/>
    </row>
    <row r="8" spans="1:4" x14ac:dyDescent="0.2">
      <c r="A8" s="14">
        <v>33635</v>
      </c>
      <c r="B8" s="18">
        <f>VLOOKUP(A8,Database!A:K,MATCH($A$1,Database!$A$1:$K$1,),)</f>
        <v>10904</v>
      </c>
      <c r="C8" s="15">
        <f t="shared" ref="C8:C71" si="0">(B8-B7)/B7</f>
        <v>5.4402950668510832E-3</v>
      </c>
      <c r="D8" s="3"/>
    </row>
    <row r="9" spans="1:4" x14ac:dyDescent="0.2">
      <c r="A9" s="20">
        <v>33664</v>
      </c>
      <c r="B9" s="18">
        <f>VLOOKUP(A9,Database!A:K,MATCH($A$1,Database!$A$1:$K$1,),)</f>
        <v>10986</v>
      </c>
      <c r="C9" s="15">
        <f t="shared" si="0"/>
        <v>7.52017608217168E-3</v>
      </c>
      <c r="D9" s="3"/>
    </row>
    <row r="10" spans="1:4" x14ac:dyDescent="0.2">
      <c r="A10" s="14">
        <v>33695</v>
      </c>
      <c r="B10" s="18">
        <f>VLOOKUP(A10,Database!A:K,MATCH($A$1,Database!$A$1:$K$1,),)</f>
        <v>10738</v>
      </c>
      <c r="C10" s="15">
        <f t="shared" si="0"/>
        <v>-2.2574185326779538E-2</v>
      </c>
      <c r="D10" s="3"/>
    </row>
    <row r="11" spans="1:4" x14ac:dyDescent="0.2">
      <c r="A11" s="20">
        <v>33725</v>
      </c>
      <c r="B11" s="18">
        <f>VLOOKUP(A11,Database!A:K,MATCH($A$1,Database!$A$1:$K$1,),)</f>
        <v>10777</v>
      </c>
      <c r="C11" s="15">
        <f t="shared" si="0"/>
        <v>3.6319612590799033E-3</v>
      </c>
      <c r="D11" s="3"/>
    </row>
    <row r="12" spans="1:4" x14ac:dyDescent="0.2">
      <c r="A12" s="14">
        <v>33756</v>
      </c>
      <c r="B12" s="18">
        <f>VLOOKUP(A12,Database!A:K,MATCH($A$1,Database!$A$1:$K$1,),)</f>
        <v>10790</v>
      </c>
      <c r="C12" s="15">
        <f t="shared" si="0"/>
        <v>1.2062726176115801E-3</v>
      </c>
      <c r="D12" s="3"/>
    </row>
    <row r="13" spans="1:4" x14ac:dyDescent="0.2">
      <c r="A13" s="20">
        <v>33786</v>
      </c>
      <c r="B13" s="18">
        <f>VLOOKUP(A13,Database!A:K,MATCH($A$1,Database!$A$1:$K$1,),)</f>
        <v>10785</v>
      </c>
      <c r="C13" s="15">
        <f t="shared" si="0"/>
        <v>-4.6339202965708991E-4</v>
      </c>
      <c r="D13" s="3"/>
    </row>
    <row r="14" spans="1:4" x14ac:dyDescent="0.2">
      <c r="A14" s="14">
        <v>33817</v>
      </c>
      <c r="B14" s="18">
        <f>VLOOKUP(A14,Database!A:K,MATCH($A$1,Database!$A$1:$K$1,),)</f>
        <v>10915</v>
      </c>
      <c r="C14" s="15">
        <f t="shared" si="0"/>
        <v>1.2053778395920259E-2</v>
      </c>
      <c r="D14" s="3"/>
    </row>
    <row r="15" spans="1:4" x14ac:dyDescent="0.2">
      <c r="A15" s="20">
        <v>33848</v>
      </c>
      <c r="B15" s="18">
        <f>VLOOKUP(A15,Database!A:K,MATCH($A$1,Database!$A$1:$K$1,),)</f>
        <v>10980</v>
      </c>
      <c r="C15" s="15">
        <f t="shared" si="0"/>
        <v>5.9551076500229038E-3</v>
      </c>
      <c r="D15" s="3"/>
    </row>
    <row r="16" spans="1:4" x14ac:dyDescent="0.2">
      <c r="A16" s="14">
        <v>33878</v>
      </c>
      <c r="B16" s="18">
        <f>VLOOKUP(A16,Database!A:K,MATCH($A$1,Database!$A$1:$K$1,),)</f>
        <v>10971</v>
      </c>
      <c r="C16" s="15">
        <f t="shared" si="0"/>
        <v>-8.1967213114754098E-4</v>
      </c>
      <c r="D16" s="3"/>
    </row>
    <row r="17" spans="1:4" x14ac:dyDescent="0.2">
      <c r="A17" s="20">
        <v>33909</v>
      </c>
      <c r="B17" s="18">
        <f>VLOOKUP(A17,Database!A:K,MATCH($A$1,Database!$A$1:$K$1,),)</f>
        <v>10873</v>
      </c>
      <c r="C17" s="15">
        <f t="shared" si="0"/>
        <v>-8.9326405979400243E-3</v>
      </c>
      <c r="D17" s="3"/>
    </row>
    <row r="18" spans="1:4" x14ac:dyDescent="0.2">
      <c r="A18" s="14">
        <v>33939</v>
      </c>
      <c r="B18" s="18">
        <f>VLOOKUP(A18,Database!A:K,MATCH($A$1,Database!$A$1:$K$1,),)</f>
        <v>11082</v>
      </c>
      <c r="C18" s="15">
        <f t="shared" si="0"/>
        <v>1.9221925871424631E-2</v>
      </c>
      <c r="D18" s="3"/>
    </row>
    <row r="19" spans="1:4" x14ac:dyDescent="0.2">
      <c r="A19" s="20">
        <v>33970</v>
      </c>
      <c r="B19" s="18">
        <f>VLOOKUP(A19,Database!A:K,MATCH($A$1,Database!$A$1:$K$1,),)</f>
        <v>11333</v>
      </c>
      <c r="C19" s="15">
        <f t="shared" si="0"/>
        <v>2.2649341274138243E-2</v>
      </c>
      <c r="D19" s="16">
        <f t="shared" ref="D19:D82" si="1">(B19-B7)/B7</f>
        <v>4.499769479022591E-2</v>
      </c>
    </row>
    <row r="20" spans="1:4" x14ac:dyDescent="0.2">
      <c r="A20" s="14">
        <v>34001</v>
      </c>
      <c r="B20" s="18">
        <f>VLOOKUP(A20,Database!A:K,MATCH($A$1,Database!$A$1:$K$1,),)</f>
        <v>11410</v>
      </c>
      <c r="C20" s="15">
        <f t="shared" si="0"/>
        <v>6.7943174799258805E-3</v>
      </c>
      <c r="D20" s="16">
        <f t="shared" si="1"/>
        <v>4.6404988994864269E-2</v>
      </c>
    </row>
    <row r="21" spans="1:4" x14ac:dyDescent="0.2">
      <c r="A21" s="20">
        <v>34029</v>
      </c>
      <c r="B21" s="18">
        <f>VLOOKUP(A21,Database!A:K,MATCH($A$1,Database!$A$1:$K$1,),)</f>
        <v>11184</v>
      </c>
      <c r="C21" s="15">
        <f t="shared" si="0"/>
        <v>-1.9807186678352323E-2</v>
      </c>
      <c r="D21" s="16">
        <f t="shared" si="1"/>
        <v>1.8022938285090113E-2</v>
      </c>
    </row>
    <row r="22" spans="1:4" x14ac:dyDescent="0.2">
      <c r="A22" s="14">
        <v>34060</v>
      </c>
      <c r="B22" s="18">
        <f>VLOOKUP(A22,Database!A:K,MATCH($A$1,Database!$A$1:$K$1,),)</f>
        <v>11417</v>
      </c>
      <c r="C22" s="15">
        <f t="shared" si="0"/>
        <v>2.0833333333333332E-2</v>
      </c>
      <c r="D22" s="16">
        <f t="shared" si="1"/>
        <v>6.3233376792698831E-2</v>
      </c>
    </row>
    <row r="23" spans="1:4" x14ac:dyDescent="0.2">
      <c r="A23" s="20">
        <v>34090</v>
      </c>
      <c r="B23" s="18">
        <f>VLOOKUP(A23,Database!A:K,MATCH($A$1,Database!$A$1:$K$1,),)</f>
        <v>11720</v>
      </c>
      <c r="C23" s="15">
        <f t="shared" si="0"/>
        <v>2.6539371113252167E-2</v>
      </c>
      <c r="D23" s="16">
        <f t="shared" si="1"/>
        <v>8.7501159877516929E-2</v>
      </c>
    </row>
    <row r="24" spans="1:4" x14ac:dyDescent="0.2">
      <c r="A24" s="14">
        <v>34121</v>
      </c>
      <c r="B24" s="18">
        <f>VLOOKUP(A24,Database!A:K,MATCH($A$1,Database!$A$1:$K$1,),)</f>
        <v>11669</v>
      </c>
      <c r="C24" s="15">
        <f t="shared" si="0"/>
        <v>-4.3515358361774746E-3</v>
      </c>
      <c r="D24" s="16">
        <f t="shared" si="1"/>
        <v>8.1464318813716408E-2</v>
      </c>
    </row>
    <row r="25" spans="1:4" x14ac:dyDescent="0.2">
      <c r="A25" s="20">
        <v>34151</v>
      </c>
      <c r="B25" s="18">
        <f>VLOOKUP(A25,Database!A:K,MATCH($A$1,Database!$A$1:$K$1,),)</f>
        <v>11781</v>
      </c>
      <c r="C25" s="15">
        <f t="shared" si="0"/>
        <v>9.5980803839232146E-3</v>
      </c>
      <c r="D25" s="16">
        <f t="shared" si="1"/>
        <v>9.235048678720445E-2</v>
      </c>
    </row>
    <row r="26" spans="1:4" x14ac:dyDescent="0.2">
      <c r="A26" s="14">
        <v>34182</v>
      </c>
      <c r="B26" s="18">
        <f>VLOOKUP(A26,Database!A:K,MATCH($A$1,Database!$A$1:$K$1,),)</f>
        <v>11875</v>
      </c>
      <c r="C26" s="15">
        <f t="shared" si="0"/>
        <v>7.9789491554197439E-3</v>
      </c>
      <c r="D26" s="16">
        <f t="shared" si="1"/>
        <v>8.7952359138799813E-2</v>
      </c>
    </row>
    <row r="27" spans="1:4" x14ac:dyDescent="0.2">
      <c r="A27" s="20">
        <v>34213</v>
      </c>
      <c r="B27" s="18">
        <f>VLOOKUP(A27,Database!A:K,MATCH($A$1,Database!$A$1:$K$1,),)</f>
        <v>11786</v>
      </c>
      <c r="C27" s="15">
        <f t="shared" si="0"/>
        <v>-7.4947368421052632E-3</v>
      </c>
      <c r="D27" s="16">
        <f t="shared" si="1"/>
        <v>7.3406193078324231E-2</v>
      </c>
    </row>
    <row r="28" spans="1:4" x14ac:dyDescent="0.2">
      <c r="A28" s="14">
        <v>34243</v>
      </c>
      <c r="B28" s="18">
        <f>VLOOKUP(A28,Database!A:K,MATCH($A$1,Database!$A$1:$K$1,),)</f>
        <v>11908</v>
      </c>
      <c r="C28" s="15">
        <f t="shared" si="0"/>
        <v>1.0351264211776684E-2</v>
      </c>
      <c r="D28" s="16">
        <f t="shared" si="1"/>
        <v>8.5406982043569404E-2</v>
      </c>
    </row>
    <row r="29" spans="1:4" x14ac:dyDescent="0.2">
      <c r="A29" s="20">
        <v>34274</v>
      </c>
      <c r="B29" s="18">
        <f>VLOOKUP(A29,Database!A:K,MATCH($A$1,Database!$A$1:$K$1,),)</f>
        <v>12297</v>
      </c>
      <c r="C29" s="15">
        <f t="shared" si="0"/>
        <v>3.2667114544843799E-2</v>
      </c>
      <c r="D29" s="16">
        <f t="shared" si="1"/>
        <v>0.13096661454980227</v>
      </c>
    </row>
    <row r="30" spans="1:4" x14ac:dyDescent="0.2">
      <c r="A30" s="14">
        <v>34304</v>
      </c>
      <c r="B30" s="18">
        <f>VLOOKUP(A30,Database!A:K,MATCH($A$1,Database!$A$1:$K$1,),)</f>
        <v>12583</v>
      </c>
      <c r="C30" s="15">
        <f t="shared" si="0"/>
        <v>2.3257705131332844E-2</v>
      </c>
      <c r="D30" s="16">
        <f t="shared" si="1"/>
        <v>0.13544486554773508</v>
      </c>
    </row>
    <row r="31" spans="1:4" x14ac:dyDescent="0.2">
      <c r="A31" s="20">
        <v>34335</v>
      </c>
      <c r="B31" s="18">
        <f>VLOOKUP(A31,Database!A:K,MATCH($A$1,Database!$A$1:$K$1,),)</f>
        <v>12316</v>
      </c>
      <c r="C31" s="15">
        <f t="shared" si="0"/>
        <v>-2.1219105141858062E-2</v>
      </c>
      <c r="D31" s="16">
        <f t="shared" si="1"/>
        <v>8.6737845230742086E-2</v>
      </c>
    </row>
    <row r="32" spans="1:4" x14ac:dyDescent="0.2">
      <c r="A32" s="14">
        <v>34366</v>
      </c>
      <c r="B32" s="18">
        <f>VLOOKUP(A32,Database!A:K,MATCH($A$1,Database!$A$1:$K$1,),)</f>
        <v>12233</v>
      </c>
      <c r="C32" s="15">
        <f t="shared" si="0"/>
        <v>-6.7392010392984735E-3</v>
      </c>
      <c r="D32" s="16">
        <f t="shared" si="1"/>
        <v>7.2129710780017522E-2</v>
      </c>
    </row>
    <row r="33" spans="1:4" x14ac:dyDescent="0.2">
      <c r="A33" s="20">
        <v>34394</v>
      </c>
      <c r="B33" s="18">
        <f>VLOOKUP(A33,Database!A:K,MATCH($A$1,Database!$A$1:$K$1,),)</f>
        <v>12767</v>
      </c>
      <c r="C33" s="15">
        <f t="shared" si="0"/>
        <v>4.3652415597155235E-2</v>
      </c>
      <c r="D33" s="16">
        <f t="shared" si="1"/>
        <v>0.14154148783977111</v>
      </c>
    </row>
    <row r="34" spans="1:4" x14ac:dyDescent="0.2">
      <c r="A34" s="14">
        <v>34425</v>
      </c>
      <c r="B34" s="18">
        <f>VLOOKUP(A34,Database!A:K,MATCH($A$1,Database!$A$1:$K$1,),)</f>
        <v>13076</v>
      </c>
      <c r="C34" s="15">
        <f t="shared" si="0"/>
        <v>2.4203023419754055E-2</v>
      </c>
      <c r="D34" s="16">
        <f t="shared" si="1"/>
        <v>0.14530962599632127</v>
      </c>
    </row>
    <row r="35" spans="1:4" x14ac:dyDescent="0.2">
      <c r="A35" s="20">
        <v>34455</v>
      </c>
      <c r="B35" s="18">
        <f>VLOOKUP(A35,Database!A:K,MATCH($A$1,Database!$A$1:$K$1,),)</f>
        <v>13033</v>
      </c>
      <c r="C35" s="15">
        <f t="shared" si="0"/>
        <v>-3.288467421229734E-3</v>
      </c>
      <c r="D35" s="16">
        <f t="shared" si="1"/>
        <v>0.11203071672354949</v>
      </c>
    </row>
    <row r="36" spans="1:4" x14ac:dyDescent="0.2">
      <c r="A36" s="14">
        <v>34486</v>
      </c>
      <c r="B36" s="18">
        <f>VLOOKUP(A36,Database!A:K,MATCH($A$1,Database!$A$1:$K$1,),)</f>
        <v>12987</v>
      </c>
      <c r="C36" s="15">
        <f t="shared" si="0"/>
        <v>-3.5295020333000844E-3</v>
      </c>
      <c r="D36" s="16">
        <f t="shared" si="1"/>
        <v>0.11294883880366784</v>
      </c>
    </row>
    <row r="37" spans="1:4" x14ac:dyDescent="0.2">
      <c r="A37" s="20">
        <v>34516</v>
      </c>
      <c r="B37" s="18">
        <f>VLOOKUP(A37,Database!A:K,MATCH($A$1,Database!$A$1:$K$1,),)</f>
        <v>13130</v>
      </c>
      <c r="C37" s="15">
        <f t="shared" si="0"/>
        <v>1.1011011011011011E-2</v>
      </c>
      <c r="D37" s="16">
        <f t="shared" si="1"/>
        <v>0.11450640862405569</v>
      </c>
    </row>
    <row r="38" spans="1:4" x14ac:dyDescent="0.2">
      <c r="A38" s="14">
        <v>34547</v>
      </c>
      <c r="B38" s="18">
        <f>VLOOKUP(A38,Database!A:K,MATCH($A$1,Database!$A$1:$K$1,),)</f>
        <v>13224</v>
      </c>
      <c r="C38" s="15">
        <f t="shared" si="0"/>
        <v>7.1591774562071589E-3</v>
      </c>
      <c r="D38" s="16">
        <f t="shared" si="1"/>
        <v>0.11360000000000001</v>
      </c>
    </row>
    <row r="39" spans="1:4" x14ac:dyDescent="0.2">
      <c r="A39" s="20">
        <v>34578</v>
      </c>
      <c r="B39" s="18">
        <f>VLOOKUP(A39,Database!A:K,MATCH($A$1,Database!$A$1:$K$1,),)</f>
        <v>13375</v>
      </c>
      <c r="C39" s="15">
        <f t="shared" si="0"/>
        <v>1.1418632788868724E-2</v>
      </c>
      <c r="D39" s="16">
        <f t="shared" si="1"/>
        <v>0.13482097403699303</v>
      </c>
    </row>
    <row r="40" spans="1:4" x14ac:dyDescent="0.2">
      <c r="A40" s="14">
        <v>34608</v>
      </c>
      <c r="B40" s="18">
        <f>VLOOKUP(A40,Database!A:K,MATCH($A$1,Database!$A$1:$K$1,),)</f>
        <v>13550</v>
      </c>
      <c r="C40" s="15">
        <f t="shared" si="0"/>
        <v>1.3084112149532711E-2</v>
      </c>
      <c r="D40" s="16">
        <f t="shared" si="1"/>
        <v>0.13789049378569029</v>
      </c>
    </row>
    <row r="41" spans="1:4" x14ac:dyDescent="0.2">
      <c r="A41" s="20">
        <v>34639</v>
      </c>
      <c r="B41" s="18">
        <f>VLOOKUP(A41,Database!A:K,MATCH($A$1,Database!$A$1:$K$1,),)</f>
        <v>13384</v>
      </c>
      <c r="C41" s="15">
        <f t="shared" si="0"/>
        <v>-1.2250922509225092E-2</v>
      </c>
      <c r="D41" s="16">
        <f t="shared" si="1"/>
        <v>8.8395543628527279E-2</v>
      </c>
    </row>
    <row r="42" spans="1:4" x14ac:dyDescent="0.2">
      <c r="A42" s="14">
        <v>34669</v>
      </c>
      <c r="B42" s="18">
        <f>VLOOKUP(A42,Database!A:K,MATCH($A$1,Database!$A$1:$K$1,),)</f>
        <v>13981</v>
      </c>
      <c r="C42" s="15">
        <f t="shared" si="0"/>
        <v>4.4605499103407054E-2</v>
      </c>
      <c r="D42" s="16">
        <f t="shared" si="1"/>
        <v>0.11110228085512198</v>
      </c>
    </row>
    <row r="43" spans="1:4" x14ac:dyDescent="0.2">
      <c r="A43" s="20">
        <v>34700</v>
      </c>
      <c r="B43" s="18">
        <f>VLOOKUP(A43,Database!A:K,MATCH($A$1,Database!$A$1:$K$1,),)</f>
        <v>13738</v>
      </c>
      <c r="C43" s="15">
        <f t="shared" si="0"/>
        <v>-1.7380730992060653E-2</v>
      </c>
      <c r="D43" s="16">
        <f t="shared" si="1"/>
        <v>0.11545956479376421</v>
      </c>
    </row>
    <row r="44" spans="1:4" x14ac:dyDescent="0.2">
      <c r="A44" s="14">
        <v>34731</v>
      </c>
      <c r="B44" s="18">
        <f>VLOOKUP(A44,Database!A:K,MATCH($A$1,Database!$A$1:$K$1,),)</f>
        <v>13613</v>
      </c>
      <c r="C44" s="15">
        <f t="shared" si="0"/>
        <v>-9.0988499053719606E-3</v>
      </c>
      <c r="D44" s="16">
        <f t="shared" si="1"/>
        <v>0.11280961334096297</v>
      </c>
    </row>
    <row r="45" spans="1:4" x14ac:dyDescent="0.2">
      <c r="A45" s="20">
        <v>34759</v>
      </c>
      <c r="B45" s="18">
        <f>VLOOKUP(A45,Database!A:K,MATCH($A$1,Database!$A$1:$K$1,),)</f>
        <v>13587</v>
      </c>
      <c r="C45" s="15">
        <f t="shared" si="0"/>
        <v>-1.9099390288694631E-3</v>
      </c>
      <c r="D45" s="16">
        <f t="shared" si="1"/>
        <v>6.4228088039476772E-2</v>
      </c>
    </row>
    <row r="46" spans="1:4" x14ac:dyDescent="0.2">
      <c r="A46" s="14">
        <v>34790</v>
      </c>
      <c r="B46" s="18">
        <f>VLOOKUP(A46,Database!A:K,MATCH($A$1,Database!$A$1:$K$1,),)</f>
        <v>13415</v>
      </c>
      <c r="C46" s="15">
        <f t="shared" si="0"/>
        <v>-1.2659159490689629E-2</v>
      </c>
      <c r="D46" s="16">
        <f t="shared" si="1"/>
        <v>2.5925359437136739E-2</v>
      </c>
    </row>
    <row r="47" spans="1:4" x14ac:dyDescent="0.2">
      <c r="A47" s="20">
        <v>34820</v>
      </c>
      <c r="B47" s="18">
        <f>VLOOKUP(A47,Database!A:K,MATCH($A$1,Database!$A$1:$K$1,),)</f>
        <v>13370</v>
      </c>
      <c r="C47" s="15">
        <f t="shared" si="0"/>
        <v>-3.354453969437197E-3</v>
      </c>
      <c r="D47" s="16">
        <f t="shared" si="1"/>
        <v>2.5857438809176705E-2</v>
      </c>
    </row>
    <row r="48" spans="1:4" x14ac:dyDescent="0.2">
      <c r="A48" s="14">
        <v>34851</v>
      </c>
      <c r="B48" s="18">
        <f>VLOOKUP(A48,Database!A:K,MATCH($A$1,Database!$A$1:$K$1,),)</f>
        <v>13548</v>
      </c>
      <c r="C48" s="15">
        <f t="shared" si="0"/>
        <v>1.331338818249813E-2</v>
      </c>
      <c r="D48" s="16">
        <f t="shared" si="1"/>
        <v>4.3197043197043199E-2</v>
      </c>
    </row>
    <row r="49" spans="1:4" x14ac:dyDescent="0.2">
      <c r="A49" s="20">
        <v>34881</v>
      </c>
      <c r="B49" s="18">
        <f>VLOOKUP(A49,Database!A:K,MATCH($A$1,Database!$A$1:$K$1,),)</f>
        <v>13645</v>
      </c>
      <c r="C49" s="15">
        <f t="shared" si="0"/>
        <v>7.1597283731916154E-3</v>
      </c>
      <c r="D49" s="16">
        <f t="shared" si="1"/>
        <v>3.9223153084539226E-2</v>
      </c>
    </row>
    <row r="50" spans="1:4" x14ac:dyDescent="0.2">
      <c r="A50" s="14">
        <v>34912</v>
      </c>
      <c r="B50" s="18">
        <f>VLOOKUP(A50,Database!A:K,MATCH($A$1,Database!$A$1:$K$1,),)</f>
        <v>13683</v>
      </c>
      <c r="C50" s="15">
        <f t="shared" si="0"/>
        <v>2.7849028948332723E-3</v>
      </c>
      <c r="D50" s="16">
        <f t="shared" si="1"/>
        <v>3.470961887477314E-2</v>
      </c>
    </row>
    <row r="51" spans="1:4" x14ac:dyDescent="0.2">
      <c r="A51" s="20">
        <v>34943</v>
      </c>
      <c r="B51" s="18">
        <f>VLOOKUP(A51,Database!A:K,MATCH($A$1,Database!$A$1:$K$1,),)</f>
        <v>13837</v>
      </c>
      <c r="C51" s="15">
        <f t="shared" si="0"/>
        <v>1.1254841774464664E-2</v>
      </c>
      <c r="D51" s="16">
        <f t="shared" si="1"/>
        <v>3.4542056074766354E-2</v>
      </c>
    </row>
    <row r="52" spans="1:4" x14ac:dyDescent="0.2">
      <c r="A52" s="14">
        <v>34973</v>
      </c>
      <c r="B52" s="18">
        <f>VLOOKUP(A52,Database!A:K,MATCH($A$1,Database!$A$1:$K$1,),)</f>
        <v>13932</v>
      </c>
      <c r="C52" s="15">
        <f t="shared" si="0"/>
        <v>6.8656500686565007E-3</v>
      </c>
      <c r="D52" s="16">
        <f t="shared" si="1"/>
        <v>2.8191881918819189E-2</v>
      </c>
    </row>
    <row r="53" spans="1:4" x14ac:dyDescent="0.2">
      <c r="A53" s="20">
        <v>35004</v>
      </c>
      <c r="B53" s="18">
        <f>VLOOKUP(A53,Database!A:K,MATCH($A$1,Database!$A$1:$K$1,),)</f>
        <v>14092</v>
      </c>
      <c r="C53" s="15">
        <f t="shared" si="0"/>
        <v>1.1484352569623888E-2</v>
      </c>
      <c r="D53" s="16">
        <f t="shared" si="1"/>
        <v>5.2898983861326958E-2</v>
      </c>
    </row>
    <row r="54" spans="1:4" x14ac:dyDescent="0.2">
      <c r="A54" s="14">
        <v>35034</v>
      </c>
      <c r="B54" s="18">
        <f>VLOOKUP(A54,Database!A:K,MATCH($A$1,Database!$A$1:$K$1,),)</f>
        <v>14683</v>
      </c>
      <c r="C54" s="15">
        <f t="shared" si="0"/>
        <v>4.1938688617655408E-2</v>
      </c>
      <c r="D54" s="16">
        <f t="shared" si="1"/>
        <v>5.0211000643730776E-2</v>
      </c>
    </row>
    <row r="55" spans="1:4" x14ac:dyDescent="0.2">
      <c r="A55" s="20">
        <v>35065</v>
      </c>
      <c r="B55" s="18">
        <f>VLOOKUP(A55,Database!A:K,MATCH($A$1,Database!$A$1:$K$1,),)</f>
        <v>14023</v>
      </c>
      <c r="C55" s="15">
        <f t="shared" si="0"/>
        <v>-4.4949942109923043E-2</v>
      </c>
      <c r="D55" s="16">
        <f t="shared" si="1"/>
        <v>2.0745377784248072E-2</v>
      </c>
    </row>
    <row r="56" spans="1:4" x14ac:dyDescent="0.2">
      <c r="A56" s="14">
        <v>35096</v>
      </c>
      <c r="B56" s="18">
        <f>VLOOKUP(A56,Database!A:K,MATCH($A$1,Database!$A$1:$K$1,),)</f>
        <v>14036</v>
      </c>
      <c r="C56" s="15">
        <f t="shared" si="0"/>
        <v>9.270484204521144E-4</v>
      </c>
      <c r="D56" s="16">
        <f t="shared" si="1"/>
        <v>3.1073238815837803E-2</v>
      </c>
    </row>
    <row r="57" spans="1:4" x14ac:dyDescent="0.2">
      <c r="A57" s="20">
        <v>35125</v>
      </c>
      <c r="B57" s="18">
        <f>VLOOKUP(A57,Database!A:K,MATCH($A$1,Database!$A$1:$K$1,),)</f>
        <v>14153</v>
      </c>
      <c r="C57" s="15">
        <f t="shared" si="0"/>
        <v>8.3357081789683669E-3</v>
      </c>
      <c r="D57" s="16">
        <f t="shared" si="1"/>
        <v>4.1657466696106572E-2</v>
      </c>
    </row>
    <row r="58" spans="1:4" x14ac:dyDescent="0.2">
      <c r="A58" s="14">
        <v>35156</v>
      </c>
      <c r="B58" s="18">
        <f>VLOOKUP(A58,Database!A:K,MATCH($A$1,Database!$A$1:$K$1,),)</f>
        <v>14340</v>
      </c>
      <c r="C58" s="15">
        <f t="shared" si="0"/>
        <v>1.3212746414187805E-2</v>
      </c>
      <c r="D58" s="16">
        <f t="shared" si="1"/>
        <v>6.8952664927320162E-2</v>
      </c>
    </row>
    <row r="59" spans="1:4" x14ac:dyDescent="0.2">
      <c r="A59" s="20">
        <v>35186</v>
      </c>
      <c r="B59" s="18">
        <f>VLOOKUP(A59,Database!A:K,MATCH($A$1,Database!$A$1:$K$1,),)</f>
        <v>14450</v>
      </c>
      <c r="C59" s="15">
        <f t="shared" si="0"/>
        <v>7.6708507670850768E-3</v>
      </c>
      <c r="D59" s="16">
        <f t="shared" si="1"/>
        <v>8.0777860882572924E-2</v>
      </c>
    </row>
    <row r="60" spans="1:4" x14ac:dyDescent="0.2">
      <c r="A60" s="14">
        <v>35217</v>
      </c>
      <c r="B60" s="18">
        <f>VLOOKUP(A60,Database!A:K,MATCH($A$1,Database!$A$1:$K$1,),)</f>
        <v>14902</v>
      </c>
      <c r="C60" s="15">
        <f t="shared" si="0"/>
        <v>3.1280276816608998E-2</v>
      </c>
      <c r="D60" s="16">
        <f t="shared" si="1"/>
        <v>9.9940950693829342E-2</v>
      </c>
    </row>
    <row r="61" spans="1:4" x14ac:dyDescent="0.2">
      <c r="A61" s="20">
        <v>35247</v>
      </c>
      <c r="B61" s="18">
        <f>VLOOKUP(A61,Database!A:K,MATCH($A$1,Database!$A$1:$K$1,),)</f>
        <v>14826</v>
      </c>
      <c r="C61" s="15">
        <f t="shared" si="0"/>
        <v>-5.0999865789826872E-3</v>
      </c>
      <c r="D61" s="16">
        <f t="shared" si="1"/>
        <v>8.6551850494686694E-2</v>
      </c>
    </row>
    <row r="62" spans="1:4" x14ac:dyDescent="0.2">
      <c r="A62" s="14">
        <v>35278</v>
      </c>
      <c r="B62" s="18">
        <f>VLOOKUP(A62,Database!A:K,MATCH($A$1,Database!$A$1:$K$1,),)</f>
        <v>14981</v>
      </c>
      <c r="C62" s="15">
        <f t="shared" si="0"/>
        <v>1.0454606771887226E-2</v>
      </c>
      <c r="D62" s="16">
        <f t="shared" si="1"/>
        <v>9.4862237813345032E-2</v>
      </c>
    </row>
    <row r="63" spans="1:4" x14ac:dyDescent="0.2">
      <c r="A63" s="20">
        <v>35309</v>
      </c>
      <c r="B63" s="18">
        <f>VLOOKUP(A63,Database!A:K,MATCH($A$1,Database!$A$1:$K$1,),)</f>
        <v>14989</v>
      </c>
      <c r="C63" s="15">
        <f t="shared" si="0"/>
        <v>5.3400974567785866E-4</v>
      </c>
      <c r="D63" s="16">
        <f t="shared" si="1"/>
        <v>8.3255040832550406E-2</v>
      </c>
    </row>
    <row r="64" spans="1:4" x14ac:dyDescent="0.2">
      <c r="A64" s="14">
        <v>35339</v>
      </c>
      <c r="B64" s="18">
        <f>VLOOKUP(A64,Database!A:K,MATCH($A$1,Database!$A$1:$K$1,),)</f>
        <v>15040</v>
      </c>
      <c r="C64" s="15">
        <f t="shared" si="0"/>
        <v>3.4024951631196208E-3</v>
      </c>
      <c r="D64" s="16">
        <f t="shared" si="1"/>
        <v>7.9529141544645424E-2</v>
      </c>
    </row>
    <row r="65" spans="1:4" x14ac:dyDescent="0.2">
      <c r="A65" s="20">
        <v>35370</v>
      </c>
      <c r="B65" s="18">
        <f>VLOOKUP(A65,Database!A:K,MATCH($A$1,Database!$A$1:$K$1,),)</f>
        <v>15264</v>
      </c>
      <c r="C65" s="15">
        <f t="shared" si="0"/>
        <v>1.4893617021276596E-2</v>
      </c>
      <c r="D65" s="16">
        <f t="shared" si="1"/>
        <v>8.3167754754470621E-2</v>
      </c>
    </row>
    <row r="66" spans="1:4" x14ac:dyDescent="0.2">
      <c r="A66" s="14">
        <v>35400</v>
      </c>
      <c r="B66" s="18">
        <f>VLOOKUP(A66,Database!A:K,MATCH($A$1,Database!$A$1:$K$1,),)</f>
        <v>14980</v>
      </c>
      <c r="C66" s="15">
        <f t="shared" si="0"/>
        <v>-1.8605870020964362E-2</v>
      </c>
      <c r="D66" s="16">
        <f t="shared" si="1"/>
        <v>2.0227473949465367E-2</v>
      </c>
    </row>
    <row r="67" spans="1:4" x14ac:dyDescent="0.2">
      <c r="A67" s="20">
        <v>35431</v>
      </c>
      <c r="B67" s="18">
        <f>VLOOKUP(A67,Database!A:K,MATCH($A$1,Database!$A$1:$K$1,),)</f>
        <v>15197</v>
      </c>
      <c r="C67" s="15">
        <f t="shared" si="0"/>
        <v>1.4485981308411215E-2</v>
      </c>
      <c r="D67" s="16">
        <f t="shared" si="1"/>
        <v>8.3719603508521714E-2</v>
      </c>
    </row>
    <row r="68" spans="1:4" x14ac:dyDescent="0.2">
      <c r="A68" s="14">
        <v>35462</v>
      </c>
      <c r="B68" s="18">
        <f>VLOOKUP(A68,Database!A:K,MATCH($A$1,Database!$A$1:$K$1,),)</f>
        <v>15561</v>
      </c>
      <c r="C68" s="15">
        <f t="shared" si="0"/>
        <v>2.3952095808383235E-2</v>
      </c>
      <c r="D68" s="16">
        <f t="shared" si="1"/>
        <v>0.10864918780279281</v>
      </c>
    </row>
    <row r="69" spans="1:4" x14ac:dyDescent="0.2">
      <c r="A69" s="20">
        <v>35490</v>
      </c>
      <c r="B69" s="18">
        <f>VLOOKUP(A69,Database!A:K,MATCH($A$1,Database!$A$1:$K$1,),)</f>
        <v>15862</v>
      </c>
      <c r="C69" s="15">
        <f t="shared" si="0"/>
        <v>1.9343229869545658E-2</v>
      </c>
      <c r="D69" s="16">
        <f t="shared" si="1"/>
        <v>0.12075178407404791</v>
      </c>
    </row>
    <row r="70" spans="1:4" x14ac:dyDescent="0.2">
      <c r="A70" s="14">
        <v>35521</v>
      </c>
      <c r="B70" s="18">
        <f>VLOOKUP(A70,Database!A:K,MATCH($A$1,Database!$A$1:$K$1,),)</f>
        <v>15709</v>
      </c>
      <c r="C70" s="15">
        <f t="shared" si="0"/>
        <v>-9.6456941117135288E-3</v>
      </c>
      <c r="D70" s="16">
        <f t="shared" si="1"/>
        <v>9.5467224546722448E-2</v>
      </c>
    </row>
    <row r="71" spans="1:4" x14ac:dyDescent="0.2">
      <c r="A71" s="20">
        <v>35551</v>
      </c>
      <c r="B71" s="18">
        <f>VLOOKUP(A71,Database!A:K,MATCH($A$1,Database!$A$1:$K$1,),)</f>
        <v>15805</v>
      </c>
      <c r="C71" s="15">
        <f t="shared" si="0"/>
        <v>6.1111464765421092E-3</v>
      </c>
      <c r="D71" s="16">
        <f t="shared" si="1"/>
        <v>9.3771626297577848E-2</v>
      </c>
    </row>
    <row r="72" spans="1:4" x14ac:dyDescent="0.2">
      <c r="A72" s="14">
        <v>35582</v>
      </c>
      <c r="B72" s="18">
        <f>VLOOKUP(A72,Database!A:K,MATCH($A$1,Database!$A$1:$K$1,),)</f>
        <v>15918</v>
      </c>
      <c r="C72" s="15">
        <f t="shared" ref="C72:C135" si="2">(B72-B71)/B71</f>
        <v>7.1496361910787726E-3</v>
      </c>
      <c r="D72" s="16">
        <f t="shared" si="1"/>
        <v>6.8178767950610661E-2</v>
      </c>
    </row>
    <row r="73" spans="1:4" x14ac:dyDescent="0.2">
      <c r="A73" s="20">
        <v>35612</v>
      </c>
      <c r="B73" s="18">
        <f>VLOOKUP(A73,Database!A:K,MATCH($A$1,Database!$A$1:$K$1,),)</f>
        <v>15973</v>
      </c>
      <c r="C73" s="15">
        <f t="shared" si="2"/>
        <v>3.4552079406960676E-3</v>
      </c>
      <c r="D73" s="16">
        <f t="shared" si="1"/>
        <v>7.7364090111965461E-2</v>
      </c>
    </row>
    <row r="74" spans="1:4" x14ac:dyDescent="0.2">
      <c r="A74" s="14">
        <v>35643</v>
      </c>
      <c r="B74" s="18">
        <f>VLOOKUP(A74,Database!A:K,MATCH($A$1,Database!$A$1:$K$1,),)</f>
        <v>16027</v>
      </c>
      <c r="C74" s="15">
        <f t="shared" si="2"/>
        <v>3.3807049395855504E-3</v>
      </c>
      <c r="D74" s="16">
        <f t="shared" si="1"/>
        <v>6.9821774247380008E-2</v>
      </c>
    </row>
    <row r="75" spans="1:4" x14ac:dyDescent="0.2">
      <c r="A75" s="20">
        <v>35674</v>
      </c>
      <c r="B75" s="18">
        <f>VLOOKUP(A75,Database!A:K,MATCH($A$1,Database!$A$1:$K$1,),)</f>
        <v>16283</v>
      </c>
      <c r="C75" s="15">
        <f t="shared" si="2"/>
        <v>1.5973045485742809E-2</v>
      </c>
      <c r="D75" s="16">
        <f t="shared" si="1"/>
        <v>8.6329975315231164E-2</v>
      </c>
    </row>
    <row r="76" spans="1:4" x14ac:dyDescent="0.2">
      <c r="A76" s="14">
        <v>35704</v>
      </c>
      <c r="B76" s="18">
        <f>VLOOKUP(A76,Database!A:K,MATCH($A$1,Database!$A$1:$K$1,),)</f>
        <v>16232</v>
      </c>
      <c r="C76" s="15">
        <f t="shared" si="2"/>
        <v>-3.1321009641957871E-3</v>
      </c>
      <c r="D76" s="16">
        <f t="shared" si="1"/>
        <v>7.9255319148936174E-2</v>
      </c>
    </row>
    <row r="77" spans="1:4" x14ac:dyDescent="0.2">
      <c r="A77" s="20">
        <v>35735</v>
      </c>
      <c r="B77" s="18">
        <f>VLOOKUP(A77,Database!A:K,MATCH($A$1,Database!$A$1:$K$1,),)</f>
        <v>16158</v>
      </c>
      <c r="C77" s="15">
        <f t="shared" si="2"/>
        <v>-4.5588960078856581E-3</v>
      </c>
      <c r="D77" s="16">
        <f t="shared" si="1"/>
        <v>5.8569182389937108E-2</v>
      </c>
    </row>
    <row r="78" spans="1:4" x14ac:dyDescent="0.2">
      <c r="A78" s="14">
        <v>35765</v>
      </c>
      <c r="B78" s="18">
        <f>VLOOKUP(A78,Database!A:K,MATCH($A$1,Database!$A$1:$K$1,),)</f>
        <v>16356</v>
      </c>
      <c r="C78" s="15">
        <f t="shared" si="2"/>
        <v>1.2253991830672113E-2</v>
      </c>
      <c r="D78" s="16">
        <f t="shared" si="1"/>
        <v>9.1855807743658216E-2</v>
      </c>
    </row>
    <row r="79" spans="1:4" x14ac:dyDescent="0.2">
      <c r="A79" s="20">
        <v>35796</v>
      </c>
      <c r="B79" s="18">
        <f>VLOOKUP(A79,Database!A:K,MATCH($A$1,Database!$A$1:$K$1,),)</f>
        <v>16436</v>
      </c>
      <c r="C79" s="15">
        <f t="shared" si="2"/>
        <v>4.8911714355588162E-3</v>
      </c>
      <c r="D79" s="16">
        <f t="shared" si="1"/>
        <v>8.152924919391985E-2</v>
      </c>
    </row>
    <row r="80" spans="1:4" x14ac:dyDescent="0.2">
      <c r="A80" s="14">
        <v>35827</v>
      </c>
      <c r="B80" s="18">
        <f>VLOOKUP(A80,Database!A:K,MATCH($A$1,Database!$A$1:$K$1,),)</f>
        <v>16462</v>
      </c>
      <c r="C80" s="15">
        <f t="shared" si="2"/>
        <v>1.5818934047213435E-3</v>
      </c>
      <c r="D80" s="16">
        <f t="shared" si="1"/>
        <v>5.7901163164321062E-2</v>
      </c>
    </row>
    <row r="81" spans="1:4" x14ac:dyDescent="0.2">
      <c r="A81" s="20">
        <v>35855</v>
      </c>
      <c r="B81" s="18">
        <f>VLOOKUP(A81,Database!A:K,MATCH($A$1,Database!$A$1:$K$1,),)</f>
        <v>16511</v>
      </c>
      <c r="C81" s="15">
        <f t="shared" si="2"/>
        <v>2.9765520592880575E-3</v>
      </c>
      <c r="D81" s="16">
        <f t="shared" si="1"/>
        <v>4.0915395284327326E-2</v>
      </c>
    </row>
    <row r="82" spans="1:4" x14ac:dyDescent="0.2">
      <c r="A82" s="14">
        <v>35886</v>
      </c>
      <c r="B82" s="18">
        <f>VLOOKUP(A82,Database!A:K,MATCH($A$1,Database!$A$1:$K$1,),)</f>
        <v>16716</v>
      </c>
      <c r="C82" s="15">
        <f t="shared" si="2"/>
        <v>1.2415965114166313E-2</v>
      </c>
      <c r="D82" s="16">
        <f t="shared" si="1"/>
        <v>6.4103380227894843E-2</v>
      </c>
    </row>
    <row r="83" spans="1:4" x14ac:dyDescent="0.2">
      <c r="A83" s="20">
        <v>35916</v>
      </c>
      <c r="B83" s="18">
        <f>VLOOKUP(A83,Database!A:K,MATCH($A$1,Database!$A$1:$K$1,),)</f>
        <v>16741</v>
      </c>
      <c r="C83" s="15">
        <f t="shared" si="2"/>
        <v>1.4955731036133046E-3</v>
      </c>
      <c r="D83" s="16">
        <f t="shared" ref="D83:D146" si="3">(B83-B71)/B71</f>
        <v>5.9221765264156914E-2</v>
      </c>
    </row>
    <row r="84" spans="1:4" x14ac:dyDescent="0.2">
      <c r="A84" s="14">
        <v>35947</v>
      </c>
      <c r="B84" s="18">
        <f>VLOOKUP(A84,Database!A:K,MATCH($A$1,Database!$A$1:$K$1,),)</f>
        <v>16662</v>
      </c>
      <c r="C84" s="15">
        <f t="shared" si="2"/>
        <v>-4.7189534675347944E-3</v>
      </c>
      <c r="D84" s="16">
        <f t="shared" si="3"/>
        <v>4.6739540143234073E-2</v>
      </c>
    </row>
    <row r="85" spans="1:4" x14ac:dyDescent="0.2">
      <c r="A85" s="20">
        <v>35977</v>
      </c>
      <c r="B85" s="18">
        <f>VLOOKUP(A85,Database!A:K,MATCH($A$1,Database!$A$1:$K$1,),)</f>
        <v>16819</v>
      </c>
      <c r="C85" s="15">
        <f t="shared" si="2"/>
        <v>9.4226383387348463E-3</v>
      </c>
      <c r="D85" s="16">
        <f t="shared" si="3"/>
        <v>5.2964377386840296E-2</v>
      </c>
    </row>
    <row r="86" spans="1:4" x14ac:dyDescent="0.2">
      <c r="A86" s="14">
        <v>36008</v>
      </c>
      <c r="B86" s="18">
        <f>VLOOKUP(A86,Database!A:K,MATCH($A$1,Database!$A$1:$K$1,),)</f>
        <v>16828</v>
      </c>
      <c r="C86" s="15">
        <f t="shared" si="2"/>
        <v>5.3510910280040434E-4</v>
      </c>
      <c r="D86" s="16">
        <f t="shared" si="3"/>
        <v>4.997816185187496E-2</v>
      </c>
    </row>
    <row r="87" spans="1:4" x14ac:dyDescent="0.2">
      <c r="A87" s="20">
        <v>36039</v>
      </c>
      <c r="B87" s="18">
        <f>VLOOKUP(A87,Database!A:K,MATCH($A$1,Database!$A$1:$K$1,),)</f>
        <v>16972</v>
      </c>
      <c r="C87" s="15">
        <f t="shared" si="2"/>
        <v>8.5571666270501546E-3</v>
      </c>
      <c r="D87" s="16">
        <f t="shared" si="3"/>
        <v>4.2314069888841122E-2</v>
      </c>
    </row>
    <row r="88" spans="1:4" x14ac:dyDescent="0.2">
      <c r="A88" s="14">
        <v>36069</v>
      </c>
      <c r="B88" s="18">
        <f>VLOOKUP(A88,Database!A:K,MATCH($A$1,Database!$A$1:$K$1,),)</f>
        <v>17209</v>
      </c>
      <c r="C88" s="15">
        <f t="shared" si="2"/>
        <v>1.3964176290360593E-2</v>
      </c>
      <c r="D88" s="16">
        <f t="shared" si="3"/>
        <v>6.0189748644652541E-2</v>
      </c>
    </row>
    <row r="89" spans="1:4" x14ac:dyDescent="0.2">
      <c r="A89" s="20">
        <v>36100</v>
      </c>
      <c r="B89" s="18">
        <f>VLOOKUP(A89,Database!A:K,MATCH($A$1,Database!$A$1:$K$1,),)</f>
        <v>17341</v>
      </c>
      <c r="C89" s="15">
        <f t="shared" si="2"/>
        <v>7.6704050206287408E-3</v>
      </c>
      <c r="D89" s="16">
        <f t="shared" si="3"/>
        <v>7.3214506745884395E-2</v>
      </c>
    </row>
    <row r="90" spans="1:4" x14ac:dyDescent="0.2">
      <c r="A90" s="14">
        <v>36130</v>
      </c>
      <c r="B90" s="18">
        <f>VLOOKUP(A90,Database!A:K,MATCH($A$1,Database!$A$1:$K$1,),)</f>
        <v>17702</v>
      </c>
      <c r="C90" s="15">
        <f t="shared" si="2"/>
        <v>2.0817715241335563E-2</v>
      </c>
      <c r="D90" s="16">
        <f t="shared" si="3"/>
        <v>8.2293959403277078E-2</v>
      </c>
    </row>
    <row r="91" spans="1:4" x14ac:dyDescent="0.2">
      <c r="A91" s="20">
        <v>36161</v>
      </c>
      <c r="B91" s="18">
        <f>VLOOKUP(A91,Database!A:K,MATCH($A$1,Database!$A$1:$K$1,),)</f>
        <v>17732</v>
      </c>
      <c r="C91" s="15">
        <f t="shared" si="2"/>
        <v>1.6947237600271157E-3</v>
      </c>
      <c r="D91" s="16">
        <f t="shared" si="3"/>
        <v>7.8851302019956188E-2</v>
      </c>
    </row>
    <row r="92" spans="1:4" x14ac:dyDescent="0.2">
      <c r="A92" s="14">
        <v>36192</v>
      </c>
      <c r="B92" s="18">
        <f>VLOOKUP(A92,Database!A:K,MATCH($A$1,Database!$A$1:$K$1,),)</f>
        <v>17943</v>
      </c>
      <c r="C92" s="15">
        <f t="shared" si="2"/>
        <v>1.1899390931648997E-2</v>
      </c>
      <c r="D92" s="16">
        <f t="shared" si="3"/>
        <v>8.9964767342971694E-2</v>
      </c>
    </row>
    <row r="93" spans="1:4" x14ac:dyDescent="0.2">
      <c r="A93" s="20">
        <v>36220</v>
      </c>
      <c r="B93" s="18">
        <f>VLOOKUP(A93,Database!A:K,MATCH($A$1,Database!$A$1:$K$1,),)</f>
        <v>17760</v>
      </c>
      <c r="C93" s="15">
        <f t="shared" si="2"/>
        <v>-1.019896338404949E-2</v>
      </c>
      <c r="D93" s="16">
        <f t="shared" si="3"/>
        <v>7.5646538671188909E-2</v>
      </c>
    </row>
    <row r="94" spans="1:4" x14ac:dyDescent="0.2">
      <c r="A94" s="14">
        <v>36251</v>
      </c>
      <c r="B94" s="18">
        <f>VLOOKUP(A94,Database!A:K,MATCH($A$1,Database!$A$1:$K$1,),)</f>
        <v>17791</v>
      </c>
      <c r="C94" s="15">
        <f t="shared" si="2"/>
        <v>1.7454954954954954E-3</v>
      </c>
      <c r="D94" s="16">
        <f t="shared" si="3"/>
        <v>6.4309643455372101E-2</v>
      </c>
    </row>
    <row r="95" spans="1:4" x14ac:dyDescent="0.2">
      <c r="A95" s="20">
        <v>36281</v>
      </c>
      <c r="B95" s="18">
        <f>VLOOKUP(A95,Database!A:K,MATCH($A$1,Database!$A$1:$K$1,),)</f>
        <v>17914</v>
      </c>
      <c r="C95" s="15">
        <f t="shared" si="2"/>
        <v>6.9136080040469901E-3</v>
      </c>
      <c r="D95" s="16">
        <f t="shared" si="3"/>
        <v>7.0067498954662202E-2</v>
      </c>
    </row>
    <row r="96" spans="1:4" x14ac:dyDescent="0.2">
      <c r="A96" s="14">
        <v>36312</v>
      </c>
      <c r="B96" s="18">
        <f>VLOOKUP(A96,Database!A:K,MATCH($A$1,Database!$A$1:$K$1,),)</f>
        <v>17969</v>
      </c>
      <c r="C96" s="15">
        <f t="shared" si="2"/>
        <v>3.0702244054929104E-3</v>
      </c>
      <c r="D96" s="16">
        <f t="shared" si="3"/>
        <v>7.8441963749849963E-2</v>
      </c>
    </row>
    <row r="97" spans="1:4" x14ac:dyDescent="0.2">
      <c r="A97" s="20">
        <v>36342</v>
      </c>
      <c r="B97" s="18">
        <f>VLOOKUP(A97,Database!A:K,MATCH($A$1,Database!$A$1:$K$1,),)</f>
        <v>18183</v>
      </c>
      <c r="C97" s="15">
        <f t="shared" si="2"/>
        <v>1.1909399521397962E-2</v>
      </c>
      <c r="D97" s="16">
        <f t="shared" si="3"/>
        <v>8.109875735775017E-2</v>
      </c>
    </row>
    <row r="98" spans="1:4" x14ac:dyDescent="0.2">
      <c r="A98" s="14">
        <v>36373</v>
      </c>
      <c r="B98" s="18">
        <f>VLOOKUP(A98,Database!A:K,MATCH($A$1,Database!$A$1:$K$1,),)</f>
        <v>18341</v>
      </c>
      <c r="C98" s="15">
        <f t="shared" si="2"/>
        <v>8.6894351867128645E-3</v>
      </c>
      <c r="D98" s="16">
        <f t="shared" si="3"/>
        <v>8.9909674352270028E-2</v>
      </c>
    </row>
    <row r="99" spans="1:4" x14ac:dyDescent="0.2">
      <c r="A99" s="20">
        <v>36404</v>
      </c>
      <c r="B99" s="18">
        <f>VLOOKUP(A99,Database!A:K,MATCH($A$1,Database!$A$1:$K$1,),)</f>
        <v>18175</v>
      </c>
      <c r="C99" s="15">
        <f t="shared" si="2"/>
        <v>-9.0507605910255719E-3</v>
      </c>
      <c r="D99" s="16">
        <f t="shared" si="3"/>
        <v>7.0881451802969592E-2</v>
      </c>
    </row>
    <row r="100" spans="1:4" x14ac:dyDescent="0.2">
      <c r="A100" s="14">
        <v>36434</v>
      </c>
      <c r="B100" s="18">
        <f>VLOOKUP(A100,Database!A:K,MATCH($A$1,Database!$A$1:$K$1,),)</f>
        <v>18606</v>
      </c>
      <c r="C100" s="15">
        <f t="shared" si="2"/>
        <v>2.3713892709766163E-2</v>
      </c>
      <c r="D100" s="16">
        <f t="shared" si="3"/>
        <v>8.1178453134987505E-2</v>
      </c>
    </row>
    <row r="101" spans="1:4" x14ac:dyDescent="0.2">
      <c r="A101" s="20">
        <v>36465</v>
      </c>
      <c r="B101" s="18">
        <f>VLOOKUP(A101,Database!A:K,MATCH($A$1,Database!$A$1:$K$1,),)</f>
        <v>18944</v>
      </c>
      <c r="C101" s="15">
        <f t="shared" si="2"/>
        <v>1.8166182951735999E-2</v>
      </c>
      <c r="D101" s="16">
        <f t="shared" si="3"/>
        <v>9.24398823597255E-2</v>
      </c>
    </row>
    <row r="102" spans="1:4" x14ac:dyDescent="0.2">
      <c r="A102" s="14">
        <v>36495</v>
      </c>
      <c r="B102" s="18">
        <f>VLOOKUP(A102,Database!A:K,MATCH($A$1,Database!$A$1:$K$1,),)</f>
        <v>19125</v>
      </c>
      <c r="C102" s="15">
        <f t="shared" si="2"/>
        <v>9.5544763513513518E-3</v>
      </c>
      <c r="D102" s="16">
        <f t="shared" si="3"/>
        <v>8.0386397017286185E-2</v>
      </c>
    </row>
    <row r="103" spans="1:4" x14ac:dyDescent="0.2">
      <c r="A103" s="20">
        <v>36526</v>
      </c>
      <c r="B103" s="18">
        <f>VLOOKUP(A103,Database!A:K,MATCH($A$1,Database!$A$1:$K$1,),)</f>
        <v>19613</v>
      </c>
      <c r="C103" s="15">
        <f t="shared" si="2"/>
        <v>2.5516339869281045E-2</v>
      </c>
      <c r="D103" s="16">
        <f t="shared" si="3"/>
        <v>0.10607940446650124</v>
      </c>
    </row>
    <row r="104" spans="1:4" x14ac:dyDescent="0.2">
      <c r="A104" s="14">
        <v>36557</v>
      </c>
      <c r="B104" s="18">
        <f>VLOOKUP(A104,Database!A:K,MATCH($A$1,Database!$A$1:$K$1,),)</f>
        <v>19193</v>
      </c>
      <c r="C104" s="15">
        <f t="shared" si="2"/>
        <v>-2.1414368021210422E-2</v>
      </c>
      <c r="D104" s="16">
        <f t="shared" si="3"/>
        <v>6.9665050437496517E-2</v>
      </c>
    </row>
    <row r="105" spans="1:4" x14ac:dyDescent="0.2">
      <c r="A105" s="20">
        <v>36586</v>
      </c>
      <c r="B105" s="18">
        <f>VLOOKUP(A105,Database!A:K,MATCH($A$1,Database!$A$1:$K$1,),)</f>
        <v>20175</v>
      </c>
      <c r="C105" s="15">
        <f t="shared" si="2"/>
        <v>5.1164487052571248E-2</v>
      </c>
      <c r="D105" s="16">
        <f t="shared" si="3"/>
        <v>0.13597972972972974</v>
      </c>
    </row>
    <row r="106" spans="1:4" x14ac:dyDescent="0.2">
      <c r="A106" s="14">
        <v>36617</v>
      </c>
      <c r="B106" s="18">
        <f>VLOOKUP(A106,Database!A:K,MATCH($A$1,Database!$A$1:$K$1,),)</f>
        <v>18986</v>
      </c>
      <c r="C106" s="15">
        <f t="shared" si="2"/>
        <v>-5.8934324659231721E-2</v>
      </c>
      <c r="D106" s="16">
        <f t="shared" si="3"/>
        <v>6.7168793210050023E-2</v>
      </c>
    </row>
    <row r="107" spans="1:4" x14ac:dyDescent="0.2">
      <c r="A107" s="20">
        <v>36647</v>
      </c>
      <c r="B107" s="18">
        <f>VLOOKUP(A107,Database!A:K,MATCH($A$1,Database!$A$1:$K$1,),)</f>
        <v>18941</v>
      </c>
      <c r="C107" s="15">
        <f t="shared" si="2"/>
        <v>-2.3701674918360899E-3</v>
      </c>
      <c r="D107" s="16">
        <f t="shared" si="3"/>
        <v>5.7329462989840346E-2</v>
      </c>
    </row>
    <row r="108" spans="1:4" x14ac:dyDescent="0.2">
      <c r="A108" s="14">
        <v>36678</v>
      </c>
      <c r="B108" s="18">
        <f>VLOOKUP(A108,Database!A:K,MATCH($A$1,Database!$A$1:$K$1,),)</f>
        <v>18878</v>
      </c>
      <c r="C108" s="15">
        <f t="shared" si="2"/>
        <v>-3.3261179451982473E-3</v>
      </c>
      <c r="D108" s="16">
        <f t="shared" si="3"/>
        <v>5.0587122266124995E-2</v>
      </c>
    </row>
    <row r="109" spans="1:4" x14ac:dyDescent="0.2">
      <c r="A109" s="20">
        <v>36708</v>
      </c>
      <c r="B109" s="18">
        <f>VLOOKUP(A109,Database!A:K,MATCH($A$1,Database!$A$1:$K$1,),)</f>
        <v>18982</v>
      </c>
      <c r="C109" s="15">
        <f t="shared" si="2"/>
        <v>5.5090581629409895E-3</v>
      </c>
      <c r="D109" s="16">
        <f t="shared" si="3"/>
        <v>4.3942143760655555E-2</v>
      </c>
    </row>
    <row r="110" spans="1:4" x14ac:dyDescent="0.2">
      <c r="A110" s="14">
        <v>36739</v>
      </c>
      <c r="B110" s="18">
        <f>VLOOKUP(A110,Database!A:K,MATCH($A$1,Database!$A$1:$K$1,),)</f>
        <v>18951</v>
      </c>
      <c r="C110" s="15">
        <f t="shared" si="2"/>
        <v>-1.6331261194816142E-3</v>
      </c>
      <c r="D110" s="16">
        <f t="shared" si="3"/>
        <v>3.3258819039310834E-2</v>
      </c>
    </row>
    <row r="111" spans="1:4" x14ac:dyDescent="0.2">
      <c r="A111" s="20">
        <v>36770</v>
      </c>
      <c r="B111" s="18">
        <f>VLOOKUP(A111,Database!A:K,MATCH($A$1,Database!$A$1:$K$1,),)</f>
        <v>18926</v>
      </c>
      <c r="C111" s="15">
        <f t="shared" si="2"/>
        <v>-1.3191915993878952E-3</v>
      </c>
      <c r="D111" s="16">
        <f t="shared" si="3"/>
        <v>4.1320495185694632E-2</v>
      </c>
    </row>
    <row r="112" spans="1:4" x14ac:dyDescent="0.2">
      <c r="A112" s="14">
        <v>36800</v>
      </c>
      <c r="B112" s="18">
        <f>VLOOKUP(A112,Database!A:K,MATCH($A$1,Database!$A$1:$K$1,),)</f>
        <v>18965</v>
      </c>
      <c r="C112" s="15">
        <f t="shared" si="2"/>
        <v>2.0606572968403254E-3</v>
      </c>
      <c r="D112" s="16">
        <f t="shared" si="3"/>
        <v>1.9294851123293561E-2</v>
      </c>
    </row>
    <row r="113" spans="1:4" x14ac:dyDescent="0.2">
      <c r="A113" s="20">
        <v>36831</v>
      </c>
      <c r="B113" s="18">
        <f>VLOOKUP(A113,Database!A:K,MATCH($A$1,Database!$A$1:$K$1,),)</f>
        <v>18689</v>
      </c>
      <c r="C113" s="15">
        <f t="shared" si="2"/>
        <v>-1.4553124176113893E-2</v>
      </c>
      <c r="D113" s="16">
        <f t="shared" si="3"/>
        <v>-1.3460726351351352E-2</v>
      </c>
    </row>
    <row r="114" spans="1:4" x14ac:dyDescent="0.2">
      <c r="A114" s="14">
        <v>36861</v>
      </c>
      <c r="B114" s="18">
        <f>VLOOKUP(A114,Database!A:K,MATCH($A$1,Database!$A$1:$K$1,),)</f>
        <v>19356</v>
      </c>
      <c r="C114" s="15">
        <f t="shared" si="2"/>
        <v>3.5689442987853814E-2</v>
      </c>
      <c r="D114" s="16">
        <f t="shared" si="3"/>
        <v>1.207843137254902E-2</v>
      </c>
    </row>
    <row r="115" spans="1:4" x14ac:dyDescent="0.2">
      <c r="A115" s="20">
        <v>36892</v>
      </c>
      <c r="B115" s="18">
        <f>VLOOKUP(A115,Database!A:K,MATCH($A$1,Database!$A$1:$K$1,),)</f>
        <v>19248</v>
      </c>
      <c r="C115" s="15">
        <f t="shared" si="2"/>
        <v>-5.5796652200867944E-3</v>
      </c>
      <c r="D115" s="16">
        <f t="shared" si="3"/>
        <v>-1.8610105542242392E-2</v>
      </c>
    </row>
    <row r="116" spans="1:4" x14ac:dyDescent="0.2">
      <c r="A116" s="14">
        <v>36923</v>
      </c>
      <c r="B116" s="18">
        <f>VLOOKUP(A116,Database!A:K,MATCH($A$1,Database!$A$1:$K$1,),)</f>
        <v>19698</v>
      </c>
      <c r="C116" s="15">
        <f t="shared" si="2"/>
        <v>2.3379052369077308E-2</v>
      </c>
      <c r="D116" s="16">
        <f t="shared" si="3"/>
        <v>2.6311676131923097E-2</v>
      </c>
    </row>
    <row r="117" spans="1:4" x14ac:dyDescent="0.2">
      <c r="A117" s="20">
        <v>36951</v>
      </c>
      <c r="B117" s="18">
        <f>VLOOKUP(A117,Database!A:K,MATCH($A$1,Database!$A$1:$K$1,),)</f>
        <v>19562</v>
      </c>
      <c r="C117" s="15">
        <f t="shared" si="2"/>
        <v>-6.9042542390090368E-3</v>
      </c>
      <c r="D117" s="16">
        <f t="shared" si="3"/>
        <v>-3.0384138785625774E-2</v>
      </c>
    </row>
    <row r="118" spans="1:4" x14ac:dyDescent="0.2">
      <c r="A118" s="14">
        <v>36982</v>
      </c>
      <c r="B118" s="18">
        <f>VLOOKUP(A118,Database!A:K,MATCH($A$1,Database!$A$1:$K$1,),)</f>
        <v>20373</v>
      </c>
      <c r="C118" s="15">
        <f t="shared" si="2"/>
        <v>4.1457928637153668E-2</v>
      </c>
      <c r="D118" s="16">
        <f t="shared" si="3"/>
        <v>7.3053829137259038E-2</v>
      </c>
    </row>
    <row r="119" spans="1:4" x14ac:dyDescent="0.2">
      <c r="A119" s="20">
        <v>37012</v>
      </c>
      <c r="B119" s="18">
        <f>VLOOKUP(A119,Database!A:K,MATCH($A$1,Database!$A$1:$K$1,),)</f>
        <v>20147</v>
      </c>
      <c r="C119" s="15">
        <f t="shared" si="2"/>
        <v>-1.1093113434447553E-2</v>
      </c>
      <c r="D119" s="16">
        <f t="shared" si="3"/>
        <v>6.3671400665223588E-2</v>
      </c>
    </row>
    <row r="120" spans="1:4" x14ac:dyDescent="0.2">
      <c r="A120" s="14">
        <v>37043</v>
      </c>
      <c r="B120" s="18">
        <f>VLOOKUP(A120,Database!A:K,MATCH($A$1,Database!$A$1:$K$1,),)</f>
        <v>19900</v>
      </c>
      <c r="C120" s="15">
        <f t="shared" si="2"/>
        <v>-1.2259889809897255E-2</v>
      </c>
      <c r="D120" s="16">
        <f t="shared" si="3"/>
        <v>5.4137090793516265E-2</v>
      </c>
    </row>
    <row r="121" spans="1:4" x14ac:dyDescent="0.2">
      <c r="A121" s="20">
        <v>37073</v>
      </c>
      <c r="B121" s="18">
        <f>VLOOKUP(A121,Database!A:K,MATCH($A$1,Database!$A$1:$K$1,),)</f>
        <v>19838</v>
      </c>
      <c r="C121" s="15">
        <f t="shared" si="2"/>
        <v>-3.1155778894472364E-3</v>
      </c>
      <c r="D121" s="16">
        <f t="shared" si="3"/>
        <v>4.5095353492782639E-2</v>
      </c>
    </row>
    <row r="122" spans="1:4" x14ac:dyDescent="0.2">
      <c r="A122" s="14">
        <v>37104</v>
      </c>
      <c r="B122" s="18">
        <f>VLOOKUP(A122,Database!A:K,MATCH($A$1,Database!$A$1:$K$1,),)</f>
        <v>19920</v>
      </c>
      <c r="C122" s="15">
        <f t="shared" si="2"/>
        <v>4.1334811977013809E-3</v>
      </c>
      <c r="D122" s="16">
        <f t="shared" si="3"/>
        <v>5.1131866392274815E-2</v>
      </c>
    </row>
    <row r="123" spans="1:4" x14ac:dyDescent="0.2">
      <c r="A123" s="20">
        <v>37135</v>
      </c>
      <c r="B123" s="18">
        <f>VLOOKUP(A123,Database!A:K,MATCH($A$1,Database!$A$1:$K$1,),)</f>
        <v>19664</v>
      </c>
      <c r="C123" s="15">
        <f t="shared" si="2"/>
        <v>-1.285140562248996E-2</v>
      </c>
      <c r="D123" s="16">
        <f t="shared" si="3"/>
        <v>3.8993976540209238E-2</v>
      </c>
    </row>
    <row r="124" spans="1:4" x14ac:dyDescent="0.2">
      <c r="A124" s="14">
        <v>37165</v>
      </c>
      <c r="B124" s="18">
        <f>VLOOKUP(A124,Database!A:K,MATCH($A$1,Database!$A$1:$K$1,),)</f>
        <v>20054</v>
      </c>
      <c r="C124" s="15">
        <f t="shared" si="2"/>
        <v>1.9833197721724979E-2</v>
      </c>
      <c r="D124" s="16">
        <f t="shared" si="3"/>
        <v>5.7421566042710252E-2</v>
      </c>
    </row>
    <row r="125" spans="1:4" x14ac:dyDescent="0.2">
      <c r="A125" s="20">
        <v>37196</v>
      </c>
      <c r="B125" s="18">
        <f>VLOOKUP(A125,Database!A:K,MATCH($A$1,Database!$A$1:$K$1,),)</f>
        <v>19982</v>
      </c>
      <c r="C125" s="15">
        <f t="shared" si="2"/>
        <v>-3.5903061733320034E-3</v>
      </c>
      <c r="D125" s="16">
        <f t="shared" si="3"/>
        <v>6.9185082133875545E-2</v>
      </c>
    </row>
    <row r="126" spans="1:4" x14ac:dyDescent="0.2">
      <c r="A126" s="14">
        <v>37226</v>
      </c>
      <c r="B126" s="18">
        <f>VLOOKUP(A126,Database!A:K,MATCH($A$1,Database!$A$1:$K$1,),)</f>
        <v>20120</v>
      </c>
      <c r="C126" s="15">
        <f t="shared" si="2"/>
        <v>6.9062155940346308E-3</v>
      </c>
      <c r="D126" s="16">
        <f t="shared" si="3"/>
        <v>3.9470965075428806E-2</v>
      </c>
    </row>
    <row r="127" spans="1:4" x14ac:dyDescent="0.2">
      <c r="A127" s="20">
        <v>37257</v>
      </c>
      <c r="B127" s="18">
        <f>VLOOKUP(A127,Database!A:K,MATCH($A$1,Database!$A$1:$K$1,),)</f>
        <v>20359</v>
      </c>
      <c r="C127" s="15">
        <f t="shared" si="2"/>
        <v>1.1878727634194831E-2</v>
      </c>
      <c r="D127" s="16">
        <f t="shared" si="3"/>
        <v>5.7720282626766414E-2</v>
      </c>
    </row>
    <row r="128" spans="1:4" x14ac:dyDescent="0.2">
      <c r="A128" s="14">
        <v>37288</v>
      </c>
      <c r="B128" s="18">
        <f>VLOOKUP(A128,Database!A:K,MATCH($A$1,Database!$A$1:$K$1,),)</f>
        <v>20515</v>
      </c>
      <c r="C128" s="15">
        <f t="shared" si="2"/>
        <v>7.6624588634019355E-3</v>
      </c>
      <c r="D128" s="16">
        <f t="shared" si="3"/>
        <v>4.1476292009341047E-2</v>
      </c>
    </row>
    <row r="129" spans="1:4" x14ac:dyDescent="0.2">
      <c r="A129" s="20">
        <v>37316</v>
      </c>
      <c r="B129" s="18">
        <f>VLOOKUP(A129,Database!A:K,MATCH($A$1,Database!$A$1:$K$1,),)</f>
        <v>20370</v>
      </c>
      <c r="C129" s="15">
        <f t="shared" si="2"/>
        <v>-7.0679990251035826E-3</v>
      </c>
      <c r="D129" s="16">
        <f t="shared" si="3"/>
        <v>4.1304570084858397E-2</v>
      </c>
    </row>
    <row r="130" spans="1:4" x14ac:dyDescent="0.2">
      <c r="A130" s="14">
        <v>37347</v>
      </c>
      <c r="B130" s="18">
        <f>VLOOKUP(A130,Database!A:K,MATCH($A$1,Database!$A$1:$K$1,),)</f>
        <v>21274</v>
      </c>
      <c r="C130" s="15">
        <f t="shared" si="2"/>
        <v>4.4378988708885618E-2</v>
      </c>
      <c r="D130" s="16">
        <f t="shared" si="3"/>
        <v>4.4225200019633829E-2</v>
      </c>
    </row>
    <row r="131" spans="1:4" x14ac:dyDescent="0.2">
      <c r="A131" s="20">
        <v>37377</v>
      </c>
      <c r="B131" s="18">
        <f>VLOOKUP(A131,Database!A:K,MATCH($A$1,Database!$A$1:$K$1,),)</f>
        <v>20874</v>
      </c>
      <c r="C131" s="15">
        <f t="shared" si="2"/>
        <v>-1.8802293879853341E-2</v>
      </c>
      <c r="D131" s="16">
        <f t="shared" si="3"/>
        <v>3.6084776889859532E-2</v>
      </c>
    </row>
    <row r="132" spans="1:4" x14ac:dyDescent="0.2">
      <c r="A132" s="14">
        <v>37408</v>
      </c>
      <c r="B132" s="18">
        <f>VLOOKUP(A132,Database!A:K,MATCH($A$1,Database!$A$1:$K$1,),)</f>
        <v>20725</v>
      </c>
      <c r="C132" s="15">
        <f t="shared" si="2"/>
        <v>-7.1380664942033148E-3</v>
      </c>
      <c r="D132" s="16">
        <f t="shared" si="3"/>
        <v>4.1457286432160803E-2</v>
      </c>
    </row>
    <row r="133" spans="1:4" x14ac:dyDescent="0.2">
      <c r="A133" s="20">
        <v>37438</v>
      </c>
      <c r="B133" s="18">
        <f>VLOOKUP(A133,Database!A:K,MATCH($A$1,Database!$A$1:$K$1,),)</f>
        <v>20674</v>
      </c>
      <c r="C133" s="15">
        <f t="shared" si="2"/>
        <v>-2.4607961399276236E-3</v>
      </c>
      <c r="D133" s="16">
        <f t="shared" si="3"/>
        <v>4.2141344893638473E-2</v>
      </c>
    </row>
    <row r="134" spans="1:4" x14ac:dyDescent="0.2">
      <c r="A134" s="14">
        <v>37469</v>
      </c>
      <c r="B134" s="18">
        <f>VLOOKUP(A134,Database!A:K,MATCH($A$1,Database!$A$1:$K$1,),)</f>
        <v>20683</v>
      </c>
      <c r="C134" s="15">
        <f t="shared" si="2"/>
        <v>4.3532939924542907E-4</v>
      </c>
      <c r="D134" s="16">
        <f t="shared" si="3"/>
        <v>3.8303212851405623E-2</v>
      </c>
    </row>
    <row r="135" spans="1:4" x14ac:dyDescent="0.2">
      <c r="A135" s="20">
        <v>37500</v>
      </c>
      <c r="B135" s="18">
        <f>VLOOKUP(A135,Database!A:K,MATCH($A$1,Database!$A$1:$K$1,),)</f>
        <v>20732</v>
      </c>
      <c r="C135" s="15">
        <f t="shared" si="2"/>
        <v>2.3690953923512061E-3</v>
      </c>
      <c r="D135" s="16">
        <f t="shared" si="3"/>
        <v>5.4312449145646868E-2</v>
      </c>
    </row>
    <row r="136" spans="1:4" x14ac:dyDescent="0.2">
      <c r="A136" s="14">
        <v>37530</v>
      </c>
      <c r="B136" s="18">
        <f>VLOOKUP(A136,Database!A:K,MATCH($A$1,Database!$A$1:$K$1,),)</f>
        <v>20603</v>
      </c>
      <c r="C136" s="15">
        <f t="shared" ref="C136:C199" si="4">(B136-B135)/B135</f>
        <v>-6.2222650974339188E-3</v>
      </c>
      <c r="D136" s="16">
        <f t="shared" si="3"/>
        <v>2.7376084571656526E-2</v>
      </c>
    </row>
    <row r="137" spans="1:4" x14ac:dyDescent="0.2">
      <c r="A137" s="20">
        <v>37561</v>
      </c>
      <c r="B137" s="18">
        <f>VLOOKUP(A137,Database!A:K,MATCH($A$1,Database!$A$1:$K$1,),)</f>
        <v>20969</v>
      </c>
      <c r="C137" s="15">
        <f t="shared" si="4"/>
        <v>1.7764403242246273E-2</v>
      </c>
      <c r="D137" s="16">
        <f t="shared" si="3"/>
        <v>4.9394455009508557E-2</v>
      </c>
    </row>
    <row r="138" spans="1:4" x14ac:dyDescent="0.2">
      <c r="A138" s="14">
        <v>37591</v>
      </c>
      <c r="B138" s="18">
        <f>VLOOKUP(A138,Database!A:K,MATCH($A$1,Database!$A$1:$K$1,),)</f>
        <v>20415</v>
      </c>
      <c r="C138" s="15">
        <f t="shared" si="4"/>
        <v>-2.6419953264342599E-2</v>
      </c>
      <c r="D138" s="16">
        <f t="shared" si="3"/>
        <v>1.4662027833001988E-2</v>
      </c>
    </row>
    <row r="139" spans="1:4" x14ac:dyDescent="0.2">
      <c r="A139" s="20">
        <v>37622</v>
      </c>
      <c r="B139" s="18">
        <f>VLOOKUP(A139,Database!A:K,MATCH($A$1,Database!$A$1:$K$1,),)</f>
        <v>21270</v>
      </c>
      <c r="C139" s="15">
        <f t="shared" si="4"/>
        <v>4.1880969875091843E-2</v>
      </c>
      <c r="D139" s="16">
        <f t="shared" si="3"/>
        <v>4.4746795029225406E-2</v>
      </c>
    </row>
    <row r="140" spans="1:4" x14ac:dyDescent="0.2">
      <c r="A140" s="14">
        <v>37653</v>
      </c>
      <c r="B140" s="18">
        <f>VLOOKUP(A140,Database!A:K,MATCH($A$1,Database!$A$1:$K$1,),)</f>
        <v>20041</v>
      </c>
      <c r="C140" s="15">
        <f t="shared" si="4"/>
        <v>-5.7780912082745654E-2</v>
      </c>
      <c r="D140" s="16">
        <f t="shared" si="3"/>
        <v>-2.3105045088959299E-2</v>
      </c>
    </row>
    <row r="141" spans="1:4" x14ac:dyDescent="0.2">
      <c r="A141" s="20">
        <v>37681</v>
      </c>
      <c r="B141" s="18">
        <f>VLOOKUP(A141,Database!A:K,MATCH($A$1,Database!$A$1:$K$1,),)</f>
        <v>21326</v>
      </c>
      <c r="C141" s="15">
        <f t="shared" si="4"/>
        <v>6.4118556958235623E-2</v>
      </c>
      <c r="D141" s="16">
        <f t="shared" si="3"/>
        <v>4.6931762395679921E-2</v>
      </c>
    </row>
    <row r="142" spans="1:4" x14ac:dyDescent="0.2">
      <c r="A142" s="14">
        <v>37712</v>
      </c>
      <c r="B142" s="18">
        <f>VLOOKUP(A142,Database!A:K,MATCH($A$1,Database!$A$1:$K$1,),)</f>
        <v>21139</v>
      </c>
      <c r="C142" s="15">
        <f t="shared" si="4"/>
        <v>-8.7686392197317831E-3</v>
      </c>
      <c r="D142" s="16">
        <f t="shared" si="3"/>
        <v>-6.3457741844505028E-3</v>
      </c>
    </row>
    <row r="143" spans="1:4" x14ac:dyDescent="0.2">
      <c r="A143" s="20">
        <v>37742</v>
      </c>
      <c r="B143" s="18">
        <f>VLOOKUP(A143,Database!A:K,MATCH($A$1,Database!$A$1:$K$1,),)</f>
        <v>21328</v>
      </c>
      <c r="C143" s="15">
        <f t="shared" si="4"/>
        <v>8.940820284781683E-3</v>
      </c>
      <c r="D143" s="16">
        <f t="shared" si="3"/>
        <v>2.1749544888377888E-2</v>
      </c>
    </row>
    <row r="144" spans="1:4" x14ac:dyDescent="0.2">
      <c r="A144" s="14">
        <v>37773</v>
      </c>
      <c r="B144" s="18">
        <f>VLOOKUP(A144,Database!A:K,MATCH($A$1,Database!$A$1:$K$1,),)</f>
        <v>22003</v>
      </c>
      <c r="C144" s="15">
        <f t="shared" si="4"/>
        <v>3.1648537134283568E-2</v>
      </c>
      <c r="D144" s="16">
        <f t="shared" si="3"/>
        <v>6.1664656212303978E-2</v>
      </c>
    </row>
    <row r="145" spans="1:4" x14ac:dyDescent="0.2">
      <c r="A145" s="20">
        <v>37803</v>
      </c>
      <c r="B145" s="18">
        <f>VLOOKUP(A145,Database!A:K,MATCH($A$1,Database!$A$1:$K$1,),)</f>
        <v>22372</v>
      </c>
      <c r="C145" s="15">
        <f t="shared" si="4"/>
        <v>1.6770440394491659E-2</v>
      </c>
      <c r="D145" s="16">
        <f t="shared" si="3"/>
        <v>8.2132146657637614E-2</v>
      </c>
    </row>
    <row r="146" spans="1:4" x14ac:dyDescent="0.2">
      <c r="A146" s="14">
        <v>37834</v>
      </c>
      <c r="B146" s="18">
        <f>VLOOKUP(A146,Database!A:K,MATCH($A$1,Database!$A$1:$K$1,),)</f>
        <v>22489</v>
      </c>
      <c r="C146" s="15">
        <f t="shared" si="4"/>
        <v>5.2297514750581087E-3</v>
      </c>
      <c r="D146" s="16">
        <f t="shared" si="3"/>
        <v>8.7318087318087323E-2</v>
      </c>
    </row>
    <row r="147" spans="1:4" x14ac:dyDescent="0.2">
      <c r="A147" s="20">
        <v>37865</v>
      </c>
      <c r="B147" s="18">
        <f>VLOOKUP(A147,Database!A:K,MATCH($A$1,Database!$A$1:$K$1,),)</f>
        <v>22630</v>
      </c>
      <c r="C147" s="15">
        <f t="shared" si="4"/>
        <v>6.2697318689136907E-3</v>
      </c>
      <c r="D147" s="16">
        <f t="shared" ref="D147:D210" si="5">(B147-B135)/B135</f>
        <v>9.154929577464789E-2</v>
      </c>
    </row>
    <row r="148" spans="1:4" x14ac:dyDescent="0.2">
      <c r="A148" s="14">
        <v>37895</v>
      </c>
      <c r="B148" s="18">
        <f>VLOOKUP(A148,Database!A:K,MATCH($A$1,Database!$A$1:$K$1,),)</f>
        <v>22869</v>
      </c>
      <c r="C148" s="15">
        <f t="shared" si="4"/>
        <v>1.0561201944321696E-2</v>
      </c>
      <c r="D148" s="16">
        <f t="shared" si="5"/>
        <v>0.10998398291510945</v>
      </c>
    </row>
    <row r="149" spans="1:4" x14ac:dyDescent="0.2">
      <c r="A149" s="20">
        <v>37926</v>
      </c>
      <c r="B149" s="18">
        <f>VLOOKUP(A149,Database!A:K,MATCH($A$1,Database!$A$1:$K$1,),)</f>
        <v>22864</v>
      </c>
      <c r="C149" s="15">
        <f t="shared" si="4"/>
        <v>-2.1863658227294592E-4</v>
      </c>
      <c r="D149" s="16">
        <f t="shared" si="5"/>
        <v>9.0371500786875864E-2</v>
      </c>
    </row>
    <row r="150" spans="1:4" x14ac:dyDescent="0.2">
      <c r="A150" s="14">
        <v>37956</v>
      </c>
      <c r="B150" s="18">
        <f>VLOOKUP(A150,Database!A:K,MATCH($A$1,Database!$A$1:$K$1,),)</f>
        <v>22748</v>
      </c>
      <c r="C150" s="15">
        <f t="shared" si="4"/>
        <v>-5.0734779566130161E-3</v>
      </c>
      <c r="D150" s="16">
        <f t="shared" si="5"/>
        <v>0.11427871662992897</v>
      </c>
    </row>
    <row r="151" spans="1:4" x14ac:dyDescent="0.2">
      <c r="A151" s="20">
        <v>37987</v>
      </c>
      <c r="B151" s="18">
        <f>VLOOKUP(A151,Database!A:K,MATCH($A$1,Database!$A$1:$K$1,),)</f>
        <v>22637</v>
      </c>
      <c r="C151" s="15">
        <f t="shared" si="4"/>
        <v>-4.879549850536311E-3</v>
      </c>
      <c r="D151" s="16">
        <f t="shared" si="5"/>
        <v>6.4268923366243541E-2</v>
      </c>
    </row>
    <row r="152" spans="1:4" x14ac:dyDescent="0.2">
      <c r="A152" s="14">
        <v>38018</v>
      </c>
      <c r="B152" s="18">
        <f>VLOOKUP(A152,Database!A:K,MATCH($A$1,Database!$A$1:$K$1,),)</f>
        <v>22727</v>
      </c>
      <c r="C152" s="15">
        <f t="shared" si="4"/>
        <v>3.9757918452091711E-3</v>
      </c>
      <c r="D152" s="16">
        <f t="shared" si="5"/>
        <v>0.13402524824110573</v>
      </c>
    </row>
    <row r="153" spans="1:4" x14ac:dyDescent="0.2">
      <c r="A153" s="20">
        <v>38047</v>
      </c>
      <c r="B153" s="18">
        <f>VLOOKUP(A153,Database!A:K,MATCH($A$1,Database!$A$1:$K$1,),)</f>
        <v>24992</v>
      </c>
      <c r="C153" s="15">
        <f t="shared" si="4"/>
        <v>9.9661195934351215E-2</v>
      </c>
      <c r="D153" s="16">
        <f t="shared" si="5"/>
        <v>0.17190284160180061</v>
      </c>
    </row>
    <row r="154" spans="1:4" x14ac:dyDescent="0.2">
      <c r="A154" s="14">
        <v>38078</v>
      </c>
      <c r="B154" s="18">
        <f>VLOOKUP(A154,Database!A:K,MATCH($A$1,Database!$A$1:$K$1,),)</f>
        <v>24565</v>
      </c>
      <c r="C154" s="15">
        <f t="shared" si="4"/>
        <v>-1.7085467349551856E-2</v>
      </c>
      <c r="D154" s="16">
        <f t="shared" si="5"/>
        <v>0.16207010738445526</v>
      </c>
    </row>
    <row r="155" spans="1:4" x14ac:dyDescent="0.2">
      <c r="A155" s="20">
        <v>38108</v>
      </c>
      <c r="B155" s="18">
        <f>VLOOKUP(A155,Database!A:K,MATCH($A$1,Database!$A$1:$K$1,),)</f>
        <v>24420</v>
      </c>
      <c r="C155" s="15">
        <f t="shared" si="4"/>
        <v>-5.9027071036026864E-3</v>
      </c>
      <c r="D155" s="16">
        <f t="shared" si="5"/>
        <v>0.14497374343585898</v>
      </c>
    </row>
    <row r="156" spans="1:4" x14ac:dyDescent="0.2">
      <c r="A156" s="14">
        <v>38139</v>
      </c>
      <c r="B156" s="18">
        <f>VLOOKUP(A156,Database!A:K,MATCH($A$1,Database!$A$1:$K$1,),)</f>
        <v>24622</v>
      </c>
      <c r="C156" s="15">
        <f t="shared" si="4"/>
        <v>8.2719082719082716E-3</v>
      </c>
      <c r="D156" s="16">
        <f t="shared" si="5"/>
        <v>0.11902922328773349</v>
      </c>
    </row>
    <row r="157" spans="1:4" x14ac:dyDescent="0.2">
      <c r="A157" s="20">
        <v>38169</v>
      </c>
      <c r="B157" s="18">
        <f>VLOOKUP(A157,Database!A:K,MATCH($A$1,Database!$A$1:$K$1,),)</f>
        <v>24538</v>
      </c>
      <c r="C157" s="15">
        <f t="shared" si="4"/>
        <v>-3.4115831370319229E-3</v>
      </c>
      <c r="D157" s="16">
        <f t="shared" si="5"/>
        <v>9.6817450384409087E-2</v>
      </c>
    </row>
    <row r="158" spans="1:4" x14ac:dyDescent="0.2">
      <c r="A158" s="14">
        <v>38200</v>
      </c>
      <c r="B158" s="18">
        <f>VLOOKUP(A158,Database!A:K,MATCH($A$1,Database!$A$1:$K$1,),)</f>
        <v>24713</v>
      </c>
      <c r="C158" s="15">
        <f t="shared" si="4"/>
        <v>7.1317955823620507E-3</v>
      </c>
      <c r="D158" s="16">
        <f t="shared" si="5"/>
        <v>9.8892792031659918E-2</v>
      </c>
    </row>
    <row r="159" spans="1:4" x14ac:dyDescent="0.2">
      <c r="A159" s="20">
        <v>38231</v>
      </c>
      <c r="B159" s="18">
        <f>VLOOKUP(A159,Database!A:K,MATCH($A$1,Database!$A$1:$K$1,),)</f>
        <v>25045</v>
      </c>
      <c r="C159" s="15">
        <f t="shared" si="4"/>
        <v>1.3434224901873508E-2</v>
      </c>
      <c r="D159" s="16">
        <f t="shared" si="5"/>
        <v>0.10671674768007071</v>
      </c>
    </row>
    <row r="160" spans="1:4" x14ac:dyDescent="0.2">
      <c r="A160" s="14">
        <v>38261</v>
      </c>
      <c r="B160" s="18">
        <f>VLOOKUP(A160,Database!A:K,MATCH($A$1,Database!$A$1:$K$1,),)</f>
        <v>24842</v>
      </c>
      <c r="C160" s="15">
        <f t="shared" si="4"/>
        <v>-8.1054102615292466E-3</v>
      </c>
      <c r="D160" s="16">
        <f t="shared" si="5"/>
        <v>8.627399536490446E-2</v>
      </c>
    </row>
    <row r="161" spans="1:4" x14ac:dyDescent="0.2">
      <c r="A161" s="20">
        <v>38292</v>
      </c>
      <c r="B161" s="18">
        <f>VLOOKUP(A161,Database!A:K,MATCH($A$1,Database!$A$1:$K$1,),)</f>
        <v>24974</v>
      </c>
      <c r="C161" s="15">
        <f t="shared" si="4"/>
        <v>5.3135818372111749E-3</v>
      </c>
      <c r="D161" s="16">
        <f t="shared" si="5"/>
        <v>9.228481455563331E-2</v>
      </c>
    </row>
    <row r="162" spans="1:4" x14ac:dyDescent="0.2">
      <c r="A162" s="14">
        <v>38322</v>
      </c>
      <c r="B162" s="18">
        <f>VLOOKUP(A162,Database!A:K,MATCH($A$1,Database!$A$1:$K$1,),)</f>
        <v>25679</v>
      </c>
      <c r="C162" s="15">
        <f t="shared" si="4"/>
        <v>2.8229358532874189E-2</v>
      </c>
      <c r="D162" s="16">
        <f t="shared" si="5"/>
        <v>0.12884649199929665</v>
      </c>
    </row>
    <row r="163" spans="1:4" x14ac:dyDescent="0.2">
      <c r="A163" s="20">
        <v>38353</v>
      </c>
      <c r="B163" s="18">
        <f>VLOOKUP(A163,Database!A:K,MATCH($A$1,Database!$A$1:$K$1,),)</f>
        <v>26126</v>
      </c>
      <c r="C163" s="15">
        <f t="shared" si="4"/>
        <v>1.7407219907317265E-2</v>
      </c>
      <c r="D163" s="16">
        <f t="shared" si="5"/>
        <v>0.15412819719927554</v>
      </c>
    </row>
    <row r="164" spans="1:4" x14ac:dyDescent="0.2">
      <c r="A164" s="14">
        <v>38384</v>
      </c>
      <c r="B164" s="18">
        <f>VLOOKUP(A164,Database!A:K,MATCH($A$1,Database!$A$1:$K$1,),)</f>
        <v>25797</v>
      </c>
      <c r="C164" s="15">
        <f t="shared" si="4"/>
        <v>-1.2592819413610963E-2</v>
      </c>
      <c r="D164" s="16">
        <f t="shared" si="5"/>
        <v>0.13508162097945176</v>
      </c>
    </row>
    <row r="165" spans="1:4" x14ac:dyDescent="0.2">
      <c r="A165" s="20">
        <v>38412</v>
      </c>
      <c r="B165" s="18">
        <f>VLOOKUP(A165,Database!A:K,MATCH($A$1,Database!$A$1:$K$1,),)</f>
        <v>26219</v>
      </c>
      <c r="C165" s="15">
        <f t="shared" si="4"/>
        <v>1.6358491297437685E-2</v>
      </c>
      <c r="D165" s="16">
        <f t="shared" si="5"/>
        <v>4.9095710627400771E-2</v>
      </c>
    </row>
    <row r="166" spans="1:4" x14ac:dyDescent="0.2">
      <c r="A166" s="14">
        <v>38443</v>
      </c>
      <c r="B166" s="18">
        <f>VLOOKUP(A166,Database!A:K,MATCH($A$1,Database!$A$1:$K$1,),)</f>
        <v>26520</v>
      </c>
      <c r="C166" s="15">
        <f t="shared" si="4"/>
        <v>1.1480224264846104E-2</v>
      </c>
      <c r="D166" s="16">
        <f t="shared" si="5"/>
        <v>7.9584775086505188E-2</v>
      </c>
    </row>
    <row r="167" spans="1:4" x14ac:dyDescent="0.2">
      <c r="A167" s="20">
        <v>38473</v>
      </c>
      <c r="B167" s="18">
        <f>VLOOKUP(A167,Database!A:K,MATCH($A$1,Database!$A$1:$K$1,),)</f>
        <v>26510</v>
      </c>
      <c r="C167" s="15">
        <f t="shared" si="4"/>
        <v>-3.7707390648567121E-4</v>
      </c>
      <c r="D167" s="16">
        <f t="shared" si="5"/>
        <v>8.5585585585585586E-2</v>
      </c>
    </row>
    <row r="168" spans="1:4" x14ac:dyDescent="0.2">
      <c r="A168" s="14">
        <v>38504</v>
      </c>
      <c r="B168" s="18">
        <f>VLOOKUP(A168,Database!A:K,MATCH($A$1,Database!$A$1:$K$1,),)</f>
        <v>26569</v>
      </c>
      <c r="C168" s="15">
        <f t="shared" si="4"/>
        <v>2.2255752546208978E-3</v>
      </c>
      <c r="D168" s="16">
        <f t="shared" si="5"/>
        <v>7.9075623426204208E-2</v>
      </c>
    </row>
    <row r="169" spans="1:4" x14ac:dyDescent="0.2">
      <c r="A169" s="20">
        <v>38534</v>
      </c>
      <c r="B169" s="18">
        <f>VLOOKUP(A169,Database!A:K,MATCH($A$1,Database!$A$1:$K$1,),)</f>
        <v>26538</v>
      </c>
      <c r="C169" s="15">
        <f t="shared" si="4"/>
        <v>-1.1667733072377583E-3</v>
      </c>
      <c r="D169" s="16">
        <f t="shared" si="5"/>
        <v>8.1506235226994864E-2</v>
      </c>
    </row>
    <row r="170" spans="1:4" x14ac:dyDescent="0.2">
      <c r="A170" s="14">
        <v>38565</v>
      </c>
      <c r="B170" s="18">
        <f>VLOOKUP(A170,Database!A:K,MATCH($A$1,Database!$A$1:$K$1,),)</f>
        <v>26814</v>
      </c>
      <c r="C170" s="15">
        <f t="shared" si="4"/>
        <v>1.0400180872710829E-2</v>
      </c>
      <c r="D170" s="16">
        <f t="shared" si="5"/>
        <v>8.5015983490470598E-2</v>
      </c>
    </row>
    <row r="171" spans="1:4" x14ac:dyDescent="0.2">
      <c r="A171" s="20">
        <v>38596</v>
      </c>
      <c r="B171" s="18">
        <f>VLOOKUP(A171,Database!A:K,MATCH($A$1,Database!$A$1:$K$1,),)</f>
        <v>27111</v>
      </c>
      <c r="C171" s="15">
        <f t="shared" si="4"/>
        <v>1.1076303423584694E-2</v>
      </c>
      <c r="D171" s="16">
        <f t="shared" si="5"/>
        <v>8.2491515272509489E-2</v>
      </c>
    </row>
    <row r="172" spans="1:4" x14ac:dyDescent="0.2">
      <c r="A172" s="14">
        <v>38626</v>
      </c>
      <c r="B172" s="18">
        <f>VLOOKUP(A172,Database!A:K,MATCH($A$1,Database!$A$1:$K$1,),)</f>
        <v>27664</v>
      </c>
      <c r="C172" s="15">
        <f t="shared" si="4"/>
        <v>2.0397624580428608E-2</v>
      </c>
      <c r="D172" s="16">
        <f t="shared" si="5"/>
        <v>0.11359793897431769</v>
      </c>
    </row>
    <row r="173" spans="1:4" x14ac:dyDescent="0.2">
      <c r="A173" s="20">
        <v>38657</v>
      </c>
      <c r="B173" s="18">
        <f>VLOOKUP(A173,Database!A:K,MATCH($A$1,Database!$A$1:$K$1,),)</f>
        <v>27674</v>
      </c>
      <c r="C173" s="15">
        <f t="shared" si="4"/>
        <v>3.6148062463851936E-4</v>
      </c>
      <c r="D173" s="16">
        <f t="shared" si="5"/>
        <v>0.10811243693441179</v>
      </c>
    </row>
    <row r="174" spans="1:4" x14ac:dyDescent="0.2">
      <c r="A174" s="14">
        <v>38687</v>
      </c>
      <c r="B174" s="18">
        <f>VLOOKUP(A174,Database!A:K,MATCH($A$1,Database!$A$1:$K$1,),)</f>
        <v>27324</v>
      </c>
      <c r="C174" s="15">
        <f t="shared" si="4"/>
        <v>-1.2647250126472501E-2</v>
      </c>
      <c r="D174" s="16">
        <f t="shared" si="5"/>
        <v>6.4060126951984112E-2</v>
      </c>
    </row>
    <row r="175" spans="1:4" x14ac:dyDescent="0.2">
      <c r="A175" s="20">
        <v>38718</v>
      </c>
      <c r="B175" s="18">
        <f>VLOOKUP(A175,Database!A:K,MATCH($A$1,Database!$A$1:$K$1,),)</f>
        <v>29686</v>
      </c>
      <c r="C175" s="15">
        <f t="shared" si="4"/>
        <v>8.644415166154297E-2</v>
      </c>
      <c r="D175" s="16">
        <f t="shared" si="5"/>
        <v>0.13626272678557758</v>
      </c>
    </row>
    <row r="176" spans="1:4" x14ac:dyDescent="0.2">
      <c r="A176" s="14">
        <v>38749</v>
      </c>
      <c r="B176" s="18">
        <f>VLOOKUP(A176,Database!A:K,MATCH($A$1,Database!$A$1:$K$1,),)</f>
        <v>29479</v>
      </c>
      <c r="C176" s="15">
        <f t="shared" si="4"/>
        <v>-6.9729838981338003E-3</v>
      </c>
      <c r="D176" s="16">
        <f t="shared" si="5"/>
        <v>0.14272977478001317</v>
      </c>
    </row>
    <row r="177" spans="1:4" x14ac:dyDescent="0.2">
      <c r="A177" s="20">
        <v>38777</v>
      </c>
      <c r="B177" s="18">
        <f>VLOOKUP(A177,Database!A:K,MATCH($A$1,Database!$A$1:$K$1,),)</f>
        <v>29289</v>
      </c>
      <c r="C177" s="15">
        <f t="shared" si="4"/>
        <v>-6.4452661216459171E-3</v>
      </c>
      <c r="D177" s="16">
        <f t="shared" si="5"/>
        <v>0.11709065944544032</v>
      </c>
    </row>
    <row r="178" spans="1:4" x14ac:dyDescent="0.2">
      <c r="A178" s="14">
        <v>38808</v>
      </c>
      <c r="B178" s="18">
        <f>VLOOKUP(A178,Database!A:K,MATCH($A$1,Database!$A$1:$K$1,),)</f>
        <v>28905</v>
      </c>
      <c r="C178" s="15">
        <f t="shared" si="4"/>
        <v>-1.3110724162654921E-2</v>
      </c>
      <c r="D178" s="16">
        <f t="shared" si="5"/>
        <v>8.9932126696832579E-2</v>
      </c>
    </row>
    <row r="179" spans="1:4" x14ac:dyDescent="0.2">
      <c r="A179" s="20">
        <v>38838</v>
      </c>
      <c r="B179" s="18">
        <f>VLOOKUP(A179,Database!A:K,MATCH($A$1,Database!$A$1:$K$1,),)</f>
        <v>27864</v>
      </c>
      <c r="C179" s="15">
        <f t="shared" si="4"/>
        <v>-3.6014530358069535E-2</v>
      </c>
      <c r="D179" s="16">
        <f t="shared" si="5"/>
        <v>5.1075066012825347E-2</v>
      </c>
    </row>
    <row r="180" spans="1:4" x14ac:dyDescent="0.2">
      <c r="A180" s="14">
        <v>38869</v>
      </c>
      <c r="B180" s="18">
        <f>VLOOKUP(A180,Database!A:K,MATCH($A$1,Database!$A$1:$K$1,),)</f>
        <v>27339</v>
      </c>
      <c r="C180" s="15">
        <f t="shared" si="4"/>
        <v>-1.8841515934539189E-2</v>
      </c>
      <c r="D180" s="16">
        <f t="shared" si="5"/>
        <v>2.8981143437841094E-2</v>
      </c>
    </row>
    <row r="181" spans="1:4" x14ac:dyDescent="0.2">
      <c r="A181" s="20">
        <v>38899</v>
      </c>
      <c r="B181" s="18">
        <f>VLOOKUP(A181,Database!A:K,MATCH($A$1,Database!$A$1:$K$1,),)</f>
        <v>27327</v>
      </c>
      <c r="C181" s="15">
        <f t="shared" si="4"/>
        <v>-4.3893339185778561E-4</v>
      </c>
      <c r="D181" s="16">
        <f t="shared" si="5"/>
        <v>2.973095184264074E-2</v>
      </c>
    </row>
    <row r="182" spans="1:4" x14ac:dyDescent="0.2">
      <c r="A182" s="14">
        <v>38930</v>
      </c>
      <c r="B182" s="18">
        <f>VLOOKUP(A182,Database!A:K,MATCH($A$1,Database!$A$1:$K$1,),)</f>
        <v>27358</v>
      </c>
      <c r="C182" s="15">
        <f t="shared" si="4"/>
        <v>1.1344091923738426E-3</v>
      </c>
      <c r="D182" s="16">
        <f t="shared" si="5"/>
        <v>2.0287909301111361E-2</v>
      </c>
    </row>
    <row r="183" spans="1:4" x14ac:dyDescent="0.2">
      <c r="A183" s="20">
        <v>38961</v>
      </c>
      <c r="B183" s="18">
        <f>VLOOKUP(A183,Database!A:K,MATCH($A$1,Database!$A$1:$K$1,),)</f>
        <v>26994</v>
      </c>
      <c r="C183" s="15">
        <f t="shared" si="4"/>
        <v>-1.3305066159807004E-2</v>
      </c>
      <c r="D183" s="16">
        <f t="shared" si="5"/>
        <v>-4.3155914573420381E-3</v>
      </c>
    </row>
    <row r="184" spans="1:4" x14ac:dyDescent="0.2">
      <c r="A184" s="14">
        <v>38991</v>
      </c>
      <c r="B184" s="18">
        <f>VLOOKUP(A184,Database!A:K,MATCH($A$1,Database!$A$1:$K$1,),)</f>
        <v>27161</v>
      </c>
      <c r="C184" s="15">
        <f t="shared" si="4"/>
        <v>6.1865599762910275E-3</v>
      </c>
      <c r="D184" s="16">
        <f t="shared" si="5"/>
        <v>-1.8182475419317525E-2</v>
      </c>
    </row>
    <row r="185" spans="1:4" x14ac:dyDescent="0.2">
      <c r="A185" s="20">
        <v>39022</v>
      </c>
      <c r="B185" s="18">
        <f>VLOOKUP(A185,Database!A:K,MATCH($A$1,Database!$A$1:$K$1,),)</f>
        <v>26647</v>
      </c>
      <c r="C185" s="15">
        <f t="shared" si="4"/>
        <v>-1.8924192776407348E-2</v>
      </c>
      <c r="D185" s="16">
        <f t="shared" si="5"/>
        <v>-3.7110645371106456E-2</v>
      </c>
    </row>
    <row r="186" spans="1:4" x14ac:dyDescent="0.2">
      <c r="A186" s="14">
        <v>39052</v>
      </c>
      <c r="B186" s="18">
        <f>VLOOKUP(A186,Database!A:K,MATCH($A$1,Database!$A$1:$K$1,),)</f>
        <v>27100</v>
      </c>
      <c r="C186" s="15">
        <f t="shared" si="4"/>
        <v>1.7000037527676662E-2</v>
      </c>
      <c r="D186" s="16">
        <f t="shared" si="5"/>
        <v>-8.1979212413995015E-3</v>
      </c>
    </row>
    <row r="187" spans="1:4" x14ac:dyDescent="0.2">
      <c r="A187" s="20">
        <v>39083</v>
      </c>
      <c r="B187" s="18">
        <f>VLOOKUP(A187,Database!A:K,MATCH($A$1,Database!$A$1:$K$1,),)</f>
        <v>27533</v>
      </c>
      <c r="C187" s="15">
        <f t="shared" si="4"/>
        <v>1.5977859778597787E-2</v>
      </c>
      <c r="D187" s="16">
        <f t="shared" si="5"/>
        <v>-7.2525769723101804E-2</v>
      </c>
    </row>
    <row r="188" spans="1:4" x14ac:dyDescent="0.2">
      <c r="A188" s="14">
        <v>39114</v>
      </c>
      <c r="B188" s="18">
        <f>VLOOKUP(A188,Database!A:K,MATCH($A$1,Database!$A$1:$K$1,),)</f>
        <v>27088</v>
      </c>
      <c r="C188" s="15">
        <f t="shared" si="4"/>
        <v>-1.6162423273889514E-2</v>
      </c>
      <c r="D188" s="16">
        <f t="shared" si="5"/>
        <v>-8.1108585772923097E-2</v>
      </c>
    </row>
    <row r="189" spans="1:4" x14ac:dyDescent="0.2">
      <c r="A189" s="20">
        <v>39142</v>
      </c>
      <c r="B189" s="18">
        <f>VLOOKUP(A189,Database!A:K,MATCH($A$1,Database!$A$1:$K$1,),)</f>
        <v>27506</v>
      </c>
      <c r="C189" s="15">
        <f t="shared" si="4"/>
        <v>1.5431187241582989E-2</v>
      </c>
      <c r="D189" s="16">
        <f t="shared" si="5"/>
        <v>-6.0876096828160746E-2</v>
      </c>
    </row>
    <row r="190" spans="1:4" x14ac:dyDescent="0.2">
      <c r="A190" s="14">
        <v>39173</v>
      </c>
      <c r="B190" s="18">
        <f>VLOOKUP(A190,Database!A:K,MATCH($A$1,Database!$A$1:$K$1,),)</f>
        <v>26610</v>
      </c>
      <c r="C190" s="15">
        <f t="shared" si="4"/>
        <v>-3.2574710972151533E-2</v>
      </c>
      <c r="D190" s="16">
        <f t="shared" si="5"/>
        <v>-7.9398028022833425E-2</v>
      </c>
    </row>
    <row r="191" spans="1:4" x14ac:dyDescent="0.2">
      <c r="A191" s="20">
        <v>39203</v>
      </c>
      <c r="B191" s="18">
        <f>VLOOKUP(A191,Database!A:K,MATCH($A$1,Database!$A$1:$K$1,),)</f>
        <v>27144</v>
      </c>
      <c r="C191" s="15">
        <f t="shared" si="4"/>
        <v>2.0067643742953778E-2</v>
      </c>
      <c r="D191" s="16">
        <f t="shared" si="5"/>
        <v>-2.5839793281653745E-2</v>
      </c>
    </row>
    <row r="192" spans="1:4" x14ac:dyDescent="0.2">
      <c r="A192" s="14">
        <v>39234</v>
      </c>
      <c r="B192" s="18">
        <f>VLOOKUP(A192,Database!A:K,MATCH($A$1,Database!$A$1:$K$1,),)</f>
        <v>26638</v>
      </c>
      <c r="C192" s="15">
        <f t="shared" si="4"/>
        <v>-1.8641320365458295E-2</v>
      </c>
      <c r="D192" s="16">
        <f t="shared" si="5"/>
        <v>-2.564102564102564E-2</v>
      </c>
    </row>
    <row r="193" spans="1:4" x14ac:dyDescent="0.2">
      <c r="A193" s="20">
        <v>39264</v>
      </c>
      <c r="B193" s="18">
        <f>VLOOKUP(A193,Database!A:K,MATCH($A$1,Database!$A$1:$K$1,),)</f>
        <v>26860</v>
      </c>
      <c r="C193" s="15">
        <f t="shared" si="4"/>
        <v>8.3339590059313771E-3</v>
      </c>
      <c r="D193" s="16">
        <f t="shared" si="5"/>
        <v>-1.708932557543821E-2</v>
      </c>
    </row>
    <row r="194" spans="1:4" x14ac:dyDescent="0.2">
      <c r="A194" s="14">
        <v>39295</v>
      </c>
      <c r="B194" s="18">
        <f>VLOOKUP(A194,Database!A:K,MATCH($A$1,Database!$A$1:$K$1,),)</f>
        <v>26625</v>
      </c>
      <c r="C194" s="15">
        <f t="shared" si="4"/>
        <v>-8.7490692479523461E-3</v>
      </c>
      <c r="D194" s="16">
        <f t="shared" si="5"/>
        <v>-2.6792894217413554E-2</v>
      </c>
    </row>
    <row r="195" spans="1:4" x14ac:dyDescent="0.2">
      <c r="A195" s="20">
        <v>39326</v>
      </c>
      <c r="B195" s="18">
        <f>VLOOKUP(A195,Database!A:K,MATCH($A$1,Database!$A$1:$K$1,),)</f>
        <v>26412</v>
      </c>
      <c r="C195" s="15">
        <f t="shared" si="4"/>
        <v>-8.0000000000000002E-3</v>
      </c>
      <c r="D195" s="16">
        <f t="shared" si="5"/>
        <v>-2.1560346743720826E-2</v>
      </c>
    </row>
    <row r="196" spans="1:4" x14ac:dyDescent="0.2">
      <c r="A196" s="14">
        <v>39356</v>
      </c>
      <c r="B196" s="18">
        <f>VLOOKUP(A196,Database!A:K,MATCH($A$1,Database!$A$1:$K$1,),)</f>
        <v>26248</v>
      </c>
      <c r="C196" s="15">
        <f t="shared" si="4"/>
        <v>-6.2092988035741328E-3</v>
      </c>
      <c r="D196" s="16">
        <f t="shared" si="5"/>
        <v>-3.3614373550311105E-2</v>
      </c>
    </row>
    <row r="197" spans="1:4" x14ac:dyDescent="0.2">
      <c r="A197" s="20">
        <v>39387</v>
      </c>
      <c r="B197" s="18">
        <f>VLOOKUP(A197,Database!A:K,MATCH($A$1,Database!$A$1:$K$1,),)</f>
        <v>26566</v>
      </c>
      <c r="C197" s="15">
        <f t="shared" si="4"/>
        <v>1.2115208777811642E-2</v>
      </c>
      <c r="D197" s="16">
        <f t="shared" si="5"/>
        <v>-3.0397418095845685E-3</v>
      </c>
    </row>
    <row r="198" spans="1:4" x14ac:dyDescent="0.2">
      <c r="A198" s="14">
        <v>39417</v>
      </c>
      <c r="B198" s="18">
        <f>VLOOKUP(A198,Database!A:K,MATCH($A$1,Database!$A$1:$K$1,),)</f>
        <v>25634</v>
      </c>
      <c r="C198" s="15">
        <f t="shared" si="4"/>
        <v>-3.5082436196642322E-2</v>
      </c>
      <c r="D198" s="16">
        <f t="shared" si="5"/>
        <v>-5.4095940959409596E-2</v>
      </c>
    </row>
    <row r="199" spans="1:4" x14ac:dyDescent="0.2">
      <c r="A199" s="20">
        <v>39448</v>
      </c>
      <c r="B199" s="18">
        <f>VLOOKUP(A199,Database!A:K,MATCH($A$1,Database!$A$1:$K$1,),)</f>
        <v>25721</v>
      </c>
      <c r="C199" s="15">
        <f t="shared" si="4"/>
        <v>3.393929936802684E-3</v>
      </c>
      <c r="D199" s="16">
        <f t="shared" si="5"/>
        <v>-6.5811934769186065E-2</v>
      </c>
    </row>
    <row r="200" spans="1:4" x14ac:dyDescent="0.2">
      <c r="A200" s="14">
        <v>39479</v>
      </c>
      <c r="B200" s="18">
        <f>VLOOKUP(A200,Database!A:K,MATCH($A$1,Database!$A$1:$K$1,),)</f>
        <v>25659</v>
      </c>
      <c r="C200" s="15">
        <f t="shared" ref="C200:C263" si="6">(B200-B199)/B199</f>
        <v>-2.4104817075541385E-3</v>
      </c>
      <c r="D200" s="16">
        <f t="shared" si="5"/>
        <v>-5.2753987005316007E-2</v>
      </c>
    </row>
    <row r="201" spans="1:4" x14ac:dyDescent="0.2">
      <c r="A201" s="20">
        <v>39508</v>
      </c>
      <c r="B201" s="18">
        <f>VLOOKUP(A201,Database!A:K,MATCH($A$1,Database!$A$1:$K$1,),)</f>
        <v>25456</v>
      </c>
      <c r="C201" s="15">
        <f t="shared" si="6"/>
        <v>-7.9114540706964418E-3</v>
      </c>
      <c r="D201" s="16">
        <f t="shared" si="5"/>
        <v>-7.452919363048062E-2</v>
      </c>
    </row>
    <row r="202" spans="1:4" x14ac:dyDescent="0.2">
      <c r="A202" s="14">
        <v>39539</v>
      </c>
      <c r="B202" s="18">
        <f>VLOOKUP(A202,Database!A:K,MATCH($A$1,Database!$A$1:$K$1,),)</f>
        <v>25292</v>
      </c>
      <c r="C202" s="15">
        <f t="shared" si="6"/>
        <v>-6.4424890006285354E-3</v>
      </c>
      <c r="D202" s="16">
        <f t="shared" si="5"/>
        <v>-4.9530251785043215E-2</v>
      </c>
    </row>
    <row r="203" spans="1:4" x14ac:dyDescent="0.2">
      <c r="A203" s="20">
        <v>39569</v>
      </c>
      <c r="B203" s="18">
        <f>VLOOKUP(A203,Database!A:K,MATCH($A$1,Database!$A$1:$K$1,),)</f>
        <v>25650</v>
      </c>
      <c r="C203" s="15">
        <f t="shared" si="6"/>
        <v>1.4154673414518424E-2</v>
      </c>
      <c r="D203" s="16">
        <f t="shared" si="5"/>
        <v>-5.5039787798408485E-2</v>
      </c>
    </row>
    <row r="204" spans="1:4" x14ac:dyDescent="0.2">
      <c r="A204" s="14">
        <v>39600</v>
      </c>
      <c r="B204" s="18">
        <f>VLOOKUP(A204,Database!A:K,MATCH($A$1,Database!$A$1:$K$1,),)</f>
        <v>25700</v>
      </c>
      <c r="C204" s="15">
        <f t="shared" si="6"/>
        <v>1.9493177387914229E-3</v>
      </c>
      <c r="D204" s="16">
        <f t="shared" si="5"/>
        <v>-3.5212853817854196E-2</v>
      </c>
    </row>
    <row r="205" spans="1:4" x14ac:dyDescent="0.2">
      <c r="A205" s="20">
        <v>39630</v>
      </c>
      <c r="B205" s="18">
        <f>VLOOKUP(A205,Database!A:K,MATCH($A$1,Database!$A$1:$K$1,),)</f>
        <v>25897</v>
      </c>
      <c r="C205" s="15">
        <f t="shared" si="6"/>
        <v>7.6653696498054473E-3</v>
      </c>
      <c r="D205" s="16">
        <f t="shared" si="5"/>
        <v>-3.5852568875651525E-2</v>
      </c>
    </row>
    <row r="206" spans="1:4" x14ac:dyDescent="0.2">
      <c r="A206" s="14">
        <v>39661</v>
      </c>
      <c r="B206" s="18">
        <f>VLOOKUP(A206,Database!A:K,MATCH($A$1,Database!$A$1:$K$1,),)</f>
        <v>25329</v>
      </c>
      <c r="C206" s="15">
        <f t="shared" si="6"/>
        <v>-2.1933042437347956E-2</v>
      </c>
      <c r="D206" s="16">
        <f t="shared" si="5"/>
        <v>-4.867605633802817E-2</v>
      </c>
    </row>
    <row r="207" spans="1:4" x14ac:dyDescent="0.2">
      <c r="A207" s="20">
        <v>39692</v>
      </c>
      <c r="B207" s="18">
        <f>VLOOKUP(A207,Database!A:K,MATCH($A$1,Database!$A$1:$K$1,),)</f>
        <v>25217</v>
      </c>
      <c r="C207" s="15">
        <f t="shared" si="6"/>
        <v>-4.4218089936436493E-3</v>
      </c>
      <c r="D207" s="16">
        <f t="shared" si="5"/>
        <v>-4.5244585794335906E-2</v>
      </c>
    </row>
    <row r="208" spans="1:4" x14ac:dyDescent="0.2">
      <c r="A208" s="14">
        <v>39722</v>
      </c>
      <c r="B208" s="18">
        <f>VLOOKUP(A208,Database!A:K,MATCH($A$1,Database!$A$1:$K$1,),)</f>
        <v>24568</v>
      </c>
      <c r="C208" s="15">
        <f t="shared" si="6"/>
        <v>-2.5736606257683307E-2</v>
      </c>
      <c r="D208" s="16">
        <f t="shared" si="5"/>
        <v>-6.4004876562023777E-2</v>
      </c>
    </row>
    <row r="209" spans="1:4" x14ac:dyDescent="0.2">
      <c r="A209" s="20">
        <v>39753</v>
      </c>
      <c r="B209" s="18">
        <f>VLOOKUP(A209,Database!A:K,MATCH($A$1,Database!$A$1:$K$1,),)</f>
        <v>23196</v>
      </c>
      <c r="C209" s="15">
        <f t="shared" si="6"/>
        <v>-5.5845001628134161E-2</v>
      </c>
      <c r="D209" s="16">
        <f t="shared" si="5"/>
        <v>-0.12685387337197923</v>
      </c>
    </row>
    <row r="210" spans="1:4" x14ac:dyDescent="0.2">
      <c r="A210" s="14">
        <v>39783</v>
      </c>
      <c r="B210" s="18">
        <f>VLOOKUP(A210,Database!A:K,MATCH($A$1,Database!$A$1:$K$1,),)</f>
        <v>22909</v>
      </c>
      <c r="C210" s="15">
        <f t="shared" si="6"/>
        <v>-1.2372822900500086E-2</v>
      </c>
      <c r="D210" s="16">
        <f t="shared" si="5"/>
        <v>-0.10630412733088866</v>
      </c>
    </row>
    <row r="211" spans="1:4" x14ac:dyDescent="0.2">
      <c r="A211" s="20">
        <v>39814</v>
      </c>
      <c r="B211" s="18">
        <f>VLOOKUP(A211,Database!A:K,MATCH($A$1,Database!$A$1:$K$1,),)</f>
        <v>22758</v>
      </c>
      <c r="C211" s="15">
        <f t="shared" si="6"/>
        <v>-6.591295997206338E-3</v>
      </c>
      <c r="D211" s="16">
        <f t="shared" ref="D211:D274" si="7">(B211-B199)/B199</f>
        <v>-0.11519769837875665</v>
      </c>
    </row>
    <row r="212" spans="1:4" x14ac:dyDescent="0.2">
      <c r="A212" s="14">
        <v>39845</v>
      </c>
      <c r="B212" s="18">
        <f>VLOOKUP(A212,Database!A:K,MATCH($A$1,Database!$A$1:$K$1,),)</f>
        <v>22498</v>
      </c>
      <c r="C212" s="15">
        <f t="shared" si="6"/>
        <v>-1.1424554002987961E-2</v>
      </c>
      <c r="D212" s="16">
        <f t="shared" si="7"/>
        <v>-0.12319264195798744</v>
      </c>
    </row>
    <row r="213" spans="1:4" x14ac:dyDescent="0.2">
      <c r="A213" s="20">
        <v>39873</v>
      </c>
      <c r="B213" s="18">
        <f>VLOOKUP(A213,Database!A:K,MATCH($A$1,Database!$A$1:$K$1,),)</f>
        <v>22149</v>
      </c>
      <c r="C213" s="15">
        <f t="shared" si="6"/>
        <v>-1.5512489999111033E-2</v>
      </c>
      <c r="D213" s="16">
        <f t="shared" si="7"/>
        <v>-0.12991043368950345</v>
      </c>
    </row>
    <row r="214" spans="1:4" x14ac:dyDescent="0.2">
      <c r="A214" s="14">
        <v>39904</v>
      </c>
      <c r="B214" s="18">
        <f>VLOOKUP(A214,Database!A:K,MATCH($A$1,Database!$A$1:$K$1,),)</f>
        <v>22092</v>
      </c>
      <c r="C214" s="15">
        <f t="shared" si="6"/>
        <v>-2.5734796153325207E-3</v>
      </c>
      <c r="D214" s="16">
        <f t="shared" si="7"/>
        <v>-0.12652222046496917</v>
      </c>
    </row>
    <row r="215" spans="1:4" x14ac:dyDescent="0.2">
      <c r="A215" s="20">
        <v>39934</v>
      </c>
      <c r="B215" s="18">
        <f>VLOOKUP(A215,Database!A:K,MATCH($A$1,Database!$A$1:$K$1,),)</f>
        <v>22310</v>
      </c>
      <c r="C215" s="15">
        <f t="shared" si="6"/>
        <v>9.8678254571790691E-3</v>
      </c>
      <c r="D215" s="16">
        <f t="shared" si="7"/>
        <v>-0.13021442495126706</v>
      </c>
    </row>
    <row r="216" spans="1:4" x14ac:dyDescent="0.2">
      <c r="A216" s="14">
        <v>39965</v>
      </c>
      <c r="B216" s="18">
        <f>VLOOKUP(A216,Database!A:K,MATCH($A$1,Database!$A$1:$K$1,),)</f>
        <v>22332</v>
      </c>
      <c r="C216" s="15">
        <f t="shared" si="6"/>
        <v>9.8610488570147919E-4</v>
      </c>
      <c r="D216" s="16">
        <f t="shared" si="7"/>
        <v>-0.13105058365758754</v>
      </c>
    </row>
    <row r="217" spans="1:4" x14ac:dyDescent="0.2">
      <c r="A217" s="20">
        <v>39995</v>
      </c>
      <c r="B217" s="18">
        <f>VLOOKUP(A217,Database!A:K,MATCH($A$1,Database!$A$1:$K$1,),)</f>
        <v>21883</v>
      </c>
      <c r="C217" s="15">
        <f t="shared" si="6"/>
        <v>-2.0105677950922444E-2</v>
      </c>
      <c r="D217" s="16">
        <f t="shared" si="7"/>
        <v>-0.15499864849210332</v>
      </c>
    </row>
    <row r="218" spans="1:4" x14ac:dyDescent="0.2">
      <c r="A218" s="14">
        <v>40026</v>
      </c>
      <c r="B218" s="18">
        <f>VLOOKUP(A218,Database!A:K,MATCH($A$1,Database!$A$1:$K$1,),)</f>
        <v>21474</v>
      </c>
      <c r="C218" s="15">
        <f t="shared" si="6"/>
        <v>-1.8690307544669379E-2</v>
      </c>
      <c r="D218" s="16">
        <f t="shared" si="7"/>
        <v>-0.15219708634371668</v>
      </c>
    </row>
    <row r="219" spans="1:4" x14ac:dyDescent="0.2">
      <c r="A219" s="20">
        <v>40057</v>
      </c>
      <c r="B219" s="18">
        <f>VLOOKUP(A219,Database!A:K,MATCH($A$1,Database!$A$1:$K$1,),)</f>
        <v>21363</v>
      </c>
      <c r="C219" s="15">
        <f t="shared" si="6"/>
        <v>-5.1690416317407093E-3</v>
      </c>
      <c r="D219" s="16">
        <f t="shared" si="7"/>
        <v>-0.15283340603561091</v>
      </c>
    </row>
    <row r="220" spans="1:4" x14ac:dyDescent="0.2">
      <c r="A220" s="14">
        <v>40087</v>
      </c>
      <c r="B220" s="18">
        <f>VLOOKUP(A220,Database!A:K,MATCH($A$1,Database!$A$1:$K$1,),)</f>
        <v>20661</v>
      </c>
      <c r="C220" s="15">
        <f t="shared" si="6"/>
        <v>-3.2860553293076813E-2</v>
      </c>
      <c r="D220" s="16">
        <f t="shared" si="7"/>
        <v>-0.15902800390752198</v>
      </c>
    </row>
    <row r="221" spans="1:4" x14ac:dyDescent="0.2">
      <c r="A221" s="20">
        <v>40118</v>
      </c>
      <c r="B221" s="18">
        <f>VLOOKUP(A221,Database!A:K,MATCH($A$1,Database!$A$1:$K$1,),)</f>
        <v>20931</v>
      </c>
      <c r="C221" s="15">
        <f t="shared" si="6"/>
        <v>1.3068099317554814E-2</v>
      </c>
      <c r="D221" s="16">
        <f t="shared" si="7"/>
        <v>-9.7646145887221938E-2</v>
      </c>
    </row>
    <row r="222" spans="1:4" x14ac:dyDescent="0.2">
      <c r="A222" s="14">
        <v>40148</v>
      </c>
      <c r="B222" s="18">
        <f>VLOOKUP(A222,Database!A:K,MATCH($A$1,Database!$A$1:$K$1,),)</f>
        <v>20849</v>
      </c>
      <c r="C222" s="15">
        <f t="shared" si="6"/>
        <v>-3.9176341311929676E-3</v>
      </c>
      <c r="D222" s="16">
        <f t="shared" si="7"/>
        <v>-8.9920991749967261E-2</v>
      </c>
    </row>
    <row r="223" spans="1:4" x14ac:dyDescent="0.2">
      <c r="A223" s="20">
        <v>40179</v>
      </c>
      <c r="B223" s="18">
        <f>VLOOKUP(A223,Database!A:K,MATCH($A$1,Database!$A$1:$K$1,),)</f>
        <v>20562</v>
      </c>
      <c r="C223" s="15">
        <f t="shared" si="6"/>
        <v>-1.3765648232529138E-2</v>
      </c>
      <c r="D223" s="16">
        <f t="shared" si="7"/>
        <v>-9.6493540732929081E-2</v>
      </c>
    </row>
    <row r="224" spans="1:4" x14ac:dyDescent="0.2">
      <c r="A224" s="14">
        <v>40210</v>
      </c>
      <c r="B224" s="18">
        <f>VLOOKUP(A224,Database!A:K,MATCH($A$1,Database!$A$1:$K$1,),)</f>
        <v>20448</v>
      </c>
      <c r="C224" s="15">
        <f t="shared" si="6"/>
        <v>-5.544207761890867E-3</v>
      </c>
      <c r="D224" s="16">
        <f t="shared" si="7"/>
        <v>-9.1119210596497469E-2</v>
      </c>
    </row>
    <row r="225" spans="1:4" x14ac:dyDescent="0.2">
      <c r="A225" s="20">
        <v>40238</v>
      </c>
      <c r="B225" s="18">
        <f>VLOOKUP(A225,Database!A:K,MATCH($A$1,Database!$A$1:$K$1,),)</f>
        <v>21872</v>
      </c>
      <c r="C225" s="15">
        <f t="shared" si="6"/>
        <v>6.9640062597809083E-2</v>
      </c>
      <c r="D225" s="16">
        <f t="shared" si="7"/>
        <v>-1.2506207955212425E-2</v>
      </c>
    </row>
    <row r="226" spans="1:4" x14ac:dyDescent="0.2">
      <c r="A226" s="14">
        <v>40269</v>
      </c>
      <c r="B226" s="18">
        <f>VLOOKUP(A226,Database!A:K,MATCH($A$1,Database!$A$1:$K$1,),)</f>
        <v>23542</v>
      </c>
      <c r="C226" s="15">
        <f t="shared" si="6"/>
        <v>7.6353328456474037E-2</v>
      </c>
      <c r="D226" s="16">
        <f t="shared" si="7"/>
        <v>6.5634618866558025E-2</v>
      </c>
    </row>
    <row r="227" spans="1:4" x14ac:dyDescent="0.2">
      <c r="A227" s="20">
        <v>40299</v>
      </c>
      <c r="B227" s="18">
        <f>VLOOKUP(A227,Database!A:K,MATCH($A$1,Database!$A$1:$K$1,),)</f>
        <v>21737</v>
      </c>
      <c r="C227" s="15">
        <f t="shared" si="6"/>
        <v>-7.6671480757794577E-2</v>
      </c>
      <c r="D227" s="16">
        <f t="shared" si="7"/>
        <v>-2.5683549977588524E-2</v>
      </c>
    </row>
    <row r="228" spans="1:4" x14ac:dyDescent="0.2">
      <c r="A228" s="14">
        <v>40330</v>
      </c>
      <c r="B228" s="18">
        <f>VLOOKUP(A228,Database!A:K,MATCH($A$1,Database!$A$1:$K$1,),)</f>
        <v>21522</v>
      </c>
      <c r="C228" s="15">
        <f t="shared" si="6"/>
        <v>-9.8909693149928698E-3</v>
      </c>
      <c r="D228" s="16">
        <f t="shared" si="7"/>
        <v>-3.6270822138635139E-2</v>
      </c>
    </row>
    <row r="229" spans="1:4" x14ac:dyDescent="0.2">
      <c r="A229" s="20">
        <v>40360</v>
      </c>
      <c r="B229" s="18">
        <f>VLOOKUP(A229,Database!A:K,MATCH($A$1,Database!$A$1:$K$1,),)</f>
        <v>21493</v>
      </c>
      <c r="C229" s="15">
        <f t="shared" si="6"/>
        <v>-1.3474584146454791E-3</v>
      </c>
      <c r="D229" s="16">
        <f t="shared" si="7"/>
        <v>-1.7822053648951241E-2</v>
      </c>
    </row>
    <row r="230" spans="1:4" x14ac:dyDescent="0.2">
      <c r="A230" s="14">
        <v>40391</v>
      </c>
      <c r="B230" s="18">
        <f>VLOOKUP(A230,Database!A:K,MATCH($A$1,Database!$A$1:$K$1,),)</f>
        <v>21296</v>
      </c>
      <c r="C230" s="15">
        <f t="shared" si="6"/>
        <v>-9.1657749034569393E-3</v>
      </c>
      <c r="D230" s="16">
        <f t="shared" si="7"/>
        <v>-8.2890937878364532E-3</v>
      </c>
    </row>
    <row r="231" spans="1:4" x14ac:dyDescent="0.2">
      <c r="A231" s="20">
        <v>40422</v>
      </c>
      <c r="B231" s="18">
        <f>VLOOKUP(A231,Database!A:K,MATCH($A$1,Database!$A$1:$K$1,),)</f>
        <v>21336</v>
      </c>
      <c r="C231" s="15">
        <f t="shared" si="6"/>
        <v>1.8782870022539444E-3</v>
      </c>
      <c r="D231" s="16">
        <f t="shared" si="7"/>
        <v>-1.2638674343491082E-3</v>
      </c>
    </row>
    <row r="232" spans="1:4" x14ac:dyDescent="0.2">
      <c r="A232" s="14">
        <v>40452</v>
      </c>
      <c r="B232" s="18">
        <f>VLOOKUP(A232,Database!A:K,MATCH($A$1,Database!$A$1:$K$1,),)</f>
        <v>22040</v>
      </c>
      <c r="C232" s="15">
        <f t="shared" si="6"/>
        <v>3.2995875515560553E-2</v>
      </c>
      <c r="D232" s="16">
        <f t="shared" si="7"/>
        <v>6.6744107255215138E-2</v>
      </c>
    </row>
    <row r="233" spans="1:4" x14ac:dyDescent="0.2">
      <c r="A233" s="20">
        <v>40483</v>
      </c>
      <c r="B233" s="18">
        <f>VLOOKUP(A233,Database!A:K,MATCH($A$1,Database!$A$1:$K$1,),)</f>
        <v>21977</v>
      </c>
      <c r="C233" s="15">
        <f t="shared" si="6"/>
        <v>-2.8584392014519054E-3</v>
      </c>
      <c r="D233" s="16">
        <f t="shared" si="7"/>
        <v>4.9973723185705414E-2</v>
      </c>
    </row>
    <row r="234" spans="1:4" x14ac:dyDescent="0.2">
      <c r="A234" s="14">
        <v>40513</v>
      </c>
      <c r="B234" s="18">
        <f>VLOOKUP(A234,Database!A:K,MATCH($A$1,Database!$A$1:$K$1,),)</f>
        <v>22112</v>
      </c>
      <c r="C234" s="15">
        <f t="shared" si="6"/>
        <v>6.1427856395322384E-3</v>
      </c>
      <c r="D234" s="16">
        <f t="shared" si="7"/>
        <v>6.0578445009352964E-2</v>
      </c>
    </row>
    <row r="235" spans="1:4" x14ac:dyDescent="0.2">
      <c r="A235" s="20">
        <v>40544</v>
      </c>
      <c r="B235" s="18">
        <f>VLOOKUP(A235,Database!A:K,MATCH($A$1,Database!$A$1:$K$1,),)</f>
        <v>21498</v>
      </c>
      <c r="C235" s="15">
        <f t="shared" si="6"/>
        <v>-2.7767727930535457E-2</v>
      </c>
      <c r="D235" s="16">
        <f t="shared" si="7"/>
        <v>4.5520863729209222E-2</v>
      </c>
    </row>
    <row r="236" spans="1:4" x14ac:dyDescent="0.2">
      <c r="A236" s="14">
        <v>40575</v>
      </c>
      <c r="B236" s="18">
        <f>VLOOKUP(A236,Database!A:K,MATCH($A$1,Database!$A$1:$K$1,),)</f>
        <v>21202</v>
      </c>
      <c r="C236" s="15">
        <f t="shared" si="6"/>
        <v>-1.3768722671876454E-2</v>
      </c>
      <c r="D236" s="16">
        <f t="shared" si="7"/>
        <v>3.6874021909233175E-2</v>
      </c>
    </row>
    <row r="237" spans="1:4" x14ac:dyDescent="0.2">
      <c r="A237" s="20">
        <v>40603</v>
      </c>
      <c r="B237" s="18">
        <f>VLOOKUP(A237,Database!A:K,MATCH($A$1,Database!$A$1:$K$1,),)</f>
        <v>21865</v>
      </c>
      <c r="C237" s="15">
        <f t="shared" si="6"/>
        <v>3.1270634845769266E-2</v>
      </c>
      <c r="D237" s="16">
        <f t="shared" si="7"/>
        <v>-3.2004389173372348E-4</v>
      </c>
    </row>
    <row r="238" spans="1:4" x14ac:dyDescent="0.2">
      <c r="A238" s="14">
        <v>40634</v>
      </c>
      <c r="B238" s="18">
        <f>VLOOKUP(A238,Database!A:K,MATCH($A$1,Database!$A$1:$K$1,),)</f>
        <v>22053</v>
      </c>
      <c r="C238" s="15">
        <f t="shared" si="6"/>
        <v>8.5982163274639836E-3</v>
      </c>
      <c r="D238" s="16">
        <f t="shared" si="7"/>
        <v>-6.3248661965848274E-2</v>
      </c>
    </row>
    <row r="239" spans="1:4" x14ac:dyDescent="0.2">
      <c r="A239" s="20">
        <v>40664</v>
      </c>
      <c r="B239" s="18">
        <f>VLOOKUP(A239,Database!A:K,MATCH($A$1,Database!$A$1:$K$1,),)</f>
        <v>22326</v>
      </c>
      <c r="C239" s="15">
        <f t="shared" si="6"/>
        <v>1.2379268126785472E-2</v>
      </c>
      <c r="D239" s="16">
        <f t="shared" si="7"/>
        <v>2.7096655472236279E-2</v>
      </c>
    </row>
    <row r="240" spans="1:4" x14ac:dyDescent="0.2">
      <c r="A240" s="14">
        <v>40695</v>
      </c>
      <c r="B240" s="18">
        <f>VLOOKUP(A240,Database!A:K,MATCH($A$1,Database!$A$1:$K$1,),)</f>
        <v>22709</v>
      </c>
      <c r="C240" s="15">
        <f t="shared" si="6"/>
        <v>1.7154886679208097E-2</v>
      </c>
      <c r="D240" s="16">
        <f t="shared" si="7"/>
        <v>5.5152866833937365E-2</v>
      </c>
    </row>
    <row r="241" spans="1:4" x14ac:dyDescent="0.2">
      <c r="A241" s="20">
        <v>40725</v>
      </c>
      <c r="B241" s="18">
        <f>VLOOKUP(A241,Database!A:K,MATCH($A$1,Database!$A$1:$K$1,),)</f>
        <v>22744</v>
      </c>
      <c r="C241" s="15">
        <f t="shared" si="6"/>
        <v>1.5412391562816504E-3</v>
      </c>
      <c r="D241" s="16">
        <f t="shared" si="7"/>
        <v>5.8204996975759551E-2</v>
      </c>
    </row>
    <row r="242" spans="1:4" x14ac:dyDescent="0.2">
      <c r="A242" s="14">
        <v>40756</v>
      </c>
      <c r="B242" s="18">
        <f>VLOOKUP(A242,Database!A:K,MATCH($A$1,Database!$A$1:$K$1,),)</f>
        <v>22775</v>
      </c>
      <c r="C242" s="15">
        <f t="shared" si="6"/>
        <v>1.3629968343299333E-3</v>
      </c>
      <c r="D242" s="16">
        <f t="shared" si="7"/>
        <v>6.9449661908339594E-2</v>
      </c>
    </row>
    <row r="243" spans="1:4" x14ac:dyDescent="0.2">
      <c r="A243" s="20">
        <v>40787</v>
      </c>
      <c r="B243" s="18">
        <f>VLOOKUP(A243,Database!A:K,MATCH($A$1,Database!$A$1:$K$1,),)</f>
        <v>22644</v>
      </c>
      <c r="C243" s="15">
        <f t="shared" si="6"/>
        <v>-5.7519209659714597E-3</v>
      </c>
      <c r="D243" s="16">
        <f t="shared" si="7"/>
        <v>6.1304836895388078E-2</v>
      </c>
    </row>
    <row r="244" spans="1:4" x14ac:dyDescent="0.2">
      <c r="A244" s="14">
        <v>40817</v>
      </c>
      <c r="B244" s="18">
        <f>VLOOKUP(A244,Database!A:K,MATCH($A$1,Database!$A$1:$K$1,),)</f>
        <v>23253</v>
      </c>
      <c r="C244" s="15">
        <f t="shared" si="6"/>
        <v>2.6894541600423955E-2</v>
      </c>
      <c r="D244" s="16">
        <f t="shared" si="7"/>
        <v>5.5036297640653355E-2</v>
      </c>
    </row>
    <row r="245" spans="1:4" x14ac:dyDescent="0.2">
      <c r="A245" s="20">
        <v>40848</v>
      </c>
      <c r="B245" s="18">
        <f>VLOOKUP(A245,Database!A:K,MATCH($A$1,Database!$A$1:$K$1,),)</f>
        <v>22908</v>
      </c>
      <c r="C245" s="15">
        <f t="shared" si="6"/>
        <v>-1.483679525222552E-2</v>
      </c>
      <c r="D245" s="16">
        <f t="shared" si="7"/>
        <v>4.2362469854848248E-2</v>
      </c>
    </row>
    <row r="246" spans="1:4" x14ac:dyDescent="0.2">
      <c r="A246" s="14">
        <v>40878</v>
      </c>
      <c r="B246" s="18">
        <f>VLOOKUP(A246,Database!A:K,MATCH($A$1,Database!$A$1:$K$1,),)</f>
        <v>23443</v>
      </c>
      <c r="C246" s="15">
        <f t="shared" si="6"/>
        <v>2.3354286712065655E-2</v>
      </c>
      <c r="D246" s="16">
        <f t="shared" si="7"/>
        <v>6.0193560057887119E-2</v>
      </c>
    </row>
    <row r="247" spans="1:4" x14ac:dyDescent="0.2">
      <c r="A247" s="20">
        <v>40909</v>
      </c>
      <c r="B247" s="18">
        <f>VLOOKUP(A247,Database!A:K,MATCH($A$1,Database!$A$1:$K$1,),)</f>
        <v>23657</v>
      </c>
      <c r="C247" s="15">
        <f t="shared" si="6"/>
        <v>9.1285245062491995E-3</v>
      </c>
      <c r="D247" s="16">
        <f t="shared" si="7"/>
        <v>0.10042794678574751</v>
      </c>
    </row>
    <row r="248" spans="1:4" x14ac:dyDescent="0.2">
      <c r="A248" s="14">
        <v>40940</v>
      </c>
      <c r="B248" s="18">
        <f>VLOOKUP(A248,Database!A:K,MATCH($A$1,Database!$A$1:$K$1,),)</f>
        <v>23588</v>
      </c>
      <c r="C248" s="15">
        <f t="shared" si="6"/>
        <v>-2.9166842794944416E-3</v>
      </c>
      <c r="D248" s="16">
        <f t="shared" si="7"/>
        <v>0.11253655315536271</v>
      </c>
    </row>
    <row r="249" spans="1:4" x14ac:dyDescent="0.2">
      <c r="A249" s="20">
        <v>40969</v>
      </c>
      <c r="B249" s="18">
        <f>VLOOKUP(A249,Database!A:K,MATCH($A$1,Database!$A$1:$K$1,),)</f>
        <v>24587</v>
      </c>
      <c r="C249" s="15">
        <f t="shared" si="6"/>
        <v>4.2352043411904357E-2</v>
      </c>
      <c r="D249" s="16">
        <f t="shared" si="7"/>
        <v>0.12449119597530299</v>
      </c>
    </row>
    <row r="250" spans="1:4" x14ac:dyDescent="0.2">
      <c r="A250" s="14">
        <v>41000</v>
      </c>
      <c r="B250" s="18">
        <f>VLOOKUP(A250,Database!A:K,MATCH($A$1,Database!$A$1:$K$1,),)</f>
        <v>23423</v>
      </c>
      <c r="C250" s="15">
        <f t="shared" si="6"/>
        <v>-4.7342091349086915E-2</v>
      </c>
      <c r="D250" s="16">
        <f t="shared" si="7"/>
        <v>6.2123067156395956E-2</v>
      </c>
    </row>
    <row r="251" spans="1:4" x14ac:dyDescent="0.2">
      <c r="A251" s="20">
        <v>41030</v>
      </c>
      <c r="B251" s="18">
        <f>VLOOKUP(A251,Database!A:K,MATCH($A$1,Database!$A$1:$K$1,),)</f>
        <v>22721</v>
      </c>
      <c r="C251" s="15">
        <f t="shared" si="6"/>
        <v>-2.9970541775178244E-2</v>
      </c>
      <c r="D251" s="16">
        <f t="shared" si="7"/>
        <v>1.7692376601272059E-2</v>
      </c>
    </row>
    <row r="252" spans="1:4" x14ac:dyDescent="0.2">
      <c r="A252" s="14">
        <v>41061</v>
      </c>
      <c r="B252" s="18">
        <f>VLOOKUP(A252,Database!A:K,MATCH($A$1,Database!$A$1:$K$1,),)</f>
        <v>22516</v>
      </c>
      <c r="C252" s="15">
        <f t="shared" si="6"/>
        <v>-9.0224902072972134E-3</v>
      </c>
      <c r="D252" s="16">
        <f t="shared" si="7"/>
        <v>-8.4988330617816726E-3</v>
      </c>
    </row>
    <row r="253" spans="1:4" x14ac:dyDescent="0.2">
      <c r="A253" s="20">
        <v>41091</v>
      </c>
      <c r="B253" s="18">
        <f>VLOOKUP(A253,Database!A:K,MATCH($A$1,Database!$A$1:$K$1,),)</f>
        <v>22700</v>
      </c>
      <c r="C253" s="15">
        <f t="shared" si="6"/>
        <v>8.1719666015278025E-3</v>
      </c>
      <c r="D253" s="16">
        <f t="shared" si="7"/>
        <v>-1.9345761519521632E-3</v>
      </c>
    </row>
    <row r="254" spans="1:4" x14ac:dyDescent="0.2">
      <c r="A254" s="14">
        <v>41122</v>
      </c>
      <c r="B254" s="18">
        <f>VLOOKUP(A254,Database!A:K,MATCH($A$1,Database!$A$1:$K$1,),)</f>
        <v>23071</v>
      </c>
      <c r="C254" s="15">
        <f t="shared" si="6"/>
        <v>1.6343612334801763E-2</v>
      </c>
      <c r="D254" s="16">
        <f t="shared" si="7"/>
        <v>1.2996706915477498E-2</v>
      </c>
    </row>
    <row r="255" spans="1:4" x14ac:dyDescent="0.2">
      <c r="A255" s="20">
        <v>41153</v>
      </c>
      <c r="B255" s="18">
        <f>VLOOKUP(A255,Database!A:K,MATCH($A$1,Database!$A$1:$K$1,),)</f>
        <v>23652</v>
      </c>
      <c r="C255" s="15">
        <f t="shared" si="6"/>
        <v>2.5183130336786441E-2</v>
      </c>
      <c r="D255" s="16">
        <f t="shared" si="7"/>
        <v>4.4515103338632747E-2</v>
      </c>
    </row>
    <row r="256" spans="1:4" x14ac:dyDescent="0.2">
      <c r="A256" s="14">
        <v>41183</v>
      </c>
      <c r="B256" s="18">
        <f>VLOOKUP(A256,Database!A:K,MATCH($A$1,Database!$A$1:$K$1,),)</f>
        <v>23831</v>
      </c>
      <c r="C256" s="15">
        <f t="shared" si="6"/>
        <v>7.5680703534584809E-3</v>
      </c>
      <c r="D256" s="16">
        <f t="shared" si="7"/>
        <v>2.4857007697931449E-2</v>
      </c>
    </row>
    <row r="257" spans="1:4" x14ac:dyDescent="0.2">
      <c r="A257" s="20">
        <v>41214</v>
      </c>
      <c r="B257" s="18">
        <f>VLOOKUP(A257,Database!A:K,MATCH($A$1,Database!$A$1:$K$1,),)</f>
        <v>24146</v>
      </c>
      <c r="C257" s="15">
        <f t="shared" si="6"/>
        <v>1.3218077294280558E-2</v>
      </c>
      <c r="D257" s="16">
        <f t="shared" si="7"/>
        <v>5.4042255980443515E-2</v>
      </c>
    </row>
    <row r="258" spans="1:4" x14ac:dyDescent="0.2">
      <c r="A258" s="14">
        <v>41244</v>
      </c>
      <c r="B258" s="18">
        <f>VLOOKUP(A258,Database!A:K,MATCH($A$1,Database!$A$1:$K$1,),)</f>
        <v>24126</v>
      </c>
      <c r="C258" s="15">
        <f t="shared" si="6"/>
        <v>-8.2829454153897125E-4</v>
      </c>
      <c r="D258" s="16">
        <f t="shared" si="7"/>
        <v>2.9134496438169177E-2</v>
      </c>
    </row>
    <row r="259" spans="1:4" x14ac:dyDescent="0.2">
      <c r="A259" s="20">
        <v>41275</v>
      </c>
      <c r="B259" s="18">
        <f>VLOOKUP(A259,Database!A:K,MATCH($A$1,Database!$A$1:$K$1,),)</f>
        <v>24376</v>
      </c>
      <c r="C259" s="15">
        <f t="shared" si="6"/>
        <v>1.0362264776589572E-2</v>
      </c>
      <c r="D259" s="16">
        <f t="shared" si="7"/>
        <v>3.0392695608065266E-2</v>
      </c>
    </row>
    <row r="260" spans="1:4" x14ac:dyDescent="0.2">
      <c r="A260" s="14">
        <v>41306</v>
      </c>
      <c r="B260" s="18">
        <f>VLOOKUP(A260,Database!A:K,MATCH($A$1,Database!$A$1:$K$1,),)</f>
        <v>24759</v>
      </c>
      <c r="C260" s="15">
        <f t="shared" si="6"/>
        <v>1.5712175910731867E-2</v>
      </c>
      <c r="D260" s="16">
        <f t="shared" si="7"/>
        <v>4.9643886722062068E-2</v>
      </c>
    </row>
    <row r="261" spans="1:4" x14ac:dyDescent="0.2">
      <c r="A261" s="20">
        <v>41334</v>
      </c>
      <c r="B261" s="18">
        <f>VLOOKUP(A261,Database!A:K,MATCH($A$1,Database!$A$1:$K$1,),)</f>
        <v>24692</v>
      </c>
      <c r="C261" s="15">
        <f t="shared" si="6"/>
        <v>-2.7060866755523245E-3</v>
      </c>
      <c r="D261" s="16">
        <f t="shared" si="7"/>
        <v>4.2705494773660879E-3</v>
      </c>
    </row>
    <row r="262" spans="1:4" x14ac:dyDescent="0.2">
      <c r="A262" s="14">
        <v>41365</v>
      </c>
      <c r="B262" s="18">
        <f>VLOOKUP(A262,Database!A:K,MATCH($A$1,Database!$A$1:$K$1,),)</f>
        <v>24815</v>
      </c>
      <c r="C262" s="15">
        <f t="shared" si="6"/>
        <v>4.9813704843674061E-3</v>
      </c>
      <c r="D262" s="16">
        <f t="shared" si="7"/>
        <v>5.9428766596934635E-2</v>
      </c>
    </row>
    <row r="263" spans="1:4" x14ac:dyDescent="0.2">
      <c r="A263" s="20">
        <v>41395</v>
      </c>
      <c r="B263" s="18">
        <f>VLOOKUP(A263,Database!A:K,MATCH($A$1,Database!$A$1:$K$1,),)</f>
        <v>25320</v>
      </c>
      <c r="C263" s="15">
        <f t="shared" si="6"/>
        <v>2.0350594398549266E-2</v>
      </c>
      <c r="D263" s="16">
        <f t="shared" si="7"/>
        <v>0.11438757096958761</v>
      </c>
    </row>
    <row r="264" spans="1:4" x14ac:dyDescent="0.2">
      <c r="A264" s="14">
        <v>41426</v>
      </c>
      <c r="B264" s="18">
        <f>VLOOKUP(A264,Database!A:K,MATCH($A$1,Database!$A$1:$K$1,),)</f>
        <v>24799</v>
      </c>
      <c r="C264" s="15">
        <f t="shared" ref="C264:C327" si="8">(B264-B263)/B263</f>
        <v>-2.0576619273301736E-2</v>
      </c>
      <c r="D264" s="16">
        <f t="shared" si="7"/>
        <v>0.10139456386569551</v>
      </c>
    </row>
    <row r="265" spans="1:4" x14ac:dyDescent="0.2">
      <c r="A265" s="20">
        <v>41456</v>
      </c>
      <c r="B265" s="18">
        <f>VLOOKUP(A265,Database!A:K,MATCH($A$1,Database!$A$1:$K$1,),)</f>
        <v>25347</v>
      </c>
      <c r="C265" s="15">
        <f t="shared" si="8"/>
        <v>2.209766522843663E-2</v>
      </c>
      <c r="D265" s="16">
        <f t="shared" si="7"/>
        <v>0.1166079295154185</v>
      </c>
    </row>
    <row r="266" spans="1:4" x14ac:dyDescent="0.2">
      <c r="A266" s="14">
        <v>41487</v>
      </c>
      <c r="B266" s="18">
        <f>VLOOKUP(A266,Database!A:K,MATCH($A$1,Database!$A$1:$K$1,),)</f>
        <v>25284</v>
      </c>
      <c r="C266" s="15">
        <f t="shared" si="8"/>
        <v>-2.4855012427506215E-3</v>
      </c>
      <c r="D266" s="16">
        <f t="shared" si="7"/>
        <v>9.5921286463525643E-2</v>
      </c>
    </row>
    <row r="267" spans="1:4" x14ac:dyDescent="0.2">
      <c r="A267" s="20">
        <v>41518</v>
      </c>
      <c r="B267" s="18">
        <f>VLOOKUP(A267,Database!A:K,MATCH($A$1,Database!$A$1:$K$1,),)</f>
        <v>25259</v>
      </c>
      <c r="C267" s="15">
        <f t="shared" si="8"/>
        <v>-9.8876760006328117E-4</v>
      </c>
      <c r="D267" s="16">
        <f t="shared" si="7"/>
        <v>6.794351429054625E-2</v>
      </c>
    </row>
    <row r="268" spans="1:4" x14ac:dyDescent="0.2">
      <c r="A268" s="14">
        <v>41548</v>
      </c>
      <c r="B268" s="18">
        <f>VLOOKUP(A268,Database!A:K,MATCH($A$1,Database!$A$1:$K$1,),)</f>
        <v>24917</v>
      </c>
      <c r="C268" s="15">
        <f t="shared" si="8"/>
        <v>-1.3539728413634744E-2</v>
      </c>
      <c r="D268" s="16">
        <f t="shared" si="7"/>
        <v>4.55708950526625E-2</v>
      </c>
    </row>
    <row r="269" spans="1:4" x14ac:dyDescent="0.2">
      <c r="A269" s="20">
        <v>41579</v>
      </c>
      <c r="B269" s="18">
        <f>VLOOKUP(A269,Database!A:K,MATCH($A$1,Database!$A$1:$K$1,),)</f>
        <v>24828</v>
      </c>
      <c r="C269" s="15">
        <f t="shared" si="8"/>
        <v>-3.571858570453907E-3</v>
      </c>
      <c r="D269" s="16">
        <f t="shared" si="7"/>
        <v>2.8244843866478919E-2</v>
      </c>
    </row>
    <row r="270" spans="1:4" x14ac:dyDescent="0.2">
      <c r="A270" s="14">
        <v>41609</v>
      </c>
      <c r="B270" s="18">
        <f>VLOOKUP(A270,Database!A:K,MATCH($A$1,Database!$A$1:$K$1,),)</f>
        <v>24956</v>
      </c>
      <c r="C270" s="15">
        <f t="shared" si="8"/>
        <v>5.1554696310617048E-3</v>
      </c>
      <c r="D270" s="16">
        <f t="shared" si="7"/>
        <v>3.4402719058277374E-2</v>
      </c>
    </row>
    <row r="271" spans="1:4" x14ac:dyDescent="0.2">
      <c r="A271" s="20">
        <v>41640</v>
      </c>
      <c r="B271" s="18">
        <f>VLOOKUP(A271,Database!A:K,MATCH($A$1,Database!$A$1:$K$1,),)</f>
        <v>24872</v>
      </c>
      <c r="C271" s="15">
        <f t="shared" si="8"/>
        <v>-3.3659240262862637E-3</v>
      </c>
      <c r="D271" s="16">
        <f t="shared" si="7"/>
        <v>2.0347883163767639E-2</v>
      </c>
    </row>
    <row r="272" spans="1:4" x14ac:dyDescent="0.2">
      <c r="A272" s="14">
        <v>41671</v>
      </c>
      <c r="B272" s="18">
        <f>VLOOKUP(A272,Database!A:K,MATCH($A$1,Database!$A$1:$K$1,),)</f>
        <v>24817</v>
      </c>
      <c r="C272" s="15">
        <f t="shared" si="8"/>
        <v>-2.2113219684786103E-3</v>
      </c>
      <c r="D272" s="16">
        <f t="shared" si="7"/>
        <v>2.342582495254251E-3</v>
      </c>
    </row>
    <row r="273" spans="1:4" x14ac:dyDescent="0.2">
      <c r="A273" s="20">
        <v>41699</v>
      </c>
      <c r="B273" s="18">
        <f>VLOOKUP(A273,Database!A:K,MATCH($A$1,Database!$A$1:$K$1,),)</f>
        <v>25282</v>
      </c>
      <c r="C273" s="15">
        <f t="shared" si="8"/>
        <v>1.8737155981786678E-2</v>
      </c>
      <c r="D273" s="16">
        <f t="shared" si="7"/>
        <v>2.3894378746152599E-2</v>
      </c>
    </row>
    <row r="274" spans="1:4" x14ac:dyDescent="0.2">
      <c r="A274" s="14">
        <v>41730</v>
      </c>
      <c r="B274" s="18">
        <f>VLOOKUP(A274,Database!A:K,MATCH($A$1,Database!$A$1:$K$1,),)</f>
        <v>26122</v>
      </c>
      <c r="C274" s="15">
        <f t="shared" si="8"/>
        <v>3.3225219523771853E-2</v>
      </c>
      <c r="D274" s="16">
        <f t="shared" si="7"/>
        <v>5.2669756195849286E-2</v>
      </c>
    </row>
    <row r="275" spans="1:4" x14ac:dyDescent="0.2">
      <c r="A275" s="20">
        <v>41760</v>
      </c>
      <c r="B275" s="18">
        <f>VLOOKUP(A275,Database!A:K,MATCH($A$1,Database!$A$1:$K$1,),)</f>
        <v>26465</v>
      </c>
      <c r="C275" s="15">
        <f t="shared" si="8"/>
        <v>1.3130694433810581E-2</v>
      </c>
      <c r="D275" s="16">
        <f t="shared" ref="D275:D334" si="9">(B275-B263)/B263</f>
        <v>4.5221169036334913E-2</v>
      </c>
    </row>
    <row r="276" spans="1:4" x14ac:dyDescent="0.2">
      <c r="A276" s="14">
        <v>41791</v>
      </c>
      <c r="B276" s="18">
        <f>VLOOKUP(A276,Database!A:K,MATCH($A$1,Database!$A$1:$K$1,),)</f>
        <v>26620</v>
      </c>
      <c r="C276" s="15">
        <f t="shared" si="8"/>
        <v>5.8567919894199887E-3</v>
      </c>
      <c r="D276" s="16">
        <f t="shared" si="9"/>
        <v>7.3430380257268432E-2</v>
      </c>
    </row>
    <row r="277" spans="1:4" x14ac:dyDescent="0.2">
      <c r="A277" s="20">
        <v>41821</v>
      </c>
      <c r="B277" s="18">
        <f>VLOOKUP(A277,Database!A:K,MATCH($A$1,Database!$A$1:$K$1,),)</f>
        <v>26084</v>
      </c>
      <c r="C277" s="15">
        <f t="shared" si="8"/>
        <v>-2.0135236664162285E-2</v>
      </c>
      <c r="D277" s="16">
        <f t="shared" si="9"/>
        <v>2.9076419300114412E-2</v>
      </c>
    </row>
    <row r="278" spans="1:4" x14ac:dyDescent="0.2">
      <c r="A278" s="14">
        <v>41852</v>
      </c>
      <c r="B278" s="18">
        <f>VLOOKUP(A278,Database!A:K,MATCH($A$1,Database!$A$1:$K$1,),)</f>
        <v>26569</v>
      </c>
      <c r="C278" s="15">
        <f t="shared" si="8"/>
        <v>1.8593773961048918E-2</v>
      </c>
      <c r="D278" s="16">
        <f t="shared" si="9"/>
        <v>5.0822654643252647E-2</v>
      </c>
    </row>
    <row r="279" spans="1:4" x14ac:dyDescent="0.2">
      <c r="A279" s="20">
        <v>41883</v>
      </c>
      <c r="B279" s="18">
        <f>VLOOKUP(A279,Database!A:K,MATCH($A$1,Database!$A$1:$K$1,),)</f>
        <v>26494</v>
      </c>
      <c r="C279" s="15">
        <f t="shared" si="8"/>
        <v>-2.8228386465429635E-3</v>
      </c>
      <c r="D279" s="16">
        <f t="shared" si="9"/>
        <v>4.8893463715903245E-2</v>
      </c>
    </row>
    <row r="280" spans="1:4" x14ac:dyDescent="0.2">
      <c r="A280" s="14">
        <v>41913</v>
      </c>
      <c r="B280" s="18">
        <f>VLOOKUP(A280,Database!A:K,MATCH($A$1,Database!$A$1:$K$1,),)</f>
        <v>26463</v>
      </c>
      <c r="C280" s="15">
        <f t="shared" si="8"/>
        <v>-1.1700762436778137E-3</v>
      </c>
      <c r="D280" s="16">
        <f t="shared" si="9"/>
        <v>6.2045992695749889E-2</v>
      </c>
    </row>
    <row r="281" spans="1:4" x14ac:dyDescent="0.2">
      <c r="A281" s="20">
        <v>41944</v>
      </c>
      <c r="B281" s="18">
        <f>VLOOKUP(A281,Database!A:K,MATCH($A$1,Database!$A$1:$K$1,),)</f>
        <v>26602</v>
      </c>
      <c r="C281" s="15">
        <f t="shared" si="8"/>
        <v>5.2526168612780106E-3</v>
      </c>
      <c r="D281" s="16">
        <f t="shared" si="9"/>
        <v>7.1451586917995816E-2</v>
      </c>
    </row>
    <row r="282" spans="1:4" x14ac:dyDescent="0.2">
      <c r="A282" s="14">
        <v>41974</v>
      </c>
      <c r="B282" s="18">
        <f>VLOOKUP(A282,Database!A:K,MATCH($A$1,Database!$A$1:$K$1,),)</f>
        <v>26268</v>
      </c>
      <c r="C282" s="15">
        <f t="shared" si="8"/>
        <v>-1.2555446958875272E-2</v>
      </c>
      <c r="D282" s="16">
        <f t="shared" si="9"/>
        <v>5.2572527648661646E-2</v>
      </c>
    </row>
    <row r="283" spans="1:4" x14ac:dyDescent="0.2">
      <c r="A283" s="20">
        <v>42005</v>
      </c>
      <c r="B283" s="18">
        <f>VLOOKUP(A283,Database!A:K,MATCH($A$1,Database!$A$1:$K$1,),)</f>
        <v>26517</v>
      </c>
      <c r="C283" s="15">
        <f t="shared" si="8"/>
        <v>9.4792142530836006E-3</v>
      </c>
      <c r="D283" s="16">
        <f t="shared" si="9"/>
        <v>6.6138629784496625E-2</v>
      </c>
    </row>
    <row r="284" spans="1:4" x14ac:dyDescent="0.2">
      <c r="A284" s="14">
        <v>42036</v>
      </c>
      <c r="B284" s="18">
        <f>VLOOKUP(A284,Database!A:K,MATCH($A$1,Database!$A$1:$K$1,),)</f>
        <v>25555</v>
      </c>
      <c r="C284" s="15">
        <f t="shared" si="8"/>
        <v>-3.6278613719500696E-2</v>
      </c>
      <c r="D284" s="16">
        <f t="shared" si="9"/>
        <v>2.9737679816254987E-2</v>
      </c>
    </row>
    <row r="285" spans="1:4" x14ac:dyDescent="0.2">
      <c r="A285" s="20">
        <v>42064</v>
      </c>
      <c r="B285" s="18">
        <f>VLOOKUP(A285,Database!A:K,MATCH($A$1,Database!$A$1:$K$1,),)</f>
        <v>26534</v>
      </c>
      <c r="C285" s="15">
        <f t="shared" si="8"/>
        <v>3.8309528468010175E-2</v>
      </c>
      <c r="D285" s="16">
        <f t="shared" si="9"/>
        <v>4.952139862352662E-2</v>
      </c>
    </row>
    <row r="286" spans="1:4" x14ac:dyDescent="0.2">
      <c r="A286" s="14">
        <v>42095</v>
      </c>
      <c r="B286" s="18">
        <f>VLOOKUP(A286,Database!A:K,MATCH($A$1,Database!$A$1:$K$1,),)</f>
        <v>26690</v>
      </c>
      <c r="C286" s="15">
        <f t="shared" si="8"/>
        <v>5.8792492650938423E-3</v>
      </c>
      <c r="D286" s="16">
        <f t="shared" si="9"/>
        <v>2.1744123727126561E-2</v>
      </c>
    </row>
    <row r="287" spans="1:4" x14ac:dyDescent="0.2">
      <c r="A287" s="20">
        <v>42125</v>
      </c>
      <c r="B287" s="18">
        <f>VLOOKUP(A287,Database!A:K,MATCH($A$1,Database!$A$1:$K$1,),)</f>
        <v>26826</v>
      </c>
      <c r="C287" s="15">
        <f t="shared" si="8"/>
        <v>5.0955414012738851E-3</v>
      </c>
      <c r="D287" s="16">
        <f t="shared" si="9"/>
        <v>1.3640657472133005E-2</v>
      </c>
    </row>
    <row r="288" spans="1:4" x14ac:dyDescent="0.2">
      <c r="A288" s="14">
        <v>42156</v>
      </c>
      <c r="B288" s="18">
        <f>VLOOKUP(A288,Database!A:K,MATCH($A$1,Database!$A$1:$K$1,),)</f>
        <v>26570</v>
      </c>
      <c r="C288" s="15">
        <f t="shared" si="8"/>
        <v>-9.5429806903750101E-3</v>
      </c>
      <c r="D288" s="16">
        <f t="shared" si="9"/>
        <v>-1.8782870022539444E-3</v>
      </c>
    </row>
    <row r="289" spans="1:4" x14ac:dyDescent="0.2">
      <c r="A289" s="20">
        <v>42186</v>
      </c>
      <c r="B289" s="18">
        <f>VLOOKUP(A289,Database!A:K,MATCH($A$1,Database!$A$1:$K$1,),)</f>
        <v>27326</v>
      </c>
      <c r="C289" s="15">
        <f t="shared" si="8"/>
        <v>2.8453142642077531E-2</v>
      </c>
      <c r="D289" s="16">
        <f t="shared" si="9"/>
        <v>4.7615396411593312E-2</v>
      </c>
    </row>
    <row r="290" spans="1:4" x14ac:dyDescent="0.2">
      <c r="A290" s="14">
        <v>42217</v>
      </c>
      <c r="B290" s="18">
        <f>VLOOKUP(A290,Database!A:K,MATCH($A$1,Database!$A$1:$K$1,),)</f>
        <v>27385</v>
      </c>
      <c r="C290" s="15">
        <f t="shared" si="8"/>
        <v>2.1591158603527774E-3</v>
      </c>
      <c r="D290" s="16">
        <f t="shared" si="9"/>
        <v>3.0712484474387444E-2</v>
      </c>
    </row>
    <row r="291" spans="1:4" x14ac:dyDescent="0.2">
      <c r="A291" s="20">
        <v>42248</v>
      </c>
      <c r="B291" s="18">
        <f>VLOOKUP(A291,Database!A:K,MATCH($A$1,Database!$A$1:$K$1,),)</f>
        <v>27138</v>
      </c>
      <c r="C291" s="15">
        <f t="shared" si="8"/>
        <v>-9.0195362424685052E-3</v>
      </c>
      <c r="D291" s="16">
        <f t="shared" si="9"/>
        <v>2.4307390352532651E-2</v>
      </c>
    </row>
    <row r="292" spans="1:4" x14ac:dyDescent="0.2">
      <c r="A292" s="14">
        <v>42278</v>
      </c>
      <c r="B292" s="18">
        <f>VLOOKUP(A292,Database!A:K,MATCH($A$1,Database!$A$1:$K$1,),)</f>
        <v>27331</v>
      </c>
      <c r="C292" s="15">
        <f t="shared" si="8"/>
        <v>7.1117989534969419E-3</v>
      </c>
      <c r="D292" s="16">
        <f t="shared" si="9"/>
        <v>3.2800513925102977E-2</v>
      </c>
    </row>
    <row r="293" spans="1:4" x14ac:dyDescent="0.2">
      <c r="A293" s="20">
        <v>42309</v>
      </c>
      <c r="B293" s="18">
        <f>VLOOKUP(A293,Database!A:K,MATCH($A$1,Database!$A$1:$K$1,),)</f>
        <v>27638</v>
      </c>
      <c r="C293" s="15">
        <f t="shared" si="8"/>
        <v>1.123266620321247E-2</v>
      </c>
      <c r="D293" s="16">
        <f t="shared" si="9"/>
        <v>3.8944440267649046E-2</v>
      </c>
    </row>
    <row r="294" spans="1:4" x14ac:dyDescent="0.2">
      <c r="A294" s="14">
        <v>42339</v>
      </c>
      <c r="B294" s="18">
        <f>VLOOKUP(A294,Database!A:K,MATCH($A$1,Database!$A$1:$K$1,),)</f>
        <v>28165</v>
      </c>
      <c r="C294" s="15">
        <f t="shared" si="8"/>
        <v>1.9067949924017658E-2</v>
      </c>
      <c r="D294" s="16">
        <f t="shared" si="9"/>
        <v>7.2217146337749352E-2</v>
      </c>
    </row>
    <row r="295" spans="1:4" x14ac:dyDescent="0.2">
      <c r="A295" s="20">
        <v>42370</v>
      </c>
      <c r="B295" s="18">
        <f>VLOOKUP(A295,Database!A:K,MATCH($A$1,Database!$A$1:$K$1,),)</f>
        <v>28215</v>
      </c>
      <c r="C295" s="15">
        <f t="shared" si="8"/>
        <v>1.7752529735487307E-3</v>
      </c>
      <c r="D295" s="16">
        <f t="shared" si="9"/>
        <v>6.4034393030885844E-2</v>
      </c>
    </row>
    <row r="296" spans="1:4" x14ac:dyDescent="0.2">
      <c r="A296" s="14">
        <v>42401</v>
      </c>
      <c r="B296" s="18">
        <f>VLOOKUP(A296,Database!A:K,MATCH($A$1,Database!$A$1:$K$1,),)</f>
        <v>28260</v>
      </c>
      <c r="C296" s="15">
        <f t="shared" si="8"/>
        <v>1.594896331738437E-3</v>
      </c>
      <c r="D296" s="16">
        <f t="shared" si="9"/>
        <v>0.10585012717667776</v>
      </c>
    </row>
    <row r="297" spans="1:4" x14ac:dyDescent="0.2">
      <c r="A297" s="20">
        <v>42430</v>
      </c>
      <c r="B297" s="18">
        <f>VLOOKUP(A297,Database!A:K,MATCH($A$1,Database!$A$1:$K$1,),)</f>
        <v>28956</v>
      </c>
      <c r="C297" s="15">
        <f t="shared" si="8"/>
        <v>2.4628450106157114E-2</v>
      </c>
      <c r="D297" s="16">
        <f t="shared" si="9"/>
        <v>9.1279113590110803E-2</v>
      </c>
    </row>
    <row r="298" spans="1:4" x14ac:dyDescent="0.2">
      <c r="A298" s="14">
        <v>42461</v>
      </c>
      <c r="B298" s="18">
        <f>VLOOKUP(A298,Database!A:K,MATCH($A$1,Database!$A$1:$K$1,),)</f>
        <v>27956</v>
      </c>
      <c r="C298" s="15">
        <f t="shared" si="8"/>
        <v>-3.4535156789611825E-2</v>
      </c>
      <c r="D298" s="16">
        <f t="shared" si="9"/>
        <v>4.7433495691270137E-2</v>
      </c>
    </row>
    <row r="299" spans="1:4" x14ac:dyDescent="0.2">
      <c r="A299" s="20">
        <v>42491</v>
      </c>
      <c r="B299" s="18">
        <f>VLOOKUP(A299,Database!A:K,MATCH($A$1,Database!$A$1:$K$1,),)</f>
        <v>27608</v>
      </c>
      <c r="C299" s="15">
        <f t="shared" si="8"/>
        <v>-1.2448132780082987E-2</v>
      </c>
      <c r="D299" s="16">
        <f t="shared" si="9"/>
        <v>2.9150823827629912E-2</v>
      </c>
    </row>
    <row r="300" spans="1:4" x14ac:dyDescent="0.2">
      <c r="A300" s="14">
        <v>42522</v>
      </c>
      <c r="B300" s="18">
        <f>VLOOKUP(A300,Database!A:K,MATCH($A$1,Database!$A$1:$K$1,),)</f>
        <v>28271</v>
      </c>
      <c r="C300" s="15">
        <f t="shared" si="8"/>
        <v>2.4014778325123151E-2</v>
      </c>
      <c r="D300" s="16">
        <f t="shared" si="9"/>
        <v>6.4019570944674448E-2</v>
      </c>
    </row>
    <row r="301" spans="1:4" x14ac:dyDescent="0.2">
      <c r="A301" s="20">
        <v>42552</v>
      </c>
      <c r="B301" s="18">
        <f>VLOOKUP(A301,Database!A:K,MATCH($A$1,Database!$A$1:$K$1,),)</f>
        <v>27969</v>
      </c>
      <c r="C301" s="15">
        <f t="shared" si="8"/>
        <v>-1.0682324643627747E-2</v>
      </c>
      <c r="D301" s="16">
        <f t="shared" si="9"/>
        <v>2.35307033594379E-2</v>
      </c>
    </row>
    <row r="302" spans="1:4" x14ac:dyDescent="0.2">
      <c r="A302" s="14">
        <v>42583</v>
      </c>
      <c r="B302" s="18">
        <f>VLOOKUP(A302,Database!A:K,MATCH($A$1,Database!$A$1:$K$1,),)</f>
        <v>27846</v>
      </c>
      <c r="C302" s="15">
        <f t="shared" si="8"/>
        <v>-4.3977260538453286E-3</v>
      </c>
      <c r="D302" s="16">
        <f t="shared" si="9"/>
        <v>1.6834033229870368E-2</v>
      </c>
    </row>
    <row r="303" spans="1:4" x14ac:dyDescent="0.2">
      <c r="A303" s="20">
        <v>42614</v>
      </c>
      <c r="B303" s="18">
        <f>VLOOKUP(A303,Database!A:K,MATCH($A$1,Database!$A$1:$K$1,),)</f>
        <v>27876</v>
      </c>
      <c r="C303" s="15">
        <f t="shared" si="8"/>
        <v>1.0773540185304892E-3</v>
      </c>
      <c r="D303" s="16">
        <f t="shared" si="9"/>
        <v>2.7194340039796594E-2</v>
      </c>
    </row>
    <row r="304" spans="1:4" x14ac:dyDescent="0.2">
      <c r="A304" s="14">
        <v>42644</v>
      </c>
      <c r="B304" s="18">
        <f>VLOOKUP(A304,Database!A:K,MATCH($A$1,Database!$A$1:$K$1,),)</f>
        <v>28050</v>
      </c>
      <c r="C304" s="15">
        <f t="shared" si="8"/>
        <v>6.241928540680155E-3</v>
      </c>
      <c r="D304" s="16">
        <f t="shared" si="9"/>
        <v>2.630712377885917E-2</v>
      </c>
    </row>
    <row r="305" spans="1:4" x14ac:dyDescent="0.2">
      <c r="A305" s="20">
        <v>42675</v>
      </c>
      <c r="B305" s="18">
        <f>VLOOKUP(A305,Database!A:K,MATCH($A$1,Database!$A$1:$K$1,),)</f>
        <v>28206</v>
      </c>
      <c r="C305" s="15">
        <f t="shared" si="8"/>
        <v>5.5614973262032089E-3</v>
      </c>
      <c r="D305" s="16">
        <f t="shared" si="9"/>
        <v>2.0551414718865329E-2</v>
      </c>
    </row>
    <row r="306" spans="1:4" x14ac:dyDescent="0.2">
      <c r="A306" s="14">
        <v>42705</v>
      </c>
      <c r="B306" s="18">
        <f>VLOOKUP(A306,Database!A:K,MATCH($A$1,Database!$A$1:$K$1,),)</f>
        <v>28155</v>
      </c>
      <c r="C306" s="15">
        <f t="shared" si="8"/>
        <v>-1.8081259306530525E-3</v>
      </c>
      <c r="D306" s="16">
        <f t="shared" si="9"/>
        <v>-3.5505059470974611E-4</v>
      </c>
    </row>
    <row r="307" spans="1:4" x14ac:dyDescent="0.2">
      <c r="A307" s="20">
        <v>42736</v>
      </c>
      <c r="B307" s="18">
        <f>VLOOKUP(A307,Database!A:K,MATCH($A$1,Database!$A$1:$K$1,),)</f>
        <v>28685</v>
      </c>
      <c r="C307" s="15">
        <f t="shared" si="8"/>
        <v>1.8824365121648021E-2</v>
      </c>
      <c r="D307" s="16">
        <f t="shared" si="9"/>
        <v>1.6657806131490344E-2</v>
      </c>
    </row>
    <row r="308" spans="1:4" x14ac:dyDescent="0.2">
      <c r="A308" s="14">
        <v>42767</v>
      </c>
      <c r="B308" s="18">
        <f>VLOOKUP(A308,Database!A:K,MATCH($A$1,Database!$A$1:$K$1,),)</f>
        <v>28943</v>
      </c>
      <c r="C308" s="15">
        <f t="shared" si="8"/>
        <v>8.9942478647376672E-3</v>
      </c>
      <c r="D308" s="16">
        <f t="shared" si="9"/>
        <v>2.4168435951875442E-2</v>
      </c>
    </row>
    <row r="309" spans="1:4" x14ac:dyDescent="0.2">
      <c r="A309" s="20">
        <v>42795</v>
      </c>
      <c r="B309" s="18">
        <f>VLOOKUP(A309,Database!A:K,MATCH($A$1,Database!$A$1:$K$1,),)</f>
        <v>28755</v>
      </c>
      <c r="C309" s="15">
        <f t="shared" si="8"/>
        <v>-6.4955256884220713E-3</v>
      </c>
      <c r="D309" s="16">
        <f t="shared" si="9"/>
        <v>-6.9415665147119767E-3</v>
      </c>
    </row>
    <row r="310" spans="1:4" x14ac:dyDescent="0.2">
      <c r="A310" s="14">
        <v>42826</v>
      </c>
      <c r="B310" s="18">
        <f>VLOOKUP(A310,Database!A:K,MATCH($A$1,Database!$A$1:$K$1,),)</f>
        <v>29063</v>
      </c>
      <c r="C310" s="15">
        <f t="shared" si="8"/>
        <v>1.0711180664232307E-2</v>
      </c>
      <c r="D310" s="16">
        <f t="shared" si="9"/>
        <v>3.9597939619401917E-2</v>
      </c>
    </row>
    <row r="311" spans="1:4" x14ac:dyDescent="0.2">
      <c r="A311" s="20">
        <v>42856</v>
      </c>
      <c r="B311" s="18">
        <f>VLOOKUP(A311,Database!A:K,MATCH($A$1,Database!$A$1:$K$1,),)</f>
        <v>28764</v>
      </c>
      <c r="C311" s="15">
        <f t="shared" si="8"/>
        <v>-1.0287995045246533E-2</v>
      </c>
      <c r="D311" s="16">
        <f t="shared" si="9"/>
        <v>4.1871921182266007E-2</v>
      </c>
    </row>
    <row r="312" spans="1:4" x14ac:dyDescent="0.2">
      <c r="A312" s="14">
        <v>42887</v>
      </c>
      <c r="B312" s="18">
        <f>VLOOKUP(A312,Database!A:K,MATCH($A$1,Database!$A$1:$K$1,),)</f>
        <v>28720</v>
      </c>
      <c r="C312" s="15">
        <f t="shared" si="8"/>
        <v>-1.5296898901404534E-3</v>
      </c>
      <c r="D312" s="16">
        <f t="shared" si="9"/>
        <v>1.5881999221817409E-2</v>
      </c>
    </row>
    <row r="313" spans="1:4" x14ac:dyDescent="0.2">
      <c r="A313" s="20">
        <v>42917</v>
      </c>
      <c r="B313" s="18">
        <f>VLOOKUP(A313,Database!A:K,MATCH($A$1,Database!$A$1:$K$1,),)</f>
        <v>28838</v>
      </c>
      <c r="C313" s="15">
        <f t="shared" si="8"/>
        <v>4.1086350974930365E-3</v>
      </c>
      <c r="D313" s="16">
        <f t="shared" si="9"/>
        <v>3.1070113339769029E-2</v>
      </c>
    </row>
    <row r="314" spans="1:4" x14ac:dyDescent="0.2">
      <c r="A314" s="14">
        <v>42948</v>
      </c>
      <c r="B314" s="18">
        <f>VLOOKUP(A314,Database!A:K,MATCH($A$1,Database!$A$1:$K$1,),)</f>
        <v>28843</v>
      </c>
      <c r="C314" s="15">
        <f t="shared" si="8"/>
        <v>1.7338234274221514E-4</v>
      </c>
      <c r="D314" s="16">
        <f t="shared" si="9"/>
        <v>3.5804065215829919E-2</v>
      </c>
    </row>
    <row r="315" spans="1:4" x14ac:dyDescent="0.2">
      <c r="A315" s="20">
        <v>42979</v>
      </c>
      <c r="B315" s="18">
        <f>VLOOKUP(A315,Database!A:K,MATCH($A$1,Database!$A$1:$K$1,),)</f>
        <v>29763</v>
      </c>
      <c r="C315" s="15">
        <f t="shared" si="8"/>
        <v>3.1896820719065286E-2</v>
      </c>
      <c r="D315" s="16">
        <f t="shared" si="9"/>
        <v>6.7692638829100302E-2</v>
      </c>
    </row>
    <row r="316" spans="1:4" x14ac:dyDescent="0.2">
      <c r="A316" s="14">
        <v>43009</v>
      </c>
      <c r="B316" s="18">
        <f>VLOOKUP(A316,Database!A:K,MATCH($A$1,Database!$A$1:$K$1,),)</f>
        <v>29561</v>
      </c>
      <c r="C316" s="15">
        <f t="shared" si="8"/>
        <v>-6.7869502402311595E-3</v>
      </c>
      <c r="D316" s="16">
        <f t="shared" si="9"/>
        <v>5.3868092691622106E-2</v>
      </c>
    </row>
    <row r="317" spans="1:4" x14ac:dyDescent="0.2">
      <c r="A317" s="20">
        <v>43040</v>
      </c>
      <c r="B317" s="18">
        <f>VLOOKUP(A317,Database!A:K,MATCH($A$1,Database!$A$1:$K$1,),)</f>
        <v>29948</v>
      </c>
      <c r="C317" s="15">
        <f t="shared" si="8"/>
        <v>1.3091573356787659E-2</v>
      </c>
      <c r="D317" s="16">
        <f t="shared" si="9"/>
        <v>6.1759909239168971E-2</v>
      </c>
    </row>
    <row r="318" spans="1:4" x14ac:dyDescent="0.2">
      <c r="A318" s="14">
        <v>43070</v>
      </c>
      <c r="B318" s="18">
        <f>VLOOKUP(A318,Database!A:K,MATCH($A$1,Database!$A$1:$K$1,),)</f>
        <v>30044</v>
      </c>
      <c r="C318" s="15">
        <f t="shared" si="8"/>
        <v>3.2055562975824765E-3</v>
      </c>
      <c r="D318" s="16">
        <f t="shared" si="9"/>
        <v>6.7092878707156814E-2</v>
      </c>
    </row>
    <row r="319" spans="1:4" x14ac:dyDescent="0.2">
      <c r="A319" s="20">
        <v>43101</v>
      </c>
      <c r="B319" s="18">
        <f>VLOOKUP(A319,Database!A:K,MATCH($A$1,Database!$A$1:$K$1,),)</f>
        <v>29261</v>
      </c>
      <c r="C319" s="15">
        <f t="shared" si="8"/>
        <v>-2.6061776061776062E-2</v>
      </c>
      <c r="D319" s="16">
        <f t="shared" si="9"/>
        <v>2.0080181279414328E-2</v>
      </c>
    </row>
    <row r="320" spans="1:4" x14ac:dyDescent="0.2">
      <c r="A320" s="14">
        <v>43132</v>
      </c>
      <c r="B320" s="18">
        <f>VLOOKUP(A320,Database!A:K,MATCH($A$1,Database!$A$1:$K$1,),)</f>
        <v>30076</v>
      </c>
      <c r="C320" s="15">
        <f t="shared" si="8"/>
        <v>2.7852773316017907E-2</v>
      </c>
      <c r="D320" s="16">
        <f t="shared" si="9"/>
        <v>3.9145907473309607E-2</v>
      </c>
    </row>
    <row r="321" spans="1:4" x14ac:dyDescent="0.2">
      <c r="A321" s="20">
        <v>43160</v>
      </c>
      <c r="B321" s="18">
        <f>VLOOKUP(A321,Database!A:K,MATCH($A$1,Database!$A$1:$K$1,),)</f>
        <v>29792</v>
      </c>
      <c r="C321" s="15">
        <f t="shared" si="8"/>
        <v>-9.442745045883761E-3</v>
      </c>
      <c r="D321" s="16">
        <f t="shared" si="9"/>
        <v>3.6063293340288648E-2</v>
      </c>
    </row>
    <row r="322" spans="1:4" x14ac:dyDescent="0.2">
      <c r="A322" s="14">
        <v>43191</v>
      </c>
      <c r="B322" s="18">
        <f>VLOOKUP(A322,Database!A:K,MATCH($A$1,Database!$A$1:$K$1,),)</f>
        <v>29807</v>
      </c>
      <c r="C322" s="15">
        <f t="shared" si="8"/>
        <v>5.0349087003222345E-4</v>
      </c>
      <c r="D322" s="16">
        <f t="shared" si="9"/>
        <v>2.5599559577469636E-2</v>
      </c>
    </row>
    <row r="323" spans="1:4" x14ac:dyDescent="0.2">
      <c r="A323" s="20">
        <v>43221</v>
      </c>
      <c r="B323" s="18">
        <f>VLOOKUP(A323,Database!A:K,MATCH($A$1,Database!$A$1:$K$1,),)</f>
        <v>30546</v>
      </c>
      <c r="C323" s="15">
        <f t="shared" si="8"/>
        <v>2.4792833898077633E-2</v>
      </c>
      <c r="D323" s="16">
        <f t="shared" si="9"/>
        <v>6.195244055068836E-2</v>
      </c>
    </row>
    <row r="324" spans="1:4" x14ac:dyDescent="0.2">
      <c r="A324" s="14">
        <v>43252</v>
      </c>
      <c r="B324" s="18">
        <f>VLOOKUP(A324,Database!A:K,MATCH($A$1,Database!$A$1:$K$1,),)</f>
        <v>30974</v>
      </c>
      <c r="C324" s="15">
        <f t="shared" si="8"/>
        <v>1.4011654553787729E-2</v>
      </c>
      <c r="D324" s="16">
        <f t="shared" si="9"/>
        <v>7.8481894150417827E-2</v>
      </c>
    </row>
    <row r="325" spans="1:4" x14ac:dyDescent="0.2">
      <c r="A325" s="20">
        <v>43282</v>
      </c>
      <c r="B325" s="18">
        <f>VLOOKUP(A325,Database!A:K,MATCH($A$1,Database!$A$1:$K$1,),)</f>
        <v>30991</v>
      </c>
      <c r="C325" s="15">
        <f t="shared" si="8"/>
        <v>5.4884742041712406E-4</v>
      </c>
      <c r="D325" s="16">
        <f t="shared" si="9"/>
        <v>7.4658436784797833E-2</v>
      </c>
    </row>
    <row r="326" spans="1:4" x14ac:dyDescent="0.2">
      <c r="A326" s="14">
        <v>43313</v>
      </c>
      <c r="B326" s="18">
        <f>VLOOKUP(A326,Database!A:K,MATCH($A$1,Database!$A$1:$K$1,),)</f>
        <v>30601</v>
      </c>
      <c r="C326" s="15">
        <f t="shared" si="8"/>
        <v>-1.2584298667355038E-2</v>
      </c>
      <c r="D326" s="16">
        <f t="shared" si="9"/>
        <v>6.0950663939257362E-2</v>
      </c>
    </row>
    <row r="327" spans="1:4" x14ac:dyDescent="0.2">
      <c r="A327" s="20">
        <v>43344</v>
      </c>
      <c r="B327" s="18">
        <f>VLOOKUP(A327,Database!A:K,MATCH($A$1,Database!$A$1:$K$1,),)</f>
        <v>30735</v>
      </c>
      <c r="C327" s="15">
        <f t="shared" si="8"/>
        <v>4.3789418646449458E-3</v>
      </c>
      <c r="D327" s="16">
        <f t="shared" si="9"/>
        <v>3.2657998185666767E-2</v>
      </c>
    </row>
    <row r="328" spans="1:4" x14ac:dyDescent="0.2">
      <c r="A328" s="14">
        <v>43374</v>
      </c>
      <c r="B328" s="18">
        <f>VLOOKUP(A328,Database!A:K,MATCH($A$1,Database!$A$1:$K$1,),)</f>
        <v>31505</v>
      </c>
      <c r="C328" s="15">
        <f t="shared" ref="C328:C334" si="10">(B328-B327)/B327</f>
        <v>2.5052871319342768E-2</v>
      </c>
      <c r="D328" s="16">
        <f t="shared" si="9"/>
        <v>6.576232197828219E-2</v>
      </c>
    </row>
    <row r="329" spans="1:4" x14ac:dyDescent="0.2">
      <c r="A329" s="20">
        <v>43405</v>
      </c>
      <c r="B329" s="18">
        <f>VLOOKUP(A329,Database!A:K,MATCH($A$1,Database!$A$1:$K$1,),)</f>
        <v>30855</v>
      </c>
      <c r="C329" s="15">
        <f t="shared" si="10"/>
        <v>-2.0631645770512616E-2</v>
      </c>
      <c r="D329" s="16">
        <f t="shared" si="9"/>
        <v>3.0285828769867771E-2</v>
      </c>
    </row>
    <row r="330" spans="1:4" x14ac:dyDescent="0.2">
      <c r="A330" s="14">
        <v>43435</v>
      </c>
      <c r="B330" s="18">
        <f>VLOOKUP(A330,Database!A:K,MATCH($A$1,Database!$A$1:$K$1,),)</f>
        <v>30971</v>
      </c>
      <c r="C330" s="15">
        <f t="shared" si="10"/>
        <v>3.7595203370604439E-3</v>
      </c>
      <c r="D330" s="16">
        <f t="shared" si="9"/>
        <v>3.0854746371987752E-2</v>
      </c>
    </row>
    <row r="331" spans="1:4" x14ac:dyDescent="0.2">
      <c r="A331" s="20">
        <v>43466</v>
      </c>
      <c r="B331" s="18">
        <f>VLOOKUP(A331,Database!A:K,MATCH($A$1,Database!$A$1:$K$1,),)</f>
        <v>32451</v>
      </c>
      <c r="C331" s="15">
        <f t="shared" si="10"/>
        <v>4.7786639114009884E-2</v>
      </c>
      <c r="D331" s="16">
        <f t="shared" si="9"/>
        <v>0.10901883052527254</v>
      </c>
    </row>
    <row r="332" spans="1:4" x14ac:dyDescent="0.2">
      <c r="A332" s="14">
        <v>43497</v>
      </c>
      <c r="B332" s="18">
        <f>VLOOKUP(A332,Database!A:K,MATCH($A$1,Database!$A$1:$K$1,),)</f>
        <v>30745</v>
      </c>
      <c r="C332" s="15">
        <f t="shared" si="10"/>
        <v>-5.2571569443160458E-2</v>
      </c>
      <c r="D332" s="16">
        <f t="shared" si="9"/>
        <v>2.224364942146562E-2</v>
      </c>
    </row>
    <row r="333" spans="1:4" x14ac:dyDescent="0.2">
      <c r="A333" s="20">
        <v>43525</v>
      </c>
      <c r="B333" s="18">
        <f>VLOOKUP(A333,Database!A:K,MATCH($A$1,Database!$A$1:$K$1,),)</f>
        <v>31106</v>
      </c>
      <c r="C333" s="15">
        <f t="shared" si="10"/>
        <v>1.1741746625467555E-2</v>
      </c>
      <c r="D333" s="16">
        <f t="shared" si="9"/>
        <v>4.4105800214822771E-2</v>
      </c>
    </row>
    <row r="334" spans="1:4" x14ac:dyDescent="0.2">
      <c r="A334" s="14">
        <v>43556</v>
      </c>
      <c r="B334" s="37">
        <f>VLOOKUP(A334,Database!A:K,MATCH($A$1,Database!$A$1:$K$1,),)</f>
        <v>30959</v>
      </c>
      <c r="C334" s="38">
        <f t="shared" si="10"/>
        <v>-4.7257763775477397E-3</v>
      </c>
      <c r="D334" s="39">
        <f t="shared" si="9"/>
        <v>3.8648639581306404E-2</v>
      </c>
    </row>
    <row r="335" spans="1:4" x14ac:dyDescent="0.2">
      <c r="A335" s="20">
        <v>43586</v>
      </c>
      <c r="B335" s="18">
        <f>VLOOKUP(A335,Database!A:K,MATCH($A$1,Database!$A$1:$K$1,),)</f>
        <v>30338</v>
      </c>
      <c r="C335" s="15">
        <f t="shared" ref="C335:C336" si="11">(B335-B334)/B334</f>
        <v>-2.0058787428534515E-2</v>
      </c>
      <c r="D335" s="16">
        <f t="shared" ref="D335:D336" si="12">(B335-B323)/B323</f>
        <v>-6.8094022130557189E-3</v>
      </c>
    </row>
    <row r="336" spans="1:4" x14ac:dyDescent="0.2">
      <c r="A336" s="14">
        <v>43617</v>
      </c>
      <c r="B336" s="37">
        <f>VLOOKUP(A336,Database!A:K,MATCH($A$1,Database!$A$1:$K$1,),)</f>
        <v>30385</v>
      </c>
      <c r="C336" s="38">
        <f t="shared" si="11"/>
        <v>1.5492122091106863E-3</v>
      </c>
      <c r="D336" s="39">
        <f t="shared" si="12"/>
        <v>-1.9015948860334475E-2</v>
      </c>
    </row>
    <row r="337" spans="1:4" x14ac:dyDescent="0.2">
      <c r="A337" s="20">
        <v>43647</v>
      </c>
      <c r="B337" s="18">
        <f>VLOOKUP(A337,Database!A:K,MATCH($A$1,Database!$A$1:$K$1,),)</f>
        <v>30679</v>
      </c>
      <c r="C337" s="15">
        <f t="shared" ref="C337:C338" si="13">(B337-B336)/B336</f>
        <v>9.6758268882672378E-3</v>
      </c>
      <c r="D337" s="16">
        <f t="shared" ref="D337:D338" si="14">(B337-B325)/B325</f>
        <v>-1.0067438933884031E-2</v>
      </c>
    </row>
    <row r="338" spans="1:4" x14ac:dyDescent="0.2">
      <c r="A338" s="14">
        <v>43678</v>
      </c>
      <c r="B338" s="37">
        <f>VLOOKUP(A338,Database!A:K,MATCH($A$1,Database!$A$1:$K$1,),)</f>
        <v>31270</v>
      </c>
      <c r="C338" s="38">
        <f t="shared" si="13"/>
        <v>1.926399165552984E-2</v>
      </c>
      <c r="D338" s="39">
        <f t="shared" si="14"/>
        <v>2.1862030652593054E-2</v>
      </c>
    </row>
    <row r="339" spans="1:4" x14ac:dyDescent="0.2">
      <c r="A339" s="20">
        <v>43709</v>
      </c>
      <c r="B339" s="18">
        <f>VLOOKUP(A339,Database!A:K,MATCH($A$1,Database!$A$1:$K$1,),)</f>
        <v>30806</v>
      </c>
      <c r="C339" s="15">
        <f t="shared" ref="C339:C340" si="15">(B339-B338)/B338</f>
        <v>-1.4838503357850976E-2</v>
      </c>
      <c r="D339" s="16">
        <f t="shared" ref="D339:D340" si="16">(B339-B327)/B327</f>
        <v>2.310069952822515E-3</v>
      </c>
    </row>
    <row r="340" spans="1:4" x14ac:dyDescent="0.2">
      <c r="A340" s="14">
        <v>43739</v>
      </c>
      <c r="B340" s="37">
        <f>VLOOKUP(A340,Database!A:K,MATCH($A$1,Database!$A$1:$K$1,),)</f>
        <v>31118</v>
      </c>
      <c r="C340" s="38">
        <f t="shared" si="15"/>
        <v>1.0127897162890346E-2</v>
      </c>
      <c r="D340" s="39">
        <f t="shared" si="16"/>
        <v>-1.2283764481828281E-2</v>
      </c>
    </row>
    <row r="341" spans="1:4" x14ac:dyDescent="0.2">
      <c r="A341" s="20">
        <v>43770</v>
      </c>
      <c r="B341" s="18">
        <f>VLOOKUP(A341,Database!A:K,MATCH($A$1,Database!$A$1:$K$1,),)</f>
        <v>31312</v>
      </c>
      <c r="C341" s="15">
        <f t="shared" ref="C341:C342" si="17">(B341-B340)/B340</f>
        <v>6.2343338260813681E-3</v>
      </c>
      <c r="D341" s="16">
        <f t="shared" ref="D341:D342" si="18">(B341-B329)/B329</f>
        <v>1.4811213741695025E-2</v>
      </c>
    </row>
    <row r="342" spans="1:4" x14ac:dyDescent="0.2">
      <c r="A342" s="14">
        <v>43800</v>
      </c>
      <c r="B342" s="37">
        <f>VLOOKUP(A342,Database!A:K,MATCH($A$1,Database!$A$1:$K$1,),)</f>
        <v>31952</v>
      </c>
      <c r="C342" s="38">
        <f t="shared" si="17"/>
        <v>2.0439448134900357E-2</v>
      </c>
      <c r="D342" s="39">
        <f t="shared" si="18"/>
        <v>3.1674792547867363E-2</v>
      </c>
    </row>
    <row r="343" spans="1:4" x14ac:dyDescent="0.2">
      <c r="A343" s="20">
        <v>43831</v>
      </c>
      <c r="B343" s="18">
        <f>VLOOKUP(A343,Database!A:K,MATCH($A$1,Database!$A$1:$K$1,),)</f>
        <v>32920</v>
      </c>
      <c r="C343" s="15">
        <f t="shared" ref="C343:C344" si="19">(B343-B342)/B342</f>
        <v>3.029544316474712E-2</v>
      </c>
      <c r="D343" s="16">
        <f t="shared" ref="D343:D344" si="20">(B343-B331)/B331</f>
        <v>1.4452559243166621E-2</v>
      </c>
    </row>
    <row r="344" spans="1:4" x14ac:dyDescent="0.2">
      <c r="A344" s="14">
        <v>43862</v>
      </c>
      <c r="B344" s="37">
        <f>VLOOKUP(A344,Database!A:K,MATCH($A$1,Database!$A$1:$K$1,),)</f>
        <v>32904</v>
      </c>
      <c r="C344" s="38">
        <f t="shared" si="19"/>
        <v>-4.8602673147023087E-4</v>
      </c>
      <c r="D344" s="39">
        <f t="shared" si="20"/>
        <v>7.02228004553586E-2</v>
      </c>
    </row>
    <row r="345" spans="1:4" x14ac:dyDescent="0.2">
      <c r="A345" s="20">
        <v>43891</v>
      </c>
      <c r="B345" s="18">
        <f>VLOOKUP(A345,Database!A:K,MATCH($A$1,Database!$A$1:$K$1,),)</f>
        <v>32810</v>
      </c>
      <c r="C345" s="15">
        <f t="shared" ref="C345:C346" si="21">(B345-B344)/B344</f>
        <v>-2.8567955263797714E-3</v>
      </c>
      <c r="D345" s="16">
        <f t="shared" ref="D345:D346" si="22">(B345-B333)/B333</f>
        <v>5.4780428213206458E-2</v>
      </c>
    </row>
    <row r="346" spans="1:4" x14ac:dyDescent="0.2">
      <c r="A346" s="14">
        <v>43922</v>
      </c>
      <c r="B346" s="37">
        <f>VLOOKUP(A346,Database!A:K,MATCH($A$1,Database!$A$1:$K$1,),)</f>
        <v>32184</v>
      </c>
      <c r="C346" s="38">
        <f t="shared" si="21"/>
        <v>-1.9079548918012799E-2</v>
      </c>
      <c r="D346" s="39">
        <f t="shared" si="22"/>
        <v>3.9568461513614782E-2</v>
      </c>
    </row>
    <row r="347" spans="1:4" x14ac:dyDescent="0.2">
      <c r="A347" s="20">
        <v>43952</v>
      </c>
      <c r="B347" s="18">
        <f>VLOOKUP(A347,Database!A:K,MATCH($A$1,Database!$A$1:$K$1,),)</f>
        <v>35951</v>
      </c>
      <c r="C347" s="15">
        <f t="shared" ref="C347:C348" si="23">(B347-B346)/B346</f>
        <v>0.11704573701217996</v>
      </c>
      <c r="D347" s="16">
        <f t="shared" ref="D347:D348" si="24">(B347-B335)/B335</f>
        <v>0.18501549212209112</v>
      </c>
    </row>
    <row r="348" spans="1:4" x14ac:dyDescent="0.2">
      <c r="A348" s="14">
        <v>43983</v>
      </c>
      <c r="B348" s="37">
        <f>VLOOKUP(A348,Database!A:K,MATCH($A$1,Database!$A$1:$K$1,),)</f>
        <v>36366</v>
      </c>
      <c r="C348" s="38">
        <f t="shared" si="23"/>
        <v>1.1543489749937415E-2</v>
      </c>
      <c r="D348" s="39">
        <f t="shared" si="24"/>
        <v>0.19684054632219844</v>
      </c>
    </row>
    <row r="349" spans="1:4" x14ac:dyDescent="0.2">
      <c r="A349" s="20">
        <v>44013</v>
      </c>
      <c r="B349" s="18">
        <f>VLOOKUP(A349,Database!A:K,MATCH($A$1,Database!$A$1:$K$1,),)</f>
        <v>35906</v>
      </c>
      <c r="C349" s="15">
        <f t="shared" ref="C349:C350" si="25">(B349-B348)/B348</f>
        <v>-1.2649177803442777E-2</v>
      </c>
      <c r="D349" s="16">
        <f t="shared" ref="D349:D350" si="26">(B349-B337)/B337</f>
        <v>0.17037713093647119</v>
      </c>
    </row>
    <row r="350" spans="1:4" x14ac:dyDescent="0.2">
      <c r="A350" s="14">
        <v>44044</v>
      </c>
      <c r="B350" s="37">
        <f>VLOOKUP(A350,Database!A:K,MATCH($A$1,Database!$A$1:$K$1,),)</f>
        <v>36714</v>
      </c>
      <c r="C350" s="38">
        <f t="shared" si="25"/>
        <v>2.2503202807330251E-2</v>
      </c>
      <c r="D350" s="39">
        <f t="shared" si="26"/>
        <v>0.17409657818995844</v>
      </c>
    </row>
    <row r="351" spans="1:4" x14ac:dyDescent="0.2">
      <c r="A351" s="20">
        <v>44075</v>
      </c>
      <c r="B351" s="18">
        <f>VLOOKUP(A351,Database!A:K,MATCH($A$1,Database!$A$1:$K$1,),)</f>
        <v>36676</v>
      </c>
      <c r="C351" s="15">
        <f t="shared" ref="C351:C352" si="27">(B351-B350)/B350</f>
        <v>-1.0350275099417117E-3</v>
      </c>
      <c r="D351" s="16">
        <f t="shared" ref="D351:D352" si="28">(B351-B339)/B339</f>
        <v>0.19054729598130235</v>
      </c>
    </row>
    <row r="352" spans="1:4" x14ac:dyDescent="0.2">
      <c r="A352" s="14">
        <v>44105</v>
      </c>
      <c r="B352" s="37">
        <f>VLOOKUP(A352,Database!A:K,MATCH($A$1,Database!$A$1:$K$1,),)</f>
        <v>36685</v>
      </c>
      <c r="C352" s="38">
        <f t="shared" si="27"/>
        <v>2.4539208201548694E-4</v>
      </c>
      <c r="D352" s="39">
        <f t="shared" si="28"/>
        <v>0.17889967221543801</v>
      </c>
    </row>
    <row r="353" spans="1:4" x14ac:dyDescent="0.2">
      <c r="A353" s="20">
        <v>44136</v>
      </c>
      <c r="B353" s="18">
        <f>VLOOKUP(A353,Database!A:K,MATCH($A$1,Database!$A$1:$K$1,),)</f>
        <v>37002</v>
      </c>
      <c r="C353" s="15">
        <f t="shared" ref="C353:C354" si="29">(B353-B352)/B352</f>
        <v>8.6411339784653127E-3</v>
      </c>
      <c r="D353" s="16">
        <f t="shared" ref="D353:D354" si="30">(B353-B341)/B341</f>
        <v>0.18171946857434848</v>
      </c>
    </row>
    <row r="354" spans="1:4" x14ac:dyDescent="0.2">
      <c r="A354" s="14">
        <v>44166</v>
      </c>
      <c r="B354" s="37">
        <f>VLOOKUP(A354,Database!A:K,MATCH($A$1,Database!$A$1:$K$1,),)</f>
        <v>37099</v>
      </c>
      <c r="C354" s="38">
        <f t="shared" si="29"/>
        <v>2.6214799200043239E-3</v>
      </c>
      <c r="D354" s="39">
        <f t="shared" si="30"/>
        <v>0.16108537806710066</v>
      </c>
    </row>
    <row r="355" spans="1:4" x14ac:dyDescent="0.2">
      <c r="A355" s="20">
        <v>44197</v>
      </c>
      <c r="B355" s="18">
        <f>VLOOKUP(A355,Database!A:K,MATCH($A$1,Database!$A$1:$K$1,),)</f>
        <v>39996</v>
      </c>
      <c r="C355" s="15">
        <f t="shared" ref="C355:C356" si="31">(B355-B354)/B354</f>
        <v>7.8088358176770262E-2</v>
      </c>
      <c r="D355" s="16">
        <f t="shared" ref="D355:D356" si="32">(B355-B343)/B343</f>
        <v>0.2149453219927096</v>
      </c>
    </row>
    <row r="356" spans="1:4" x14ac:dyDescent="0.2">
      <c r="A356" s="14">
        <v>44228</v>
      </c>
      <c r="B356" s="37">
        <f>VLOOKUP(A356,Database!A:K,MATCH($A$1,Database!$A$1:$K$1,),)</f>
        <v>38082</v>
      </c>
      <c r="C356" s="38">
        <f t="shared" si="31"/>
        <v>-4.7854785478547858E-2</v>
      </c>
      <c r="D356" s="39">
        <f t="shared" si="32"/>
        <v>0.1573668854850474</v>
      </c>
    </row>
    <row r="357" spans="1:4" x14ac:dyDescent="0.2">
      <c r="A357" s="20">
        <v>44256</v>
      </c>
      <c r="B357" s="18">
        <f>VLOOKUP(A357,Database!A:K,MATCH($A$1,Database!$A$1:$K$1,),)</f>
        <v>43458</v>
      </c>
      <c r="C357" s="15">
        <f t="shared" ref="C357:C358" si="33">(B357-B356)/B356</f>
        <v>0.14116905624704584</v>
      </c>
      <c r="D357" s="16">
        <f t="shared" ref="D357:D358" si="34">(B357-B345)/B345</f>
        <v>0.32453520268210911</v>
      </c>
    </row>
    <row r="358" spans="1:4" x14ac:dyDescent="0.2">
      <c r="A358" s="14">
        <v>44287</v>
      </c>
      <c r="B358" s="37">
        <f>VLOOKUP(A358,Database!A:K,MATCH($A$1,Database!$A$1:$K$1,),)</f>
        <v>42042</v>
      </c>
      <c r="C358" s="38">
        <f t="shared" si="33"/>
        <v>-3.2583183763633852E-2</v>
      </c>
      <c r="D358" s="39">
        <f t="shared" si="34"/>
        <v>0.30630126771066368</v>
      </c>
    </row>
    <row r="359" spans="1:4" x14ac:dyDescent="0.2">
      <c r="A359" s="20">
        <v>44317</v>
      </c>
      <c r="B359" s="18">
        <f>VLOOKUP(A359,Database!A:K,MATCH($A$1,Database!$A$1:$K$1,),)</f>
        <v>39648</v>
      </c>
      <c r="C359" s="15">
        <f t="shared" ref="C359:C360" si="35">(B359-B358)/B358</f>
        <v>-5.6943056943056944E-2</v>
      </c>
      <c r="D359" s="16">
        <f t="shared" ref="D359:D360" si="36">(B359-B347)/B347</f>
        <v>0.10283441350727379</v>
      </c>
    </row>
    <row r="360" spans="1:4" x14ac:dyDescent="0.2">
      <c r="A360" s="14">
        <v>44348</v>
      </c>
      <c r="B360" s="37">
        <f>VLOOKUP(A360,Database!A:K,MATCH($A$1,Database!$A$1:$K$1,),)</f>
        <v>39095</v>
      </c>
      <c r="C360" s="38">
        <f t="shared" si="35"/>
        <v>-1.394774011299435E-2</v>
      </c>
      <c r="D360" s="39">
        <f t="shared" si="36"/>
        <v>7.5042622229555073E-2</v>
      </c>
    </row>
    <row r="361" spans="1:4" x14ac:dyDescent="0.2">
      <c r="A361" s="20">
        <v>44378</v>
      </c>
      <c r="B361" s="18">
        <f>VLOOKUP(A361,Database!A:K,MATCH($A$1,Database!$A$1:$K$1,),)</f>
        <v>38690</v>
      </c>
      <c r="C361" s="15">
        <f t="shared" ref="C361:C362" si="37">(B361-B360)/B360</f>
        <v>-1.035938099501215E-2</v>
      </c>
      <c r="D361" s="16">
        <f t="shared" ref="D361:D362" si="38">(B361-B349)/B349</f>
        <v>7.7535787890603239E-2</v>
      </c>
    </row>
    <row r="362" spans="1:4" x14ac:dyDescent="0.2">
      <c r="A362" s="14">
        <v>44409</v>
      </c>
      <c r="B362" s="37">
        <f>VLOOKUP(A362,Database!A:K,MATCH($A$1,Database!$A$1:$K$1,),)</f>
        <v>39024</v>
      </c>
      <c r="C362" s="38">
        <f t="shared" si="37"/>
        <v>8.6327216334970269E-3</v>
      </c>
      <c r="D362" s="39">
        <f t="shared" si="38"/>
        <v>6.2918777578035628E-2</v>
      </c>
    </row>
  </sheetData>
  <conditionalFormatting sqref="D19:D362">
    <cfRule type="colorScale" priority="48">
      <colorScale>
        <cfvo type="min"/>
        <cfvo type="percentile" val="50"/>
        <cfvo type="max"/>
        <color rgb="FFF8696B"/>
        <color rgb="FFFFEB84"/>
        <color rgb="FF63BE7B"/>
      </colorScale>
    </cfRule>
  </conditionalFormatting>
  <conditionalFormatting sqref="C8:C362">
    <cfRule type="colorScale" priority="49">
      <colorScale>
        <cfvo type="min"/>
        <cfvo type="percentile" val="50"/>
        <cfvo type="max"/>
        <color rgb="FFF8696B"/>
        <color rgb="FFFFEB84"/>
        <color rgb="FF63BE7B"/>
      </colorScale>
    </cfRule>
  </conditionalFormatting>
  <hyperlinks>
    <hyperlink ref="A2" r:id="rId1" xr:uid="{53039741-4E60-4914-9316-F9726BD584CF}"/>
  </hyperlinks>
  <pageMargins left="0.7" right="0.7" top="0.75" bottom="0.75" header="0.3" footer="0.3"/>
  <drawing r:id="rId2"/>
  <tableParts count="1">
    <tablePart r:id="rId3"/>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CD1B39-81E4-4C24-A37A-A525A9F3E2CA}">
  <sheetPr codeName="Sheet18"/>
  <dimension ref="A1:D362"/>
  <sheetViews>
    <sheetView topLeftCell="A322" zoomScale="150" zoomScaleNormal="150" workbookViewId="0">
      <selection activeCell="A364" sqref="A364"/>
    </sheetView>
  </sheetViews>
  <sheetFormatPr baseColWidth="10" defaultColWidth="9.1640625" defaultRowHeight="15" x14ac:dyDescent="0.2"/>
  <cols>
    <col min="1" max="1" width="14" style="11" customWidth="1"/>
    <col min="2" max="2" width="20.6640625" style="11" customWidth="1"/>
    <col min="3" max="4" width="14.1640625" style="11" customWidth="1"/>
    <col min="5" max="16384" width="9.1640625" style="1"/>
  </cols>
  <sheetData>
    <row r="1" spans="1:4" x14ac:dyDescent="0.2">
      <c r="A1" s="33" t="s">
        <v>74</v>
      </c>
      <c r="B1" s="34" t="s">
        <v>73</v>
      </c>
    </row>
    <row r="2" spans="1:4" x14ac:dyDescent="0.2">
      <c r="A2" s="35"/>
      <c r="B2" s="33"/>
    </row>
    <row r="3" spans="1:4" x14ac:dyDescent="0.2">
      <c r="A3" s="12"/>
    </row>
    <row r="4" spans="1:4" x14ac:dyDescent="0.2">
      <c r="A4" s="12"/>
    </row>
    <row r="5" spans="1:4" ht="16" thickBot="1" x14ac:dyDescent="0.25"/>
    <row r="6" spans="1:4" ht="44.25" customHeight="1" x14ac:dyDescent="0.2">
      <c r="A6" s="106" t="s">
        <v>2</v>
      </c>
      <c r="B6" s="107" t="s">
        <v>3</v>
      </c>
      <c r="C6" s="99" t="s">
        <v>82</v>
      </c>
      <c r="D6" s="100" t="s">
        <v>83</v>
      </c>
    </row>
    <row r="7" spans="1:4" x14ac:dyDescent="0.2">
      <c r="A7" s="13">
        <v>33604</v>
      </c>
      <c r="B7" s="18">
        <f>VLOOKUP(A7,Database!A:K,MATCH($A$1,Database!$A$1:$K$1,),)+VLOOKUP(A7,Database!A:K,MATCH($B$1,Database!$A$1:$K$1,),)</f>
        <v>8128</v>
      </c>
      <c r="C7" s="3"/>
      <c r="D7" s="3"/>
    </row>
    <row r="8" spans="1:4" x14ac:dyDescent="0.2">
      <c r="A8" s="14">
        <v>33635</v>
      </c>
      <c r="B8" s="18">
        <f>VLOOKUP(A8,Database!A:K,MATCH($A$1,Database!$A$1:$K$1,),)+VLOOKUP(A8,Database!A:K,MATCH($B$1,Database!$A$1:$K$1,),)</f>
        <v>8246</v>
      </c>
      <c r="C8" s="15">
        <f>(B8-B7)/B7</f>
        <v>1.4517716535433071E-2</v>
      </c>
      <c r="D8" s="3"/>
    </row>
    <row r="9" spans="1:4" x14ac:dyDescent="0.2">
      <c r="A9" s="13">
        <v>33664</v>
      </c>
      <c r="B9" s="18">
        <f>VLOOKUP(A9,Database!A:K,MATCH($A$1,Database!$A$1:$K$1,),)+VLOOKUP(A9,Database!A:K,MATCH($B$1,Database!$A$1:$K$1,),)</f>
        <v>8246</v>
      </c>
      <c r="C9" s="15">
        <f t="shared" ref="C9:C72" si="0">(B9-B8)/B8</f>
        <v>0</v>
      </c>
      <c r="D9" s="3"/>
    </row>
    <row r="10" spans="1:4" x14ac:dyDescent="0.2">
      <c r="A10" s="14">
        <v>33695</v>
      </c>
      <c r="B10" s="18">
        <f>VLOOKUP(A10,Database!A:K,MATCH($A$1,Database!$A$1:$K$1,),)+VLOOKUP(A10,Database!A:K,MATCH($B$1,Database!$A$1:$K$1,),)</f>
        <v>8317</v>
      </c>
      <c r="C10" s="15">
        <f t="shared" si="0"/>
        <v>8.6102352655833131E-3</v>
      </c>
      <c r="D10" s="3"/>
    </row>
    <row r="11" spans="1:4" x14ac:dyDescent="0.2">
      <c r="A11" s="13">
        <v>33725</v>
      </c>
      <c r="B11" s="18">
        <f>VLOOKUP(A11,Database!A:K,MATCH($A$1,Database!$A$1:$K$1,),)+VLOOKUP(A11,Database!A:K,MATCH($B$1,Database!$A$1:$K$1,),)</f>
        <v>8312</v>
      </c>
      <c r="C11" s="15">
        <f t="shared" si="0"/>
        <v>-6.0117830948659375E-4</v>
      </c>
      <c r="D11" s="3"/>
    </row>
    <row r="12" spans="1:4" x14ac:dyDescent="0.2">
      <c r="A12" s="14">
        <v>33756</v>
      </c>
      <c r="B12" s="18">
        <f>VLOOKUP(A12,Database!A:K,MATCH($A$1,Database!$A$1:$K$1,),)+VLOOKUP(A12,Database!A:K,MATCH($B$1,Database!$A$1:$K$1,),)</f>
        <v>8393</v>
      </c>
      <c r="C12" s="15">
        <f t="shared" si="0"/>
        <v>9.7449470644850825E-3</v>
      </c>
      <c r="D12" s="3"/>
    </row>
    <row r="13" spans="1:4" x14ac:dyDescent="0.2">
      <c r="A13" s="13">
        <v>33786</v>
      </c>
      <c r="B13" s="18">
        <f>VLOOKUP(A13,Database!A:K,MATCH($A$1,Database!$A$1:$K$1,),)+VLOOKUP(A13,Database!A:K,MATCH($B$1,Database!$A$1:$K$1,),)</f>
        <v>8449</v>
      </c>
      <c r="C13" s="15">
        <f t="shared" si="0"/>
        <v>6.672226855713094E-3</v>
      </c>
      <c r="D13" s="3"/>
    </row>
    <row r="14" spans="1:4" x14ac:dyDescent="0.2">
      <c r="A14" s="14">
        <v>33817</v>
      </c>
      <c r="B14" s="18">
        <f>VLOOKUP(A14,Database!A:K,MATCH($A$1,Database!$A$1:$K$1,),)+VLOOKUP(A14,Database!A:K,MATCH($B$1,Database!$A$1:$K$1,),)</f>
        <v>8420</v>
      </c>
      <c r="C14" s="15">
        <f t="shared" si="0"/>
        <v>-3.4323588590365723E-3</v>
      </c>
      <c r="D14" s="3"/>
    </row>
    <row r="15" spans="1:4" x14ac:dyDescent="0.2">
      <c r="A15" s="13">
        <v>33848</v>
      </c>
      <c r="B15" s="18">
        <f>VLOOKUP(A15,Database!A:K,MATCH($A$1,Database!$A$1:$K$1,),)+VLOOKUP(A15,Database!A:K,MATCH($B$1,Database!$A$1:$K$1,),)</f>
        <v>8443</v>
      </c>
      <c r="C15" s="15">
        <f t="shared" si="0"/>
        <v>2.7315914489311165E-3</v>
      </c>
      <c r="D15" s="3"/>
    </row>
    <row r="16" spans="1:4" x14ac:dyDescent="0.2">
      <c r="A16" s="14">
        <v>33878</v>
      </c>
      <c r="B16" s="18">
        <f>VLOOKUP(A16,Database!A:K,MATCH($A$1,Database!$A$1:$K$1,),)+VLOOKUP(A16,Database!A:K,MATCH($B$1,Database!$A$1:$K$1,),)</f>
        <v>8485</v>
      </c>
      <c r="C16" s="15">
        <f t="shared" si="0"/>
        <v>4.9745351178491059E-3</v>
      </c>
      <c r="D16" s="3"/>
    </row>
    <row r="17" spans="1:4" x14ac:dyDescent="0.2">
      <c r="A17" s="13">
        <v>33909</v>
      </c>
      <c r="B17" s="18">
        <f>VLOOKUP(A17,Database!A:K,MATCH($A$1,Database!$A$1:$K$1,),)+VLOOKUP(A17,Database!A:K,MATCH($B$1,Database!$A$1:$K$1,),)</f>
        <v>8486</v>
      </c>
      <c r="C17" s="15">
        <f t="shared" si="0"/>
        <v>1.1785503830288745E-4</v>
      </c>
      <c r="D17" s="3"/>
    </row>
    <row r="18" spans="1:4" x14ac:dyDescent="0.2">
      <c r="A18" s="14">
        <v>33939</v>
      </c>
      <c r="B18" s="18">
        <f>VLOOKUP(A18,Database!A:K,MATCH($A$1,Database!$A$1:$K$1,),)+VLOOKUP(A18,Database!A:K,MATCH($B$1,Database!$A$1:$K$1,),)</f>
        <v>8676</v>
      </c>
      <c r="C18" s="15">
        <f t="shared" si="0"/>
        <v>2.2389818524628801E-2</v>
      </c>
      <c r="D18" s="3"/>
    </row>
    <row r="19" spans="1:4" x14ac:dyDescent="0.2">
      <c r="A19" s="13">
        <v>33970</v>
      </c>
      <c r="B19" s="18">
        <f>VLOOKUP(A19,Database!A:K,MATCH($A$1,Database!$A$1:$K$1,),)+VLOOKUP(A19,Database!A:K,MATCH($B$1,Database!$A$1:$K$1,),)</f>
        <v>9032</v>
      </c>
      <c r="C19" s="15">
        <f t="shared" si="0"/>
        <v>4.103273397879207E-2</v>
      </c>
      <c r="D19" s="16">
        <f>(B19-B7)/B7</f>
        <v>0.11122047244094488</v>
      </c>
    </row>
    <row r="20" spans="1:4" x14ac:dyDescent="0.2">
      <c r="A20" s="14">
        <v>34001</v>
      </c>
      <c r="B20" s="18">
        <f>VLOOKUP(A20,Database!A:K,MATCH($A$1,Database!$A$1:$K$1,),)+VLOOKUP(A20,Database!A:K,MATCH($B$1,Database!$A$1:$K$1,),)</f>
        <v>8850</v>
      </c>
      <c r="C20" s="15">
        <f t="shared" si="0"/>
        <v>-2.0150575730735164E-2</v>
      </c>
      <c r="D20" s="16">
        <f t="shared" ref="D20:D83" si="1">(B20-B8)/B8</f>
        <v>7.3247635217074947E-2</v>
      </c>
    </row>
    <row r="21" spans="1:4" x14ac:dyDescent="0.2">
      <c r="A21" s="13">
        <v>34029</v>
      </c>
      <c r="B21" s="18">
        <f>VLOOKUP(A21,Database!A:K,MATCH($A$1,Database!$A$1:$K$1,),)+VLOOKUP(A21,Database!A:K,MATCH($B$1,Database!$A$1:$K$1,),)</f>
        <v>8846</v>
      </c>
      <c r="C21" s="15">
        <f t="shared" si="0"/>
        <v>-4.519774011299435E-4</v>
      </c>
      <c r="D21" s="16">
        <f t="shared" si="1"/>
        <v>7.2762551540140677E-2</v>
      </c>
    </row>
    <row r="22" spans="1:4" x14ac:dyDescent="0.2">
      <c r="A22" s="14">
        <v>34060</v>
      </c>
      <c r="B22" s="18">
        <f>VLOOKUP(A22,Database!A:K,MATCH($A$1,Database!$A$1:$K$1,),)+VLOOKUP(A22,Database!A:K,MATCH($B$1,Database!$A$1:$K$1,),)</f>
        <v>9024</v>
      </c>
      <c r="C22" s="15">
        <f t="shared" si="0"/>
        <v>2.0122089079810085E-2</v>
      </c>
      <c r="D22" s="16">
        <f t="shared" si="1"/>
        <v>8.5006612961404354E-2</v>
      </c>
    </row>
    <row r="23" spans="1:4" x14ac:dyDescent="0.2">
      <c r="A23" s="13">
        <v>34090</v>
      </c>
      <c r="B23" s="18">
        <f>VLOOKUP(A23,Database!A:K,MATCH($A$1,Database!$A$1:$K$1,),)+VLOOKUP(A23,Database!A:K,MATCH($B$1,Database!$A$1:$K$1,),)</f>
        <v>9127</v>
      </c>
      <c r="C23" s="15">
        <f t="shared" si="0"/>
        <v>1.1414007092198582E-2</v>
      </c>
      <c r="D23" s="16">
        <f t="shared" si="1"/>
        <v>9.8051010587102985E-2</v>
      </c>
    </row>
    <row r="24" spans="1:4" x14ac:dyDescent="0.2">
      <c r="A24" s="14">
        <v>34121</v>
      </c>
      <c r="B24" s="18">
        <f>VLOOKUP(A24,Database!A:K,MATCH($A$1,Database!$A$1:$K$1,),)+VLOOKUP(A24,Database!A:K,MATCH($B$1,Database!$A$1:$K$1,),)</f>
        <v>9176</v>
      </c>
      <c r="C24" s="15">
        <f t="shared" si="0"/>
        <v>5.3686863153281474E-3</v>
      </c>
      <c r="D24" s="16">
        <f t="shared" si="1"/>
        <v>9.3292029071845584E-2</v>
      </c>
    </row>
    <row r="25" spans="1:4" x14ac:dyDescent="0.2">
      <c r="A25" s="13">
        <v>34151</v>
      </c>
      <c r="B25" s="18">
        <f>VLOOKUP(A25,Database!A:K,MATCH($A$1,Database!$A$1:$K$1,),)+VLOOKUP(A25,Database!A:K,MATCH($B$1,Database!$A$1:$K$1,),)</f>
        <v>9282</v>
      </c>
      <c r="C25" s="15">
        <f t="shared" si="0"/>
        <v>1.1551874455100261E-2</v>
      </c>
      <c r="D25" s="16">
        <f t="shared" si="1"/>
        <v>9.8591549295774641E-2</v>
      </c>
    </row>
    <row r="26" spans="1:4" x14ac:dyDescent="0.2">
      <c r="A26" s="14">
        <v>34182</v>
      </c>
      <c r="B26" s="18">
        <f>VLOOKUP(A26,Database!A:K,MATCH($A$1,Database!$A$1:$K$1,),)+VLOOKUP(A26,Database!A:K,MATCH($B$1,Database!$A$1:$K$1,),)</f>
        <v>9312</v>
      </c>
      <c r="C26" s="15">
        <f t="shared" si="0"/>
        <v>3.2320620555914671E-3</v>
      </c>
      <c r="D26" s="16">
        <f t="shared" si="1"/>
        <v>0.10593824228028503</v>
      </c>
    </row>
    <row r="27" spans="1:4" x14ac:dyDescent="0.2">
      <c r="A27" s="13">
        <v>34213</v>
      </c>
      <c r="B27" s="18">
        <f>VLOOKUP(A27,Database!A:K,MATCH($A$1,Database!$A$1:$K$1,),)+VLOOKUP(A27,Database!A:K,MATCH($B$1,Database!$A$1:$K$1,),)</f>
        <v>9369</v>
      </c>
      <c r="C27" s="15">
        <f t="shared" si="0"/>
        <v>6.1211340206185566E-3</v>
      </c>
      <c r="D27" s="16">
        <f t="shared" si="1"/>
        <v>0.10967665521733981</v>
      </c>
    </row>
    <row r="28" spans="1:4" x14ac:dyDescent="0.2">
      <c r="A28" s="14">
        <v>34243</v>
      </c>
      <c r="B28" s="18">
        <f>VLOOKUP(A28,Database!A:K,MATCH($A$1,Database!$A$1:$K$1,),)+VLOOKUP(A28,Database!A:K,MATCH($B$1,Database!$A$1:$K$1,),)</f>
        <v>9373</v>
      </c>
      <c r="C28" s="15">
        <f t="shared" si="0"/>
        <v>4.2693990820791972E-4</v>
      </c>
      <c r="D28" s="16">
        <f t="shared" si="1"/>
        <v>0.10465527401296405</v>
      </c>
    </row>
    <row r="29" spans="1:4" x14ac:dyDescent="0.2">
      <c r="A29" s="13">
        <v>34274</v>
      </c>
      <c r="B29" s="18">
        <f>VLOOKUP(A29,Database!A:K,MATCH($A$1,Database!$A$1:$K$1,),)+VLOOKUP(A29,Database!A:K,MATCH($B$1,Database!$A$1:$K$1,),)</f>
        <v>9434</v>
      </c>
      <c r="C29" s="15">
        <f t="shared" si="0"/>
        <v>6.5080550517443722E-3</v>
      </c>
      <c r="D29" s="16">
        <f t="shared" si="1"/>
        <v>0.11171341032288475</v>
      </c>
    </row>
    <row r="30" spans="1:4" x14ac:dyDescent="0.2">
      <c r="A30" s="14">
        <v>34304</v>
      </c>
      <c r="B30" s="18">
        <f>VLOOKUP(A30,Database!A:K,MATCH($A$1,Database!$A$1:$K$1,),)+VLOOKUP(A30,Database!A:K,MATCH($B$1,Database!$A$1:$K$1,),)</f>
        <v>9487</v>
      </c>
      <c r="C30" s="15">
        <f t="shared" si="0"/>
        <v>5.6179775280898875E-3</v>
      </c>
      <c r="D30" s="16">
        <f t="shared" si="1"/>
        <v>9.347625633932688E-2</v>
      </c>
    </row>
    <row r="31" spans="1:4" x14ac:dyDescent="0.2">
      <c r="A31" s="13">
        <v>34335</v>
      </c>
      <c r="B31" s="18">
        <f>VLOOKUP(A31,Database!A:K,MATCH($A$1,Database!$A$1:$K$1,),)+VLOOKUP(A31,Database!A:K,MATCH($B$1,Database!$A$1:$K$1,),)</f>
        <v>9408</v>
      </c>
      <c r="C31" s="15">
        <f t="shared" si="0"/>
        <v>-8.3271845683566981E-3</v>
      </c>
      <c r="D31" s="16">
        <f t="shared" si="1"/>
        <v>4.1629760850310012E-2</v>
      </c>
    </row>
    <row r="32" spans="1:4" x14ac:dyDescent="0.2">
      <c r="A32" s="14">
        <v>34366</v>
      </c>
      <c r="B32" s="18">
        <f>VLOOKUP(A32,Database!A:K,MATCH($A$1,Database!$A$1:$K$1,),)+VLOOKUP(A32,Database!A:K,MATCH($B$1,Database!$A$1:$K$1,),)</f>
        <v>9724</v>
      </c>
      <c r="C32" s="15">
        <f t="shared" si="0"/>
        <v>3.3588435374149662E-2</v>
      </c>
      <c r="D32" s="16">
        <f t="shared" si="1"/>
        <v>9.8757062146892657E-2</v>
      </c>
    </row>
    <row r="33" spans="1:4" x14ac:dyDescent="0.2">
      <c r="A33" s="13">
        <v>34394</v>
      </c>
      <c r="B33" s="18">
        <f>VLOOKUP(A33,Database!A:K,MATCH($A$1,Database!$A$1:$K$1,),)+VLOOKUP(A33,Database!A:K,MATCH($B$1,Database!$A$1:$K$1,),)</f>
        <v>9962</v>
      </c>
      <c r="C33" s="15">
        <f t="shared" si="0"/>
        <v>2.4475524475524476E-2</v>
      </c>
      <c r="D33" s="16">
        <f t="shared" si="1"/>
        <v>0.1261587158037531</v>
      </c>
    </row>
    <row r="34" spans="1:4" x14ac:dyDescent="0.2">
      <c r="A34" s="14">
        <v>34425</v>
      </c>
      <c r="B34" s="18">
        <f>VLOOKUP(A34,Database!A:K,MATCH($A$1,Database!$A$1:$K$1,),)+VLOOKUP(A34,Database!A:K,MATCH($B$1,Database!$A$1:$K$1,),)</f>
        <v>10006</v>
      </c>
      <c r="C34" s="15">
        <f t="shared" si="0"/>
        <v>4.4167837783577598E-3</v>
      </c>
      <c r="D34" s="16">
        <f t="shared" si="1"/>
        <v>0.1088209219858156</v>
      </c>
    </row>
    <row r="35" spans="1:4" x14ac:dyDescent="0.2">
      <c r="A35" s="13">
        <v>34455</v>
      </c>
      <c r="B35" s="18">
        <f>VLOOKUP(A35,Database!A:K,MATCH($A$1,Database!$A$1:$K$1,),)+VLOOKUP(A35,Database!A:K,MATCH($B$1,Database!$A$1:$K$1,),)</f>
        <v>10156</v>
      </c>
      <c r="C35" s="15">
        <f t="shared" si="0"/>
        <v>1.4991005396761943E-2</v>
      </c>
      <c r="D35" s="16">
        <f t="shared" si="1"/>
        <v>0.11274241262189109</v>
      </c>
    </row>
    <row r="36" spans="1:4" x14ac:dyDescent="0.2">
      <c r="A36" s="14">
        <v>34486</v>
      </c>
      <c r="B36" s="18">
        <f>VLOOKUP(A36,Database!A:K,MATCH($A$1,Database!$A$1:$K$1,),)+VLOOKUP(A36,Database!A:K,MATCH($B$1,Database!$A$1:$K$1,),)</f>
        <v>10331</v>
      </c>
      <c r="C36" s="15">
        <f t="shared" si="0"/>
        <v>1.7231193383221741E-2</v>
      </c>
      <c r="D36" s="16">
        <f t="shared" si="1"/>
        <v>0.12587183958151701</v>
      </c>
    </row>
    <row r="37" spans="1:4" x14ac:dyDescent="0.2">
      <c r="A37" s="13">
        <v>34516</v>
      </c>
      <c r="B37" s="18">
        <f>VLOOKUP(A37,Database!A:K,MATCH($A$1,Database!$A$1:$K$1,),)+VLOOKUP(A37,Database!A:K,MATCH($B$1,Database!$A$1:$K$1,),)</f>
        <v>10376</v>
      </c>
      <c r="C37" s="15">
        <f t="shared" si="0"/>
        <v>4.3558222824508757E-3</v>
      </c>
      <c r="D37" s="16">
        <f t="shared" si="1"/>
        <v>0.11786252962723551</v>
      </c>
    </row>
    <row r="38" spans="1:4" x14ac:dyDescent="0.2">
      <c r="A38" s="14">
        <v>34547</v>
      </c>
      <c r="B38" s="18">
        <f>VLOOKUP(A38,Database!A:K,MATCH($A$1,Database!$A$1:$K$1,),)+VLOOKUP(A38,Database!A:K,MATCH($B$1,Database!$A$1:$K$1,),)</f>
        <v>10576</v>
      </c>
      <c r="C38" s="15">
        <f t="shared" si="0"/>
        <v>1.9275250578257519E-2</v>
      </c>
      <c r="D38" s="16">
        <f t="shared" si="1"/>
        <v>0.13573883161512026</v>
      </c>
    </row>
    <row r="39" spans="1:4" x14ac:dyDescent="0.2">
      <c r="A39" s="13">
        <v>34578</v>
      </c>
      <c r="B39" s="18">
        <f>VLOOKUP(A39,Database!A:K,MATCH($A$1,Database!$A$1:$K$1,),)+VLOOKUP(A39,Database!A:K,MATCH($B$1,Database!$A$1:$K$1,),)</f>
        <v>10685</v>
      </c>
      <c r="C39" s="15">
        <f t="shared" si="0"/>
        <v>1.0306354009077156E-2</v>
      </c>
      <c r="D39" s="16">
        <f t="shared" si="1"/>
        <v>0.1404632298004056</v>
      </c>
    </row>
    <row r="40" spans="1:4" x14ac:dyDescent="0.2">
      <c r="A40" s="14">
        <v>34608</v>
      </c>
      <c r="B40" s="18">
        <f>VLOOKUP(A40,Database!A:K,MATCH($A$1,Database!$A$1:$K$1,),)+VLOOKUP(A40,Database!A:K,MATCH($B$1,Database!$A$1:$K$1,),)</f>
        <v>10895</v>
      </c>
      <c r="C40" s="15">
        <f t="shared" si="0"/>
        <v>1.9653720168460457E-2</v>
      </c>
      <c r="D40" s="16">
        <f t="shared" si="1"/>
        <v>0.16238130801237596</v>
      </c>
    </row>
    <row r="41" spans="1:4" x14ac:dyDescent="0.2">
      <c r="A41" s="13">
        <v>34639</v>
      </c>
      <c r="B41" s="18">
        <f>VLOOKUP(A41,Database!A:K,MATCH($A$1,Database!$A$1:$K$1,),)+VLOOKUP(A41,Database!A:K,MATCH($B$1,Database!$A$1:$K$1,),)</f>
        <v>10952</v>
      </c>
      <c r="C41" s="15">
        <f t="shared" si="0"/>
        <v>5.2317576870123906E-3</v>
      </c>
      <c r="D41" s="16">
        <f t="shared" si="1"/>
        <v>0.16090735637057452</v>
      </c>
    </row>
    <row r="42" spans="1:4" x14ac:dyDescent="0.2">
      <c r="A42" s="14">
        <v>34669</v>
      </c>
      <c r="B42" s="18">
        <f>VLOOKUP(A42,Database!A:K,MATCH($A$1,Database!$A$1:$K$1,),)+VLOOKUP(A42,Database!A:K,MATCH($B$1,Database!$A$1:$K$1,),)</f>
        <v>11088</v>
      </c>
      <c r="C42" s="15">
        <f t="shared" si="0"/>
        <v>1.241782322863404E-2</v>
      </c>
      <c r="D42" s="16">
        <f t="shared" si="1"/>
        <v>0.16875724675872247</v>
      </c>
    </row>
    <row r="43" spans="1:4" x14ac:dyDescent="0.2">
      <c r="A43" s="13">
        <v>34700</v>
      </c>
      <c r="B43" s="18">
        <f>VLOOKUP(A43,Database!A:K,MATCH($A$1,Database!$A$1:$K$1,),)+VLOOKUP(A43,Database!A:K,MATCH($B$1,Database!$A$1:$K$1,),)</f>
        <v>11157</v>
      </c>
      <c r="C43" s="15">
        <f t="shared" si="0"/>
        <v>6.222943722943723E-3</v>
      </c>
      <c r="D43" s="16">
        <f t="shared" si="1"/>
        <v>0.18590561224489796</v>
      </c>
    </row>
    <row r="44" spans="1:4" x14ac:dyDescent="0.2">
      <c r="A44" s="14">
        <v>34731</v>
      </c>
      <c r="B44" s="18">
        <f>VLOOKUP(A44,Database!A:K,MATCH($A$1,Database!$A$1:$K$1,),)+VLOOKUP(A44,Database!A:K,MATCH($B$1,Database!$A$1:$K$1,),)</f>
        <v>10908</v>
      </c>
      <c r="C44" s="15">
        <f t="shared" si="0"/>
        <v>-2.2317827372949718E-2</v>
      </c>
      <c r="D44" s="16">
        <f t="shared" si="1"/>
        <v>0.12176059234882765</v>
      </c>
    </row>
    <row r="45" spans="1:4" x14ac:dyDescent="0.2">
      <c r="A45" s="13">
        <v>34759</v>
      </c>
      <c r="B45" s="18">
        <f>VLOOKUP(A45,Database!A:K,MATCH($A$1,Database!$A$1:$K$1,),)+VLOOKUP(A45,Database!A:K,MATCH($B$1,Database!$A$1:$K$1,),)</f>
        <v>10979</v>
      </c>
      <c r="C45" s="15">
        <f t="shared" si="0"/>
        <v>6.5089842317565087E-3</v>
      </c>
      <c r="D45" s="16">
        <f t="shared" si="1"/>
        <v>0.10208793414976912</v>
      </c>
    </row>
    <row r="46" spans="1:4" x14ac:dyDescent="0.2">
      <c r="A46" s="14">
        <v>34790</v>
      </c>
      <c r="B46" s="18">
        <f>VLOOKUP(A46,Database!A:K,MATCH($A$1,Database!$A$1:$K$1,),)+VLOOKUP(A46,Database!A:K,MATCH($B$1,Database!$A$1:$K$1,),)</f>
        <v>10914</v>
      </c>
      <c r="C46" s="15">
        <f t="shared" si="0"/>
        <v>-5.9203934784588762E-3</v>
      </c>
      <c r="D46" s="16">
        <f t="shared" si="1"/>
        <v>9.0745552668398954E-2</v>
      </c>
    </row>
    <row r="47" spans="1:4" x14ac:dyDescent="0.2">
      <c r="A47" s="13">
        <v>34820</v>
      </c>
      <c r="B47" s="18">
        <f>VLOOKUP(A47,Database!A:K,MATCH($A$1,Database!$A$1:$K$1,),)+VLOOKUP(A47,Database!A:K,MATCH($B$1,Database!$A$1:$K$1,),)</f>
        <v>11172</v>
      </c>
      <c r="C47" s="15">
        <f t="shared" si="0"/>
        <v>2.3639362286970864E-2</v>
      </c>
      <c r="D47" s="16">
        <f t="shared" si="1"/>
        <v>0.10003938558487593</v>
      </c>
    </row>
    <row r="48" spans="1:4" x14ac:dyDescent="0.2">
      <c r="A48" s="14">
        <v>34851</v>
      </c>
      <c r="B48" s="18">
        <f>VLOOKUP(A48,Database!A:K,MATCH($A$1,Database!$A$1:$K$1,),)+VLOOKUP(A48,Database!A:K,MATCH($B$1,Database!$A$1:$K$1,),)</f>
        <v>11217</v>
      </c>
      <c r="C48" s="15">
        <f t="shared" si="0"/>
        <v>4.0279269602577876E-3</v>
      </c>
      <c r="D48" s="16">
        <f t="shared" si="1"/>
        <v>8.5761300938921689E-2</v>
      </c>
    </row>
    <row r="49" spans="1:4" x14ac:dyDescent="0.2">
      <c r="A49" s="13">
        <v>34881</v>
      </c>
      <c r="B49" s="18">
        <f>VLOOKUP(A49,Database!A:K,MATCH($A$1,Database!$A$1:$K$1,),)+VLOOKUP(A49,Database!A:K,MATCH($B$1,Database!$A$1:$K$1,),)</f>
        <v>11283</v>
      </c>
      <c r="C49" s="15">
        <f t="shared" si="0"/>
        <v>5.883926183471516E-3</v>
      </c>
      <c r="D49" s="16">
        <f t="shared" si="1"/>
        <v>8.7413261372397841E-2</v>
      </c>
    </row>
    <row r="50" spans="1:4" x14ac:dyDescent="0.2">
      <c r="A50" s="14">
        <v>34912</v>
      </c>
      <c r="B50" s="18">
        <f>VLOOKUP(A50,Database!A:K,MATCH($A$1,Database!$A$1:$K$1,),)+VLOOKUP(A50,Database!A:K,MATCH($B$1,Database!$A$1:$K$1,),)</f>
        <v>11463</v>
      </c>
      <c r="C50" s="15">
        <f t="shared" si="0"/>
        <v>1.5953203935123637E-2</v>
      </c>
      <c r="D50" s="16">
        <f t="shared" si="1"/>
        <v>8.3869137670196672E-2</v>
      </c>
    </row>
    <row r="51" spans="1:4" x14ac:dyDescent="0.2">
      <c r="A51" s="13">
        <v>34943</v>
      </c>
      <c r="B51" s="18">
        <f>VLOOKUP(A51,Database!A:K,MATCH($A$1,Database!$A$1:$K$1,),)+VLOOKUP(A51,Database!A:K,MATCH($B$1,Database!$A$1:$K$1,),)</f>
        <v>11548</v>
      </c>
      <c r="C51" s="15">
        <f t="shared" si="0"/>
        <v>7.4151618250021811E-3</v>
      </c>
      <c r="D51" s="16">
        <f t="shared" si="1"/>
        <v>8.0767430978006552E-2</v>
      </c>
    </row>
    <row r="52" spans="1:4" x14ac:dyDescent="0.2">
      <c r="A52" s="14">
        <v>34973</v>
      </c>
      <c r="B52" s="18">
        <f>VLOOKUP(A52,Database!A:K,MATCH($A$1,Database!$A$1:$K$1,),)+VLOOKUP(A52,Database!A:K,MATCH($B$1,Database!$A$1:$K$1,),)</f>
        <v>11641</v>
      </c>
      <c r="C52" s="15">
        <f t="shared" si="0"/>
        <v>8.0533425701420167E-3</v>
      </c>
      <c r="D52" s="16">
        <f t="shared" si="1"/>
        <v>6.8471776044056909E-2</v>
      </c>
    </row>
    <row r="53" spans="1:4" x14ac:dyDescent="0.2">
      <c r="A53" s="13">
        <v>35004</v>
      </c>
      <c r="B53" s="18">
        <f>VLOOKUP(A53,Database!A:K,MATCH($A$1,Database!$A$1:$K$1,),)+VLOOKUP(A53,Database!A:K,MATCH($B$1,Database!$A$1:$K$1,),)</f>
        <v>11779</v>
      </c>
      <c r="C53" s="15">
        <f t="shared" si="0"/>
        <v>1.185465166222833E-2</v>
      </c>
      <c r="D53" s="16">
        <f t="shared" si="1"/>
        <v>7.5511322132943759E-2</v>
      </c>
    </row>
    <row r="54" spans="1:4" x14ac:dyDescent="0.2">
      <c r="A54" s="14">
        <v>35034</v>
      </c>
      <c r="B54" s="18">
        <f>VLOOKUP(A54,Database!A:K,MATCH($A$1,Database!$A$1:$K$1,),)+VLOOKUP(A54,Database!A:K,MATCH($B$1,Database!$A$1:$K$1,),)</f>
        <v>11726</v>
      </c>
      <c r="C54" s="15">
        <f t="shared" si="0"/>
        <v>-4.4995330673232026E-3</v>
      </c>
      <c r="D54" s="16">
        <f t="shared" si="1"/>
        <v>5.7539682539682536E-2</v>
      </c>
    </row>
    <row r="55" spans="1:4" x14ac:dyDescent="0.2">
      <c r="A55" s="13">
        <v>35065</v>
      </c>
      <c r="B55" s="18">
        <f>VLOOKUP(A55,Database!A:K,MATCH($A$1,Database!$A$1:$K$1,),)+VLOOKUP(A55,Database!A:K,MATCH($B$1,Database!$A$1:$K$1,),)</f>
        <v>11493</v>
      </c>
      <c r="C55" s="15">
        <f t="shared" si="0"/>
        <v>-1.9870373528910114E-2</v>
      </c>
      <c r="D55" s="16">
        <f t="shared" si="1"/>
        <v>3.0115622479161063E-2</v>
      </c>
    </row>
    <row r="56" spans="1:4" x14ac:dyDescent="0.2">
      <c r="A56" s="14">
        <v>35096</v>
      </c>
      <c r="B56" s="18">
        <f>VLOOKUP(A56,Database!A:K,MATCH($A$1,Database!$A$1:$K$1,),)+VLOOKUP(A56,Database!A:K,MATCH($B$1,Database!$A$1:$K$1,),)</f>
        <v>11594</v>
      </c>
      <c r="C56" s="15">
        <f t="shared" si="0"/>
        <v>8.7879578874097281E-3</v>
      </c>
      <c r="D56" s="16">
        <f t="shared" si="1"/>
        <v>6.2889622295562886E-2</v>
      </c>
    </row>
    <row r="57" spans="1:4" x14ac:dyDescent="0.2">
      <c r="A57" s="13">
        <v>35125</v>
      </c>
      <c r="B57" s="18">
        <f>VLOOKUP(A57,Database!A:K,MATCH($A$1,Database!$A$1:$K$1,),)+VLOOKUP(A57,Database!A:K,MATCH($B$1,Database!$A$1:$K$1,),)</f>
        <v>11931</v>
      </c>
      <c r="C57" s="15">
        <f t="shared" si="0"/>
        <v>2.9066758668276696E-2</v>
      </c>
      <c r="D57" s="16">
        <f t="shared" si="1"/>
        <v>8.6710993715274617E-2</v>
      </c>
    </row>
    <row r="58" spans="1:4" x14ac:dyDescent="0.2">
      <c r="A58" s="14">
        <v>35156</v>
      </c>
      <c r="B58" s="18">
        <f>VLOOKUP(A58,Database!A:K,MATCH($A$1,Database!$A$1:$K$1,),)+VLOOKUP(A58,Database!A:K,MATCH($B$1,Database!$A$1:$K$1,),)</f>
        <v>11968</v>
      </c>
      <c r="C58" s="15">
        <f t="shared" si="0"/>
        <v>3.1011650322688793E-3</v>
      </c>
      <c r="D58" s="16">
        <f t="shared" si="1"/>
        <v>9.657320872274143E-2</v>
      </c>
    </row>
    <row r="59" spans="1:4" x14ac:dyDescent="0.2">
      <c r="A59" s="13">
        <v>35186</v>
      </c>
      <c r="B59" s="18">
        <f>VLOOKUP(A59,Database!A:K,MATCH($A$1,Database!$A$1:$K$1,),)+VLOOKUP(A59,Database!A:K,MATCH($B$1,Database!$A$1:$K$1,),)</f>
        <v>12014</v>
      </c>
      <c r="C59" s="15">
        <f t="shared" si="0"/>
        <v>3.8435828877005349E-3</v>
      </c>
      <c r="D59" s="16">
        <f t="shared" si="1"/>
        <v>7.5366988900823481E-2</v>
      </c>
    </row>
    <row r="60" spans="1:4" x14ac:dyDescent="0.2">
      <c r="A60" s="14">
        <v>35217</v>
      </c>
      <c r="B60" s="18">
        <f>VLOOKUP(A60,Database!A:K,MATCH($A$1,Database!$A$1:$K$1,),)+VLOOKUP(A60,Database!A:K,MATCH($B$1,Database!$A$1:$K$1,),)</f>
        <v>12012</v>
      </c>
      <c r="C60" s="15">
        <f t="shared" si="0"/>
        <v>-1.66472448809722E-4</v>
      </c>
      <c r="D60" s="16">
        <f t="shared" si="1"/>
        <v>7.0874565391815997E-2</v>
      </c>
    </row>
    <row r="61" spans="1:4" x14ac:dyDescent="0.2">
      <c r="A61" s="13">
        <v>35247</v>
      </c>
      <c r="B61" s="18">
        <f>VLOOKUP(A61,Database!A:K,MATCH($A$1,Database!$A$1:$K$1,),)+VLOOKUP(A61,Database!A:K,MATCH($B$1,Database!$A$1:$K$1,),)</f>
        <v>11930</v>
      </c>
      <c r="C61" s="15">
        <f t="shared" si="0"/>
        <v>-6.8265068265068269E-3</v>
      </c>
      <c r="D61" s="16">
        <f t="shared" si="1"/>
        <v>5.734290525569441E-2</v>
      </c>
    </row>
    <row r="62" spans="1:4" x14ac:dyDescent="0.2">
      <c r="A62" s="14">
        <v>35278</v>
      </c>
      <c r="B62" s="18">
        <f>VLOOKUP(A62,Database!A:K,MATCH($A$1,Database!$A$1:$K$1,),)+VLOOKUP(A62,Database!A:K,MATCH($B$1,Database!$A$1:$K$1,),)</f>
        <v>11995</v>
      </c>
      <c r="C62" s="15">
        <f t="shared" si="0"/>
        <v>5.4484492875104774E-3</v>
      </c>
      <c r="D62" s="16">
        <f t="shared" si="1"/>
        <v>4.6410189304719532E-2</v>
      </c>
    </row>
    <row r="63" spans="1:4" x14ac:dyDescent="0.2">
      <c r="A63" s="13">
        <v>35309</v>
      </c>
      <c r="B63" s="18">
        <f>VLOOKUP(A63,Database!A:K,MATCH($A$1,Database!$A$1:$K$1,),)+VLOOKUP(A63,Database!A:K,MATCH($B$1,Database!$A$1:$K$1,),)</f>
        <v>12200</v>
      </c>
      <c r="C63" s="15">
        <f t="shared" si="0"/>
        <v>1.7090454355981659E-2</v>
      </c>
      <c r="D63" s="16">
        <f t="shared" si="1"/>
        <v>5.6459993072393487E-2</v>
      </c>
    </row>
    <row r="64" spans="1:4" x14ac:dyDescent="0.2">
      <c r="A64" s="14">
        <v>35339</v>
      </c>
      <c r="B64" s="18">
        <f>VLOOKUP(A64,Database!A:K,MATCH($A$1,Database!$A$1:$K$1,),)+VLOOKUP(A64,Database!A:K,MATCH($B$1,Database!$A$1:$K$1,),)</f>
        <v>12207</v>
      </c>
      <c r="C64" s="15">
        <f t="shared" si="0"/>
        <v>5.7377049180327869E-4</v>
      </c>
      <c r="D64" s="16">
        <f t="shared" si="1"/>
        <v>4.8621252469719094E-2</v>
      </c>
    </row>
    <row r="65" spans="1:4" x14ac:dyDescent="0.2">
      <c r="A65" s="13">
        <v>35370</v>
      </c>
      <c r="B65" s="18">
        <f>VLOOKUP(A65,Database!A:K,MATCH($A$1,Database!$A$1:$K$1,),)+VLOOKUP(A65,Database!A:K,MATCH($B$1,Database!$A$1:$K$1,),)</f>
        <v>12124</v>
      </c>
      <c r="C65" s="15">
        <f t="shared" si="0"/>
        <v>-6.7993774064061601E-3</v>
      </c>
      <c r="D65" s="16">
        <f t="shared" si="1"/>
        <v>2.9289413362764243E-2</v>
      </c>
    </row>
    <row r="66" spans="1:4" x14ac:dyDescent="0.2">
      <c r="A66" s="14">
        <v>35400</v>
      </c>
      <c r="B66" s="18">
        <f>VLOOKUP(A66,Database!A:K,MATCH($A$1,Database!$A$1:$K$1,),)+VLOOKUP(A66,Database!A:K,MATCH($B$1,Database!$A$1:$K$1,),)</f>
        <v>12051</v>
      </c>
      <c r="C66" s="15">
        <f t="shared" si="0"/>
        <v>-6.0211151435169913E-3</v>
      </c>
      <c r="D66" s="16">
        <f t="shared" si="1"/>
        <v>2.771618625277162E-2</v>
      </c>
    </row>
    <row r="67" spans="1:4" x14ac:dyDescent="0.2">
      <c r="A67" s="13">
        <v>35431</v>
      </c>
      <c r="B67" s="18">
        <f>VLOOKUP(A67,Database!A:K,MATCH($A$1,Database!$A$1:$K$1,),)+VLOOKUP(A67,Database!A:K,MATCH($B$1,Database!$A$1:$K$1,),)</f>
        <v>11951</v>
      </c>
      <c r="C67" s="15">
        <f t="shared" si="0"/>
        <v>-8.2980665504937354E-3</v>
      </c>
      <c r="D67" s="16">
        <f t="shared" si="1"/>
        <v>3.9850343687461931E-2</v>
      </c>
    </row>
    <row r="68" spans="1:4" x14ac:dyDescent="0.2">
      <c r="A68" s="14">
        <v>35462</v>
      </c>
      <c r="B68" s="18">
        <f>VLOOKUP(A68,Database!A:K,MATCH($A$1,Database!$A$1:$K$1,),)+VLOOKUP(A68,Database!A:K,MATCH($B$1,Database!$A$1:$K$1,),)</f>
        <v>12217</v>
      </c>
      <c r="C68" s="15">
        <f t="shared" si="0"/>
        <v>2.2257551669316374E-2</v>
      </c>
      <c r="D68" s="16">
        <f t="shared" si="1"/>
        <v>5.3734690357081248E-2</v>
      </c>
    </row>
    <row r="69" spans="1:4" x14ac:dyDescent="0.2">
      <c r="A69" s="13">
        <v>35490</v>
      </c>
      <c r="B69" s="18">
        <f>VLOOKUP(A69,Database!A:K,MATCH($A$1,Database!$A$1:$K$1,),)+VLOOKUP(A69,Database!A:K,MATCH($B$1,Database!$A$1:$K$1,),)</f>
        <v>12276</v>
      </c>
      <c r="C69" s="15">
        <f t="shared" si="0"/>
        <v>4.8293361709093882E-3</v>
      </c>
      <c r="D69" s="16">
        <f t="shared" si="1"/>
        <v>2.8916268544128741E-2</v>
      </c>
    </row>
    <row r="70" spans="1:4" x14ac:dyDescent="0.2">
      <c r="A70" s="14">
        <v>35521</v>
      </c>
      <c r="B70" s="18">
        <f>VLOOKUP(A70,Database!A:K,MATCH($A$1,Database!$A$1:$K$1,),)+VLOOKUP(A70,Database!A:K,MATCH($B$1,Database!$A$1:$K$1,),)</f>
        <v>12424</v>
      </c>
      <c r="C70" s="15">
        <f t="shared" si="0"/>
        <v>1.2056044314108831E-2</v>
      </c>
      <c r="D70" s="16">
        <f t="shared" si="1"/>
        <v>3.8101604278074866E-2</v>
      </c>
    </row>
    <row r="71" spans="1:4" x14ac:dyDescent="0.2">
      <c r="A71" s="13">
        <v>35551</v>
      </c>
      <c r="B71" s="18">
        <f>VLOOKUP(A71,Database!A:K,MATCH($A$1,Database!$A$1:$K$1,),)+VLOOKUP(A71,Database!A:K,MATCH($B$1,Database!$A$1:$K$1,),)</f>
        <v>12404</v>
      </c>
      <c r="C71" s="15">
        <f t="shared" si="0"/>
        <v>-1.6097875080489374E-3</v>
      </c>
      <c r="D71" s="16">
        <f t="shared" si="1"/>
        <v>3.2462127517895789E-2</v>
      </c>
    </row>
    <row r="72" spans="1:4" x14ac:dyDescent="0.2">
      <c r="A72" s="14">
        <v>35582</v>
      </c>
      <c r="B72" s="18">
        <f>VLOOKUP(A72,Database!A:K,MATCH($A$1,Database!$A$1:$K$1,),)+VLOOKUP(A72,Database!A:K,MATCH($B$1,Database!$A$1:$K$1,),)</f>
        <v>12474</v>
      </c>
      <c r="C72" s="15">
        <f t="shared" si="0"/>
        <v>5.6433408577878106E-3</v>
      </c>
      <c r="D72" s="16">
        <f t="shared" si="1"/>
        <v>3.8461538461538464E-2</v>
      </c>
    </row>
    <row r="73" spans="1:4" x14ac:dyDescent="0.2">
      <c r="A73" s="13">
        <v>35612</v>
      </c>
      <c r="B73" s="18">
        <f>VLOOKUP(A73,Database!A:K,MATCH($A$1,Database!$A$1:$K$1,),)+VLOOKUP(A73,Database!A:K,MATCH($B$1,Database!$A$1:$K$1,),)</f>
        <v>12564</v>
      </c>
      <c r="C73" s="15">
        <f t="shared" ref="C73:C136" si="2">(B73-B72)/B72</f>
        <v>7.215007215007215E-3</v>
      </c>
      <c r="D73" s="16">
        <f t="shared" si="1"/>
        <v>5.3143336127409894E-2</v>
      </c>
    </row>
    <row r="74" spans="1:4" x14ac:dyDescent="0.2">
      <c r="A74" s="14">
        <v>35643</v>
      </c>
      <c r="B74" s="18">
        <f>VLOOKUP(A74,Database!A:K,MATCH($A$1,Database!$A$1:$K$1,),)+VLOOKUP(A74,Database!A:K,MATCH($B$1,Database!$A$1:$K$1,),)</f>
        <v>12687</v>
      </c>
      <c r="C74" s="15">
        <f t="shared" si="2"/>
        <v>9.7898758357211086E-3</v>
      </c>
      <c r="D74" s="16">
        <f t="shared" si="1"/>
        <v>5.7690704460191748E-2</v>
      </c>
    </row>
    <row r="75" spans="1:4" x14ac:dyDescent="0.2">
      <c r="A75" s="13">
        <v>35674</v>
      </c>
      <c r="B75" s="18">
        <f>VLOOKUP(A75,Database!A:K,MATCH($A$1,Database!$A$1:$K$1,),)+VLOOKUP(A75,Database!A:K,MATCH($B$1,Database!$A$1:$K$1,),)</f>
        <v>12721</v>
      </c>
      <c r="C75" s="15">
        <f t="shared" si="2"/>
        <v>2.6799085678253331E-3</v>
      </c>
      <c r="D75" s="16">
        <f t="shared" si="1"/>
        <v>4.2704918032786886E-2</v>
      </c>
    </row>
    <row r="76" spans="1:4" x14ac:dyDescent="0.2">
      <c r="A76" s="14">
        <v>35704</v>
      </c>
      <c r="B76" s="18">
        <f>VLOOKUP(A76,Database!A:K,MATCH($A$1,Database!$A$1:$K$1,),)+VLOOKUP(A76,Database!A:K,MATCH($B$1,Database!$A$1:$K$1,),)</f>
        <v>12726</v>
      </c>
      <c r="C76" s="15">
        <f t="shared" si="2"/>
        <v>3.9305086078138512E-4</v>
      </c>
      <c r="D76" s="16">
        <f t="shared" si="1"/>
        <v>4.2516588842467437E-2</v>
      </c>
    </row>
    <row r="77" spans="1:4" x14ac:dyDescent="0.2">
      <c r="A77" s="13">
        <v>35735</v>
      </c>
      <c r="B77" s="18">
        <f>VLOOKUP(A77,Database!A:K,MATCH($A$1,Database!$A$1:$K$1,),)+VLOOKUP(A77,Database!A:K,MATCH($B$1,Database!$A$1:$K$1,),)</f>
        <v>12895</v>
      </c>
      <c r="C77" s="15">
        <f t="shared" si="2"/>
        <v>1.3279899418513279E-2</v>
      </c>
      <c r="D77" s="16">
        <f t="shared" si="1"/>
        <v>6.3592873639063019E-2</v>
      </c>
    </row>
    <row r="78" spans="1:4" x14ac:dyDescent="0.2">
      <c r="A78" s="14">
        <v>35765</v>
      </c>
      <c r="B78" s="18">
        <f>VLOOKUP(A78,Database!A:K,MATCH($A$1,Database!$A$1:$K$1,),)+VLOOKUP(A78,Database!A:K,MATCH($B$1,Database!$A$1:$K$1,),)</f>
        <v>12949</v>
      </c>
      <c r="C78" s="15">
        <f t="shared" si="2"/>
        <v>4.1876696393951147E-3</v>
      </c>
      <c r="D78" s="16">
        <f t="shared" si="1"/>
        <v>7.4516637623433746E-2</v>
      </c>
    </row>
    <row r="79" spans="1:4" x14ac:dyDescent="0.2">
      <c r="A79" s="13">
        <v>35796</v>
      </c>
      <c r="B79" s="18">
        <f>VLOOKUP(A79,Database!A:K,MATCH($A$1,Database!$A$1:$K$1,),)+VLOOKUP(A79,Database!A:K,MATCH($B$1,Database!$A$1:$K$1,),)</f>
        <v>13153</v>
      </c>
      <c r="C79" s="15">
        <f t="shared" si="2"/>
        <v>1.5754112286663062E-2</v>
      </c>
      <c r="D79" s="16">
        <f t="shared" si="1"/>
        <v>0.10057735754330181</v>
      </c>
    </row>
    <row r="80" spans="1:4" x14ac:dyDescent="0.2">
      <c r="A80" s="14">
        <v>35827</v>
      </c>
      <c r="B80" s="18">
        <f>VLOOKUP(A80,Database!A:K,MATCH($A$1,Database!$A$1:$K$1,),)+VLOOKUP(A80,Database!A:K,MATCH($B$1,Database!$A$1:$K$1,),)</f>
        <v>13139</v>
      </c>
      <c r="C80" s="15">
        <f t="shared" si="2"/>
        <v>-1.0643959552953698E-3</v>
      </c>
      <c r="D80" s="16">
        <f t="shared" si="1"/>
        <v>7.5468609314889093E-2</v>
      </c>
    </row>
    <row r="81" spans="1:4" x14ac:dyDescent="0.2">
      <c r="A81" s="13">
        <v>35855</v>
      </c>
      <c r="B81" s="18">
        <f>VLOOKUP(A81,Database!A:K,MATCH($A$1,Database!$A$1:$K$1,),)+VLOOKUP(A81,Database!A:K,MATCH($B$1,Database!$A$1:$K$1,),)</f>
        <v>13128</v>
      </c>
      <c r="C81" s="15">
        <f t="shared" si="2"/>
        <v>-8.3720222239135403E-4</v>
      </c>
      <c r="D81" s="16">
        <f t="shared" si="1"/>
        <v>6.9403714565004881E-2</v>
      </c>
    </row>
    <row r="82" spans="1:4" x14ac:dyDescent="0.2">
      <c r="A82" s="14">
        <v>35886</v>
      </c>
      <c r="B82" s="18">
        <f>VLOOKUP(A82,Database!A:K,MATCH($A$1,Database!$A$1:$K$1,),)+VLOOKUP(A82,Database!A:K,MATCH($B$1,Database!$A$1:$K$1,),)</f>
        <v>13135</v>
      </c>
      <c r="C82" s="15">
        <f t="shared" si="2"/>
        <v>5.3321145642900669E-4</v>
      </c>
      <c r="D82" s="16">
        <f t="shared" si="1"/>
        <v>5.7227945911139728E-2</v>
      </c>
    </row>
    <row r="83" spans="1:4" x14ac:dyDescent="0.2">
      <c r="A83" s="13">
        <v>35916</v>
      </c>
      <c r="B83" s="18">
        <f>VLOOKUP(A83,Database!A:K,MATCH($A$1,Database!$A$1:$K$1,),)+VLOOKUP(A83,Database!A:K,MATCH($B$1,Database!$A$1:$K$1,),)</f>
        <v>13188</v>
      </c>
      <c r="C83" s="15">
        <f t="shared" si="2"/>
        <v>4.0350209364293874E-3</v>
      </c>
      <c r="D83" s="16">
        <f t="shared" si="1"/>
        <v>6.320541760722348E-2</v>
      </c>
    </row>
    <row r="84" spans="1:4" x14ac:dyDescent="0.2">
      <c r="A84" s="14">
        <v>35947</v>
      </c>
      <c r="B84" s="18">
        <f>VLOOKUP(A84,Database!A:K,MATCH($A$1,Database!$A$1:$K$1,),)+VLOOKUP(A84,Database!A:K,MATCH($B$1,Database!$A$1:$K$1,),)</f>
        <v>13347</v>
      </c>
      <c r="C84" s="15">
        <f t="shared" si="2"/>
        <v>1.2056414922656961E-2</v>
      </c>
      <c r="D84" s="16">
        <f t="shared" ref="D84:D147" si="3">(B84-B72)/B72</f>
        <v>6.9985569985569984E-2</v>
      </c>
    </row>
    <row r="85" spans="1:4" x14ac:dyDescent="0.2">
      <c r="A85" s="13">
        <v>35977</v>
      </c>
      <c r="B85" s="18">
        <f>VLOOKUP(A85,Database!A:K,MATCH($A$1,Database!$A$1:$K$1,),)+VLOOKUP(A85,Database!A:K,MATCH($B$1,Database!$A$1:$K$1,),)</f>
        <v>13407</v>
      </c>
      <c r="C85" s="15">
        <f t="shared" si="2"/>
        <v>4.4953922229714546E-3</v>
      </c>
      <c r="D85" s="16">
        <f t="shared" si="3"/>
        <v>6.709646609360076E-2</v>
      </c>
    </row>
    <row r="86" spans="1:4" x14ac:dyDescent="0.2">
      <c r="A86" s="14">
        <v>36008</v>
      </c>
      <c r="B86" s="18">
        <f>VLOOKUP(A86,Database!A:K,MATCH($A$1,Database!$A$1:$K$1,),)+VLOOKUP(A86,Database!A:K,MATCH($B$1,Database!$A$1:$K$1,),)</f>
        <v>13491</v>
      </c>
      <c r="C86" s="15">
        <f t="shared" si="2"/>
        <v>6.2653837547549784E-3</v>
      </c>
      <c r="D86" s="16">
        <f t="shared" si="3"/>
        <v>6.3371955545046113E-2</v>
      </c>
    </row>
    <row r="87" spans="1:4" x14ac:dyDescent="0.2">
      <c r="A87" s="13">
        <v>36039</v>
      </c>
      <c r="B87" s="18">
        <f>VLOOKUP(A87,Database!A:K,MATCH($A$1,Database!$A$1:$K$1,),)+VLOOKUP(A87,Database!A:K,MATCH($B$1,Database!$A$1:$K$1,),)</f>
        <v>13373</v>
      </c>
      <c r="C87" s="15">
        <f t="shared" si="2"/>
        <v>-8.7465717885998068E-3</v>
      </c>
      <c r="D87" s="16">
        <f t="shared" si="3"/>
        <v>5.1253832245892618E-2</v>
      </c>
    </row>
    <row r="88" spans="1:4" x14ac:dyDescent="0.2">
      <c r="A88" s="14">
        <v>36069</v>
      </c>
      <c r="B88" s="18">
        <f>VLOOKUP(A88,Database!A:K,MATCH($A$1,Database!$A$1:$K$1,),)+VLOOKUP(A88,Database!A:K,MATCH($B$1,Database!$A$1:$K$1,),)</f>
        <v>13444</v>
      </c>
      <c r="C88" s="15">
        <f t="shared" si="2"/>
        <v>5.3092051147835186E-3</v>
      </c>
      <c r="D88" s="16">
        <f t="shared" si="3"/>
        <v>5.6419927707056422E-2</v>
      </c>
    </row>
    <row r="89" spans="1:4" x14ac:dyDescent="0.2">
      <c r="A89" s="13">
        <v>36100</v>
      </c>
      <c r="B89" s="18">
        <f>VLOOKUP(A89,Database!A:K,MATCH($A$1,Database!$A$1:$K$1,),)+VLOOKUP(A89,Database!A:K,MATCH($B$1,Database!$A$1:$K$1,),)</f>
        <v>13666</v>
      </c>
      <c r="C89" s="15">
        <f t="shared" si="2"/>
        <v>1.6512942576614103E-2</v>
      </c>
      <c r="D89" s="16">
        <f t="shared" si="3"/>
        <v>5.9790616518030242E-2</v>
      </c>
    </row>
    <row r="90" spans="1:4" x14ac:dyDescent="0.2">
      <c r="A90" s="14">
        <v>36130</v>
      </c>
      <c r="B90" s="18">
        <f>VLOOKUP(A90,Database!A:K,MATCH($A$1,Database!$A$1:$K$1,),)+VLOOKUP(A90,Database!A:K,MATCH($B$1,Database!$A$1:$K$1,),)</f>
        <v>13651</v>
      </c>
      <c r="C90" s="15">
        <f t="shared" si="2"/>
        <v>-1.0976145177813551E-3</v>
      </c>
      <c r="D90" s="16">
        <f t="shared" si="3"/>
        <v>5.421268051586995E-2</v>
      </c>
    </row>
    <row r="91" spans="1:4" x14ac:dyDescent="0.2">
      <c r="A91" s="13">
        <v>36161</v>
      </c>
      <c r="B91" s="18">
        <f>VLOOKUP(A91,Database!A:K,MATCH($A$1,Database!$A$1:$K$1,),)+VLOOKUP(A91,Database!A:K,MATCH($B$1,Database!$A$1:$K$1,),)</f>
        <v>13617</v>
      </c>
      <c r="C91" s="15">
        <f t="shared" si="2"/>
        <v>-2.4906600249066002E-3</v>
      </c>
      <c r="D91" s="16">
        <f t="shared" si="3"/>
        <v>3.5277123089789399E-2</v>
      </c>
    </row>
    <row r="92" spans="1:4" x14ac:dyDescent="0.2">
      <c r="A92" s="14">
        <v>36192</v>
      </c>
      <c r="B92" s="18">
        <f>VLOOKUP(A92,Database!A:K,MATCH($A$1,Database!$A$1:$K$1,),)+VLOOKUP(A92,Database!A:K,MATCH($B$1,Database!$A$1:$K$1,),)</f>
        <v>13791</v>
      </c>
      <c r="C92" s="15">
        <f t="shared" si="2"/>
        <v>1.277814496585151E-2</v>
      </c>
      <c r="D92" s="16">
        <f t="shared" si="3"/>
        <v>4.962325899992389E-2</v>
      </c>
    </row>
    <row r="93" spans="1:4" x14ac:dyDescent="0.2">
      <c r="A93" s="13">
        <v>36220</v>
      </c>
      <c r="B93" s="18">
        <f>VLOOKUP(A93,Database!A:K,MATCH($A$1,Database!$A$1:$K$1,),)+VLOOKUP(A93,Database!A:K,MATCH($B$1,Database!$A$1:$K$1,),)</f>
        <v>13947</v>
      </c>
      <c r="C93" s="15">
        <f t="shared" si="2"/>
        <v>1.1311725038068305E-2</v>
      </c>
      <c r="D93" s="16">
        <f t="shared" si="3"/>
        <v>6.2385740402193787E-2</v>
      </c>
    </row>
    <row r="94" spans="1:4" x14ac:dyDescent="0.2">
      <c r="A94" s="14">
        <v>36251</v>
      </c>
      <c r="B94" s="18">
        <f>VLOOKUP(A94,Database!A:K,MATCH($A$1,Database!$A$1:$K$1,),)+VLOOKUP(A94,Database!A:K,MATCH($B$1,Database!$A$1:$K$1,),)</f>
        <v>13989</v>
      </c>
      <c r="C94" s="15">
        <f t="shared" si="2"/>
        <v>3.01140030114003E-3</v>
      </c>
      <c r="D94" s="16">
        <f t="shared" si="3"/>
        <v>6.5017129805862203E-2</v>
      </c>
    </row>
    <row r="95" spans="1:4" x14ac:dyDescent="0.2">
      <c r="A95" s="13">
        <v>36281</v>
      </c>
      <c r="B95" s="18">
        <f>VLOOKUP(A95,Database!A:K,MATCH($A$1,Database!$A$1:$K$1,),)+VLOOKUP(A95,Database!A:K,MATCH($B$1,Database!$A$1:$K$1,),)</f>
        <v>14114</v>
      </c>
      <c r="C95" s="15">
        <f t="shared" si="2"/>
        <v>8.9355922510544004E-3</v>
      </c>
      <c r="D95" s="16">
        <f t="shared" si="3"/>
        <v>7.0215347285410984E-2</v>
      </c>
    </row>
    <row r="96" spans="1:4" x14ac:dyDescent="0.2">
      <c r="A96" s="14">
        <v>36312</v>
      </c>
      <c r="B96" s="18">
        <f>VLOOKUP(A96,Database!A:K,MATCH($A$1,Database!$A$1:$K$1,),)+VLOOKUP(A96,Database!A:K,MATCH($B$1,Database!$A$1:$K$1,),)</f>
        <v>14272</v>
      </c>
      <c r="C96" s="15">
        <f t="shared" si="2"/>
        <v>1.1194558594303529E-2</v>
      </c>
      <c r="D96" s="16">
        <f t="shared" si="3"/>
        <v>6.9303963437476593E-2</v>
      </c>
    </row>
    <row r="97" spans="1:4" x14ac:dyDescent="0.2">
      <c r="A97" s="13">
        <v>36342</v>
      </c>
      <c r="B97" s="18">
        <f>VLOOKUP(A97,Database!A:K,MATCH($A$1,Database!$A$1:$K$1,),)+VLOOKUP(A97,Database!A:K,MATCH($B$1,Database!$A$1:$K$1,),)</f>
        <v>14332</v>
      </c>
      <c r="C97" s="15">
        <f t="shared" si="2"/>
        <v>4.2040358744394619E-3</v>
      </c>
      <c r="D97" s="16">
        <f t="shared" si="3"/>
        <v>6.8993809204147091E-2</v>
      </c>
    </row>
    <row r="98" spans="1:4" x14ac:dyDescent="0.2">
      <c r="A98" s="14">
        <v>36373</v>
      </c>
      <c r="B98" s="18">
        <f>VLOOKUP(A98,Database!A:K,MATCH($A$1,Database!$A$1:$K$1,),)+VLOOKUP(A98,Database!A:K,MATCH($B$1,Database!$A$1:$K$1,),)</f>
        <v>14428</v>
      </c>
      <c r="C98" s="15">
        <f t="shared" si="2"/>
        <v>6.6982975160480044E-3</v>
      </c>
      <c r="D98" s="16">
        <f t="shared" si="3"/>
        <v>6.9453709880661185E-2</v>
      </c>
    </row>
    <row r="99" spans="1:4" x14ac:dyDescent="0.2">
      <c r="A99" s="13">
        <v>36404</v>
      </c>
      <c r="B99" s="18">
        <f>VLOOKUP(A99,Database!A:K,MATCH($A$1,Database!$A$1:$K$1,),)+VLOOKUP(A99,Database!A:K,MATCH($B$1,Database!$A$1:$K$1,),)</f>
        <v>14702</v>
      </c>
      <c r="C99" s="15">
        <f t="shared" si="2"/>
        <v>1.8990851122816746E-2</v>
      </c>
      <c r="D99" s="16">
        <f t="shared" si="3"/>
        <v>9.9379346444328123E-2</v>
      </c>
    </row>
    <row r="100" spans="1:4" x14ac:dyDescent="0.2">
      <c r="A100" s="14">
        <v>36434</v>
      </c>
      <c r="B100" s="18">
        <f>VLOOKUP(A100,Database!A:K,MATCH($A$1,Database!$A$1:$K$1,),)+VLOOKUP(A100,Database!A:K,MATCH($B$1,Database!$A$1:$K$1,),)</f>
        <v>14724</v>
      </c>
      <c r="C100" s="15">
        <f t="shared" si="2"/>
        <v>1.4963950482927493E-3</v>
      </c>
      <c r="D100" s="16">
        <f t="shared" si="3"/>
        <v>9.5209759000297531E-2</v>
      </c>
    </row>
    <row r="101" spans="1:4" x14ac:dyDescent="0.2">
      <c r="A101" s="13">
        <v>36465</v>
      </c>
      <c r="B101" s="18">
        <f>VLOOKUP(A101,Database!A:K,MATCH($A$1,Database!$A$1:$K$1,),)+VLOOKUP(A101,Database!A:K,MATCH($B$1,Database!$A$1:$K$1,),)</f>
        <v>14622</v>
      </c>
      <c r="C101" s="15">
        <f t="shared" si="2"/>
        <v>-6.9274653626731865E-3</v>
      </c>
      <c r="D101" s="16">
        <f t="shared" si="3"/>
        <v>6.9954631933265038E-2</v>
      </c>
    </row>
    <row r="102" spans="1:4" x14ac:dyDescent="0.2">
      <c r="A102" s="14">
        <v>36495</v>
      </c>
      <c r="B102" s="18">
        <f>VLOOKUP(A102,Database!A:K,MATCH($A$1,Database!$A$1:$K$1,),)+VLOOKUP(A102,Database!A:K,MATCH($B$1,Database!$A$1:$K$1,),)</f>
        <v>14744</v>
      </c>
      <c r="C102" s="15">
        <f t="shared" si="2"/>
        <v>8.3435918479004244E-3</v>
      </c>
      <c r="D102" s="16">
        <f t="shared" si="3"/>
        <v>8.0067394330085709E-2</v>
      </c>
    </row>
    <row r="103" spans="1:4" x14ac:dyDescent="0.2">
      <c r="A103" s="13">
        <v>36526</v>
      </c>
      <c r="B103" s="18">
        <f>VLOOKUP(A103,Database!A:K,MATCH($A$1,Database!$A$1:$K$1,),)+VLOOKUP(A103,Database!A:K,MATCH($B$1,Database!$A$1:$K$1,),)</f>
        <v>15089</v>
      </c>
      <c r="C103" s="15">
        <f t="shared" si="2"/>
        <v>2.3399348887683125E-2</v>
      </c>
      <c r="D103" s="16">
        <f t="shared" si="3"/>
        <v>0.10810016890651392</v>
      </c>
    </row>
    <row r="104" spans="1:4" x14ac:dyDescent="0.2">
      <c r="A104" s="14">
        <v>36557</v>
      </c>
      <c r="B104" s="18">
        <f>VLOOKUP(A104,Database!A:K,MATCH($A$1,Database!$A$1:$K$1,),)+VLOOKUP(A104,Database!A:K,MATCH($B$1,Database!$A$1:$K$1,),)</f>
        <v>15222</v>
      </c>
      <c r="C104" s="15">
        <f t="shared" si="2"/>
        <v>8.8143680827092591E-3</v>
      </c>
      <c r="D104" s="16">
        <f t="shared" si="3"/>
        <v>0.1037633239068958</v>
      </c>
    </row>
    <row r="105" spans="1:4" x14ac:dyDescent="0.2">
      <c r="A105" s="13">
        <v>36586</v>
      </c>
      <c r="B105" s="18">
        <f>VLOOKUP(A105,Database!A:K,MATCH($A$1,Database!$A$1:$K$1,),)+VLOOKUP(A105,Database!A:K,MATCH($B$1,Database!$A$1:$K$1,),)</f>
        <v>15251</v>
      </c>
      <c r="C105" s="15">
        <f t="shared" si="2"/>
        <v>1.9051373012744712E-3</v>
      </c>
      <c r="D105" s="16">
        <f t="shared" si="3"/>
        <v>9.3496809349680937E-2</v>
      </c>
    </row>
    <row r="106" spans="1:4" x14ac:dyDescent="0.2">
      <c r="A106" s="14">
        <v>36617</v>
      </c>
      <c r="B106" s="18">
        <f>VLOOKUP(A106,Database!A:K,MATCH($A$1,Database!$A$1:$K$1,),)+VLOOKUP(A106,Database!A:K,MATCH($B$1,Database!$A$1:$K$1,),)</f>
        <v>15542</v>
      </c>
      <c r="C106" s="15">
        <f t="shared" si="2"/>
        <v>1.908071601862173E-2</v>
      </c>
      <c r="D106" s="16">
        <f t="shared" si="3"/>
        <v>0.11101579812709986</v>
      </c>
    </row>
    <row r="107" spans="1:4" x14ac:dyDescent="0.2">
      <c r="A107" s="13">
        <v>36647</v>
      </c>
      <c r="B107" s="18">
        <f>VLOOKUP(A107,Database!A:K,MATCH($A$1,Database!$A$1:$K$1,),)+VLOOKUP(A107,Database!A:K,MATCH($B$1,Database!$A$1:$K$1,),)</f>
        <v>15284</v>
      </c>
      <c r="C107" s="15">
        <f t="shared" si="2"/>
        <v>-1.6600180156993952E-2</v>
      </c>
      <c r="D107" s="16">
        <f t="shared" si="3"/>
        <v>8.2896414907184357E-2</v>
      </c>
    </row>
    <row r="108" spans="1:4" x14ac:dyDescent="0.2">
      <c r="A108" s="14">
        <v>36678</v>
      </c>
      <c r="B108" s="18">
        <f>VLOOKUP(A108,Database!A:K,MATCH($A$1,Database!$A$1:$K$1,),)+VLOOKUP(A108,Database!A:K,MATCH($B$1,Database!$A$1:$K$1,),)</f>
        <v>15028</v>
      </c>
      <c r="C108" s="15">
        <f t="shared" si="2"/>
        <v>-1.6749542004710807E-2</v>
      </c>
      <c r="D108" s="16">
        <f t="shared" si="3"/>
        <v>5.297085201793722E-2</v>
      </c>
    </row>
    <row r="109" spans="1:4" x14ac:dyDescent="0.2">
      <c r="A109" s="13">
        <v>36708</v>
      </c>
      <c r="B109" s="18">
        <f>VLOOKUP(A109,Database!A:K,MATCH($A$1,Database!$A$1:$K$1,),)+VLOOKUP(A109,Database!A:K,MATCH($B$1,Database!$A$1:$K$1,),)</f>
        <v>15145</v>
      </c>
      <c r="C109" s="15">
        <f t="shared" si="2"/>
        <v>7.7854671280276812E-3</v>
      </c>
      <c r="D109" s="16">
        <f t="shared" si="3"/>
        <v>5.672620708903154E-2</v>
      </c>
    </row>
    <row r="110" spans="1:4" x14ac:dyDescent="0.2">
      <c r="A110" s="14">
        <v>36739</v>
      </c>
      <c r="B110" s="18">
        <f>VLOOKUP(A110,Database!A:K,MATCH($A$1,Database!$A$1:$K$1,),)+VLOOKUP(A110,Database!A:K,MATCH($B$1,Database!$A$1:$K$1,),)</f>
        <v>15122</v>
      </c>
      <c r="C110" s="15">
        <f t="shared" si="2"/>
        <v>-1.5186530207989435E-3</v>
      </c>
      <c r="D110" s="16">
        <f t="shared" si="3"/>
        <v>4.8100914887718324E-2</v>
      </c>
    </row>
    <row r="111" spans="1:4" x14ac:dyDescent="0.2">
      <c r="A111" s="13">
        <v>36770</v>
      </c>
      <c r="B111" s="18">
        <f>VLOOKUP(A111,Database!A:K,MATCH($A$1,Database!$A$1:$K$1,),)+VLOOKUP(A111,Database!A:K,MATCH($B$1,Database!$A$1:$K$1,),)</f>
        <v>15253</v>
      </c>
      <c r="C111" s="15">
        <f t="shared" si="2"/>
        <v>8.6628752810474809E-3</v>
      </c>
      <c r="D111" s="16">
        <f t="shared" si="3"/>
        <v>3.7477894164059312E-2</v>
      </c>
    </row>
    <row r="112" spans="1:4" x14ac:dyDescent="0.2">
      <c r="A112" s="14">
        <v>36800</v>
      </c>
      <c r="B112" s="18">
        <f>VLOOKUP(A112,Database!A:K,MATCH($A$1,Database!$A$1:$K$1,),)+VLOOKUP(A112,Database!A:K,MATCH($B$1,Database!$A$1:$K$1,),)</f>
        <v>15153</v>
      </c>
      <c r="C112" s="15">
        <f t="shared" si="2"/>
        <v>-6.5560873270831968E-3</v>
      </c>
      <c r="D112" s="16">
        <f t="shared" si="3"/>
        <v>2.9136104319478402E-2</v>
      </c>
    </row>
    <row r="113" spans="1:4" x14ac:dyDescent="0.2">
      <c r="A113" s="13">
        <v>36831</v>
      </c>
      <c r="B113" s="18">
        <f>VLOOKUP(A113,Database!A:K,MATCH($A$1,Database!$A$1:$K$1,),)+VLOOKUP(A113,Database!A:K,MATCH($B$1,Database!$A$1:$K$1,),)</f>
        <v>14972</v>
      </c>
      <c r="C113" s="15">
        <f t="shared" si="2"/>
        <v>-1.1944829406718142E-2</v>
      </c>
      <c r="D113" s="16">
        <f t="shared" si="3"/>
        <v>2.3936533989878266E-2</v>
      </c>
    </row>
    <row r="114" spans="1:4" x14ac:dyDescent="0.2">
      <c r="A114" s="14">
        <v>36861</v>
      </c>
      <c r="B114" s="18">
        <f>VLOOKUP(A114,Database!A:K,MATCH($A$1,Database!$A$1:$K$1,),)+VLOOKUP(A114,Database!A:K,MATCH($B$1,Database!$A$1:$K$1,),)</f>
        <v>14506</v>
      </c>
      <c r="C114" s="15">
        <f t="shared" si="2"/>
        <v>-3.1124766230296554E-2</v>
      </c>
      <c r="D114" s="16">
        <f t="shared" si="3"/>
        <v>-1.6142159522517633E-2</v>
      </c>
    </row>
    <row r="115" spans="1:4" x14ac:dyDescent="0.2">
      <c r="A115" s="13">
        <v>36892</v>
      </c>
      <c r="B115" s="18">
        <f>VLOOKUP(A115,Database!A:K,MATCH($A$1,Database!$A$1:$K$1,),)+VLOOKUP(A115,Database!A:K,MATCH($B$1,Database!$A$1:$K$1,),)</f>
        <v>15140</v>
      </c>
      <c r="C115" s="15">
        <f t="shared" si="2"/>
        <v>4.3706052667861574E-2</v>
      </c>
      <c r="D115" s="16">
        <f t="shared" si="3"/>
        <v>3.3799456557757307E-3</v>
      </c>
    </row>
    <row r="116" spans="1:4" x14ac:dyDescent="0.2">
      <c r="A116" s="14">
        <v>36923</v>
      </c>
      <c r="B116" s="18">
        <f>VLOOKUP(A116,Database!A:K,MATCH($A$1,Database!$A$1:$K$1,),)+VLOOKUP(A116,Database!A:K,MATCH($B$1,Database!$A$1:$K$1,),)</f>
        <v>14945</v>
      </c>
      <c r="C116" s="15">
        <f t="shared" si="2"/>
        <v>-1.2879788639365918E-2</v>
      </c>
      <c r="D116" s="16">
        <f t="shared" si="3"/>
        <v>-1.8197345946656156E-2</v>
      </c>
    </row>
    <row r="117" spans="1:4" x14ac:dyDescent="0.2">
      <c r="A117" s="13">
        <v>36951</v>
      </c>
      <c r="B117" s="18">
        <f>VLOOKUP(A117,Database!A:K,MATCH($A$1,Database!$A$1:$K$1,),)+VLOOKUP(A117,Database!A:K,MATCH($B$1,Database!$A$1:$K$1,),)</f>
        <v>14816</v>
      </c>
      <c r="C117" s="15">
        <f t="shared" si="2"/>
        <v>-8.6316493810639008E-3</v>
      </c>
      <c r="D117" s="16">
        <f t="shared" si="3"/>
        <v>-2.8522719821651041E-2</v>
      </c>
    </row>
    <row r="118" spans="1:4" x14ac:dyDescent="0.2">
      <c r="A118" s="14">
        <v>36982</v>
      </c>
      <c r="B118" s="18">
        <f>VLOOKUP(A118,Database!A:K,MATCH($A$1,Database!$A$1:$K$1,),)+VLOOKUP(A118,Database!A:K,MATCH($B$1,Database!$A$1:$K$1,),)</f>
        <v>14772</v>
      </c>
      <c r="C118" s="15">
        <f t="shared" si="2"/>
        <v>-2.9697624190064796E-3</v>
      </c>
      <c r="D118" s="16">
        <f t="shared" si="3"/>
        <v>-4.9543173336764897E-2</v>
      </c>
    </row>
    <row r="119" spans="1:4" x14ac:dyDescent="0.2">
      <c r="A119" s="13">
        <v>37012</v>
      </c>
      <c r="B119" s="18">
        <f>VLOOKUP(A119,Database!A:K,MATCH($A$1,Database!$A$1:$K$1,),)+VLOOKUP(A119,Database!A:K,MATCH($B$1,Database!$A$1:$K$1,),)</f>
        <v>14694</v>
      </c>
      <c r="C119" s="15">
        <f t="shared" si="2"/>
        <v>-5.280259951259139E-3</v>
      </c>
      <c r="D119" s="16">
        <f t="shared" si="3"/>
        <v>-3.8602460088981945E-2</v>
      </c>
    </row>
    <row r="120" spans="1:4" x14ac:dyDescent="0.2">
      <c r="A120" s="14">
        <v>37043</v>
      </c>
      <c r="B120" s="18">
        <f>VLOOKUP(A120,Database!A:K,MATCH($A$1,Database!$A$1:$K$1,),)+VLOOKUP(A120,Database!A:K,MATCH($B$1,Database!$A$1:$K$1,),)</f>
        <v>14859</v>
      </c>
      <c r="C120" s="15">
        <f t="shared" si="2"/>
        <v>1.1229073091057574E-2</v>
      </c>
      <c r="D120" s="16">
        <f t="shared" si="3"/>
        <v>-1.124567474048443E-2</v>
      </c>
    </row>
    <row r="121" spans="1:4" x14ac:dyDescent="0.2">
      <c r="A121" s="13">
        <v>37073</v>
      </c>
      <c r="B121" s="18">
        <f>VLOOKUP(A121,Database!A:K,MATCH($A$1,Database!$A$1:$K$1,),)+VLOOKUP(A121,Database!A:K,MATCH($B$1,Database!$A$1:$K$1,),)</f>
        <v>14969</v>
      </c>
      <c r="C121" s="15">
        <f t="shared" si="2"/>
        <v>7.4029207887475607E-3</v>
      </c>
      <c r="D121" s="16">
        <f t="shared" si="3"/>
        <v>-1.162099702872235E-2</v>
      </c>
    </row>
    <row r="122" spans="1:4" x14ac:dyDescent="0.2">
      <c r="A122" s="14">
        <v>37104</v>
      </c>
      <c r="B122" s="18">
        <f>VLOOKUP(A122,Database!A:K,MATCH($A$1,Database!$A$1:$K$1,),)+VLOOKUP(A122,Database!A:K,MATCH($B$1,Database!$A$1:$K$1,),)</f>
        <v>14904</v>
      </c>
      <c r="C122" s="15">
        <f t="shared" si="2"/>
        <v>-4.3423074353664236E-3</v>
      </c>
      <c r="D122" s="16">
        <f t="shared" si="3"/>
        <v>-1.4416082528766036E-2</v>
      </c>
    </row>
    <row r="123" spans="1:4" x14ac:dyDescent="0.2">
      <c r="A123" s="13">
        <v>37135</v>
      </c>
      <c r="B123" s="18">
        <f>VLOOKUP(A123,Database!A:K,MATCH($A$1,Database!$A$1:$K$1,),)+VLOOKUP(A123,Database!A:K,MATCH($B$1,Database!$A$1:$K$1,),)</f>
        <v>14560</v>
      </c>
      <c r="C123" s="15">
        <f t="shared" si="2"/>
        <v>-2.3081052066559311E-2</v>
      </c>
      <c r="D123" s="16">
        <f t="shared" si="3"/>
        <v>-4.5433685176686556E-2</v>
      </c>
    </row>
    <row r="124" spans="1:4" x14ac:dyDescent="0.2">
      <c r="A124" s="14">
        <v>37165</v>
      </c>
      <c r="B124" s="18">
        <f>VLOOKUP(A124,Database!A:K,MATCH($A$1,Database!$A$1:$K$1,),)+VLOOKUP(A124,Database!A:K,MATCH($B$1,Database!$A$1:$K$1,),)</f>
        <v>14780</v>
      </c>
      <c r="C124" s="15">
        <f t="shared" si="2"/>
        <v>1.510989010989011E-2</v>
      </c>
      <c r="D124" s="16">
        <f t="shared" si="3"/>
        <v>-2.4615587672408103E-2</v>
      </c>
    </row>
    <row r="125" spans="1:4" x14ac:dyDescent="0.2">
      <c r="A125" s="13">
        <v>37196</v>
      </c>
      <c r="B125" s="18">
        <f>VLOOKUP(A125,Database!A:K,MATCH($A$1,Database!$A$1:$K$1,),)+VLOOKUP(A125,Database!A:K,MATCH($B$1,Database!$A$1:$K$1,),)</f>
        <v>15356</v>
      </c>
      <c r="C125" s="15">
        <f t="shared" si="2"/>
        <v>3.8971583220568339E-2</v>
      </c>
      <c r="D125" s="16">
        <f t="shared" si="3"/>
        <v>2.5647876035265828E-2</v>
      </c>
    </row>
    <row r="126" spans="1:4" x14ac:dyDescent="0.2">
      <c r="A126" s="14">
        <v>37226</v>
      </c>
      <c r="B126" s="18">
        <f>VLOOKUP(A126,Database!A:K,MATCH($A$1,Database!$A$1:$K$1,),)+VLOOKUP(A126,Database!A:K,MATCH($B$1,Database!$A$1:$K$1,),)</f>
        <v>15694</v>
      </c>
      <c r="C126" s="15">
        <f t="shared" si="2"/>
        <v>2.201094034904923E-2</v>
      </c>
      <c r="D126" s="16">
        <f t="shared" si="3"/>
        <v>8.189714600854818E-2</v>
      </c>
    </row>
    <row r="127" spans="1:4" x14ac:dyDescent="0.2">
      <c r="A127" s="13">
        <v>37257</v>
      </c>
      <c r="B127" s="18">
        <f>VLOOKUP(A127,Database!A:K,MATCH($A$1,Database!$A$1:$K$1,),)+VLOOKUP(A127,Database!A:K,MATCH($B$1,Database!$A$1:$K$1,),)</f>
        <v>15451</v>
      </c>
      <c r="C127" s="15">
        <f t="shared" si="2"/>
        <v>-1.548362431502485E-2</v>
      </c>
      <c r="D127" s="16">
        <f t="shared" si="3"/>
        <v>2.0541611624834876E-2</v>
      </c>
    </row>
    <row r="128" spans="1:4" x14ac:dyDescent="0.2">
      <c r="A128" s="14">
        <v>37288</v>
      </c>
      <c r="B128" s="18">
        <f>VLOOKUP(A128,Database!A:K,MATCH($A$1,Database!$A$1:$K$1,),)+VLOOKUP(A128,Database!A:K,MATCH($B$1,Database!$A$1:$K$1,),)</f>
        <v>15575</v>
      </c>
      <c r="C128" s="15">
        <f t="shared" si="2"/>
        <v>8.0253705261795361E-3</v>
      </c>
      <c r="D128" s="16">
        <f t="shared" si="3"/>
        <v>4.2154566744730677E-2</v>
      </c>
    </row>
    <row r="129" spans="1:4" x14ac:dyDescent="0.2">
      <c r="A129" s="13">
        <v>37316</v>
      </c>
      <c r="B129" s="18">
        <f>VLOOKUP(A129,Database!A:K,MATCH($A$1,Database!$A$1:$K$1,),)+VLOOKUP(A129,Database!A:K,MATCH($B$1,Database!$A$1:$K$1,),)</f>
        <v>15626</v>
      </c>
      <c r="C129" s="15">
        <f t="shared" si="2"/>
        <v>3.2744783306581059E-3</v>
      </c>
      <c r="D129" s="16">
        <f t="shared" si="3"/>
        <v>5.4670626349892011E-2</v>
      </c>
    </row>
    <row r="130" spans="1:4" x14ac:dyDescent="0.2">
      <c r="A130" s="14">
        <v>37347</v>
      </c>
      <c r="B130" s="18">
        <f>VLOOKUP(A130,Database!A:K,MATCH($A$1,Database!$A$1:$K$1,),)+VLOOKUP(A130,Database!A:K,MATCH($B$1,Database!$A$1:$K$1,),)</f>
        <v>15490</v>
      </c>
      <c r="C130" s="15">
        <f t="shared" si="2"/>
        <v>-8.7034429796493031E-3</v>
      </c>
      <c r="D130" s="16">
        <f t="shared" si="3"/>
        <v>4.8605469807744384E-2</v>
      </c>
    </row>
    <row r="131" spans="1:4" x14ac:dyDescent="0.2">
      <c r="A131" s="13">
        <v>37377</v>
      </c>
      <c r="B131" s="18">
        <f>VLOOKUP(A131,Database!A:K,MATCH($A$1,Database!$A$1:$K$1,),)+VLOOKUP(A131,Database!A:K,MATCH($B$1,Database!$A$1:$K$1,),)</f>
        <v>15637</v>
      </c>
      <c r="C131" s="15">
        <f t="shared" si="2"/>
        <v>9.4899935442220792E-3</v>
      </c>
      <c r="D131" s="16">
        <f t="shared" si="3"/>
        <v>6.4175854090104803E-2</v>
      </c>
    </row>
    <row r="132" spans="1:4" x14ac:dyDescent="0.2">
      <c r="A132" s="14">
        <v>37408</v>
      </c>
      <c r="B132" s="18">
        <f>VLOOKUP(A132,Database!A:K,MATCH($A$1,Database!$A$1:$K$1,),)+VLOOKUP(A132,Database!A:K,MATCH($B$1,Database!$A$1:$K$1,),)</f>
        <v>15487</v>
      </c>
      <c r="C132" s="15">
        <f t="shared" si="2"/>
        <v>-9.5926328579650829E-3</v>
      </c>
      <c r="D132" s="16">
        <f t="shared" si="3"/>
        <v>4.2263947775758801E-2</v>
      </c>
    </row>
    <row r="133" spans="1:4" x14ac:dyDescent="0.2">
      <c r="A133" s="13">
        <v>37438</v>
      </c>
      <c r="B133" s="18">
        <f>VLOOKUP(A133,Database!A:K,MATCH($A$1,Database!$A$1:$K$1,),)+VLOOKUP(A133,Database!A:K,MATCH($B$1,Database!$A$1:$K$1,),)</f>
        <v>15284</v>
      </c>
      <c r="C133" s="15">
        <f t="shared" si="2"/>
        <v>-1.3107767805256021E-2</v>
      </c>
      <c r="D133" s="16">
        <f t="shared" si="3"/>
        <v>2.104348987908344E-2</v>
      </c>
    </row>
    <row r="134" spans="1:4" x14ac:dyDescent="0.2">
      <c r="A134" s="14">
        <v>37469</v>
      </c>
      <c r="B134" s="18">
        <f>VLOOKUP(A134,Database!A:K,MATCH($A$1,Database!$A$1:$K$1,),)+VLOOKUP(A134,Database!A:K,MATCH($B$1,Database!$A$1:$K$1,),)</f>
        <v>15357</v>
      </c>
      <c r="C134" s="15">
        <f t="shared" si="2"/>
        <v>4.7762365872808165E-3</v>
      </c>
      <c r="D134" s="16">
        <f t="shared" si="3"/>
        <v>3.0394524959742351E-2</v>
      </c>
    </row>
    <row r="135" spans="1:4" x14ac:dyDescent="0.2">
      <c r="A135" s="13">
        <v>37500</v>
      </c>
      <c r="B135" s="18">
        <f>VLOOKUP(A135,Database!A:K,MATCH($A$1,Database!$A$1:$K$1,),)+VLOOKUP(A135,Database!A:K,MATCH($B$1,Database!$A$1:$K$1,),)</f>
        <v>15343</v>
      </c>
      <c r="C135" s="15">
        <f t="shared" si="2"/>
        <v>-9.1163638731523084E-4</v>
      </c>
      <c r="D135" s="16">
        <f t="shared" si="3"/>
        <v>5.3777472527472531E-2</v>
      </c>
    </row>
    <row r="136" spans="1:4" x14ac:dyDescent="0.2">
      <c r="A136" s="14">
        <v>37530</v>
      </c>
      <c r="B136" s="18">
        <f>VLOOKUP(A136,Database!A:K,MATCH($A$1,Database!$A$1:$K$1,),)+VLOOKUP(A136,Database!A:K,MATCH($B$1,Database!$A$1:$K$1,),)</f>
        <v>15311</v>
      </c>
      <c r="C136" s="15">
        <f t="shared" si="2"/>
        <v>-2.0856416606921725E-3</v>
      </c>
      <c r="D136" s="16">
        <f t="shared" si="3"/>
        <v>3.5926928281461434E-2</v>
      </c>
    </row>
    <row r="137" spans="1:4" x14ac:dyDescent="0.2">
      <c r="A137" s="13">
        <v>37561</v>
      </c>
      <c r="B137" s="18">
        <f>VLOOKUP(A137,Database!A:K,MATCH($A$1,Database!$A$1:$K$1,),)+VLOOKUP(A137,Database!A:K,MATCH($B$1,Database!$A$1:$K$1,),)</f>
        <v>15508</v>
      </c>
      <c r="C137" s="15">
        <f t="shared" ref="C137:C200" si="4">(B137-B136)/B136</f>
        <v>1.2866566520802038E-2</v>
      </c>
      <c r="D137" s="16">
        <f t="shared" si="3"/>
        <v>9.8984110445428496E-3</v>
      </c>
    </row>
    <row r="138" spans="1:4" x14ac:dyDescent="0.2">
      <c r="A138" s="14">
        <v>37591</v>
      </c>
      <c r="B138" s="18">
        <f>VLOOKUP(A138,Database!A:K,MATCH($A$1,Database!$A$1:$K$1,),)+VLOOKUP(A138,Database!A:K,MATCH($B$1,Database!$A$1:$K$1,),)</f>
        <v>15587</v>
      </c>
      <c r="C138" s="15">
        <f t="shared" si="4"/>
        <v>5.0941449574413208E-3</v>
      </c>
      <c r="D138" s="16">
        <f t="shared" si="3"/>
        <v>-6.8178921880973622E-3</v>
      </c>
    </row>
    <row r="139" spans="1:4" x14ac:dyDescent="0.2">
      <c r="A139" s="13">
        <v>37622</v>
      </c>
      <c r="B139" s="18">
        <f>VLOOKUP(A139,Database!A:K,MATCH($A$1,Database!$A$1:$K$1,),)+VLOOKUP(A139,Database!A:K,MATCH($B$1,Database!$A$1:$K$1,),)</f>
        <v>15263</v>
      </c>
      <c r="C139" s="15">
        <f t="shared" si="4"/>
        <v>-2.078655289664464E-2</v>
      </c>
      <c r="D139" s="16">
        <f t="shared" si="3"/>
        <v>-1.2167497249368973E-2</v>
      </c>
    </row>
    <row r="140" spans="1:4" x14ac:dyDescent="0.2">
      <c r="A140" s="14">
        <v>37653</v>
      </c>
      <c r="B140" s="18">
        <f>VLOOKUP(A140,Database!A:K,MATCH($A$1,Database!$A$1:$K$1,),)+VLOOKUP(A140,Database!A:K,MATCH($B$1,Database!$A$1:$K$1,),)</f>
        <v>14855</v>
      </c>
      <c r="C140" s="15">
        <f t="shared" si="4"/>
        <v>-2.6731311013562208E-2</v>
      </c>
      <c r="D140" s="16">
        <f t="shared" si="3"/>
        <v>-4.6227929373996793E-2</v>
      </c>
    </row>
    <row r="141" spans="1:4" x14ac:dyDescent="0.2">
      <c r="A141" s="13">
        <v>37681</v>
      </c>
      <c r="B141" s="18">
        <f>VLOOKUP(A141,Database!A:K,MATCH($A$1,Database!$A$1:$K$1,),)+VLOOKUP(A141,Database!A:K,MATCH($B$1,Database!$A$1:$K$1,),)</f>
        <v>15218</v>
      </c>
      <c r="C141" s="15">
        <f t="shared" si="4"/>
        <v>2.4436216762032986E-2</v>
      </c>
      <c r="D141" s="16">
        <f t="shared" si="3"/>
        <v>-2.6110328938947908E-2</v>
      </c>
    </row>
    <row r="142" spans="1:4" x14ac:dyDescent="0.2">
      <c r="A142" s="14">
        <v>37712</v>
      </c>
      <c r="B142" s="18">
        <f>VLOOKUP(A142,Database!A:K,MATCH($A$1,Database!$A$1:$K$1,),)+VLOOKUP(A142,Database!A:K,MATCH($B$1,Database!$A$1:$K$1,),)</f>
        <v>15335</v>
      </c>
      <c r="C142" s="15">
        <f t="shared" si="4"/>
        <v>7.6882638980155082E-3</v>
      </c>
      <c r="D142" s="16">
        <f t="shared" si="3"/>
        <v>-1.0006455777921239E-2</v>
      </c>
    </row>
    <row r="143" spans="1:4" x14ac:dyDescent="0.2">
      <c r="A143" s="13">
        <v>37742</v>
      </c>
      <c r="B143" s="18">
        <f>VLOOKUP(A143,Database!A:K,MATCH($A$1,Database!$A$1:$K$1,),)+VLOOKUP(A143,Database!A:K,MATCH($B$1,Database!$A$1:$K$1,),)</f>
        <v>15625</v>
      </c>
      <c r="C143" s="15">
        <f t="shared" si="4"/>
        <v>1.8910987936093904E-2</v>
      </c>
      <c r="D143" s="16">
        <f t="shared" si="3"/>
        <v>-7.6741062863720658E-4</v>
      </c>
    </row>
    <row r="144" spans="1:4" x14ac:dyDescent="0.2">
      <c r="A144" s="14">
        <v>37773</v>
      </c>
      <c r="B144" s="18">
        <f>VLOOKUP(A144,Database!A:K,MATCH($A$1,Database!$A$1:$K$1,),)+VLOOKUP(A144,Database!A:K,MATCH($B$1,Database!$A$1:$K$1,),)</f>
        <v>15734</v>
      </c>
      <c r="C144" s="15">
        <f t="shared" si="4"/>
        <v>6.9760000000000004E-3</v>
      </c>
      <c r="D144" s="16">
        <f t="shared" si="3"/>
        <v>1.5948860334474076E-2</v>
      </c>
    </row>
    <row r="145" spans="1:4" x14ac:dyDescent="0.2">
      <c r="A145" s="13">
        <v>37803</v>
      </c>
      <c r="B145" s="18">
        <f>VLOOKUP(A145,Database!A:K,MATCH($A$1,Database!$A$1:$K$1,),)+VLOOKUP(A145,Database!A:K,MATCH($B$1,Database!$A$1:$K$1,),)</f>
        <v>15846</v>
      </c>
      <c r="C145" s="15">
        <f t="shared" si="4"/>
        <v>7.1183424431168173E-3</v>
      </c>
      <c r="D145" s="16">
        <f t="shared" si="3"/>
        <v>3.6770478932216695E-2</v>
      </c>
    </row>
    <row r="146" spans="1:4" x14ac:dyDescent="0.2">
      <c r="A146" s="14">
        <v>37834</v>
      </c>
      <c r="B146" s="18">
        <f>VLOOKUP(A146,Database!A:K,MATCH($A$1,Database!$A$1:$K$1,),)+VLOOKUP(A146,Database!A:K,MATCH($B$1,Database!$A$1:$K$1,),)</f>
        <v>16070</v>
      </c>
      <c r="C146" s="15">
        <f t="shared" si="4"/>
        <v>1.4136059573393917E-2</v>
      </c>
      <c r="D146" s="16">
        <f t="shared" si="3"/>
        <v>4.642833886826854E-2</v>
      </c>
    </row>
    <row r="147" spans="1:4" x14ac:dyDescent="0.2">
      <c r="A147" s="13">
        <v>37865</v>
      </c>
      <c r="B147" s="18">
        <f>VLOOKUP(A147,Database!A:K,MATCH($A$1,Database!$A$1:$K$1,),)+VLOOKUP(A147,Database!A:K,MATCH($B$1,Database!$A$1:$K$1,),)</f>
        <v>16123</v>
      </c>
      <c r="C147" s="15">
        <f t="shared" si="4"/>
        <v>3.298070939639079E-3</v>
      </c>
      <c r="D147" s="16">
        <f t="shared" si="3"/>
        <v>5.0837515479371702E-2</v>
      </c>
    </row>
    <row r="148" spans="1:4" x14ac:dyDescent="0.2">
      <c r="A148" s="14">
        <v>37895</v>
      </c>
      <c r="B148" s="18">
        <f>VLOOKUP(A148,Database!A:K,MATCH($A$1,Database!$A$1:$K$1,),)+VLOOKUP(A148,Database!A:K,MATCH($B$1,Database!$A$1:$K$1,),)</f>
        <v>16228</v>
      </c>
      <c r="C148" s="15">
        <f t="shared" si="4"/>
        <v>6.5124356509334491E-3</v>
      </c>
      <c r="D148" s="16">
        <f t="shared" ref="D148:D211" si="5">(B148-B136)/B136</f>
        <v>5.9891581216119129E-2</v>
      </c>
    </row>
    <row r="149" spans="1:4" x14ac:dyDescent="0.2">
      <c r="A149" s="13">
        <v>37926</v>
      </c>
      <c r="B149" s="18">
        <f>VLOOKUP(A149,Database!A:K,MATCH($A$1,Database!$A$1:$K$1,),)+VLOOKUP(A149,Database!A:K,MATCH($B$1,Database!$A$1:$K$1,),)</f>
        <v>16388</v>
      </c>
      <c r="C149" s="15">
        <f t="shared" si="4"/>
        <v>9.8595020951441955E-3</v>
      </c>
      <c r="D149" s="16">
        <f t="shared" si="5"/>
        <v>5.6744905855042556E-2</v>
      </c>
    </row>
    <row r="150" spans="1:4" x14ac:dyDescent="0.2">
      <c r="A150" s="14">
        <v>37956</v>
      </c>
      <c r="B150" s="18">
        <f>VLOOKUP(A150,Database!A:K,MATCH($A$1,Database!$A$1:$K$1,),)+VLOOKUP(A150,Database!A:K,MATCH($B$1,Database!$A$1:$K$1,),)</f>
        <v>16439</v>
      </c>
      <c r="C150" s="15">
        <f t="shared" si="4"/>
        <v>3.1120331950207467E-3</v>
      </c>
      <c r="D150" s="16">
        <f t="shared" si="5"/>
        <v>5.4660935394880351E-2</v>
      </c>
    </row>
    <row r="151" spans="1:4" x14ac:dyDescent="0.2">
      <c r="A151" s="13">
        <v>37987</v>
      </c>
      <c r="B151" s="18">
        <f>VLOOKUP(A151,Database!A:K,MATCH($A$1,Database!$A$1:$K$1,),)+VLOOKUP(A151,Database!A:K,MATCH($B$1,Database!$A$1:$K$1,),)</f>
        <v>16411</v>
      </c>
      <c r="C151" s="15">
        <f t="shared" si="4"/>
        <v>-1.7032666220573027E-3</v>
      </c>
      <c r="D151" s="16">
        <f t="shared" si="5"/>
        <v>7.5214571185219153E-2</v>
      </c>
    </row>
    <row r="152" spans="1:4" x14ac:dyDescent="0.2">
      <c r="A152" s="14">
        <v>38018</v>
      </c>
      <c r="B152" s="18">
        <f>VLOOKUP(A152,Database!A:K,MATCH($A$1,Database!$A$1:$K$1,),)+VLOOKUP(A152,Database!A:K,MATCH($B$1,Database!$A$1:$K$1,),)</f>
        <v>16455</v>
      </c>
      <c r="C152" s="15">
        <f t="shared" si="4"/>
        <v>2.681128511364329E-3</v>
      </c>
      <c r="D152" s="16">
        <f t="shared" si="5"/>
        <v>0.10770784247728038</v>
      </c>
    </row>
    <row r="153" spans="1:4" x14ac:dyDescent="0.2">
      <c r="A153" s="13">
        <v>38047</v>
      </c>
      <c r="B153" s="18">
        <f>VLOOKUP(A153,Database!A:K,MATCH($A$1,Database!$A$1:$K$1,),)+VLOOKUP(A153,Database!A:K,MATCH($B$1,Database!$A$1:$K$1,),)</f>
        <v>16702</v>
      </c>
      <c r="C153" s="15">
        <f t="shared" si="4"/>
        <v>1.5010635065329687E-2</v>
      </c>
      <c r="D153" s="16">
        <f t="shared" si="5"/>
        <v>9.7516099356025759E-2</v>
      </c>
    </row>
    <row r="154" spans="1:4" x14ac:dyDescent="0.2">
      <c r="A154" s="14">
        <v>38078</v>
      </c>
      <c r="B154" s="18">
        <f>VLOOKUP(A154,Database!A:K,MATCH($A$1,Database!$A$1:$K$1,),)+VLOOKUP(A154,Database!A:K,MATCH($B$1,Database!$A$1:$K$1,),)</f>
        <v>16737</v>
      </c>
      <c r="C154" s="15">
        <f t="shared" si="4"/>
        <v>2.0955574182732607E-3</v>
      </c>
      <c r="D154" s="16">
        <f t="shared" si="5"/>
        <v>9.1424845125529827E-2</v>
      </c>
    </row>
    <row r="155" spans="1:4" x14ac:dyDescent="0.2">
      <c r="A155" s="13">
        <v>38108</v>
      </c>
      <c r="B155" s="18">
        <f>VLOOKUP(A155,Database!A:K,MATCH($A$1,Database!$A$1:$K$1,),)+VLOOKUP(A155,Database!A:K,MATCH($B$1,Database!$A$1:$K$1,),)</f>
        <v>16630</v>
      </c>
      <c r="C155" s="15">
        <f t="shared" si="4"/>
        <v>-6.3930214494831812E-3</v>
      </c>
      <c r="D155" s="16">
        <f t="shared" si="5"/>
        <v>6.4320000000000002E-2</v>
      </c>
    </row>
    <row r="156" spans="1:4" x14ac:dyDescent="0.2">
      <c r="A156" s="14">
        <v>38139</v>
      </c>
      <c r="B156" s="18">
        <f>VLOOKUP(A156,Database!A:K,MATCH($A$1,Database!$A$1:$K$1,),)+VLOOKUP(A156,Database!A:K,MATCH($B$1,Database!$A$1:$K$1,),)</f>
        <v>16869</v>
      </c>
      <c r="C156" s="15">
        <f t="shared" si="4"/>
        <v>1.4371617558628983E-2</v>
      </c>
      <c r="D156" s="16">
        <f t="shared" si="5"/>
        <v>7.2136773865514175E-2</v>
      </c>
    </row>
    <row r="157" spans="1:4" x14ac:dyDescent="0.2">
      <c r="A157" s="13">
        <v>38169</v>
      </c>
      <c r="B157" s="18">
        <f>VLOOKUP(A157,Database!A:K,MATCH($A$1,Database!$A$1:$K$1,),)+VLOOKUP(A157,Database!A:K,MATCH($B$1,Database!$A$1:$K$1,),)</f>
        <v>17205</v>
      </c>
      <c r="C157" s="15">
        <f t="shared" si="4"/>
        <v>1.991819313533701E-2</v>
      </c>
      <c r="D157" s="16">
        <f t="shared" si="5"/>
        <v>8.5762968572510409E-2</v>
      </c>
    </row>
    <row r="158" spans="1:4" x14ac:dyDescent="0.2">
      <c r="A158" s="14">
        <v>38200</v>
      </c>
      <c r="B158" s="18">
        <f>VLOOKUP(A158,Database!A:K,MATCH($A$1,Database!$A$1:$K$1,),)+VLOOKUP(A158,Database!A:K,MATCH($B$1,Database!$A$1:$K$1,),)</f>
        <v>17010</v>
      </c>
      <c r="C158" s="15">
        <f t="shared" si="4"/>
        <v>-1.1333914559721011E-2</v>
      </c>
      <c r="D158" s="16">
        <f t="shared" si="5"/>
        <v>5.8494088363410079E-2</v>
      </c>
    </row>
    <row r="159" spans="1:4" x14ac:dyDescent="0.2">
      <c r="A159" s="13">
        <v>38231</v>
      </c>
      <c r="B159" s="18">
        <f>VLOOKUP(A159,Database!A:K,MATCH($A$1,Database!$A$1:$K$1,),)+VLOOKUP(A159,Database!A:K,MATCH($B$1,Database!$A$1:$K$1,),)</f>
        <v>17026</v>
      </c>
      <c r="C159" s="15">
        <f t="shared" si="4"/>
        <v>9.4062316284538509E-4</v>
      </c>
      <c r="D159" s="16">
        <f t="shared" si="5"/>
        <v>5.6006946598027664E-2</v>
      </c>
    </row>
    <row r="160" spans="1:4" x14ac:dyDescent="0.2">
      <c r="A160" s="14">
        <v>38261</v>
      </c>
      <c r="B160" s="18">
        <f>VLOOKUP(A160,Database!A:K,MATCH($A$1,Database!$A$1:$K$1,),)+VLOOKUP(A160,Database!A:K,MATCH($B$1,Database!$A$1:$K$1,),)</f>
        <v>17300</v>
      </c>
      <c r="C160" s="15">
        <f t="shared" si="4"/>
        <v>1.6093034183014214E-2</v>
      </c>
      <c r="D160" s="16">
        <f t="shared" si="5"/>
        <v>6.6058664037466103E-2</v>
      </c>
    </row>
    <row r="161" spans="1:4" x14ac:dyDescent="0.2">
      <c r="A161" s="13">
        <v>38292</v>
      </c>
      <c r="B161" s="18">
        <f>VLOOKUP(A161,Database!A:K,MATCH($A$1,Database!$A$1:$K$1,),)+VLOOKUP(A161,Database!A:K,MATCH($B$1,Database!$A$1:$K$1,),)</f>
        <v>17201</v>
      </c>
      <c r="C161" s="15">
        <f t="shared" si="4"/>
        <v>-5.7225433526011558E-3</v>
      </c>
      <c r="D161" s="16">
        <f t="shared" si="5"/>
        <v>4.9609470344154256E-2</v>
      </c>
    </row>
    <row r="162" spans="1:4" x14ac:dyDescent="0.2">
      <c r="A162" s="14">
        <v>38322</v>
      </c>
      <c r="B162" s="18">
        <f>VLOOKUP(A162,Database!A:K,MATCH($A$1,Database!$A$1:$K$1,),)+VLOOKUP(A162,Database!A:K,MATCH($B$1,Database!$A$1:$K$1,),)</f>
        <v>17418</v>
      </c>
      <c r="C162" s="15">
        <f t="shared" si="4"/>
        <v>1.26155456078135E-2</v>
      </c>
      <c r="D162" s="16">
        <f t="shared" si="5"/>
        <v>5.9553500821217839E-2</v>
      </c>
    </row>
    <row r="163" spans="1:4" x14ac:dyDescent="0.2">
      <c r="A163" s="13">
        <v>38353</v>
      </c>
      <c r="B163" s="18">
        <f>VLOOKUP(A163,Database!A:K,MATCH($A$1,Database!$A$1:$K$1,),)+VLOOKUP(A163,Database!A:K,MATCH($B$1,Database!$A$1:$K$1,),)</f>
        <v>17411</v>
      </c>
      <c r="C163" s="15">
        <f t="shared" si="4"/>
        <v>-4.0188310942702952E-4</v>
      </c>
      <c r="D163" s="16">
        <f t="shared" si="5"/>
        <v>6.0934738894643833E-2</v>
      </c>
    </row>
    <row r="164" spans="1:4" x14ac:dyDescent="0.2">
      <c r="A164" s="14">
        <v>38384</v>
      </c>
      <c r="B164" s="18">
        <f>VLOOKUP(A164,Database!A:K,MATCH($A$1,Database!$A$1:$K$1,),)+VLOOKUP(A164,Database!A:K,MATCH($B$1,Database!$A$1:$K$1,),)</f>
        <v>17673</v>
      </c>
      <c r="C164" s="15">
        <f t="shared" si="4"/>
        <v>1.5047958187352823E-2</v>
      </c>
      <c r="D164" s="16">
        <f t="shared" si="5"/>
        <v>7.4020054694621695E-2</v>
      </c>
    </row>
    <row r="165" spans="1:4" x14ac:dyDescent="0.2">
      <c r="A165" s="13">
        <v>38412</v>
      </c>
      <c r="B165" s="18">
        <f>VLOOKUP(A165,Database!A:K,MATCH($A$1,Database!$A$1:$K$1,),)+VLOOKUP(A165,Database!A:K,MATCH($B$1,Database!$A$1:$K$1,),)</f>
        <v>17624</v>
      </c>
      <c r="C165" s="15">
        <f t="shared" si="4"/>
        <v>-2.7725909579584679E-3</v>
      </c>
      <c r="D165" s="16">
        <f t="shared" si="5"/>
        <v>5.5202969704227035E-2</v>
      </c>
    </row>
    <row r="166" spans="1:4" x14ac:dyDescent="0.2">
      <c r="A166" s="14">
        <v>38443</v>
      </c>
      <c r="B166" s="18">
        <f>VLOOKUP(A166,Database!A:K,MATCH($A$1,Database!$A$1:$K$1,),)+VLOOKUP(A166,Database!A:K,MATCH($B$1,Database!$A$1:$K$1,),)</f>
        <v>17814</v>
      </c>
      <c r="C166" s="15">
        <f t="shared" si="4"/>
        <v>1.0780753517930095E-2</v>
      </c>
      <c r="D166" s="16">
        <f t="shared" si="5"/>
        <v>6.4348449542928843E-2</v>
      </c>
    </row>
    <row r="167" spans="1:4" x14ac:dyDescent="0.2">
      <c r="A167" s="13">
        <v>38473</v>
      </c>
      <c r="B167" s="18">
        <f>VLOOKUP(A167,Database!A:K,MATCH($A$1,Database!$A$1:$K$1,),)+VLOOKUP(A167,Database!A:K,MATCH($B$1,Database!$A$1:$K$1,),)</f>
        <v>17738</v>
      </c>
      <c r="C167" s="15">
        <f t="shared" si="4"/>
        <v>-4.2663073986751992E-3</v>
      </c>
      <c r="D167" s="16">
        <f t="shared" si="5"/>
        <v>6.6626578472639808E-2</v>
      </c>
    </row>
    <row r="168" spans="1:4" x14ac:dyDescent="0.2">
      <c r="A168" s="14">
        <v>38504</v>
      </c>
      <c r="B168" s="18">
        <f>VLOOKUP(A168,Database!A:K,MATCH($A$1,Database!$A$1:$K$1,),)+VLOOKUP(A168,Database!A:K,MATCH($B$1,Database!$A$1:$K$1,),)</f>
        <v>17921</v>
      </c>
      <c r="C168" s="15">
        <f t="shared" si="4"/>
        <v>1.0316833915886796E-2</v>
      </c>
      <c r="D168" s="16">
        <f t="shared" si="5"/>
        <v>6.2362914221352775E-2</v>
      </c>
    </row>
    <row r="169" spans="1:4" x14ac:dyDescent="0.2">
      <c r="A169" s="13">
        <v>38534</v>
      </c>
      <c r="B169" s="18">
        <f>VLOOKUP(A169,Database!A:K,MATCH($A$1,Database!$A$1:$K$1,),)+VLOOKUP(A169,Database!A:K,MATCH($B$1,Database!$A$1:$K$1,),)</f>
        <v>17961</v>
      </c>
      <c r="C169" s="15">
        <f t="shared" si="4"/>
        <v>2.232018302550081E-3</v>
      </c>
      <c r="D169" s="16">
        <f t="shared" si="5"/>
        <v>4.3940714908456843E-2</v>
      </c>
    </row>
    <row r="170" spans="1:4" x14ac:dyDescent="0.2">
      <c r="A170" s="14">
        <v>38565</v>
      </c>
      <c r="B170" s="18">
        <f>VLOOKUP(A170,Database!A:K,MATCH($A$1,Database!$A$1:$K$1,),)+VLOOKUP(A170,Database!A:K,MATCH($B$1,Database!$A$1:$K$1,),)</f>
        <v>18061</v>
      </c>
      <c r="C170" s="15">
        <f t="shared" si="4"/>
        <v>5.5676187294694058E-3</v>
      </c>
      <c r="D170" s="16">
        <f t="shared" si="5"/>
        <v>6.1787184009406235E-2</v>
      </c>
    </row>
    <row r="171" spans="1:4" x14ac:dyDescent="0.2">
      <c r="A171" s="13">
        <v>38596</v>
      </c>
      <c r="B171" s="18">
        <f>VLOOKUP(A171,Database!A:K,MATCH($A$1,Database!$A$1:$K$1,),)+VLOOKUP(A171,Database!A:K,MATCH($B$1,Database!$A$1:$K$1,),)</f>
        <v>18199</v>
      </c>
      <c r="C171" s="15">
        <f t="shared" si="4"/>
        <v>7.6407729361607883E-3</v>
      </c>
      <c r="D171" s="16">
        <f t="shared" si="5"/>
        <v>6.8894631739692236E-2</v>
      </c>
    </row>
    <row r="172" spans="1:4" x14ac:dyDescent="0.2">
      <c r="A172" s="14">
        <v>38626</v>
      </c>
      <c r="B172" s="18">
        <f>VLOOKUP(A172,Database!A:K,MATCH($A$1,Database!$A$1:$K$1,),)+VLOOKUP(A172,Database!A:K,MATCH($B$1,Database!$A$1:$K$1,),)</f>
        <v>18362</v>
      </c>
      <c r="C172" s="15">
        <f t="shared" si="4"/>
        <v>8.9565360734106276E-3</v>
      </c>
      <c r="D172" s="16">
        <f t="shared" si="5"/>
        <v>6.1387283236994217E-2</v>
      </c>
    </row>
    <row r="173" spans="1:4" x14ac:dyDescent="0.2">
      <c r="A173" s="13">
        <v>38657</v>
      </c>
      <c r="B173" s="18">
        <f>VLOOKUP(A173,Database!A:K,MATCH($A$1,Database!$A$1:$K$1,),)+VLOOKUP(A173,Database!A:K,MATCH($B$1,Database!$A$1:$K$1,),)</f>
        <v>18284</v>
      </c>
      <c r="C173" s="15">
        <f t="shared" si="4"/>
        <v>-4.2479032785099659E-3</v>
      </c>
      <c r="D173" s="16">
        <f t="shared" si="5"/>
        <v>6.2961455729318064E-2</v>
      </c>
    </row>
    <row r="174" spans="1:4" x14ac:dyDescent="0.2">
      <c r="A174" s="14">
        <v>38687</v>
      </c>
      <c r="B174" s="18">
        <f>VLOOKUP(A174,Database!A:K,MATCH($A$1,Database!$A$1:$K$1,),)+VLOOKUP(A174,Database!A:K,MATCH($B$1,Database!$A$1:$K$1,),)</f>
        <v>18149</v>
      </c>
      <c r="C174" s="15">
        <f t="shared" si="4"/>
        <v>-7.3835047035659589E-3</v>
      </c>
      <c r="D174" s="16">
        <f t="shared" si="5"/>
        <v>4.1968078998736939E-2</v>
      </c>
    </row>
    <row r="175" spans="1:4" x14ac:dyDescent="0.2">
      <c r="A175" s="13">
        <v>38718</v>
      </c>
      <c r="B175" s="18">
        <f>VLOOKUP(A175,Database!A:K,MATCH($A$1,Database!$A$1:$K$1,),)+VLOOKUP(A175,Database!A:K,MATCH($B$1,Database!$A$1:$K$1,),)</f>
        <v>18956</v>
      </c>
      <c r="C175" s="15">
        <f t="shared" si="4"/>
        <v>4.4465259793928041E-2</v>
      </c>
      <c r="D175" s="16">
        <f t="shared" si="5"/>
        <v>8.8737005341450806E-2</v>
      </c>
    </row>
    <row r="176" spans="1:4" x14ac:dyDescent="0.2">
      <c r="A176" s="14">
        <v>38749</v>
      </c>
      <c r="B176" s="18">
        <f>VLOOKUP(A176,Database!A:K,MATCH($A$1,Database!$A$1:$K$1,),)+VLOOKUP(A176,Database!A:K,MATCH($B$1,Database!$A$1:$K$1,),)</f>
        <v>18540</v>
      </c>
      <c r="C176" s="15">
        <f t="shared" si="4"/>
        <v>-2.194555813462756E-2</v>
      </c>
      <c r="D176" s="16">
        <f t="shared" si="5"/>
        <v>4.9057884909183502E-2</v>
      </c>
    </row>
    <row r="177" spans="1:4" x14ac:dyDescent="0.2">
      <c r="A177" s="13">
        <v>38777</v>
      </c>
      <c r="B177" s="18">
        <f>VLOOKUP(A177,Database!A:K,MATCH($A$1,Database!$A$1:$K$1,),)+VLOOKUP(A177,Database!A:K,MATCH($B$1,Database!$A$1:$K$1,),)</f>
        <v>18616</v>
      </c>
      <c r="C177" s="15">
        <f t="shared" si="4"/>
        <v>4.0992448759439052E-3</v>
      </c>
      <c r="D177" s="16">
        <f t="shared" si="5"/>
        <v>5.6286881525192921E-2</v>
      </c>
    </row>
    <row r="178" spans="1:4" x14ac:dyDescent="0.2">
      <c r="A178" s="14">
        <v>38808</v>
      </c>
      <c r="B178" s="18">
        <f>VLOOKUP(A178,Database!A:K,MATCH($A$1,Database!$A$1:$K$1,),)+VLOOKUP(A178,Database!A:K,MATCH($B$1,Database!$A$1:$K$1,),)</f>
        <v>18567</v>
      </c>
      <c r="C178" s="15">
        <f t="shared" si="4"/>
        <v>-2.6321443919209283E-3</v>
      </c>
      <c r="D178" s="16">
        <f t="shared" si="5"/>
        <v>4.2270124621084537E-2</v>
      </c>
    </row>
    <row r="179" spans="1:4" x14ac:dyDescent="0.2">
      <c r="A179" s="13">
        <v>38838</v>
      </c>
      <c r="B179" s="18">
        <f>VLOOKUP(A179,Database!A:K,MATCH($A$1,Database!$A$1:$K$1,),)+VLOOKUP(A179,Database!A:K,MATCH($B$1,Database!$A$1:$K$1,),)</f>
        <v>18500</v>
      </c>
      <c r="C179" s="15">
        <f t="shared" si="4"/>
        <v>-3.6085528087467012E-3</v>
      </c>
      <c r="D179" s="16">
        <f t="shared" si="5"/>
        <v>4.2958619912053221E-2</v>
      </c>
    </row>
    <row r="180" spans="1:4" x14ac:dyDescent="0.2">
      <c r="A180" s="14">
        <v>38869</v>
      </c>
      <c r="B180" s="18">
        <f>VLOOKUP(A180,Database!A:K,MATCH($A$1,Database!$A$1:$K$1,),)+VLOOKUP(A180,Database!A:K,MATCH($B$1,Database!$A$1:$K$1,),)</f>
        <v>18615</v>
      </c>
      <c r="C180" s="15">
        <f t="shared" si="4"/>
        <v>6.216216216216216E-3</v>
      </c>
      <c r="D180" s="16">
        <f t="shared" si="5"/>
        <v>3.8725517549243901E-2</v>
      </c>
    </row>
    <row r="181" spans="1:4" x14ac:dyDescent="0.2">
      <c r="A181" s="13">
        <v>38899</v>
      </c>
      <c r="B181" s="18">
        <f>VLOOKUP(A181,Database!A:K,MATCH($A$1,Database!$A$1:$K$1,),)+VLOOKUP(A181,Database!A:K,MATCH($B$1,Database!$A$1:$K$1,),)</f>
        <v>18568</v>
      </c>
      <c r="C181" s="15">
        <f t="shared" si="4"/>
        <v>-2.5248455546602201E-3</v>
      </c>
      <c r="D181" s="16">
        <f t="shared" si="5"/>
        <v>3.3795445687879296E-2</v>
      </c>
    </row>
    <row r="182" spans="1:4" x14ac:dyDescent="0.2">
      <c r="A182" s="14">
        <v>38930</v>
      </c>
      <c r="B182" s="18">
        <f>VLOOKUP(A182,Database!A:K,MATCH($A$1,Database!$A$1:$K$1,),)+VLOOKUP(A182,Database!A:K,MATCH($B$1,Database!$A$1:$K$1,),)</f>
        <v>18546</v>
      </c>
      <c r="C182" s="15">
        <f t="shared" si="4"/>
        <v>-1.1848341232227489E-3</v>
      </c>
      <c r="D182" s="16">
        <f t="shared" si="5"/>
        <v>2.6853441116217264E-2</v>
      </c>
    </row>
    <row r="183" spans="1:4" x14ac:dyDescent="0.2">
      <c r="A183" s="13">
        <v>38961</v>
      </c>
      <c r="B183" s="18">
        <f>VLOOKUP(A183,Database!A:K,MATCH($A$1,Database!$A$1:$K$1,),)+VLOOKUP(A183,Database!A:K,MATCH($B$1,Database!$A$1:$K$1,),)</f>
        <v>18707</v>
      </c>
      <c r="C183" s="15">
        <f t="shared" si="4"/>
        <v>8.6811172220424889E-3</v>
      </c>
      <c r="D183" s="16">
        <f t="shared" si="5"/>
        <v>2.7913621627561953E-2</v>
      </c>
    </row>
    <row r="184" spans="1:4" x14ac:dyDescent="0.2">
      <c r="A184" s="14">
        <v>38991</v>
      </c>
      <c r="B184" s="18">
        <f>VLOOKUP(A184,Database!A:K,MATCH($A$1,Database!$A$1:$K$1,),)+VLOOKUP(A184,Database!A:K,MATCH($B$1,Database!$A$1:$K$1,),)</f>
        <v>18328</v>
      </c>
      <c r="C184" s="15">
        <f t="shared" si="4"/>
        <v>-2.025979579836425E-2</v>
      </c>
      <c r="D184" s="16">
        <f t="shared" si="5"/>
        <v>-1.8516501470428057E-3</v>
      </c>
    </row>
    <row r="185" spans="1:4" x14ac:dyDescent="0.2">
      <c r="A185" s="13">
        <v>39022</v>
      </c>
      <c r="B185" s="18">
        <f>VLOOKUP(A185,Database!A:K,MATCH($A$1,Database!$A$1:$K$1,),)+VLOOKUP(A185,Database!A:K,MATCH($B$1,Database!$A$1:$K$1,),)</f>
        <v>18469</v>
      </c>
      <c r="C185" s="15">
        <f t="shared" si="4"/>
        <v>7.6931470973374072E-3</v>
      </c>
      <c r="D185" s="16">
        <f t="shared" si="5"/>
        <v>1.0118136075257056E-2</v>
      </c>
    </row>
    <row r="186" spans="1:4" x14ac:dyDescent="0.2">
      <c r="A186" s="14">
        <v>39052</v>
      </c>
      <c r="B186" s="18">
        <f>VLOOKUP(A186,Database!A:K,MATCH($A$1,Database!$A$1:$K$1,),)+VLOOKUP(A186,Database!A:K,MATCH($B$1,Database!$A$1:$K$1,),)</f>
        <v>18812</v>
      </c>
      <c r="C186" s="15">
        <f t="shared" si="4"/>
        <v>1.8571660620499215E-2</v>
      </c>
      <c r="D186" s="16">
        <f t="shared" si="5"/>
        <v>3.6530938343710399E-2</v>
      </c>
    </row>
    <row r="187" spans="1:4" x14ac:dyDescent="0.2">
      <c r="A187" s="13">
        <v>39083</v>
      </c>
      <c r="B187" s="18">
        <f>VLOOKUP(A187,Database!A:K,MATCH($A$1,Database!$A$1:$K$1,),)+VLOOKUP(A187,Database!A:K,MATCH($B$1,Database!$A$1:$K$1,),)</f>
        <v>18838</v>
      </c>
      <c r="C187" s="15">
        <f t="shared" si="4"/>
        <v>1.3820965341271529E-3</v>
      </c>
      <c r="D187" s="16">
        <f t="shared" si="5"/>
        <v>-6.2249419708799323E-3</v>
      </c>
    </row>
    <row r="188" spans="1:4" x14ac:dyDescent="0.2">
      <c r="A188" s="14">
        <v>39114</v>
      </c>
      <c r="B188" s="18">
        <f>VLOOKUP(A188,Database!A:K,MATCH($A$1,Database!$A$1:$K$1,),)+VLOOKUP(A188,Database!A:K,MATCH($B$1,Database!$A$1:$K$1,),)</f>
        <v>18492</v>
      </c>
      <c r="C188" s="15">
        <f t="shared" si="4"/>
        <v>-1.8367130268606008E-2</v>
      </c>
      <c r="D188" s="16">
        <f t="shared" si="5"/>
        <v>-2.5889967637540453E-3</v>
      </c>
    </row>
    <row r="189" spans="1:4" x14ac:dyDescent="0.2">
      <c r="A189" s="13">
        <v>39142</v>
      </c>
      <c r="B189" s="18">
        <f>VLOOKUP(A189,Database!A:K,MATCH($A$1,Database!$A$1:$K$1,),)+VLOOKUP(A189,Database!A:K,MATCH($B$1,Database!$A$1:$K$1,),)</f>
        <v>18432</v>
      </c>
      <c r="C189" s="15">
        <f t="shared" si="4"/>
        <v>-3.2446463335496431E-3</v>
      </c>
      <c r="D189" s="16">
        <f t="shared" si="5"/>
        <v>-9.8839707778255268E-3</v>
      </c>
    </row>
    <row r="190" spans="1:4" x14ac:dyDescent="0.2">
      <c r="A190" s="14">
        <v>39173</v>
      </c>
      <c r="B190" s="18">
        <f>VLOOKUP(A190,Database!A:K,MATCH($A$1,Database!$A$1:$K$1,),)+VLOOKUP(A190,Database!A:K,MATCH($B$1,Database!$A$1:$K$1,),)</f>
        <v>18438</v>
      </c>
      <c r="C190" s="15">
        <f t="shared" si="4"/>
        <v>3.2552083333333332E-4</v>
      </c>
      <c r="D190" s="16">
        <f t="shared" si="5"/>
        <v>-6.9478106317660366E-3</v>
      </c>
    </row>
    <row r="191" spans="1:4" x14ac:dyDescent="0.2">
      <c r="A191" s="13">
        <v>39203</v>
      </c>
      <c r="B191" s="18">
        <f>VLOOKUP(A191,Database!A:K,MATCH($A$1,Database!$A$1:$K$1,),)+VLOOKUP(A191,Database!A:K,MATCH($B$1,Database!$A$1:$K$1,),)</f>
        <v>18421</v>
      </c>
      <c r="C191" s="15">
        <f t="shared" si="4"/>
        <v>-9.2200889467404274E-4</v>
      </c>
      <c r="D191" s="16">
        <f t="shared" si="5"/>
        <v>-4.2702702702702702E-3</v>
      </c>
    </row>
    <row r="192" spans="1:4" x14ac:dyDescent="0.2">
      <c r="A192" s="14">
        <v>39234</v>
      </c>
      <c r="B192" s="18">
        <f>VLOOKUP(A192,Database!A:K,MATCH($A$1,Database!$A$1:$K$1,),)+VLOOKUP(A192,Database!A:K,MATCH($B$1,Database!$A$1:$K$1,),)</f>
        <v>18287</v>
      </c>
      <c r="C192" s="15">
        <f t="shared" si="4"/>
        <v>-7.274306498018566E-3</v>
      </c>
      <c r="D192" s="16">
        <f t="shared" si="5"/>
        <v>-1.7620198764437281E-2</v>
      </c>
    </row>
    <row r="193" spans="1:4" x14ac:dyDescent="0.2">
      <c r="A193" s="13">
        <v>39264</v>
      </c>
      <c r="B193" s="18">
        <f>VLOOKUP(A193,Database!A:K,MATCH($A$1,Database!$A$1:$K$1,),)+VLOOKUP(A193,Database!A:K,MATCH($B$1,Database!$A$1:$K$1,),)</f>
        <v>18403</v>
      </c>
      <c r="C193" s="15">
        <f t="shared" si="4"/>
        <v>6.3433039864384533E-3</v>
      </c>
      <c r="D193" s="16">
        <f t="shared" si="5"/>
        <v>-8.8862559241706159E-3</v>
      </c>
    </row>
    <row r="194" spans="1:4" x14ac:dyDescent="0.2">
      <c r="A194" s="14">
        <v>39295</v>
      </c>
      <c r="B194" s="18">
        <f>VLOOKUP(A194,Database!A:K,MATCH($A$1,Database!$A$1:$K$1,),)+VLOOKUP(A194,Database!A:K,MATCH($B$1,Database!$A$1:$K$1,),)</f>
        <v>18574</v>
      </c>
      <c r="C194" s="15">
        <f t="shared" si="4"/>
        <v>9.2919632668586639E-3</v>
      </c>
      <c r="D194" s="16">
        <f t="shared" si="5"/>
        <v>1.5097595168769547E-3</v>
      </c>
    </row>
    <row r="195" spans="1:4" x14ac:dyDescent="0.2">
      <c r="A195" s="13">
        <v>39326</v>
      </c>
      <c r="B195" s="18">
        <f>VLOOKUP(A195,Database!A:K,MATCH($A$1,Database!$A$1:$K$1,),)+VLOOKUP(A195,Database!A:K,MATCH($B$1,Database!$A$1:$K$1,),)</f>
        <v>18315</v>
      </c>
      <c r="C195" s="15">
        <f t="shared" si="4"/>
        <v>-1.3944223107569721E-2</v>
      </c>
      <c r="D195" s="16">
        <f t="shared" si="5"/>
        <v>-2.095472283102582E-2</v>
      </c>
    </row>
    <row r="196" spans="1:4" x14ac:dyDescent="0.2">
      <c r="A196" s="14">
        <v>39356</v>
      </c>
      <c r="B196" s="18">
        <f>VLOOKUP(A196,Database!A:K,MATCH($A$1,Database!$A$1:$K$1,),)+VLOOKUP(A196,Database!A:K,MATCH($B$1,Database!$A$1:$K$1,),)</f>
        <v>18435</v>
      </c>
      <c r="C196" s="15">
        <f t="shared" si="4"/>
        <v>6.5520065520065524E-3</v>
      </c>
      <c r="D196" s="16">
        <f t="shared" si="5"/>
        <v>5.8380619816673944E-3</v>
      </c>
    </row>
    <row r="197" spans="1:4" x14ac:dyDescent="0.2">
      <c r="A197" s="13">
        <v>39387</v>
      </c>
      <c r="B197" s="18">
        <f>VLOOKUP(A197,Database!A:K,MATCH($A$1,Database!$A$1:$K$1,),)+VLOOKUP(A197,Database!A:K,MATCH($B$1,Database!$A$1:$K$1,),)</f>
        <v>18656</v>
      </c>
      <c r="C197" s="15">
        <f t="shared" si="4"/>
        <v>1.1988066178464877E-2</v>
      </c>
      <c r="D197" s="16">
        <f t="shared" si="5"/>
        <v>1.0125074449076831E-2</v>
      </c>
    </row>
    <row r="198" spans="1:4" x14ac:dyDescent="0.2">
      <c r="A198" s="14">
        <v>39417</v>
      </c>
      <c r="B198" s="18">
        <f>VLOOKUP(A198,Database!A:K,MATCH($A$1,Database!$A$1:$K$1,),)+VLOOKUP(A198,Database!A:K,MATCH($B$1,Database!$A$1:$K$1,),)</f>
        <v>18377</v>
      </c>
      <c r="C198" s="15">
        <f t="shared" si="4"/>
        <v>-1.4954974271012007E-2</v>
      </c>
      <c r="D198" s="16">
        <f t="shared" si="5"/>
        <v>-2.3123538167127367E-2</v>
      </c>
    </row>
    <row r="199" spans="1:4" x14ac:dyDescent="0.2">
      <c r="A199" s="13">
        <v>39448</v>
      </c>
      <c r="B199" s="18">
        <f>VLOOKUP(A199,Database!A:K,MATCH($A$1,Database!$A$1:$K$1,),)+VLOOKUP(A199,Database!A:K,MATCH($B$1,Database!$A$1:$K$1,),)</f>
        <v>18048</v>
      </c>
      <c r="C199" s="15">
        <f t="shared" si="4"/>
        <v>-1.7902813299232736E-2</v>
      </c>
      <c r="D199" s="16">
        <f t="shared" si="5"/>
        <v>-4.1936511306932794E-2</v>
      </c>
    </row>
    <row r="200" spans="1:4" x14ac:dyDescent="0.2">
      <c r="A200" s="14">
        <v>39479</v>
      </c>
      <c r="B200" s="18">
        <f>VLOOKUP(A200,Database!A:K,MATCH($A$1,Database!$A$1:$K$1,),)+VLOOKUP(A200,Database!A:K,MATCH($B$1,Database!$A$1:$K$1,),)</f>
        <v>17790</v>
      </c>
      <c r="C200" s="15">
        <f t="shared" si="4"/>
        <v>-1.4295212765957447E-2</v>
      </c>
      <c r="D200" s="16">
        <f t="shared" si="5"/>
        <v>-3.7962362102530824E-2</v>
      </c>
    </row>
    <row r="201" spans="1:4" x14ac:dyDescent="0.2">
      <c r="A201" s="13">
        <v>39508</v>
      </c>
      <c r="B201" s="18">
        <f>VLOOKUP(A201,Database!A:K,MATCH($A$1,Database!$A$1:$K$1,),)+VLOOKUP(A201,Database!A:K,MATCH($B$1,Database!$A$1:$K$1,),)</f>
        <v>17802</v>
      </c>
      <c r="C201" s="15">
        <f t="shared" ref="C201:C264" si="6">(B201-B200)/B200</f>
        <v>6.7453625632377741E-4</v>
      </c>
      <c r="D201" s="16">
        <f t="shared" si="5"/>
        <v>-3.41796875E-2</v>
      </c>
    </row>
    <row r="202" spans="1:4" x14ac:dyDescent="0.2">
      <c r="A202" s="14">
        <v>39539</v>
      </c>
      <c r="B202" s="18">
        <f>VLOOKUP(A202,Database!A:K,MATCH($A$1,Database!$A$1:$K$1,),)+VLOOKUP(A202,Database!A:K,MATCH($B$1,Database!$A$1:$K$1,),)</f>
        <v>17892</v>
      </c>
      <c r="C202" s="15">
        <f t="shared" si="6"/>
        <v>5.0556117290192111E-3</v>
      </c>
      <c r="D202" s="16">
        <f t="shared" si="5"/>
        <v>-2.9612756264236904E-2</v>
      </c>
    </row>
    <row r="203" spans="1:4" x14ac:dyDescent="0.2">
      <c r="A203" s="13">
        <v>39569</v>
      </c>
      <c r="B203" s="18">
        <f>VLOOKUP(A203,Database!A:K,MATCH($A$1,Database!$A$1:$K$1,),)+VLOOKUP(A203,Database!A:K,MATCH($B$1,Database!$A$1:$K$1,),)</f>
        <v>18117</v>
      </c>
      <c r="C203" s="15">
        <f t="shared" si="6"/>
        <v>1.2575452716297788E-2</v>
      </c>
      <c r="D203" s="16">
        <f t="shared" si="5"/>
        <v>-1.6502904294012268E-2</v>
      </c>
    </row>
    <row r="204" spans="1:4" x14ac:dyDescent="0.2">
      <c r="A204" s="14">
        <v>39600</v>
      </c>
      <c r="B204" s="18">
        <f>VLOOKUP(A204,Database!A:K,MATCH($A$1,Database!$A$1:$K$1,),)+VLOOKUP(A204,Database!A:K,MATCH($B$1,Database!$A$1:$K$1,),)</f>
        <v>17778</v>
      </c>
      <c r="C204" s="15">
        <f t="shared" si="6"/>
        <v>-1.8711707236297399E-2</v>
      </c>
      <c r="D204" s="16">
        <f t="shared" si="5"/>
        <v>-2.7833980423251491E-2</v>
      </c>
    </row>
    <row r="205" spans="1:4" x14ac:dyDescent="0.2">
      <c r="A205" s="13">
        <v>39630</v>
      </c>
      <c r="B205" s="18">
        <f>VLOOKUP(A205,Database!A:K,MATCH($A$1,Database!$A$1:$K$1,),)+VLOOKUP(A205,Database!A:K,MATCH($B$1,Database!$A$1:$K$1,),)</f>
        <v>17698</v>
      </c>
      <c r="C205" s="15">
        <f t="shared" si="6"/>
        <v>-4.4999437507031162E-3</v>
      </c>
      <c r="D205" s="16">
        <f t="shared" si="5"/>
        <v>-3.8308971363364669E-2</v>
      </c>
    </row>
    <row r="206" spans="1:4" x14ac:dyDescent="0.2">
      <c r="A206" s="14">
        <v>39661</v>
      </c>
      <c r="B206" s="18">
        <f>VLOOKUP(A206,Database!A:K,MATCH($A$1,Database!$A$1:$K$1,),)+VLOOKUP(A206,Database!A:K,MATCH($B$1,Database!$A$1:$K$1,),)</f>
        <v>17355</v>
      </c>
      <c r="C206" s="15">
        <f t="shared" si="6"/>
        <v>-1.9380720985422081E-2</v>
      </c>
      <c r="D206" s="16">
        <f t="shared" si="5"/>
        <v>-6.5629374394314627E-2</v>
      </c>
    </row>
    <row r="207" spans="1:4" x14ac:dyDescent="0.2">
      <c r="A207" s="13">
        <v>39692</v>
      </c>
      <c r="B207" s="18">
        <f>VLOOKUP(A207,Database!A:K,MATCH($A$1,Database!$A$1:$K$1,),)+VLOOKUP(A207,Database!A:K,MATCH($B$1,Database!$A$1:$K$1,),)</f>
        <v>16536</v>
      </c>
      <c r="C207" s="15">
        <f t="shared" si="6"/>
        <v>-4.7191011235955059E-2</v>
      </c>
      <c r="D207" s="16">
        <f t="shared" si="5"/>
        <v>-9.7133497133497129E-2</v>
      </c>
    </row>
    <row r="208" spans="1:4" x14ac:dyDescent="0.2">
      <c r="A208" s="14">
        <v>39722</v>
      </c>
      <c r="B208" s="18">
        <f>VLOOKUP(A208,Database!A:K,MATCH($A$1,Database!$A$1:$K$1,),)+VLOOKUP(A208,Database!A:K,MATCH($B$1,Database!$A$1:$K$1,),)</f>
        <v>16467</v>
      </c>
      <c r="C208" s="15">
        <f t="shared" si="6"/>
        <v>-4.1727140783744555E-3</v>
      </c>
      <c r="D208" s="16">
        <f t="shared" si="5"/>
        <v>-0.10675345809601301</v>
      </c>
    </row>
    <row r="209" spans="1:4" x14ac:dyDescent="0.2">
      <c r="A209" s="13">
        <v>39753</v>
      </c>
      <c r="B209" s="18">
        <f>VLOOKUP(A209,Database!A:K,MATCH($A$1,Database!$A$1:$K$1,),)+VLOOKUP(A209,Database!A:K,MATCH($B$1,Database!$A$1:$K$1,),)</f>
        <v>16377</v>
      </c>
      <c r="C209" s="15">
        <f t="shared" si="6"/>
        <v>-5.4654764073601746E-3</v>
      </c>
      <c r="D209" s="16">
        <f t="shared" si="5"/>
        <v>-0.12215909090909091</v>
      </c>
    </row>
    <row r="210" spans="1:4" x14ac:dyDescent="0.2">
      <c r="A210" s="14">
        <v>39783</v>
      </c>
      <c r="B210" s="18">
        <f>VLOOKUP(A210,Database!A:K,MATCH($A$1,Database!$A$1:$K$1,),)+VLOOKUP(A210,Database!A:K,MATCH($B$1,Database!$A$1:$K$1,),)</f>
        <v>15811</v>
      </c>
      <c r="C210" s="15">
        <f t="shared" si="6"/>
        <v>-3.4560664346339379E-2</v>
      </c>
      <c r="D210" s="16">
        <f t="shared" si="5"/>
        <v>-0.13963106056483648</v>
      </c>
    </row>
    <row r="211" spans="1:4" x14ac:dyDescent="0.2">
      <c r="A211" s="13">
        <v>39814</v>
      </c>
      <c r="B211" s="18">
        <f>VLOOKUP(A211,Database!A:K,MATCH($A$1,Database!$A$1:$K$1,),)+VLOOKUP(A211,Database!A:K,MATCH($B$1,Database!$A$1:$K$1,),)</f>
        <v>16247</v>
      </c>
      <c r="C211" s="15">
        <f t="shared" si="6"/>
        <v>2.7575738409967743E-2</v>
      </c>
      <c r="D211" s="16">
        <f t="shared" si="5"/>
        <v>-9.9789450354609927E-2</v>
      </c>
    </row>
    <row r="212" spans="1:4" x14ac:dyDescent="0.2">
      <c r="A212" s="14">
        <v>39845</v>
      </c>
      <c r="B212" s="18">
        <f>VLOOKUP(A212,Database!A:K,MATCH($A$1,Database!$A$1:$K$1,),)+VLOOKUP(A212,Database!A:K,MATCH($B$1,Database!$A$1:$K$1,),)</f>
        <v>16129</v>
      </c>
      <c r="C212" s="15">
        <f t="shared" si="6"/>
        <v>-7.2628793007939929E-3</v>
      </c>
      <c r="D212" s="16">
        <f t="shared" ref="D212:D275" si="7">(B212-B200)/B200</f>
        <v>-9.3367060146149525E-2</v>
      </c>
    </row>
    <row r="213" spans="1:4" x14ac:dyDescent="0.2">
      <c r="A213" s="13">
        <v>39873</v>
      </c>
      <c r="B213" s="18">
        <f>VLOOKUP(A213,Database!A:K,MATCH($A$1,Database!$A$1:$K$1,),)+VLOOKUP(A213,Database!A:K,MATCH($B$1,Database!$A$1:$K$1,),)</f>
        <v>15140</v>
      </c>
      <c r="C213" s="15">
        <f t="shared" si="6"/>
        <v>-6.1318122636245274E-2</v>
      </c>
      <c r="D213" s="16">
        <f t="shared" si="7"/>
        <v>-0.14953376025165713</v>
      </c>
    </row>
    <row r="214" spans="1:4" x14ac:dyDescent="0.2">
      <c r="A214" s="14">
        <v>39904</v>
      </c>
      <c r="B214" s="18">
        <f>VLOOKUP(A214,Database!A:K,MATCH($A$1,Database!$A$1:$K$1,),)+VLOOKUP(A214,Database!A:K,MATCH($B$1,Database!$A$1:$K$1,),)</f>
        <v>15116</v>
      </c>
      <c r="C214" s="15">
        <f t="shared" si="6"/>
        <v>-1.5852047556142669E-3</v>
      </c>
      <c r="D214" s="16">
        <f t="shared" si="7"/>
        <v>-0.15515314106863404</v>
      </c>
    </row>
    <row r="215" spans="1:4" x14ac:dyDescent="0.2">
      <c r="A215" s="13">
        <v>39934</v>
      </c>
      <c r="B215" s="18">
        <f>VLOOKUP(A215,Database!A:K,MATCH($A$1,Database!$A$1:$K$1,),)+VLOOKUP(A215,Database!A:K,MATCH($B$1,Database!$A$1:$K$1,),)</f>
        <v>15113</v>
      </c>
      <c r="C215" s="15">
        <f t="shared" si="6"/>
        <v>-1.9846520243450649E-4</v>
      </c>
      <c r="D215" s="16">
        <f t="shared" si="7"/>
        <v>-0.16581111663078876</v>
      </c>
    </row>
    <row r="216" spans="1:4" x14ac:dyDescent="0.2">
      <c r="A216" s="14">
        <v>39965</v>
      </c>
      <c r="B216" s="18">
        <f>VLOOKUP(A216,Database!A:K,MATCH($A$1,Database!$A$1:$K$1,),)+VLOOKUP(A216,Database!A:K,MATCH($B$1,Database!$A$1:$K$1,),)</f>
        <v>15131</v>
      </c>
      <c r="C216" s="15">
        <f t="shared" si="6"/>
        <v>1.191027592139218E-3</v>
      </c>
      <c r="D216" s="16">
        <f t="shared" si="7"/>
        <v>-0.14889188885138935</v>
      </c>
    </row>
    <row r="217" spans="1:4" x14ac:dyDescent="0.2">
      <c r="A217" s="13">
        <v>39995</v>
      </c>
      <c r="B217" s="18">
        <f>VLOOKUP(A217,Database!A:K,MATCH($A$1,Database!$A$1:$K$1,),)+VLOOKUP(A217,Database!A:K,MATCH($B$1,Database!$A$1:$K$1,),)</f>
        <v>15004</v>
      </c>
      <c r="C217" s="15">
        <f t="shared" si="6"/>
        <v>-8.3933646156896437E-3</v>
      </c>
      <c r="D217" s="16">
        <f t="shared" si="7"/>
        <v>-0.15222058989716353</v>
      </c>
    </row>
    <row r="218" spans="1:4" x14ac:dyDescent="0.2">
      <c r="A218" s="14">
        <v>40026</v>
      </c>
      <c r="B218" s="18">
        <f>VLOOKUP(A218,Database!A:K,MATCH($A$1,Database!$A$1:$K$1,),)+VLOOKUP(A218,Database!A:K,MATCH($B$1,Database!$A$1:$K$1,),)</f>
        <v>14991</v>
      </c>
      <c r="C218" s="15">
        <f t="shared" si="6"/>
        <v>-8.6643561716875505E-4</v>
      </c>
      <c r="D218" s="16">
        <f t="shared" si="7"/>
        <v>-0.1362143474503025</v>
      </c>
    </row>
    <row r="219" spans="1:4" x14ac:dyDescent="0.2">
      <c r="A219" s="13">
        <v>40057</v>
      </c>
      <c r="B219" s="18">
        <f>VLOOKUP(A219,Database!A:K,MATCH($A$1,Database!$A$1:$K$1,),)+VLOOKUP(A219,Database!A:K,MATCH($B$1,Database!$A$1:$K$1,),)</f>
        <v>14946</v>
      </c>
      <c r="C219" s="15">
        <f t="shared" si="6"/>
        <v>-3.0018010806483891E-3</v>
      </c>
      <c r="D219" s="16">
        <f t="shared" si="7"/>
        <v>-9.6153846153846159E-2</v>
      </c>
    </row>
    <row r="220" spans="1:4" x14ac:dyDescent="0.2">
      <c r="A220" s="14">
        <v>40087</v>
      </c>
      <c r="B220" s="18">
        <f>VLOOKUP(A220,Database!A:K,MATCH($A$1,Database!$A$1:$K$1,),)+VLOOKUP(A220,Database!A:K,MATCH($B$1,Database!$A$1:$K$1,),)</f>
        <v>14835</v>
      </c>
      <c r="C220" s="15">
        <f t="shared" si="6"/>
        <v>-7.4267362505018066E-3</v>
      </c>
      <c r="D220" s="16">
        <f t="shared" si="7"/>
        <v>-9.9107305520131167E-2</v>
      </c>
    </row>
    <row r="221" spans="1:4" x14ac:dyDescent="0.2">
      <c r="A221" s="13">
        <v>40118</v>
      </c>
      <c r="B221" s="18">
        <f>VLOOKUP(A221,Database!A:K,MATCH($A$1,Database!$A$1:$K$1,),)+VLOOKUP(A221,Database!A:K,MATCH($B$1,Database!$A$1:$K$1,),)</f>
        <v>15199</v>
      </c>
      <c r="C221" s="15">
        <f t="shared" si="6"/>
        <v>2.4536568924839904E-2</v>
      </c>
      <c r="D221" s="16">
        <f t="shared" si="7"/>
        <v>-7.1930145936374187E-2</v>
      </c>
    </row>
    <row r="222" spans="1:4" x14ac:dyDescent="0.2">
      <c r="A222" s="14">
        <v>40148</v>
      </c>
      <c r="B222" s="18">
        <f>VLOOKUP(A222,Database!A:K,MATCH($A$1,Database!$A$1:$K$1,),)+VLOOKUP(A222,Database!A:K,MATCH($B$1,Database!$A$1:$K$1,),)</f>
        <v>15092</v>
      </c>
      <c r="C222" s="15">
        <f t="shared" si="6"/>
        <v>-7.039936837949865E-3</v>
      </c>
      <c r="D222" s="16">
        <f t="shared" si="7"/>
        <v>-4.5474669533868826E-2</v>
      </c>
    </row>
    <row r="223" spans="1:4" x14ac:dyDescent="0.2">
      <c r="A223" s="13">
        <v>40179</v>
      </c>
      <c r="B223" s="18">
        <f>VLOOKUP(A223,Database!A:K,MATCH($A$1,Database!$A$1:$K$1,),)+VLOOKUP(A223,Database!A:K,MATCH($B$1,Database!$A$1:$K$1,),)</f>
        <v>15234</v>
      </c>
      <c r="C223" s="15">
        <f t="shared" si="6"/>
        <v>9.4089583885502252E-3</v>
      </c>
      <c r="D223" s="16">
        <f t="shared" si="7"/>
        <v>-6.2349972302578938E-2</v>
      </c>
    </row>
    <row r="224" spans="1:4" x14ac:dyDescent="0.2">
      <c r="A224" s="14">
        <v>40210</v>
      </c>
      <c r="B224" s="18">
        <f>VLOOKUP(A224,Database!A:K,MATCH($A$1,Database!$A$1:$K$1,),)+VLOOKUP(A224,Database!A:K,MATCH($B$1,Database!$A$1:$K$1,),)</f>
        <v>15622</v>
      </c>
      <c r="C224" s="15">
        <f t="shared" si="6"/>
        <v>2.546934488643823E-2</v>
      </c>
      <c r="D224" s="16">
        <f t="shared" si="7"/>
        <v>-3.1434062868125737E-2</v>
      </c>
    </row>
    <row r="225" spans="1:4" x14ac:dyDescent="0.2">
      <c r="A225" s="13">
        <v>40238</v>
      </c>
      <c r="B225" s="18">
        <f>VLOOKUP(A225,Database!A:K,MATCH($A$1,Database!$A$1:$K$1,),)+VLOOKUP(A225,Database!A:K,MATCH($B$1,Database!$A$1:$K$1,),)</f>
        <v>15376</v>
      </c>
      <c r="C225" s="15">
        <f t="shared" si="6"/>
        <v>-1.574702342849827E-2</v>
      </c>
      <c r="D225" s="16">
        <f t="shared" si="7"/>
        <v>1.5587846763540291E-2</v>
      </c>
    </row>
    <row r="226" spans="1:4" x14ac:dyDescent="0.2">
      <c r="A226" s="14">
        <v>40269</v>
      </c>
      <c r="B226" s="18">
        <f>VLOOKUP(A226,Database!A:K,MATCH($A$1,Database!$A$1:$K$1,),)+VLOOKUP(A226,Database!A:K,MATCH($B$1,Database!$A$1:$K$1,),)</f>
        <v>15410</v>
      </c>
      <c r="C226" s="15">
        <f t="shared" si="6"/>
        <v>2.2112382934443287E-3</v>
      </c>
      <c r="D226" s="16">
        <f t="shared" si="7"/>
        <v>1.9449589838581634E-2</v>
      </c>
    </row>
    <row r="227" spans="1:4" x14ac:dyDescent="0.2">
      <c r="A227" s="13">
        <v>40299</v>
      </c>
      <c r="B227" s="18">
        <f>VLOOKUP(A227,Database!A:K,MATCH($A$1,Database!$A$1:$K$1,),)+VLOOKUP(A227,Database!A:K,MATCH($B$1,Database!$A$1:$K$1,),)</f>
        <v>15483</v>
      </c>
      <c r="C227" s="15">
        <f t="shared" si="6"/>
        <v>4.7371836469824787E-3</v>
      </c>
      <c r="D227" s="16">
        <f t="shared" si="7"/>
        <v>2.4482233838417258E-2</v>
      </c>
    </row>
    <row r="228" spans="1:4" x14ac:dyDescent="0.2">
      <c r="A228" s="14">
        <v>40330</v>
      </c>
      <c r="B228" s="18">
        <f>VLOOKUP(A228,Database!A:K,MATCH($A$1,Database!$A$1:$K$1,),)+VLOOKUP(A228,Database!A:K,MATCH($B$1,Database!$A$1:$K$1,),)</f>
        <v>15573</v>
      </c>
      <c r="C228" s="15">
        <f t="shared" si="6"/>
        <v>5.8128269715171481E-3</v>
      </c>
      <c r="D228" s="16">
        <f t="shared" si="7"/>
        <v>2.9211552442006478E-2</v>
      </c>
    </row>
    <row r="229" spans="1:4" x14ac:dyDescent="0.2">
      <c r="A229" s="13">
        <v>40360</v>
      </c>
      <c r="B229" s="18">
        <f>VLOOKUP(A229,Database!A:K,MATCH($A$1,Database!$A$1:$K$1,),)+VLOOKUP(A229,Database!A:K,MATCH($B$1,Database!$A$1:$K$1,),)</f>
        <v>15455</v>
      </c>
      <c r="C229" s="15">
        <f t="shared" si="6"/>
        <v>-7.5772169781031275E-3</v>
      </c>
      <c r="D229" s="16">
        <f t="shared" si="7"/>
        <v>3.0058651026392963E-2</v>
      </c>
    </row>
    <row r="230" spans="1:4" x14ac:dyDescent="0.2">
      <c r="A230" s="14">
        <v>40391</v>
      </c>
      <c r="B230" s="18">
        <f>VLOOKUP(A230,Database!A:K,MATCH($A$1,Database!$A$1:$K$1,),)+VLOOKUP(A230,Database!A:K,MATCH($B$1,Database!$A$1:$K$1,),)</f>
        <v>15467</v>
      </c>
      <c r="C230" s="15">
        <f t="shared" si="6"/>
        <v>7.7644775153671945E-4</v>
      </c>
      <c r="D230" s="16">
        <f t="shared" si="7"/>
        <v>3.175238476419185E-2</v>
      </c>
    </row>
    <row r="231" spans="1:4" x14ac:dyDescent="0.2">
      <c r="A231" s="13">
        <v>40422</v>
      </c>
      <c r="B231" s="18">
        <f>VLOOKUP(A231,Database!A:K,MATCH($A$1,Database!$A$1:$K$1,),)+VLOOKUP(A231,Database!A:K,MATCH($B$1,Database!$A$1:$K$1,),)</f>
        <v>15501</v>
      </c>
      <c r="C231" s="15">
        <f t="shared" si="6"/>
        <v>2.1982284864550334E-3</v>
      </c>
      <c r="D231" s="16">
        <f t="shared" si="7"/>
        <v>3.7133681252509029E-2</v>
      </c>
    </row>
    <row r="232" spans="1:4" x14ac:dyDescent="0.2">
      <c r="A232" s="14">
        <v>40452</v>
      </c>
      <c r="B232" s="18">
        <f>VLOOKUP(A232,Database!A:K,MATCH($A$1,Database!$A$1:$K$1,),)+VLOOKUP(A232,Database!A:K,MATCH($B$1,Database!$A$1:$K$1,),)</f>
        <v>15249</v>
      </c>
      <c r="C232" s="15">
        <f t="shared" si="6"/>
        <v>-1.6257015676407974E-2</v>
      </c>
      <c r="D232" s="16">
        <f t="shared" si="7"/>
        <v>2.7906976744186046E-2</v>
      </c>
    </row>
    <row r="233" spans="1:4" x14ac:dyDescent="0.2">
      <c r="A233" s="13">
        <v>40483</v>
      </c>
      <c r="B233" s="18">
        <f>VLOOKUP(A233,Database!A:K,MATCH($A$1,Database!$A$1:$K$1,),)+VLOOKUP(A233,Database!A:K,MATCH($B$1,Database!$A$1:$K$1,),)</f>
        <v>15219</v>
      </c>
      <c r="C233" s="15">
        <f t="shared" si="6"/>
        <v>-1.9673421207948064E-3</v>
      </c>
      <c r="D233" s="16">
        <f t="shared" si="7"/>
        <v>1.3158760444766102E-3</v>
      </c>
    </row>
    <row r="234" spans="1:4" x14ac:dyDescent="0.2">
      <c r="A234" s="14">
        <v>40513</v>
      </c>
      <c r="B234" s="18">
        <f>VLOOKUP(A234,Database!A:K,MATCH($A$1,Database!$A$1:$K$1,),)+VLOOKUP(A234,Database!A:K,MATCH($B$1,Database!$A$1:$K$1,),)</f>
        <v>15342</v>
      </c>
      <c r="C234" s="15">
        <f t="shared" si="6"/>
        <v>8.0820027597082594E-3</v>
      </c>
      <c r="D234" s="16">
        <f t="shared" si="7"/>
        <v>1.6565067585475747E-2</v>
      </c>
    </row>
    <row r="235" spans="1:4" x14ac:dyDescent="0.2">
      <c r="A235" s="13">
        <v>40544</v>
      </c>
      <c r="B235" s="18">
        <f>VLOOKUP(A235,Database!A:K,MATCH($A$1,Database!$A$1:$K$1,),)+VLOOKUP(A235,Database!A:K,MATCH($B$1,Database!$A$1:$K$1,),)</f>
        <v>15210</v>
      </c>
      <c r="C235" s="15">
        <f t="shared" si="6"/>
        <v>-8.6038326163472827E-3</v>
      </c>
      <c r="D235" s="16">
        <f t="shared" si="7"/>
        <v>-1.5754233950374162E-3</v>
      </c>
    </row>
    <row r="236" spans="1:4" x14ac:dyDescent="0.2">
      <c r="A236" s="14">
        <v>40575</v>
      </c>
      <c r="B236" s="18">
        <f>VLOOKUP(A236,Database!A:K,MATCH($A$1,Database!$A$1:$K$1,),)+VLOOKUP(A236,Database!A:K,MATCH($B$1,Database!$A$1:$K$1,),)</f>
        <v>15501</v>
      </c>
      <c r="C236" s="15">
        <f t="shared" si="6"/>
        <v>1.9132149901380669E-2</v>
      </c>
      <c r="D236" s="16">
        <f t="shared" si="7"/>
        <v>-7.7454871335296376E-3</v>
      </c>
    </row>
    <row r="237" spans="1:4" x14ac:dyDescent="0.2">
      <c r="A237" s="13">
        <v>40603</v>
      </c>
      <c r="B237" s="18">
        <f>VLOOKUP(A237,Database!A:K,MATCH($A$1,Database!$A$1:$K$1,),)+VLOOKUP(A237,Database!A:K,MATCH($B$1,Database!$A$1:$K$1,),)</f>
        <v>15881</v>
      </c>
      <c r="C237" s="15">
        <f t="shared" si="6"/>
        <v>2.4514547448551707E-2</v>
      </c>
      <c r="D237" s="16">
        <f t="shared" si="7"/>
        <v>3.2843392299687822E-2</v>
      </c>
    </row>
    <row r="238" spans="1:4" x14ac:dyDescent="0.2">
      <c r="A238" s="14">
        <v>40634</v>
      </c>
      <c r="B238" s="18">
        <f>VLOOKUP(A238,Database!A:K,MATCH($A$1,Database!$A$1:$K$1,),)+VLOOKUP(A238,Database!A:K,MATCH($B$1,Database!$A$1:$K$1,),)</f>
        <v>15842</v>
      </c>
      <c r="C238" s="15">
        <f t="shared" si="6"/>
        <v>-2.4557647503305837E-3</v>
      </c>
      <c r="D238" s="16">
        <f t="shared" si="7"/>
        <v>2.8033744321868916E-2</v>
      </c>
    </row>
    <row r="239" spans="1:4" x14ac:dyDescent="0.2">
      <c r="A239" s="13">
        <v>40664</v>
      </c>
      <c r="B239" s="18">
        <f>VLOOKUP(A239,Database!A:K,MATCH($A$1,Database!$A$1:$K$1,),)+VLOOKUP(A239,Database!A:K,MATCH($B$1,Database!$A$1:$K$1,),)</f>
        <v>15670</v>
      </c>
      <c r="C239" s="15">
        <f t="shared" si="6"/>
        <v>-1.0857214998106299E-2</v>
      </c>
      <c r="D239" s="16">
        <f t="shared" si="7"/>
        <v>1.207776270748563E-2</v>
      </c>
    </row>
    <row r="240" spans="1:4" x14ac:dyDescent="0.2">
      <c r="A240" s="14">
        <v>40695</v>
      </c>
      <c r="B240" s="18">
        <f>VLOOKUP(A240,Database!A:K,MATCH($A$1,Database!$A$1:$K$1,),)+VLOOKUP(A240,Database!A:K,MATCH($B$1,Database!$A$1:$K$1,),)</f>
        <v>15666</v>
      </c>
      <c r="C240" s="15">
        <f t="shared" si="6"/>
        <v>-2.5526483726866624E-4</v>
      </c>
      <c r="D240" s="16">
        <f t="shared" si="7"/>
        <v>5.9718743979965327E-3</v>
      </c>
    </row>
    <row r="241" spans="1:4" x14ac:dyDescent="0.2">
      <c r="A241" s="13">
        <v>40725</v>
      </c>
      <c r="B241" s="18">
        <f>VLOOKUP(A241,Database!A:K,MATCH($A$1,Database!$A$1:$K$1,),)+VLOOKUP(A241,Database!A:K,MATCH($B$1,Database!$A$1:$K$1,),)</f>
        <v>15820</v>
      </c>
      <c r="C241" s="15">
        <f t="shared" si="6"/>
        <v>9.8302055406613055E-3</v>
      </c>
      <c r="D241" s="16">
        <f t="shared" si="7"/>
        <v>2.361695244257522E-2</v>
      </c>
    </row>
    <row r="242" spans="1:4" x14ac:dyDescent="0.2">
      <c r="A242" s="14">
        <v>40756</v>
      </c>
      <c r="B242" s="18">
        <f>VLOOKUP(A242,Database!A:K,MATCH($A$1,Database!$A$1:$K$1,),)+VLOOKUP(A242,Database!A:K,MATCH($B$1,Database!$A$1:$K$1,),)</f>
        <v>15948</v>
      </c>
      <c r="C242" s="15">
        <f t="shared" si="6"/>
        <v>8.0910240202275597E-3</v>
      </c>
      <c r="D242" s="16">
        <f t="shared" si="7"/>
        <v>3.1098467705437383E-2</v>
      </c>
    </row>
    <row r="243" spans="1:4" x14ac:dyDescent="0.2">
      <c r="A243" s="13">
        <v>40787</v>
      </c>
      <c r="B243" s="18">
        <f>VLOOKUP(A243,Database!A:K,MATCH($A$1,Database!$A$1:$K$1,),)+VLOOKUP(A243,Database!A:K,MATCH($B$1,Database!$A$1:$K$1,),)</f>
        <v>15877</v>
      </c>
      <c r="C243" s="15">
        <f t="shared" si="6"/>
        <v>-4.4519688989214951E-3</v>
      </c>
      <c r="D243" s="16">
        <f t="shared" si="7"/>
        <v>2.4256499580672216E-2</v>
      </c>
    </row>
    <row r="244" spans="1:4" x14ac:dyDescent="0.2">
      <c r="A244" s="14">
        <v>40817</v>
      </c>
      <c r="B244" s="18">
        <f>VLOOKUP(A244,Database!A:K,MATCH($A$1,Database!$A$1:$K$1,),)+VLOOKUP(A244,Database!A:K,MATCH($B$1,Database!$A$1:$K$1,),)</f>
        <v>16040</v>
      </c>
      <c r="C244" s="15">
        <f t="shared" si="6"/>
        <v>1.0266423127794924E-2</v>
      </c>
      <c r="D244" s="16">
        <f t="shared" si="7"/>
        <v>5.1872253918289722E-2</v>
      </c>
    </row>
    <row r="245" spans="1:4" x14ac:dyDescent="0.2">
      <c r="A245" s="13">
        <v>40848</v>
      </c>
      <c r="B245" s="18">
        <f>VLOOKUP(A245,Database!A:K,MATCH($A$1,Database!$A$1:$K$1,),)+VLOOKUP(A245,Database!A:K,MATCH($B$1,Database!$A$1:$K$1,),)</f>
        <v>16031</v>
      </c>
      <c r="C245" s="15">
        <f t="shared" si="6"/>
        <v>-5.6109725685785539E-4</v>
      </c>
      <c r="D245" s="16">
        <f t="shared" si="7"/>
        <v>5.3354359681976479E-2</v>
      </c>
    </row>
    <row r="246" spans="1:4" x14ac:dyDescent="0.2">
      <c r="A246" s="14">
        <v>40878</v>
      </c>
      <c r="B246" s="18">
        <f>VLOOKUP(A246,Database!A:K,MATCH($A$1,Database!$A$1:$K$1,),)+VLOOKUP(A246,Database!A:K,MATCH($B$1,Database!$A$1:$K$1,),)</f>
        <v>15993</v>
      </c>
      <c r="C246" s="15">
        <f t="shared" si="6"/>
        <v>-2.3704073357869128E-3</v>
      </c>
      <c r="D246" s="16">
        <f t="shared" si="7"/>
        <v>4.2432538130621825E-2</v>
      </c>
    </row>
    <row r="247" spans="1:4" x14ac:dyDescent="0.2">
      <c r="A247" s="13">
        <v>40909</v>
      </c>
      <c r="B247" s="18">
        <f>VLOOKUP(A247,Database!A:K,MATCH($A$1,Database!$A$1:$K$1,),)+VLOOKUP(A247,Database!A:K,MATCH($B$1,Database!$A$1:$K$1,),)</f>
        <v>16168</v>
      </c>
      <c r="C247" s="15">
        <f t="shared" si="6"/>
        <v>1.0942287250672169E-2</v>
      </c>
      <c r="D247" s="16">
        <f t="shared" si="7"/>
        <v>6.2984878369493749E-2</v>
      </c>
    </row>
    <row r="248" spans="1:4" x14ac:dyDescent="0.2">
      <c r="A248" s="14">
        <v>40940</v>
      </c>
      <c r="B248" s="18">
        <f>VLOOKUP(A248,Database!A:K,MATCH($A$1,Database!$A$1:$K$1,),)+VLOOKUP(A248,Database!A:K,MATCH($B$1,Database!$A$1:$K$1,),)</f>
        <v>16165</v>
      </c>
      <c r="C248" s="15">
        <f t="shared" si="6"/>
        <v>-1.8555170707570509E-4</v>
      </c>
      <c r="D248" s="16">
        <f t="shared" si="7"/>
        <v>4.2835946067995616E-2</v>
      </c>
    </row>
    <row r="249" spans="1:4" x14ac:dyDescent="0.2">
      <c r="A249" s="13">
        <v>40969</v>
      </c>
      <c r="B249" s="18">
        <f>VLOOKUP(A249,Database!A:K,MATCH($A$1,Database!$A$1:$K$1,),)+VLOOKUP(A249,Database!A:K,MATCH($B$1,Database!$A$1:$K$1,),)</f>
        <v>16294</v>
      </c>
      <c r="C249" s="15">
        <f t="shared" si="6"/>
        <v>7.9802041447571918E-3</v>
      </c>
      <c r="D249" s="16">
        <f t="shared" si="7"/>
        <v>2.6005919022731565E-2</v>
      </c>
    </row>
    <row r="250" spans="1:4" x14ac:dyDescent="0.2">
      <c r="A250" s="14">
        <v>41000</v>
      </c>
      <c r="B250" s="18">
        <f>VLOOKUP(A250,Database!A:K,MATCH($A$1,Database!$A$1:$K$1,),)+VLOOKUP(A250,Database!A:K,MATCH($B$1,Database!$A$1:$K$1,),)</f>
        <v>16071</v>
      </c>
      <c r="C250" s="15">
        <f t="shared" si="6"/>
        <v>-1.3686019393641832E-2</v>
      </c>
      <c r="D250" s="16">
        <f t="shared" si="7"/>
        <v>1.4455245549804317E-2</v>
      </c>
    </row>
    <row r="251" spans="1:4" x14ac:dyDescent="0.2">
      <c r="A251" s="13">
        <v>41030</v>
      </c>
      <c r="B251" s="18">
        <f>VLOOKUP(A251,Database!A:K,MATCH($A$1,Database!$A$1:$K$1,),)+VLOOKUP(A251,Database!A:K,MATCH($B$1,Database!$A$1:$K$1,),)</f>
        <v>16375</v>
      </c>
      <c r="C251" s="15">
        <f t="shared" si="6"/>
        <v>1.891605998382179E-2</v>
      </c>
      <c r="D251" s="16">
        <f t="shared" si="7"/>
        <v>4.4990427568602422E-2</v>
      </c>
    </row>
    <row r="252" spans="1:4" x14ac:dyDescent="0.2">
      <c r="A252" s="14">
        <v>41061</v>
      </c>
      <c r="B252" s="18">
        <f>VLOOKUP(A252,Database!A:K,MATCH($A$1,Database!$A$1:$K$1,),)+VLOOKUP(A252,Database!A:K,MATCH($B$1,Database!$A$1:$K$1,),)</f>
        <v>16202</v>
      </c>
      <c r="C252" s="15">
        <f t="shared" si="6"/>
        <v>-1.0564885496183207E-2</v>
      </c>
      <c r="D252" s="16">
        <f t="shared" si="7"/>
        <v>3.4214221881782206E-2</v>
      </c>
    </row>
    <row r="253" spans="1:4" x14ac:dyDescent="0.2">
      <c r="A253" s="13">
        <v>41091</v>
      </c>
      <c r="B253" s="18">
        <f>VLOOKUP(A253,Database!A:K,MATCH($A$1,Database!$A$1:$K$1,),)+VLOOKUP(A253,Database!A:K,MATCH($B$1,Database!$A$1:$K$1,),)</f>
        <v>16409</v>
      </c>
      <c r="C253" s="15">
        <f t="shared" si="6"/>
        <v>1.2776200469077891E-2</v>
      </c>
      <c r="D253" s="16">
        <f t="shared" si="7"/>
        <v>3.7231352718078384E-2</v>
      </c>
    </row>
    <row r="254" spans="1:4" x14ac:dyDescent="0.2">
      <c r="A254" s="14">
        <v>41122</v>
      </c>
      <c r="B254" s="18">
        <f>VLOOKUP(A254,Database!A:K,MATCH($A$1,Database!$A$1:$K$1,),)+VLOOKUP(A254,Database!A:K,MATCH($B$1,Database!$A$1:$K$1,),)</f>
        <v>16240</v>
      </c>
      <c r="C254" s="15">
        <f t="shared" si="6"/>
        <v>-1.0299226034493266E-2</v>
      </c>
      <c r="D254" s="16">
        <f t="shared" si="7"/>
        <v>1.8309505894156006E-2</v>
      </c>
    </row>
    <row r="255" spans="1:4" x14ac:dyDescent="0.2">
      <c r="A255" s="13">
        <v>41153</v>
      </c>
      <c r="B255" s="18">
        <f>VLOOKUP(A255,Database!A:K,MATCH($A$1,Database!$A$1:$K$1,),)+VLOOKUP(A255,Database!A:K,MATCH($B$1,Database!$A$1:$K$1,),)</f>
        <v>16242</v>
      </c>
      <c r="C255" s="15">
        <f t="shared" si="6"/>
        <v>1.231527093596059E-4</v>
      </c>
      <c r="D255" s="16">
        <f t="shared" si="7"/>
        <v>2.2989229703344459E-2</v>
      </c>
    </row>
    <row r="256" spans="1:4" x14ac:dyDescent="0.2">
      <c r="A256" s="14">
        <v>41183</v>
      </c>
      <c r="B256" s="18">
        <f>VLOOKUP(A256,Database!A:K,MATCH($A$1,Database!$A$1:$K$1,),)+VLOOKUP(A256,Database!A:K,MATCH($B$1,Database!$A$1:$K$1,),)</f>
        <v>15730</v>
      </c>
      <c r="C256" s="15">
        <f t="shared" si="6"/>
        <v>-3.152321142716414E-2</v>
      </c>
      <c r="D256" s="16">
        <f t="shared" si="7"/>
        <v>-1.9326683291770574E-2</v>
      </c>
    </row>
    <row r="257" spans="1:4" x14ac:dyDescent="0.2">
      <c r="A257" s="13">
        <v>41214</v>
      </c>
      <c r="B257" s="18">
        <f>VLOOKUP(A257,Database!A:K,MATCH($A$1,Database!$A$1:$K$1,),)+VLOOKUP(A257,Database!A:K,MATCH($B$1,Database!$A$1:$K$1,),)</f>
        <v>16273</v>
      </c>
      <c r="C257" s="15">
        <f t="shared" si="6"/>
        <v>3.4520025429116336E-2</v>
      </c>
      <c r="D257" s="16">
        <f t="shared" si="7"/>
        <v>1.5095751980537708E-2</v>
      </c>
    </row>
    <row r="258" spans="1:4" x14ac:dyDescent="0.2">
      <c r="A258" s="14">
        <v>41244</v>
      </c>
      <c r="B258" s="18">
        <f>VLOOKUP(A258,Database!A:K,MATCH($A$1,Database!$A$1:$K$1,),)+VLOOKUP(A258,Database!A:K,MATCH($B$1,Database!$A$1:$K$1,),)</f>
        <v>16772</v>
      </c>
      <c r="C258" s="15">
        <f t="shared" si="6"/>
        <v>3.0664290542616605E-2</v>
      </c>
      <c r="D258" s="16">
        <f t="shared" si="7"/>
        <v>4.8708810104420686E-2</v>
      </c>
    </row>
    <row r="259" spans="1:4" x14ac:dyDescent="0.2">
      <c r="A259" s="13">
        <v>41275</v>
      </c>
      <c r="B259" s="18">
        <f>VLOOKUP(A259,Database!A:K,MATCH($A$1,Database!$A$1:$K$1,),)+VLOOKUP(A259,Database!A:K,MATCH($B$1,Database!$A$1:$K$1,),)</f>
        <v>16723</v>
      </c>
      <c r="C259" s="15">
        <f t="shared" si="6"/>
        <v>-2.9215358931552588E-3</v>
      </c>
      <c r="D259" s="16">
        <f t="shared" si="7"/>
        <v>3.4327065809005443E-2</v>
      </c>
    </row>
    <row r="260" spans="1:4" x14ac:dyDescent="0.2">
      <c r="A260" s="14">
        <v>41306</v>
      </c>
      <c r="B260" s="18">
        <f>VLOOKUP(A260,Database!A:K,MATCH($A$1,Database!$A$1:$K$1,),)+VLOOKUP(A260,Database!A:K,MATCH($B$1,Database!$A$1:$K$1,),)</f>
        <v>16727</v>
      </c>
      <c r="C260" s="15">
        <f t="shared" si="6"/>
        <v>2.3919153261974527E-4</v>
      </c>
      <c r="D260" s="16">
        <f t="shared" si="7"/>
        <v>3.4766470770182495E-2</v>
      </c>
    </row>
    <row r="261" spans="1:4" x14ac:dyDescent="0.2">
      <c r="A261" s="13">
        <v>41334</v>
      </c>
      <c r="B261" s="18">
        <f>VLOOKUP(A261,Database!A:K,MATCH($A$1,Database!$A$1:$K$1,),)+VLOOKUP(A261,Database!A:K,MATCH($B$1,Database!$A$1:$K$1,),)</f>
        <v>16509</v>
      </c>
      <c r="C261" s="15">
        <f t="shared" si="6"/>
        <v>-1.3032821187301967E-2</v>
      </c>
      <c r="D261" s="16">
        <f t="shared" si="7"/>
        <v>1.3195041119430465E-2</v>
      </c>
    </row>
    <row r="262" spans="1:4" x14ac:dyDescent="0.2">
      <c r="A262" s="14">
        <v>41365</v>
      </c>
      <c r="B262" s="18">
        <f>VLOOKUP(A262,Database!A:K,MATCH($A$1,Database!$A$1:$K$1,),)+VLOOKUP(A262,Database!A:K,MATCH($B$1,Database!$A$1:$K$1,),)</f>
        <v>16502</v>
      </c>
      <c r="C262" s="15">
        <f t="shared" si="6"/>
        <v>-4.2401114543582291E-4</v>
      </c>
      <c r="D262" s="16">
        <f t="shared" si="7"/>
        <v>2.6818492937589446E-2</v>
      </c>
    </row>
    <row r="263" spans="1:4" x14ac:dyDescent="0.2">
      <c r="A263" s="13">
        <v>41395</v>
      </c>
      <c r="B263" s="18">
        <f>VLOOKUP(A263,Database!A:K,MATCH($A$1,Database!$A$1:$K$1,),)+VLOOKUP(A263,Database!A:K,MATCH($B$1,Database!$A$1:$K$1,),)</f>
        <v>16422</v>
      </c>
      <c r="C263" s="15">
        <f t="shared" si="6"/>
        <v>-4.8478972245788393E-3</v>
      </c>
      <c r="D263" s="16">
        <f t="shared" si="7"/>
        <v>2.870229007633588E-3</v>
      </c>
    </row>
    <row r="264" spans="1:4" x14ac:dyDescent="0.2">
      <c r="A264" s="14">
        <v>41426</v>
      </c>
      <c r="B264" s="18">
        <f>VLOOKUP(A264,Database!A:K,MATCH($A$1,Database!$A$1:$K$1,),)+VLOOKUP(A264,Database!A:K,MATCH($B$1,Database!$A$1:$K$1,),)</f>
        <v>16644</v>
      </c>
      <c r="C264" s="15">
        <f t="shared" si="6"/>
        <v>1.351845085860431E-2</v>
      </c>
      <c r="D264" s="16">
        <f t="shared" si="7"/>
        <v>2.728058264411801E-2</v>
      </c>
    </row>
    <row r="265" spans="1:4" x14ac:dyDescent="0.2">
      <c r="A265" s="13">
        <v>41456</v>
      </c>
      <c r="B265" s="18">
        <f>VLOOKUP(A265,Database!A:K,MATCH($A$1,Database!$A$1:$K$1,),)+VLOOKUP(A265,Database!A:K,MATCH($B$1,Database!$A$1:$K$1,),)</f>
        <v>16571</v>
      </c>
      <c r="C265" s="15">
        <f t="shared" ref="C265:C328" si="8">(B265-B264)/B264</f>
        <v>-4.3859649122807015E-3</v>
      </c>
      <c r="D265" s="16">
        <f t="shared" si="7"/>
        <v>9.8726308733012372E-3</v>
      </c>
    </row>
    <row r="266" spans="1:4" x14ac:dyDescent="0.2">
      <c r="A266" s="14">
        <v>41487</v>
      </c>
      <c r="B266" s="18">
        <f>VLOOKUP(A266,Database!A:K,MATCH($A$1,Database!$A$1:$K$1,),)+VLOOKUP(A266,Database!A:K,MATCH($B$1,Database!$A$1:$K$1,),)</f>
        <v>16614</v>
      </c>
      <c r="C266" s="15">
        <f t="shared" si="8"/>
        <v>2.594894695552471E-3</v>
      </c>
      <c r="D266" s="16">
        <f t="shared" si="7"/>
        <v>2.3029556650246304E-2</v>
      </c>
    </row>
    <row r="267" spans="1:4" x14ac:dyDescent="0.2">
      <c r="A267" s="13">
        <v>41518</v>
      </c>
      <c r="B267" s="18">
        <f>VLOOKUP(A267,Database!A:K,MATCH($A$1,Database!$A$1:$K$1,),)+VLOOKUP(A267,Database!A:K,MATCH($B$1,Database!$A$1:$K$1,),)</f>
        <v>16612</v>
      </c>
      <c r="C267" s="15">
        <f t="shared" si="8"/>
        <v>-1.2038040207054291E-4</v>
      </c>
      <c r="D267" s="16">
        <f t="shared" si="7"/>
        <v>2.2780445757911588E-2</v>
      </c>
    </row>
    <row r="268" spans="1:4" x14ac:dyDescent="0.2">
      <c r="A268" s="14">
        <v>41548</v>
      </c>
      <c r="B268" s="18">
        <f>VLOOKUP(A268,Database!A:K,MATCH($A$1,Database!$A$1:$K$1,),)+VLOOKUP(A268,Database!A:K,MATCH($B$1,Database!$A$1:$K$1,),)</f>
        <v>16807</v>
      </c>
      <c r="C268" s="15">
        <f t="shared" si="8"/>
        <v>1.1738502287503011E-2</v>
      </c>
      <c r="D268" s="16">
        <f t="shared" si="7"/>
        <v>6.8467895740623008E-2</v>
      </c>
    </row>
    <row r="269" spans="1:4" x14ac:dyDescent="0.2">
      <c r="A269" s="13">
        <v>41579</v>
      </c>
      <c r="B269" s="18">
        <f>VLOOKUP(A269,Database!A:K,MATCH($A$1,Database!$A$1:$K$1,),)+VLOOKUP(A269,Database!A:K,MATCH($B$1,Database!$A$1:$K$1,),)</f>
        <v>16747</v>
      </c>
      <c r="C269" s="15">
        <f t="shared" si="8"/>
        <v>-3.5699410959719163E-3</v>
      </c>
      <c r="D269" s="16">
        <f t="shared" si="7"/>
        <v>2.9128003441283107E-2</v>
      </c>
    </row>
    <row r="270" spans="1:4" x14ac:dyDescent="0.2">
      <c r="A270" s="14">
        <v>41609</v>
      </c>
      <c r="B270" s="18">
        <f>VLOOKUP(A270,Database!A:K,MATCH($A$1,Database!$A$1:$K$1,),)+VLOOKUP(A270,Database!A:K,MATCH($B$1,Database!$A$1:$K$1,),)</f>
        <v>16461</v>
      </c>
      <c r="C270" s="15">
        <f t="shared" si="8"/>
        <v>-1.7077685555621901E-2</v>
      </c>
      <c r="D270" s="16">
        <f t="shared" si="7"/>
        <v>-1.8542809444311949E-2</v>
      </c>
    </row>
    <row r="271" spans="1:4" x14ac:dyDescent="0.2">
      <c r="A271" s="13">
        <v>41640</v>
      </c>
      <c r="B271" s="18">
        <f>VLOOKUP(A271,Database!A:K,MATCH($A$1,Database!$A$1:$K$1,),)+VLOOKUP(A271,Database!A:K,MATCH($B$1,Database!$A$1:$K$1,),)</f>
        <v>16309</v>
      </c>
      <c r="C271" s="15">
        <f t="shared" si="8"/>
        <v>-9.2339469048052982E-3</v>
      </c>
      <c r="D271" s="16">
        <f t="shared" si="7"/>
        <v>-2.4756323626143634E-2</v>
      </c>
    </row>
    <row r="272" spans="1:4" x14ac:dyDescent="0.2">
      <c r="A272" s="14">
        <v>41671</v>
      </c>
      <c r="B272" s="18">
        <f>VLOOKUP(A272,Database!A:K,MATCH($A$1,Database!$A$1:$K$1,),)+VLOOKUP(A272,Database!A:K,MATCH($B$1,Database!$A$1:$K$1,),)</f>
        <v>16636</v>
      </c>
      <c r="C272" s="15">
        <f t="shared" si="8"/>
        <v>2.0050278987062357E-2</v>
      </c>
      <c r="D272" s="16">
        <f t="shared" si="7"/>
        <v>-5.4403060919471511E-3</v>
      </c>
    </row>
    <row r="273" spans="1:4" x14ac:dyDescent="0.2">
      <c r="A273" s="13">
        <v>41699</v>
      </c>
      <c r="B273" s="18">
        <f>VLOOKUP(A273,Database!A:K,MATCH($A$1,Database!$A$1:$K$1,),)+VLOOKUP(A273,Database!A:K,MATCH($B$1,Database!$A$1:$K$1,),)</f>
        <v>16851</v>
      </c>
      <c r="C273" s="15">
        <f t="shared" si="8"/>
        <v>1.2923779754748737E-2</v>
      </c>
      <c r="D273" s="16">
        <f t="shared" si="7"/>
        <v>2.0715973105578774E-2</v>
      </c>
    </row>
    <row r="274" spans="1:4" x14ac:dyDescent="0.2">
      <c r="A274" s="14">
        <v>41730</v>
      </c>
      <c r="B274" s="18">
        <f>VLOOKUP(A274,Database!A:K,MATCH($A$1,Database!$A$1:$K$1,),)+VLOOKUP(A274,Database!A:K,MATCH($B$1,Database!$A$1:$K$1,),)</f>
        <v>16915</v>
      </c>
      <c r="C274" s="15">
        <f t="shared" si="8"/>
        <v>3.7979941843214052E-3</v>
      </c>
      <c r="D274" s="16">
        <f t="shared" si="7"/>
        <v>2.5027269421888255E-2</v>
      </c>
    </row>
    <row r="275" spans="1:4" x14ac:dyDescent="0.2">
      <c r="A275" s="13">
        <v>41760</v>
      </c>
      <c r="B275" s="18">
        <f>VLOOKUP(A275,Database!A:K,MATCH($A$1,Database!$A$1:$K$1,),)+VLOOKUP(A275,Database!A:K,MATCH($B$1,Database!$A$1:$K$1,),)</f>
        <v>16760</v>
      </c>
      <c r="C275" s="15">
        <f t="shared" si="8"/>
        <v>-9.1634643807271647E-3</v>
      </c>
      <c r="D275" s="16">
        <f t="shared" si="7"/>
        <v>2.0582145901838995E-2</v>
      </c>
    </row>
    <row r="276" spans="1:4" x14ac:dyDescent="0.2">
      <c r="A276" s="14">
        <v>41791</v>
      </c>
      <c r="B276" s="18">
        <f>VLOOKUP(A276,Database!A:K,MATCH($A$1,Database!$A$1:$K$1,),)+VLOOKUP(A276,Database!A:K,MATCH($B$1,Database!$A$1:$K$1,),)</f>
        <v>16697</v>
      </c>
      <c r="C276" s="15">
        <f t="shared" si="8"/>
        <v>-3.7589498806682576E-3</v>
      </c>
      <c r="D276" s="16">
        <f t="shared" ref="D276:D335" si="9">(B276-B264)/B264</f>
        <v>3.1843306897380436E-3</v>
      </c>
    </row>
    <row r="277" spans="1:4" x14ac:dyDescent="0.2">
      <c r="A277" s="13">
        <v>41821</v>
      </c>
      <c r="B277" s="18">
        <f>VLOOKUP(A277,Database!A:K,MATCH($A$1,Database!$A$1:$K$1,),)+VLOOKUP(A277,Database!A:K,MATCH($B$1,Database!$A$1:$K$1,),)</f>
        <v>16799</v>
      </c>
      <c r="C277" s="15">
        <f t="shared" si="8"/>
        <v>6.1088818350601903E-3</v>
      </c>
      <c r="D277" s="16">
        <f t="shared" si="9"/>
        <v>1.3758976525254964E-2</v>
      </c>
    </row>
    <row r="278" spans="1:4" x14ac:dyDescent="0.2">
      <c r="A278" s="14">
        <v>41852</v>
      </c>
      <c r="B278" s="18">
        <f>VLOOKUP(A278,Database!A:K,MATCH($A$1,Database!$A$1:$K$1,),)+VLOOKUP(A278,Database!A:K,MATCH($B$1,Database!$A$1:$K$1,),)</f>
        <v>17004</v>
      </c>
      <c r="C278" s="15">
        <f t="shared" si="8"/>
        <v>1.2203107327817132E-2</v>
      </c>
      <c r="D278" s="16">
        <f t="shared" si="9"/>
        <v>2.3474178403755867E-2</v>
      </c>
    </row>
    <row r="279" spans="1:4" x14ac:dyDescent="0.2">
      <c r="A279" s="13">
        <v>41883</v>
      </c>
      <c r="B279" s="18">
        <f>VLOOKUP(A279,Database!A:K,MATCH($A$1,Database!$A$1:$K$1,),)+VLOOKUP(A279,Database!A:K,MATCH($B$1,Database!$A$1:$K$1,),)</f>
        <v>17101</v>
      </c>
      <c r="C279" s="15">
        <f t="shared" si="8"/>
        <v>5.7045401082098327E-3</v>
      </c>
      <c r="D279" s="16">
        <f t="shared" si="9"/>
        <v>2.9436551890199857E-2</v>
      </c>
    </row>
    <row r="280" spans="1:4" x14ac:dyDescent="0.2">
      <c r="A280" s="14">
        <v>41913</v>
      </c>
      <c r="B280" s="18">
        <f>VLOOKUP(A280,Database!A:K,MATCH($A$1,Database!$A$1:$K$1,),)+VLOOKUP(A280,Database!A:K,MATCH($B$1,Database!$A$1:$K$1,),)</f>
        <v>17094</v>
      </c>
      <c r="C280" s="15">
        <f t="shared" si="8"/>
        <v>-4.0933278755628325E-4</v>
      </c>
      <c r="D280" s="16">
        <f t="shared" si="9"/>
        <v>1.7076218242399001E-2</v>
      </c>
    </row>
    <row r="281" spans="1:4" x14ac:dyDescent="0.2">
      <c r="A281" s="13">
        <v>41944</v>
      </c>
      <c r="B281" s="18">
        <f>VLOOKUP(A281,Database!A:K,MATCH($A$1,Database!$A$1:$K$1,),)+VLOOKUP(A281,Database!A:K,MATCH($B$1,Database!$A$1:$K$1,),)</f>
        <v>17385</v>
      </c>
      <c r="C281" s="15">
        <f t="shared" si="8"/>
        <v>1.7023517023517024E-2</v>
      </c>
      <c r="D281" s="16">
        <f t="shared" si="9"/>
        <v>3.8096375470233472E-2</v>
      </c>
    </row>
    <row r="282" spans="1:4" x14ac:dyDescent="0.2">
      <c r="A282" s="14">
        <v>41974</v>
      </c>
      <c r="B282" s="18">
        <f>VLOOKUP(A282,Database!A:K,MATCH($A$1,Database!$A$1:$K$1,),)+VLOOKUP(A282,Database!A:K,MATCH($B$1,Database!$A$1:$K$1,),)</f>
        <v>17517</v>
      </c>
      <c r="C282" s="15">
        <f t="shared" si="8"/>
        <v>7.5927523727351166E-3</v>
      </c>
      <c r="D282" s="16">
        <f t="shared" si="9"/>
        <v>6.4151631128121014E-2</v>
      </c>
    </row>
    <row r="283" spans="1:4" x14ac:dyDescent="0.2">
      <c r="A283" s="13">
        <v>42005</v>
      </c>
      <c r="B283" s="18">
        <f>VLOOKUP(A283,Database!A:K,MATCH($A$1,Database!$A$1:$K$1,),)+VLOOKUP(A283,Database!A:K,MATCH($B$1,Database!$A$1:$K$1,),)</f>
        <v>17315</v>
      </c>
      <c r="C283" s="15">
        <f t="shared" si="8"/>
        <v>-1.1531654963749501E-2</v>
      </c>
      <c r="D283" s="16">
        <f t="shared" si="9"/>
        <v>6.1683732908210193E-2</v>
      </c>
    </row>
    <row r="284" spans="1:4" x14ac:dyDescent="0.2">
      <c r="A284" s="14">
        <v>42036</v>
      </c>
      <c r="B284" s="18">
        <f>VLOOKUP(A284,Database!A:K,MATCH($A$1,Database!$A$1:$K$1,),)+VLOOKUP(A284,Database!A:K,MATCH($B$1,Database!$A$1:$K$1,),)</f>
        <v>16998</v>
      </c>
      <c r="C284" s="15">
        <f t="shared" si="8"/>
        <v>-1.8307825584753103E-2</v>
      </c>
      <c r="D284" s="16">
        <f t="shared" si="9"/>
        <v>2.1760038470786246E-2</v>
      </c>
    </row>
    <row r="285" spans="1:4" x14ac:dyDescent="0.2">
      <c r="A285" s="13">
        <v>42064</v>
      </c>
      <c r="B285" s="18">
        <f>VLOOKUP(A285,Database!A:K,MATCH($A$1,Database!$A$1:$K$1,),)+VLOOKUP(A285,Database!A:K,MATCH($B$1,Database!$A$1:$K$1,),)</f>
        <v>17114</v>
      </c>
      <c r="C285" s="15">
        <f t="shared" si="8"/>
        <v>6.8243322743852218E-3</v>
      </c>
      <c r="D285" s="16">
        <f t="shared" si="9"/>
        <v>1.5607382351195775E-2</v>
      </c>
    </row>
    <row r="286" spans="1:4" x14ac:dyDescent="0.2">
      <c r="A286" s="14">
        <v>42095</v>
      </c>
      <c r="B286" s="18">
        <f>VLOOKUP(A286,Database!A:K,MATCH($A$1,Database!$A$1:$K$1,),)+VLOOKUP(A286,Database!A:K,MATCH($B$1,Database!$A$1:$K$1,),)</f>
        <v>17264</v>
      </c>
      <c r="C286" s="15">
        <f t="shared" si="8"/>
        <v>8.7647540025709951E-3</v>
      </c>
      <c r="D286" s="16">
        <f t="shared" si="9"/>
        <v>2.0632574637895359E-2</v>
      </c>
    </row>
    <row r="287" spans="1:4" x14ac:dyDescent="0.2">
      <c r="A287" s="13">
        <v>42125</v>
      </c>
      <c r="B287" s="18">
        <f>VLOOKUP(A287,Database!A:K,MATCH($A$1,Database!$A$1:$K$1,),)+VLOOKUP(A287,Database!A:K,MATCH($B$1,Database!$A$1:$K$1,),)</f>
        <v>17509</v>
      </c>
      <c r="C287" s="15">
        <f t="shared" si="8"/>
        <v>1.4191380908248378E-2</v>
      </c>
      <c r="D287" s="16">
        <f t="shared" si="9"/>
        <v>4.4689737470167065E-2</v>
      </c>
    </row>
    <row r="288" spans="1:4" x14ac:dyDescent="0.2">
      <c r="A288" s="14">
        <v>42156</v>
      </c>
      <c r="B288" s="18">
        <f>VLOOKUP(A288,Database!A:K,MATCH($A$1,Database!$A$1:$K$1,),)+VLOOKUP(A288,Database!A:K,MATCH($B$1,Database!$A$1:$K$1,),)</f>
        <v>17440</v>
      </c>
      <c r="C288" s="15">
        <f t="shared" si="8"/>
        <v>-3.940830430064538E-3</v>
      </c>
      <c r="D288" s="16">
        <f t="shared" si="9"/>
        <v>4.449901179852668E-2</v>
      </c>
    </row>
    <row r="289" spans="1:4" x14ac:dyDescent="0.2">
      <c r="A289" s="13">
        <v>42186</v>
      </c>
      <c r="B289" s="18">
        <f>VLOOKUP(A289,Database!A:K,MATCH($A$1,Database!$A$1:$K$1,),)+VLOOKUP(A289,Database!A:K,MATCH($B$1,Database!$A$1:$K$1,),)</f>
        <v>17435</v>
      </c>
      <c r="C289" s="15">
        <f t="shared" si="8"/>
        <v>-2.8669724770642203E-4</v>
      </c>
      <c r="D289" s="16">
        <f t="shared" si="9"/>
        <v>3.7859396392642422E-2</v>
      </c>
    </row>
    <row r="290" spans="1:4" x14ac:dyDescent="0.2">
      <c r="A290" s="14">
        <v>42217</v>
      </c>
      <c r="B290" s="18">
        <f>VLOOKUP(A290,Database!A:K,MATCH($A$1,Database!$A$1:$K$1,),)+VLOOKUP(A290,Database!A:K,MATCH($B$1,Database!$A$1:$K$1,),)</f>
        <v>17442</v>
      </c>
      <c r="C290" s="15">
        <f t="shared" si="8"/>
        <v>4.0149125322626902E-4</v>
      </c>
      <c r="D290" s="16">
        <f t="shared" si="9"/>
        <v>2.5758645024700072E-2</v>
      </c>
    </row>
    <row r="291" spans="1:4" x14ac:dyDescent="0.2">
      <c r="A291" s="13">
        <v>42248</v>
      </c>
      <c r="B291" s="18">
        <f>VLOOKUP(A291,Database!A:K,MATCH($A$1,Database!$A$1:$K$1,),)+VLOOKUP(A291,Database!A:K,MATCH($B$1,Database!$A$1:$K$1,),)</f>
        <v>17432</v>
      </c>
      <c r="C291" s="15">
        <f t="shared" si="8"/>
        <v>-5.7332874670335974E-4</v>
      </c>
      <c r="D291" s="16">
        <f t="shared" si="9"/>
        <v>1.9355593240161395E-2</v>
      </c>
    </row>
    <row r="292" spans="1:4" x14ac:dyDescent="0.2">
      <c r="A292" s="14">
        <v>42278</v>
      </c>
      <c r="B292" s="18">
        <f>VLOOKUP(A292,Database!A:K,MATCH($A$1,Database!$A$1:$K$1,),)+VLOOKUP(A292,Database!A:K,MATCH($B$1,Database!$A$1:$K$1,),)</f>
        <v>17455</v>
      </c>
      <c r="C292" s="15">
        <f t="shared" si="8"/>
        <v>1.3194125745754934E-3</v>
      </c>
      <c r="D292" s="16">
        <f t="shared" si="9"/>
        <v>2.1118521118521118E-2</v>
      </c>
    </row>
    <row r="293" spans="1:4" x14ac:dyDescent="0.2">
      <c r="A293" s="13">
        <v>42309</v>
      </c>
      <c r="B293" s="18">
        <f>VLOOKUP(A293,Database!A:K,MATCH($A$1,Database!$A$1:$K$1,),)+VLOOKUP(A293,Database!A:K,MATCH($B$1,Database!$A$1:$K$1,),)</f>
        <v>17286</v>
      </c>
      <c r="C293" s="15">
        <f t="shared" si="8"/>
        <v>-9.682039530220567E-3</v>
      </c>
      <c r="D293" s="16">
        <f t="shared" si="9"/>
        <v>-5.694564279551337E-3</v>
      </c>
    </row>
    <row r="294" spans="1:4" x14ac:dyDescent="0.2">
      <c r="A294" s="14">
        <v>42339</v>
      </c>
      <c r="B294" s="18">
        <f>VLOOKUP(A294,Database!A:K,MATCH($A$1,Database!$A$1:$K$1,),)+VLOOKUP(A294,Database!A:K,MATCH($B$1,Database!$A$1:$K$1,),)</f>
        <v>17503</v>
      </c>
      <c r="C294" s="15">
        <f t="shared" si="8"/>
        <v>1.2553511512206409E-2</v>
      </c>
      <c r="D294" s="16">
        <f t="shared" si="9"/>
        <v>-7.992236113489753E-4</v>
      </c>
    </row>
    <row r="295" spans="1:4" x14ac:dyDescent="0.2">
      <c r="A295" s="13">
        <v>42370</v>
      </c>
      <c r="B295" s="18">
        <f>VLOOKUP(A295,Database!A:K,MATCH($A$1,Database!$A$1:$K$1,),)+VLOOKUP(A295,Database!A:K,MATCH($B$1,Database!$A$1:$K$1,),)</f>
        <v>17206</v>
      </c>
      <c r="C295" s="15">
        <f t="shared" si="8"/>
        <v>-1.6968519682340172E-2</v>
      </c>
      <c r="D295" s="16">
        <f t="shared" si="9"/>
        <v>-6.2951198382904996E-3</v>
      </c>
    </row>
    <row r="296" spans="1:4" x14ac:dyDescent="0.2">
      <c r="A296" s="14">
        <v>42401</v>
      </c>
      <c r="B296" s="18">
        <f>VLOOKUP(A296,Database!A:K,MATCH($A$1,Database!$A$1:$K$1,),)+VLOOKUP(A296,Database!A:K,MATCH($B$1,Database!$A$1:$K$1,),)</f>
        <v>17336</v>
      </c>
      <c r="C296" s="15">
        <f t="shared" si="8"/>
        <v>7.5555038939904683E-3</v>
      </c>
      <c r="D296" s="16">
        <f t="shared" si="9"/>
        <v>1.9884692316743145E-2</v>
      </c>
    </row>
    <row r="297" spans="1:4" x14ac:dyDescent="0.2">
      <c r="A297" s="13">
        <v>42430</v>
      </c>
      <c r="B297" s="18">
        <f>VLOOKUP(A297,Database!A:K,MATCH($A$1,Database!$A$1:$K$1,),)+VLOOKUP(A297,Database!A:K,MATCH($B$1,Database!$A$1:$K$1,),)</f>
        <v>17174</v>
      </c>
      <c r="C297" s="15">
        <f t="shared" si="8"/>
        <v>-9.3447161975080753E-3</v>
      </c>
      <c r="D297" s="16">
        <f t="shared" si="9"/>
        <v>3.5059016010283977E-3</v>
      </c>
    </row>
    <row r="298" spans="1:4" x14ac:dyDescent="0.2">
      <c r="A298" s="14">
        <v>42461</v>
      </c>
      <c r="B298" s="18">
        <f>VLOOKUP(A298,Database!A:K,MATCH($A$1,Database!$A$1:$K$1,),)+VLOOKUP(A298,Database!A:K,MATCH($B$1,Database!$A$1:$K$1,),)</f>
        <v>17084</v>
      </c>
      <c r="C298" s="15">
        <f t="shared" si="8"/>
        <v>-5.2404797950390122E-3</v>
      </c>
      <c r="D298" s="16">
        <f t="shared" si="9"/>
        <v>-1.0426320667284522E-2</v>
      </c>
    </row>
    <row r="299" spans="1:4" x14ac:dyDescent="0.2">
      <c r="A299" s="13">
        <v>42491</v>
      </c>
      <c r="B299" s="18">
        <f>VLOOKUP(A299,Database!A:K,MATCH($A$1,Database!$A$1:$K$1,),)+VLOOKUP(A299,Database!A:K,MATCH($B$1,Database!$A$1:$K$1,),)</f>
        <v>17202</v>
      </c>
      <c r="C299" s="15">
        <f t="shared" si="8"/>
        <v>6.9070475298524938E-3</v>
      </c>
      <c r="D299" s="16">
        <f t="shared" si="9"/>
        <v>-1.7533839739562511E-2</v>
      </c>
    </row>
    <row r="300" spans="1:4" x14ac:dyDescent="0.2">
      <c r="A300" s="14">
        <v>42522</v>
      </c>
      <c r="B300" s="18">
        <f>VLOOKUP(A300,Database!A:K,MATCH($A$1,Database!$A$1:$K$1,),)+VLOOKUP(A300,Database!A:K,MATCH($B$1,Database!$A$1:$K$1,),)</f>
        <v>17300</v>
      </c>
      <c r="C300" s="15">
        <f t="shared" si="8"/>
        <v>5.6970119753517031E-3</v>
      </c>
      <c r="D300" s="16">
        <f t="shared" si="9"/>
        <v>-8.027522935779817E-3</v>
      </c>
    </row>
    <row r="301" spans="1:4" x14ac:dyDescent="0.2">
      <c r="A301" s="13">
        <v>42552</v>
      </c>
      <c r="B301" s="18">
        <f>VLOOKUP(A301,Database!A:K,MATCH($A$1,Database!$A$1:$K$1,),)+VLOOKUP(A301,Database!A:K,MATCH($B$1,Database!$A$1:$K$1,),)</f>
        <v>17295</v>
      </c>
      <c r="C301" s="15">
        <f t="shared" si="8"/>
        <v>-2.8901734104046245E-4</v>
      </c>
      <c r="D301" s="16">
        <f t="shared" si="9"/>
        <v>-8.0298250645253807E-3</v>
      </c>
    </row>
    <row r="302" spans="1:4" x14ac:dyDescent="0.2">
      <c r="A302" s="14">
        <v>42583</v>
      </c>
      <c r="B302" s="18">
        <f>VLOOKUP(A302,Database!A:K,MATCH($A$1,Database!$A$1:$K$1,),)+VLOOKUP(A302,Database!A:K,MATCH($B$1,Database!$A$1:$K$1,),)</f>
        <v>17372</v>
      </c>
      <c r="C302" s="15">
        <f t="shared" si="8"/>
        <v>4.4521538016767852E-3</v>
      </c>
      <c r="D302" s="16">
        <f t="shared" si="9"/>
        <v>-4.0133012269235177E-3</v>
      </c>
    </row>
    <row r="303" spans="1:4" x14ac:dyDescent="0.2">
      <c r="A303" s="13">
        <v>42614</v>
      </c>
      <c r="B303" s="18">
        <f>VLOOKUP(A303,Database!A:K,MATCH($A$1,Database!$A$1:$K$1,),)+VLOOKUP(A303,Database!A:K,MATCH($B$1,Database!$A$1:$K$1,),)</f>
        <v>17219</v>
      </c>
      <c r="C303" s="15">
        <f t="shared" si="8"/>
        <v>-8.8072760764448532E-3</v>
      </c>
      <c r="D303" s="16">
        <f t="shared" si="9"/>
        <v>-1.2218907755851308E-2</v>
      </c>
    </row>
    <row r="304" spans="1:4" x14ac:dyDescent="0.2">
      <c r="A304" s="14">
        <v>42644</v>
      </c>
      <c r="B304" s="18">
        <f>VLOOKUP(A304,Database!A:K,MATCH($A$1,Database!$A$1:$K$1,),)+VLOOKUP(A304,Database!A:K,MATCH($B$1,Database!$A$1:$K$1,),)</f>
        <v>17003</v>
      </c>
      <c r="C304" s="15">
        <f t="shared" si="8"/>
        <v>-1.2544282478657296E-2</v>
      </c>
      <c r="D304" s="16">
        <f t="shared" si="9"/>
        <v>-2.5895158980234891E-2</v>
      </c>
    </row>
    <row r="305" spans="1:4" x14ac:dyDescent="0.2">
      <c r="A305" s="13">
        <v>42675</v>
      </c>
      <c r="B305" s="18">
        <f>VLOOKUP(A305,Database!A:K,MATCH($A$1,Database!$A$1:$K$1,),)+VLOOKUP(A305,Database!A:K,MATCH($B$1,Database!$A$1:$K$1,),)</f>
        <v>16822</v>
      </c>
      <c r="C305" s="15">
        <f t="shared" si="8"/>
        <v>-1.0645180262306651E-2</v>
      </c>
      <c r="D305" s="16">
        <f t="shared" si="9"/>
        <v>-2.684253152840449E-2</v>
      </c>
    </row>
    <row r="306" spans="1:4" x14ac:dyDescent="0.2">
      <c r="A306" s="14">
        <v>42705</v>
      </c>
      <c r="B306" s="18">
        <f>VLOOKUP(A306,Database!A:K,MATCH($A$1,Database!$A$1:$K$1,),)+VLOOKUP(A306,Database!A:K,MATCH($B$1,Database!$A$1:$K$1,),)</f>
        <v>16897</v>
      </c>
      <c r="C306" s="15">
        <f t="shared" si="8"/>
        <v>4.4584472714302697E-3</v>
      </c>
      <c r="D306" s="16">
        <f t="shared" si="9"/>
        <v>-3.4622636119522369E-2</v>
      </c>
    </row>
    <row r="307" spans="1:4" x14ac:dyDescent="0.2">
      <c r="A307" s="13">
        <v>42736</v>
      </c>
      <c r="B307" s="18">
        <f>VLOOKUP(A307,Database!A:K,MATCH($A$1,Database!$A$1:$K$1,),)+VLOOKUP(A307,Database!A:K,MATCH($B$1,Database!$A$1:$K$1,),)</f>
        <v>17195</v>
      </c>
      <c r="C307" s="15">
        <f t="shared" si="8"/>
        <v>1.763626679292182E-2</v>
      </c>
      <c r="D307" s="16">
        <f t="shared" si="9"/>
        <v>-6.3931186795303967E-4</v>
      </c>
    </row>
    <row r="308" spans="1:4" x14ac:dyDescent="0.2">
      <c r="A308" s="14">
        <v>42767</v>
      </c>
      <c r="B308" s="18">
        <f>VLOOKUP(A308,Database!A:K,MATCH($A$1,Database!$A$1:$K$1,),)+VLOOKUP(A308,Database!A:K,MATCH($B$1,Database!$A$1:$K$1,),)</f>
        <v>17107</v>
      </c>
      <c r="C308" s="15">
        <f t="shared" si="8"/>
        <v>-5.1177667926722882E-3</v>
      </c>
      <c r="D308" s="16">
        <f t="shared" si="9"/>
        <v>-1.3209506229810798E-2</v>
      </c>
    </row>
    <row r="309" spans="1:4" x14ac:dyDescent="0.2">
      <c r="A309" s="13">
        <v>42795</v>
      </c>
      <c r="B309" s="18">
        <f>VLOOKUP(A309,Database!A:K,MATCH($A$1,Database!$A$1:$K$1,),)+VLOOKUP(A309,Database!A:K,MATCH($B$1,Database!$A$1:$K$1,),)</f>
        <v>17400</v>
      </c>
      <c r="C309" s="15">
        <f t="shared" si="8"/>
        <v>1.7127491670076576E-2</v>
      </c>
      <c r="D309" s="16">
        <f t="shared" si="9"/>
        <v>1.3159427040875742E-2</v>
      </c>
    </row>
    <row r="310" spans="1:4" x14ac:dyDescent="0.2">
      <c r="A310" s="14">
        <v>42826</v>
      </c>
      <c r="B310" s="18">
        <f>VLOOKUP(A310,Database!A:K,MATCH($A$1,Database!$A$1:$K$1,),)+VLOOKUP(A310,Database!A:K,MATCH($B$1,Database!$A$1:$K$1,),)</f>
        <v>17285</v>
      </c>
      <c r="C310" s="15">
        <f t="shared" si="8"/>
        <v>-6.6091954022988505E-3</v>
      </c>
      <c r="D310" s="16">
        <f t="shared" si="9"/>
        <v>1.1765394521189416E-2</v>
      </c>
    </row>
    <row r="311" spans="1:4" x14ac:dyDescent="0.2">
      <c r="A311" s="13">
        <v>42856</v>
      </c>
      <c r="B311" s="18">
        <f>VLOOKUP(A311,Database!A:K,MATCH($A$1,Database!$A$1:$K$1,),)+VLOOKUP(A311,Database!A:K,MATCH($B$1,Database!$A$1:$K$1,),)</f>
        <v>17251</v>
      </c>
      <c r="C311" s="15">
        <f t="shared" si="8"/>
        <v>-1.9670234307202776E-3</v>
      </c>
      <c r="D311" s="16">
        <f t="shared" si="9"/>
        <v>2.8485059876758516E-3</v>
      </c>
    </row>
    <row r="312" spans="1:4" x14ac:dyDescent="0.2">
      <c r="A312" s="14">
        <v>42887</v>
      </c>
      <c r="B312" s="18">
        <f>VLOOKUP(A312,Database!A:K,MATCH($A$1,Database!$A$1:$K$1,),)+VLOOKUP(A312,Database!A:K,MATCH($B$1,Database!$A$1:$K$1,),)</f>
        <v>17242</v>
      </c>
      <c r="C312" s="15">
        <f t="shared" si="8"/>
        <v>-5.2170888644136569E-4</v>
      </c>
      <c r="D312" s="16">
        <f t="shared" si="9"/>
        <v>-3.3526011560693642E-3</v>
      </c>
    </row>
    <row r="313" spans="1:4" x14ac:dyDescent="0.2">
      <c r="A313" s="13">
        <v>42917</v>
      </c>
      <c r="B313" s="18">
        <f>VLOOKUP(A313,Database!A:K,MATCH($A$1,Database!$A$1:$K$1,),)+VLOOKUP(A313,Database!A:K,MATCH($B$1,Database!$A$1:$K$1,),)</f>
        <v>17108</v>
      </c>
      <c r="C313" s="15">
        <f t="shared" si="8"/>
        <v>-7.7717202180721491E-3</v>
      </c>
      <c r="D313" s="16">
        <f t="shared" si="9"/>
        <v>-1.0812373518357907E-2</v>
      </c>
    </row>
    <row r="314" spans="1:4" x14ac:dyDescent="0.2">
      <c r="A314" s="14">
        <v>42948</v>
      </c>
      <c r="B314" s="18">
        <f>VLOOKUP(A314,Database!A:K,MATCH($A$1,Database!$A$1:$K$1,),)+VLOOKUP(A314,Database!A:K,MATCH($B$1,Database!$A$1:$K$1,),)</f>
        <v>17198</v>
      </c>
      <c r="C314" s="15">
        <f t="shared" si="8"/>
        <v>5.2606967500584524E-3</v>
      </c>
      <c r="D314" s="16">
        <f t="shared" si="9"/>
        <v>-1.0016117890858853E-2</v>
      </c>
    </row>
    <row r="315" spans="1:4" x14ac:dyDescent="0.2">
      <c r="A315" s="13">
        <v>42979</v>
      </c>
      <c r="B315" s="18">
        <f>VLOOKUP(A315,Database!A:K,MATCH($A$1,Database!$A$1:$K$1,),)+VLOOKUP(A315,Database!A:K,MATCH($B$1,Database!$A$1:$K$1,),)</f>
        <v>17158</v>
      </c>
      <c r="C315" s="15">
        <f t="shared" si="8"/>
        <v>-2.325851843237586E-3</v>
      </c>
      <c r="D315" s="16">
        <f t="shared" si="9"/>
        <v>-3.5425982925837737E-3</v>
      </c>
    </row>
    <row r="316" spans="1:4" x14ac:dyDescent="0.2">
      <c r="A316" s="14">
        <v>43009</v>
      </c>
      <c r="B316" s="18">
        <f>VLOOKUP(A316,Database!A:K,MATCH($A$1,Database!$A$1:$K$1,),)+VLOOKUP(A316,Database!A:K,MATCH($B$1,Database!$A$1:$K$1,),)</f>
        <v>17512</v>
      </c>
      <c r="C316" s="15">
        <f t="shared" si="8"/>
        <v>2.0631775265182423E-2</v>
      </c>
      <c r="D316" s="16">
        <f t="shared" si="9"/>
        <v>2.9935893665823679E-2</v>
      </c>
    </row>
    <row r="317" spans="1:4" x14ac:dyDescent="0.2">
      <c r="A317" s="13">
        <v>43040</v>
      </c>
      <c r="B317" s="18">
        <f>VLOOKUP(A317,Database!A:K,MATCH($A$1,Database!$A$1:$K$1,),)+VLOOKUP(A317,Database!A:K,MATCH($B$1,Database!$A$1:$K$1,),)</f>
        <v>17775</v>
      </c>
      <c r="C317" s="15">
        <f t="shared" si="8"/>
        <v>1.5018273184102329E-2</v>
      </c>
      <c r="D317" s="16">
        <f t="shared" si="9"/>
        <v>5.6652003328973966E-2</v>
      </c>
    </row>
    <row r="318" spans="1:4" x14ac:dyDescent="0.2">
      <c r="A318" s="14">
        <v>43070</v>
      </c>
      <c r="B318" s="18">
        <f>VLOOKUP(A318,Database!A:K,MATCH($A$1,Database!$A$1:$K$1,),)+VLOOKUP(A318,Database!A:K,MATCH($B$1,Database!$A$1:$K$1,),)</f>
        <v>17758</v>
      </c>
      <c r="C318" s="15">
        <f t="shared" si="8"/>
        <v>-9.5639943741209561E-4</v>
      </c>
      <c r="D318" s="16">
        <f t="shared" si="9"/>
        <v>5.0955790968811032E-2</v>
      </c>
    </row>
    <row r="319" spans="1:4" x14ac:dyDescent="0.2">
      <c r="A319" s="13">
        <v>43101</v>
      </c>
      <c r="B319" s="18">
        <f>VLOOKUP(A319,Database!A:K,MATCH($A$1,Database!$A$1:$K$1,),)+VLOOKUP(A319,Database!A:K,MATCH($B$1,Database!$A$1:$K$1,),)</f>
        <v>17722</v>
      </c>
      <c r="C319" s="15">
        <f t="shared" si="8"/>
        <v>-2.0272553215452192E-3</v>
      </c>
      <c r="D319" s="16">
        <f t="shared" si="9"/>
        <v>3.0648444315207909E-2</v>
      </c>
    </row>
    <row r="320" spans="1:4" x14ac:dyDescent="0.2">
      <c r="A320" s="14">
        <v>43132</v>
      </c>
      <c r="B320" s="18">
        <f>VLOOKUP(A320,Database!A:K,MATCH($A$1,Database!$A$1:$K$1,),)+VLOOKUP(A320,Database!A:K,MATCH($B$1,Database!$A$1:$K$1,),)</f>
        <v>17851</v>
      </c>
      <c r="C320" s="15">
        <f t="shared" si="8"/>
        <v>7.2790881390362265E-3</v>
      </c>
      <c r="D320" s="16">
        <f t="shared" si="9"/>
        <v>4.3490968609341207E-2</v>
      </c>
    </row>
    <row r="321" spans="1:4" x14ac:dyDescent="0.2">
      <c r="A321" s="13">
        <v>43160</v>
      </c>
      <c r="B321" s="18">
        <f>VLOOKUP(A321,Database!A:K,MATCH($A$1,Database!$A$1:$K$1,),)+VLOOKUP(A321,Database!A:K,MATCH($B$1,Database!$A$1:$K$1,),)</f>
        <v>17817</v>
      </c>
      <c r="C321" s="15">
        <f t="shared" si="8"/>
        <v>-1.904655201389278E-3</v>
      </c>
      <c r="D321" s="16">
        <f t="shared" si="9"/>
        <v>2.3965517241379311E-2</v>
      </c>
    </row>
    <row r="322" spans="1:4" x14ac:dyDescent="0.2">
      <c r="A322" s="14">
        <v>43191</v>
      </c>
      <c r="B322" s="18">
        <f>VLOOKUP(A322,Database!A:K,MATCH($A$1,Database!$A$1:$K$1,),)+VLOOKUP(A322,Database!A:K,MATCH($B$1,Database!$A$1:$K$1,),)</f>
        <v>18107</v>
      </c>
      <c r="C322" s="15">
        <f t="shared" si="8"/>
        <v>1.627658977381153E-2</v>
      </c>
      <c r="D322" s="16">
        <f t="shared" si="9"/>
        <v>4.755568411917848E-2</v>
      </c>
    </row>
    <row r="323" spans="1:4" x14ac:dyDescent="0.2">
      <c r="A323" s="13">
        <v>43221</v>
      </c>
      <c r="B323" s="18">
        <f>VLOOKUP(A323,Database!A:K,MATCH($A$1,Database!$A$1:$K$1,),)+VLOOKUP(A323,Database!A:K,MATCH($B$1,Database!$A$1:$K$1,),)</f>
        <v>17919</v>
      </c>
      <c r="C323" s="15">
        <f t="shared" si="8"/>
        <v>-1.0382724913017066E-2</v>
      </c>
      <c r="D323" s="16">
        <f t="shared" si="9"/>
        <v>3.8722392904759144E-2</v>
      </c>
    </row>
    <row r="324" spans="1:4" x14ac:dyDescent="0.2">
      <c r="A324" s="14">
        <v>43252</v>
      </c>
      <c r="B324" s="18">
        <f>VLOOKUP(A324,Database!A:K,MATCH($A$1,Database!$A$1:$K$1,),)+VLOOKUP(A324,Database!A:K,MATCH($B$1,Database!$A$1:$K$1,),)</f>
        <v>17962</v>
      </c>
      <c r="C324" s="15">
        <f t="shared" si="8"/>
        <v>2.3996874825604106E-3</v>
      </c>
      <c r="D324" s="16">
        <f t="shared" si="9"/>
        <v>4.1758496694119011E-2</v>
      </c>
    </row>
    <row r="325" spans="1:4" x14ac:dyDescent="0.2">
      <c r="A325" s="13">
        <v>43282</v>
      </c>
      <c r="B325" s="18">
        <f>VLOOKUP(A325,Database!A:K,MATCH($A$1,Database!$A$1:$K$1,),)+VLOOKUP(A325,Database!A:K,MATCH($B$1,Database!$A$1:$K$1,),)</f>
        <v>17922</v>
      </c>
      <c r="C325" s="15">
        <f t="shared" si="8"/>
        <v>-2.2269235051775972E-3</v>
      </c>
      <c r="D325" s="16">
        <f t="shared" si="9"/>
        <v>4.7580079494973115E-2</v>
      </c>
    </row>
    <row r="326" spans="1:4" x14ac:dyDescent="0.2">
      <c r="A326" s="14">
        <v>43313</v>
      </c>
      <c r="B326" s="18">
        <f>VLOOKUP(A326,Database!A:K,MATCH($A$1,Database!$A$1:$K$1,),)+VLOOKUP(A326,Database!A:K,MATCH($B$1,Database!$A$1:$K$1,),)</f>
        <v>17825</v>
      </c>
      <c r="C326" s="15">
        <f t="shared" si="8"/>
        <v>-5.4123423725030689E-3</v>
      </c>
      <c r="D326" s="16">
        <f t="shared" si="9"/>
        <v>3.6457727642749155E-2</v>
      </c>
    </row>
    <row r="327" spans="1:4" x14ac:dyDescent="0.2">
      <c r="A327" s="13">
        <v>43344</v>
      </c>
      <c r="B327" s="18">
        <f>VLOOKUP(A327,Database!A:K,MATCH($A$1,Database!$A$1:$K$1,),)+VLOOKUP(A327,Database!A:K,MATCH($B$1,Database!$A$1:$K$1,),)</f>
        <v>17596</v>
      </c>
      <c r="C327" s="15">
        <f t="shared" si="8"/>
        <v>-1.2847124824684432E-2</v>
      </c>
      <c r="D327" s="16">
        <f t="shared" si="9"/>
        <v>2.5527450751835878E-2</v>
      </c>
    </row>
    <row r="328" spans="1:4" x14ac:dyDescent="0.2">
      <c r="A328" s="14">
        <v>43374</v>
      </c>
      <c r="B328" s="18">
        <f>VLOOKUP(A328,Database!A:K,MATCH($A$1,Database!$A$1:$K$1,),)+VLOOKUP(A328,Database!A:K,MATCH($B$1,Database!$A$1:$K$1,),)</f>
        <v>17677</v>
      </c>
      <c r="C328" s="15">
        <f t="shared" si="8"/>
        <v>4.6033189361218462E-3</v>
      </c>
      <c r="D328" s="16">
        <f t="shared" si="9"/>
        <v>9.4221105527638183E-3</v>
      </c>
    </row>
    <row r="329" spans="1:4" x14ac:dyDescent="0.2">
      <c r="A329" s="13">
        <v>43405</v>
      </c>
      <c r="B329" s="18">
        <f>VLOOKUP(A329,Database!A:K,MATCH($A$1,Database!$A$1:$K$1,),)+VLOOKUP(A329,Database!A:K,MATCH($B$1,Database!$A$1:$K$1,),)</f>
        <v>17631</v>
      </c>
      <c r="C329" s="15">
        <f t="shared" ref="C329:C335" si="10">(B329-B328)/B328</f>
        <v>-2.6022515132658255E-3</v>
      </c>
      <c r="D329" s="16">
        <f t="shared" si="9"/>
        <v>-8.1012658227848106E-3</v>
      </c>
    </row>
    <row r="330" spans="1:4" x14ac:dyDescent="0.2">
      <c r="A330" s="14">
        <v>43435</v>
      </c>
      <c r="B330" s="18">
        <f>VLOOKUP(A330,Database!A:K,MATCH($A$1,Database!$A$1:$K$1,),)+VLOOKUP(A330,Database!A:K,MATCH($B$1,Database!$A$1:$K$1,),)</f>
        <v>17463</v>
      </c>
      <c r="C330" s="15">
        <f t="shared" si="10"/>
        <v>-9.5286710906925306E-3</v>
      </c>
      <c r="D330" s="16">
        <f t="shared" si="9"/>
        <v>-1.6612231107106655E-2</v>
      </c>
    </row>
    <row r="331" spans="1:4" x14ac:dyDescent="0.2">
      <c r="A331" s="13">
        <v>43466</v>
      </c>
      <c r="B331" s="18">
        <f>VLOOKUP(A331,Database!A:K,MATCH($A$1,Database!$A$1:$K$1,),)+VLOOKUP(A331,Database!A:K,MATCH($B$1,Database!$A$1:$K$1,),)</f>
        <v>17406</v>
      </c>
      <c r="C331" s="15">
        <f t="shared" si="10"/>
        <v>-3.2640439786978184E-3</v>
      </c>
      <c r="D331" s="16">
        <f t="shared" si="9"/>
        <v>-1.7830944588646879E-2</v>
      </c>
    </row>
    <row r="332" spans="1:4" x14ac:dyDescent="0.2">
      <c r="A332" s="14">
        <v>43497</v>
      </c>
      <c r="B332" s="18">
        <f>VLOOKUP(A332,Database!A:K,MATCH($A$1,Database!$A$1:$K$1,),)+VLOOKUP(A332,Database!A:K,MATCH($B$1,Database!$A$1:$K$1,),)</f>
        <v>17370</v>
      </c>
      <c r="C332" s="15">
        <f t="shared" si="10"/>
        <v>-2.0682523267838678E-3</v>
      </c>
      <c r="D332" s="16">
        <f t="shared" si="9"/>
        <v>-2.6945269172595373E-2</v>
      </c>
    </row>
    <row r="333" spans="1:4" x14ac:dyDescent="0.2">
      <c r="A333" s="13">
        <v>43525</v>
      </c>
      <c r="B333" s="18">
        <f>VLOOKUP(A333,Database!A:K,MATCH($A$1,Database!$A$1:$K$1,),)+VLOOKUP(A333,Database!A:K,MATCH($B$1,Database!$A$1:$K$1,),)</f>
        <v>17579</v>
      </c>
      <c r="C333" s="15">
        <f t="shared" si="10"/>
        <v>1.203223949337939E-2</v>
      </c>
      <c r="D333" s="16">
        <f t="shared" si="9"/>
        <v>-1.335802884885222E-2</v>
      </c>
    </row>
    <row r="334" spans="1:4" x14ac:dyDescent="0.2">
      <c r="A334" s="14">
        <v>43556</v>
      </c>
      <c r="B334" s="18">
        <f>VLOOKUP(A334,Database!A:K,MATCH($A$1,Database!$A$1:$K$1,),)+VLOOKUP(A334,Database!A:K,MATCH($B$1,Database!$A$1:$K$1,),)</f>
        <v>17592</v>
      </c>
      <c r="C334" s="15">
        <f t="shared" si="10"/>
        <v>7.3951874395585644E-4</v>
      </c>
      <c r="D334" s="16">
        <f t="shared" si="9"/>
        <v>-2.8442038990445683E-2</v>
      </c>
    </row>
    <row r="335" spans="1:4" x14ac:dyDescent="0.2">
      <c r="A335" s="36">
        <v>43586</v>
      </c>
      <c r="B335" s="37">
        <f>VLOOKUP(A335,Database!A:K,MATCH($A$1,Database!$A$1:$K$1,),)+VLOOKUP(A335,Database!A:K,MATCH($B$1,Database!$A$1:$K$1,),)</f>
        <v>17664</v>
      </c>
      <c r="C335" s="38">
        <f t="shared" si="10"/>
        <v>4.0927694406548429E-3</v>
      </c>
      <c r="D335" s="39">
        <f t="shared" si="9"/>
        <v>-1.4230704838439644E-2</v>
      </c>
    </row>
    <row r="336" spans="1:4" x14ac:dyDescent="0.2">
      <c r="A336" s="14">
        <v>43617</v>
      </c>
      <c r="B336" s="18">
        <f>VLOOKUP(A336,Database!A:K,MATCH($A$1,Database!$A$1:$K$1,),)+VLOOKUP(A336,Database!A:K,MATCH($B$1,Database!$A$1:$K$1,),)</f>
        <v>17620</v>
      </c>
      <c r="C336" s="15">
        <f t="shared" ref="C336:C337" si="11">(B336-B335)/B335</f>
        <v>-2.490942028985507E-3</v>
      </c>
      <c r="D336" s="16">
        <f t="shared" ref="D336:D337" si="12">(B336-B324)/B324</f>
        <v>-1.9040195969268457E-2</v>
      </c>
    </row>
    <row r="337" spans="1:4" x14ac:dyDescent="0.2">
      <c r="A337" s="36">
        <v>43647</v>
      </c>
      <c r="B337" s="37">
        <f>VLOOKUP(A337,Database!A:K,MATCH($A$1,Database!$A$1:$K$1,),)+VLOOKUP(A337,Database!A:K,MATCH($B$1,Database!$A$1:$K$1,),)</f>
        <v>17719</v>
      </c>
      <c r="C337" s="38">
        <f t="shared" si="11"/>
        <v>5.6186152099886493E-3</v>
      </c>
      <c r="D337" s="39">
        <f t="shared" si="12"/>
        <v>-1.1326860841423949E-2</v>
      </c>
    </row>
    <row r="338" spans="1:4" x14ac:dyDescent="0.2">
      <c r="A338" s="14">
        <v>43678</v>
      </c>
      <c r="B338" s="18">
        <f>VLOOKUP(A338,Database!A:K,MATCH($A$1,Database!$A$1:$K$1,),)+VLOOKUP(A338,Database!A:K,MATCH($B$1,Database!$A$1:$K$1,),)</f>
        <v>17654</v>
      </c>
      <c r="C338" s="15">
        <f t="shared" ref="C338:C340" si="13">(B338-B337)/B337</f>
        <v>-3.6683785766691121E-3</v>
      </c>
      <c r="D338" s="16">
        <f t="shared" ref="D338:D340" si="14">(B338-B326)/B326</f>
        <v>-9.5932678821879381E-3</v>
      </c>
    </row>
    <row r="339" spans="1:4" x14ac:dyDescent="0.2">
      <c r="A339" s="36">
        <v>43709</v>
      </c>
      <c r="B339" s="37">
        <f>VLOOKUP(A339,Database!A:K,MATCH($A$1,Database!$A$1:$K$1,),)+VLOOKUP(A339,Database!A:K,MATCH($B$1,Database!$A$1:$K$1,),)</f>
        <v>17795</v>
      </c>
      <c r="C339" s="38">
        <f t="shared" si="13"/>
        <v>7.9868585023224192E-3</v>
      </c>
      <c r="D339" s="39">
        <f t="shared" si="14"/>
        <v>1.130938849738577E-2</v>
      </c>
    </row>
    <row r="340" spans="1:4" x14ac:dyDescent="0.2">
      <c r="A340" s="14">
        <v>43739</v>
      </c>
      <c r="B340" s="18">
        <f>VLOOKUP(A340,Database!A:K,MATCH($A$1,Database!$A$1:$K$1,),)+VLOOKUP(A340,Database!A:K,MATCH($B$1,Database!$A$1:$K$1,),)</f>
        <v>17566</v>
      </c>
      <c r="C340" s="15">
        <f t="shared" si="13"/>
        <v>-1.2868783366114077E-2</v>
      </c>
      <c r="D340" s="16">
        <f t="shared" si="14"/>
        <v>-6.2793460428805792E-3</v>
      </c>
    </row>
    <row r="341" spans="1:4" x14ac:dyDescent="0.2">
      <c r="A341" s="36">
        <v>43770</v>
      </c>
      <c r="B341" s="37">
        <f>VLOOKUP(A341,Database!A:K,MATCH($A$1,Database!$A$1:$K$1,),)+VLOOKUP(A341,Database!A:K,MATCH($B$1,Database!$A$1:$K$1,),)</f>
        <v>17733</v>
      </c>
      <c r="C341" s="38">
        <f t="shared" ref="C341:C342" si="15">(B341-B340)/B340</f>
        <v>9.5070021632699536E-3</v>
      </c>
      <c r="D341" s="39">
        <f t="shared" ref="D341:D342" si="16">(B341-B329)/B329</f>
        <v>5.7852645907776074E-3</v>
      </c>
    </row>
    <row r="342" spans="1:4" x14ac:dyDescent="0.2">
      <c r="A342" s="14">
        <v>43800</v>
      </c>
      <c r="B342" s="18">
        <f>VLOOKUP(A342,Database!A:K,MATCH($A$1,Database!$A$1:$K$1,),)+VLOOKUP(A342,Database!A:K,MATCH($B$1,Database!$A$1:$K$1,),)</f>
        <v>17487</v>
      </c>
      <c r="C342" s="15">
        <f t="shared" si="15"/>
        <v>-1.3872441211300964E-2</v>
      </c>
      <c r="D342" s="16">
        <f t="shared" si="16"/>
        <v>1.374334306820134E-3</v>
      </c>
    </row>
    <row r="343" spans="1:4" x14ac:dyDescent="0.2">
      <c r="A343" s="36">
        <v>43831</v>
      </c>
      <c r="B343" s="37">
        <f>VLOOKUP(A343,Database!A:K,MATCH($A$1,Database!$A$1:$K$1,),)+VLOOKUP(A343,Database!A:K,MATCH($B$1,Database!$A$1:$K$1,),)</f>
        <v>17942</v>
      </c>
      <c r="C343" s="38">
        <f t="shared" ref="C343:C344" si="17">(B343-B342)/B342</f>
        <v>2.6019328644135642E-2</v>
      </c>
      <c r="D343" s="39">
        <f t="shared" ref="D343:D344" si="18">(B343-B331)/B331</f>
        <v>3.0793979087670918E-2</v>
      </c>
    </row>
    <row r="344" spans="1:4" x14ac:dyDescent="0.2">
      <c r="A344" s="14">
        <v>43862</v>
      </c>
      <c r="B344" s="18">
        <f>VLOOKUP(A344,Database!A:K,MATCH($A$1,Database!$A$1:$K$1,),)+VLOOKUP(A344,Database!A:K,MATCH($B$1,Database!$A$1:$K$1,),)</f>
        <v>17837</v>
      </c>
      <c r="C344" s="15">
        <f t="shared" si="17"/>
        <v>-5.8521903912607288E-3</v>
      </c>
      <c r="D344" s="16">
        <f t="shared" si="18"/>
        <v>2.6885434657455382E-2</v>
      </c>
    </row>
    <row r="345" spans="1:4" x14ac:dyDescent="0.2">
      <c r="A345" s="36">
        <v>43891</v>
      </c>
      <c r="B345" s="37">
        <f>VLOOKUP(A345,Database!A:K,MATCH($A$1,Database!$A$1:$K$1,),)+VLOOKUP(A345,Database!A:K,MATCH($B$1,Database!$A$1:$K$1,),)</f>
        <v>14360</v>
      </c>
      <c r="C345" s="38">
        <f t="shared" ref="C345:C346" si="19">(B345-B344)/B344</f>
        <v>-0.19493188316420923</v>
      </c>
      <c r="D345" s="39">
        <f t="shared" ref="D345:D346" si="20">(B345-B333)/B333</f>
        <v>-0.18311621821491553</v>
      </c>
    </row>
    <row r="346" spans="1:4" x14ac:dyDescent="0.2">
      <c r="A346" s="14">
        <v>43922</v>
      </c>
      <c r="B346" s="18">
        <f>VLOOKUP(A346,Database!A:K,MATCH($A$1,Database!$A$1:$K$1,),)+VLOOKUP(A346,Database!A:K,MATCH($B$1,Database!$A$1:$K$1,),)</f>
        <v>7687</v>
      </c>
      <c r="C346" s="15">
        <f t="shared" si="19"/>
        <v>-0.46469359331476323</v>
      </c>
      <c r="D346" s="16">
        <f t="shared" si="20"/>
        <v>-0.56304001819008642</v>
      </c>
    </row>
    <row r="347" spans="1:4" x14ac:dyDescent="0.2">
      <c r="A347" s="36">
        <v>43952</v>
      </c>
      <c r="B347" s="37">
        <f>VLOOKUP(A347,Database!A:K,MATCH($A$1,Database!$A$1:$K$1,),)+VLOOKUP(A347,Database!A:K,MATCH($B$1,Database!$A$1:$K$1,),)</f>
        <v>11621</v>
      </c>
      <c r="C347" s="38">
        <f t="shared" ref="C347:C348" si="21">(B347-B346)/B346</f>
        <v>0.51177312345518411</v>
      </c>
      <c r="D347" s="39">
        <f t="shared" ref="D347:D348" si="22">(B347-B335)/B335</f>
        <v>-0.34210824275362317</v>
      </c>
    </row>
    <row r="348" spans="1:4" x14ac:dyDescent="0.2">
      <c r="A348" s="14">
        <v>43983</v>
      </c>
      <c r="B348" s="18">
        <f>VLOOKUP(A348,Database!A:K,MATCH($A$1,Database!$A$1:$K$1,),)+VLOOKUP(A348,Database!A:K,MATCH($B$1,Database!$A$1:$K$1,),)</f>
        <v>16108</v>
      </c>
      <c r="C348" s="15">
        <f t="shared" si="21"/>
        <v>0.38611135014198433</v>
      </c>
      <c r="D348" s="16">
        <f t="shared" si="22"/>
        <v>-8.5811577752553922E-2</v>
      </c>
    </row>
    <row r="349" spans="1:4" x14ac:dyDescent="0.2">
      <c r="A349" s="36">
        <v>44013</v>
      </c>
      <c r="B349" s="37">
        <f>VLOOKUP(A349,Database!A:K,MATCH($A$1,Database!$A$1:$K$1,),)+VLOOKUP(A349,Database!A:K,MATCH($B$1,Database!$A$1:$K$1,),)</f>
        <v>17327</v>
      </c>
      <c r="C349" s="38">
        <f t="shared" ref="C349:C350" si="23">(B349-B348)/B348</f>
        <v>7.5676682393841566E-2</v>
      </c>
      <c r="D349" s="39">
        <f t="shared" ref="D349:D350" si="24">(B349-B337)/B337</f>
        <v>-2.2123144646989109E-2</v>
      </c>
    </row>
    <row r="350" spans="1:4" x14ac:dyDescent="0.2">
      <c r="A350" s="14">
        <v>44044</v>
      </c>
      <c r="B350" s="18">
        <f>VLOOKUP(A350,Database!A:K,MATCH($A$1,Database!$A$1:$K$1,),)+VLOOKUP(A350,Database!A:K,MATCH($B$1,Database!$A$1:$K$1,),)</f>
        <v>17798</v>
      </c>
      <c r="C350" s="15">
        <f t="shared" si="23"/>
        <v>2.7183009176429851E-2</v>
      </c>
      <c r="D350" s="16">
        <f t="shared" si="24"/>
        <v>8.1567916619463016E-3</v>
      </c>
    </row>
    <row r="351" spans="1:4" x14ac:dyDescent="0.2">
      <c r="A351" s="36">
        <v>44075</v>
      </c>
      <c r="B351" s="37">
        <f>VLOOKUP(A351,Database!A:K,MATCH($A$1,Database!$A$1:$K$1,),)+VLOOKUP(A351,Database!A:K,MATCH($B$1,Database!$A$1:$K$1,),)</f>
        <v>17729</v>
      </c>
      <c r="C351" s="38">
        <f t="shared" ref="C351:C352" si="25">(B351-B350)/B350</f>
        <v>-3.8768400943926286E-3</v>
      </c>
      <c r="D351" s="39">
        <f t="shared" ref="D351:D352" si="26">(B351-B339)/B339</f>
        <v>-3.7089069963472886E-3</v>
      </c>
    </row>
    <row r="352" spans="1:4" x14ac:dyDescent="0.2">
      <c r="A352" s="14">
        <v>44105</v>
      </c>
      <c r="B352" s="18">
        <f>VLOOKUP(A352,Database!A:K,MATCH($A$1,Database!$A$1:$K$1,),)+VLOOKUP(A352,Database!A:K,MATCH($B$1,Database!$A$1:$K$1,),)</f>
        <v>17978</v>
      </c>
      <c r="C352" s="15">
        <f t="shared" si="25"/>
        <v>1.4044785379886062E-2</v>
      </c>
      <c r="D352" s="16">
        <f t="shared" si="26"/>
        <v>2.3454400546510303E-2</v>
      </c>
    </row>
    <row r="353" spans="1:4" x14ac:dyDescent="0.2">
      <c r="A353" s="36">
        <v>44136</v>
      </c>
      <c r="B353" s="37">
        <f>VLOOKUP(A353,Database!A:K,MATCH($A$1,Database!$A$1:$K$1,),)+VLOOKUP(A353,Database!A:K,MATCH($B$1,Database!$A$1:$K$1,),)</f>
        <v>17556</v>
      </c>
      <c r="C353" s="38">
        <f t="shared" ref="C353:C354" si="27">(B353-B352)/B352</f>
        <v>-2.3473133830236956E-2</v>
      </c>
      <c r="D353" s="39">
        <f t="shared" ref="D353:D354" si="28">(B353-B341)/B341</f>
        <v>-9.9813906276433762E-3</v>
      </c>
    </row>
    <row r="354" spans="1:4" x14ac:dyDescent="0.2">
      <c r="A354" s="14">
        <v>44166</v>
      </c>
      <c r="B354" s="18">
        <f>VLOOKUP(A354,Database!A:K,MATCH($A$1,Database!$A$1:$K$1,),)+VLOOKUP(A354,Database!A:K,MATCH($B$1,Database!$A$1:$K$1,),)</f>
        <v>17077</v>
      </c>
      <c r="C354" s="15">
        <f t="shared" si="27"/>
        <v>-2.7284119389382546E-2</v>
      </c>
      <c r="D354" s="16">
        <f t="shared" si="28"/>
        <v>-2.3445988448561789E-2</v>
      </c>
    </row>
    <row r="355" spans="1:4" x14ac:dyDescent="0.2">
      <c r="A355" s="36">
        <v>44197</v>
      </c>
      <c r="B355" s="37">
        <f>VLOOKUP(A355,Database!A:K,MATCH($A$1,Database!$A$1:$K$1,),)+VLOOKUP(A355,Database!A:K,MATCH($B$1,Database!$A$1:$K$1,),)</f>
        <v>19623</v>
      </c>
      <c r="C355" s="38">
        <f t="shared" ref="C355:C356" si="29">(B355-B354)/B354</f>
        <v>0.1490894185161328</v>
      </c>
      <c r="D355" s="39">
        <f t="shared" ref="D355:D356" si="30">(B355-B343)/B343</f>
        <v>9.3690781406755103E-2</v>
      </c>
    </row>
    <row r="356" spans="1:4" x14ac:dyDescent="0.2">
      <c r="A356" s="14">
        <v>44228</v>
      </c>
      <c r="B356" s="18">
        <f>VLOOKUP(A356,Database!A:K,MATCH($A$1,Database!$A$1:$K$1,),)+VLOOKUP(A356,Database!A:K,MATCH($B$1,Database!$A$1:$K$1,),)</f>
        <v>18560</v>
      </c>
      <c r="C356" s="15">
        <f t="shared" si="29"/>
        <v>-5.417112571981858E-2</v>
      </c>
      <c r="D356" s="16">
        <f t="shared" si="30"/>
        <v>4.0533722038459383E-2</v>
      </c>
    </row>
    <row r="357" spans="1:4" x14ac:dyDescent="0.2">
      <c r="A357" s="36">
        <v>44256</v>
      </c>
      <c r="B357" s="37">
        <f>VLOOKUP(A357,Database!A:K,MATCH($A$1,Database!$A$1:$K$1,),)+VLOOKUP(A357,Database!A:K,MATCH($B$1,Database!$A$1:$K$1,),)</f>
        <v>20753</v>
      </c>
      <c r="C357" s="38">
        <f t="shared" ref="C357:C358" si="31">(B357-B356)/B356</f>
        <v>0.1181573275862069</v>
      </c>
      <c r="D357" s="39">
        <f t="shared" ref="D357:D358" si="32">(B357-B345)/B345</f>
        <v>0.44519498607242342</v>
      </c>
    </row>
    <row r="358" spans="1:4" x14ac:dyDescent="0.2">
      <c r="A358" s="14">
        <v>44287</v>
      </c>
      <c r="B358" s="18">
        <f>VLOOKUP(A358,Database!A:K,MATCH($A$1,Database!$A$1:$K$1,),)+VLOOKUP(A358,Database!A:K,MATCH($B$1,Database!$A$1:$K$1,),)</f>
        <v>20997</v>
      </c>
      <c r="C358" s="15">
        <f t="shared" si="31"/>
        <v>1.1757336288729341E-2</v>
      </c>
      <c r="D358" s="16">
        <f t="shared" si="32"/>
        <v>1.7314947313646416</v>
      </c>
    </row>
    <row r="359" spans="1:4" x14ac:dyDescent="0.2">
      <c r="A359" s="36">
        <v>44317</v>
      </c>
      <c r="B359" s="37">
        <f>VLOOKUP(A359,Database!A:K,MATCH($A$1,Database!$A$1:$K$1,),)+VLOOKUP(A359,Database!A:K,MATCH($B$1,Database!$A$1:$K$1,),)</f>
        <v>20514</v>
      </c>
      <c r="C359" s="38">
        <f t="shared" ref="C359:C360" si="33">(B359-B358)/B358</f>
        <v>-2.3003286183740534E-2</v>
      </c>
      <c r="D359" s="39">
        <f t="shared" ref="D359:D360" si="34">(B359-B347)/B347</f>
        <v>0.76525256002065223</v>
      </c>
    </row>
    <row r="360" spans="1:4" x14ac:dyDescent="0.2">
      <c r="A360" s="14">
        <v>44348</v>
      </c>
      <c r="B360" s="18">
        <f>VLOOKUP(A360,Database!A:K,MATCH($A$1,Database!$A$1:$K$1,),)+VLOOKUP(A360,Database!A:K,MATCH($B$1,Database!$A$1:$K$1,),)</f>
        <v>20686</v>
      </c>
      <c r="C360" s="15">
        <f t="shared" si="33"/>
        <v>8.3845178902213126E-3</v>
      </c>
      <c r="D360" s="16">
        <f t="shared" si="34"/>
        <v>0.28420660541345916</v>
      </c>
    </row>
    <row r="361" spans="1:4" x14ac:dyDescent="0.2">
      <c r="A361" s="36">
        <v>44378</v>
      </c>
      <c r="B361" s="37">
        <f>VLOOKUP(A361,Database!A:K,MATCH($A$1,Database!$A$1:$K$1,),)+VLOOKUP(A361,Database!A:K,MATCH($B$1,Database!$A$1:$K$1,),)</f>
        <v>20560</v>
      </c>
      <c r="C361" s="38">
        <f t="shared" ref="C361:C362" si="35">(B361-B360)/B360</f>
        <v>-6.0910760901092525E-3</v>
      </c>
      <c r="D361" s="39">
        <f t="shared" ref="D361:D362" si="36">(B361-B349)/B349</f>
        <v>0.18658740693715012</v>
      </c>
    </row>
    <row r="362" spans="1:4" x14ac:dyDescent="0.2">
      <c r="A362" s="14">
        <v>44409</v>
      </c>
      <c r="B362" s="18">
        <f>VLOOKUP(A362,Database!A:K,MATCH($A$1,Database!$A$1:$K$1,),)+VLOOKUP(A362,Database!A:K,MATCH($B$1,Database!$A$1:$K$1,),)</f>
        <v>20746</v>
      </c>
      <c r="C362" s="15">
        <f t="shared" si="35"/>
        <v>9.0466926070038919E-3</v>
      </c>
      <c r="D362" s="16">
        <f t="shared" si="36"/>
        <v>0.16563658838071693</v>
      </c>
    </row>
  </sheetData>
  <conditionalFormatting sqref="D19:D362">
    <cfRule type="colorScale" priority="46">
      <colorScale>
        <cfvo type="min"/>
        <cfvo type="percentile" val="50"/>
        <cfvo type="max"/>
        <color rgb="FFF8696B"/>
        <color rgb="FFFFEB84"/>
        <color rgb="FF63BE7B"/>
      </colorScale>
    </cfRule>
  </conditionalFormatting>
  <conditionalFormatting sqref="C8:C362">
    <cfRule type="colorScale" priority="47">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70C2ED-7FEE-4887-8270-69A6F01547A3}">
  <sheetPr codeName="Sheet19"/>
  <dimension ref="A1:D362"/>
  <sheetViews>
    <sheetView zoomScale="170" zoomScaleNormal="170" workbookViewId="0">
      <pane ySplit="6" topLeftCell="A337" activePane="bottomLeft" state="frozen"/>
      <selection pane="bottomLeft" activeCell="B365" sqref="B365"/>
    </sheetView>
  </sheetViews>
  <sheetFormatPr baseColWidth="10" defaultColWidth="9.1640625" defaultRowHeight="15" x14ac:dyDescent="0.2"/>
  <cols>
    <col min="1" max="1" width="14" style="11" customWidth="1"/>
    <col min="2" max="2" width="20.6640625" style="11" customWidth="1"/>
    <col min="3" max="4" width="14.1640625" style="11" customWidth="1"/>
    <col min="5" max="16384" width="9.1640625" style="1"/>
  </cols>
  <sheetData>
    <row r="1" spans="1:4" x14ac:dyDescent="0.2">
      <c r="A1" s="33" t="s">
        <v>71</v>
      </c>
      <c r="B1" s="34" t="s">
        <v>67</v>
      </c>
    </row>
    <row r="2" spans="1:4" x14ac:dyDescent="0.2">
      <c r="A2" s="35"/>
      <c r="B2" s="33"/>
    </row>
    <row r="3" spans="1:4" x14ac:dyDescent="0.2">
      <c r="A3" s="12"/>
    </row>
    <row r="4" spans="1:4" x14ac:dyDescent="0.2">
      <c r="A4" s="12"/>
    </row>
    <row r="5" spans="1:4" ht="16" thickBot="1" x14ac:dyDescent="0.25"/>
    <row r="6" spans="1:4" ht="44.25" customHeight="1" thickBot="1" x14ac:dyDescent="0.25">
      <c r="A6" s="93" t="s">
        <v>2</v>
      </c>
      <c r="B6" s="95" t="s">
        <v>100</v>
      </c>
      <c r="C6" s="108" t="s">
        <v>82</v>
      </c>
      <c r="D6" s="109" t="s">
        <v>83</v>
      </c>
    </row>
    <row r="7" spans="1:4" x14ac:dyDescent="0.2">
      <c r="A7" s="20">
        <v>33604</v>
      </c>
      <c r="B7" s="21">
        <f>VLOOKUP(A7,Database!A:Q,MATCH($A$1,Database!$A$1:$Q$1,),)</f>
        <v>4318</v>
      </c>
      <c r="C7" s="22"/>
      <c r="D7" s="22"/>
    </row>
    <row r="8" spans="1:4" x14ac:dyDescent="0.2">
      <c r="A8" s="14">
        <v>33635</v>
      </c>
      <c r="B8" s="18">
        <f>VLOOKUP(A8,Database!A:Q,MATCH($A$1,Database!$A$1:$Q$1,),)</f>
        <v>4308</v>
      </c>
      <c r="C8" s="15">
        <f>(B8-B7)/B7</f>
        <v>-2.3158869847151459E-3</v>
      </c>
      <c r="D8" s="3"/>
    </row>
    <row r="9" spans="1:4" x14ac:dyDescent="0.2">
      <c r="A9" s="13">
        <v>33664</v>
      </c>
      <c r="B9" s="18">
        <f>VLOOKUP(A9,Database!A:Q,MATCH($A$1,Database!$A$1:$Q$1,),)</f>
        <v>4292</v>
      </c>
      <c r="C9" s="15">
        <f t="shared" ref="C9:C72" si="0">(B9-B8)/B8</f>
        <v>-3.7140204271123491E-3</v>
      </c>
      <c r="D9" s="3"/>
    </row>
    <row r="10" spans="1:4" x14ac:dyDescent="0.2">
      <c r="A10" s="14">
        <v>33695</v>
      </c>
      <c r="B10" s="18">
        <f>VLOOKUP(A10,Database!A:Q,MATCH($A$1,Database!$A$1:$Q$1,),)</f>
        <v>4391</v>
      </c>
      <c r="C10" s="15">
        <f t="shared" si="0"/>
        <v>2.3066169617893754E-2</v>
      </c>
      <c r="D10" s="3"/>
    </row>
    <row r="11" spans="1:4" x14ac:dyDescent="0.2">
      <c r="A11" s="13">
        <v>33725</v>
      </c>
      <c r="B11" s="18">
        <f>VLOOKUP(A11,Database!A:Q,MATCH($A$1,Database!$A$1:$Q$1,),)</f>
        <v>4356</v>
      </c>
      <c r="C11" s="15">
        <f t="shared" si="0"/>
        <v>-7.9708494648143939E-3</v>
      </c>
      <c r="D11" s="3"/>
    </row>
    <row r="12" spans="1:4" x14ac:dyDescent="0.2">
      <c r="A12" s="14">
        <v>33756</v>
      </c>
      <c r="B12" s="18">
        <f>VLOOKUP(A12,Database!A:Q,MATCH($A$1,Database!$A$1:$Q$1,),)</f>
        <v>4357</v>
      </c>
      <c r="C12" s="15">
        <f t="shared" si="0"/>
        <v>2.295684113865932E-4</v>
      </c>
      <c r="D12" s="3"/>
    </row>
    <row r="13" spans="1:4" x14ac:dyDescent="0.2">
      <c r="A13" s="13">
        <v>33786</v>
      </c>
      <c r="B13" s="18">
        <f>VLOOKUP(A13,Database!A:Q,MATCH($A$1,Database!$A$1:$Q$1,),)</f>
        <v>4468</v>
      </c>
      <c r="C13" s="15">
        <f t="shared" si="0"/>
        <v>2.5476245122790911E-2</v>
      </c>
      <c r="D13" s="3"/>
    </row>
    <row r="14" spans="1:4" x14ac:dyDescent="0.2">
      <c r="A14" s="14">
        <v>33817</v>
      </c>
      <c r="B14" s="18">
        <f>VLOOKUP(A14,Database!A:Q,MATCH($A$1,Database!$A$1:$Q$1,),)</f>
        <v>4494</v>
      </c>
      <c r="C14" s="15">
        <f t="shared" si="0"/>
        <v>5.8191584601611458E-3</v>
      </c>
      <c r="D14" s="3"/>
    </row>
    <row r="15" spans="1:4" x14ac:dyDescent="0.2">
      <c r="A15" s="13">
        <v>33848</v>
      </c>
      <c r="B15" s="18">
        <f>VLOOKUP(A15,Database!A:Q,MATCH($A$1,Database!$A$1:$Q$1,),)</f>
        <v>4549</v>
      </c>
      <c r="C15" s="15">
        <f t="shared" si="0"/>
        <v>1.2238540275923453E-2</v>
      </c>
      <c r="D15" s="3"/>
    </row>
    <row r="16" spans="1:4" x14ac:dyDescent="0.2">
      <c r="A16" s="14">
        <v>33878</v>
      </c>
      <c r="B16" s="18">
        <f>VLOOKUP(A16,Database!A:Q,MATCH($A$1,Database!$A$1:$Q$1,),)</f>
        <v>4809</v>
      </c>
      <c r="C16" s="15">
        <f t="shared" si="0"/>
        <v>5.7155418773356781E-2</v>
      </c>
      <c r="D16" s="3"/>
    </row>
    <row r="17" spans="1:4" x14ac:dyDescent="0.2">
      <c r="A17" s="13">
        <v>33909</v>
      </c>
      <c r="B17" s="18">
        <f>VLOOKUP(A17,Database!A:Q,MATCH($A$1,Database!$A$1:$Q$1,),)</f>
        <v>5059</v>
      </c>
      <c r="C17" s="15">
        <f t="shared" si="0"/>
        <v>5.1985859846121855E-2</v>
      </c>
      <c r="D17" s="3"/>
    </row>
    <row r="18" spans="1:4" x14ac:dyDescent="0.2">
      <c r="A18" s="14">
        <v>33939</v>
      </c>
      <c r="B18" s="18">
        <f>VLOOKUP(A18,Database!A:Q,MATCH($A$1,Database!$A$1:$Q$1,),)</f>
        <v>5059</v>
      </c>
      <c r="C18" s="15">
        <f t="shared" si="0"/>
        <v>0</v>
      </c>
      <c r="D18" s="3"/>
    </row>
    <row r="19" spans="1:4" x14ac:dyDescent="0.2">
      <c r="A19" s="13">
        <v>33970</v>
      </c>
      <c r="B19" s="18">
        <f>VLOOKUP(A19,Database!A:Q,MATCH($A$1,Database!$A$1:$Q$1,),)</f>
        <v>5352</v>
      </c>
      <c r="C19" s="15">
        <f t="shared" si="0"/>
        <v>5.7916584305198658E-2</v>
      </c>
      <c r="D19" s="16">
        <f>(B19-B7)/B7</f>
        <v>0.2394627142195461</v>
      </c>
    </row>
    <row r="20" spans="1:4" x14ac:dyDescent="0.2">
      <c r="A20" s="14">
        <v>34001</v>
      </c>
      <c r="B20" s="18">
        <f>VLOOKUP(A20,Database!A:Q,MATCH($A$1,Database!$A$1:$Q$1,),)</f>
        <v>4896</v>
      </c>
      <c r="C20" s="15">
        <f t="shared" si="0"/>
        <v>-8.520179372197309E-2</v>
      </c>
      <c r="D20" s="16">
        <f t="shared" ref="D20:D83" si="1">(B20-B8)/B8</f>
        <v>0.13649025069637882</v>
      </c>
    </row>
    <row r="21" spans="1:4" x14ac:dyDescent="0.2">
      <c r="A21" s="13">
        <v>34029</v>
      </c>
      <c r="B21" s="18">
        <f>VLOOKUP(A21,Database!A:Q,MATCH($A$1,Database!$A$1:$Q$1,),)</f>
        <v>4811</v>
      </c>
      <c r="C21" s="15">
        <f t="shared" si="0"/>
        <v>-1.7361111111111112E-2</v>
      </c>
      <c r="D21" s="16">
        <f t="shared" si="1"/>
        <v>0.12092264678471575</v>
      </c>
    </row>
    <row r="22" spans="1:4" x14ac:dyDescent="0.2">
      <c r="A22" s="14">
        <v>34060</v>
      </c>
      <c r="B22" s="18">
        <f>VLOOKUP(A22,Database!A:Q,MATCH($A$1,Database!$A$1:$Q$1,),)</f>
        <v>5033</v>
      </c>
      <c r="C22" s="15">
        <f t="shared" si="0"/>
        <v>4.6144252754105178E-2</v>
      </c>
      <c r="D22" s="16">
        <f t="shared" si="1"/>
        <v>0.14620815304030974</v>
      </c>
    </row>
    <row r="23" spans="1:4" x14ac:dyDescent="0.2">
      <c r="A23" s="13">
        <v>34090</v>
      </c>
      <c r="B23" s="18">
        <f>VLOOKUP(A23,Database!A:Q,MATCH($A$1,Database!$A$1:$Q$1,),)</f>
        <v>4967</v>
      </c>
      <c r="C23" s="15">
        <f t="shared" si="0"/>
        <v>-1.3113451221935227E-2</v>
      </c>
      <c r="D23" s="16">
        <f t="shared" si="1"/>
        <v>0.14026629935720844</v>
      </c>
    </row>
    <row r="24" spans="1:4" x14ac:dyDescent="0.2">
      <c r="A24" s="14">
        <v>34121</v>
      </c>
      <c r="B24" s="18">
        <f>VLOOKUP(A24,Database!A:Q,MATCH($A$1,Database!$A$1:$Q$1,),)</f>
        <v>5153</v>
      </c>
      <c r="C24" s="15">
        <f t="shared" si="0"/>
        <v>3.7447151197906182E-2</v>
      </c>
      <c r="D24" s="16">
        <f t="shared" si="1"/>
        <v>0.18269451457424835</v>
      </c>
    </row>
    <row r="25" spans="1:4" x14ac:dyDescent="0.2">
      <c r="A25" s="13">
        <v>34151</v>
      </c>
      <c r="B25" s="18">
        <f>VLOOKUP(A25,Database!A:Q,MATCH($A$1,Database!$A$1:$Q$1,),)</f>
        <v>5064</v>
      </c>
      <c r="C25" s="15">
        <f t="shared" si="0"/>
        <v>-1.7271492334562391E-2</v>
      </c>
      <c r="D25" s="16">
        <f t="shared" si="1"/>
        <v>0.13339301700984782</v>
      </c>
    </row>
    <row r="26" spans="1:4" x14ac:dyDescent="0.2">
      <c r="A26" s="14">
        <v>34182</v>
      </c>
      <c r="B26" s="18">
        <f>VLOOKUP(A26,Database!A:Q,MATCH($A$1,Database!$A$1:$Q$1,),)</f>
        <v>5115</v>
      </c>
      <c r="C26" s="15">
        <f t="shared" si="0"/>
        <v>1.0071090047393365E-2</v>
      </c>
      <c r="D26" s="16">
        <f t="shared" si="1"/>
        <v>0.13818424566088117</v>
      </c>
    </row>
    <row r="27" spans="1:4" x14ac:dyDescent="0.2">
      <c r="A27" s="13">
        <v>34213</v>
      </c>
      <c r="B27" s="18">
        <f>VLOOKUP(A27,Database!A:Q,MATCH($A$1,Database!$A$1:$Q$1,),)</f>
        <v>5222</v>
      </c>
      <c r="C27" s="15">
        <f t="shared" si="0"/>
        <v>2.0918866080156404E-2</v>
      </c>
      <c r="D27" s="16">
        <f t="shared" si="1"/>
        <v>0.14794460320949659</v>
      </c>
    </row>
    <row r="28" spans="1:4" x14ac:dyDescent="0.2">
      <c r="A28" s="14">
        <v>34243</v>
      </c>
      <c r="B28" s="18">
        <f>VLOOKUP(A28,Database!A:Q,MATCH($A$1,Database!$A$1:$Q$1,),)</f>
        <v>5432</v>
      </c>
      <c r="C28" s="15">
        <f t="shared" si="0"/>
        <v>4.0214477211796246E-2</v>
      </c>
      <c r="D28" s="16">
        <f t="shared" si="1"/>
        <v>0.12954876273653565</v>
      </c>
    </row>
    <row r="29" spans="1:4" x14ac:dyDescent="0.2">
      <c r="A29" s="13">
        <v>34274</v>
      </c>
      <c r="B29" s="18">
        <f>VLOOKUP(A29,Database!A:Q,MATCH($A$1,Database!$A$1:$Q$1,),)</f>
        <v>5159</v>
      </c>
      <c r="C29" s="15">
        <f t="shared" si="0"/>
        <v>-5.0257731958762888E-2</v>
      </c>
      <c r="D29" s="16">
        <f t="shared" si="1"/>
        <v>1.9766752322593398E-2</v>
      </c>
    </row>
    <row r="30" spans="1:4" x14ac:dyDescent="0.2">
      <c r="A30" s="14">
        <v>34304</v>
      </c>
      <c r="B30" s="18">
        <f>VLOOKUP(A30,Database!A:Q,MATCH($A$1,Database!$A$1:$Q$1,),)</f>
        <v>5377</v>
      </c>
      <c r="C30" s="15">
        <f t="shared" si="0"/>
        <v>4.2256251211475089E-2</v>
      </c>
      <c r="D30" s="16">
        <f t="shared" si="1"/>
        <v>6.2858272385847E-2</v>
      </c>
    </row>
    <row r="31" spans="1:4" x14ac:dyDescent="0.2">
      <c r="A31" s="13">
        <v>34335</v>
      </c>
      <c r="B31" s="18">
        <f>VLOOKUP(A31,Database!A:Q,MATCH($A$1,Database!$A$1:$Q$1,),)</f>
        <v>5288</v>
      </c>
      <c r="C31" s="15">
        <f t="shared" si="0"/>
        <v>-1.655198065835968E-2</v>
      </c>
      <c r="D31" s="16">
        <f t="shared" si="1"/>
        <v>-1.195814648729447E-2</v>
      </c>
    </row>
    <row r="32" spans="1:4" x14ac:dyDescent="0.2">
      <c r="A32" s="14">
        <v>34366</v>
      </c>
      <c r="B32" s="18">
        <f>VLOOKUP(A32,Database!A:Q,MATCH($A$1,Database!$A$1:$Q$1,),)</f>
        <v>5282</v>
      </c>
      <c r="C32" s="15">
        <f t="shared" si="0"/>
        <v>-1.1346444780635401E-3</v>
      </c>
      <c r="D32" s="16">
        <f t="shared" si="1"/>
        <v>7.8839869281045749E-2</v>
      </c>
    </row>
    <row r="33" spans="1:4" x14ac:dyDescent="0.2">
      <c r="A33" s="13">
        <v>34394</v>
      </c>
      <c r="B33" s="18">
        <f>VLOOKUP(A33,Database!A:Q,MATCH($A$1,Database!$A$1:$Q$1,),)</f>
        <v>5593</v>
      </c>
      <c r="C33" s="15">
        <f t="shared" si="0"/>
        <v>5.887921241953805E-2</v>
      </c>
      <c r="D33" s="16">
        <f t="shared" si="1"/>
        <v>0.16254416961130741</v>
      </c>
    </row>
    <row r="34" spans="1:4" x14ac:dyDescent="0.2">
      <c r="A34" s="14">
        <v>34425</v>
      </c>
      <c r="B34" s="18">
        <f>VLOOKUP(A34,Database!A:Q,MATCH($A$1,Database!$A$1:$Q$1,),)</f>
        <v>5464</v>
      </c>
      <c r="C34" s="15">
        <f t="shared" si="0"/>
        <v>-2.306454496692294E-2</v>
      </c>
      <c r="D34" s="16">
        <f t="shared" si="1"/>
        <v>8.5634810252334589E-2</v>
      </c>
    </row>
    <row r="35" spans="1:4" x14ac:dyDescent="0.2">
      <c r="A35" s="13">
        <v>34455</v>
      </c>
      <c r="B35" s="18">
        <f>VLOOKUP(A35,Database!A:Q,MATCH($A$1,Database!$A$1:$Q$1,),)</f>
        <v>5756</v>
      </c>
      <c r="C35" s="15">
        <f t="shared" si="0"/>
        <v>5.3440702781844804E-2</v>
      </c>
      <c r="D35" s="16">
        <f t="shared" si="1"/>
        <v>0.15884839943627943</v>
      </c>
    </row>
    <row r="36" spans="1:4" x14ac:dyDescent="0.2">
      <c r="A36" s="14">
        <v>34486</v>
      </c>
      <c r="B36" s="18">
        <f>VLOOKUP(A36,Database!A:Q,MATCH($A$1,Database!$A$1:$Q$1,),)</f>
        <v>5739</v>
      </c>
      <c r="C36" s="15">
        <f t="shared" si="0"/>
        <v>-2.9534398888116748E-3</v>
      </c>
      <c r="D36" s="16">
        <f t="shared" si="1"/>
        <v>0.11372016301183777</v>
      </c>
    </row>
    <row r="37" spans="1:4" x14ac:dyDescent="0.2">
      <c r="A37" s="13">
        <v>34516</v>
      </c>
      <c r="B37" s="18">
        <f>VLOOKUP(A37,Database!A:Q,MATCH($A$1,Database!$A$1:$Q$1,),)</f>
        <v>5933</v>
      </c>
      <c r="C37" s="15">
        <f t="shared" si="0"/>
        <v>3.3803798571179648E-2</v>
      </c>
      <c r="D37" s="16">
        <f t="shared" si="1"/>
        <v>0.17160347551342811</v>
      </c>
    </row>
    <row r="38" spans="1:4" x14ac:dyDescent="0.2">
      <c r="A38" s="14">
        <v>34547</v>
      </c>
      <c r="B38" s="18">
        <f>VLOOKUP(A38,Database!A:Q,MATCH($A$1,Database!$A$1:$Q$1,),)</f>
        <v>6012</v>
      </c>
      <c r="C38" s="15">
        <f t="shared" si="0"/>
        <v>1.3315354795213214E-2</v>
      </c>
      <c r="D38" s="16">
        <f t="shared" si="1"/>
        <v>0.175366568914956</v>
      </c>
    </row>
    <row r="39" spans="1:4" x14ac:dyDescent="0.2">
      <c r="A39" s="13">
        <v>34578</v>
      </c>
      <c r="B39" s="18">
        <f>VLOOKUP(A39,Database!A:Q,MATCH($A$1,Database!$A$1:$Q$1,),)</f>
        <v>6092</v>
      </c>
      <c r="C39" s="15">
        <f t="shared" si="0"/>
        <v>1.330671989354624E-2</v>
      </c>
      <c r="D39" s="16">
        <f t="shared" si="1"/>
        <v>0.16660283416315588</v>
      </c>
    </row>
    <row r="40" spans="1:4" x14ac:dyDescent="0.2">
      <c r="A40" s="14">
        <v>34608</v>
      </c>
      <c r="B40" s="18">
        <f>VLOOKUP(A40,Database!A:Q,MATCH($A$1,Database!$A$1:$Q$1,),)</f>
        <v>6048</v>
      </c>
      <c r="C40" s="15">
        <f t="shared" si="0"/>
        <v>-7.222586999343401E-3</v>
      </c>
      <c r="D40" s="16">
        <f t="shared" si="1"/>
        <v>0.1134020618556701</v>
      </c>
    </row>
    <row r="41" spans="1:4" x14ac:dyDescent="0.2">
      <c r="A41" s="13">
        <v>34639</v>
      </c>
      <c r="B41" s="18">
        <f>VLOOKUP(A41,Database!A:Q,MATCH($A$1,Database!$A$1:$Q$1,),)</f>
        <v>6074</v>
      </c>
      <c r="C41" s="15">
        <f t="shared" si="0"/>
        <v>4.2989417989417987E-3</v>
      </c>
      <c r="D41" s="16">
        <f t="shared" si="1"/>
        <v>0.17735995347935646</v>
      </c>
    </row>
    <row r="42" spans="1:4" x14ac:dyDescent="0.2">
      <c r="A42" s="14">
        <v>34669</v>
      </c>
      <c r="B42" s="18">
        <f>VLOOKUP(A42,Database!A:Q,MATCH($A$1,Database!$A$1:$Q$1,),)</f>
        <v>6021</v>
      </c>
      <c r="C42" s="15">
        <f t="shared" si="0"/>
        <v>-8.7257161672703327E-3</v>
      </c>
      <c r="D42" s="16">
        <f t="shared" si="1"/>
        <v>0.11976938813464758</v>
      </c>
    </row>
    <row r="43" spans="1:4" x14ac:dyDescent="0.2">
      <c r="A43" s="13">
        <v>34700</v>
      </c>
      <c r="B43" s="18">
        <f>VLOOKUP(A43,Database!A:Q,MATCH($A$1,Database!$A$1:$Q$1,),)</f>
        <v>5955</v>
      </c>
      <c r="C43" s="15">
        <f t="shared" si="0"/>
        <v>-1.096163428001993E-2</v>
      </c>
      <c r="D43" s="16">
        <f t="shared" si="1"/>
        <v>0.12613464447806355</v>
      </c>
    </row>
    <row r="44" spans="1:4" x14ac:dyDescent="0.2">
      <c r="A44" s="14">
        <v>34731</v>
      </c>
      <c r="B44" s="18">
        <f>VLOOKUP(A44,Database!A:Q,MATCH($A$1,Database!$A$1:$Q$1,),)</f>
        <v>6097</v>
      </c>
      <c r="C44" s="15">
        <f t="shared" si="0"/>
        <v>2.3845507976490345E-2</v>
      </c>
      <c r="D44" s="16">
        <f t="shared" si="1"/>
        <v>0.154297614539947</v>
      </c>
    </row>
    <row r="45" spans="1:4" x14ac:dyDescent="0.2">
      <c r="A45" s="13">
        <v>34759</v>
      </c>
      <c r="B45" s="18">
        <f>VLOOKUP(A45,Database!A:Q,MATCH($A$1,Database!$A$1:$Q$1,),)</f>
        <v>6134</v>
      </c>
      <c r="C45" s="15">
        <f t="shared" si="0"/>
        <v>6.0685583073642772E-3</v>
      </c>
      <c r="D45" s="16">
        <f t="shared" si="1"/>
        <v>9.6728052923296975E-2</v>
      </c>
    </row>
    <row r="46" spans="1:4" x14ac:dyDescent="0.2">
      <c r="A46" s="14">
        <v>34790</v>
      </c>
      <c r="B46" s="18">
        <f>VLOOKUP(A46,Database!A:Q,MATCH($A$1,Database!$A$1:$Q$1,),)</f>
        <v>6265</v>
      </c>
      <c r="C46" s="15">
        <f t="shared" si="0"/>
        <v>2.1356374307140529E-2</v>
      </c>
      <c r="D46" s="16">
        <f t="shared" si="1"/>
        <v>0.14659590043923865</v>
      </c>
    </row>
    <row r="47" spans="1:4" x14ac:dyDescent="0.2">
      <c r="A47" s="13">
        <v>34820</v>
      </c>
      <c r="B47" s="18">
        <f>VLOOKUP(A47,Database!A:Q,MATCH($A$1,Database!$A$1:$Q$1,),)</f>
        <v>6372</v>
      </c>
      <c r="C47" s="15">
        <f t="shared" si="0"/>
        <v>1.7079010375099759E-2</v>
      </c>
      <c r="D47" s="16">
        <f t="shared" si="1"/>
        <v>0.10701876302988186</v>
      </c>
    </row>
    <row r="48" spans="1:4" x14ac:dyDescent="0.2">
      <c r="A48" s="14">
        <v>34851</v>
      </c>
      <c r="B48" s="18">
        <f>VLOOKUP(A48,Database!A:Q,MATCH($A$1,Database!$A$1:$Q$1,),)</f>
        <v>6288</v>
      </c>
      <c r="C48" s="15">
        <f t="shared" si="0"/>
        <v>-1.3182674199623353E-2</v>
      </c>
      <c r="D48" s="16">
        <f t="shared" si="1"/>
        <v>9.566126502875065E-2</v>
      </c>
    </row>
    <row r="49" spans="1:4" x14ac:dyDescent="0.2">
      <c r="A49" s="13">
        <v>34881</v>
      </c>
      <c r="B49" s="18">
        <f>VLOOKUP(A49,Database!A:Q,MATCH($A$1,Database!$A$1:$Q$1,),)</f>
        <v>6398</v>
      </c>
      <c r="C49" s="15">
        <f t="shared" si="0"/>
        <v>1.7493638676844784E-2</v>
      </c>
      <c r="D49" s="16">
        <f t="shared" si="1"/>
        <v>7.8375189617394231E-2</v>
      </c>
    </row>
    <row r="50" spans="1:4" x14ac:dyDescent="0.2">
      <c r="A50" s="14">
        <v>34912</v>
      </c>
      <c r="B50" s="18">
        <f>VLOOKUP(A50,Database!A:Q,MATCH($A$1,Database!$A$1:$Q$1,),)</f>
        <v>6502</v>
      </c>
      <c r="C50" s="15">
        <f t="shared" si="0"/>
        <v>1.625507971241013E-2</v>
      </c>
      <c r="D50" s="16">
        <f t="shared" si="1"/>
        <v>8.1503659347970728E-2</v>
      </c>
    </row>
    <row r="51" spans="1:4" x14ac:dyDescent="0.2">
      <c r="A51" s="13">
        <v>34943</v>
      </c>
      <c r="B51" s="18">
        <f>VLOOKUP(A51,Database!A:Q,MATCH($A$1,Database!$A$1:$Q$1,),)</f>
        <v>6413</v>
      </c>
      <c r="C51" s="15">
        <f t="shared" si="0"/>
        <v>-1.3688095970470625E-2</v>
      </c>
      <c r="D51" s="16">
        <f t="shared" si="1"/>
        <v>5.269205515430072E-2</v>
      </c>
    </row>
    <row r="52" spans="1:4" x14ac:dyDescent="0.2">
      <c r="A52" s="14">
        <v>34973</v>
      </c>
      <c r="B52" s="18">
        <f>VLOOKUP(A52,Database!A:Q,MATCH($A$1,Database!$A$1:$Q$1,),)</f>
        <v>6419</v>
      </c>
      <c r="C52" s="15">
        <f t="shared" si="0"/>
        <v>9.3559956338687042E-4</v>
      </c>
      <c r="D52" s="16">
        <f t="shared" si="1"/>
        <v>6.1342592592592594E-2</v>
      </c>
    </row>
    <row r="53" spans="1:4" x14ac:dyDescent="0.2">
      <c r="A53" s="13">
        <v>35004</v>
      </c>
      <c r="B53" s="18">
        <f>VLOOKUP(A53,Database!A:Q,MATCH($A$1,Database!$A$1:$Q$1,),)</f>
        <v>6520</v>
      </c>
      <c r="C53" s="15">
        <f t="shared" si="0"/>
        <v>1.5734538090045179E-2</v>
      </c>
      <c r="D53" s="16">
        <f t="shared" si="1"/>
        <v>7.3427724728350352E-2</v>
      </c>
    </row>
    <row r="54" spans="1:4" x14ac:dyDescent="0.2">
      <c r="A54" s="14">
        <v>35034</v>
      </c>
      <c r="B54" s="18">
        <f>VLOOKUP(A54,Database!A:Q,MATCH($A$1,Database!$A$1:$Q$1,),)</f>
        <v>6566</v>
      </c>
      <c r="C54" s="15">
        <f t="shared" si="0"/>
        <v>7.0552147239263804E-3</v>
      </c>
      <c r="D54" s="16">
        <f t="shared" si="1"/>
        <v>9.0516525494103967E-2</v>
      </c>
    </row>
    <row r="55" spans="1:4" x14ac:dyDescent="0.2">
      <c r="A55" s="13">
        <v>35065</v>
      </c>
      <c r="B55" s="18">
        <f>VLOOKUP(A55,Database!A:Q,MATCH($A$1,Database!$A$1:$Q$1,),)</f>
        <v>6202</v>
      </c>
      <c r="C55" s="15">
        <f t="shared" si="0"/>
        <v>-5.5437100213219619E-2</v>
      </c>
      <c r="D55" s="16">
        <f t="shared" si="1"/>
        <v>4.1477749790092361E-2</v>
      </c>
    </row>
    <row r="56" spans="1:4" x14ac:dyDescent="0.2">
      <c r="A56" s="14">
        <v>35096</v>
      </c>
      <c r="B56" s="18">
        <f>VLOOKUP(A56,Database!A:Q,MATCH($A$1,Database!$A$1:$Q$1,),)</f>
        <v>6339</v>
      </c>
      <c r="C56" s="15">
        <f t="shared" si="0"/>
        <v>2.2089648500483713E-2</v>
      </c>
      <c r="D56" s="16">
        <f t="shared" si="1"/>
        <v>3.9691651631950139E-2</v>
      </c>
    </row>
    <row r="57" spans="1:4" x14ac:dyDescent="0.2">
      <c r="A57" s="13">
        <v>35125</v>
      </c>
      <c r="B57" s="18">
        <f>VLOOKUP(A57,Database!A:Q,MATCH($A$1,Database!$A$1:$Q$1,),)</f>
        <v>6473</v>
      </c>
      <c r="C57" s="15">
        <f t="shared" si="0"/>
        <v>2.1138980911815743E-2</v>
      </c>
      <c r="D57" s="16">
        <f t="shared" si="1"/>
        <v>5.5265731985653731E-2</v>
      </c>
    </row>
    <row r="58" spans="1:4" x14ac:dyDescent="0.2">
      <c r="A58" s="14">
        <v>35156</v>
      </c>
      <c r="B58" s="18">
        <f>VLOOKUP(A58,Database!A:Q,MATCH($A$1,Database!$A$1:$Q$1,),)</f>
        <v>6772</v>
      </c>
      <c r="C58" s="15">
        <f t="shared" si="0"/>
        <v>4.6191873937895873E-2</v>
      </c>
      <c r="D58" s="16">
        <f t="shared" si="1"/>
        <v>8.0925778132482043E-2</v>
      </c>
    </row>
    <row r="59" spans="1:4" x14ac:dyDescent="0.2">
      <c r="A59" s="13">
        <v>35186</v>
      </c>
      <c r="B59" s="18">
        <f>VLOOKUP(A59,Database!A:Q,MATCH($A$1,Database!$A$1:$Q$1,),)</f>
        <v>7128</v>
      </c>
      <c r="C59" s="15">
        <f t="shared" si="0"/>
        <v>5.2569403425871235E-2</v>
      </c>
      <c r="D59" s="16">
        <f t="shared" si="1"/>
        <v>0.11864406779661017</v>
      </c>
    </row>
    <row r="60" spans="1:4" x14ac:dyDescent="0.2">
      <c r="A60" s="14">
        <v>35217</v>
      </c>
      <c r="B60" s="18">
        <f>VLOOKUP(A60,Database!A:Q,MATCH($A$1,Database!$A$1:$Q$1,),)</f>
        <v>7050</v>
      </c>
      <c r="C60" s="15">
        <f t="shared" si="0"/>
        <v>-1.0942760942760943E-2</v>
      </c>
      <c r="D60" s="16">
        <f t="shared" si="1"/>
        <v>0.12118320610687022</v>
      </c>
    </row>
    <row r="61" spans="1:4" x14ac:dyDescent="0.2">
      <c r="A61" s="13">
        <v>35247</v>
      </c>
      <c r="B61" s="18">
        <f>VLOOKUP(A61,Database!A:Q,MATCH($A$1,Database!$A$1:$Q$1,),)</f>
        <v>7018</v>
      </c>
      <c r="C61" s="15">
        <f t="shared" si="0"/>
        <v>-4.5390070921985815E-3</v>
      </c>
      <c r="D61" s="16">
        <f t="shared" si="1"/>
        <v>9.6905282900906539E-2</v>
      </c>
    </row>
    <row r="62" spans="1:4" x14ac:dyDescent="0.2">
      <c r="A62" s="14">
        <v>35278</v>
      </c>
      <c r="B62" s="18">
        <f>VLOOKUP(A62,Database!A:Q,MATCH($A$1,Database!$A$1:$Q$1,),)</f>
        <v>6918</v>
      </c>
      <c r="C62" s="15">
        <f t="shared" si="0"/>
        <v>-1.4249073810202337E-2</v>
      </c>
      <c r="D62" s="16">
        <f t="shared" si="1"/>
        <v>6.3980313749615506E-2</v>
      </c>
    </row>
    <row r="63" spans="1:4" x14ac:dyDescent="0.2">
      <c r="A63" s="13">
        <v>35309</v>
      </c>
      <c r="B63" s="18">
        <f>VLOOKUP(A63,Database!A:Q,MATCH($A$1,Database!$A$1:$Q$1,),)</f>
        <v>7011</v>
      </c>
      <c r="C63" s="15">
        <f t="shared" si="0"/>
        <v>1.3443191673894189E-2</v>
      </c>
      <c r="D63" s="16">
        <f t="shared" si="1"/>
        <v>9.3248089817558083E-2</v>
      </c>
    </row>
    <row r="64" spans="1:4" x14ac:dyDescent="0.2">
      <c r="A64" s="14">
        <v>35339</v>
      </c>
      <c r="B64" s="18">
        <f>VLOOKUP(A64,Database!A:Q,MATCH($A$1,Database!$A$1:$Q$1,),)</f>
        <v>7110</v>
      </c>
      <c r="C64" s="15">
        <f t="shared" si="0"/>
        <v>1.4120667522464698E-2</v>
      </c>
      <c r="D64" s="16">
        <f t="shared" si="1"/>
        <v>0.10764916653684374</v>
      </c>
    </row>
    <row r="65" spans="1:4" x14ac:dyDescent="0.2">
      <c r="A65" s="13">
        <v>35370</v>
      </c>
      <c r="B65" s="18">
        <f>VLOOKUP(A65,Database!A:Q,MATCH($A$1,Database!$A$1:$Q$1,),)</f>
        <v>7154</v>
      </c>
      <c r="C65" s="15">
        <f t="shared" si="0"/>
        <v>6.188466947960619E-3</v>
      </c>
      <c r="D65" s="16">
        <f t="shared" si="1"/>
        <v>9.7239263803680975E-2</v>
      </c>
    </row>
    <row r="66" spans="1:4" x14ac:dyDescent="0.2">
      <c r="A66" s="14">
        <v>35400</v>
      </c>
      <c r="B66" s="18">
        <f>VLOOKUP(A66,Database!A:Q,MATCH($A$1,Database!$A$1:$Q$1,),)</f>
        <v>7144</v>
      </c>
      <c r="C66" s="15">
        <f t="shared" si="0"/>
        <v>-1.3978194017332962E-3</v>
      </c>
      <c r="D66" s="16">
        <f t="shared" si="1"/>
        <v>8.8029241547365217E-2</v>
      </c>
    </row>
    <row r="67" spans="1:4" x14ac:dyDescent="0.2">
      <c r="A67" s="13">
        <v>35431</v>
      </c>
      <c r="B67" s="18">
        <f>VLOOKUP(A67,Database!A:Q,MATCH($A$1,Database!$A$1:$Q$1,),)</f>
        <v>7295</v>
      </c>
      <c r="C67" s="15">
        <f t="shared" si="0"/>
        <v>2.1136618141097425E-2</v>
      </c>
      <c r="D67" s="16">
        <f t="shared" si="1"/>
        <v>0.1762334730732022</v>
      </c>
    </row>
    <row r="68" spans="1:4" x14ac:dyDescent="0.2">
      <c r="A68" s="14">
        <v>35462</v>
      </c>
      <c r="B68" s="18">
        <f>VLOOKUP(A68,Database!A:Q,MATCH($A$1,Database!$A$1:$Q$1,),)</f>
        <v>7539</v>
      </c>
      <c r="C68" s="15">
        <f t="shared" si="0"/>
        <v>3.3447566826593556E-2</v>
      </c>
      <c r="D68" s="16">
        <f t="shared" si="1"/>
        <v>0.18930430667297682</v>
      </c>
    </row>
    <row r="69" spans="1:4" x14ac:dyDescent="0.2">
      <c r="A69" s="13">
        <v>35490</v>
      </c>
      <c r="B69" s="18">
        <f>VLOOKUP(A69,Database!A:Q,MATCH($A$1,Database!$A$1:$Q$1,),)</f>
        <v>7459</v>
      </c>
      <c r="C69" s="15">
        <f t="shared" si="0"/>
        <v>-1.0611486934606711E-2</v>
      </c>
      <c r="D69" s="16">
        <f t="shared" si="1"/>
        <v>0.15232504248416498</v>
      </c>
    </row>
    <row r="70" spans="1:4" x14ac:dyDescent="0.2">
      <c r="A70" s="14">
        <v>35521</v>
      </c>
      <c r="B70" s="18">
        <f>VLOOKUP(A70,Database!A:Q,MATCH($A$1,Database!$A$1:$Q$1,),)</f>
        <v>7417</v>
      </c>
      <c r="C70" s="15">
        <f t="shared" si="0"/>
        <v>-5.6307816061134204E-3</v>
      </c>
      <c r="D70" s="16">
        <f t="shared" si="1"/>
        <v>9.5245126993502655E-2</v>
      </c>
    </row>
    <row r="71" spans="1:4" x14ac:dyDescent="0.2">
      <c r="A71" s="13">
        <v>35551</v>
      </c>
      <c r="B71" s="18">
        <f>VLOOKUP(A71,Database!A:Q,MATCH($A$1,Database!$A$1:$Q$1,),)</f>
        <v>7181</v>
      </c>
      <c r="C71" s="15">
        <f t="shared" si="0"/>
        <v>-3.181879466091412E-2</v>
      </c>
      <c r="D71" s="16">
        <f t="shared" si="1"/>
        <v>7.4354657687991021E-3</v>
      </c>
    </row>
    <row r="72" spans="1:4" x14ac:dyDescent="0.2">
      <c r="A72" s="14">
        <v>35582</v>
      </c>
      <c r="B72" s="18">
        <f>VLOOKUP(A72,Database!A:Q,MATCH($A$1,Database!$A$1:$Q$1,),)</f>
        <v>7474</v>
      </c>
      <c r="C72" s="15">
        <f t="shared" si="0"/>
        <v>4.0802116696838878E-2</v>
      </c>
      <c r="D72" s="16">
        <f t="shared" si="1"/>
        <v>6.0141843971631206E-2</v>
      </c>
    </row>
    <row r="73" spans="1:4" x14ac:dyDescent="0.2">
      <c r="A73" s="13">
        <v>35612</v>
      </c>
      <c r="B73" s="18">
        <f>VLOOKUP(A73,Database!A:Q,MATCH($A$1,Database!$A$1:$Q$1,),)</f>
        <v>7464</v>
      </c>
      <c r="C73" s="15">
        <f t="shared" ref="C73:C136" si="2">(B73-B72)/B72</f>
        <v>-1.3379716350013381E-3</v>
      </c>
      <c r="D73" s="16">
        <f t="shared" si="1"/>
        <v>6.3550869193502418E-2</v>
      </c>
    </row>
    <row r="74" spans="1:4" x14ac:dyDescent="0.2">
      <c r="A74" s="14">
        <v>35643</v>
      </c>
      <c r="B74" s="18">
        <f>VLOOKUP(A74,Database!A:Q,MATCH($A$1,Database!$A$1:$Q$1,),)</f>
        <v>7562</v>
      </c>
      <c r="C74" s="15">
        <f t="shared" si="2"/>
        <v>1.3129689174705252E-2</v>
      </c>
      <c r="D74" s="16">
        <f t="shared" si="1"/>
        <v>9.3090488580514594E-2</v>
      </c>
    </row>
    <row r="75" spans="1:4" x14ac:dyDescent="0.2">
      <c r="A75" s="13">
        <v>35674</v>
      </c>
      <c r="B75" s="18">
        <f>VLOOKUP(A75,Database!A:Q,MATCH($A$1,Database!$A$1:$Q$1,),)</f>
        <v>7664</v>
      </c>
      <c r="C75" s="15">
        <f t="shared" si="2"/>
        <v>1.348849510711452E-2</v>
      </c>
      <c r="D75" s="16">
        <f t="shared" si="1"/>
        <v>9.3139352446156037E-2</v>
      </c>
    </row>
    <row r="76" spans="1:4" x14ac:dyDescent="0.2">
      <c r="A76" s="14">
        <v>35704</v>
      </c>
      <c r="B76" s="18">
        <f>VLOOKUP(A76,Database!A:Q,MATCH($A$1,Database!$A$1:$Q$1,),)</f>
        <v>7704</v>
      </c>
      <c r="C76" s="15">
        <f t="shared" si="2"/>
        <v>5.2192066805845511E-3</v>
      </c>
      <c r="D76" s="16">
        <f t="shared" si="1"/>
        <v>8.3544303797468356E-2</v>
      </c>
    </row>
    <row r="77" spans="1:4" x14ac:dyDescent="0.2">
      <c r="A77" s="13">
        <v>35735</v>
      </c>
      <c r="B77" s="18">
        <f>VLOOKUP(A77,Database!A:Q,MATCH($A$1,Database!$A$1:$Q$1,),)</f>
        <v>7707</v>
      </c>
      <c r="C77" s="15">
        <f t="shared" si="2"/>
        <v>3.8940809968847351E-4</v>
      </c>
      <c r="D77" s="16">
        <f t="shared" si="1"/>
        <v>7.7299412915851268E-2</v>
      </c>
    </row>
    <row r="78" spans="1:4" x14ac:dyDescent="0.2">
      <c r="A78" s="14">
        <v>35765</v>
      </c>
      <c r="B78" s="18">
        <f>VLOOKUP(A78,Database!A:Q,MATCH($A$1,Database!$A$1:$Q$1,),)</f>
        <v>7845</v>
      </c>
      <c r="C78" s="15">
        <f t="shared" si="2"/>
        <v>1.7905799922148698E-2</v>
      </c>
      <c r="D78" s="16">
        <f t="shared" si="1"/>
        <v>9.8124300111982088E-2</v>
      </c>
    </row>
    <row r="79" spans="1:4" x14ac:dyDescent="0.2">
      <c r="A79" s="13">
        <v>35796</v>
      </c>
      <c r="B79" s="18">
        <f>VLOOKUP(A79,Database!A:Q,MATCH($A$1,Database!$A$1:$Q$1,),)</f>
        <v>8070</v>
      </c>
      <c r="C79" s="15">
        <f t="shared" si="2"/>
        <v>2.8680688336520075E-2</v>
      </c>
      <c r="D79" s="16">
        <f t="shared" si="1"/>
        <v>0.10623714873200822</v>
      </c>
    </row>
    <row r="80" spans="1:4" x14ac:dyDescent="0.2">
      <c r="A80" s="14">
        <v>35827</v>
      </c>
      <c r="B80" s="18">
        <f>VLOOKUP(A80,Database!A:Q,MATCH($A$1,Database!$A$1:$Q$1,),)</f>
        <v>7948</v>
      </c>
      <c r="C80" s="15">
        <f t="shared" si="2"/>
        <v>-1.5117719950433706E-2</v>
      </c>
      <c r="D80" s="16">
        <f t="shared" si="1"/>
        <v>5.4251226953176815E-2</v>
      </c>
    </row>
    <row r="81" spans="1:4" x14ac:dyDescent="0.2">
      <c r="A81" s="13">
        <v>35855</v>
      </c>
      <c r="B81" s="18">
        <f>VLOOKUP(A81,Database!A:Q,MATCH($A$1,Database!$A$1:$Q$1,),)</f>
        <v>7957</v>
      </c>
      <c r="C81" s="15">
        <f t="shared" si="2"/>
        <v>1.1323603422244591E-3</v>
      </c>
      <c r="D81" s="16">
        <f t="shared" si="1"/>
        <v>6.6764981901059117E-2</v>
      </c>
    </row>
    <row r="82" spans="1:4" x14ac:dyDescent="0.2">
      <c r="A82" s="14">
        <v>35886</v>
      </c>
      <c r="B82" s="18">
        <f>VLOOKUP(A82,Database!A:Q,MATCH($A$1,Database!$A$1:$Q$1,),)</f>
        <v>7916</v>
      </c>
      <c r="C82" s="15">
        <f t="shared" si="2"/>
        <v>-5.152695739600352E-3</v>
      </c>
      <c r="D82" s="16">
        <f t="shared" si="1"/>
        <v>6.7277875151678573E-2</v>
      </c>
    </row>
    <row r="83" spans="1:4" x14ac:dyDescent="0.2">
      <c r="A83" s="13">
        <v>35916</v>
      </c>
      <c r="B83" s="18">
        <f>VLOOKUP(A83,Database!A:Q,MATCH($A$1,Database!$A$1:$Q$1,),)</f>
        <v>8037</v>
      </c>
      <c r="C83" s="15">
        <f t="shared" si="2"/>
        <v>1.5285497726124305E-2</v>
      </c>
      <c r="D83" s="16">
        <f t="shared" si="1"/>
        <v>0.11920345355800027</v>
      </c>
    </row>
    <row r="84" spans="1:4" x14ac:dyDescent="0.2">
      <c r="A84" s="14">
        <v>35947</v>
      </c>
      <c r="B84" s="18">
        <f>VLOOKUP(A84,Database!A:Q,MATCH($A$1,Database!$A$1:$Q$1,),)</f>
        <v>8064</v>
      </c>
      <c r="C84" s="15">
        <f t="shared" si="2"/>
        <v>3.3594624860022394E-3</v>
      </c>
      <c r="D84" s="16">
        <f t="shared" ref="D84:D147" si="3">(B84-B72)/B72</f>
        <v>7.8940326465078939E-2</v>
      </c>
    </row>
    <row r="85" spans="1:4" x14ac:dyDescent="0.2">
      <c r="A85" s="13">
        <v>35977</v>
      </c>
      <c r="B85" s="18">
        <f>VLOOKUP(A85,Database!A:Q,MATCH($A$1,Database!$A$1:$Q$1,),)</f>
        <v>8240</v>
      </c>
      <c r="C85" s="15">
        <f t="shared" si="2"/>
        <v>2.1825396825396824E-2</v>
      </c>
      <c r="D85" s="16">
        <f t="shared" si="3"/>
        <v>0.10396570203644159</v>
      </c>
    </row>
    <row r="86" spans="1:4" x14ac:dyDescent="0.2">
      <c r="A86" s="14">
        <v>36008</v>
      </c>
      <c r="B86" s="18">
        <f>VLOOKUP(A86,Database!A:Q,MATCH($A$1,Database!$A$1:$Q$1,),)</f>
        <v>8334</v>
      </c>
      <c r="C86" s="15">
        <f t="shared" si="2"/>
        <v>1.1407766990291262E-2</v>
      </c>
      <c r="D86" s="16">
        <f t="shared" si="3"/>
        <v>0.10208939434012167</v>
      </c>
    </row>
    <row r="87" spans="1:4" x14ac:dyDescent="0.2">
      <c r="A87" s="13">
        <v>36039</v>
      </c>
      <c r="B87" s="18">
        <f>VLOOKUP(A87,Database!A:Q,MATCH($A$1,Database!$A$1:$Q$1,),)</f>
        <v>8378</v>
      </c>
      <c r="C87" s="15">
        <f t="shared" si="2"/>
        <v>5.2795776337892968E-3</v>
      </c>
      <c r="D87" s="16">
        <f t="shared" si="3"/>
        <v>9.3162839248434243E-2</v>
      </c>
    </row>
    <row r="88" spans="1:4" x14ac:dyDescent="0.2">
      <c r="A88" s="14">
        <v>36069</v>
      </c>
      <c r="B88" s="18">
        <f>VLOOKUP(A88,Database!A:Q,MATCH($A$1,Database!$A$1:$Q$1,),)</f>
        <v>8444</v>
      </c>
      <c r="C88" s="15">
        <f t="shared" si="2"/>
        <v>7.8777751253282409E-3</v>
      </c>
      <c r="D88" s="16">
        <f t="shared" si="3"/>
        <v>9.6053997923156803E-2</v>
      </c>
    </row>
    <row r="89" spans="1:4" x14ac:dyDescent="0.2">
      <c r="A89" s="13">
        <v>36100</v>
      </c>
      <c r="B89" s="18">
        <f>VLOOKUP(A89,Database!A:Q,MATCH($A$1,Database!$A$1:$Q$1,),)</f>
        <v>8448</v>
      </c>
      <c r="C89" s="15">
        <f t="shared" si="2"/>
        <v>4.7370914258645192E-4</v>
      </c>
      <c r="D89" s="16">
        <f t="shared" si="3"/>
        <v>9.6146360451537558E-2</v>
      </c>
    </row>
    <row r="90" spans="1:4" x14ac:dyDescent="0.2">
      <c r="A90" s="14">
        <v>36130</v>
      </c>
      <c r="B90" s="18">
        <f>VLOOKUP(A90,Database!A:Q,MATCH($A$1,Database!$A$1:$Q$1,),)</f>
        <v>8622</v>
      </c>
      <c r="C90" s="15">
        <f t="shared" si="2"/>
        <v>2.0596590909090908E-2</v>
      </c>
      <c r="D90" s="16">
        <f t="shared" si="3"/>
        <v>9.9043977055449331E-2</v>
      </c>
    </row>
    <row r="91" spans="1:4" x14ac:dyDescent="0.2">
      <c r="A91" s="13">
        <v>36161</v>
      </c>
      <c r="B91" s="18">
        <f>VLOOKUP(A91,Database!A:Q,MATCH($A$1,Database!$A$1:$Q$1,),)</f>
        <v>8454</v>
      </c>
      <c r="C91" s="15">
        <f t="shared" si="2"/>
        <v>-1.9485038274182326E-2</v>
      </c>
      <c r="D91" s="16">
        <f t="shared" si="3"/>
        <v>4.7583643122676579E-2</v>
      </c>
    </row>
    <row r="92" spans="1:4" x14ac:dyDescent="0.2">
      <c r="A92" s="14">
        <v>36192</v>
      </c>
      <c r="B92" s="18">
        <f>VLOOKUP(A92,Database!A:Q,MATCH($A$1,Database!$A$1:$Q$1,),)</f>
        <v>8615</v>
      </c>
      <c r="C92" s="15">
        <f t="shared" si="2"/>
        <v>1.9044239413295482E-2</v>
      </c>
      <c r="D92" s="16">
        <f t="shared" si="3"/>
        <v>8.3920483140412686E-2</v>
      </c>
    </row>
    <row r="93" spans="1:4" x14ac:dyDescent="0.2">
      <c r="A93" s="13">
        <v>36220</v>
      </c>
      <c r="B93" s="18">
        <f>VLOOKUP(A93,Database!A:Q,MATCH($A$1,Database!$A$1:$Q$1,),)</f>
        <v>8503</v>
      </c>
      <c r="C93" s="15">
        <f t="shared" si="2"/>
        <v>-1.3000580383052815E-2</v>
      </c>
      <c r="D93" s="16">
        <f t="shared" si="3"/>
        <v>6.8618826190775417E-2</v>
      </c>
    </row>
    <row r="94" spans="1:4" x14ac:dyDescent="0.2">
      <c r="A94" s="14">
        <v>36251</v>
      </c>
      <c r="B94" s="18">
        <f>VLOOKUP(A94,Database!A:Q,MATCH($A$1,Database!$A$1:$Q$1,),)</f>
        <v>8590</v>
      </c>
      <c r="C94" s="15">
        <f t="shared" si="2"/>
        <v>1.0231682935434553E-2</v>
      </c>
      <c r="D94" s="16">
        <f t="shared" si="3"/>
        <v>8.5144012127337035E-2</v>
      </c>
    </row>
    <row r="95" spans="1:4" x14ac:dyDescent="0.2">
      <c r="A95" s="13">
        <v>36281</v>
      </c>
      <c r="B95" s="18">
        <f>VLOOKUP(A95,Database!A:Q,MATCH($A$1,Database!$A$1:$Q$1,),)</f>
        <v>8585</v>
      </c>
      <c r="C95" s="15">
        <f t="shared" si="2"/>
        <v>-5.8207217694994178E-4</v>
      </c>
      <c r="D95" s="16">
        <f t="shared" si="3"/>
        <v>6.8184646012193609E-2</v>
      </c>
    </row>
    <row r="96" spans="1:4" x14ac:dyDescent="0.2">
      <c r="A96" s="14">
        <v>36312</v>
      </c>
      <c r="B96" s="18">
        <f>VLOOKUP(A96,Database!A:Q,MATCH($A$1,Database!$A$1:$Q$1,),)</f>
        <v>8481</v>
      </c>
      <c r="C96" s="15">
        <f t="shared" si="2"/>
        <v>-1.2114152591729762E-2</v>
      </c>
      <c r="D96" s="16">
        <f t="shared" si="3"/>
        <v>5.1711309523809521E-2</v>
      </c>
    </row>
    <row r="97" spans="1:4" x14ac:dyDescent="0.2">
      <c r="A97" s="13">
        <v>36342</v>
      </c>
      <c r="B97" s="18">
        <f>VLOOKUP(A97,Database!A:Q,MATCH($A$1,Database!$A$1:$Q$1,),)</f>
        <v>8350</v>
      </c>
      <c r="C97" s="15">
        <f t="shared" si="2"/>
        <v>-1.544629171088315E-2</v>
      </c>
      <c r="D97" s="16">
        <f t="shared" si="3"/>
        <v>1.3349514563106795E-2</v>
      </c>
    </row>
    <row r="98" spans="1:4" x14ac:dyDescent="0.2">
      <c r="A98" s="14">
        <v>36373</v>
      </c>
      <c r="B98" s="18">
        <f>VLOOKUP(A98,Database!A:Q,MATCH($A$1,Database!$A$1:$Q$1,),)</f>
        <v>8519</v>
      </c>
      <c r="C98" s="15">
        <f t="shared" si="2"/>
        <v>2.0239520958083831E-2</v>
      </c>
      <c r="D98" s="16">
        <f t="shared" si="3"/>
        <v>2.2198224142068634E-2</v>
      </c>
    </row>
    <row r="99" spans="1:4" x14ac:dyDescent="0.2">
      <c r="A99" s="13">
        <v>36404</v>
      </c>
      <c r="B99" s="18">
        <f>VLOOKUP(A99,Database!A:Q,MATCH($A$1,Database!$A$1:$Q$1,),)</f>
        <v>8597</v>
      </c>
      <c r="C99" s="15">
        <f t="shared" si="2"/>
        <v>9.1560042258481047E-3</v>
      </c>
      <c r="D99" s="16">
        <f t="shared" si="3"/>
        <v>2.6139890188589161E-2</v>
      </c>
    </row>
    <row r="100" spans="1:4" x14ac:dyDescent="0.2">
      <c r="A100" s="14">
        <v>36434</v>
      </c>
      <c r="B100" s="18">
        <f>VLOOKUP(A100,Database!A:Q,MATCH($A$1,Database!$A$1:$Q$1,),)</f>
        <v>8661</v>
      </c>
      <c r="C100" s="15">
        <f t="shared" si="2"/>
        <v>7.4444573688495991E-3</v>
      </c>
      <c r="D100" s="16">
        <f t="shared" si="3"/>
        <v>2.5698720985315015E-2</v>
      </c>
    </row>
    <row r="101" spans="1:4" x14ac:dyDescent="0.2">
      <c r="A101" s="13">
        <v>36465</v>
      </c>
      <c r="B101" s="18">
        <f>VLOOKUP(A101,Database!A:Q,MATCH($A$1,Database!$A$1:$Q$1,),)</f>
        <v>9058</v>
      </c>
      <c r="C101" s="15">
        <f t="shared" si="2"/>
        <v>4.5837663087403301E-2</v>
      </c>
      <c r="D101" s="16">
        <f t="shared" si="3"/>
        <v>7.2206439393939392E-2</v>
      </c>
    </row>
    <row r="102" spans="1:4" x14ac:dyDescent="0.2">
      <c r="A102" s="14">
        <v>36495</v>
      </c>
      <c r="B102" s="18">
        <f>VLOOKUP(A102,Database!A:Q,MATCH($A$1,Database!$A$1:$Q$1,),)</f>
        <v>9489</v>
      </c>
      <c r="C102" s="15">
        <f t="shared" si="2"/>
        <v>4.7582247736807241E-2</v>
      </c>
      <c r="D102" s="16">
        <f t="shared" si="3"/>
        <v>0.10055671537926235</v>
      </c>
    </row>
    <row r="103" spans="1:4" x14ac:dyDescent="0.2">
      <c r="A103" s="13">
        <v>36526</v>
      </c>
      <c r="B103" s="18">
        <f>VLOOKUP(A103,Database!A:Q,MATCH($A$1,Database!$A$1:$Q$1,),)</f>
        <v>9136</v>
      </c>
      <c r="C103" s="15">
        <f t="shared" si="2"/>
        <v>-3.7200969543682155E-2</v>
      </c>
      <c r="D103" s="16">
        <f t="shared" si="3"/>
        <v>8.0671871303524961E-2</v>
      </c>
    </row>
    <row r="104" spans="1:4" x14ac:dyDescent="0.2">
      <c r="A104" s="14">
        <v>36557</v>
      </c>
      <c r="B104" s="18">
        <f>VLOOKUP(A104,Database!A:Q,MATCH($A$1,Database!$A$1:$Q$1,),)</f>
        <v>9163</v>
      </c>
      <c r="C104" s="15">
        <f t="shared" si="2"/>
        <v>2.9553415061295972E-3</v>
      </c>
      <c r="D104" s="16">
        <f t="shared" si="3"/>
        <v>6.3609982588508418E-2</v>
      </c>
    </row>
    <row r="105" spans="1:4" x14ac:dyDescent="0.2">
      <c r="A105" s="13">
        <v>36586</v>
      </c>
      <c r="B105" s="18">
        <f>VLOOKUP(A105,Database!A:Q,MATCH($A$1,Database!$A$1:$Q$1,),)</f>
        <v>9189</v>
      </c>
      <c r="C105" s="15">
        <f t="shared" si="2"/>
        <v>2.8374986358179637E-3</v>
      </c>
      <c r="D105" s="16">
        <f t="shared" si="3"/>
        <v>8.0677407973656357E-2</v>
      </c>
    </row>
    <row r="106" spans="1:4" x14ac:dyDescent="0.2">
      <c r="A106" s="14">
        <v>36617</v>
      </c>
      <c r="B106" s="18">
        <f>VLOOKUP(A106,Database!A:Q,MATCH($A$1,Database!$A$1:$Q$1,),)</f>
        <v>9056</v>
      </c>
      <c r="C106" s="15">
        <f t="shared" si="2"/>
        <v>-1.4473827402328871E-2</v>
      </c>
      <c r="D106" s="16">
        <f t="shared" si="3"/>
        <v>5.4249126891734577E-2</v>
      </c>
    </row>
    <row r="107" spans="1:4" x14ac:dyDescent="0.2">
      <c r="A107" s="13">
        <v>36647</v>
      </c>
      <c r="B107" s="18">
        <f>VLOOKUP(A107,Database!A:Q,MATCH($A$1,Database!$A$1:$Q$1,),)</f>
        <v>8760</v>
      </c>
      <c r="C107" s="15">
        <f t="shared" si="2"/>
        <v>-3.2685512367491169E-2</v>
      </c>
      <c r="D107" s="16">
        <f t="shared" si="3"/>
        <v>2.03843913803145E-2</v>
      </c>
    </row>
    <row r="108" spans="1:4" x14ac:dyDescent="0.2">
      <c r="A108" s="14">
        <v>36678</v>
      </c>
      <c r="B108" s="18">
        <f>VLOOKUP(A108,Database!A:Q,MATCH($A$1,Database!$A$1:$Q$1,),)</f>
        <v>8785</v>
      </c>
      <c r="C108" s="15">
        <f t="shared" si="2"/>
        <v>2.8538812785388126E-3</v>
      </c>
      <c r="D108" s="16">
        <f t="shared" si="3"/>
        <v>3.5844829619148685E-2</v>
      </c>
    </row>
    <row r="109" spans="1:4" x14ac:dyDescent="0.2">
      <c r="A109" s="13">
        <v>36708</v>
      </c>
      <c r="B109" s="18">
        <f>VLOOKUP(A109,Database!A:Q,MATCH($A$1,Database!$A$1:$Q$1,),)</f>
        <v>8789</v>
      </c>
      <c r="C109" s="15">
        <f t="shared" si="2"/>
        <v>4.5532157085941948E-4</v>
      </c>
      <c r="D109" s="16">
        <f t="shared" si="3"/>
        <v>5.2574850299401198E-2</v>
      </c>
    </row>
    <row r="110" spans="1:4" x14ac:dyDescent="0.2">
      <c r="A110" s="14">
        <v>36739</v>
      </c>
      <c r="B110" s="18">
        <f>VLOOKUP(A110,Database!A:Q,MATCH($A$1,Database!$A$1:$Q$1,),)</f>
        <v>8666</v>
      </c>
      <c r="C110" s="15">
        <f t="shared" si="2"/>
        <v>-1.3994766185003983E-2</v>
      </c>
      <c r="D110" s="16">
        <f t="shared" si="3"/>
        <v>1.7255546425636811E-2</v>
      </c>
    </row>
    <row r="111" spans="1:4" x14ac:dyDescent="0.2">
      <c r="A111" s="13">
        <v>36770</v>
      </c>
      <c r="B111" s="18">
        <f>VLOOKUP(A111,Database!A:Q,MATCH($A$1,Database!$A$1:$Q$1,),)</f>
        <v>8925</v>
      </c>
      <c r="C111" s="15">
        <f t="shared" si="2"/>
        <v>2.9886914378029081E-2</v>
      </c>
      <c r="D111" s="16">
        <f t="shared" si="3"/>
        <v>3.8152844015354195E-2</v>
      </c>
    </row>
    <row r="112" spans="1:4" x14ac:dyDescent="0.2">
      <c r="A112" s="14">
        <v>36800</v>
      </c>
      <c r="B112" s="18">
        <f>VLOOKUP(A112,Database!A:Q,MATCH($A$1,Database!$A$1:$Q$1,),)</f>
        <v>8870</v>
      </c>
      <c r="C112" s="15">
        <f t="shared" si="2"/>
        <v>-6.1624649859943975E-3</v>
      </c>
      <c r="D112" s="16">
        <f t="shared" si="3"/>
        <v>2.4131162683292923E-2</v>
      </c>
    </row>
    <row r="113" spans="1:4" x14ac:dyDescent="0.2">
      <c r="A113" s="13">
        <v>36831</v>
      </c>
      <c r="B113" s="18">
        <f>VLOOKUP(A113,Database!A:Q,MATCH($A$1,Database!$A$1:$Q$1,),)</f>
        <v>8829</v>
      </c>
      <c r="C113" s="15">
        <f t="shared" si="2"/>
        <v>-4.622322435174746E-3</v>
      </c>
      <c r="D113" s="16">
        <f t="shared" si="3"/>
        <v>-2.5281519099138883E-2</v>
      </c>
    </row>
    <row r="114" spans="1:4" x14ac:dyDescent="0.2">
      <c r="A114" s="14">
        <v>36861</v>
      </c>
      <c r="B114" s="18">
        <f>VLOOKUP(A114,Database!A:Q,MATCH($A$1,Database!$A$1:$Q$1,),)</f>
        <v>8631</v>
      </c>
      <c r="C114" s="15">
        <f t="shared" si="2"/>
        <v>-2.2426095820591234E-2</v>
      </c>
      <c r="D114" s="16">
        <f t="shared" si="3"/>
        <v>-9.0420486879544737E-2</v>
      </c>
    </row>
    <row r="115" spans="1:4" x14ac:dyDescent="0.2">
      <c r="A115" s="13">
        <v>36892</v>
      </c>
      <c r="B115" s="18">
        <f>VLOOKUP(A115,Database!A:Q,MATCH($A$1,Database!$A$1:$Q$1,),)</f>
        <v>8466</v>
      </c>
      <c r="C115" s="15">
        <f t="shared" si="2"/>
        <v>-1.9117135905457074E-2</v>
      </c>
      <c r="D115" s="16">
        <f t="shared" si="3"/>
        <v>-7.333625218914186E-2</v>
      </c>
    </row>
    <row r="116" spans="1:4" x14ac:dyDescent="0.2">
      <c r="A116" s="14">
        <v>36923</v>
      </c>
      <c r="B116" s="18">
        <f>VLOOKUP(A116,Database!A:Q,MATCH($A$1,Database!$A$1:$Q$1,),)</f>
        <v>8665</v>
      </c>
      <c r="C116" s="15">
        <f t="shared" si="2"/>
        <v>2.35057878573116E-2</v>
      </c>
      <c r="D116" s="16">
        <f t="shared" si="3"/>
        <v>-5.4349012332205612E-2</v>
      </c>
    </row>
    <row r="117" spans="1:4" x14ac:dyDescent="0.2">
      <c r="A117" s="13">
        <v>36951</v>
      </c>
      <c r="B117" s="18">
        <f>VLOOKUP(A117,Database!A:Q,MATCH($A$1,Database!$A$1:$Q$1,),)</f>
        <v>8897</v>
      </c>
      <c r="C117" s="15">
        <f t="shared" si="2"/>
        <v>2.6774379688401614E-2</v>
      </c>
      <c r="D117" s="16">
        <f t="shared" si="3"/>
        <v>-3.1777124823158122E-2</v>
      </c>
    </row>
    <row r="118" spans="1:4" x14ac:dyDescent="0.2">
      <c r="A118" s="14">
        <v>36982</v>
      </c>
      <c r="B118" s="18">
        <f>VLOOKUP(A118,Database!A:Q,MATCH($A$1,Database!$A$1:$Q$1,),)</f>
        <v>8527</v>
      </c>
      <c r="C118" s="15">
        <f t="shared" si="2"/>
        <v>-4.1587051815218615E-2</v>
      </c>
      <c r="D118" s="16">
        <f t="shared" si="3"/>
        <v>-5.8414310954063603E-2</v>
      </c>
    </row>
    <row r="119" spans="1:4" x14ac:dyDescent="0.2">
      <c r="A119" s="13">
        <v>37012</v>
      </c>
      <c r="B119" s="18">
        <f>VLOOKUP(A119,Database!A:Q,MATCH($A$1,Database!$A$1:$Q$1,),)</f>
        <v>8752</v>
      </c>
      <c r="C119" s="15">
        <f t="shared" si="2"/>
        <v>2.638677143192213E-2</v>
      </c>
      <c r="D119" s="16">
        <f t="shared" si="3"/>
        <v>-9.1324200913242006E-4</v>
      </c>
    </row>
    <row r="120" spans="1:4" x14ac:dyDescent="0.2">
      <c r="A120" s="14">
        <v>37043</v>
      </c>
      <c r="B120" s="18">
        <f>VLOOKUP(A120,Database!A:Q,MATCH($A$1,Database!$A$1:$Q$1,),)</f>
        <v>8693</v>
      </c>
      <c r="C120" s="15">
        <f t="shared" si="2"/>
        <v>-6.7413162705667277E-3</v>
      </c>
      <c r="D120" s="16">
        <f t="shared" si="3"/>
        <v>-1.0472396129766647E-2</v>
      </c>
    </row>
    <row r="121" spans="1:4" x14ac:dyDescent="0.2">
      <c r="A121" s="13">
        <v>37073</v>
      </c>
      <c r="B121" s="18">
        <f>VLOOKUP(A121,Database!A:Q,MATCH($A$1,Database!$A$1:$Q$1,),)</f>
        <v>8671</v>
      </c>
      <c r="C121" s="15">
        <f t="shared" si="2"/>
        <v>-2.5307718854250547E-3</v>
      </c>
      <c r="D121" s="16">
        <f t="shared" si="3"/>
        <v>-1.3425873250654226E-2</v>
      </c>
    </row>
    <row r="122" spans="1:4" x14ac:dyDescent="0.2">
      <c r="A122" s="14">
        <v>37104</v>
      </c>
      <c r="B122" s="18">
        <f>VLOOKUP(A122,Database!A:Q,MATCH($A$1,Database!$A$1:$Q$1,),)</f>
        <v>8691</v>
      </c>
      <c r="C122" s="15">
        <f t="shared" si="2"/>
        <v>2.3065390381732209E-3</v>
      </c>
      <c r="D122" s="16">
        <f t="shared" si="3"/>
        <v>2.8848372951765519E-3</v>
      </c>
    </row>
    <row r="123" spans="1:4" x14ac:dyDescent="0.2">
      <c r="A123" s="13">
        <v>37135</v>
      </c>
      <c r="B123" s="18">
        <f>VLOOKUP(A123,Database!A:Q,MATCH($A$1,Database!$A$1:$Q$1,),)</f>
        <v>8377</v>
      </c>
      <c r="C123" s="15">
        <f t="shared" si="2"/>
        <v>-3.6129329191117249E-2</v>
      </c>
      <c r="D123" s="16">
        <f t="shared" si="3"/>
        <v>-6.1400560224089636E-2</v>
      </c>
    </row>
    <row r="124" spans="1:4" x14ac:dyDescent="0.2">
      <c r="A124" s="14">
        <v>37165</v>
      </c>
      <c r="B124" s="18">
        <f>VLOOKUP(A124,Database!A:Q,MATCH($A$1,Database!$A$1:$Q$1,),)</f>
        <v>8456</v>
      </c>
      <c r="C124" s="15">
        <f t="shared" si="2"/>
        <v>9.4305837411961316E-3</v>
      </c>
      <c r="D124" s="16">
        <f t="shared" si="3"/>
        <v>-4.6674182638105972E-2</v>
      </c>
    </row>
    <row r="125" spans="1:4" x14ac:dyDescent="0.2">
      <c r="A125" s="13">
        <v>37196</v>
      </c>
      <c r="B125" s="18">
        <f>VLOOKUP(A125,Database!A:Q,MATCH($A$1,Database!$A$1:$Q$1,),)</f>
        <v>8548</v>
      </c>
      <c r="C125" s="15">
        <f t="shared" si="2"/>
        <v>1.0879848628192999E-2</v>
      </c>
      <c r="D125" s="16">
        <f t="shared" si="3"/>
        <v>-3.1826933967606753E-2</v>
      </c>
    </row>
    <row r="126" spans="1:4" x14ac:dyDescent="0.2">
      <c r="A126" s="14">
        <v>37226</v>
      </c>
      <c r="B126" s="18">
        <f>VLOOKUP(A126,Database!A:Q,MATCH($A$1,Database!$A$1:$Q$1,),)</f>
        <v>8432</v>
      </c>
      <c r="C126" s="15">
        <f t="shared" si="2"/>
        <v>-1.3570425830603651E-2</v>
      </c>
      <c r="D126" s="16">
        <f t="shared" si="3"/>
        <v>-2.3056424516278529E-2</v>
      </c>
    </row>
    <row r="127" spans="1:4" x14ac:dyDescent="0.2">
      <c r="A127" s="13">
        <v>37257</v>
      </c>
      <c r="B127" s="18">
        <f>VLOOKUP(A127,Database!A:Q,MATCH($A$1,Database!$A$1:$Q$1,),)</f>
        <v>8447</v>
      </c>
      <c r="C127" s="15">
        <f t="shared" si="2"/>
        <v>1.7789373814041745E-3</v>
      </c>
      <c r="D127" s="16">
        <f t="shared" si="3"/>
        <v>-2.2442712024568863E-3</v>
      </c>
    </row>
    <row r="128" spans="1:4" x14ac:dyDescent="0.2">
      <c r="A128" s="14">
        <v>37288</v>
      </c>
      <c r="B128" s="18">
        <f>VLOOKUP(A128,Database!A:Q,MATCH($A$1,Database!$A$1:$Q$1,),)</f>
        <v>8616</v>
      </c>
      <c r="C128" s="15">
        <f t="shared" si="2"/>
        <v>2.0007103113531433E-2</v>
      </c>
      <c r="D128" s="16">
        <f t="shared" si="3"/>
        <v>-5.6549336410848241E-3</v>
      </c>
    </row>
    <row r="129" spans="1:4" x14ac:dyDescent="0.2">
      <c r="A129" s="13">
        <v>37316</v>
      </c>
      <c r="B129" s="18">
        <f>VLOOKUP(A129,Database!A:Q,MATCH($A$1,Database!$A$1:$Q$1,),)</f>
        <v>8380</v>
      </c>
      <c r="C129" s="15">
        <f t="shared" si="2"/>
        <v>-2.7390900649953576E-2</v>
      </c>
      <c r="D129" s="16">
        <f t="shared" si="3"/>
        <v>-5.8109475103967627E-2</v>
      </c>
    </row>
    <row r="130" spans="1:4" x14ac:dyDescent="0.2">
      <c r="A130" s="14">
        <v>37347</v>
      </c>
      <c r="B130" s="18">
        <f>VLOOKUP(A130,Database!A:Q,MATCH($A$1,Database!$A$1:$Q$1,),)</f>
        <v>8579</v>
      </c>
      <c r="C130" s="15">
        <f t="shared" si="2"/>
        <v>2.3747016706443913E-2</v>
      </c>
      <c r="D130" s="16">
        <f t="shared" si="3"/>
        <v>6.0982760642664478E-3</v>
      </c>
    </row>
    <row r="131" spans="1:4" x14ac:dyDescent="0.2">
      <c r="A131" s="13">
        <v>37377</v>
      </c>
      <c r="B131" s="18">
        <f>VLOOKUP(A131,Database!A:Q,MATCH($A$1,Database!$A$1:$Q$1,),)</f>
        <v>8539</v>
      </c>
      <c r="C131" s="15">
        <f t="shared" si="2"/>
        <v>-4.6625480825271013E-3</v>
      </c>
      <c r="D131" s="16">
        <f t="shared" si="3"/>
        <v>-2.4337294332723948E-2</v>
      </c>
    </row>
    <row r="132" spans="1:4" x14ac:dyDescent="0.2">
      <c r="A132" s="14">
        <v>37408</v>
      </c>
      <c r="B132" s="18">
        <f>VLOOKUP(A132,Database!A:Q,MATCH($A$1,Database!$A$1:$Q$1,),)</f>
        <v>8639</v>
      </c>
      <c r="C132" s="15">
        <f t="shared" si="2"/>
        <v>1.1710973181871413E-2</v>
      </c>
      <c r="D132" s="16">
        <f t="shared" si="3"/>
        <v>-6.211894627861498E-3</v>
      </c>
    </row>
    <row r="133" spans="1:4" x14ac:dyDescent="0.2">
      <c r="A133" s="13">
        <v>37438</v>
      </c>
      <c r="B133" s="18">
        <f>VLOOKUP(A133,Database!A:Q,MATCH($A$1,Database!$A$1:$Q$1,),)</f>
        <v>8575</v>
      </c>
      <c r="C133" s="15">
        <f t="shared" si="2"/>
        <v>-7.4082648454682253E-3</v>
      </c>
      <c r="D133" s="16">
        <f t="shared" si="3"/>
        <v>-1.1071387383231461E-2</v>
      </c>
    </row>
    <row r="134" spans="1:4" x14ac:dyDescent="0.2">
      <c r="A134" s="14">
        <v>37469</v>
      </c>
      <c r="B134" s="18">
        <f>VLOOKUP(A134,Database!A:Q,MATCH($A$1,Database!$A$1:$Q$1,),)</f>
        <v>8740</v>
      </c>
      <c r="C134" s="15">
        <f t="shared" si="2"/>
        <v>1.9241982507288629E-2</v>
      </c>
      <c r="D134" s="16">
        <f t="shared" si="3"/>
        <v>5.6380163387412269E-3</v>
      </c>
    </row>
    <row r="135" spans="1:4" x14ac:dyDescent="0.2">
      <c r="A135" s="13">
        <v>37500</v>
      </c>
      <c r="B135" s="18">
        <f>VLOOKUP(A135,Database!A:Q,MATCH($A$1,Database!$A$1:$Q$1,),)</f>
        <v>8724</v>
      </c>
      <c r="C135" s="15">
        <f t="shared" si="2"/>
        <v>-1.8306636155606408E-3</v>
      </c>
      <c r="D135" s="16">
        <f t="shared" si="3"/>
        <v>4.1422943774620989E-2</v>
      </c>
    </row>
    <row r="136" spans="1:4" x14ac:dyDescent="0.2">
      <c r="A136" s="14">
        <v>37530</v>
      </c>
      <c r="B136" s="18">
        <f>VLOOKUP(A136,Database!A:Q,MATCH($A$1,Database!$A$1:$Q$1,),)</f>
        <v>8579</v>
      </c>
      <c r="C136" s="15">
        <f t="shared" si="2"/>
        <v>-1.6620816139385604E-2</v>
      </c>
      <c r="D136" s="16">
        <f t="shared" si="3"/>
        <v>1.4545884578997161E-2</v>
      </c>
    </row>
    <row r="137" spans="1:4" x14ac:dyDescent="0.2">
      <c r="A137" s="13">
        <v>37561</v>
      </c>
      <c r="B137" s="18">
        <f>VLOOKUP(A137,Database!A:Q,MATCH($A$1,Database!$A$1:$Q$1,),)</f>
        <v>8362</v>
      </c>
      <c r="C137" s="15">
        <f t="shared" ref="C137:C200" si="4">(B137-B136)/B136</f>
        <v>-2.5294323347709525E-2</v>
      </c>
      <c r="D137" s="16">
        <f t="shared" si="3"/>
        <v>-2.1759475900795508E-2</v>
      </c>
    </row>
    <row r="138" spans="1:4" x14ac:dyDescent="0.2">
      <c r="A138" s="14">
        <v>37591</v>
      </c>
      <c r="B138" s="18">
        <f>VLOOKUP(A138,Database!A:Q,MATCH($A$1,Database!$A$1:$Q$1,),)</f>
        <v>8569</v>
      </c>
      <c r="C138" s="15">
        <f t="shared" si="4"/>
        <v>2.4754843338914135E-2</v>
      </c>
      <c r="D138" s="16">
        <f t="shared" si="3"/>
        <v>1.624762808349146E-2</v>
      </c>
    </row>
    <row r="139" spans="1:4" x14ac:dyDescent="0.2">
      <c r="A139" s="13">
        <v>37622</v>
      </c>
      <c r="B139" s="18">
        <f>VLOOKUP(A139,Database!A:Q,MATCH($A$1,Database!$A$1:$Q$1,),)</f>
        <v>8565</v>
      </c>
      <c r="C139" s="15">
        <f t="shared" si="4"/>
        <v>-4.6679892636246936E-4</v>
      </c>
      <c r="D139" s="16">
        <f t="shared" si="3"/>
        <v>1.3969456611814845E-2</v>
      </c>
    </row>
    <row r="140" spans="1:4" x14ac:dyDescent="0.2">
      <c r="A140" s="14">
        <v>37653</v>
      </c>
      <c r="B140" s="18">
        <f>VLOOKUP(A140,Database!A:Q,MATCH($A$1,Database!$A$1:$Q$1,),)</f>
        <v>8372</v>
      </c>
      <c r="C140" s="15">
        <f t="shared" si="4"/>
        <v>-2.2533566841798015E-2</v>
      </c>
      <c r="D140" s="16">
        <f t="shared" si="3"/>
        <v>-2.8319405756731662E-2</v>
      </c>
    </row>
    <row r="141" spans="1:4" x14ac:dyDescent="0.2">
      <c r="A141" s="13">
        <v>37681</v>
      </c>
      <c r="B141" s="18">
        <f>VLOOKUP(A141,Database!A:Q,MATCH($A$1,Database!$A$1:$Q$1,),)</f>
        <v>8405</v>
      </c>
      <c r="C141" s="15">
        <f t="shared" si="4"/>
        <v>3.941710463449594E-3</v>
      </c>
      <c r="D141" s="16">
        <f t="shared" si="3"/>
        <v>2.9832935560859188E-3</v>
      </c>
    </row>
    <row r="142" spans="1:4" x14ac:dyDescent="0.2">
      <c r="A142" s="14">
        <v>37712</v>
      </c>
      <c r="B142" s="18">
        <f>VLOOKUP(A142,Database!A:Q,MATCH($A$1,Database!$A$1:$Q$1,),)</f>
        <v>8359</v>
      </c>
      <c r="C142" s="15">
        <f t="shared" si="4"/>
        <v>-5.4729327781082686E-3</v>
      </c>
      <c r="D142" s="16">
        <f t="shared" si="3"/>
        <v>-2.5644014453899057E-2</v>
      </c>
    </row>
    <row r="143" spans="1:4" x14ac:dyDescent="0.2">
      <c r="A143" s="13">
        <v>37742</v>
      </c>
      <c r="B143" s="18">
        <f>VLOOKUP(A143,Database!A:Q,MATCH($A$1,Database!$A$1:$Q$1,),)</f>
        <v>8525</v>
      </c>
      <c r="C143" s="15">
        <f t="shared" si="4"/>
        <v>1.9858834788850342E-2</v>
      </c>
      <c r="D143" s="16">
        <f t="shared" si="3"/>
        <v>-1.639536245461998E-3</v>
      </c>
    </row>
    <row r="144" spans="1:4" x14ac:dyDescent="0.2">
      <c r="A144" s="14">
        <v>37773</v>
      </c>
      <c r="B144" s="18">
        <f>VLOOKUP(A144,Database!A:Q,MATCH($A$1,Database!$A$1:$Q$1,),)</f>
        <v>8537</v>
      </c>
      <c r="C144" s="15">
        <f t="shared" si="4"/>
        <v>1.407624633431085E-3</v>
      </c>
      <c r="D144" s="16">
        <f t="shared" si="3"/>
        <v>-1.1806922097464985E-2</v>
      </c>
    </row>
    <row r="145" spans="1:4" x14ac:dyDescent="0.2">
      <c r="A145" s="13">
        <v>37803</v>
      </c>
      <c r="B145" s="18">
        <f>VLOOKUP(A145,Database!A:Q,MATCH($A$1,Database!$A$1:$Q$1,),)</f>
        <v>8497</v>
      </c>
      <c r="C145" s="15">
        <f t="shared" si="4"/>
        <v>-4.6854867049314752E-3</v>
      </c>
      <c r="D145" s="16">
        <f t="shared" si="3"/>
        <v>-9.0962099125364432E-3</v>
      </c>
    </row>
    <row r="146" spans="1:4" x14ac:dyDescent="0.2">
      <c r="A146" s="14">
        <v>37834</v>
      </c>
      <c r="B146" s="18">
        <f>VLOOKUP(A146,Database!A:Q,MATCH($A$1,Database!$A$1:$Q$1,),)</f>
        <v>8618</v>
      </c>
      <c r="C146" s="15">
        <f t="shared" si="4"/>
        <v>1.4240320112981052E-2</v>
      </c>
      <c r="D146" s="16">
        <f t="shared" si="3"/>
        <v>-1.3958810068649886E-2</v>
      </c>
    </row>
    <row r="147" spans="1:4" x14ac:dyDescent="0.2">
      <c r="A147" s="13">
        <v>37865</v>
      </c>
      <c r="B147" s="18">
        <f>VLOOKUP(A147,Database!A:Q,MATCH($A$1,Database!$A$1:$Q$1,),)</f>
        <v>8442</v>
      </c>
      <c r="C147" s="15">
        <f t="shared" si="4"/>
        <v>-2.0422371779995358E-2</v>
      </c>
      <c r="D147" s="16">
        <f t="shared" si="3"/>
        <v>-3.2324621733149934E-2</v>
      </c>
    </row>
    <row r="148" spans="1:4" x14ac:dyDescent="0.2">
      <c r="A148" s="14">
        <v>37895</v>
      </c>
      <c r="B148" s="18">
        <f>VLOOKUP(A148,Database!A:Q,MATCH($A$1,Database!$A$1:$Q$1,),)</f>
        <v>8591</v>
      </c>
      <c r="C148" s="15">
        <f t="shared" si="4"/>
        <v>1.7649846008054963E-2</v>
      </c>
      <c r="D148" s="16">
        <f t="shared" ref="D148:D211" si="5">(B148-B136)/B136</f>
        <v>1.3987644247581304E-3</v>
      </c>
    </row>
    <row r="149" spans="1:4" x14ac:dyDescent="0.2">
      <c r="A149" s="13">
        <v>37926</v>
      </c>
      <c r="B149" s="18">
        <f>VLOOKUP(A149,Database!A:Q,MATCH($A$1,Database!$A$1:$Q$1,),)</f>
        <v>8530</v>
      </c>
      <c r="C149" s="15">
        <f t="shared" si="4"/>
        <v>-7.1004539634501223E-3</v>
      </c>
      <c r="D149" s="16">
        <f t="shared" si="5"/>
        <v>2.0090887347524514E-2</v>
      </c>
    </row>
    <row r="150" spans="1:4" x14ac:dyDescent="0.2">
      <c r="A150" s="14">
        <v>37956</v>
      </c>
      <c r="B150" s="18">
        <f>VLOOKUP(A150,Database!A:Q,MATCH($A$1,Database!$A$1:$Q$1,),)</f>
        <v>8576</v>
      </c>
      <c r="C150" s="15">
        <f t="shared" si="4"/>
        <v>5.3927315357561552E-3</v>
      </c>
      <c r="D150" s="16">
        <f t="shared" si="5"/>
        <v>8.1689812113432136E-4</v>
      </c>
    </row>
    <row r="151" spans="1:4" x14ac:dyDescent="0.2">
      <c r="A151" s="13">
        <v>37987</v>
      </c>
      <c r="B151" s="18">
        <f>VLOOKUP(A151,Database!A:Q,MATCH($A$1,Database!$A$1:$Q$1,),)</f>
        <v>8665</v>
      </c>
      <c r="C151" s="15">
        <f t="shared" si="4"/>
        <v>1.0377798507462687E-2</v>
      </c>
      <c r="D151" s="16">
        <f t="shared" si="5"/>
        <v>1.1675423234092236E-2</v>
      </c>
    </row>
    <row r="152" spans="1:4" x14ac:dyDescent="0.2">
      <c r="A152" s="14">
        <v>38018</v>
      </c>
      <c r="B152" s="18">
        <f>VLOOKUP(A152,Database!A:Q,MATCH($A$1,Database!$A$1:$Q$1,),)</f>
        <v>8481</v>
      </c>
      <c r="C152" s="15">
        <f t="shared" si="4"/>
        <v>-2.1234852856318522E-2</v>
      </c>
      <c r="D152" s="16">
        <f t="shared" si="5"/>
        <v>1.3019589106545628E-2</v>
      </c>
    </row>
    <row r="153" spans="1:4" x14ac:dyDescent="0.2">
      <c r="A153" s="13">
        <v>38047</v>
      </c>
      <c r="B153" s="18">
        <f>VLOOKUP(A153,Database!A:Q,MATCH($A$1,Database!$A$1:$Q$1,),)</f>
        <v>8552</v>
      </c>
      <c r="C153" s="15">
        <f t="shared" si="4"/>
        <v>8.3716542860511733E-3</v>
      </c>
      <c r="D153" s="16">
        <f t="shared" si="5"/>
        <v>1.7489589530041642E-2</v>
      </c>
    </row>
    <row r="154" spans="1:4" x14ac:dyDescent="0.2">
      <c r="A154" s="14">
        <v>38078</v>
      </c>
      <c r="B154" s="18">
        <f>VLOOKUP(A154,Database!A:Q,MATCH($A$1,Database!$A$1:$Q$1,),)</f>
        <v>8685</v>
      </c>
      <c r="C154" s="15">
        <f t="shared" si="4"/>
        <v>1.5551917680074837E-2</v>
      </c>
      <c r="D154" s="16">
        <f t="shared" si="5"/>
        <v>3.8999880368465127E-2</v>
      </c>
    </row>
    <row r="155" spans="1:4" x14ac:dyDescent="0.2">
      <c r="A155" s="13">
        <v>38108</v>
      </c>
      <c r="B155" s="18">
        <f>VLOOKUP(A155,Database!A:Q,MATCH($A$1,Database!$A$1:$Q$1,),)</f>
        <v>8869</v>
      </c>
      <c r="C155" s="15">
        <f t="shared" si="4"/>
        <v>2.118595279217041E-2</v>
      </c>
      <c r="D155" s="16">
        <f t="shared" si="5"/>
        <v>4.0351906158357771E-2</v>
      </c>
    </row>
    <row r="156" spans="1:4" x14ac:dyDescent="0.2">
      <c r="A156" s="14">
        <v>38139</v>
      </c>
      <c r="B156" s="18">
        <f>VLOOKUP(A156,Database!A:Q,MATCH($A$1,Database!$A$1:$Q$1,),)</f>
        <v>8446</v>
      </c>
      <c r="C156" s="15">
        <f t="shared" si="4"/>
        <v>-4.7694215807870109E-2</v>
      </c>
      <c r="D156" s="16">
        <f t="shared" si="5"/>
        <v>-1.0659482253719104E-2</v>
      </c>
    </row>
    <row r="157" spans="1:4" x14ac:dyDescent="0.2">
      <c r="A157" s="13">
        <v>38169</v>
      </c>
      <c r="B157" s="18">
        <f>VLOOKUP(A157,Database!A:Q,MATCH($A$1,Database!$A$1:$Q$1,),)</f>
        <v>8554</v>
      </c>
      <c r="C157" s="15">
        <f t="shared" si="4"/>
        <v>1.278711816244376E-2</v>
      </c>
      <c r="D157" s="16">
        <f t="shared" si="5"/>
        <v>6.7082499705778511E-3</v>
      </c>
    </row>
    <row r="158" spans="1:4" x14ac:dyDescent="0.2">
      <c r="A158" s="14">
        <v>38200</v>
      </c>
      <c r="B158" s="18">
        <f>VLOOKUP(A158,Database!A:Q,MATCH($A$1,Database!$A$1:$Q$1,),)</f>
        <v>8567</v>
      </c>
      <c r="C158" s="15">
        <f t="shared" si="4"/>
        <v>1.5197568389057751E-3</v>
      </c>
      <c r="D158" s="16">
        <f t="shared" si="5"/>
        <v>-5.9178463680668366E-3</v>
      </c>
    </row>
    <row r="159" spans="1:4" x14ac:dyDescent="0.2">
      <c r="A159" s="13">
        <v>38231</v>
      </c>
      <c r="B159" s="18">
        <f>VLOOKUP(A159,Database!A:Q,MATCH($A$1,Database!$A$1:$Q$1,),)</f>
        <v>8596</v>
      </c>
      <c r="C159" s="15">
        <f t="shared" si="4"/>
        <v>3.385082292517801E-3</v>
      </c>
      <c r="D159" s="16">
        <f t="shared" si="5"/>
        <v>1.824212271973466E-2</v>
      </c>
    </row>
    <row r="160" spans="1:4" x14ac:dyDescent="0.2">
      <c r="A160" s="14">
        <v>38261</v>
      </c>
      <c r="B160" s="18">
        <f>VLOOKUP(A160,Database!A:Q,MATCH($A$1,Database!$A$1:$Q$1,),)</f>
        <v>8677</v>
      </c>
      <c r="C160" s="15">
        <f t="shared" si="4"/>
        <v>9.4229874360167512E-3</v>
      </c>
      <c r="D160" s="16">
        <f t="shared" si="5"/>
        <v>1.0010476079618205E-2</v>
      </c>
    </row>
    <row r="161" spans="1:4" x14ac:dyDescent="0.2">
      <c r="A161" s="13">
        <v>38292</v>
      </c>
      <c r="B161" s="18">
        <f>VLOOKUP(A161,Database!A:Q,MATCH($A$1,Database!$A$1:$Q$1,),)</f>
        <v>8877</v>
      </c>
      <c r="C161" s="15">
        <f t="shared" si="4"/>
        <v>2.3049441051054512E-2</v>
      </c>
      <c r="D161" s="16">
        <f t="shared" si="5"/>
        <v>4.06799531066823E-2</v>
      </c>
    </row>
    <row r="162" spans="1:4" x14ac:dyDescent="0.2">
      <c r="A162" s="14">
        <v>38322</v>
      </c>
      <c r="B162" s="18">
        <f>VLOOKUP(A162,Database!A:Q,MATCH($A$1,Database!$A$1:$Q$1,),)</f>
        <v>8914</v>
      </c>
      <c r="C162" s="15">
        <f t="shared" si="4"/>
        <v>4.1680748000450605E-3</v>
      </c>
      <c r="D162" s="16">
        <f t="shared" si="5"/>
        <v>3.941231343283582E-2</v>
      </c>
    </row>
    <row r="163" spans="1:4" x14ac:dyDescent="0.2">
      <c r="A163" s="13">
        <v>38353</v>
      </c>
      <c r="B163" s="18">
        <f>VLOOKUP(A163,Database!A:Q,MATCH($A$1,Database!$A$1:$Q$1,),)</f>
        <v>8784</v>
      </c>
      <c r="C163" s="15">
        <f t="shared" si="4"/>
        <v>-1.4583800762844963E-2</v>
      </c>
      <c r="D163" s="16">
        <f t="shared" si="5"/>
        <v>1.3733410271206002E-2</v>
      </c>
    </row>
    <row r="164" spans="1:4" x14ac:dyDescent="0.2">
      <c r="A164" s="14">
        <v>38384</v>
      </c>
      <c r="B164" s="18">
        <f>VLOOKUP(A164,Database!A:Q,MATCH($A$1,Database!$A$1:$Q$1,),)</f>
        <v>8949</v>
      </c>
      <c r="C164" s="15">
        <f t="shared" si="4"/>
        <v>1.8784153005464481E-2</v>
      </c>
      <c r="D164" s="16">
        <f t="shared" si="5"/>
        <v>5.5182171913689425E-2</v>
      </c>
    </row>
    <row r="165" spans="1:4" x14ac:dyDescent="0.2">
      <c r="A165" s="13">
        <v>38412</v>
      </c>
      <c r="B165" s="18">
        <f>VLOOKUP(A165,Database!A:Q,MATCH($A$1,Database!$A$1:$Q$1,),)</f>
        <v>8890</v>
      </c>
      <c r="C165" s="15">
        <f t="shared" si="4"/>
        <v>-6.5929154095429659E-3</v>
      </c>
      <c r="D165" s="16">
        <f t="shared" si="5"/>
        <v>3.9522918615528528E-2</v>
      </c>
    </row>
    <row r="166" spans="1:4" x14ac:dyDescent="0.2">
      <c r="A166" s="14">
        <v>38443</v>
      </c>
      <c r="B166" s="18">
        <f>VLOOKUP(A166,Database!A:Q,MATCH($A$1,Database!$A$1:$Q$1,),)</f>
        <v>8839</v>
      </c>
      <c r="C166" s="15">
        <f t="shared" si="4"/>
        <v>-5.7367829021372331E-3</v>
      </c>
      <c r="D166" s="16">
        <f t="shared" si="5"/>
        <v>1.7731721358664364E-2</v>
      </c>
    </row>
    <row r="167" spans="1:4" x14ac:dyDescent="0.2">
      <c r="A167" s="13">
        <v>38473</v>
      </c>
      <c r="B167" s="18">
        <f>VLOOKUP(A167,Database!A:Q,MATCH($A$1,Database!$A$1:$Q$1,),)</f>
        <v>8932</v>
      </c>
      <c r="C167" s="15">
        <f t="shared" si="4"/>
        <v>1.0521552211788665E-2</v>
      </c>
      <c r="D167" s="16">
        <f t="shared" si="5"/>
        <v>7.1033938437253356E-3</v>
      </c>
    </row>
    <row r="168" spans="1:4" x14ac:dyDescent="0.2">
      <c r="A168" s="14">
        <v>38504</v>
      </c>
      <c r="B168" s="18">
        <f>VLOOKUP(A168,Database!A:Q,MATCH($A$1,Database!$A$1:$Q$1,),)</f>
        <v>8879</v>
      </c>
      <c r="C168" s="15">
        <f t="shared" si="4"/>
        <v>-5.9337214509628299E-3</v>
      </c>
      <c r="D168" s="16">
        <f t="shared" si="5"/>
        <v>5.1266871892019894E-2</v>
      </c>
    </row>
    <row r="169" spans="1:4" x14ac:dyDescent="0.2">
      <c r="A169" s="13">
        <v>38534</v>
      </c>
      <c r="B169" s="18">
        <f>VLOOKUP(A169,Database!A:Q,MATCH($A$1,Database!$A$1:$Q$1,),)</f>
        <v>8927</v>
      </c>
      <c r="C169" s="15">
        <f t="shared" si="4"/>
        <v>5.4060141907872512E-3</v>
      </c>
      <c r="D169" s="16">
        <f t="shared" si="5"/>
        <v>4.3605330839373395E-2</v>
      </c>
    </row>
    <row r="170" spans="1:4" x14ac:dyDescent="0.2">
      <c r="A170" s="14">
        <v>38565</v>
      </c>
      <c r="B170" s="18">
        <f>VLOOKUP(A170,Database!A:Q,MATCH($A$1,Database!$A$1:$Q$1,),)</f>
        <v>8881</v>
      </c>
      <c r="C170" s="15">
        <f t="shared" si="4"/>
        <v>-5.1529069116164443E-3</v>
      </c>
      <c r="D170" s="16">
        <f t="shared" si="5"/>
        <v>3.6652270339675497E-2</v>
      </c>
    </row>
    <row r="171" spans="1:4" x14ac:dyDescent="0.2">
      <c r="A171" s="13">
        <v>38596</v>
      </c>
      <c r="B171" s="18">
        <f>VLOOKUP(A171,Database!A:Q,MATCH($A$1,Database!$A$1:$Q$1,),)</f>
        <v>9010</v>
      </c>
      <c r="C171" s="15">
        <f t="shared" si="4"/>
        <v>1.4525391284765229E-2</v>
      </c>
      <c r="D171" s="16">
        <f t="shared" si="5"/>
        <v>4.8161935784085619E-2</v>
      </c>
    </row>
    <row r="172" spans="1:4" x14ac:dyDescent="0.2">
      <c r="A172" s="14">
        <v>38626</v>
      </c>
      <c r="B172" s="18">
        <f>VLOOKUP(A172,Database!A:Q,MATCH($A$1,Database!$A$1:$Q$1,),)</f>
        <v>9086</v>
      </c>
      <c r="C172" s="15">
        <f t="shared" si="4"/>
        <v>8.4350721420643725E-3</v>
      </c>
      <c r="D172" s="16">
        <f t="shared" si="5"/>
        <v>4.7136106949406474E-2</v>
      </c>
    </row>
    <row r="173" spans="1:4" x14ac:dyDescent="0.2">
      <c r="A173" s="13">
        <v>38657</v>
      </c>
      <c r="B173" s="18">
        <f>VLOOKUP(A173,Database!A:Q,MATCH($A$1,Database!$A$1:$Q$1,),)</f>
        <v>9151</v>
      </c>
      <c r="C173" s="15">
        <f t="shared" si="4"/>
        <v>7.1538630860664759E-3</v>
      </c>
      <c r="D173" s="16">
        <f t="shared" si="5"/>
        <v>3.0866283654387743E-2</v>
      </c>
    </row>
    <row r="174" spans="1:4" x14ac:dyDescent="0.2">
      <c r="A174" s="14">
        <v>38687</v>
      </c>
      <c r="B174" s="18">
        <f>VLOOKUP(A174,Database!A:Q,MATCH($A$1,Database!$A$1:$Q$1,),)</f>
        <v>9044</v>
      </c>
      <c r="C174" s="15">
        <f t="shared" si="4"/>
        <v>-1.1692711179106108E-2</v>
      </c>
      <c r="D174" s="16">
        <f t="shared" si="5"/>
        <v>1.4583800762844963E-2</v>
      </c>
    </row>
    <row r="175" spans="1:4" x14ac:dyDescent="0.2">
      <c r="A175" s="13">
        <v>38718</v>
      </c>
      <c r="B175" s="18">
        <f>VLOOKUP(A175,Database!A:Q,MATCH($A$1,Database!$A$1:$Q$1,),)</f>
        <v>9620</v>
      </c>
      <c r="C175" s="15">
        <f t="shared" si="4"/>
        <v>6.3688633348076076E-2</v>
      </c>
      <c r="D175" s="16">
        <f t="shared" si="5"/>
        <v>9.5173041894353369E-2</v>
      </c>
    </row>
    <row r="176" spans="1:4" x14ac:dyDescent="0.2">
      <c r="A176" s="14">
        <v>38749</v>
      </c>
      <c r="B176" s="18">
        <f>VLOOKUP(A176,Database!A:Q,MATCH($A$1,Database!$A$1:$Q$1,),)</f>
        <v>9512</v>
      </c>
      <c r="C176" s="15">
        <f t="shared" si="4"/>
        <v>-1.1226611226611227E-2</v>
      </c>
      <c r="D176" s="16">
        <f t="shared" si="5"/>
        <v>6.2912057213096437E-2</v>
      </c>
    </row>
    <row r="177" spans="1:4" x14ac:dyDescent="0.2">
      <c r="A177" s="13">
        <v>38777</v>
      </c>
      <c r="B177" s="18">
        <f>VLOOKUP(A177,Database!A:Q,MATCH($A$1,Database!$A$1:$Q$1,),)</f>
        <v>9398</v>
      </c>
      <c r="C177" s="15">
        <f t="shared" si="4"/>
        <v>-1.1984861227922625E-2</v>
      </c>
      <c r="D177" s="16">
        <f t="shared" si="5"/>
        <v>5.7142857142857141E-2</v>
      </c>
    </row>
    <row r="178" spans="1:4" x14ac:dyDescent="0.2">
      <c r="A178" s="14">
        <v>38808</v>
      </c>
      <c r="B178" s="18">
        <f>VLOOKUP(A178,Database!A:Q,MATCH($A$1,Database!$A$1:$Q$1,),)</f>
        <v>9507</v>
      </c>
      <c r="C178" s="15">
        <f t="shared" si="4"/>
        <v>1.1598212385613961E-2</v>
      </c>
      <c r="D178" s="16">
        <f t="shared" si="5"/>
        <v>7.557415997284761E-2</v>
      </c>
    </row>
    <row r="179" spans="1:4" x14ac:dyDescent="0.2">
      <c r="A179" s="13">
        <v>38838</v>
      </c>
      <c r="B179" s="18">
        <f>VLOOKUP(A179,Database!A:Q,MATCH($A$1,Database!$A$1:$Q$1,),)</f>
        <v>9475</v>
      </c>
      <c r="C179" s="15">
        <f t="shared" si="4"/>
        <v>-3.3659408856631956E-3</v>
      </c>
      <c r="D179" s="16">
        <f t="shared" si="5"/>
        <v>6.0792655620241824E-2</v>
      </c>
    </row>
    <row r="180" spans="1:4" x14ac:dyDescent="0.2">
      <c r="A180" s="14">
        <v>38869</v>
      </c>
      <c r="B180" s="18">
        <f>VLOOKUP(A180,Database!A:Q,MATCH($A$1,Database!$A$1:$Q$1,),)</f>
        <v>9324</v>
      </c>
      <c r="C180" s="15">
        <f t="shared" si="4"/>
        <v>-1.5936675461741424E-2</v>
      </c>
      <c r="D180" s="16">
        <f t="shared" si="5"/>
        <v>5.0118256560423471E-2</v>
      </c>
    </row>
    <row r="181" spans="1:4" x14ac:dyDescent="0.2">
      <c r="A181" s="13">
        <v>38899</v>
      </c>
      <c r="B181" s="18">
        <f>VLOOKUP(A181,Database!A:Q,MATCH($A$1,Database!$A$1:$Q$1,),)</f>
        <v>9287</v>
      </c>
      <c r="C181" s="15">
        <f t="shared" si="4"/>
        <v>-3.968253968253968E-3</v>
      </c>
      <c r="D181" s="16">
        <f t="shared" si="5"/>
        <v>4.0327097569172174E-2</v>
      </c>
    </row>
    <row r="182" spans="1:4" x14ac:dyDescent="0.2">
      <c r="A182" s="14">
        <v>38930</v>
      </c>
      <c r="B182" s="18">
        <f>VLOOKUP(A182,Database!A:Q,MATCH($A$1,Database!$A$1:$Q$1,),)</f>
        <v>9305</v>
      </c>
      <c r="C182" s="15">
        <f t="shared" si="4"/>
        <v>1.9381931732529343E-3</v>
      </c>
      <c r="D182" s="16">
        <f t="shared" si="5"/>
        <v>4.7742371354577186E-2</v>
      </c>
    </row>
    <row r="183" spans="1:4" x14ac:dyDescent="0.2">
      <c r="A183" s="13">
        <v>38961</v>
      </c>
      <c r="B183" s="18">
        <f>VLOOKUP(A183,Database!A:Q,MATCH($A$1,Database!$A$1:$Q$1,),)</f>
        <v>9378</v>
      </c>
      <c r="C183" s="15">
        <f t="shared" si="4"/>
        <v>7.8452444922084905E-3</v>
      </c>
      <c r="D183" s="16">
        <f t="shared" si="5"/>
        <v>4.0843507214206438E-2</v>
      </c>
    </row>
    <row r="184" spans="1:4" x14ac:dyDescent="0.2">
      <c r="A184" s="14">
        <v>38991</v>
      </c>
      <c r="B184" s="18">
        <f>VLOOKUP(A184,Database!A:Q,MATCH($A$1,Database!$A$1:$Q$1,),)</f>
        <v>9501</v>
      </c>
      <c r="C184" s="15">
        <f t="shared" si="4"/>
        <v>1.3115802943058221E-2</v>
      </c>
      <c r="D184" s="16">
        <f t="shared" si="5"/>
        <v>4.5674664318732114E-2</v>
      </c>
    </row>
    <row r="185" spans="1:4" x14ac:dyDescent="0.2">
      <c r="A185" s="13">
        <v>39022</v>
      </c>
      <c r="B185" s="18">
        <f>VLOOKUP(A185,Database!A:Q,MATCH($A$1,Database!$A$1:$Q$1,),)</f>
        <v>9563</v>
      </c>
      <c r="C185" s="15">
        <f t="shared" si="4"/>
        <v>6.5256288811704035E-3</v>
      </c>
      <c r="D185" s="16">
        <f t="shared" si="5"/>
        <v>4.5022401923287075E-2</v>
      </c>
    </row>
    <row r="186" spans="1:4" x14ac:dyDescent="0.2">
      <c r="A186" s="14">
        <v>39052</v>
      </c>
      <c r="B186" s="18">
        <f>VLOOKUP(A186,Database!A:Q,MATCH($A$1,Database!$A$1:$Q$1,),)</f>
        <v>9876</v>
      </c>
      <c r="C186" s="15">
        <f t="shared" si="4"/>
        <v>3.2730314754784065E-2</v>
      </c>
      <c r="D186" s="16">
        <f t="shared" si="5"/>
        <v>9.1994692613887666E-2</v>
      </c>
    </row>
    <row r="187" spans="1:4" x14ac:dyDescent="0.2">
      <c r="A187" s="13">
        <v>39083</v>
      </c>
      <c r="B187" s="18">
        <f>VLOOKUP(A187,Database!A:Q,MATCH($A$1,Database!$A$1:$Q$1,),)</f>
        <v>9629</v>
      </c>
      <c r="C187" s="15">
        <f t="shared" si="4"/>
        <v>-2.501012555690563E-2</v>
      </c>
      <c r="D187" s="16">
        <f t="shared" si="5"/>
        <v>9.355509355509356E-4</v>
      </c>
    </row>
    <row r="188" spans="1:4" x14ac:dyDescent="0.2">
      <c r="A188" s="14">
        <v>39114</v>
      </c>
      <c r="B188" s="18">
        <f>VLOOKUP(A188,Database!A:Q,MATCH($A$1,Database!$A$1:$Q$1,),)</f>
        <v>9489</v>
      </c>
      <c r="C188" s="15">
        <f t="shared" si="4"/>
        <v>-1.4539412192335652E-2</v>
      </c>
      <c r="D188" s="16">
        <f t="shared" si="5"/>
        <v>-2.4179983179142138E-3</v>
      </c>
    </row>
    <row r="189" spans="1:4" x14ac:dyDescent="0.2">
      <c r="A189" s="13">
        <v>39142</v>
      </c>
      <c r="B189" s="18">
        <f>VLOOKUP(A189,Database!A:Q,MATCH($A$1,Database!$A$1:$Q$1,),)</f>
        <v>9771</v>
      </c>
      <c r="C189" s="15">
        <f t="shared" si="4"/>
        <v>2.9718621561808409E-2</v>
      </c>
      <c r="D189" s="16">
        <f t="shared" si="5"/>
        <v>3.9689295594807404E-2</v>
      </c>
    </row>
    <row r="190" spans="1:4" x14ac:dyDescent="0.2">
      <c r="A190" s="14">
        <v>39173</v>
      </c>
      <c r="B190" s="18">
        <f>VLOOKUP(A190,Database!A:Q,MATCH($A$1,Database!$A$1:$Q$1,),)</f>
        <v>9586</v>
      </c>
      <c r="C190" s="15">
        <f t="shared" si="4"/>
        <v>-1.8933578958141437E-2</v>
      </c>
      <c r="D190" s="16">
        <f t="shared" si="5"/>
        <v>8.3096665614810147E-3</v>
      </c>
    </row>
    <row r="191" spans="1:4" x14ac:dyDescent="0.2">
      <c r="A191" s="13">
        <v>39203</v>
      </c>
      <c r="B191" s="18">
        <f>VLOOKUP(A191,Database!A:Q,MATCH($A$1,Database!$A$1:$Q$1,),)</f>
        <v>9843</v>
      </c>
      <c r="C191" s="15">
        <f t="shared" si="4"/>
        <v>2.6809931149593156E-2</v>
      </c>
      <c r="D191" s="16">
        <f t="shared" si="5"/>
        <v>3.8839050131926123E-2</v>
      </c>
    </row>
    <row r="192" spans="1:4" x14ac:dyDescent="0.2">
      <c r="A192" s="14">
        <v>39234</v>
      </c>
      <c r="B192" s="18">
        <f>VLOOKUP(A192,Database!A:Q,MATCH($A$1,Database!$A$1:$Q$1,),)</f>
        <v>9988</v>
      </c>
      <c r="C192" s="15">
        <f t="shared" si="4"/>
        <v>1.4731281113481662E-2</v>
      </c>
      <c r="D192" s="16">
        <f t="shared" si="5"/>
        <v>7.1214071214071209E-2</v>
      </c>
    </row>
    <row r="193" spans="1:4" x14ac:dyDescent="0.2">
      <c r="A193" s="13">
        <v>39264</v>
      </c>
      <c r="B193" s="18">
        <f>VLOOKUP(A193,Database!A:Q,MATCH($A$1,Database!$A$1:$Q$1,),)</f>
        <v>9759</v>
      </c>
      <c r="C193" s="15">
        <f t="shared" si="4"/>
        <v>-2.2927513015618742E-2</v>
      </c>
      <c r="D193" s="16">
        <f t="shared" si="5"/>
        <v>5.0823732098632494E-2</v>
      </c>
    </row>
    <row r="194" spans="1:4" x14ac:dyDescent="0.2">
      <c r="A194" s="14">
        <v>39295</v>
      </c>
      <c r="B194" s="18">
        <f>VLOOKUP(A194,Database!A:Q,MATCH($A$1,Database!$A$1:$Q$1,),)</f>
        <v>9740</v>
      </c>
      <c r="C194" s="15">
        <f t="shared" si="4"/>
        <v>-1.9469207910646582E-3</v>
      </c>
      <c r="D194" s="16">
        <f t="shared" si="5"/>
        <v>4.6749059645351962E-2</v>
      </c>
    </row>
    <row r="195" spans="1:4" x14ac:dyDescent="0.2">
      <c r="A195" s="13">
        <v>39326</v>
      </c>
      <c r="B195" s="18">
        <f>VLOOKUP(A195,Database!A:Q,MATCH($A$1,Database!$A$1:$Q$1,),)</f>
        <v>9783</v>
      </c>
      <c r="C195" s="15">
        <f t="shared" si="4"/>
        <v>4.414784394250513E-3</v>
      </c>
      <c r="D195" s="16">
        <f t="shared" si="5"/>
        <v>4.3186180422264873E-2</v>
      </c>
    </row>
    <row r="196" spans="1:4" x14ac:dyDescent="0.2">
      <c r="A196" s="14">
        <v>39356</v>
      </c>
      <c r="B196" s="18">
        <f>VLOOKUP(A196,Database!A:Q,MATCH($A$1,Database!$A$1:$Q$1,),)</f>
        <v>9620</v>
      </c>
      <c r="C196" s="15">
        <f t="shared" si="4"/>
        <v>-1.6661555759991821E-2</v>
      </c>
      <c r="D196" s="16">
        <f t="shared" si="5"/>
        <v>1.2524997368698032E-2</v>
      </c>
    </row>
    <row r="197" spans="1:4" x14ac:dyDescent="0.2">
      <c r="A197" s="13">
        <v>39387</v>
      </c>
      <c r="B197" s="18">
        <f>VLOOKUP(A197,Database!A:Q,MATCH($A$1,Database!$A$1:$Q$1,),)</f>
        <v>9632</v>
      </c>
      <c r="C197" s="15">
        <f t="shared" si="4"/>
        <v>1.2474012474012475E-3</v>
      </c>
      <c r="D197" s="16">
        <f t="shared" si="5"/>
        <v>7.2153090034508E-3</v>
      </c>
    </row>
    <row r="198" spans="1:4" x14ac:dyDescent="0.2">
      <c r="A198" s="14">
        <v>39417</v>
      </c>
      <c r="B198" s="18">
        <f>VLOOKUP(A198,Database!A:Q,MATCH($A$1,Database!$A$1:$Q$1,),)</f>
        <v>9688</v>
      </c>
      <c r="C198" s="15">
        <f t="shared" si="4"/>
        <v>5.8139534883720929E-3</v>
      </c>
      <c r="D198" s="16">
        <f t="shared" si="5"/>
        <v>-1.9036046982584043E-2</v>
      </c>
    </row>
    <row r="199" spans="1:4" x14ac:dyDescent="0.2">
      <c r="A199" s="13">
        <v>39448</v>
      </c>
      <c r="B199" s="18">
        <f>VLOOKUP(A199,Database!A:Q,MATCH($A$1,Database!$A$1:$Q$1,),)</f>
        <v>10074</v>
      </c>
      <c r="C199" s="15">
        <f t="shared" si="4"/>
        <v>3.9843104872006603E-2</v>
      </c>
      <c r="D199" s="16">
        <f t="shared" si="5"/>
        <v>4.6214560182781181E-2</v>
      </c>
    </row>
    <row r="200" spans="1:4" x14ac:dyDescent="0.2">
      <c r="A200" s="14">
        <v>39479</v>
      </c>
      <c r="B200" s="18">
        <f>VLOOKUP(A200,Database!A:Q,MATCH($A$1,Database!$A$1:$Q$1,),)</f>
        <v>9380</v>
      </c>
      <c r="C200" s="15">
        <f t="shared" si="4"/>
        <v>-6.889021242803256E-2</v>
      </c>
      <c r="D200" s="16">
        <f t="shared" si="5"/>
        <v>-1.1486984929918854E-2</v>
      </c>
    </row>
    <row r="201" spans="1:4" x14ac:dyDescent="0.2">
      <c r="A201" s="13">
        <v>39508</v>
      </c>
      <c r="B201" s="18">
        <f>VLOOKUP(A201,Database!A:Q,MATCH($A$1,Database!$A$1:$Q$1,),)</f>
        <v>9355</v>
      </c>
      <c r="C201" s="15">
        <f t="shared" ref="C201:C264" si="6">(B201-B200)/B200</f>
        <v>-2.6652452025586353E-3</v>
      </c>
      <c r="D201" s="16">
        <f t="shared" si="5"/>
        <v>-4.2574966738307234E-2</v>
      </c>
    </row>
    <row r="202" spans="1:4" x14ac:dyDescent="0.2">
      <c r="A202" s="14">
        <v>39539</v>
      </c>
      <c r="B202" s="18">
        <f>VLOOKUP(A202,Database!A:Q,MATCH($A$1,Database!$A$1:$Q$1,),)</f>
        <v>9277</v>
      </c>
      <c r="C202" s="15">
        <f t="shared" si="6"/>
        <v>-8.3377872795296626E-3</v>
      </c>
      <c r="D202" s="16">
        <f t="shared" si="5"/>
        <v>-3.2234508658460254E-2</v>
      </c>
    </row>
    <row r="203" spans="1:4" x14ac:dyDescent="0.2">
      <c r="A203" s="13">
        <v>39569</v>
      </c>
      <c r="B203" s="18">
        <f>VLOOKUP(A203,Database!A:Q,MATCH($A$1,Database!$A$1:$Q$1,),)</f>
        <v>9310</v>
      </c>
      <c r="C203" s="15">
        <f t="shared" si="6"/>
        <v>3.557184434623262E-3</v>
      </c>
      <c r="D203" s="16">
        <f t="shared" si="5"/>
        <v>-5.4150157472315351E-2</v>
      </c>
    </row>
    <row r="204" spans="1:4" x14ac:dyDescent="0.2">
      <c r="A204" s="14">
        <v>39600</v>
      </c>
      <c r="B204" s="18">
        <f>VLOOKUP(A204,Database!A:Q,MATCH($A$1,Database!$A$1:$Q$1,),)</f>
        <v>9308</v>
      </c>
      <c r="C204" s="15">
        <f t="shared" si="6"/>
        <v>-2.1482277121374866E-4</v>
      </c>
      <c r="D204" s="16">
        <f t="shared" si="5"/>
        <v>-6.8081698037645175E-2</v>
      </c>
    </row>
    <row r="205" spans="1:4" x14ac:dyDescent="0.2">
      <c r="A205" s="13">
        <v>39630</v>
      </c>
      <c r="B205" s="18">
        <f>VLOOKUP(A205,Database!A:Q,MATCH($A$1,Database!$A$1:$Q$1,),)</f>
        <v>9583</v>
      </c>
      <c r="C205" s="15">
        <f t="shared" si="6"/>
        <v>2.9544477868500216E-2</v>
      </c>
      <c r="D205" s="16">
        <f t="shared" si="5"/>
        <v>-1.8034634696177887E-2</v>
      </c>
    </row>
    <row r="206" spans="1:4" x14ac:dyDescent="0.2">
      <c r="A206" s="14">
        <v>39661</v>
      </c>
      <c r="B206" s="18">
        <f>VLOOKUP(A206,Database!A:Q,MATCH($A$1,Database!$A$1:$Q$1,),)</f>
        <v>9163</v>
      </c>
      <c r="C206" s="15">
        <f t="shared" si="6"/>
        <v>-4.3827611395178961E-2</v>
      </c>
      <c r="D206" s="16">
        <f t="shared" si="5"/>
        <v>-5.9240246406570843E-2</v>
      </c>
    </row>
    <row r="207" spans="1:4" x14ac:dyDescent="0.2">
      <c r="A207" s="13">
        <v>39692</v>
      </c>
      <c r="B207" s="18">
        <f>VLOOKUP(A207,Database!A:Q,MATCH($A$1,Database!$A$1:$Q$1,),)</f>
        <v>9080</v>
      </c>
      <c r="C207" s="15">
        <f t="shared" si="6"/>
        <v>-9.0581687220342676E-3</v>
      </c>
      <c r="D207" s="16">
        <f t="shared" si="5"/>
        <v>-7.1859347848308289E-2</v>
      </c>
    </row>
    <row r="208" spans="1:4" x14ac:dyDescent="0.2">
      <c r="A208" s="14">
        <v>39722</v>
      </c>
      <c r="B208" s="18">
        <f>VLOOKUP(A208,Database!A:Q,MATCH($A$1,Database!$A$1:$Q$1,),)</f>
        <v>8914</v>
      </c>
      <c r="C208" s="15">
        <f t="shared" si="6"/>
        <v>-1.828193832599119E-2</v>
      </c>
      <c r="D208" s="16">
        <f t="shared" si="5"/>
        <v>-7.3388773388773393E-2</v>
      </c>
    </row>
    <row r="209" spans="1:4" x14ac:dyDescent="0.2">
      <c r="A209" s="13">
        <v>39753</v>
      </c>
      <c r="B209" s="18">
        <f>VLOOKUP(A209,Database!A:Q,MATCH($A$1,Database!$A$1:$Q$1,),)</f>
        <v>8630</v>
      </c>
      <c r="C209" s="15">
        <f t="shared" si="6"/>
        <v>-3.1859995512676688E-2</v>
      </c>
      <c r="D209" s="16">
        <f t="shared" si="5"/>
        <v>-0.1040282392026578</v>
      </c>
    </row>
    <row r="210" spans="1:4" x14ac:dyDescent="0.2">
      <c r="A210" s="14">
        <v>39783</v>
      </c>
      <c r="B210" s="18">
        <f>VLOOKUP(A210,Database!A:Q,MATCH($A$1,Database!$A$1:$Q$1,),)</f>
        <v>8564</v>
      </c>
      <c r="C210" s="15">
        <f t="shared" si="6"/>
        <v>-7.6477404403244497E-3</v>
      </c>
      <c r="D210" s="16">
        <f t="shared" si="5"/>
        <v>-0.11601981833195706</v>
      </c>
    </row>
    <row r="211" spans="1:4" x14ac:dyDescent="0.2">
      <c r="A211" s="13">
        <v>39814</v>
      </c>
      <c r="B211" s="18">
        <f>VLOOKUP(A211,Database!A:Q,MATCH($A$1,Database!$A$1:$Q$1,),)</f>
        <v>8511</v>
      </c>
      <c r="C211" s="15">
        <f t="shared" si="6"/>
        <v>-6.1886968706212049E-3</v>
      </c>
      <c r="D211" s="16">
        <f t="shared" si="5"/>
        <v>-0.15515187611673614</v>
      </c>
    </row>
    <row r="212" spans="1:4" x14ac:dyDescent="0.2">
      <c r="A212" s="14">
        <v>39845</v>
      </c>
      <c r="B212" s="18">
        <f>VLOOKUP(A212,Database!A:Q,MATCH($A$1,Database!$A$1:$Q$1,),)</f>
        <v>8746</v>
      </c>
      <c r="C212" s="15">
        <f t="shared" si="6"/>
        <v>2.7611326518622959E-2</v>
      </c>
      <c r="D212" s="16">
        <f t="shared" ref="D212:D275" si="7">(B212-B200)/B200</f>
        <v>-6.7590618336886996E-2</v>
      </c>
    </row>
    <row r="213" spans="1:4" x14ac:dyDescent="0.2">
      <c r="A213" s="13">
        <v>39873</v>
      </c>
      <c r="B213" s="18">
        <f>VLOOKUP(A213,Database!A:Q,MATCH($A$1,Database!$A$1:$Q$1,),)</f>
        <v>8615</v>
      </c>
      <c r="C213" s="15">
        <f t="shared" si="6"/>
        <v>-1.4978275783215185E-2</v>
      </c>
      <c r="D213" s="16">
        <f t="shared" si="7"/>
        <v>-7.9102084446819876E-2</v>
      </c>
    </row>
    <row r="214" spans="1:4" x14ac:dyDescent="0.2">
      <c r="A214" s="14">
        <v>39904</v>
      </c>
      <c r="B214" s="18">
        <f>VLOOKUP(A214,Database!A:Q,MATCH($A$1,Database!$A$1:$Q$1,),)</f>
        <v>8677</v>
      </c>
      <c r="C214" s="15">
        <f t="shared" si="6"/>
        <v>7.1967498549042365E-3</v>
      </c>
      <c r="D214" s="16">
        <f t="shared" si="7"/>
        <v>-6.4676080629513855E-2</v>
      </c>
    </row>
    <row r="215" spans="1:4" x14ac:dyDescent="0.2">
      <c r="A215" s="13">
        <v>39934</v>
      </c>
      <c r="B215" s="18">
        <f>VLOOKUP(A215,Database!A:Q,MATCH($A$1,Database!$A$1:$Q$1,),)</f>
        <v>8426</v>
      </c>
      <c r="C215" s="15">
        <f t="shared" si="6"/>
        <v>-2.8927048519073413E-2</v>
      </c>
      <c r="D215" s="16">
        <f t="shared" si="7"/>
        <v>-9.495166487647691E-2</v>
      </c>
    </row>
    <row r="216" spans="1:4" x14ac:dyDescent="0.2">
      <c r="A216" s="14">
        <v>39965</v>
      </c>
      <c r="B216" s="18">
        <f>VLOOKUP(A216,Database!A:Q,MATCH($A$1,Database!$A$1:$Q$1,),)</f>
        <v>8465</v>
      </c>
      <c r="C216" s="15">
        <f t="shared" si="6"/>
        <v>4.6285307381913124E-3</v>
      </c>
      <c r="D216" s="16">
        <f t="shared" si="7"/>
        <v>-9.0567253975075201E-2</v>
      </c>
    </row>
    <row r="217" spans="1:4" x14ac:dyDescent="0.2">
      <c r="A217" s="13">
        <v>39995</v>
      </c>
      <c r="B217" s="18">
        <f>VLOOKUP(A217,Database!A:Q,MATCH($A$1,Database!$A$1:$Q$1,),)</f>
        <v>8352</v>
      </c>
      <c r="C217" s="15">
        <f t="shared" si="6"/>
        <v>-1.3349084465445953E-2</v>
      </c>
      <c r="D217" s="16">
        <f t="shared" si="7"/>
        <v>-0.12845664197015549</v>
      </c>
    </row>
    <row r="218" spans="1:4" x14ac:dyDescent="0.2">
      <c r="A218" s="14">
        <v>40026</v>
      </c>
      <c r="B218" s="18">
        <f>VLOOKUP(A218,Database!A:Q,MATCH($A$1,Database!$A$1:$Q$1,),)</f>
        <v>8313</v>
      </c>
      <c r="C218" s="15">
        <f t="shared" si="6"/>
        <v>-4.6695402298850578E-3</v>
      </c>
      <c r="D218" s="16">
        <f t="shared" si="7"/>
        <v>-9.2764378478664186E-2</v>
      </c>
    </row>
    <row r="219" spans="1:4" x14ac:dyDescent="0.2">
      <c r="A219" s="13">
        <v>40057</v>
      </c>
      <c r="B219" s="18">
        <f>VLOOKUP(A219,Database!A:Q,MATCH($A$1,Database!$A$1:$Q$1,),)</f>
        <v>8385</v>
      </c>
      <c r="C219" s="15">
        <f t="shared" si="6"/>
        <v>8.6611331649224105E-3</v>
      </c>
      <c r="D219" s="16">
        <f t="shared" si="7"/>
        <v>-7.6541850220264315E-2</v>
      </c>
    </row>
    <row r="220" spans="1:4" x14ac:dyDescent="0.2">
      <c r="A220" s="14">
        <v>40087</v>
      </c>
      <c r="B220" s="18">
        <f>VLOOKUP(A220,Database!A:Q,MATCH($A$1,Database!$A$1:$Q$1,),)</f>
        <v>8360</v>
      </c>
      <c r="C220" s="15">
        <f t="shared" si="6"/>
        <v>-2.9815146094215863E-3</v>
      </c>
      <c r="D220" s="16">
        <f t="shared" si="7"/>
        <v>-6.2149427866277765E-2</v>
      </c>
    </row>
    <row r="221" spans="1:4" x14ac:dyDescent="0.2">
      <c r="A221" s="13">
        <v>40118</v>
      </c>
      <c r="B221" s="18">
        <f>VLOOKUP(A221,Database!A:Q,MATCH($A$1,Database!$A$1:$Q$1,),)</f>
        <v>8406</v>
      </c>
      <c r="C221" s="15">
        <f t="shared" si="6"/>
        <v>5.5023923444976076E-3</v>
      </c>
      <c r="D221" s="16">
        <f t="shared" si="7"/>
        <v>-2.5955967555040555E-2</v>
      </c>
    </row>
    <row r="222" spans="1:4" x14ac:dyDescent="0.2">
      <c r="A222" s="14">
        <v>40148</v>
      </c>
      <c r="B222" s="18">
        <f>VLOOKUP(A222,Database!A:Q,MATCH($A$1,Database!$A$1:$Q$1,),)</f>
        <v>8591</v>
      </c>
      <c r="C222" s="15">
        <f t="shared" si="6"/>
        <v>2.2008089459909588E-2</v>
      </c>
      <c r="D222" s="16">
        <f t="shared" si="7"/>
        <v>3.1527323680523118E-3</v>
      </c>
    </row>
    <row r="223" spans="1:4" x14ac:dyDescent="0.2">
      <c r="A223" s="13">
        <v>40179</v>
      </c>
      <c r="B223" s="18">
        <f>VLOOKUP(A223,Database!A:Q,MATCH($A$1,Database!$A$1:$Q$1,),)</f>
        <v>8365</v>
      </c>
      <c r="C223" s="15">
        <f t="shared" si="6"/>
        <v>-2.630659993015947E-2</v>
      </c>
      <c r="D223" s="16">
        <f t="shared" si="7"/>
        <v>-1.7154270943484901E-2</v>
      </c>
    </row>
    <row r="224" spans="1:4" x14ac:dyDescent="0.2">
      <c r="A224" s="14">
        <v>40210</v>
      </c>
      <c r="B224" s="18">
        <f>VLOOKUP(A224,Database!A:Q,MATCH($A$1,Database!$A$1:$Q$1,),)</f>
        <v>8247</v>
      </c>
      <c r="C224" s="15">
        <f t="shared" si="6"/>
        <v>-1.4106395696353856E-2</v>
      </c>
      <c r="D224" s="16">
        <f t="shared" si="7"/>
        <v>-5.7054653555911272E-2</v>
      </c>
    </row>
    <row r="225" spans="1:4" x14ac:dyDescent="0.2">
      <c r="A225" s="13">
        <v>40238</v>
      </c>
      <c r="B225" s="18">
        <f>VLOOKUP(A225,Database!A:Q,MATCH($A$1,Database!$A$1:$Q$1,),)</f>
        <v>8704</v>
      </c>
      <c r="C225" s="15">
        <f t="shared" si="6"/>
        <v>5.5414089972111072E-2</v>
      </c>
      <c r="D225" s="16">
        <f t="shared" si="7"/>
        <v>1.0330818340104469E-2</v>
      </c>
    </row>
    <row r="226" spans="1:4" x14ac:dyDescent="0.2">
      <c r="A226" s="14">
        <v>40269</v>
      </c>
      <c r="B226" s="18">
        <f>VLOOKUP(A226,Database!A:Q,MATCH($A$1,Database!$A$1:$Q$1,),)</f>
        <v>8568</v>
      </c>
      <c r="C226" s="15">
        <f t="shared" si="6"/>
        <v>-1.5625E-2</v>
      </c>
      <c r="D226" s="16">
        <f t="shared" si="7"/>
        <v>-1.2561945372824708E-2</v>
      </c>
    </row>
    <row r="227" spans="1:4" x14ac:dyDescent="0.2">
      <c r="A227" s="13">
        <v>40299</v>
      </c>
      <c r="B227" s="18">
        <f>VLOOKUP(A227,Database!A:Q,MATCH($A$1,Database!$A$1:$Q$1,),)</f>
        <v>8628</v>
      </c>
      <c r="C227" s="15">
        <f t="shared" si="6"/>
        <v>7.0028011204481795E-3</v>
      </c>
      <c r="D227" s="16">
        <f t="shared" si="7"/>
        <v>2.3973415618324233E-2</v>
      </c>
    </row>
    <row r="228" spans="1:4" x14ac:dyDescent="0.2">
      <c r="A228" s="14">
        <v>40330</v>
      </c>
      <c r="B228" s="18">
        <f>VLOOKUP(A228,Database!A:Q,MATCH($A$1,Database!$A$1:$Q$1,),)</f>
        <v>8795</v>
      </c>
      <c r="C228" s="15">
        <f t="shared" si="6"/>
        <v>1.9355586462679649E-2</v>
      </c>
      <c r="D228" s="16">
        <f t="shared" si="7"/>
        <v>3.8984051978735973E-2</v>
      </c>
    </row>
    <row r="229" spans="1:4" x14ac:dyDescent="0.2">
      <c r="A229" s="13">
        <v>40360</v>
      </c>
      <c r="B229" s="18">
        <f>VLOOKUP(A229,Database!A:Q,MATCH($A$1,Database!$A$1:$Q$1,),)</f>
        <v>8610</v>
      </c>
      <c r="C229" s="15">
        <f t="shared" si="6"/>
        <v>-2.1034678794769755E-2</v>
      </c>
      <c r="D229" s="16">
        <f t="shared" si="7"/>
        <v>3.089080459770115E-2</v>
      </c>
    </row>
    <row r="230" spans="1:4" x14ac:dyDescent="0.2">
      <c r="A230" s="14">
        <v>40391</v>
      </c>
      <c r="B230" s="18">
        <f>VLOOKUP(A230,Database!A:Q,MATCH($A$1,Database!$A$1:$Q$1,),)</f>
        <v>8655</v>
      </c>
      <c r="C230" s="15">
        <f t="shared" si="6"/>
        <v>5.2264808362369342E-3</v>
      </c>
      <c r="D230" s="16">
        <f t="shared" si="7"/>
        <v>4.1140382533381453E-2</v>
      </c>
    </row>
    <row r="231" spans="1:4" x14ac:dyDescent="0.2">
      <c r="A231" s="13">
        <v>40422</v>
      </c>
      <c r="B231" s="18">
        <f>VLOOKUP(A231,Database!A:Q,MATCH($A$1,Database!$A$1:$Q$1,),)</f>
        <v>8766</v>
      </c>
      <c r="C231" s="15">
        <f t="shared" si="6"/>
        <v>1.2824956672443674E-2</v>
      </c>
      <c r="D231" s="16">
        <f t="shared" si="7"/>
        <v>4.5438282647584975E-2</v>
      </c>
    </row>
    <row r="232" spans="1:4" x14ac:dyDescent="0.2">
      <c r="A232" s="14">
        <v>40452</v>
      </c>
      <c r="B232" s="18">
        <f>VLOOKUP(A232,Database!A:Q,MATCH($A$1,Database!$A$1:$Q$1,),)</f>
        <v>8929</v>
      </c>
      <c r="C232" s="15">
        <f t="shared" si="6"/>
        <v>1.8594569929272189E-2</v>
      </c>
      <c r="D232" s="16">
        <f t="shared" si="7"/>
        <v>6.8062200956937796E-2</v>
      </c>
    </row>
    <row r="233" spans="1:4" x14ac:dyDescent="0.2">
      <c r="A233" s="13">
        <v>40483</v>
      </c>
      <c r="B233" s="18">
        <f>VLOOKUP(A233,Database!A:Q,MATCH($A$1,Database!$A$1:$Q$1,),)</f>
        <v>8905</v>
      </c>
      <c r="C233" s="15">
        <f t="shared" si="6"/>
        <v>-2.6878709821928546E-3</v>
      </c>
      <c r="D233" s="16">
        <f t="shared" si="7"/>
        <v>5.9362360218891269E-2</v>
      </c>
    </row>
    <row r="234" spans="1:4" x14ac:dyDescent="0.2">
      <c r="A234" s="14">
        <v>40513</v>
      </c>
      <c r="B234" s="18">
        <f>VLOOKUP(A234,Database!A:Q,MATCH($A$1,Database!$A$1:$Q$1,),)</f>
        <v>8881</v>
      </c>
      <c r="C234" s="15">
        <f t="shared" si="6"/>
        <v>-2.6951151038742279E-3</v>
      </c>
      <c r="D234" s="16">
        <f t="shared" si="7"/>
        <v>3.3756256547549761E-2</v>
      </c>
    </row>
    <row r="235" spans="1:4" x14ac:dyDescent="0.2">
      <c r="A235" s="13">
        <v>40544</v>
      </c>
      <c r="B235" s="18">
        <f>VLOOKUP(A235,Database!A:Q,MATCH($A$1,Database!$A$1:$Q$1,),)</f>
        <v>8823</v>
      </c>
      <c r="C235" s="15">
        <f t="shared" si="6"/>
        <v>-6.5307960815223507E-3</v>
      </c>
      <c r="D235" s="16">
        <f t="shared" si="7"/>
        <v>5.4751942618051407E-2</v>
      </c>
    </row>
    <row r="236" spans="1:4" x14ac:dyDescent="0.2">
      <c r="A236" s="14">
        <v>40575</v>
      </c>
      <c r="B236" s="18">
        <f>VLOOKUP(A236,Database!A:Q,MATCH($A$1,Database!$A$1:$Q$1,),)</f>
        <v>9116</v>
      </c>
      <c r="C236" s="15">
        <f t="shared" si="6"/>
        <v>3.3208659186217841E-2</v>
      </c>
      <c r="D236" s="16">
        <f t="shared" si="7"/>
        <v>0.10537165029707772</v>
      </c>
    </row>
    <row r="237" spans="1:4" x14ac:dyDescent="0.2">
      <c r="A237" s="13">
        <v>40603</v>
      </c>
      <c r="B237" s="18">
        <f>VLOOKUP(A237,Database!A:Q,MATCH($A$1,Database!$A$1:$Q$1,),)</f>
        <v>8846</v>
      </c>
      <c r="C237" s="15">
        <f t="shared" si="6"/>
        <v>-2.9618253620008774E-2</v>
      </c>
      <c r="D237" s="16">
        <f t="shared" si="7"/>
        <v>1.6314338235294119E-2</v>
      </c>
    </row>
    <row r="238" spans="1:4" x14ac:dyDescent="0.2">
      <c r="A238" s="14">
        <v>40634</v>
      </c>
      <c r="B238" s="18">
        <f>VLOOKUP(A238,Database!A:Q,MATCH($A$1,Database!$A$1:$Q$1,),)</f>
        <v>9056</v>
      </c>
      <c r="C238" s="15">
        <f t="shared" si="6"/>
        <v>2.3739543296405156E-2</v>
      </c>
      <c r="D238" s="16">
        <f t="shared" si="7"/>
        <v>5.695611577964519E-2</v>
      </c>
    </row>
    <row r="239" spans="1:4" x14ac:dyDescent="0.2">
      <c r="A239" s="13">
        <v>40664</v>
      </c>
      <c r="B239" s="18">
        <f>VLOOKUP(A239,Database!A:Q,MATCH($A$1,Database!$A$1:$Q$1,),)</f>
        <v>8975</v>
      </c>
      <c r="C239" s="15">
        <f t="shared" si="6"/>
        <v>-8.9443462897526495E-3</v>
      </c>
      <c r="D239" s="16">
        <f t="shared" si="7"/>
        <v>4.021789522484933E-2</v>
      </c>
    </row>
    <row r="240" spans="1:4" x14ac:dyDescent="0.2">
      <c r="A240" s="14">
        <v>40695</v>
      </c>
      <c r="B240" s="18">
        <f>VLOOKUP(A240,Database!A:Q,MATCH($A$1,Database!$A$1:$Q$1,),)</f>
        <v>9061</v>
      </c>
      <c r="C240" s="15">
        <f t="shared" si="6"/>
        <v>9.582172701949861E-3</v>
      </c>
      <c r="D240" s="16">
        <f t="shared" si="7"/>
        <v>3.0244457077885162E-2</v>
      </c>
    </row>
    <row r="241" spans="1:4" x14ac:dyDescent="0.2">
      <c r="A241" s="13">
        <v>40725</v>
      </c>
      <c r="B241" s="18">
        <f>VLOOKUP(A241,Database!A:Q,MATCH($A$1,Database!$A$1:$Q$1,),)</f>
        <v>9171</v>
      </c>
      <c r="C241" s="15">
        <f t="shared" si="6"/>
        <v>1.2139940403928927E-2</v>
      </c>
      <c r="D241" s="16">
        <f t="shared" si="7"/>
        <v>6.5156794425087108E-2</v>
      </c>
    </row>
    <row r="242" spans="1:4" x14ac:dyDescent="0.2">
      <c r="A242" s="14">
        <v>40756</v>
      </c>
      <c r="B242" s="18">
        <f>VLOOKUP(A242,Database!A:Q,MATCH($A$1,Database!$A$1:$Q$1,),)</f>
        <v>9229</v>
      </c>
      <c r="C242" s="15">
        <f t="shared" si="6"/>
        <v>6.3242830661868936E-3</v>
      </c>
      <c r="D242" s="16">
        <f t="shared" si="7"/>
        <v>6.632004621606008E-2</v>
      </c>
    </row>
    <row r="243" spans="1:4" x14ac:dyDescent="0.2">
      <c r="A243" s="13">
        <v>40787</v>
      </c>
      <c r="B243" s="18">
        <f>VLOOKUP(A243,Database!A:Q,MATCH($A$1,Database!$A$1:$Q$1,),)</f>
        <v>9159</v>
      </c>
      <c r="C243" s="15">
        <f t="shared" si="6"/>
        <v>-7.5847870841911367E-3</v>
      </c>
      <c r="D243" s="16">
        <f t="shared" si="7"/>
        <v>4.4832306639288159E-2</v>
      </c>
    </row>
    <row r="244" spans="1:4" x14ac:dyDescent="0.2">
      <c r="A244" s="14">
        <v>40817</v>
      </c>
      <c r="B244" s="18">
        <f>VLOOKUP(A244,Database!A:Q,MATCH($A$1,Database!$A$1:$Q$1,),)</f>
        <v>9072</v>
      </c>
      <c r="C244" s="15">
        <f t="shared" si="6"/>
        <v>-9.4988535866360954E-3</v>
      </c>
      <c r="D244" s="16">
        <f t="shared" si="7"/>
        <v>1.6015231268899092E-2</v>
      </c>
    </row>
    <row r="245" spans="1:4" x14ac:dyDescent="0.2">
      <c r="A245" s="13">
        <v>40848</v>
      </c>
      <c r="B245" s="18">
        <f>VLOOKUP(A245,Database!A:Q,MATCH($A$1,Database!$A$1:$Q$1,),)</f>
        <v>9045</v>
      </c>
      <c r="C245" s="15">
        <f t="shared" si="6"/>
        <v>-2.976190476190476E-3</v>
      </c>
      <c r="D245" s="16">
        <f t="shared" si="7"/>
        <v>1.5721504772599662E-2</v>
      </c>
    </row>
    <row r="246" spans="1:4" x14ac:dyDescent="0.2">
      <c r="A246" s="14">
        <v>40878</v>
      </c>
      <c r="B246" s="18">
        <f>VLOOKUP(A246,Database!A:Q,MATCH($A$1,Database!$A$1:$Q$1,),)</f>
        <v>8867</v>
      </c>
      <c r="C246" s="15">
        <f t="shared" si="6"/>
        <v>-1.9679380873410725E-2</v>
      </c>
      <c r="D246" s="16">
        <f t="shared" si="7"/>
        <v>-1.5763990541605676E-3</v>
      </c>
    </row>
    <row r="247" spans="1:4" x14ac:dyDescent="0.2">
      <c r="A247" s="13">
        <v>40909</v>
      </c>
      <c r="B247" s="18">
        <f>VLOOKUP(A247,Database!A:Q,MATCH($A$1,Database!$A$1:$Q$1,),)</f>
        <v>9307</v>
      </c>
      <c r="C247" s="15">
        <f t="shared" si="6"/>
        <v>4.9622194654336302E-2</v>
      </c>
      <c r="D247" s="16">
        <f t="shared" si="7"/>
        <v>5.4856624730817184E-2</v>
      </c>
    </row>
    <row r="248" spans="1:4" x14ac:dyDescent="0.2">
      <c r="A248" s="14">
        <v>40940</v>
      </c>
      <c r="B248" s="18">
        <f>VLOOKUP(A248,Database!A:Q,MATCH($A$1,Database!$A$1:$Q$1,),)</f>
        <v>9411</v>
      </c>
      <c r="C248" s="15">
        <f t="shared" si="6"/>
        <v>1.117438487160202E-2</v>
      </c>
      <c r="D248" s="16">
        <f t="shared" si="7"/>
        <v>3.2360684510750332E-2</v>
      </c>
    </row>
    <row r="249" spans="1:4" x14ac:dyDescent="0.2">
      <c r="A249" s="13">
        <v>40969</v>
      </c>
      <c r="B249" s="18">
        <f>VLOOKUP(A249,Database!A:Q,MATCH($A$1,Database!$A$1:$Q$1,),)</f>
        <v>9186</v>
      </c>
      <c r="C249" s="15">
        <f t="shared" si="6"/>
        <v>-2.3908192540643927E-2</v>
      </c>
      <c r="D249" s="16">
        <f t="shared" si="7"/>
        <v>3.8435451051322629E-2</v>
      </c>
    </row>
    <row r="250" spans="1:4" x14ac:dyDescent="0.2">
      <c r="A250" s="14">
        <v>41000</v>
      </c>
      <c r="B250" s="18">
        <f>VLOOKUP(A250,Database!A:Q,MATCH($A$1,Database!$A$1:$Q$1,),)</f>
        <v>9196</v>
      </c>
      <c r="C250" s="15">
        <f t="shared" si="6"/>
        <v>1.0886131069018071E-3</v>
      </c>
      <c r="D250" s="16">
        <f t="shared" si="7"/>
        <v>1.5459363957597174E-2</v>
      </c>
    </row>
    <row r="251" spans="1:4" x14ac:dyDescent="0.2">
      <c r="A251" s="13">
        <v>41030</v>
      </c>
      <c r="B251" s="18">
        <f>VLOOKUP(A251,Database!A:Q,MATCH($A$1,Database!$A$1:$Q$1,),)</f>
        <v>8890</v>
      </c>
      <c r="C251" s="15">
        <f t="shared" si="6"/>
        <v>-3.3275337103088297E-2</v>
      </c>
      <c r="D251" s="16">
        <f t="shared" si="7"/>
        <v>-9.4707520891364905E-3</v>
      </c>
    </row>
    <row r="252" spans="1:4" x14ac:dyDescent="0.2">
      <c r="A252" s="14">
        <v>41061</v>
      </c>
      <c r="B252" s="18">
        <f>VLOOKUP(A252,Database!A:Q,MATCH($A$1,Database!$A$1:$Q$1,),)</f>
        <v>9080</v>
      </c>
      <c r="C252" s="15">
        <f t="shared" si="6"/>
        <v>2.1372328458942633E-2</v>
      </c>
      <c r="D252" s="16">
        <f t="shared" si="7"/>
        <v>2.0968987970422692E-3</v>
      </c>
    </row>
    <row r="253" spans="1:4" x14ac:dyDescent="0.2">
      <c r="A253" s="13">
        <v>41091</v>
      </c>
      <c r="B253" s="18">
        <f>VLOOKUP(A253,Database!A:Q,MATCH($A$1,Database!$A$1:$Q$1,),)</f>
        <v>9182</v>
      </c>
      <c r="C253" s="15">
        <f t="shared" si="6"/>
        <v>1.1233480176211454E-2</v>
      </c>
      <c r="D253" s="16">
        <f t="shared" si="7"/>
        <v>1.1994329953113074E-3</v>
      </c>
    </row>
    <row r="254" spans="1:4" x14ac:dyDescent="0.2">
      <c r="A254" s="14">
        <v>41122</v>
      </c>
      <c r="B254" s="18">
        <f>VLOOKUP(A254,Database!A:Q,MATCH($A$1,Database!$A$1:$Q$1,),)</f>
        <v>9086</v>
      </c>
      <c r="C254" s="15">
        <f t="shared" si="6"/>
        <v>-1.0455238510128513E-2</v>
      </c>
      <c r="D254" s="16">
        <f t="shared" si="7"/>
        <v>-1.5494636471990465E-2</v>
      </c>
    </row>
    <row r="255" spans="1:4" x14ac:dyDescent="0.2">
      <c r="A255" s="13">
        <v>41153</v>
      </c>
      <c r="B255" s="18">
        <f>VLOOKUP(A255,Database!A:Q,MATCH($A$1,Database!$A$1:$Q$1,),)</f>
        <v>9107</v>
      </c>
      <c r="C255" s="15">
        <f t="shared" si="6"/>
        <v>2.3112480739599386E-3</v>
      </c>
      <c r="D255" s="16">
        <f t="shared" si="7"/>
        <v>-5.6774757069549073E-3</v>
      </c>
    </row>
    <row r="256" spans="1:4" x14ac:dyDescent="0.2">
      <c r="A256" s="14">
        <v>41183</v>
      </c>
      <c r="B256" s="18">
        <f>VLOOKUP(A256,Database!A:Q,MATCH($A$1,Database!$A$1:$Q$1,),)</f>
        <v>9157</v>
      </c>
      <c r="C256" s="15">
        <f t="shared" si="6"/>
        <v>5.4902822005051055E-3</v>
      </c>
      <c r="D256" s="16">
        <f t="shared" si="7"/>
        <v>9.3694885361552023E-3</v>
      </c>
    </row>
    <row r="257" spans="1:4" x14ac:dyDescent="0.2">
      <c r="A257" s="13">
        <v>41214</v>
      </c>
      <c r="B257" s="18">
        <f>VLOOKUP(A257,Database!A:Q,MATCH($A$1,Database!$A$1:$Q$1,),)</f>
        <v>9088</v>
      </c>
      <c r="C257" s="15">
        <f t="shared" si="6"/>
        <v>-7.5352189581740746E-3</v>
      </c>
      <c r="D257" s="16">
        <f t="shared" si="7"/>
        <v>4.7540077390823658E-3</v>
      </c>
    </row>
    <row r="258" spans="1:4" x14ac:dyDescent="0.2">
      <c r="A258" s="14">
        <v>41244</v>
      </c>
      <c r="B258" s="18">
        <f>VLOOKUP(A258,Database!A:Q,MATCH($A$1,Database!$A$1:$Q$1,),)</f>
        <v>9326</v>
      </c>
      <c r="C258" s="15">
        <f t="shared" si="6"/>
        <v>2.6188380281690141E-2</v>
      </c>
      <c r="D258" s="16">
        <f t="shared" si="7"/>
        <v>5.1764971241682646E-2</v>
      </c>
    </row>
    <row r="259" spans="1:4" x14ac:dyDescent="0.2">
      <c r="A259" s="13">
        <v>41275</v>
      </c>
      <c r="B259" s="18">
        <f>VLOOKUP(A259,Database!A:Q,MATCH($A$1,Database!$A$1:$Q$1,),)</f>
        <v>9223</v>
      </c>
      <c r="C259" s="15">
        <f t="shared" si="6"/>
        <v>-1.1044392022303237E-2</v>
      </c>
      <c r="D259" s="16">
        <f t="shared" si="7"/>
        <v>-9.0254647039862464E-3</v>
      </c>
    </row>
    <row r="260" spans="1:4" x14ac:dyDescent="0.2">
      <c r="A260" s="14">
        <v>41306</v>
      </c>
      <c r="B260" s="18">
        <f>VLOOKUP(A260,Database!A:Q,MATCH($A$1,Database!$A$1:$Q$1,),)</f>
        <v>9276</v>
      </c>
      <c r="C260" s="15">
        <f t="shared" si="6"/>
        <v>5.7465033069500166E-3</v>
      </c>
      <c r="D260" s="16">
        <f t="shared" si="7"/>
        <v>-1.4344915524386357E-2</v>
      </c>
    </row>
    <row r="261" spans="1:4" x14ac:dyDescent="0.2">
      <c r="A261" s="13">
        <v>41334</v>
      </c>
      <c r="B261" s="18">
        <f>VLOOKUP(A261,Database!A:Q,MATCH($A$1,Database!$A$1:$Q$1,),)</f>
        <v>9367</v>
      </c>
      <c r="C261" s="15">
        <f t="shared" si="6"/>
        <v>9.8102630444156964E-3</v>
      </c>
      <c r="D261" s="16">
        <f t="shared" si="7"/>
        <v>1.9703897234922708E-2</v>
      </c>
    </row>
    <row r="262" spans="1:4" x14ac:dyDescent="0.2">
      <c r="A262" s="14">
        <v>41365</v>
      </c>
      <c r="B262" s="18">
        <f>VLOOKUP(A262,Database!A:Q,MATCH($A$1,Database!$A$1:$Q$1,),)</f>
        <v>9322</v>
      </c>
      <c r="C262" s="15">
        <f t="shared" si="6"/>
        <v>-4.8040994982384965E-3</v>
      </c>
      <c r="D262" s="16">
        <f t="shared" si="7"/>
        <v>1.3701609395389299E-2</v>
      </c>
    </row>
    <row r="263" spans="1:4" x14ac:dyDescent="0.2">
      <c r="A263" s="13">
        <v>41395</v>
      </c>
      <c r="B263" s="18">
        <f>VLOOKUP(A263,Database!A:Q,MATCH($A$1,Database!$A$1:$Q$1,),)</f>
        <v>9319</v>
      </c>
      <c r="C263" s="15">
        <f t="shared" si="6"/>
        <v>-3.2181935207037116E-4</v>
      </c>
      <c r="D263" s="16">
        <f t="shared" si="7"/>
        <v>4.8256467941507314E-2</v>
      </c>
    </row>
    <row r="264" spans="1:4" x14ac:dyDescent="0.2">
      <c r="A264" s="14">
        <v>41426</v>
      </c>
      <c r="B264" s="18">
        <f>VLOOKUP(A264,Database!A:Q,MATCH($A$1,Database!$A$1:$Q$1,),)</f>
        <v>9169</v>
      </c>
      <c r="C264" s="15">
        <f t="shared" si="6"/>
        <v>-1.6096147655327825E-2</v>
      </c>
      <c r="D264" s="16">
        <f t="shared" si="7"/>
        <v>9.8017621145374441E-3</v>
      </c>
    </row>
    <row r="265" spans="1:4" x14ac:dyDescent="0.2">
      <c r="A265" s="13">
        <v>41456</v>
      </c>
      <c r="B265" s="18">
        <f>VLOOKUP(A265,Database!A:Q,MATCH($A$1,Database!$A$1:$Q$1,),)</f>
        <v>9209</v>
      </c>
      <c r="C265" s="15">
        <f t="shared" ref="C265:C328" si="8">(B265-B264)/B264</f>
        <v>4.3625259024975462E-3</v>
      </c>
      <c r="D265" s="16">
        <f t="shared" si="7"/>
        <v>2.9405358309736443E-3</v>
      </c>
    </row>
    <row r="266" spans="1:4" x14ac:dyDescent="0.2">
      <c r="A266" s="14">
        <v>41487</v>
      </c>
      <c r="B266" s="18">
        <f>VLOOKUP(A266,Database!A:Q,MATCH($A$1,Database!$A$1:$Q$1,),)</f>
        <v>9304</v>
      </c>
      <c r="C266" s="15">
        <f t="shared" si="8"/>
        <v>1.0315995222065371E-2</v>
      </c>
      <c r="D266" s="16">
        <f t="shared" si="7"/>
        <v>2.3992956196346026E-2</v>
      </c>
    </row>
    <row r="267" spans="1:4" x14ac:dyDescent="0.2">
      <c r="A267" s="13">
        <v>41518</v>
      </c>
      <c r="B267" s="18">
        <f>VLOOKUP(A267,Database!A:Q,MATCH($A$1,Database!$A$1:$Q$1,),)</f>
        <v>9502</v>
      </c>
      <c r="C267" s="15">
        <f t="shared" si="8"/>
        <v>2.1281169389509889E-2</v>
      </c>
      <c r="D267" s="16">
        <f t="shared" si="7"/>
        <v>4.3373229383990339E-2</v>
      </c>
    </row>
    <row r="268" spans="1:4" x14ac:dyDescent="0.2">
      <c r="A268" s="14">
        <v>41548</v>
      </c>
      <c r="B268" s="18">
        <f>VLOOKUP(A268,Database!A:Q,MATCH($A$1,Database!$A$1:$Q$1,),)</f>
        <v>9488</v>
      </c>
      <c r="C268" s="15">
        <f t="shared" si="8"/>
        <v>-1.4733740265207324E-3</v>
      </c>
      <c r="D268" s="16">
        <f t="shared" si="7"/>
        <v>3.6147209784864041E-2</v>
      </c>
    </row>
    <row r="269" spans="1:4" x14ac:dyDescent="0.2">
      <c r="A269" s="13">
        <v>41579</v>
      </c>
      <c r="B269" s="18">
        <f>VLOOKUP(A269,Database!A:Q,MATCH($A$1,Database!$A$1:$Q$1,),)</f>
        <v>9555</v>
      </c>
      <c r="C269" s="15">
        <f t="shared" si="8"/>
        <v>7.0615514333895449E-3</v>
      </c>
      <c r="D269" s="16">
        <f t="shared" si="7"/>
        <v>5.1386443661971828E-2</v>
      </c>
    </row>
    <row r="270" spans="1:4" x14ac:dyDescent="0.2">
      <c r="A270" s="14">
        <v>41609</v>
      </c>
      <c r="B270" s="18">
        <f>VLOOKUP(A270,Database!A:Q,MATCH($A$1,Database!$A$1:$Q$1,),)</f>
        <v>9393</v>
      </c>
      <c r="C270" s="15">
        <f t="shared" si="8"/>
        <v>-1.6954474097331241E-2</v>
      </c>
      <c r="D270" s="16">
        <f t="shared" si="7"/>
        <v>7.1842161698477376E-3</v>
      </c>
    </row>
    <row r="271" spans="1:4" x14ac:dyDescent="0.2">
      <c r="A271" s="13">
        <v>41640</v>
      </c>
      <c r="B271" s="18">
        <f>VLOOKUP(A271,Database!A:Q,MATCH($A$1,Database!$A$1:$Q$1,),)</f>
        <v>9251</v>
      </c>
      <c r="C271" s="15">
        <f t="shared" si="8"/>
        <v>-1.5117640796337699E-2</v>
      </c>
      <c r="D271" s="16">
        <f t="shared" si="7"/>
        <v>3.0358885395207632E-3</v>
      </c>
    </row>
    <row r="272" spans="1:4" x14ac:dyDescent="0.2">
      <c r="A272" s="14">
        <v>41671</v>
      </c>
      <c r="B272" s="18">
        <f>VLOOKUP(A272,Database!A:Q,MATCH($A$1,Database!$A$1:$Q$1,),)</f>
        <v>9387</v>
      </c>
      <c r="C272" s="15">
        <f t="shared" si="8"/>
        <v>1.4701113393146687E-2</v>
      </c>
      <c r="D272" s="16">
        <f t="shared" si="7"/>
        <v>1.1966364812419146E-2</v>
      </c>
    </row>
    <row r="273" spans="1:4" x14ac:dyDescent="0.2">
      <c r="A273" s="13">
        <v>41699</v>
      </c>
      <c r="B273" s="18">
        <f>VLOOKUP(A273,Database!A:Q,MATCH($A$1,Database!$A$1:$Q$1,),)</f>
        <v>9473</v>
      </c>
      <c r="C273" s="15">
        <f t="shared" si="8"/>
        <v>9.1616064770427188E-3</v>
      </c>
      <c r="D273" s="16">
        <f t="shared" si="7"/>
        <v>1.1316323262517348E-2</v>
      </c>
    </row>
    <row r="274" spans="1:4" x14ac:dyDescent="0.2">
      <c r="A274" s="14">
        <v>41730</v>
      </c>
      <c r="B274" s="18">
        <f>VLOOKUP(A274,Database!A:Q,MATCH($A$1,Database!$A$1:$Q$1,),)</f>
        <v>9344</v>
      </c>
      <c r="C274" s="15">
        <f t="shared" si="8"/>
        <v>-1.3617650163622928E-2</v>
      </c>
      <c r="D274" s="16">
        <f t="shared" si="7"/>
        <v>2.3600085818493884E-3</v>
      </c>
    </row>
    <row r="275" spans="1:4" x14ac:dyDescent="0.2">
      <c r="A275" s="13">
        <v>41760</v>
      </c>
      <c r="B275" s="18">
        <f>VLOOKUP(A275,Database!A:Q,MATCH($A$1,Database!$A$1:$Q$1,),)</f>
        <v>9535</v>
      </c>
      <c r="C275" s="15">
        <f t="shared" si="8"/>
        <v>2.0440924657534245E-2</v>
      </c>
      <c r="D275" s="16">
        <f t="shared" si="7"/>
        <v>2.3178452623672068E-2</v>
      </c>
    </row>
    <row r="276" spans="1:4" x14ac:dyDescent="0.2">
      <c r="A276" s="14">
        <v>41791</v>
      </c>
      <c r="B276" s="18">
        <f>VLOOKUP(A276,Database!A:Q,MATCH($A$1,Database!$A$1:$Q$1,),)</f>
        <v>9599</v>
      </c>
      <c r="C276" s="15">
        <f t="shared" si="8"/>
        <v>6.7121132669113789E-3</v>
      </c>
      <c r="D276" s="16">
        <f t="shared" ref="D276:D335" si="9">(B276-B264)/B264</f>
        <v>4.6897153451848618E-2</v>
      </c>
    </row>
    <row r="277" spans="1:4" x14ac:dyDescent="0.2">
      <c r="A277" s="13">
        <v>41821</v>
      </c>
      <c r="B277" s="18">
        <f>VLOOKUP(A277,Database!A:Q,MATCH($A$1,Database!$A$1:$Q$1,),)</f>
        <v>9623</v>
      </c>
      <c r="C277" s="15">
        <f t="shared" si="8"/>
        <v>2.5002604437962287E-3</v>
      </c>
      <c r="D277" s="16">
        <f t="shared" si="9"/>
        <v>4.4956021283526985E-2</v>
      </c>
    </row>
    <row r="278" spans="1:4" x14ac:dyDescent="0.2">
      <c r="A278" s="14">
        <v>41852</v>
      </c>
      <c r="B278" s="18">
        <f>VLOOKUP(A278,Database!A:Q,MATCH($A$1,Database!$A$1:$Q$1,),)</f>
        <v>9743</v>
      </c>
      <c r="C278" s="15">
        <f t="shared" si="8"/>
        <v>1.2470123662059648E-2</v>
      </c>
      <c r="D278" s="16">
        <f t="shared" si="9"/>
        <v>4.7184006878761821E-2</v>
      </c>
    </row>
    <row r="279" spans="1:4" x14ac:dyDescent="0.2">
      <c r="A279" s="13">
        <v>41883</v>
      </c>
      <c r="B279" s="18">
        <f>VLOOKUP(A279,Database!A:Q,MATCH($A$1,Database!$A$1:$Q$1,),)</f>
        <v>9719</v>
      </c>
      <c r="C279" s="15">
        <f t="shared" si="8"/>
        <v>-2.4633069896335832E-3</v>
      </c>
      <c r="D279" s="16">
        <f t="shared" si="9"/>
        <v>2.2837297411071353E-2</v>
      </c>
    </row>
    <row r="280" spans="1:4" x14ac:dyDescent="0.2">
      <c r="A280" s="14">
        <v>41913</v>
      </c>
      <c r="B280" s="18">
        <f>VLOOKUP(A280,Database!A:Q,MATCH($A$1,Database!$A$1:$Q$1,),)</f>
        <v>9904</v>
      </c>
      <c r="C280" s="15">
        <f t="shared" si="8"/>
        <v>1.9034880131700793E-2</v>
      </c>
      <c r="D280" s="16">
        <f t="shared" si="9"/>
        <v>4.3844856661045532E-2</v>
      </c>
    </row>
    <row r="281" spans="1:4" x14ac:dyDescent="0.2">
      <c r="A281" s="13">
        <v>41944</v>
      </c>
      <c r="B281" s="18">
        <f>VLOOKUP(A281,Database!A:Q,MATCH($A$1,Database!$A$1:$Q$1,),)</f>
        <v>9828</v>
      </c>
      <c r="C281" s="15">
        <f t="shared" si="8"/>
        <v>-7.6736672051696281E-3</v>
      </c>
      <c r="D281" s="16">
        <f t="shared" si="9"/>
        <v>2.8571428571428571E-2</v>
      </c>
    </row>
    <row r="282" spans="1:4" x14ac:dyDescent="0.2">
      <c r="A282" s="14">
        <v>41974</v>
      </c>
      <c r="B282" s="18">
        <f>VLOOKUP(A282,Database!A:Q,MATCH($A$1,Database!$A$1:$Q$1,),)</f>
        <v>9800</v>
      </c>
      <c r="C282" s="15">
        <f t="shared" si="8"/>
        <v>-2.8490028490028491E-3</v>
      </c>
      <c r="D282" s="16">
        <f t="shared" si="9"/>
        <v>4.3330139465559456E-2</v>
      </c>
    </row>
    <row r="283" spans="1:4" x14ac:dyDescent="0.2">
      <c r="A283" s="13">
        <v>42005</v>
      </c>
      <c r="B283" s="18">
        <f>VLOOKUP(A283,Database!A:Q,MATCH($A$1,Database!$A$1:$Q$1,),)</f>
        <v>9847</v>
      </c>
      <c r="C283" s="15">
        <f t="shared" si="8"/>
        <v>4.795918367346939E-3</v>
      </c>
      <c r="D283" s="16">
        <f t="shared" si="9"/>
        <v>6.4425467517025187E-2</v>
      </c>
    </row>
    <row r="284" spans="1:4" x14ac:dyDescent="0.2">
      <c r="A284" s="14">
        <v>42036</v>
      </c>
      <c r="B284" s="18">
        <f>VLOOKUP(A284,Database!A:Q,MATCH($A$1,Database!$A$1:$Q$1,),)</f>
        <v>9760</v>
      </c>
      <c r="C284" s="15">
        <f t="shared" si="8"/>
        <v>-8.8351782268711286E-3</v>
      </c>
      <c r="D284" s="16">
        <f t="shared" si="9"/>
        <v>3.9735804836475978E-2</v>
      </c>
    </row>
    <row r="285" spans="1:4" x14ac:dyDescent="0.2">
      <c r="A285" s="13">
        <v>42064</v>
      </c>
      <c r="B285" s="18">
        <f>VLOOKUP(A285,Database!A:Q,MATCH($A$1,Database!$A$1:$Q$1,),)</f>
        <v>9788</v>
      </c>
      <c r="C285" s="15">
        <f t="shared" si="8"/>
        <v>2.8688524590163933E-3</v>
      </c>
      <c r="D285" s="16">
        <f t="shared" si="9"/>
        <v>3.3252401562335054E-2</v>
      </c>
    </row>
    <row r="286" spans="1:4" x14ac:dyDescent="0.2">
      <c r="A286" s="14">
        <v>42095</v>
      </c>
      <c r="B286" s="18">
        <f>VLOOKUP(A286,Database!A:Q,MATCH($A$1,Database!$A$1:$Q$1,),)</f>
        <v>9725</v>
      </c>
      <c r="C286" s="15">
        <f t="shared" si="8"/>
        <v>-6.4364527993461384E-3</v>
      </c>
      <c r="D286" s="16">
        <f t="shared" si="9"/>
        <v>4.0774828767123288E-2</v>
      </c>
    </row>
    <row r="287" spans="1:4" x14ac:dyDescent="0.2">
      <c r="A287" s="13">
        <v>42125</v>
      </c>
      <c r="B287" s="18">
        <f>VLOOKUP(A287,Database!A:Q,MATCH($A$1,Database!$A$1:$Q$1,),)</f>
        <v>9997</v>
      </c>
      <c r="C287" s="15">
        <f t="shared" si="8"/>
        <v>2.7969151670951157E-2</v>
      </c>
      <c r="D287" s="16">
        <f t="shared" si="9"/>
        <v>4.8453067645516518E-2</v>
      </c>
    </row>
    <row r="288" spans="1:4" x14ac:dyDescent="0.2">
      <c r="A288" s="14">
        <v>42156</v>
      </c>
      <c r="B288" s="18">
        <f>VLOOKUP(A288,Database!A:Q,MATCH($A$1,Database!$A$1:$Q$1,),)</f>
        <v>10040</v>
      </c>
      <c r="C288" s="15">
        <f t="shared" si="8"/>
        <v>4.3012903871161344E-3</v>
      </c>
      <c r="D288" s="16">
        <f t="shared" si="9"/>
        <v>4.59422856547557E-2</v>
      </c>
    </row>
    <row r="289" spans="1:4" x14ac:dyDescent="0.2">
      <c r="A289" s="13">
        <v>42186</v>
      </c>
      <c r="B289" s="18">
        <f>VLOOKUP(A289,Database!A:Q,MATCH($A$1,Database!$A$1:$Q$1,),)</f>
        <v>10059</v>
      </c>
      <c r="C289" s="15">
        <f t="shared" si="8"/>
        <v>1.8924302788844622E-3</v>
      </c>
      <c r="D289" s="16">
        <f t="shared" si="9"/>
        <v>4.5308115972150058E-2</v>
      </c>
    </row>
    <row r="290" spans="1:4" x14ac:dyDescent="0.2">
      <c r="A290" s="14">
        <v>42217</v>
      </c>
      <c r="B290" s="18">
        <f>VLOOKUP(A290,Database!A:Q,MATCH($A$1,Database!$A$1:$Q$1,),)</f>
        <v>10158</v>
      </c>
      <c r="C290" s="15">
        <f t="shared" si="8"/>
        <v>9.8419325976737242E-3</v>
      </c>
      <c r="D290" s="16">
        <f t="shared" si="9"/>
        <v>4.2594683362414038E-2</v>
      </c>
    </row>
    <row r="291" spans="1:4" x14ac:dyDescent="0.2">
      <c r="A291" s="13">
        <v>42248</v>
      </c>
      <c r="B291" s="18">
        <f>VLOOKUP(A291,Database!A:Q,MATCH($A$1,Database!$A$1:$Q$1,),)</f>
        <v>9714</v>
      </c>
      <c r="C291" s="15">
        <f t="shared" si="8"/>
        <v>-4.3709391612522151E-2</v>
      </c>
      <c r="D291" s="16">
        <f t="shared" si="9"/>
        <v>-5.1445621977569704E-4</v>
      </c>
    </row>
    <row r="292" spans="1:4" x14ac:dyDescent="0.2">
      <c r="A292" s="14">
        <v>42278</v>
      </c>
      <c r="B292" s="18">
        <f>VLOOKUP(A292,Database!A:Q,MATCH($A$1,Database!$A$1:$Q$1,),)</f>
        <v>9726</v>
      </c>
      <c r="C292" s="15">
        <f t="shared" si="8"/>
        <v>1.2353304508956147E-3</v>
      </c>
      <c r="D292" s="16">
        <f t="shared" si="9"/>
        <v>-1.7972536348949918E-2</v>
      </c>
    </row>
    <row r="293" spans="1:4" x14ac:dyDescent="0.2">
      <c r="A293" s="13">
        <v>42309</v>
      </c>
      <c r="B293" s="18">
        <f>VLOOKUP(A293,Database!A:Q,MATCH($A$1,Database!$A$1:$Q$1,),)</f>
        <v>9863</v>
      </c>
      <c r="C293" s="15">
        <f t="shared" si="8"/>
        <v>1.4085955171704708E-2</v>
      </c>
      <c r="D293" s="16">
        <f t="shared" si="9"/>
        <v>3.5612535612535613E-3</v>
      </c>
    </row>
    <row r="294" spans="1:4" x14ac:dyDescent="0.2">
      <c r="A294" s="14">
        <v>42339</v>
      </c>
      <c r="B294" s="18">
        <f>VLOOKUP(A294,Database!A:Q,MATCH($A$1,Database!$A$1:$Q$1,),)</f>
        <v>9763</v>
      </c>
      <c r="C294" s="15">
        <f t="shared" si="8"/>
        <v>-1.013890297069857E-2</v>
      </c>
      <c r="D294" s="16">
        <f t="shared" si="9"/>
        <v>-3.7755102040816328E-3</v>
      </c>
    </row>
    <row r="295" spans="1:4" x14ac:dyDescent="0.2">
      <c r="A295" s="13">
        <v>42370</v>
      </c>
      <c r="B295" s="18">
        <f>VLOOKUP(A295,Database!A:Q,MATCH($A$1,Database!$A$1:$Q$1,),)</f>
        <v>9786</v>
      </c>
      <c r="C295" s="15">
        <f t="shared" si="8"/>
        <v>2.3558332479770563E-3</v>
      </c>
      <c r="D295" s="16">
        <f t="shared" si="9"/>
        <v>-6.1947801360820558E-3</v>
      </c>
    </row>
    <row r="296" spans="1:4" x14ac:dyDescent="0.2">
      <c r="A296" s="14">
        <v>42401</v>
      </c>
      <c r="B296" s="18">
        <f>VLOOKUP(A296,Database!A:Q,MATCH($A$1,Database!$A$1:$Q$1,),)</f>
        <v>9770</v>
      </c>
      <c r="C296" s="15">
        <f t="shared" si="8"/>
        <v>-1.6349887594522788E-3</v>
      </c>
      <c r="D296" s="16">
        <f t="shared" si="9"/>
        <v>1.0245901639344263E-3</v>
      </c>
    </row>
    <row r="297" spans="1:4" x14ac:dyDescent="0.2">
      <c r="A297" s="13">
        <v>42430</v>
      </c>
      <c r="B297" s="18">
        <f>VLOOKUP(A297,Database!A:Q,MATCH($A$1,Database!$A$1:$Q$1,),)</f>
        <v>10009</v>
      </c>
      <c r="C297" s="15">
        <f t="shared" si="8"/>
        <v>2.4462640736949846E-2</v>
      </c>
      <c r="D297" s="16">
        <f t="shared" si="9"/>
        <v>2.2578667756436452E-2</v>
      </c>
    </row>
    <row r="298" spans="1:4" x14ac:dyDescent="0.2">
      <c r="A298" s="14">
        <v>42461</v>
      </c>
      <c r="B298" s="18">
        <f>VLOOKUP(A298,Database!A:Q,MATCH($A$1,Database!$A$1:$Q$1,),)</f>
        <v>10126</v>
      </c>
      <c r="C298" s="15">
        <f t="shared" si="8"/>
        <v>1.168947946847837E-2</v>
      </c>
      <c r="D298" s="16">
        <f t="shared" si="9"/>
        <v>4.1233933161953729E-2</v>
      </c>
    </row>
    <row r="299" spans="1:4" x14ac:dyDescent="0.2">
      <c r="A299" s="13">
        <v>42491</v>
      </c>
      <c r="B299" s="18">
        <f>VLOOKUP(A299,Database!A:Q,MATCH($A$1,Database!$A$1:$Q$1,),)</f>
        <v>9996</v>
      </c>
      <c r="C299" s="15">
        <f t="shared" si="8"/>
        <v>-1.2838238198696426E-2</v>
      </c>
      <c r="D299" s="16">
        <f t="shared" si="9"/>
        <v>-1.0003000900270081E-4</v>
      </c>
    </row>
    <row r="300" spans="1:4" x14ac:dyDescent="0.2">
      <c r="A300" s="14">
        <v>42522</v>
      </c>
      <c r="B300" s="18">
        <f>VLOOKUP(A300,Database!A:Q,MATCH($A$1,Database!$A$1:$Q$1,),)</f>
        <v>10063</v>
      </c>
      <c r="C300" s="15">
        <f t="shared" si="8"/>
        <v>6.7026810724289719E-3</v>
      </c>
      <c r="D300" s="16">
        <f t="shared" si="9"/>
        <v>2.290836653386454E-3</v>
      </c>
    </row>
    <row r="301" spans="1:4" x14ac:dyDescent="0.2">
      <c r="A301" s="13">
        <v>42552</v>
      </c>
      <c r="B301" s="18">
        <f>VLOOKUP(A301,Database!A:Q,MATCH($A$1,Database!$A$1:$Q$1,),)</f>
        <v>9997</v>
      </c>
      <c r="C301" s="15">
        <f t="shared" si="8"/>
        <v>-6.5586803140216636E-3</v>
      </c>
      <c r="D301" s="16">
        <f t="shared" si="9"/>
        <v>-6.1636345561188986E-3</v>
      </c>
    </row>
    <row r="302" spans="1:4" x14ac:dyDescent="0.2">
      <c r="A302" s="14">
        <v>42583</v>
      </c>
      <c r="B302" s="18">
        <f>VLOOKUP(A302,Database!A:Q,MATCH($A$1,Database!$A$1:$Q$1,),)</f>
        <v>9933</v>
      </c>
      <c r="C302" s="15">
        <f t="shared" si="8"/>
        <v>-6.4019205761728518E-3</v>
      </c>
      <c r="D302" s="16">
        <f t="shared" si="9"/>
        <v>-2.2150029533372712E-2</v>
      </c>
    </row>
    <row r="303" spans="1:4" x14ac:dyDescent="0.2">
      <c r="A303" s="13">
        <v>42614</v>
      </c>
      <c r="B303" s="18">
        <f>VLOOKUP(A303,Database!A:Q,MATCH($A$1,Database!$A$1:$Q$1,),)</f>
        <v>10196</v>
      </c>
      <c r="C303" s="15">
        <f t="shared" si="8"/>
        <v>2.6477398570421827E-2</v>
      </c>
      <c r="D303" s="16">
        <f t="shared" si="9"/>
        <v>4.9619106444307184E-2</v>
      </c>
    </row>
    <row r="304" spans="1:4" x14ac:dyDescent="0.2">
      <c r="A304" s="14">
        <v>42644</v>
      </c>
      <c r="B304" s="18">
        <f>VLOOKUP(A304,Database!A:Q,MATCH($A$1,Database!$A$1:$Q$1,),)</f>
        <v>10368</v>
      </c>
      <c r="C304" s="15">
        <f t="shared" si="8"/>
        <v>1.6869360533542564E-2</v>
      </c>
      <c r="D304" s="16">
        <f t="shared" si="9"/>
        <v>6.6008636644046881E-2</v>
      </c>
    </row>
    <row r="305" spans="1:4" x14ac:dyDescent="0.2">
      <c r="A305" s="13">
        <v>42675</v>
      </c>
      <c r="B305" s="18">
        <f>VLOOKUP(A305,Database!A:Q,MATCH($A$1,Database!$A$1:$Q$1,),)</f>
        <v>9962</v>
      </c>
      <c r="C305" s="15">
        <f t="shared" si="8"/>
        <v>-3.9158950617283951E-2</v>
      </c>
      <c r="D305" s="16">
        <f t="shared" si="9"/>
        <v>1.0037513940991585E-2</v>
      </c>
    </row>
    <row r="306" spans="1:4" x14ac:dyDescent="0.2">
      <c r="A306" s="14">
        <v>42705</v>
      </c>
      <c r="B306" s="18">
        <f>VLOOKUP(A306,Database!A:Q,MATCH($A$1,Database!$A$1:$Q$1,),)</f>
        <v>10130</v>
      </c>
      <c r="C306" s="15">
        <f t="shared" si="8"/>
        <v>1.6864083517365992E-2</v>
      </c>
      <c r="D306" s="16">
        <f t="shared" si="9"/>
        <v>3.7590904435112156E-2</v>
      </c>
    </row>
    <row r="307" spans="1:4" x14ac:dyDescent="0.2">
      <c r="A307" s="13">
        <v>42736</v>
      </c>
      <c r="B307" s="18">
        <f>VLOOKUP(A307,Database!A:Q,MATCH($A$1,Database!$A$1:$Q$1,),)</f>
        <v>10110</v>
      </c>
      <c r="C307" s="15">
        <f t="shared" si="8"/>
        <v>-1.9743336623889436E-3</v>
      </c>
      <c r="D307" s="16">
        <f t="shared" si="9"/>
        <v>3.3108522378908642E-2</v>
      </c>
    </row>
    <row r="308" spans="1:4" x14ac:dyDescent="0.2">
      <c r="A308" s="14">
        <v>42767</v>
      </c>
      <c r="B308" s="18">
        <f>VLOOKUP(A308,Database!A:Q,MATCH($A$1,Database!$A$1:$Q$1,),)</f>
        <v>10280</v>
      </c>
      <c r="C308" s="15">
        <f t="shared" si="8"/>
        <v>1.6815034619188922E-2</v>
      </c>
      <c r="D308" s="16">
        <f t="shared" si="9"/>
        <v>5.2200614124872056E-2</v>
      </c>
    </row>
    <row r="309" spans="1:4" x14ac:dyDescent="0.2">
      <c r="A309" s="13">
        <v>42795</v>
      </c>
      <c r="B309" s="18">
        <f>VLOOKUP(A309,Database!A:Q,MATCH($A$1,Database!$A$1:$Q$1,),)</f>
        <v>10189</v>
      </c>
      <c r="C309" s="15">
        <f t="shared" si="8"/>
        <v>-8.8521400778210114E-3</v>
      </c>
      <c r="D309" s="16">
        <f t="shared" si="9"/>
        <v>1.79838145668898E-2</v>
      </c>
    </row>
    <row r="310" spans="1:4" x14ac:dyDescent="0.2">
      <c r="A310" s="14">
        <v>42826</v>
      </c>
      <c r="B310" s="18">
        <f>VLOOKUP(A310,Database!A:Q,MATCH($A$1,Database!$A$1:$Q$1,),)</f>
        <v>10249</v>
      </c>
      <c r="C310" s="15">
        <f t="shared" si="8"/>
        <v>5.8887035037785852E-3</v>
      </c>
      <c r="D310" s="16">
        <f t="shared" si="9"/>
        <v>1.2146948449535849E-2</v>
      </c>
    </row>
    <row r="311" spans="1:4" x14ac:dyDescent="0.2">
      <c r="A311" s="13">
        <v>42856</v>
      </c>
      <c r="B311" s="18">
        <f>VLOOKUP(A311,Database!A:Q,MATCH($A$1,Database!$A$1:$Q$1,),)</f>
        <v>10043</v>
      </c>
      <c r="C311" s="15">
        <f t="shared" si="8"/>
        <v>-2.0099521904576055E-2</v>
      </c>
      <c r="D311" s="16">
        <f t="shared" si="9"/>
        <v>4.7018807523009206E-3</v>
      </c>
    </row>
    <row r="312" spans="1:4" x14ac:dyDescent="0.2">
      <c r="A312" s="14">
        <v>42887</v>
      </c>
      <c r="B312" s="18">
        <f>VLOOKUP(A312,Database!A:Q,MATCH($A$1,Database!$A$1:$Q$1,),)</f>
        <v>10048</v>
      </c>
      <c r="C312" s="15">
        <f t="shared" si="8"/>
        <v>4.9785920541670818E-4</v>
      </c>
      <c r="D312" s="16">
        <f t="shared" si="9"/>
        <v>-1.4906091622776509E-3</v>
      </c>
    </row>
    <row r="313" spans="1:4" x14ac:dyDescent="0.2">
      <c r="A313" s="13">
        <v>42917</v>
      </c>
      <c r="B313" s="18">
        <f>VLOOKUP(A313,Database!A:Q,MATCH($A$1,Database!$A$1:$Q$1,),)</f>
        <v>10258</v>
      </c>
      <c r="C313" s="15">
        <f t="shared" si="8"/>
        <v>2.0899681528662419E-2</v>
      </c>
      <c r="D313" s="16">
        <f t="shared" si="9"/>
        <v>2.6107832349704912E-2</v>
      </c>
    </row>
    <row r="314" spans="1:4" x14ac:dyDescent="0.2">
      <c r="A314" s="14">
        <v>42948</v>
      </c>
      <c r="B314" s="18">
        <f>VLOOKUP(A314,Database!A:Q,MATCH($A$1,Database!$A$1:$Q$1,),)</f>
        <v>10235</v>
      </c>
      <c r="C314" s="15">
        <f t="shared" si="8"/>
        <v>-2.242152466367713E-3</v>
      </c>
      <c r="D314" s="16">
        <f t="shared" si="9"/>
        <v>3.0403704822309474E-2</v>
      </c>
    </row>
    <row r="315" spans="1:4" x14ac:dyDescent="0.2">
      <c r="A315" s="13">
        <v>42979</v>
      </c>
      <c r="B315" s="18">
        <f>VLOOKUP(A315,Database!A:Q,MATCH($A$1,Database!$A$1:$Q$1,),)</f>
        <v>10354</v>
      </c>
      <c r="C315" s="15">
        <f t="shared" si="8"/>
        <v>1.1626770884220811E-2</v>
      </c>
      <c r="D315" s="16">
        <f t="shared" si="9"/>
        <v>1.5496273048254218E-2</v>
      </c>
    </row>
    <row r="316" spans="1:4" x14ac:dyDescent="0.2">
      <c r="A316" s="14">
        <v>43009</v>
      </c>
      <c r="B316" s="18">
        <f>VLOOKUP(A316,Database!A:Q,MATCH($A$1,Database!$A$1:$Q$1,),)</f>
        <v>10392</v>
      </c>
      <c r="C316" s="15">
        <f t="shared" si="8"/>
        <v>3.6700791964458181E-3</v>
      </c>
      <c r="D316" s="16">
        <f t="shared" si="9"/>
        <v>2.3148148148148147E-3</v>
      </c>
    </row>
    <row r="317" spans="1:4" x14ac:dyDescent="0.2">
      <c r="A317" s="13">
        <v>43040</v>
      </c>
      <c r="B317" s="18">
        <f>VLOOKUP(A317,Database!A:Q,MATCH($A$1,Database!$A$1:$Q$1,),)</f>
        <v>10590</v>
      </c>
      <c r="C317" s="15">
        <f t="shared" si="8"/>
        <v>1.9053117782909929E-2</v>
      </c>
      <c r="D317" s="16">
        <f t="shared" si="9"/>
        <v>6.3039550291106208E-2</v>
      </c>
    </row>
    <row r="318" spans="1:4" x14ac:dyDescent="0.2">
      <c r="A318" s="14">
        <v>43070</v>
      </c>
      <c r="B318" s="18">
        <f>VLOOKUP(A318,Database!A:Q,MATCH($A$1,Database!$A$1:$Q$1,),)</f>
        <v>10656</v>
      </c>
      <c r="C318" s="15">
        <f t="shared" si="8"/>
        <v>6.2322946175637391E-3</v>
      </c>
      <c r="D318" s="16">
        <f t="shared" si="9"/>
        <v>5.1924975320829223E-2</v>
      </c>
    </row>
    <row r="319" spans="1:4" x14ac:dyDescent="0.2">
      <c r="A319" s="13">
        <v>43101</v>
      </c>
      <c r="B319" s="18">
        <f>VLOOKUP(A319,Database!A:Q,MATCH($A$1,Database!$A$1:$Q$1,),)</f>
        <v>10855</v>
      </c>
      <c r="C319" s="15">
        <f t="shared" si="8"/>
        <v>1.8674924924924924E-2</v>
      </c>
      <c r="D319" s="16">
        <f t="shared" si="9"/>
        <v>7.3689416419386741E-2</v>
      </c>
    </row>
    <row r="320" spans="1:4" x14ac:dyDescent="0.2">
      <c r="A320" s="14">
        <v>43132</v>
      </c>
      <c r="B320" s="18">
        <f>VLOOKUP(A320,Database!A:Q,MATCH($A$1,Database!$A$1:$Q$1,),)</f>
        <v>10807</v>
      </c>
      <c r="C320" s="15">
        <f t="shared" si="8"/>
        <v>-4.4219253800092126E-3</v>
      </c>
      <c r="D320" s="16">
        <f t="shared" si="9"/>
        <v>5.1264591439688714E-2</v>
      </c>
    </row>
    <row r="321" spans="1:4" x14ac:dyDescent="0.2">
      <c r="A321" s="13">
        <v>43160</v>
      </c>
      <c r="B321" s="18">
        <f>VLOOKUP(A321,Database!A:Q,MATCH($A$1,Database!$A$1:$Q$1,),)</f>
        <v>10711</v>
      </c>
      <c r="C321" s="15">
        <f t="shared" si="8"/>
        <v>-8.8831313037845833E-3</v>
      </c>
      <c r="D321" s="16">
        <f t="shared" si="9"/>
        <v>5.1231720482873687E-2</v>
      </c>
    </row>
    <row r="322" spans="1:4" x14ac:dyDescent="0.2">
      <c r="A322" s="14">
        <v>43191</v>
      </c>
      <c r="B322" s="18">
        <f>VLOOKUP(A322,Database!A:Q,MATCH($A$1,Database!$A$1:$Q$1,),)</f>
        <v>10651</v>
      </c>
      <c r="C322" s="15">
        <f t="shared" si="8"/>
        <v>-5.6017178601437774E-3</v>
      </c>
      <c r="D322" s="16">
        <f t="shared" si="9"/>
        <v>3.9223338862328032E-2</v>
      </c>
    </row>
    <row r="323" spans="1:4" x14ac:dyDescent="0.2">
      <c r="A323" s="13">
        <v>43221</v>
      </c>
      <c r="B323" s="18">
        <f>VLOOKUP(A323,Database!A:Q,MATCH($A$1,Database!$A$1:$Q$1,),)</f>
        <v>10810</v>
      </c>
      <c r="C323" s="15">
        <f t="shared" si="8"/>
        <v>1.4928175758144775E-2</v>
      </c>
      <c r="D323" s="16">
        <f t="shared" si="9"/>
        <v>7.6371602110923031E-2</v>
      </c>
    </row>
    <row r="324" spans="1:4" x14ac:dyDescent="0.2">
      <c r="A324" s="14">
        <v>43252</v>
      </c>
      <c r="B324" s="18">
        <f>VLOOKUP(A324,Database!A:Q,MATCH($A$1,Database!$A$1:$Q$1,),)</f>
        <v>10763</v>
      </c>
      <c r="C324" s="15">
        <f t="shared" si="8"/>
        <v>-4.3478260869565218E-3</v>
      </c>
      <c r="D324" s="16">
        <f t="shared" si="9"/>
        <v>7.1158439490445854E-2</v>
      </c>
    </row>
    <row r="325" spans="1:4" x14ac:dyDescent="0.2">
      <c r="A325" s="13">
        <v>43282</v>
      </c>
      <c r="B325" s="18">
        <f>VLOOKUP(A325,Database!A:Q,MATCH($A$1,Database!$A$1:$Q$1,),)</f>
        <v>10411</v>
      </c>
      <c r="C325" s="15">
        <f t="shared" si="8"/>
        <v>-3.2704636253832575E-2</v>
      </c>
      <c r="D325" s="16">
        <f t="shared" si="9"/>
        <v>1.4915188145837395E-2</v>
      </c>
    </row>
    <row r="326" spans="1:4" x14ac:dyDescent="0.2">
      <c r="A326" s="14">
        <v>43313</v>
      </c>
      <c r="B326" s="18">
        <f>VLOOKUP(A326,Database!A:Q,MATCH($A$1,Database!$A$1:$Q$1,),)</f>
        <v>10625</v>
      </c>
      <c r="C326" s="15">
        <f t="shared" si="8"/>
        <v>2.0555182019018348E-2</v>
      </c>
      <c r="D326" s="16">
        <f t="shared" si="9"/>
        <v>3.8104543234000976E-2</v>
      </c>
    </row>
    <row r="327" spans="1:4" x14ac:dyDescent="0.2">
      <c r="A327" s="13">
        <v>43344</v>
      </c>
      <c r="B327" s="18">
        <f>VLOOKUP(A327,Database!A:Q,MATCH($A$1,Database!$A$1:$Q$1,),)</f>
        <v>10659</v>
      </c>
      <c r="C327" s="15">
        <f t="shared" si="8"/>
        <v>3.2000000000000002E-3</v>
      </c>
      <c r="D327" s="16">
        <f t="shared" si="9"/>
        <v>2.9457214603051961E-2</v>
      </c>
    </row>
    <row r="328" spans="1:4" x14ac:dyDescent="0.2">
      <c r="A328" s="14">
        <v>43374</v>
      </c>
      <c r="B328" s="18">
        <f>VLOOKUP(A328,Database!A:Q,MATCH($A$1,Database!$A$1:$Q$1,),)</f>
        <v>10907</v>
      </c>
      <c r="C328" s="15">
        <f t="shared" si="8"/>
        <v>2.3266722957125435E-2</v>
      </c>
      <c r="D328" s="16">
        <f t="shared" si="9"/>
        <v>4.955735180908391E-2</v>
      </c>
    </row>
    <row r="329" spans="1:4" x14ac:dyDescent="0.2">
      <c r="A329" s="13">
        <v>43405</v>
      </c>
      <c r="B329" s="18">
        <f>VLOOKUP(A329,Database!A:Q,MATCH($A$1,Database!$A$1:$Q$1,),)</f>
        <v>10779</v>
      </c>
      <c r="C329" s="15">
        <f t="shared" ref="C329:C335" si="10">(B329-B328)/B328</f>
        <v>-1.1735582653341891E-2</v>
      </c>
      <c r="D329" s="16">
        <f t="shared" si="9"/>
        <v>1.7847025495750707E-2</v>
      </c>
    </row>
    <row r="330" spans="1:4" x14ac:dyDescent="0.2">
      <c r="A330" s="14">
        <v>43435</v>
      </c>
      <c r="B330" s="18">
        <f>VLOOKUP(A330,Database!A:Q,MATCH($A$1,Database!$A$1:$Q$1,),)</f>
        <v>10558</v>
      </c>
      <c r="C330" s="15">
        <f t="shared" si="10"/>
        <v>-2.0502829576027462E-2</v>
      </c>
      <c r="D330" s="16">
        <f t="shared" si="9"/>
        <v>-9.1966966966966959E-3</v>
      </c>
    </row>
    <row r="331" spans="1:4" x14ac:dyDescent="0.2">
      <c r="A331" s="13">
        <v>43466</v>
      </c>
      <c r="B331" s="18">
        <f>VLOOKUP(A331,Database!A:Q,MATCH($A$1,Database!$A$1:$Q$1,),)</f>
        <v>10346</v>
      </c>
      <c r="C331" s="15">
        <f t="shared" si="10"/>
        <v>-2.0079560522826292E-2</v>
      </c>
      <c r="D331" s="16">
        <f t="shared" si="9"/>
        <v>-4.6890833717181023E-2</v>
      </c>
    </row>
    <row r="332" spans="1:4" x14ac:dyDescent="0.2">
      <c r="A332" s="14">
        <v>43497</v>
      </c>
      <c r="B332" s="18">
        <f>VLOOKUP(A332,Database!A:Q,MATCH($A$1,Database!$A$1:$Q$1,),)</f>
        <v>10455</v>
      </c>
      <c r="C332" s="15">
        <f t="shared" si="10"/>
        <v>1.0535472646433404E-2</v>
      </c>
      <c r="D332" s="16">
        <f t="shared" si="9"/>
        <v>-3.2571481447210143E-2</v>
      </c>
    </row>
    <row r="333" spans="1:4" x14ac:dyDescent="0.2">
      <c r="A333" s="13">
        <v>43525</v>
      </c>
      <c r="B333" s="18">
        <f>VLOOKUP(A333,Database!A:Q,MATCH($A$1,Database!$A$1:$Q$1,),)</f>
        <v>10601</v>
      </c>
      <c r="C333" s="15">
        <f t="shared" si="10"/>
        <v>1.3964610234337637E-2</v>
      </c>
      <c r="D333" s="16">
        <f t="shared" si="9"/>
        <v>-1.0269816076930258E-2</v>
      </c>
    </row>
    <row r="334" spans="1:4" x14ac:dyDescent="0.2">
      <c r="A334" s="14">
        <v>43556</v>
      </c>
      <c r="B334" s="18">
        <f>VLOOKUP(A334,Database!A:Q,MATCH($A$1,Database!$A$1:$Q$1,),)</f>
        <v>10829</v>
      </c>
      <c r="C334" s="15">
        <f t="shared" si="10"/>
        <v>2.1507404961796057E-2</v>
      </c>
      <c r="D334" s="16">
        <f t="shared" si="9"/>
        <v>1.6712045817294151E-2</v>
      </c>
    </row>
    <row r="335" spans="1:4" x14ac:dyDescent="0.2">
      <c r="A335" s="36">
        <v>43586</v>
      </c>
      <c r="B335" s="37">
        <f>VLOOKUP(A335,Database!A:Q,MATCH($A$1,Database!$A$1:$Q$1,),)</f>
        <v>10885</v>
      </c>
      <c r="C335" s="38">
        <f t="shared" si="10"/>
        <v>5.1712992889463476E-3</v>
      </c>
      <c r="D335" s="39">
        <f t="shared" si="9"/>
        <v>6.938020351526364E-3</v>
      </c>
    </row>
    <row r="336" spans="1:4" x14ac:dyDescent="0.2">
      <c r="A336" s="14">
        <v>43617</v>
      </c>
      <c r="B336" s="18">
        <f>VLOOKUP(A336,Database!A:Q,MATCH($A$1,Database!$A$1:$Q$1,),)</f>
        <v>11001</v>
      </c>
      <c r="C336" s="15">
        <f t="shared" ref="C336:C337" si="11">(B336-B335)/B335</f>
        <v>1.065686724850712E-2</v>
      </c>
      <c r="D336" s="16">
        <f t="shared" ref="D336:D337" si="12">(B336-B324)/B324</f>
        <v>2.2112793830716342E-2</v>
      </c>
    </row>
    <row r="337" spans="1:4" x14ac:dyDescent="0.2">
      <c r="A337" s="36">
        <v>43647</v>
      </c>
      <c r="B337" s="37">
        <f>VLOOKUP(A337,Database!A:Q,MATCH($A$1,Database!$A$1:$Q$1,),)</f>
        <v>10900</v>
      </c>
      <c r="C337" s="38">
        <f t="shared" si="11"/>
        <v>-9.1809835469502769E-3</v>
      </c>
      <c r="D337" s="39">
        <f t="shared" si="12"/>
        <v>4.6969551435981173E-2</v>
      </c>
    </row>
    <row r="338" spans="1:4" x14ac:dyDescent="0.2">
      <c r="A338" s="14">
        <v>43678</v>
      </c>
      <c r="B338" s="18">
        <f>VLOOKUP(A338,Database!A:Q,MATCH($A$1,Database!$A$1:$Q$1,),)</f>
        <v>11199</v>
      </c>
      <c r="C338" s="15">
        <f t="shared" ref="C338:C340" si="13">(B338-B337)/B337</f>
        <v>2.7431192660550458E-2</v>
      </c>
      <c r="D338" s="16">
        <f t="shared" ref="D338:D340" si="14">(B338-B326)/B326</f>
        <v>5.4023529411764706E-2</v>
      </c>
    </row>
    <row r="339" spans="1:4" x14ac:dyDescent="0.2">
      <c r="A339" s="36">
        <v>43709</v>
      </c>
      <c r="B339" s="37">
        <f>VLOOKUP(A339,Database!A:Q,MATCH($A$1,Database!$A$1:$Q$1,),)</f>
        <v>11208</v>
      </c>
      <c r="C339" s="38">
        <f t="shared" si="13"/>
        <v>8.0364318242700237E-4</v>
      </c>
      <c r="D339" s="39">
        <f t="shared" si="14"/>
        <v>5.1505769772023639E-2</v>
      </c>
    </row>
    <row r="340" spans="1:4" x14ac:dyDescent="0.2">
      <c r="A340" s="14">
        <v>43739</v>
      </c>
      <c r="B340" s="18">
        <f>VLOOKUP(A340,Database!A:Q,MATCH($A$1,Database!$A$1:$Q$1,),)</f>
        <v>11397</v>
      </c>
      <c r="C340" s="15">
        <f t="shared" si="13"/>
        <v>1.6862955032119913E-2</v>
      </c>
      <c r="D340" s="16">
        <f t="shared" si="14"/>
        <v>4.4925277344824426E-2</v>
      </c>
    </row>
    <row r="341" spans="1:4" x14ac:dyDescent="0.2">
      <c r="A341" s="36">
        <v>43770</v>
      </c>
      <c r="B341" s="37">
        <f>VLOOKUP(A341,Database!A:Q,MATCH($A$1,Database!$A$1:$Q$1,),)</f>
        <v>11445</v>
      </c>
      <c r="C341" s="38">
        <f t="shared" ref="C341:C342" si="15">(B341-B340)/B340</f>
        <v>4.2116346406949196E-3</v>
      </c>
      <c r="D341" s="39">
        <f t="shared" ref="D341:D342" si="16">(B341-B329)/B329</f>
        <v>6.178680768160312E-2</v>
      </c>
    </row>
    <row r="342" spans="1:4" x14ac:dyDescent="0.2">
      <c r="A342" s="14">
        <v>43800</v>
      </c>
      <c r="B342" s="18">
        <f>VLOOKUP(A342,Database!A:Q,MATCH($A$1,Database!$A$1:$Q$1,),)</f>
        <v>11211</v>
      </c>
      <c r="C342" s="15">
        <f t="shared" si="15"/>
        <v>-2.0445609436435124E-2</v>
      </c>
      <c r="D342" s="16">
        <f t="shared" si="16"/>
        <v>6.1848835006630042E-2</v>
      </c>
    </row>
    <row r="343" spans="1:4" x14ac:dyDescent="0.2">
      <c r="A343" s="36">
        <v>43831</v>
      </c>
      <c r="B343" s="37">
        <f>VLOOKUP(A343,Database!A:Q,MATCH($A$1,Database!$A$1:$Q$1,),)</f>
        <v>11667</v>
      </c>
      <c r="C343" s="38">
        <f t="shared" ref="C343:C344" si="17">(B343-B342)/B342</f>
        <v>4.0674337704040671E-2</v>
      </c>
      <c r="D343" s="39">
        <f t="shared" ref="D343:D344" si="18">(B343-B331)/B331</f>
        <v>0.12768219601778466</v>
      </c>
    </row>
    <row r="344" spans="1:4" x14ac:dyDescent="0.2">
      <c r="A344" s="14">
        <v>43862</v>
      </c>
      <c r="B344" s="18">
        <f>VLOOKUP(A344,Database!A:Q,MATCH($A$1,Database!$A$1:$Q$1,),)</f>
        <v>11706</v>
      </c>
      <c r="C344" s="15">
        <f t="shared" si="17"/>
        <v>3.3427616353818462E-3</v>
      </c>
      <c r="D344" s="16">
        <f t="shared" si="18"/>
        <v>0.11965566714490675</v>
      </c>
    </row>
    <row r="345" spans="1:4" x14ac:dyDescent="0.2">
      <c r="A345" s="36">
        <v>43891</v>
      </c>
      <c r="B345" s="37">
        <f>VLOOKUP(A345,Database!A:Q,MATCH($A$1,Database!$A$1:$Q$1,),)</f>
        <v>9874</v>
      </c>
      <c r="C345" s="38">
        <f t="shared" ref="C345:C346" si="19">(B345-B344)/B344</f>
        <v>-0.15650093968904835</v>
      </c>
      <c r="D345" s="39">
        <f t="shared" ref="D345:D346" si="20">(B345-B333)/B333</f>
        <v>-6.8578435996604098E-2</v>
      </c>
    </row>
    <row r="346" spans="1:4" x14ac:dyDescent="0.2">
      <c r="A346" s="14">
        <v>43922</v>
      </c>
      <c r="B346" s="18">
        <f>VLOOKUP(A346,Database!A:Q,MATCH($A$1,Database!$A$1:$Q$1,),)</f>
        <v>7361</v>
      </c>
      <c r="C346" s="15">
        <f t="shared" si="19"/>
        <v>-0.25450678549726552</v>
      </c>
      <c r="D346" s="16">
        <f t="shared" si="20"/>
        <v>-0.32025117739403453</v>
      </c>
    </row>
    <row r="347" spans="1:4" x14ac:dyDescent="0.2">
      <c r="A347" s="36">
        <v>43952</v>
      </c>
      <c r="B347" s="37">
        <f>VLOOKUP(A347,Database!A:Q,MATCH($A$1,Database!$A$1:$Q$1,),)</f>
        <v>8897</v>
      </c>
      <c r="C347" s="38">
        <f t="shared" ref="C347:C348" si="21">(B347-B346)/B346</f>
        <v>0.2086673006385002</v>
      </c>
      <c r="D347" s="39">
        <f t="shared" ref="D347:D348" si="22">(B347-B335)/B335</f>
        <v>-0.18263665594855305</v>
      </c>
    </row>
    <row r="348" spans="1:4" x14ac:dyDescent="0.2">
      <c r="A348" s="14">
        <v>43983</v>
      </c>
      <c r="B348" s="18">
        <f>VLOOKUP(A348,Database!A:Q,MATCH($A$1,Database!$A$1:$Q$1,),)</f>
        <v>11000</v>
      </c>
      <c r="C348" s="15">
        <f t="shared" si="21"/>
        <v>0.23637181072271551</v>
      </c>
      <c r="D348" s="16">
        <f t="shared" si="22"/>
        <v>-9.0900827197527503E-5</v>
      </c>
    </row>
    <row r="349" spans="1:4" x14ac:dyDescent="0.2">
      <c r="A349" s="36">
        <v>44013</v>
      </c>
      <c r="B349" s="37">
        <f>VLOOKUP(A349,Database!A:Q,MATCH($A$1,Database!$A$1:$Q$1,),)</f>
        <v>11505</v>
      </c>
      <c r="C349" s="38">
        <f t="shared" ref="C349:C350" si="23">(B349-B348)/B348</f>
        <v>4.5909090909090906E-2</v>
      </c>
      <c r="D349" s="39">
        <f t="shared" ref="D349:D350" si="24">(B349-B337)/B337</f>
        <v>5.5504587155963306E-2</v>
      </c>
    </row>
    <row r="350" spans="1:4" x14ac:dyDescent="0.2">
      <c r="A350" s="14">
        <v>44044</v>
      </c>
      <c r="B350" s="18">
        <f>VLOOKUP(A350,Database!A:Q,MATCH($A$1,Database!$A$1:$Q$1,),)</f>
        <v>11744</v>
      </c>
      <c r="C350" s="15">
        <f t="shared" si="23"/>
        <v>2.0773576705780096E-2</v>
      </c>
      <c r="D350" s="16">
        <f t="shared" si="24"/>
        <v>4.8665059380301814E-2</v>
      </c>
    </row>
    <row r="351" spans="1:4" x14ac:dyDescent="0.2">
      <c r="A351" s="36">
        <v>44075</v>
      </c>
      <c r="B351" s="37">
        <f>VLOOKUP(A351,Database!A:Q,MATCH($A$1,Database!$A$1:$Q$1,),)</f>
        <v>11862</v>
      </c>
      <c r="C351" s="38">
        <f t="shared" ref="C351:C352" si="25">(B351-B350)/B350</f>
        <v>1.0047683923705721E-2</v>
      </c>
      <c r="D351" s="39">
        <f t="shared" ref="D351:D352" si="26">(B351-B339)/B339</f>
        <v>5.8351177730192723E-2</v>
      </c>
    </row>
    <row r="352" spans="1:4" x14ac:dyDescent="0.2">
      <c r="A352" s="14">
        <v>44105</v>
      </c>
      <c r="B352" s="18">
        <f>VLOOKUP(A352,Database!A:Q,MATCH($A$1,Database!$A$1:$Q$1,),)</f>
        <v>11923</v>
      </c>
      <c r="C352" s="15">
        <f t="shared" si="25"/>
        <v>5.1424717585567357E-3</v>
      </c>
      <c r="D352" s="16">
        <f t="shared" si="26"/>
        <v>4.6152496270948494E-2</v>
      </c>
    </row>
    <row r="353" spans="1:4" x14ac:dyDescent="0.2">
      <c r="A353" s="36">
        <v>44136</v>
      </c>
      <c r="B353" s="37">
        <f>VLOOKUP(A353,Database!A:Q,MATCH($A$1,Database!$A$1:$Q$1,),)</f>
        <v>12017</v>
      </c>
      <c r="C353" s="38">
        <f t="shared" ref="C353:C354" si="27">(B353-B352)/B352</f>
        <v>7.883921831753753E-3</v>
      </c>
      <c r="D353" s="39">
        <f t="shared" ref="D353:D354" si="28">(B353-B341)/B341</f>
        <v>4.997815640017475E-2</v>
      </c>
    </row>
    <row r="354" spans="1:4" x14ac:dyDescent="0.2">
      <c r="A354" s="14">
        <v>44166</v>
      </c>
      <c r="B354" s="18">
        <f>VLOOKUP(A354,Database!A:Q,MATCH($A$1,Database!$A$1:$Q$1,),)</f>
        <v>12667</v>
      </c>
      <c r="C354" s="15">
        <f t="shared" si="27"/>
        <v>5.409003911125905E-2</v>
      </c>
      <c r="D354" s="16">
        <f t="shared" si="28"/>
        <v>0.12987244670412987</v>
      </c>
    </row>
    <row r="355" spans="1:4" x14ac:dyDescent="0.2">
      <c r="A355" s="36">
        <v>44197</v>
      </c>
      <c r="B355" s="37">
        <f>VLOOKUP(A355,Database!A:Q,MATCH($A$1,Database!$A$1:$Q$1,),)</f>
        <v>12744</v>
      </c>
      <c r="C355" s="38">
        <f t="shared" ref="C355:C356" si="29">(B355-B354)/B354</f>
        <v>6.0787874003315704E-3</v>
      </c>
      <c r="D355" s="39">
        <f t="shared" ref="D355:D356" si="30">(B355-B343)/B343</f>
        <v>9.2311648238621757E-2</v>
      </c>
    </row>
    <row r="356" spans="1:4" x14ac:dyDescent="0.2">
      <c r="A356" s="14">
        <v>44228</v>
      </c>
      <c r="B356" s="18">
        <f>VLOOKUP(A356,Database!A:Q,MATCH($A$1,Database!$A$1:$Q$1,),)</f>
        <v>12394</v>
      </c>
      <c r="C356" s="15">
        <f t="shared" si="29"/>
        <v>-2.7463904582548649E-2</v>
      </c>
      <c r="D356" s="16">
        <f t="shared" si="30"/>
        <v>5.8773278660515973E-2</v>
      </c>
    </row>
    <row r="357" spans="1:4" x14ac:dyDescent="0.2">
      <c r="A357" s="36">
        <v>44256</v>
      </c>
      <c r="B357" s="37">
        <f>VLOOKUP(A357,Database!A:Q,MATCH($A$1,Database!$A$1:$Q$1,),)</f>
        <v>13746</v>
      </c>
      <c r="C357" s="38">
        <f t="shared" ref="C357:C358" si="31">(B357-B356)/B356</f>
        <v>0.10908504114894303</v>
      </c>
      <c r="D357" s="39">
        <f t="shared" ref="D357:D358" si="32">(B357-B345)/B345</f>
        <v>0.3921409763013976</v>
      </c>
    </row>
    <row r="358" spans="1:4" x14ac:dyDescent="0.2">
      <c r="A358" s="14">
        <v>44287</v>
      </c>
      <c r="B358" s="18">
        <f>VLOOKUP(A358,Database!A:Q,MATCH($A$1,Database!$A$1:$Q$1,),)</f>
        <v>13609</v>
      </c>
      <c r="C358" s="15">
        <f t="shared" si="31"/>
        <v>-9.9665357194820316E-3</v>
      </c>
      <c r="D358" s="16">
        <f t="shared" si="32"/>
        <v>0.84879771770139922</v>
      </c>
    </row>
    <row r="359" spans="1:4" x14ac:dyDescent="0.2">
      <c r="A359" s="36">
        <v>44317</v>
      </c>
      <c r="B359" s="37">
        <f>VLOOKUP(A359,Database!A:Q,MATCH($A$1,Database!$A$1:$Q$1,),)</f>
        <v>13169</v>
      </c>
      <c r="C359" s="38">
        <f t="shared" ref="C359:C360" si="33">(B359-B358)/B358</f>
        <v>-3.2331545300903812E-2</v>
      </c>
      <c r="D359" s="39">
        <f t="shared" ref="D359:D360" si="34">(B359-B347)/B347</f>
        <v>0.48016185230976732</v>
      </c>
    </row>
    <row r="360" spans="1:4" x14ac:dyDescent="0.2">
      <c r="A360" s="14">
        <v>44348</v>
      </c>
      <c r="B360" s="18">
        <f>VLOOKUP(A360,Database!A:Q,MATCH($A$1,Database!$A$1:$Q$1,),)</f>
        <v>13734</v>
      </c>
      <c r="C360" s="15">
        <f t="shared" si="33"/>
        <v>4.2903789201913588E-2</v>
      </c>
      <c r="D360" s="16">
        <f t="shared" si="34"/>
        <v>0.24854545454545454</v>
      </c>
    </row>
    <row r="361" spans="1:4" x14ac:dyDescent="0.2">
      <c r="A361" s="36">
        <v>44378</v>
      </c>
      <c r="B361" s="37">
        <f>VLOOKUP(A361,Database!A:Q,MATCH($A$1,Database!$A$1:$Q$1,),)</f>
        <v>13809</v>
      </c>
      <c r="C361" s="38">
        <f t="shared" ref="C361:C362" si="35">(B361-B360)/B360</f>
        <v>5.4608999563128006E-3</v>
      </c>
      <c r="D361" s="39">
        <f t="shared" ref="D361:D362" si="36">(B361-B349)/B349</f>
        <v>0.20026075619295958</v>
      </c>
    </row>
    <row r="362" spans="1:4" x14ac:dyDescent="0.2">
      <c r="A362" s="14">
        <v>44409</v>
      </c>
      <c r="B362" s="18">
        <f>VLOOKUP(A362,Database!A:Q,MATCH($A$1,Database!$A$1:$Q$1,),)</f>
        <v>13998</v>
      </c>
      <c r="C362" s="15">
        <f t="shared" si="35"/>
        <v>1.3686726048229415E-2</v>
      </c>
      <c r="D362" s="16">
        <f t="shared" si="36"/>
        <v>0.19192779291553133</v>
      </c>
    </row>
  </sheetData>
  <conditionalFormatting sqref="D19:D362">
    <cfRule type="colorScale" priority="44">
      <colorScale>
        <cfvo type="min"/>
        <cfvo type="percentile" val="50"/>
        <cfvo type="max"/>
        <color rgb="FFF8696B"/>
        <color rgb="FFFFEB84"/>
        <color rgb="FF63BE7B"/>
      </colorScale>
    </cfRule>
  </conditionalFormatting>
  <conditionalFormatting sqref="C8:C362">
    <cfRule type="colorScale" priority="45">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3024F9-F086-49A4-A9B0-68356D781ABA}">
  <sheetPr codeName="Sheet20"/>
  <dimension ref="A1:D362"/>
  <sheetViews>
    <sheetView zoomScale="150" zoomScaleNormal="150" workbookViewId="0">
      <pane ySplit="6" topLeftCell="A333" activePane="bottomLeft" state="frozen"/>
      <selection pane="bottomLeft" activeCell="A364" sqref="A364"/>
    </sheetView>
  </sheetViews>
  <sheetFormatPr baseColWidth="10" defaultColWidth="9.1640625" defaultRowHeight="15" x14ac:dyDescent="0.2"/>
  <cols>
    <col min="1" max="1" width="14" style="11" customWidth="1"/>
    <col min="2" max="2" width="20.6640625" style="11" customWidth="1"/>
    <col min="3" max="4" width="14.1640625" style="11" customWidth="1"/>
    <col min="5" max="16384" width="9.1640625" style="1"/>
  </cols>
  <sheetData>
    <row r="1" spans="1:4" x14ac:dyDescent="0.2">
      <c r="A1" s="33" t="s">
        <v>70</v>
      </c>
      <c r="B1" s="34" t="s">
        <v>66</v>
      </c>
    </row>
    <row r="2" spans="1:4" x14ac:dyDescent="0.2">
      <c r="A2" s="35"/>
      <c r="B2" s="33"/>
    </row>
    <row r="3" spans="1:4" x14ac:dyDescent="0.2">
      <c r="A3" s="12"/>
    </row>
    <row r="4" spans="1:4" x14ac:dyDescent="0.2">
      <c r="A4" s="12"/>
    </row>
    <row r="5" spans="1:4" ht="16" thickBot="1" x14ac:dyDescent="0.25"/>
    <row r="6" spans="1:4" ht="44.25" customHeight="1" thickBot="1" x14ac:dyDescent="0.25">
      <c r="A6" s="93" t="s">
        <v>2</v>
      </c>
      <c r="B6" s="95" t="s">
        <v>99</v>
      </c>
      <c r="C6" s="108" t="s">
        <v>82</v>
      </c>
      <c r="D6" s="109" t="s">
        <v>83</v>
      </c>
    </row>
    <row r="7" spans="1:4" x14ac:dyDescent="0.2">
      <c r="A7" s="20">
        <v>33604</v>
      </c>
      <c r="B7" s="21">
        <f>VLOOKUP(A7,Database!A:Q,MATCH($A$1,Database!$A$1:$Q$1,),)</f>
        <v>9716</v>
      </c>
      <c r="C7" s="22"/>
      <c r="D7" s="22"/>
    </row>
    <row r="8" spans="1:4" x14ac:dyDescent="0.2">
      <c r="A8" s="14">
        <v>33635</v>
      </c>
      <c r="B8" s="18">
        <f>VLOOKUP(A8,Database!A:Q,MATCH($A$1,Database!$A$1:$Q$1,),)</f>
        <v>9712</v>
      </c>
      <c r="C8" s="15">
        <f>(B8-B7)/B7</f>
        <v>-4.1169205434335118E-4</v>
      </c>
      <c r="D8" s="3"/>
    </row>
    <row r="9" spans="1:4" x14ac:dyDescent="0.2">
      <c r="A9" s="13">
        <v>33664</v>
      </c>
      <c r="B9" s="18">
        <f>VLOOKUP(A9,Database!A:Q,MATCH($A$1,Database!$A$1:$Q$1,),)</f>
        <v>9669</v>
      </c>
      <c r="C9" s="15">
        <f t="shared" ref="C9:C72" si="0">(B9-B8)/B8</f>
        <v>-4.4275123558484347E-3</v>
      </c>
      <c r="D9" s="3"/>
    </row>
    <row r="10" spans="1:4" x14ac:dyDescent="0.2">
      <c r="A10" s="14">
        <v>33695</v>
      </c>
      <c r="B10" s="18">
        <f>VLOOKUP(A10,Database!A:Q,MATCH($A$1,Database!$A$1:$Q$1,),)</f>
        <v>9862</v>
      </c>
      <c r="C10" s="15">
        <f t="shared" si="0"/>
        <v>1.9960699141586515E-2</v>
      </c>
      <c r="D10" s="3"/>
    </row>
    <row r="11" spans="1:4" x14ac:dyDescent="0.2">
      <c r="A11" s="13">
        <v>33725</v>
      </c>
      <c r="B11" s="18">
        <f>VLOOKUP(A11,Database!A:Q,MATCH($A$1,Database!$A$1:$Q$1,),)</f>
        <v>9755</v>
      </c>
      <c r="C11" s="15">
        <f t="shared" si="0"/>
        <v>-1.0849726221861691E-2</v>
      </c>
      <c r="D11" s="3"/>
    </row>
    <row r="12" spans="1:4" x14ac:dyDescent="0.2">
      <c r="A12" s="14">
        <v>33756</v>
      </c>
      <c r="B12" s="18">
        <f>VLOOKUP(A12,Database!A:Q,MATCH($A$1,Database!$A$1:$Q$1,),)</f>
        <v>9915</v>
      </c>
      <c r="C12" s="15">
        <f t="shared" si="0"/>
        <v>1.6401845207585853E-2</v>
      </c>
      <c r="D12" s="3"/>
    </row>
    <row r="13" spans="1:4" x14ac:dyDescent="0.2">
      <c r="A13" s="13">
        <v>33786</v>
      </c>
      <c r="B13" s="18">
        <f>VLOOKUP(A13,Database!A:Q,MATCH($A$1,Database!$A$1:$Q$1,),)</f>
        <v>9957</v>
      </c>
      <c r="C13" s="15">
        <f t="shared" si="0"/>
        <v>4.2360060514372161E-3</v>
      </c>
      <c r="D13" s="3"/>
    </row>
    <row r="14" spans="1:4" x14ac:dyDescent="0.2">
      <c r="A14" s="14">
        <v>33817</v>
      </c>
      <c r="B14" s="18">
        <f>VLOOKUP(A14,Database!A:Q,MATCH($A$1,Database!$A$1:$Q$1,),)</f>
        <v>10141</v>
      </c>
      <c r="C14" s="15">
        <f t="shared" si="0"/>
        <v>1.847946168524656E-2</v>
      </c>
      <c r="D14" s="3"/>
    </row>
    <row r="15" spans="1:4" x14ac:dyDescent="0.2">
      <c r="A15" s="13">
        <v>33848</v>
      </c>
      <c r="B15" s="18">
        <f>VLOOKUP(A15,Database!A:Q,MATCH($A$1,Database!$A$1:$Q$1,),)</f>
        <v>10154</v>
      </c>
      <c r="C15" s="15">
        <f t="shared" si="0"/>
        <v>1.2819248594813134E-3</v>
      </c>
      <c r="D15" s="3"/>
    </row>
    <row r="16" spans="1:4" x14ac:dyDescent="0.2">
      <c r="A16" s="14">
        <v>33878</v>
      </c>
      <c r="B16" s="18">
        <f>VLOOKUP(A16,Database!A:Q,MATCH($A$1,Database!$A$1:$Q$1,),)</f>
        <v>10174</v>
      </c>
      <c r="C16" s="15">
        <f t="shared" si="0"/>
        <v>1.9696671262556626E-3</v>
      </c>
      <c r="D16" s="3"/>
    </row>
    <row r="17" spans="1:4" x14ac:dyDescent="0.2">
      <c r="A17" s="13">
        <v>33909</v>
      </c>
      <c r="B17" s="18">
        <f>VLOOKUP(A17,Database!A:Q,MATCH($A$1,Database!$A$1:$Q$1,),)</f>
        <v>10076</v>
      </c>
      <c r="C17" s="15">
        <f t="shared" si="0"/>
        <v>-9.6323963043050912E-3</v>
      </c>
      <c r="D17" s="3"/>
    </row>
    <row r="18" spans="1:4" x14ac:dyDescent="0.2">
      <c r="A18" s="14">
        <v>33939</v>
      </c>
      <c r="B18" s="18">
        <f>VLOOKUP(A18,Database!A:Q,MATCH($A$1,Database!$A$1:$Q$1,),)</f>
        <v>10318</v>
      </c>
      <c r="C18" s="15">
        <f t="shared" si="0"/>
        <v>2.4017467248908297E-2</v>
      </c>
      <c r="D18" s="3"/>
    </row>
    <row r="19" spans="1:4" x14ac:dyDescent="0.2">
      <c r="A19" s="13">
        <v>33970</v>
      </c>
      <c r="B19" s="18">
        <f>VLOOKUP(A19,Database!A:Q,MATCH($A$1,Database!$A$1:$Q$1,),)</f>
        <v>10581</v>
      </c>
      <c r="C19" s="15">
        <f t="shared" si="0"/>
        <v>2.548943593719713E-2</v>
      </c>
      <c r="D19" s="16">
        <f>(B19-B7)/B7</f>
        <v>8.9028406751749695E-2</v>
      </c>
    </row>
    <row r="20" spans="1:4" x14ac:dyDescent="0.2">
      <c r="A20" s="14">
        <v>34001</v>
      </c>
      <c r="B20" s="18">
        <f>VLOOKUP(A20,Database!A:Q,MATCH($A$1,Database!$A$1:$Q$1,),)</f>
        <v>10150</v>
      </c>
      <c r="C20" s="15">
        <f t="shared" si="0"/>
        <v>-4.07333900387487E-2</v>
      </c>
      <c r="D20" s="16">
        <f t="shared" ref="D20:D83" si="1">(B20-B8)/B8</f>
        <v>4.5098846787479406E-2</v>
      </c>
    </row>
    <row r="21" spans="1:4" x14ac:dyDescent="0.2">
      <c r="A21" s="13">
        <v>34029</v>
      </c>
      <c r="B21" s="18">
        <f>VLOOKUP(A21,Database!A:Q,MATCH($A$1,Database!$A$1:$Q$1,),)</f>
        <v>9916</v>
      </c>
      <c r="C21" s="15">
        <f t="shared" si="0"/>
        <v>-2.3054187192118228E-2</v>
      </c>
      <c r="D21" s="16">
        <f t="shared" si="1"/>
        <v>2.5545557968766161E-2</v>
      </c>
    </row>
    <row r="22" spans="1:4" x14ac:dyDescent="0.2">
      <c r="A22" s="14">
        <v>34060</v>
      </c>
      <c r="B22" s="18">
        <f>VLOOKUP(A22,Database!A:Q,MATCH($A$1,Database!$A$1:$Q$1,),)</f>
        <v>10257</v>
      </c>
      <c r="C22" s="15">
        <f t="shared" si="0"/>
        <v>3.4388866478418718E-2</v>
      </c>
      <c r="D22" s="16">
        <f t="shared" si="1"/>
        <v>4.0052727641452041E-2</v>
      </c>
    </row>
    <row r="23" spans="1:4" x14ac:dyDescent="0.2">
      <c r="A23" s="13">
        <v>34090</v>
      </c>
      <c r="B23" s="18">
        <f>VLOOKUP(A23,Database!A:Q,MATCH($A$1,Database!$A$1:$Q$1,),)</f>
        <v>10386</v>
      </c>
      <c r="C23" s="15">
        <f t="shared" si="0"/>
        <v>1.2576776835331968E-2</v>
      </c>
      <c r="D23" s="16">
        <f t="shared" si="1"/>
        <v>6.4684777037416707E-2</v>
      </c>
    </row>
    <row r="24" spans="1:4" x14ac:dyDescent="0.2">
      <c r="A24" s="14">
        <v>34121</v>
      </c>
      <c r="B24" s="18">
        <f>VLOOKUP(A24,Database!A:Q,MATCH($A$1,Database!$A$1:$Q$1,),)</f>
        <v>10411</v>
      </c>
      <c r="C24" s="15">
        <f t="shared" si="0"/>
        <v>2.4070864625457345E-3</v>
      </c>
      <c r="D24" s="16">
        <f t="shared" si="1"/>
        <v>5.0025214321734748E-2</v>
      </c>
    </row>
    <row r="25" spans="1:4" x14ac:dyDescent="0.2">
      <c r="A25" s="13">
        <v>34151</v>
      </c>
      <c r="B25" s="18">
        <f>VLOOKUP(A25,Database!A:Q,MATCH($A$1,Database!$A$1:$Q$1,),)</f>
        <v>10593</v>
      </c>
      <c r="C25" s="15">
        <f t="shared" si="0"/>
        <v>1.7481509941408124E-2</v>
      </c>
      <c r="D25" s="16">
        <f t="shared" si="1"/>
        <v>6.3874661042482669E-2</v>
      </c>
    </row>
    <row r="26" spans="1:4" x14ac:dyDescent="0.2">
      <c r="A26" s="14">
        <v>34182</v>
      </c>
      <c r="B26" s="18">
        <f>VLOOKUP(A26,Database!A:Q,MATCH($A$1,Database!$A$1:$Q$1,),)</f>
        <v>10406</v>
      </c>
      <c r="C26" s="15">
        <f t="shared" si="0"/>
        <v>-1.7653167185877467E-2</v>
      </c>
      <c r="D26" s="16">
        <f t="shared" si="1"/>
        <v>2.6131545212503698E-2</v>
      </c>
    </row>
    <row r="27" spans="1:4" x14ac:dyDescent="0.2">
      <c r="A27" s="13">
        <v>34213</v>
      </c>
      <c r="B27" s="18">
        <f>VLOOKUP(A27,Database!A:Q,MATCH($A$1,Database!$A$1:$Q$1,),)</f>
        <v>10549</v>
      </c>
      <c r="C27" s="15">
        <f t="shared" si="0"/>
        <v>1.3742071881606765E-2</v>
      </c>
      <c r="D27" s="16">
        <f t="shared" si="1"/>
        <v>3.8900925743549343E-2</v>
      </c>
    </row>
    <row r="28" spans="1:4" x14ac:dyDescent="0.2">
      <c r="A28" s="14">
        <v>34243</v>
      </c>
      <c r="B28" s="18">
        <f>VLOOKUP(A28,Database!A:Q,MATCH($A$1,Database!$A$1:$Q$1,),)</f>
        <v>10449</v>
      </c>
      <c r="C28" s="15">
        <f t="shared" si="0"/>
        <v>-9.4795715233671439E-3</v>
      </c>
      <c r="D28" s="16">
        <f t="shared" si="1"/>
        <v>2.7029683506978572E-2</v>
      </c>
    </row>
    <row r="29" spans="1:4" x14ac:dyDescent="0.2">
      <c r="A29" s="13">
        <v>34274</v>
      </c>
      <c r="B29" s="18">
        <f>VLOOKUP(A29,Database!A:Q,MATCH($A$1,Database!$A$1:$Q$1,),)</f>
        <v>10475</v>
      </c>
      <c r="C29" s="15">
        <f t="shared" si="0"/>
        <v>2.4882763900851757E-3</v>
      </c>
      <c r="D29" s="16">
        <f t="shared" si="1"/>
        <v>3.9599047240968639E-2</v>
      </c>
    </row>
    <row r="30" spans="1:4" x14ac:dyDescent="0.2">
      <c r="A30" s="14">
        <v>34304</v>
      </c>
      <c r="B30" s="18">
        <f>VLOOKUP(A30,Database!A:Q,MATCH($A$1,Database!$A$1:$Q$1,),)</f>
        <v>10442</v>
      </c>
      <c r="C30" s="15">
        <f t="shared" si="0"/>
        <v>-3.1503579952267304E-3</v>
      </c>
      <c r="D30" s="16">
        <f t="shared" si="1"/>
        <v>1.2017832913355302E-2</v>
      </c>
    </row>
    <row r="31" spans="1:4" x14ac:dyDescent="0.2">
      <c r="A31" s="13">
        <v>34335</v>
      </c>
      <c r="B31" s="18">
        <f>VLOOKUP(A31,Database!A:Q,MATCH($A$1,Database!$A$1:$Q$1,),)</f>
        <v>10450</v>
      </c>
      <c r="C31" s="15">
        <f t="shared" si="0"/>
        <v>7.6613675541084081E-4</v>
      </c>
      <c r="D31" s="16">
        <f t="shared" si="1"/>
        <v>-1.2380682355164919E-2</v>
      </c>
    </row>
    <row r="32" spans="1:4" x14ac:dyDescent="0.2">
      <c r="A32" s="14">
        <v>34366</v>
      </c>
      <c r="B32" s="18">
        <f>VLOOKUP(A32,Database!A:Q,MATCH($A$1,Database!$A$1:$Q$1,),)</f>
        <v>10587</v>
      </c>
      <c r="C32" s="15">
        <f t="shared" si="0"/>
        <v>1.3110047846889952E-2</v>
      </c>
      <c r="D32" s="16">
        <f t="shared" si="1"/>
        <v>4.3054187192118225E-2</v>
      </c>
    </row>
    <row r="33" spans="1:4" x14ac:dyDescent="0.2">
      <c r="A33" s="13">
        <v>34394</v>
      </c>
      <c r="B33" s="18">
        <f>VLOOKUP(A33,Database!A:Q,MATCH($A$1,Database!$A$1:$Q$1,),)</f>
        <v>10806</v>
      </c>
      <c r="C33" s="15">
        <f t="shared" si="0"/>
        <v>2.0685746670444885E-2</v>
      </c>
      <c r="D33" s="16">
        <f t="shared" si="1"/>
        <v>8.9753933037515124E-2</v>
      </c>
    </row>
    <row r="34" spans="1:4" x14ac:dyDescent="0.2">
      <c r="A34" s="14">
        <v>34425</v>
      </c>
      <c r="B34" s="18">
        <f>VLOOKUP(A34,Database!A:Q,MATCH($A$1,Database!$A$1:$Q$1,),)</f>
        <v>10554</v>
      </c>
      <c r="C34" s="15">
        <f t="shared" si="0"/>
        <v>-2.3320377568017768E-2</v>
      </c>
      <c r="D34" s="16">
        <f t="shared" si="1"/>
        <v>2.895583503948523E-2</v>
      </c>
    </row>
    <row r="35" spans="1:4" x14ac:dyDescent="0.2">
      <c r="A35" s="13">
        <v>34455</v>
      </c>
      <c r="B35" s="18">
        <f>VLOOKUP(A35,Database!A:Q,MATCH($A$1,Database!$A$1:$Q$1,),)</f>
        <v>10451</v>
      </c>
      <c r="C35" s="15">
        <f t="shared" si="0"/>
        <v>-9.7593329543301122E-3</v>
      </c>
      <c r="D35" s="16">
        <f t="shared" si="1"/>
        <v>6.25842480261891E-3</v>
      </c>
    </row>
    <row r="36" spans="1:4" x14ac:dyDescent="0.2">
      <c r="A36" s="14">
        <v>34486</v>
      </c>
      <c r="B36" s="18">
        <f>VLOOKUP(A36,Database!A:Q,MATCH($A$1,Database!$A$1:$Q$1,),)</f>
        <v>10612</v>
      </c>
      <c r="C36" s="15">
        <f t="shared" si="0"/>
        <v>1.5405224380442064E-2</v>
      </c>
      <c r="D36" s="16">
        <f t="shared" si="1"/>
        <v>1.9306502737489194E-2</v>
      </c>
    </row>
    <row r="37" spans="1:4" x14ac:dyDescent="0.2">
      <c r="A37" s="13">
        <v>34516</v>
      </c>
      <c r="B37" s="18">
        <f>VLOOKUP(A37,Database!A:Q,MATCH($A$1,Database!$A$1:$Q$1,),)</f>
        <v>10672</v>
      </c>
      <c r="C37" s="15">
        <f t="shared" si="0"/>
        <v>5.6539766302299288E-3</v>
      </c>
      <c r="D37" s="16">
        <f t="shared" si="1"/>
        <v>7.4577551213065229E-3</v>
      </c>
    </row>
    <row r="38" spans="1:4" x14ac:dyDescent="0.2">
      <c r="A38" s="14">
        <v>34547</v>
      </c>
      <c r="B38" s="18">
        <f>VLOOKUP(A38,Database!A:Q,MATCH($A$1,Database!$A$1:$Q$1,),)</f>
        <v>10839</v>
      </c>
      <c r="C38" s="15">
        <f t="shared" si="0"/>
        <v>1.5648425787106447E-2</v>
      </c>
      <c r="D38" s="16">
        <f t="shared" si="1"/>
        <v>4.1610609263886218E-2</v>
      </c>
    </row>
    <row r="39" spans="1:4" x14ac:dyDescent="0.2">
      <c r="A39" s="13">
        <v>34578</v>
      </c>
      <c r="B39" s="18">
        <f>VLOOKUP(A39,Database!A:Q,MATCH($A$1,Database!$A$1:$Q$1,),)</f>
        <v>10674</v>
      </c>
      <c r="C39" s="15">
        <f t="shared" si="0"/>
        <v>-1.5222806531967894E-2</v>
      </c>
      <c r="D39" s="16">
        <f t="shared" si="1"/>
        <v>1.1849464404208929E-2</v>
      </c>
    </row>
    <row r="40" spans="1:4" x14ac:dyDescent="0.2">
      <c r="A40" s="14">
        <v>34608</v>
      </c>
      <c r="B40" s="18">
        <f>VLOOKUP(A40,Database!A:Q,MATCH($A$1,Database!$A$1:$Q$1,),)</f>
        <v>11000</v>
      </c>
      <c r="C40" s="15">
        <f t="shared" si="0"/>
        <v>3.0541502716882142E-2</v>
      </c>
      <c r="D40" s="16">
        <f t="shared" si="1"/>
        <v>5.2732318882189683E-2</v>
      </c>
    </row>
    <row r="41" spans="1:4" x14ac:dyDescent="0.2">
      <c r="A41" s="13">
        <v>34639</v>
      </c>
      <c r="B41" s="18">
        <f>VLOOKUP(A41,Database!A:Q,MATCH($A$1,Database!$A$1:$Q$1,),)</f>
        <v>10983</v>
      </c>
      <c r="C41" s="15">
        <f t="shared" si="0"/>
        <v>-1.5454545454545454E-3</v>
      </c>
      <c r="D41" s="16">
        <f t="shared" si="1"/>
        <v>4.8496420047732698E-2</v>
      </c>
    </row>
    <row r="42" spans="1:4" x14ac:dyDescent="0.2">
      <c r="A42" s="14">
        <v>34669</v>
      </c>
      <c r="B42" s="18">
        <f>VLOOKUP(A42,Database!A:Q,MATCH($A$1,Database!$A$1:$Q$1,),)</f>
        <v>10952</v>
      </c>
      <c r="C42" s="15">
        <f t="shared" si="0"/>
        <v>-2.8225439315305474E-3</v>
      </c>
      <c r="D42" s="16">
        <f t="shared" si="1"/>
        <v>4.8841218157441101E-2</v>
      </c>
    </row>
    <row r="43" spans="1:4" x14ac:dyDescent="0.2">
      <c r="A43" s="13">
        <v>34700</v>
      </c>
      <c r="B43" s="18">
        <f>VLOOKUP(A43,Database!A:Q,MATCH($A$1,Database!$A$1:$Q$1,),)</f>
        <v>10939</v>
      </c>
      <c r="C43" s="15">
        <f t="shared" si="0"/>
        <v>-1.1869978086194303E-3</v>
      </c>
      <c r="D43" s="16">
        <f t="shared" si="1"/>
        <v>4.6794258373205742E-2</v>
      </c>
    </row>
    <row r="44" spans="1:4" x14ac:dyDescent="0.2">
      <c r="A44" s="14">
        <v>34731</v>
      </c>
      <c r="B44" s="18">
        <f>VLOOKUP(A44,Database!A:Q,MATCH($A$1,Database!$A$1:$Q$1,),)</f>
        <v>10582</v>
      </c>
      <c r="C44" s="15">
        <f t="shared" si="0"/>
        <v>-3.2635524270957124E-2</v>
      </c>
      <c r="D44" s="16">
        <f t="shared" si="1"/>
        <v>-4.7227732124303391E-4</v>
      </c>
    </row>
    <row r="45" spans="1:4" x14ac:dyDescent="0.2">
      <c r="A45" s="13">
        <v>34759</v>
      </c>
      <c r="B45" s="18">
        <f>VLOOKUP(A45,Database!A:Q,MATCH($A$1,Database!$A$1:$Q$1,),)</f>
        <v>10850</v>
      </c>
      <c r="C45" s="15">
        <f t="shared" si="0"/>
        <v>2.5326025326025327E-2</v>
      </c>
      <c r="D45" s="16">
        <f t="shared" si="1"/>
        <v>4.0718119563205625E-3</v>
      </c>
    </row>
    <row r="46" spans="1:4" x14ac:dyDescent="0.2">
      <c r="A46" s="14">
        <v>34790</v>
      </c>
      <c r="B46" s="18">
        <f>VLOOKUP(A46,Database!A:Q,MATCH($A$1,Database!$A$1:$Q$1,),)</f>
        <v>10796</v>
      </c>
      <c r="C46" s="15">
        <f t="shared" si="0"/>
        <v>-4.9769585253456221E-3</v>
      </c>
      <c r="D46" s="16">
        <f t="shared" si="1"/>
        <v>2.2929694902406671E-2</v>
      </c>
    </row>
    <row r="47" spans="1:4" x14ac:dyDescent="0.2">
      <c r="A47" s="13">
        <v>34820</v>
      </c>
      <c r="B47" s="18">
        <f>VLOOKUP(A47,Database!A:Q,MATCH($A$1,Database!$A$1:$Q$1,),)</f>
        <v>10976</v>
      </c>
      <c r="C47" s="15">
        <f t="shared" si="0"/>
        <v>1.6672841793256763E-2</v>
      </c>
      <c r="D47" s="16">
        <f t="shared" si="1"/>
        <v>5.0234427327528468E-2</v>
      </c>
    </row>
    <row r="48" spans="1:4" x14ac:dyDescent="0.2">
      <c r="A48" s="14">
        <v>34851</v>
      </c>
      <c r="B48" s="18">
        <f>VLOOKUP(A48,Database!A:Q,MATCH($A$1,Database!$A$1:$Q$1,),)</f>
        <v>10948</v>
      </c>
      <c r="C48" s="15">
        <f t="shared" si="0"/>
        <v>-2.5510204081632651E-3</v>
      </c>
      <c r="D48" s="16">
        <f t="shared" si="1"/>
        <v>3.1662269129287601E-2</v>
      </c>
    </row>
    <row r="49" spans="1:4" x14ac:dyDescent="0.2">
      <c r="A49" s="13">
        <v>34881</v>
      </c>
      <c r="B49" s="18">
        <f>VLOOKUP(A49,Database!A:Q,MATCH($A$1,Database!$A$1:$Q$1,),)</f>
        <v>10824</v>
      </c>
      <c r="C49" s="15">
        <f t="shared" si="0"/>
        <v>-1.13262696382901E-2</v>
      </c>
      <c r="D49" s="16">
        <f t="shared" si="1"/>
        <v>1.424287856071964E-2</v>
      </c>
    </row>
    <row r="50" spans="1:4" x14ac:dyDescent="0.2">
      <c r="A50" s="14">
        <v>34912</v>
      </c>
      <c r="B50" s="18">
        <f>VLOOKUP(A50,Database!A:Q,MATCH($A$1,Database!$A$1:$Q$1,),)</f>
        <v>10813</v>
      </c>
      <c r="C50" s="15">
        <f t="shared" si="0"/>
        <v>-1.0162601626016261E-3</v>
      </c>
      <c r="D50" s="16">
        <f t="shared" si="1"/>
        <v>-2.3987452717040315E-3</v>
      </c>
    </row>
    <row r="51" spans="1:4" x14ac:dyDescent="0.2">
      <c r="A51" s="13">
        <v>34943</v>
      </c>
      <c r="B51" s="18">
        <f>VLOOKUP(A51,Database!A:Q,MATCH($A$1,Database!$A$1:$Q$1,),)</f>
        <v>11198</v>
      </c>
      <c r="C51" s="15">
        <f t="shared" si="0"/>
        <v>3.5605289928789419E-2</v>
      </c>
      <c r="D51" s="16">
        <f t="shared" si="1"/>
        <v>4.9091249765786021E-2</v>
      </c>
    </row>
    <row r="52" spans="1:4" x14ac:dyDescent="0.2">
      <c r="A52" s="14">
        <v>34973</v>
      </c>
      <c r="B52" s="18">
        <f>VLOOKUP(A52,Database!A:Q,MATCH($A$1,Database!$A$1:$Q$1,),)</f>
        <v>10882</v>
      </c>
      <c r="C52" s="15">
        <f t="shared" si="0"/>
        <v>-2.8219324879442759E-2</v>
      </c>
      <c r="D52" s="16">
        <f t="shared" si="1"/>
        <v>-1.0727272727272728E-2</v>
      </c>
    </row>
    <row r="53" spans="1:4" x14ac:dyDescent="0.2">
      <c r="A53" s="13">
        <v>35004</v>
      </c>
      <c r="B53" s="18">
        <f>VLOOKUP(A53,Database!A:Q,MATCH($A$1,Database!$A$1:$Q$1,),)</f>
        <v>11269</v>
      </c>
      <c r="C53" s="15">
        <f t="shared" si="0"/>
        <v>3.5563315566991362E-2</v>
      </c>
      <c r="D53" s="16">
        <f t="shared" si="1"/>
        <v>2.6040244013475371E-2</v>
      </c>
    </row>
    <row r="54" spans="1:4" x14ac:dyDescent="0.2">
      <c r="A54" s="14">
        <v>35034</v>
      </c>
      <c r="B54" s="18">
        <f>VLOOKUP(A54,Database!A:Q,MATCH($A$1,Database!$A$1:$Q$1,),)</f>
        <v>11124</v>
      </c>
      <c r="C54" s="15">
        <f t="shared" si="0"/>
        <v>-1.2867157689235957E-2</v>
      </c>
      <c r="D54" s="16">
        <f t="shared" si="1"/>
        <v>1.5704894083272462E-2</v>
      </c>
    </row>
    <row r="55" spans="1:4" x14ac:dyDescent="0.2">
      <c r="A55" s="13">
        <v>35065</v>
      </c>
      <c r="B55" s="18">
        <f>VLOOKUP(A55,Database!A:Q,MATCH($A$1,Database!$A$1:$Q$1,),)</f>
        <v>11105</v>
      </c>
      <c r="C55" s="15">
        <f t="shared" si="0"/>
        <v>-1.7080186983099604E-3</v>
      </c>
      <c r="D55" s="16">
        <f t="shared" si="1"/>
        <v>1.5175061705823202E-2</v>
      </c>
    </row>
    <row r="56" spans="1:4" x14ac:dyDescent="0.2">
      <c r="A56" s="14">
        <v>35096</v>
      </c>
      <c r="B56" s="18">
        <f>VLOOKUP(A56,Database!A:Q,MATCH($A$1,Database!$A$1:$Q$1,),)</f>
        <v>11341</v>
      </c>
      <c r="C56" s="15">
        <f t="shared" si="0"/>
        <v>2.125168842863575E-2</v>
      </c>
      <c r="D56" s="16">
        <f t="shared" si="1"/>
        <v>7.172557172557173E-2</v>
      </c>
    </row>
    <row r="57" spans="1:4" x14ac:dyDescent="0.2">
      <c r="A57" s="13">
        <v>35125</v>
      </c>
      <c r="B57" s="18">
        <f>VLOOKUP(A57,Database!A:Q,MATCH($A$1,Database!$A$1:$Q$1,),)</f>
        <v>11376</v>
      </c>
      <c r="C57" s="15">
        <f t="shared" si="0"/>
        <v>3.0861476060312144E-3</v>
      </c>
      <c r="D57" s="16">
        <f t="shared" si="1"/>
        <v>4.8479262672811059E-2</v>
      </c>
    </row>
    <row r="58" spans="1:4" x14ac:dyDescent="0.2">
      <c r="A58" s="14">
        <v>35156</v>
      </c>
      <c r="B58" s="18">
        <f>VLOOKUP(A58,Database!A:Q,MATCH($A$1,Database!$A$1:$Q$1,),)</f>
        <v>11422</v>
      </c>
      <c r="C58" s="15">
        <f t="shared" si="0"/>
        <v>4.0436005625879047E-3</v>
      </c>
      <c r="D58" s="16">
        <f t="shared" si="1"/>
        <v>5.7984438680992963E-2</v>
      </c>
    </row>
    <row r="59" spans="1:4" x14ac:dyDescent="0.2">
      <c r="A59" s="13">
        <v>35186</v>
      </c>
      <c r="B59" s="18">
        <f>VLOOKUP(A59,Database!A:Q,MATCH($A$1,Database!$A$1:$Q$1,),)</f>
        <v>11504</v>
      </c>
      <c r="C59" s="15">
        <f t="shared" si="0"/>
        <v>7.1791279985991942E-3</v>
      </c>
      <c r="D59" s="16">
        <f t="shared" si="1"/>
        <v>4.8104956268221574E-2</v>
      </c>
    </row>
    <row r="60" spans="1:4" x14ac:dyDescent="0.2">
      <c r="A60" s="14">
        <v>35217</v>
      </c>
      <c r="B60" s="18">
        <f>VLOOKUP(A60,Database!A:Q,MATCH($A$1,Database!$A$1:$Q$1,),)</f>
        <v>11365</v>
      </c>
      <c r="C60" s="15">
        <f t="shared" si="0"/>
        <v>-1.2082753824756607E-2</v>
      </c>
      <c r="D60" s="16">
        <f t="shared" si="1"/>
        <v>3.8089148702959444E-2</v>
      </c>
    </row>
    <row r="61" spans="1:4" x14ac:dyDescent="0.2">
      <c r="A61" s="13">
        <v>35247</v>
      </c>
      <c r="B61" s="18">
        <f>VLOOKUP(A61,Database!A:Q,MATCH($A$1,Database!$A$1:$Q$1,),)</f>
        <v>11316</v>
      </c>
      <c r="C61" s="15">
        <f t="shared" si="0"/>
        <v>-4.3114826220853495E-3</v>
      </c>
      <c r="D61" s="16">
        <f t="shared" si="1"/>
        <v>4.5454545454545456E-2</v>
      </c>
    </row>
    <row r="62" spans="1:4" x14ac:dyDescent="0.2">
      <c r="A62" s="14">
        <v>35278</v>
      </c>
      <c r="B62" s="18">
        <f>VLOOKUP(A62,Database!A:Q,MATCH($A$1,Database!$A$1:$Q$1,),)</f>
        <v>11360</v>
      </c>
      <c r="C62" s="15">
        <f t="shared" si="0"/>
        <v>3.888299752562743E-3</v>
      </c>
      <c r="D62" s="16">
        <f t="shared" si="1"/>
        <v>5.0587256080643669E-2</v>
      </c>
    </row>
    <row r="63" spans="1:4" x14ac:dyDescent="0.2">
      <c r="A63" s="13">
        <v>35309</v>
      </c>
      <c r="B63" s="18">
        <f>VLOOKUP(A63,Database!A:Q,MATCH($A$1,Database!$A$1:$Q$1,),)</f>
        <v>11534</v>
      </c>
      <c r="C63" s="15">
        <f t="shared" si="0"/>
        <v>1.5316901408450705E-2</v>
      </c>
      <c r="D63" s="16">
        <f t="shared" si="1"/>
        <v>3.0005358099660654E-2</v>
      </c>
    </row>
    <row r="64" spans="1:4" x14ac:dyDescent="0.2">
      <c r="A64" s="14">
        <v>35339</v>
      </c>
      <c r="B64" s="18">
        <f>VLOOKUP(A64,Database!A:Q,MATCH($A$1,Database!$A$1:$Q$1,),)</f>
        <v>11577</v>
      </c>
      <c r="C64" s="15">
        <f t="shared" si="0"/>
        <v>3.7281082018380441E-3</v>
      </c>
      <c r="D64" s="16">
        <f t="shared" si="1"/>
        <v>6.3866936224958648E-2</v>
      </c>
    </row>
    <row r="65" spans="1:4" x14ac:dyDescent="0.2">
      <c r="A65" s="13">
        <v>35370</v>
      </c>
      <c r="B65" s="18">
        <f>VLOOKUP(A65,Database!A:Q,MATCH($A$1,Database!$A$1:$Q$1,),)</f>
        <v>11318</v>
      </c>
      <c r="C65" s="15">
        <f t="shared" si="0"/>
        <v>-2.2371944372462642E-2</v>
      </c>
      <c r="D65" s="16">
        <f t="shared" si="1"/>
        <v>4.3482119087762889E-3</v>
      </c>
    </row>
    <row r="66" spans="1:4" x14ac:dyDescent="0.2">
      <c r="A66" s="14">
        <v>35400</v>
      </c>
      <c r="B66" s="18">
        <f>VLOOKUP(A66,Database!A:Q,MATCH($A$1,Database!$A$1:$Q$1,),)</f>
        <v>11435</v>
      </c>
      <c r="C66" s="15">
        <f t="shared" si="0"/>
        <v>1.0337515462095777E-2</v>
      </c>
      <c r="D66" s="16">
        <f t="shared" si="1"/>
        <v>2.7957569219705141E-2</v>
      </c>
    </row>
    <row r="67" spans="1:4" x14ac:dyDescent="0.2">
      <c r="A67" s="13">
        <v>35431</v>
      </c>
      <c r="B67" s="18">
        <f>VLOOKUP(A67,Database!A:Q,MATCH($A$1,Database!$A$1:$Q$1,),)</f>
        <v>11513</v>
      </c>
      <c r="C67" s="15">
        <f t="shared" si="0"/>
        <v>6.8211630957586361E-3</v>
      </c>
      <c r="D67" s="16">
        <f t="shared" si="1"/>
        <v>3.6740207113912654E-2</v>
      </c>
    </row>
    <row r="68" spans="1:4" x14ac:dyDescent="0.2">
      <c r="A68" s="14">
        <v>35462</v>
      </c>
      <c r="B68" s="18">
        <f>VLOOKUP(A68,Database!A:Q,MATCH($A$1,Database!$A$1:$Q$1,),)</f>
        <v>11468</v>
      </c>
      <c r="C68" s="15">
        <f t="shared" si="0"/>
        <v>-3.9086250325718755E-3</v>
      </c>
      <c r="D68" s="16">
        <f t="shared" si="1"/>
        <v>1.1198307027598978E-2</v>
      </c>
    </row>
    <row r="69" spans="1:4" x14ac:dyDescent="0.2">
      <c r="A69" s="13">
        <v>35490</v>
      </c>
      <c r="B69" s="18">
        <f>VLOOKUP(A69,Database!A:Q,MATCH($A$1,Database!$A$1:$Q$1,),)</f>
        <v>11623</v>
      </c>
      <c r="C69" s="15">
        <f t="shared" si="0"/>
        <v>1.3515870247645622E-2</v>
      </c>
      <c r="D69" s="16">
        <f t="shared" si="1"/>
        <v>2.1712376933895921E-2</v>
      </c>
    </row>
    <row r="70" spans="1:4" x14ac:dyDescent="0.2">
      <c r="A70" s="14">
        <v>35521</v>
      </c>
      <c r="B70" s="18">
        <f>VLOOKUP(A70,Database!A:Q,MATCH($A$1,Database!$A$1:$Q$1,),)</f>
        <v>11195</v>
      </c>
      <c r="C70" s="15">
        <f t="shared" si="0"/>
        <v>-3.6823539533683211E-2</v>
      </c>
      <c r="D70" s="16">
        <f t="shared" si="1"/>
        <v>-1.9873927508317284E-2</v>
      </c>
    </row>
    <row r="71" spans="1:4" x14ac:dyDescent="0.2">
      <c r="A71" s="13">
        <v>35551</v>
      </c>
      <c r="B71" s="18">
        <f>VLOOKUP(A71,Database!A:Q,MATCH($A$1,Database!$A$1:$Q$1,),)</f>
        <v>11413</v>
      </c>
      <c r="C71" s="15">
        <f t="shared" si="0"/>
        <v>1.9472979008485932E-2</v>
      </c>
      <c r="D71" s="16">
        <f t="shared" si="1"/>
        <v>-7.9102920723226697E-3</v>
      </c>
    </row>
    <row r="72" spans="1:4" x14ac:dyDescent="0.2">
      <c r="A72" s="14">
        <v>35582</v>
      </c>
      <c r="B72" s="18">
        <f>VLOOKUP(A72,Database!A:Q,MATCH($A$1,Database!$A$1:$Q$1,),)</f>
        <v>11643</v>
      </c>
      <c r="C72" s="15">
        <f t="shared" si="0"/>
        <v>2.015245772364847E-2</v>
      </c>
      <c r="D72" s="16">
        <f t="shared" si="1"/>
        <v>2.4461064672239331E-2</v>
      </c>
    </row>
    <row r="73" spans="1:4" x14ac:dyDescent="0.2">
      <c r="A73" s="13">
        <v>35612</v>
      </c>
      <c r="B73" s="18">
        <f>VLOOKUP(A73,Database!A:Q,MATCH($A$1,Database!$A$1:$Q$1,),)</f>
        <v>11735</v>
      </c>
      <c r="C73" s="15">
        <f t="shared" ref="C73:C136" si="2">(B73-B72)/B72</f>
        <v>7.9017435368891175E-3</v>
      </c>
      <c r="D73" s="16">
        <f t="shared" si="1"/>
        <v>3.7027218098267936E-2</v>
      </c>
    </row>
    <row r="74" spans="1:4" x14ac:dyDescent="0.2">
      <c r="A74" s="14">
        <v>35643</v>
      </c>
      <c r="B74" s="18">
        <f>VLOOKUP(A74,Database!A:Q,MATCH($A$1,Database!$A$1:$Q$1,),)</f>
        <v>11828</v>
      </c>
      <c r="C74" s="15">
        <f t="shared" si="2"/>
        <v>7.9250106518960368E-3</v>
      </c>
      <c r="D74" s="16">
        <f t="shared" si="1"/>
        <v>4.119718309859155E-2</v>
      </c>
    </row>
    <row r="75" spans="1:4" x14ac:dyDescent="0.2">
      <c r="A75" s="13">
        <v>35674</v>
      </c>
      <c r="B75" s="18">
        <f>VLOOKUP(A75,Database!A:Q,MATCH($A$1,Database!$A$1:$Q$1,),)</f>
        <v>11845</v>
      </c>
      <c r="C75" s="15">
        <f t="shared" si="2"/>
        <v>1.4372675008454514E-3</v>
      </c>
      <c r="D75" s="16">
        <f t="shared" si="1"/>
        <v>2.6963759320270505E-2</v>
      </c>
    </row>
    <row r="76" spans="1:4" x14ac:dyDescent="0.2">
      <c r="A76" s="14">
        <v>35704</v>
      </c>
      <c r="B76" s="18">
        <f>VLOOKUP(A76,Database!A:Q,MATCH($A$1,Database!$A$1:$Q$1,),)</f>
        <v>11881</v>
      </c>
      <c r="C76" s="15">
        <f t="shared" si="2"/>
        <v>3.0392570704938795E-3</v>
      </c>
      <c r="D76" s="16">
        <f t="shared" si="1"/>
        <v>2.6258961734473524E-2</v>
      </c>
    </row>
    <row r="77" spans="1:4" x14ac:dyDescent="0.2">
      <c r="A77" s="13">
        <v>35735</v>
      </c>
      <c r="B77" s="18">
        <f>VLOOKUP(A77,Database!A:Q,MATCH($A$1,Database!$A$1:$Q$1,),)</f>
        <v>11936</v>
      </c>
      <c r="C77" s="15">
        <f t="shared" si="2"/>
        <v>4.6292399629660804E-3</v>
      </c>
      <c r="D77" s="16">
        <f t="shared" si="1"/>
        <v>5.4603286799787945E-2</v>
      </c>
    </row>
    <row r="78" spans="1:4" x14ac:dyDescent="0.2">
      <c r="A78" s="14">
        <v>35765</v>
      </c>
      <c r="B78" s="18">
        <f>VLOOKUP(A78,Database!A:Q,MATCH($A$1,Database!$A$1:$Q$1,),)</f>
        <v>12110</v>
      </c>
      <c r="C78" s="15">
        <f t="shared" si="2"/>
        <v>1.4577747989276139E-2</v>
      </c>
      <c r="D78" s="16">
        <f t="shared" si="1"/>
        <v>5.9029296020988192E-2</v>
      </c>
    </row>
    <row r="79" spans="1:4" x14ac:dyDescent="0.2">
      <c r="A79" s="13">
        <v>35796</v>
      </c>
      <c r="B79" s="18">
        <f>VLOOKUP(A79,Database!A:Q,MATCH($A$1,Database!$A$1:$Q$1,),)</f>
        <v>12154</v>
      </c>
      <c r="C79" s="15">
        <f t="shared" si="2"/>
        <v>3.633360858794385E-3</v>
      </c>
      <c r="D79" s="16">
        <f t="shared" si="1"/>
        <v>5.5676192130634933E-2</v>
      </c>
    </row>
    <row r="80" spans="1:4" x14ac:dyDescent="0.2">
      <c r="A80" s="14">
        <v>35827</v>
      </c>
      <c r="B80" s="18">
        <f>VLOOKUP(A80,Database!A:Q,MATCH($A$1,Database!$A$1:$Q$1,),)</f>
        <v>12199</v>
      </c>
      <c r="C80" s="15">
        <f t="shared" si="2"/>
        <v>3.7024847786736878E-3</v>
      </c>
      <c r="D80" s="16">
        <f t="shared" si="1"/>
        <v>6.3742588071154516E-2</v>
      </c>
    </row>
    <row r="81" spans="1:4" x14ac:dyDescent="0.2">
      <c r="A81" s="13">
        <v>35855</v>
      </c>
      <c r="B81" s="18">
        <f>VLOOKUP(A81,Database!A:Q,MATCH($A$1,Database!$A$1:$Q$1,),)</f>
        <v>12164</v>
      </c>
      <c r="C81" s="15">
        <f t="shared" si="2"/>
        <v>-2.8690876301336174E-3</v>
      </c>
      <c r="D81" s="16">
        <f t="shared" si="1"/>
        <v>4.6545642261034158E-2</v>
      </c>
    </row>
    <row r="82" spans="1:4" x14ac:dyDescent="0.2">
      <c r="A82" s="14">
        <v>35886</v>
      </c>
      <c r="B82" s="18">
        <f>VLOOKUP(A82,Database!A:Q,MATCH($A$1,Database!$A$1:$Q$1,),)</f>
        <v>12459</v>
      </c>
      <c r="C82" s="15">
        <f t="shared" si="2"/>
        <v>2.4251890825386386E-2</v>
      </c>
      <c r="D82" s="16">
        <f t="shared" si="1"/>
        <v>0.11290754801250558</v>
      </c>
    </row>
    <row r="83" spans="1:4" x14ac:dyDescent="0.2">
      <c r="A83" s="13">
        <v>35916</v>
      </c>
      <c r="B83" s="18">
        <f>VLOOKUP(A83,Database!A:Q,MATCH($A$1,Database!$A$1:$Q$1,),)</f>
        <v>12304</v>
      </c>
      <c r="C83" s="15">
        <f t="shared" si="2"/>
        <v>-1.2440805843165583E-2</v>
      </c>
      <c r="D83" s="16">
        <f t="shared" si="1"/>
        <v>7.806886883378604E-2</v>
      </c>
    </row>
    <row r="84" spans="1:4" x14ac:dyDescent="0.2">
      <c r="A84" s="14">
        <v>35947</v>
      </c>
      <c r="B84" s="18">
        <f>VLOOKUP(A84,Database!A:Q,MATCH($A$1,Database!$A$1:$Q$1,),)</f>
        <v>12447</v>
      </c>
      <c r="C84" s="15">
        <f t="shared" si="2"/>
        <v>1.1622236671001301E-2</v>
      </c>
      <c r="D84" s="16">
        <f t="shared" ref="D84:D147" si="3">(B84-B72)/B72</f>
        <v>6.9054367431074459E-2</v>
      </c>
    </row>
    <row r="85" spans="1:4" x14ac:dyDescent="0.2">
      <c r="A85" s="13">
        <v>35977</v>
      </c>
      <c r="B85" s="18">
        <f>VLOOKUP(A85,Database!A:Q,MATCH($A$1,Database!$A$1:$Q$1,),)</f>
        <v>12559</v>
      </c>
      <c r="C85" s="15">
        <f t="shared" si="2"/>
        <v>8.9981521651803648E-3</v>
      </c>
      <c r="D85" s="16">
        <f t="shared" si="3"/>
        <v>7.0217298679164888E-2</v>
      </c>
    </row>
    <row r="86" spans="1:4" x14ac:dyDescent="0.2">
      <c r="A86" s="14">
        <v>36008</v>
      </c>
      <c r="B86" s="18">
        <f>VLOOKUP(A86,Database!A:Q,MATCH($A$1,Database!$A$1:$Q$1,),)</f>
        <v>12460</v>
      </c>
      <c r="C86" s="15">
        <f t="shared" si="2"/>
        <v>-7.8827932160203829E-3</v>
      </c>
      <c r="D86" s="16">
        <f t="shared" si="3"/>
        <v>5.3432532972607374E-2</v>
      </c>
    </row>
    <row r="87" spans="1:4" x14ac:dyDescent="0.2">
      <c r="A87" s="13">
        <v>36039</v>
      </c>
      <c r="B87" s="18">
        <f>VLOOKUP(A87,Database!A:Q,MATCH($A$1,Database!$A$1:$Q$1,),)</f>
        <v>12180</v>
      </c>
      <c r="C87" s="15">
        <f t="shared" si="2"/>
        <v>-2.247191011235955E-2</v>
      </c>
      <c r="D87" s="16">
        <f t="shared" si="3"/>
        <v>2.8281975517095822E-2</v>
      </c>
    </row>
    <row r="88" spans="1:4" x14ac:dyDescent="0.2">
      <c r="A88" s="14">
        <v>36069</v>
      </c>
      <c r="B88" s="18">
        <f>VLOOKUP(A88,Database!A:Q,MATCH($A$1,Database!$A$1:$Q$1,),)</f>
        <v>12540</v>
      </c>
      <c r="C88" s="15">
        <f t="shared" si="2"/>
        <v>2.9556650246305417E-2</v>
      </c>
      <c r="D88" s="16">
        <f t="shared" si="3"/>
        <v>5.5466711556266306E-2</v>
      </c>
    </row>
    <row r="89" spans="1:4" x14ac:dyDescent="0.2">
      <c r="A89" s="13">
        <v>36100</v>
      </c>
      <c r="B89" s="18">
        <f>VLOOKUP(A89,Database!A:Q,MATCH($A$1,Database!$A$1:$Q$1,),)</f>
        <v>12736</v>
      </c>
      <c r="C89" s="15">
        <f t="shared" si="2"/>
        <v>1.5629984051036681E-2</v>
      </c>
      <c r="D89" s="16">
        <f t="shared" si="3"/>
        <v>6.7024128686327081E-2</v>
      </c>
    </row>
    <row r="90" spans="1:4" x14ac:dyDescent="0.2">
      <c r="A90" s="14">
        <v>36130</v>
      </c>
      <c r="B90" s="18">
        <f>VLOOKUP(A90,Database!A:Q,MATCH($A$1,Database!$A$1:$Q$1,),)</f>
        <v>12746</v>
      </c>
      <c r="C90" s="15">
        <f t="shared" si="2"/>
        <v>7.8517587939698496E-4</v>
      </c>
      <c r="D90" s="16">
        <f t="shared" si="3"/>
        <v>5.2518579686209745E-2</v>
      </c>
    </row>
    <row r="91" spans="1:4" x14ac:dyDescent="0.2">
      <c r="A91" s="13">
        <v>36161</v>
      </c>
      <c r="B91" s="18">
        <f>VLOOKUP(A91,Database!A:Q,MATCH($A$1,Database!$A$1:$Q$1,),)</f>
        <v>12897</v>
      </c>
      <c r="C91" s="15">
        <f t="shared" si="2"/>
        <v>1.1846853914953711E-2</v>
      </c>
      <c r="D91" s="16">
        <f t="shared" si="3"/>
        <v>6.1132137567878886E-2</v>
      </c>
    </row>
    <row r="92" spans="1:4" x14ac:dyDescent="0.2">
      <c r="A92" s="14">
        <v>36192</v>
      </c>
      <c r="B92" s="18">
        <f>VLOOKUP(A92,Database!A:Q,MATCH($A$1,Database!$A$1:$Q$1,),)</f>
        <v>12920</v>
      </c>
      <c r="C92" s="15">
        <f t="shared" si="2"/>
        <v>1.7833604714274638E-3</v>
      </c>
      <c r="D92" s="16">
        <f t="shared" si="3"/>
        <v>5.9103205180752523E-2</v>
      </c>
    </row>
    <row r="93" spans="1:4" x14ac:dyDescent="0.2">
      <c r="A93" s="13">
        <v>36220</v>
      </c>
      <c r="B93" s="18">
        <f>VLOOKUP(A93,Database!A:Q,MATCH($A$1,Database!$A$1:$Q$1,),)</f>
        <v>13075</v>
      </c>
      <c r="C93" s="15">
        <f t="shared" si="2"/>
        <v>1.1996904024767802E-2</v>
      </c>
      <c r="D93" s="16">
        <f t="shared" si="3"/>
        <v>7.4893127260769479E-2</v>
      </c>
    </row>
    <row r="94" spans="1:4" x14ac:dyDescent="0.2">
      <c r="A94" s="14">
        <v>36251</v>
      </c>
      <c r="B94" s="18">
        <f>VLOOKUP(A94,Database!A:Q,MATCH($A$1,Database!$A$1:$Q$1,),)</f>
        <v>13139</v>
      </c>
      <c r="C94" s="15">
        <f t="shared" si="2"/>
        <v>4.8948374760994263E-3</v>
      </c>
      <c r="D94" s="16">
        <f t="shared" si="3"/>
        <v>5.4579019182919977E-2</v>
      </c>
    </row>
    <row r="95" spans="1:4" x14ac:dyDescent="0.2">
      <c r="A95" s="13">
        <v>36281</v>
      </c>
      <c r="B95" s="18">
        <f>VLOOKUP(A95,Database!A:Q,MATCH($A$1,Database!$A$1:$Q$1,),)</f>
        <v>13373</v>
      </c>
      <c r="C95" s="15">
        <f t="shared" si="2"/>
        <v>1.7809574549052441E-2</v>
      </c>
      <c r="D95" s="16">
        <f t="shared" si="3"/>
        <v>8.6882314694408325E-2</v>
      </c>
    </row>
    <row r="96" spans="1:4" x14ac:dyDescent="0.2">
      <c r="A96" s="14">
        <v>36312</v>
      </c>
      <c r="B96" s="18">
        <f>VLOOKUP(A96,Database!A:Q,MATCH($A$1,Database!$A$1:$Q$1,),)</f>
        <v>13373</v>
      </c>
      <c r="C96" s="15">
        <f t="shared" si="2"/>
        <v>0</v>
      </c>
      <c r="D96" s="16">
        <f t="shared" si="3"/>
        <v>7.4395436651401942E-2</v>
      </c>
    </row>
    <row r="97" spans="1:4" x14ac:dyDescent="0.2">
      <c r="A97" s="13">
        <v>36342</v>
      </c>
      <c r="B97" s="18">
        <f>VLOOKUP(A97,Database!A:Q,MATCH($A$1,Database!$A$1:$Q$1,),)</f>
        <v>13270</v>
      </c>
      <c r="C97" s="15">
        <f t="shared" si="2"/>
        <v>-7.7020862932774999E-3</v>
      </c>
      <c r="D97" s="16">
        <f t="shared" si="3"/>
        <v>5.6612787642328209E-2</v>
      </c>
    </row>
    <row r="98" spans="1:4" x14ac:dyDescent="0.2">
      <c r="A98" s="14">
        <v>36373</v>
      </c>
      <c r="B98" s="18">
        <f>VLOOKUP(A98,Database!A:Q,MATCH($A$1,Database!$A$1:$Q$1,),)</f>
        <v>13404</v>
      </c>
      <c r="C98" s="15">
        <f t="shared" si="2"/>
        <v>1.0097965335342879E-2</v>
      </c>
      <c r="D98" s="16">
        <f t="shared" si="3"/>
        <v>7.5762439807383633E-2</v>
      </c>
    </row>
    <row r="99" spans="1:4" x14ac:dyDescent="0.2">
      <c r="A99" s="13">
        <v>36404</v>
      </c>
      <c r="B99" s="18">
        <f>VLOOKUP(A99,Database!A:Q,MATCH($A$1,Database!$A$1:$Q$1,),)</f>
        <v>13381</v>
      </c>
      <c r="C99" s="15">
        <f t="shared" si="2"/>
        <v>-1.7159056997911072E-3</v>
      </c>
      <c r="D99" s="16">
        <f t="shared" si="3"/>
        <v>9.8604269293924462E-2</v>
      </c>
    </row>
    <row r="100" spans="1:4" x14ac:dyDescent="0.2">
      <c r="A100" s="14">
        <v>36434</v>
      </c>
      <c r="B100" s="18">
        <f>VLOOKUP(A100,Database!A:Q,MATCH($A$1,Database!$A$1:$Q$1,),)</f>
        <v>13400</v>
      </c>
      <c r="C100" s="15">
        <f t="shared" si="2"/>
        <v>1.4199237725132652E-3</v>
      </c>
      <c r="D100" s="16">
        <f t="shared" si="3"/>
        <v>6.8580542264752797E-2</v>
      </c>
    </row>
    <row r="101" spans="1:4" x14ac:dyDescent="0.2">
      <c r="A101" s="13">
        <v>36465</v>
      </c>
      <c r="B101" s="18">
        <f>VLOOKUP(A101,Database!A:Q,MATCH($A$1,Database!$A$1:$Q$1,),)</f>
        <v>13416</v>
      </c>
      <c r="C101" s="15">
        <f t="shared" si="2"/>
        <v>1.1940298507462687E-3</v>
      </c>
      <c r="D101" s="16">
        <f t="shared" si="3"/>
        <v>5.3391959798994977E-2</v>
      </c>
    </row>
    <row r="102" spans="1:4" x14ac:dyDescent="0.2">
      <c r="A102" s="14">
        <v>36495</v>
      </c>
      <c r="B102" s="18">
        <f>VLOOKUP(A102,Database!A:Q,MATCH($A$1,Database!$A$1:$Q$1,),)</f>
        <v>13573</v>
      </c>
      <c r="C102" s="15">
        <f t="shared" si="2"/>
        <v>1.1702444841979725E-2</v>
      </c>
      <c r="D102" s="16">
        <f t="shared" si="3"/>
        <v>6.4883100580574296E-2</v>
      </c>
    </row>
    <row r="103" spans="1:4" x14ac:dyDescent="0.2">
      <c r="A103" s="13">
        <v>36526</v>
      </c>
      <c r="B103" s="18">
        <f>VLOOKUP(A103,Database!A:Q,MATCH($A$1,Database!$A$1:$Q$1,),)</f>
        <v>13301</v>
      </c>
      <c r="C103" s="15">
        <f t="shared" si="2"/>
        <v>-2.0039784867015398E-2</v>
      </c>
      <c r="D103" s="16">
        <f t="shared" si="3"/>
        <v>3.1325114367682406E-2</v>
      </c>
    </row>
    <row r="104" spans="1:4" x14ac:dyDescent="0.2">
      <c r="A104" s="14">
        <v>36557</v>
      </c>
      <c r="B104" s="18">
        <f>VLOOKUP(A104,Database!A:Q,MATCH($A$1,Database!$A$1:$Q$1,),)</f>
        <v>13532</v>
      </c>
      <c r="C104" s="15">
        <f t="shared" si="2"/>
        <v>1.7367115254492145E-2</v>
      </c>
      <c r="D104" s="16">
        <f t="shared" si="3"/>
        <v>4.736842105263158E-2</v>
      </c>
    </row>
    <row r="105" spans="1:4" x14ac:dyDescent="0.2">
      <c r="A105" s="13">
        <v>36586</v>
      </c>
      <c r="B105" s="18">
        <f>VLOOKUP(A105,Database!A:Q,MATCH($A$1,Database!$A$1:$Q$1,),)</f>
        <v>13818</v>
      </c>
      <c r="C105" s="15">
        <f t="shared" si="2"/>
        <v>2.1135087200709429E-2</v>
      </c>
      <c r="D105" s="16">
        <f t="shared" si="3"/>
        <v>5.6826003824091781E-2</v>
      </c>
    </row>
    <row r="106" spans="1:4" x14ac:dyDescent="0.2">
      <c r="A106" s="14">
        <v>36617</v>
      </c>
      <c r="B106" s="18">
        <f>VLOOKUP(A106,Database!A:Q,MATCH($A$1,Database!$A$1:$Q$1,),)</f>
        <v>13801</v>
      </c>
      <c r="C106" s="15">
        <f t="shared" si="2"/>
        <v>-1.2302793457808655E-3</v>
      </c>
      <c r="D106" s="16">
        <f t="shared" si="3"/>
        <v>5.0384351929370574E-2</v>
      </c>
    </row>
    <row r="107" spans="1:4" x14ac:dyDescent="0.2">
      <c r="A107" s="13">
        <v>36647</v>
      </c>
      <c r="B107" s="18">
        <f>VLOOKUP(A107,Database!A:Q,MATCH($A$1,Database!$A$1:$Q$1,),)</f>
        <v>14027</v>
      </c>
      <c r="C107" s="15">
        <f t="shared" si="2"/>
        <v>1.6375624954713428E-2</v>
      </c>
      <c r="D107" s="16">
        <f t="shared" si="3"/>
        <v>4.8904509085470727E-2</v>
      </c>
    </row>
    <row r="108" spans="1:4" x14ac:dyDescent="0.2">
      <c r="A108" s="14">
        <v>36678</v>
      </c>
      <c r="B108" s="18">
        <f>VLOOKUP(A108,Database!A:Q,MATCH($A$1,Database!$A$1:$Q$1,),)</f>
        <v>13864</v>
      </c>
      <c r="C108" s="15">
        <f t="shared" si="2"/>
        <v>-1.1620446282170101E-2</v>
      </c>
      <c r="D108" s="16">
        <f t="shared" si="3"/>
        <v>3.6715770582517009E-2</v>
      </c>
    </row>
    <row r="109" spans="1:4" x14ac:dyDescent="0.2">
      <c r="A109" s="13">
        <v>36708</v>
      </c>
      <c r="B109" s="18">
        <f>VLOOKUP(A109,Database!A:Q,MATCH($A$1,Database!$A$1:$Q$1,),)</f>
        <v>13722</v>
      </c>
      <c r="C109" s="15">
        <f t="shared" si="2"/>
        <v>-1.0242354298903635E-2</v>
      </c>
      <c r="D109" s="16">
        <f t="shared" si="3"/>
        <v>3.4061793519216274E-2</v>
      </c>
    </row>
    <row r="110" spans="1:4" x14ac:dyDescent="0.2">
      <c r="A110" s="14">
        <v>36739</v>
      </c>
      <c r="B110" s="18">
        <f>VLOOKUP(A110,Database!A:Q,MATCH($A$1,Database!$A$1:$Q$1,),)</f>
        <v>14072</v>
      </c>
      <c r="C110" s="15">
        <f t="shared" si="2"/>
        <v>2.55064859349949E-2</v>
      </c>
      <c r="D110" s="16">
        <f t="shared" si="3"/>
        <v>4.9835869889585195E-2</v>
      </c>
    </row>
    <row r="111" spans="1:4" x14ac:dyDescent="0.2">
      <c r="A111" s="13">
        <v>36770</v>
      </c>
      <c r="B111" s="18">
        <f>VLOOKUP(A111,Database!A:Q,MATCH($A$1,Database!$A$1:$Q$1,),)</f>
        <v>14366</v>
      </c>
      <c r="C111" s="15">
        <f t="shared" si="2"/>
        <v>2.0892552586696988E-2</v>
      </c>
      <c r="D111" s="16">
        <f t="shared" si="3"/>
        <v>7.3611837680292946E-2</v>
      </c>
    </row>
    <row r="112" spans="1:4" x14ac:dyDescent="0.2">
      <c r="A112" s="14">
        <v>36800</v>
      </c>
      <c r="B112" s="18">
        <f>VLOOKUP(A112,Database!A:Q,MATCH($A$1,Database!$A$1:$Q$1,),)</f>
        <v>14231</v>
      </c>
      <c r="C112" s="15">
        <f t="shared" si="2"/>
        <v>-9.3971878045384944E-3</v>
      </c>
      <c r="D112" s="16">
        <f t="shared" si="3"/>
        <v>6.2014925373134328E-2</v>
      </c>
    </row>
    <row r="113" spans="1:4" x14ac:dyDescent="0.2">
      <c r="A113" s="13">
        <v>36831</v>
      </c>
      <c r="B113" s="18">
        <f>VLOOKUP(A113,Database!A:Q,MATCH($A$1,Database!$A$1:$Q$1,),)</f>
        <v>14294</v>
      </c>
      <c r="C113" s="15">
        <f t="shared" si="2"/>
        <v>4.426955238563699E-3</v>
      </c>
      <c r="D113" s="16">
        <f t="shared" si="3"/>
        <v>6.5444245676803819E-2</v>
      </c>
    </row>
    <row r="114" spans="1:4" x14ac:dyDescent="0.2">
      <c r="A114" s="14">
        <v>36861</v>
      </c>
      <c r="B114" s="18">
        <f>VLOOKUP(A114,Database!A:Q,MATCH($A$1,Database!$A$1:$Q$1,),)</f>
        <v>14084</v>
      </c>
      <c r="C114" s="15">
        <f t="shared" si="2"/>
        <v>-1.4691478942213516E-2</v>
      </c>
      <c r="D114" s="16">
        <f t="shared" si="3"/>
        <v>3.7648272305312015E-2</v>
      </c>
    </row>
    <row r="115" spans="1:4" x14ac:dyDescent="0.2">
      <c r="A115" s="13">
        <v>36892</v>
      </c>
      <c r="B115" s="18">
        <f>VLOOKUP(A115,Database!A:Q,MATCH($A$1,Database!$A$1:$Q$1,),)</f>
        <v>14135</v>
      </c>
      <c r="C115" s="15">
        <f t="shared" si="2"/>
        <v>3.6211303606929848E-3</v>
      </c>
      <c r="D115" s="16">
        <f t="shared" si="3"/>
        <v>6.2702052477257353E-2</v>
      </c>
    </row>
    <row r="116" spans="1:4" x14ac:dyDescent="0.2">
      <c r="A116" s="14">
        <v>36923</v>
      </c>
      <c r="B116" s="18">
        <f>VLOOKUP(A116,Database!A:Q,MATCH($A$1,Database!$A$1:$Q$1,),)</f>
        <v>14166</v>
      </c>
      <c r="C116" s="15">
        <f t="shared" si="2"/>
        <v>2.1931376016979128E-3</v>
      </c>
      <c r="D116" s="16">
        <f t="shared" si="3"/>
        <v>4.6851906591782441E-2</v>
      </c>
    </row>
    <row r="117" spans="1:4" x14ac:dyDescent="0.2">
      <c r="A117" s="13">
        <v>36951</v>
      </c>
      <c r="B117" s="18">
        <f>VLOOKUP(A117,Database!A:Q,MATCH($A$1,Database!$A$1:$Q$1,),)</f>
        <v>13801</v>
      </c>
      <c r="C117" s="15">
        <f t="shared" si="2"/>
        <v>-2.5765918396159819E-2</v>
      </c>
      <c r="D117" s="16">
        <f t="shared" si="3"/>
        <v>-1.2302793457808655E-3</v>
      </c>
    </row>
    <row r="118" spans="1:4" x14ac:dyDescent="0.2">
      <c r="A118" s="14">
        <v>36982</v>
      </c>
      <c r="B118" s="18">
        <f>VLOOKUP(A118,Database!A:Q,MATCH($A$1,Database!$A$1:$Q$1,),)</f>
        <v>14217</v>
      </c>
      <c r="C118" s="15">
        <f t="shared" si="2"/>
        <v>3.01427432794725E-2</v>
      </c>
      <c r="D118" s="16">
        <f t="shared" si="3"/>
        <v>3.01427432794725E-2</v>
      </c>
    </row>
    <row r="119" spans="1:4" x14ac:dyDescent="0.2">
      <c r="A119" s="13">
        <v>37012</v>
      </c>
      <c r="B119" s="18">
        <f>VLOOKUP(A119,Database!A:Q,MATCH($A$1,Database!$A$1:$Q$1,),)</f>
        <v>13950</v>
      </c>
      <c r="C119" s="15">
        <f t="shared" si="2"/>
        <v>-1.8780333403671662E-2</v>
      </c>
      <c r="D119" s="16">
        <f t="shared" si="3"/>
        <v>-5.4894132743993724E-3</v>
      </c>
    </row>
    <row r="120" spans="1:4" x14ac:dyDescent="0.2">
      <c r="A120" s="14">
        <v>37043</v>
      </c>
      <c r="B120" s="18">
        <f>VLOOKUP(A120,Database!A:Q,MATCH($A$1,Database!$A$1:$Q$1,),)</f>
        <v>13804</v>
      </c>
      <c r="C120" s="15">
        <f t="shared" si="2"/>
        <v>-1.0465949820788531E-2</v>
      </c>
      <c r="D120" s="16">
        <f t="shared" si="3"/>
        <v>-4.3277553375649161E-3</v>
      </c>
    </row>
    <row r="121" spans="1:4" x14ac:dyDescent="0.2">
      <c r="A121" s="13">
        <v>37073</v>
      </c>
      <c r="B121" s="18">
        <f>VLOOKUP(A121,Database!A:Q,MATCH($A$1,Database!$A$1:$Q$1,),)</f>
        <v>13994</v>
      </c>
      <c r="C121" s="15">
        <f t="shared" si="2"/>
        <v>1.3764126340191248E-2</v>
      </c>
      <c r="D121" s="16">
        <f t="shared" si="3"/>
        <v>1.9822183355196036E-2</v>
      </c>
    </row>
    <row r="122" spans="1:4" x14ac:dyDescent="0.2">
      <c r="A122" s="14">
        <v>37104</v>
      </c>
      <c r="B122" s="18">
        <f>VLOOKUP(A122,Database!A:Q,MATCH($A$1,Database!$A$1:$Q$1,),)</f>
        <v>14171</v>
      </c>
      <c r="C122" s="15">
        <f t="shared" si="2"/>
        <v>1.2648277833357154E-2</v>
      </c>
      <c r="D122" s="16">
        <f t="shared" si="3"/>
        <v>7.0352472996020468E-3</v>
      </c>
    </row>
    <row r="123" spans="1:4" x14ac:dyDescent="0.2">
      <c r="A123" s="13">
        <v>37135</v>
      </c>
      <c r="B123" s="18">
        <f>VLOOKUP(A123,Database!A:Q,MATCH($A$1,Database!$A$1:$Q$1,),)</f>
        <v>13286</v>
      </c>
      <c r="C123" s="15">
        <f t="shared" si="2"/>
        <v>-6.245148542798673E-2</v>
      </c>
      <c r="D123" s="16">
        <f t="shared" si="3"/>
        <v>-7.5177502436307955E-2</v>
      </c>
    </row>
    <row r="124" spans="1:4" x14ac:dyDescent="0.2">
      <c r="A124" s="14">
        <v>37165</v>
      </c>
      <c r="B124" s="18">
        <f>VLOOKUP(A124,Database!A:Q,MATCH($A$1,Database!$A$1:$Q$1,),)</f>
        <v>13973</v>
      </c>
      <c r="C124" s="15">
        <f t="shared" si="2"/>
        <v>5.1708565407195546E-2</v>
      </c>
      <c r="D124" s="16">
        <f t="shared" si="3"/>
        <v>-1.8129435738879911E-2</v>
      </c>
    </row>
    <row r="125" spans="1:4" x14ac:dyDescent="0.2">
      <c r="A125" s="13">
        <v>37196</v>
      </c>
      <c r="B125" s="18">
        <f>VLOOKUP(A125,Database!A:Q,MATCH($A$1,Database!$A$1:$Q$1,),)</f>
        <v>13970</v>
      </c>
      <c r="C125" s="15">
        <f t="shared" si="2"/>
        <v>-2.1469977814356258E-4</v>
      </c>
      <c r="D125" s="16">
        <f t="shared" si="3"/>
        <v>-2.2666853225129426E-2</v>
      </c>
    </row>
    <row r="126" spans="1:4" x14ac:dyDescent="0.2">
      <c r="A126" s="14">
        <v>37226</v>
      </c>
      <c r="B126" s="18">
        <f>VLOOKUP(A126,Database!A:Q,MATCH($A$1,Database!$A$1:$Q$1,),)</f>
        <v>14126</v>
      </c>
      <c r="C126" s="15">
        <f t="shared" si="2"/>
        <v>1.1166785969935577E-2</v>
      </c>
      <c r="D126" s="16">
        <f t="shared" si="3"/>
        <v>2.982107355864811E-3</v>
      </c>
    </row>
    <row r="127" spans="1:4" x14ac:dyDescent="0.2">
      <c r="A127" s="13">
        <v>37257</v>
      </c>
      <c r="B127" s="18">
        <f>VLOOKUP(A127,Database!A:Q,MATCH($A$1,Database!$A$1:$Q$1,),)</f>
        <v>14220</v>
      </c>
      <c r="C127" s="15">
        <f t="shared" si="2"/>
        <v>6.6543961489452077E-3</v>
      </c>
      <c r="D127" s="16">
        <f t="shared" si="3"/>
        <v>6.013441811107181E-3</v>
      </c>
    </row>
    <row r="128" spans="1:4" x14ac:dyDescent="0.2">
      <c r="A128" s="14">
        <v>37288</v>
      </c>
      <c r="B128" s="18">
        <f>VLOOKUP(A128,Database!A:Q,MATCH($A$1,Database!$A$1:$Q$1,),)</f>
        <v>14357</v>
      </c>
      <c r="C128" s="15">
        <f t="shared" si="2"/>
        <v>9.6343178621659635E-3</v>
      </c>
      <c r="D128" s="16">
        <f t="shared" si="3"/>
        <v>1.348298743470281E-2</v>
      </c>
    </row>
    <row r="129" spans="1:4" x14ac:dyDescent="0.2">
      <c r="A129" s="13">
        <v>37316</v>
      </c>
      <c r="B129" s="18">
        <f>VLOOKUP(A129,Database!A:Q,MATCH($A$1,Database!$A$1:$Q$1,),)</f>
        <v>14436</v>
      </c>
      <c r="C129" s="15">
        <f t="shared" si="2"/>
        <v>5.5025423138538691E-3</v>
      </c>
      <c r="D129" s="16">
        <f t="shared" si="3"/>
        <v>4.6011158611694802E-2</v>
      </c>
    </row>
    <row r="130" spans="1:4" x14ac:dyDescent="0.2">
      <c r="A130" s="14">
        <v>37347</v>
      </c>
      <c r="B130" s="18">
        <f>VLOOKUP(A130,Database!A:Q,MATCH($A$1,Database!$A$1:$Q$1,),)</f>
        <v>14410</v>
      </c>
      <c r="C130" s="15">
        <f t="shared" si="2"/>
        <v>-1.8010529232474369E-3</v>
      </c>
      <c r="D130" s="16">
        <f t="shared" si="3"/>
        <v>1.3575297179433073E-2</v>
      </c>
    </row>
    <row r="131" spans="1:4" x14ac:dyDescent="0.2">
      <c r="A131" s="13">
        <v>37377</v>
      </c>
      <c r="B131" s="18">
        <f>VLOOKUP(A131,Database!A:Q,MATCH($A$1,Database!$A$1:$Q$1,),)</f>
        <v>14220</v>
      </c>
      <c r="C131" s="15">
        <f t="shared" si="2"/>
        <v>-1.31852879944483E-2</v>
      </c>
      <c r="D131" s="16">
        <f t="shared" si="3"/>
        <v>1.935483870967742E-2</v>
      </c>
    </row>
    <row r="132" spans="1:4" x14ac:dyDescent="0.2">
      <c r="A132" s="14">
        <v>37408</v>
      </c>
      <c r="B132" s="18">
        <f>VLOOKUP(A132,Database!A:Q,MATCH($A$1,Database!$A$1:$Q$1,),)</f>
        <v>14366</v>
      </c>
      <c r="C132" s="15">
        <f t="shared" si="2"/>
        <v>1.0267229254571027E-2</v>
      </c>
      <c r="D132" s="16">
        <f t="shared" si="3"/>
        <v>4.0712836858881482E-2</v>
      </c>
    </row>
    <row r="133" spans="1:4" x14ac:dyDescent="0.2">
      <c r="A133" s="13">
        <v>37438</v>
      </c>
      <c r="B133" s="18">
        <f>VLOOKUP(A133,Database!A:Q,MATCH($A$1,Database!$A$1:$Q$1,),)</f>
        <v>14200</v>
      </c>
      <c r="C133" s="15">
        <f t="shared" si="2"/>
        <v>-1.155506055965474E-2</v>
      </c>
      <c r="D133" s="16">
        <f t="shared" si="3"/>
        <v>1.4720594540517365E-2</v>
      </c>
    </row>
    <row r="134" spans="1:4" x14ac:dyDescent="0.2">
      <c r="A134" s="14">
        <v>37469</v>
      </c>
      <c r="B134" s="18">
        <f>VLOOKUP(A134,Database!A:Q,MATCH($A$1,Database!$A$1:$Q$1,),)</f>
        <v>14338</v>
      </c>
      <c r="C134" s="15">
        <f t="shared" si="2"/>
        <v>9.7183098591549291E-3</v>
      </c>
      <c r="D134" s="16">
        <f t="shared" si="3"/>
        <v>1.1784630583586198E-2</v>
      </c>
    </row>
    <row r="135" spans="1:4" x14ac:dyDescent="0.2">
      <c r="A135" s="13">
        <v>37500</v>
      </c>
      <c r="B135" s="18">
        <f>VLOOKUP(A135,Database!A:Q,MATCH($A$1,Database!$A$1:$Q$1,),)</f>
        <v>13966</v>
      </c>
      <c r="C135" s="15">
        <f t="shared" si="2"/>
        <v>-2.5945041149393222E-2</v>
      </c>
      <c r="D135" s="16">
        <f t="shared" si="3"/>
        <v>5.1181695017311457E-2</v>
      </c>
    </row>
    <row r="136" spans="1:4" x14ac:dyDescent="0.2">
      <c r="A136" s="14">
        <v>37530</v>
      </c>
      <c r="B136" s="18">
        <f>VLOOKUP(A136,Database!A:Q,MATCH($A$1,Database!$A$1:$Q$1,),)</f>
        <v>14625</v>
      </c>
      <c r="C136" s="15">
        <f t="shared" si="2"/>
        <v>4.7186023199198054E-2</v>
      </c>
      <c r="D136" s="16">
        <f t="shared" si="3"/>
        <v>4.6661418449867605E-2</v>
      </c>
    </row>
    <row r="137" spans="1:4" x14ac:dyDescent="0.2">
      <c r="A137" s="13">
        <v>37561</v>
      </c>
      <c r="B137" s="18">
        <f>VLOOKUP(A137,Database!A:Q,MATCH($A$1,Database!$A$1:$Q$1,),)</f>
        <v>14456</v>
      </c>
      <c r="C137" s="15">
        <f t="shared" ref="C137:C200" si="4">(B137-B136)/B136</f>
        <v>-1.1555555555555555E-2</v>
      </c>
      <c r="D137" s="16">
        <f t="shared" si="3"/>
        <v>3.4788833214030063E-2</v>
      </c>
    </row>
    <row r="138" spans="1:4" x14ac:dyDescent="0.2">
      <c r="A138" s="14">
        <v>37591</v>
      </c>
      <c r="B138" s="18">
        <f>VLOOKUP(A138,Database!A:Q,MATCH($A$1,Database!$A$1:$Q$1,),)</f>
        <v>14714</v>
      </c>
      <c r="C138" s="15">
        <f t="shared" si="4"/>
        <v>1.7847260653016048E-2</v>
      </c>
      <c r="D138" s="16">
        <f t="shared" si="3"/>
        <v>4.1625371655104063E-2</v>
      </c>
    </row>
    <row r="139" spans="1:4" x14ac:dyDescent="0.2">
      <c r="A139" s="13">
        <v>37622</v>
      </c>
      <c r="B139" s="18">
        <f>VLOOKUP(A139,Database!A:Q,MATCH($A$1,Database!$A$1:$Q$1,),)</f>
        <v>14565</v>
      </c>
      <c r="C139" s="15">
        <f t="shared" si="4"/>
        <v>-1.01264102215577E-2</v>
      </c>
      <c r="D139" s="16">
        <f t="shared" si="3"/>
        <v>2.4261603375527425E-2</v>
      </c>
    </row>
    <row r="140" spans="1:4" x14ac:dyDescent="0.2">
      <c r="A140" s="14">
        <v>37653</v>
      </c>
      <c r="B140" s="18">
        <f>VLOOKUP(A140,Database!A:Q,MATCH($A$1,Database!$A$1:$Q$1,),)</f>
        <v>14142</v>
      </c>
      <c r="C140" s="15">
        <f t="shared" si="4"/>
        <v>-2.9042224510813595E-2</v>
      </c>
      <c r="D140" s="16">
        <f t="shared" si="3"/>
        <v>-1.4975273385804833E-2</v>
      </c>
    </row>
    <row r="141" spans="1:4" x14ac:dyDescent="0.2">
      <c r="A141" s="13">
        <v>37681</v>
      </c>
      <c r="B141" s="18">
        <f>VLOOKUP(A141,Database!A:Q,MATCH($A$1,Database!$A$1:$Q$1,),)</f>
        <v>14465</v>
      </c>
      <c r="C141" s="15">
        <f t="shared" si="4"/>
        <v>2.2839768066751521E-2</v>
      </c>
      <c r="D141" s="16">
        <f t="shared" si="3"/>
        <v>2.0088667220836795E-3</v>
      </c>
    </row>
    <row r="142" spans="1:4" x14ac:dyDescent="0.2">
      <c r="A142" s="14">
        <v>37712</v>
      </c>
      <c r="B142" s="18">
        <f>VLOOKUP(A142,Database!A:Q,MATCH($A$1,Database!$A$1:$Q$1,),)</f>
        <v>14434</v>
      </c>
      <c r="C142" s="15">
        <f t="shared" si="4"/>
        <v>-2.1431040442447288E-3</v>
      </c>
      <c r="D142" s="16">
        <f t="shared" si="3"/>
        <v>1.6655100624566274E-3</v>
      </c>
    </row>
    <row r="143" spans="1:4" x14ac:dyDescent="0.2">
      <c r="A143" s="13">
        <v>37742</v>
      </c>
      <c r="B143" s="18">
        <f>VLOOKUP(A143,Database!A:Q,MATCH($A$1,Database!$A$1:$Q$1,),)</f>
        <v>14651</v>
      </c>
      <c r="C143" s="15">
        <f t="shared" si="4"/>
        <v>1.5033947623666343E-2</v>
      </c>
      <c r="D143" s="16">
        <f t="shared" si="3"/>
        <v>3.0309423347398032E-2</v>
      </c>
    </row>
    <row r="144" spans="1:4" x14ac:dyDescent="0.2">
      <c r="A144" s="14">
        <v>37773</v>
      </c>
      <c r="B144" s="18">
        <f>VLOOKUP(A144,Database!A:Q,MATCH($A$1,Database!$A$1:$Q$1,),)</f>
        <v>14894</v>
      </c>
      <c r="C144" s="15">
        <f t="shared" si="4"/>
        <v>1.6585898573476213E-2</v>
      </c>
      <c r="D144" s="16">
        <f t="shared" si="3"/>
        <v>3.6753445635528334E-2</v>
      </c>
    </row>
    <row r="145" spans="1:4" x14ac:dyDescent="0.2">
      <c r="A145" s="13">
        <v>37803</v>
      </c>
      <c r="B145" s="18">
        <f>VLOOKUP(A145,Database!A:Q,MATCH($A$1,Database!$A$1:$Q$1,),)</f>
        <v>15141</v>
      </c>
      <c r="C145" s="15">
        <f t="shared" si="4"/>
        <v>1.6583859272190145E-2</v>
      </c>
      <c r="D145" s="16">
        <f t="shared" si="3"/>
        <v>6.6267605633802823E-2</v>
      </c>
    </row>
    <row r="146" spans="1:4" x14ac:dyDescent="0.2">
      <c r="A146" s="14">
        <v>37834</v>
      </c>
      <c r="B146" s="18">
        <f>VLOOKUP(A146,Database!A:Q,MATCH($A$1,Database!$A$1:$Q$1,),)</f>
        <v>15089</v>
      </c>
      <c r="C146" s="15">
        <f t="shared" si="4"/>
        <v>-3.434383462122713E-3</v>
      </c>
      <c r="D146" s="16">
        <f t="shared" si="3"/>
        <v>5.2378295438694378E-2</v>
      </c>
    </row>
    <row r="147" spans="1:4" x14ac:dyDescent="0.2">
      <c r="A147" s="13">
        <v>37865</v>
      </c>
      <c r="B147" s="18">
        <f>VLOOKUP(A147,Database!A:Q,MATCH($A$1,Database!$A$1:$Q$1,),)</f>
        <v>15175</v>
      </c>
      <c r="C147" s="15">
        <f t="shared" si="4"/>
        <v>5.6995162038571143E-3</v>
      </c>
      <c r="D147" s="16">
        <f t="shared" si="3"/>
        <v>8.6567377917800378E-2</v>
      </c>
    </row>
    <row r="148" spans="1:4" x14ac:dyDescent="0.2">
      <c r="A148" s="14">
        <v>37895</v>
      </c>
      <c r="B148" s="18">
        <f>VLOOKUP(A148,Database!A:Q,MATCH($A$1,Database!$A$1:$Q$1,),)</f>
        <v>15067</v>
      </c>
      <c r="C148" s="15">
        <f t="shared" si="4"/>
        <v>-7.1169686985172982E-3</v>
      </c>
      <c r="D148" s="16">
        <f t="shared" ref="D148:D211" si="5">(B148-B136)/B136</f>
        <v>3.0222222222222223E-2</v>
      </c>
    </row>
    <row r="149" spans="1:4" x14ac:dyDescent="0.2">
      <c r="A149" s="13">
        <v>37926</v>
      </c>
      <c r="B149" s="18">
        <f>VLOOKUP(A149,Database!A:Q,MATCH($A$1,Database!$A$1:$Q$1,),)</f>
        <v>15338</v>
      </c>
      <c r="C149" s="15">
        <f t="shared" si="4"/>
        <v>1.7986327736112032E-2</v>
      </c>
      <c r="D149" s="16">
        <f t="shared" si="5"/>
        <v>6.1012728278915331E-2</v>
      </c>
    </row>
    <row r="150" spans="1:4" x14ac:dyDescent="0.2">
      <c r="A150" s="14">
        <v>37956</v>
      </c>
      <c r="B150" s="18">
        <f>VLOOKUP(A150,Database!A:Q,MATCH($A$1,Database!$A$1:$Q$1,),)</f>
        <v>15456</v>
      </c>
      <c r="C150" s="15">
        <f t="shared" si="4"/>
        <v>7.693310731516495E-3</v>
      </c>
      <c r="D150" s="16">
        <f t="shared" si="5"/>
        <v>5.0428163653663177E-2</v>
      </c>
    </row>
    <row r="151" spans="1:4" x14ac:dyDescent="0.2">
      <c r="A151" s="13">
        <v>37987</v>
      </c>
      <c r="B151" s="18">
        <f>VLOOKUP(A151,Database!A:Q,MATCH($A$1,Database!$A$1:$Q$1,),)</f>
        <v>15513</v>
      </c>
      <c r="C151" s="15">
        <f t="shared" si="4"/>
        <v>3.687888198757764E-3</v>
      </c>
      <c r="D151" s="16">
        <f t="shared" si="5"/>
        <v>6.5087538619979401E-2</v>
      </c>
    </row>
    <row r="152" spans="1:4" x14ac:dyDescent="0.2">
      <c r="A152" s="14">
        <v>38018</v>
      </c>
      <c r="B152" s="18">
        <f>VLOOKUP(A152,Database!A:Q,MATCH($A$1,Database!$A$1:$Q$1,),)</f>
        <v>15687</v>
      </c>
      <c r="C152" s="15">
        <f t="shared" si="4"/>
        <v>1.1216399149100754E-2</v>
      </c>
      <c r="D152" s="16">
        <f t="shared" si="5"/>
        <v>0.10924904539669071</v>
      </c>
    </row>
    <row r="153" spans="1:4" x14ac:dyDescent="0.2">
      <c r="A153" s="13">
        <v>38047</v>
      </c>
      <c r="B153" s="18">
        <f>VLOOKUP(A153,Database!A:Q,MATCH($A$1,Database!$A$1:$Q$1,),)</f>
        <v>15984</v>
      </c>
      <c r="C153" s="15">
        <f t="shared" si="4"/>
        <v>1.8932874354561102E-2</v>
      </c>
      <c r="D153" s="16">
        <f t="shared" si="5"/>
        <v>0.1050120981679917</v>
      </c>
    </row>
    <row r="154" spans="1:4" x14ac:dyDescent="0.2">
      <c r="A154" s="14">
        <v>38078</v>
      </c>
      <c r="B154" s="18">
        <f>VLOOKUP(A154,Database!A:Q,MATCH($A$1,Database!$A$1:$Q$1,),)</f>
        <v>15567</v>
      </c>
      <c r="C154" s="15">
        <f t="shared" si="4"/>
        <v>-2.6088588588588587E-2</v>
      </c>
      <c r="D154" s="16">
        <f t="shared" si="5"/>
        <v>7.8495219620340867E-2</v>
      </c>
    </row>
    <row r="155" spans="1:4" x14ac:dyDescent="0.2">
      <c r="A155" s="13">
        <v>38108</v>
      </c>
      <c r="B155" s="18">
        <f>VLOOKUP(A155,Database!A:Q,MATCH($A$1,Database!$A$1:$Q$1,),)</f>
        <v>15736</v>
      </c>
      <c r="C155" s="15">
        <f t="shared" si="4"/>
        <v>1.0856298580330185E-2</v>
      </c>
      <c r="D155" s="16">
        <f t="shared" si="5"/>
        <v>7.4056378404204495E-2</v>
      </c>
    </row>
    <row r="156" spans="1:4" x14ac:dyDescent="0.2">
      <c r="A156" s="14">
        <v>38139</v>
      </c>
      <c r="B156" s="18">
        <f>VLOOKUP(A156,Database!A:Q,MATCH($A$1,Database!$A$1:$Q$1,),)</f>
        <v>15555</v>
      </c>
      <c r="C156" s="15">
        <f t="shared" si="4"/>
        <v>-1.1502287747839349E-2</v>
      </c>
      <c r="D156" s="16">
        <f t="shared" si="5"/>
        <v>4.4380287364039213E-2</v>
      </c>
    </row>
    <row r="157" spans="1:4" x14ac:dyDescent="0.2">
      <c r="A157" s="13">
        <v>38169</v>
      </c>
      <c r="B157" s="18">
        <f>VLOOKUP(A157,Database!A:Q,MATCH($A$1,Database!$A$1:$Q$1,),)</f>
        <v>15645</v>
      </c>
      <c r="C157" s="15">
        <f t="shared" si="4"/>
        <v>5.7859209257473485E-3</v>
      </c>
      <c r="D157" s="16">
        <f t="shared" si="5"/>
        <v>3.3287101248266296E-2</v>
      </c>
    </row>
    <row r="158" spans="1:4" x14ac:dyDescent="0.2">
      <c r="A158" s="14">
        <v>38200</v>
      </c>
      <c r="B158" s="18">
        <f>VLOOKUP(A158,Database!A:Q,MATCH($A$1,Database!$A$1:$Q$1,),)</f>
        <v>15660</v>
      </c>
      <c r="C158" s="15">
        <f t="shared" si="4"/>
        <v>9.5877277085330771E-4</v>
      </c>
      <c r="D158" s="16">
        <f t="shared" si="5"/>
        <v>3.7842136655842004E-2</v>
      </c>
    </row>
    <row r="159" spans="1:4" x14ac:dyDescent="0.2">
      <c r="A159" s="13">
        <v>38231</v>
      </c>
      <c r="B159" s="18">
        <f>VLOOKUP(A159,Database!A:Q,MATCH($A$1,Database!$A$1:$Q$1,),)</f>
        <v>15764</v>
      </c>
      <c r="C159" s="15">
        <f t="shared" si="4"/>
        <v>6.6411238825031926E-3</v>
      </c>
      <c r="D159" s="16">
        <f t="shared" si="5"/>
        <v>3.8813838550247115E-2</v>
      </c>
    </row>
    <row r="160" spans="1:4" x14ac:dyDescent="0.2">
      <c r="A160" s="14">
        <v>38261</v>
      </c>
      <c r="B160" s="18">
        <f>VLOOKUP(A160,Database!A:Q,MATCH($A$1,Database!$A$1:$Q$1,),)</f>
        <v>16055</v>
      </c>
      <c r="C160" s="15">
        <f t="shared" si="4"/>
        <v>1.8459781781273787E-2</v>
      </c>
      <c r="D160" s="16">
        <f t="shared" si="5"/>
        <v>6.5573770491803282E-2</v>
      </c>
    </row>
    <row r="161" spans="1:4" x14ac:dyDescent="0.2">
      <c r="A161" s="13">
        <v>38292</v>
      </c>
      <c r="B161" s="18">
        <f>VLOOKUP(A161,Database!A:Q,MATCH($A$1,Database!$A$1:$Q$1,),)</f>
        <v>16044</v>
      </c>
      <c r="C161" s="15">
        <f t="shared" si="4"/>
        <v>-6.8514481469947059E-4</v>
      </c>
      <c r="D161" s="16">
        <f t="shared" si="5"/>
        <v>4.6029469291954624E-2</v>
      </c>
    </row>
    <row r="162" spans="1:4" x14ac:dyDescent="0.2">
      <c r="A162" s="14">
        <v>38322</v>
      </c>
      <c r="B162" s="18">
        <f>VLOOKUP(A162,Database!A:Q,MATCH($A$1,Database!$A$1:$Q$1,),)</f>
        <v>16183</v>
      </c>
      <c r="C162" s="15">
        <f t="shared" si="4"/>
        <v>8.6636748940413857E-3</v>
      </c>
      <c r="D162" s="16">
        <f t="shared" si="5"/>
        <v>4.7036749482401656E-2</v>
      </c>
    </row>
    <row r="163" spans="1:4" x14ac:dyDescent="0.2">
      <c r="A163" s="13">
        <v>38353</v>
      </c>
      <c r="B163" s="18">
        <f>VLOOKUP(A163,Database!A:Q,MATCH($A$1,Database!$A$1:$Q$1,),)</f>
        <v>16125</v>
      </c>
      <c r="C163" s="15">
        <f t="shared" si="4"/>
        <v>-3.5840079095346969E-3</v>
      </c>
      <c r="D163" s="16">
        <f t="shared" si="5"/>
        <v>3.9450783214078515E-2</v>
      </c>
    </row>
    <row r="164" spans="1:4" x14ac:dyDescent="0.2">
      <c r="A164" s="14">
        <v>38384</v>
      </c>
      <c r="B164" s="18">
        <f>VLOOKUP(A164,Database!A:Q,MATCH($A$1,Database!$A$1:$Q$1,),)</f>
        <v>16674</v>
      </c>
      <c r="C164" s="15">
        <f t="shared" si="4"/>
        <v>3.4046511627906978E-2</v>
      </c>
      <c r="D164" s="16">
        <f t="shared" si="5"/>
        <v>6.2918340026773767E-2</v>
      </c>
    </row>
    <row r="165" spans="1:4" x14ac:dyDescent="0.2">
      <c r="A165" s="13">
        <v>38412</v>
      </c>
      <c r="B165" s="18">
        <f>VLOOKUP(A165,Database!A:Q,MATCH($A$1,Database!$A$1:$Q$1,),)</f>
        <v>16293</v>
      </c>
      <c r="C165" s="15">
        <f t="shared" si="4"/>
        <v>-2.284994602374955E-2</v>
      </c>
      <c r="D165" s="16">
        <f t="shared" si="5"/>
        <v>1.9331831831831833E-2</v>
      </c>
    </row>
    <row r="166" spans="1:4" x14ac:dyDescent="0.2">
      <c r="A166" s="14">
        <v>38443</v>
      </c>
      <c r="B166" s="18">
        <f>VLOOKUP(A166,Database!A:Q,MATCH($A$1,Database!$A$1:$Q$1,),)</f>
        <v>16636</v>
      </c>
      <c r="C166" s="15">
        <f t="shared" si="4"/>
        <v>2.1051985515251948E-2</v>
      </c>
      <c r="D166" s="16">
        <f t="shared" si="5"/>
        <v>6.8670906404573781E-2</v>
      </c>
    </row>
    <row r="167" spans="1:4" x14ac:dyDescent="0.2">
      <c r="A167" s="13">
        <v>38473</v>
      </c>
      <c r="B167" s="18">
        <f>VLOOKUP(A167,Database!A:Q,MATCH($A$1,Database!$A$1:$Q$1,),)</f>
        <v>16514</v>
      </c>
      <c r="C167" s="15">
        <f t="shared" si="4"/>
        <v>-7.3334936282760275E-3</v>
      </c>
      <c r="D167" s="16">
        <f t="shared" si="5"/>
        <v>4.9440772750381293E-2</v>
      </c>
    </row>
    <row r="168" spans="1:4" x14ac:dyDescent="0.2">
      <c r="A168" s="14">
        <v>38504</v>
      </c>
      <c r="B168" s="18">
        <f>VLOOKUP(A168,Database!A:Q,MATCH($A$1,Database!$A$1:$Q$1,),)</f>
        <v>16824</v>
      </c>
      <c r="C168" s="15">
        <f t="shared" si="4"/>
        <v>1.8771951071817852E-2</v>
      </c>
      <c r="D168" s="16">
        <f t="shared" si="5"/>
        <v>8.1581485053037611E-2</v>
      </c>
    </row>
    <row r="169" spans="1:4" x14ac:dyDescent="0.2">
      <c r="A169" s="13">
        <v>38534</v>
      </c>
      <c r="B169" s="18">
        <f>VLOOKUP(A169,Database!A:Q,MATCH($A$1,Database!$A$1:$Q$1,),)</f>
        <v>16450</v>
      </c>
      <c r="C169" s="15">
        <f t="shared" si="4"/>
        <v>-2.2230147408464098E-2</v>
      </c>
      <c r="D169" s="16">
        <f t="shared" si="5"/>
        <v>5.145413870246085E-2</v>
      </c>
    </row>
    <row r="170" spans="1:4" x14ac:dyDescent="0.2">
      <c r="A170" s="14">
        <v>38565</v>
      </c>
      <c r="B170" s="18">
        <f>VLOOKUP(A170,Database!A:Q,MATCH($A$1,Database!$A$1:$Q$1,),)</f>
        <v>16759</v>
      </c>
      <c r="C170" s="15">
        <f t="shared" si="4"/>
        <v>1.8784194528875382E-2</v>
      </c>
      <c r="D170" s="16">
        <f t="shared" si="5"/>
        <v>7.0178799489144322E-2</v>
      </c>
    </row>
    <row r="171" spans="1:4" x14ac:dyDescent="0.2">
      <c r="A171" s="13">
        <v>38596</v>
      </c>
      <c r="B171" s="18">
        <f>VLOOKUP(A171,Database!A:Q,MATCH($A$1,Database!$A$1:$Q$1,),)</f>
        <v>16450</v>
      </c>
      <c r="C171" s="15">
        <f t="shared" si="4"/>
        <v>-1.8437854287248642E-2</v>
      </c>
      <c r="D171" s="16">
        <f t="shared" si="5"/>
        <v>4.3516873889875664E-2</v>
      </c>
    </row>
    <row r="172" spans="1:4" x14ac:dyDescent="0.2">
      <c r="A172" s="14">
        <v>38626</v>
      </c>
      <c r="B172" s="18">
        <f>VLOOKUP(A172,Database!A:Q,MATCH($A$1,Database!$A$1:$Q$1,),)</f>
        <v>17120</v>
      </c>
      <c r="C172" s="15">
        <f t="shared" si="4"/>
        <v>4.0729483282674769E-2</v>
      </c>
      <c r="D172" s="16">
        <f t="shared" si="5"/>
        <v>6.6334475241357826E-2</v>
      </c>
    </row>
    <row r="173" spans="1:4" x14ac:dyDescent="0.2">
      <c r="A173" s="13">
        <v>38657</v>
      </c>
      <c r="B173" s="18">
        <f>VLOOKUP(A173,Database!A:Q,MATCH($A$1,Database!$A$1:$Q$1,),)</f>
        <v>17142</v>
      </c>
      <c r="C173" s="15">
        <f t="shared" si="4"/>
        <v>1.2850467289719626E-3</v>
      </c>
      <c r="D173" s="16">
        <f t="shared" si="5"/>
        <v>6.8436798803290955E-2</v>
      </c>
    </row>
    <row r="174" spans="1:4" x14ac:dyDescent="0.2">
      <c r="A174" s="14">
        <v>38687</v>
      </c>
      <c r="B174" s="18">
        <f>VLOOKUP(A174,Database!A:Q,MATCH($A$1,Database!$A$1:$Q$1,),)</f>
        <v>17207</v>
      </c>
      <c r="C174" s="15">
        <f t="shared" si="4"/>
        <v>3.7918562594796406E-3</v>
      </c>
      <c r="D174" s="16">
        <f t="shared" si="5"/>
        <v>6.327627757523327E-2</v>
      </c>
    </row>
    <row r="175" spans="1:4" x14ac:dyDescent="0.2">
      <c r="A175" s="13">
        <v>38718</v>
      </c>
      <c r="B175" s="18">
        <f>VLOOKUP(A175,Database!A:Q,MATCH($A$1,Database!$A$1:$Q$1,),)</f>
        <v>17331</v>
      </c>
      <c r="C175" s="15">
        <f t="shared" si="4"/>
        <v>7.2063695007845647E-3</v>
      </c>
      <c r="D175" s="16">
        <f t="shared" si="5"/>
        <v>7.4790697674418607E-2</v>
      </c>
    </row>
    <row r="176" spans="1:4" x14ac:dyDescent="0.2">
      <c r="A176" s="14">
        <v>38749</v>
      </c>
      <c r="B176" s="18">
        <f>VLOOKUP(A176,Database!A:Q,MATCH($A$1,Database!$A$1:$Q$1,),)</f>
        <v>17384</v>
      </c>
      <c r="C176" s="15">
        <f t="shared" si="4"/>
        <v>3.0581039755351682E-3</v>
      </c>
      <c r="D176" s="16">
        <f t="shared" si="5"/>
        <v>4.2581264243732757E-2</v>
      </c>
    </row>
    <row r="177" spans="1:4" x14ac:dyDescent="0.2">
      <c r="A177" s="13">
        <v>38777</v>
      </c>
      <c r="B177" s="18">
        <f>VLOOKUP(A177,Database!A:Q,MATCH($A$1,Database!$A$1:$Q$1,),)</f>
        <v>17385</v>
      </c>
      <c r="C177" s="15">
        <f t="shared" si="4"/>
        <v>5.7524160147261853E-5</v>
      </c>
      <c r="D177" s="16">
        <f t="shared" si="5"/>
        <v>6.7022647762842932E-2</v>
      </c>
    </row>
    <row r="178" spans="1:4" x14ac:dyDescent="0.2">
      <c r="A178" s="14">
        <v>38808</v>
      </c>
      <c r="B178" s="18">
        <f>VLOOKUP(A178,Database!A:Q,MATCH($A$1,Database!$A$1:$Q$1,),)</f>
        <v>17542</v>
      </c>
      <c r="C178" s="15">
        <f t="shared" si="4"/>
        <v>9.0307736554501011E-3</v>
      </c>
      <c r="D178" s="16">
        <f t="shared" si="5"/>
        <v>5.4460206780476077E-2</v>
      </c>
    </row>
    <row r="179" spans="1:4" x14ac:dyDescent="0.2">
      <c r="A179" s="13">
        <v>38838</v>
      </c>
      <c r="B179" s="18">
        <f>VLOOKUP(A179,Database!A:Q,MATCH($A$1,Database!$A$1:$Q$1,),)</f>
        <v>17492</v>
      </c>
      <c r="C179" s="15">
        <f t="shared" si="4"/>
        <v>-2.8503021320259946E-3</v>
      </c>
      <c r="D179" s="16">
        <f t="shared" si="5"/>
        <v>5.9222477897541481E-2</v>
      </c>
    </row>
    <row r="180" spans="1:4" x14ac:dyDescent="0.2">
      <c r="A180" s="14">
        <v>38869</v>
      </c>
      <c r="B180" s="18">
        <f>VLOOKUP(A180,Database!A:Q,MATCH($A$1,Database!$A$1:$Q$1,),)</f>
        <v>17701</v>
      </c>
      <c r="C180" s="15">
        <f t="shared" si="4"/>
        <v>1.1948319231648753E-2</v>
      </c>
      <c r="D180" s="16">
        <f t="shared" si="5"/>
        <v>5.2127912505943889E-2</v>
      </c>
    </row>
    <row r="181" spans="1:4" x14ac:dyDescent="0.2">
      <c r="A181" s="13">
        <v>38899</v>
      </c>
      <c r="B181" s="18">
        <f>VLOOKUP(A181,Database!A:Q,MATCH($A$1,Database!$A$1:$Q$1,),)</f>
        <v>17691</v>
      </c>
      <c r="C181" s="15">
        <f t="shared" si="4"/>
        <v>-5.6493983390768887E-4</v>
      </c>
      <c r="D181" s="16">
        <f t="shared" si="5"/>
        <v>7.5440729483282676E-2</v>
      </c>
    </row>
    <row r="182" spans="1:4" x14ac:dyDescent="0.2">
      <c r="A182" s="14">
        <v>38930</v>
      </c>
      <c r="B182" s="18">
        <f>VLOOKUP(A182,Database!A:Q,MATCH($A$1,Database!$A$1:$Q$1,),)</f>
        <v>17635</v>
      </c>
      <c r="C182" s="15">
        <f t="shared" si="4"/>
        <v>-3.1654513594483072E-3</v>
      </c>
      <c r="D182" s="16">
        <f t="shared" si="5"/>
        <v>5.2270421862879647E-2</v>
      </c>
    </row>
    <row r="183" spans="1:4" x14ac:dyDescent="0.2">
      <c r="A183" s="13">
        <v>38961</v>
      </c>
      <c r="B183" s="18">
        <f>VLOOKUP(A183,Database!A:Q,MATCH($A$1,Database!$A$1:$Q$1,),)</f>
        <v>18256</v>
      </c>
      <c r="C183" s="15">
        <f t="shared" si="4"/>
        <v>3.5214062943011055E-2</v>
      </c>
      <c r="D183" s="16">
        <f t="shared" si="5"/>
        <v>0.10978723404255319</v>
      </c>
    </row>
    <row r="184" spans="1:4" x14ac:dyDescent="0.2">
      <c r="A184" s="14">
        <v>38991</v>
      </c>
      <c r="B184" s="18">
        <f>VLOOKUP(A184,Database!A:Q,MATCH($A$1,Database!$A$1:$Q$1,),)</f>
        <v>18126</v>
      </c>
      <c r="C184" s="15">
        <f t="shared" si="4"/>
        <v>-7.1209465381244525E-3</v>
      </c>
      <c r="D184" s="16">
        <f t="shared" si="5"/>
        <v>5.8761682242990651E-2</v>
      </c>
    </row>
    <row r="185" spans="1:4" x14ac:dyDescent="0.2">
      <c r="A185" s="13">
        <v>39022</v>
      </c>
      <c r="B185" s="18">
        <f>VLOOKUP(A185,Database!A:Q,MATCH($A$1,Database!$A$1:$Q$1,),)</f>
        <v>17910</v>
      </c>
      <c r="C185" s="15">
        <f t="shared" si="4"/>
        <v>-1.1916583912611719E-2</v>
      </c>
      <c r="D185" s="16">
        <f t="shared" si="5"/>
        <v>4.4802240112005599E-2</v>
      </c>
    </row>
    <row r="186" spans="1:4" x14ac:dyDescent="0.2">
      <c r="A186" s="14">
        <v>39052</v>
      </c>
      <c r="B186" s="18">
        <f>VLOOKUP(A186,Database!A:Q,MATCH($A$1,Database!$A$1:$Q$1,),)</f>
        <v>18497</v>
      </c>
      <c r="C186" s="15">
        <f t="shared" si="4"/>
        <v>3.2774986041317698E-2</v>
      </c>
      <c r="D186" s="16">
        <f t="shared" si="5"/>
        <v>7.4969489161387806E-2</v>
      </c>
    </row>
    <row r="187" spans="1:4" x14ac:dyDescent="0.2">
      <c r="A187" s="13">
        <v>39083</v>
      </c>
      <c r="B187" s="18">
        <f>VLOOKUP(A187,Database!A:Q,MATCH($A$1,Database!$A$1:$Q$1,),)</f>
        <v>18493</v>
      </c>
      <c r="C187" s="15">
        <f t="shared" si="4"/>
        <v>-2.1625128399199871E-4</v>
      </c>
      <c r="D187" s="16">
        <f t="shared" si="5"/>
        <v>6.704748716173331E-2</v>
      </c>
    </row>
    <row r="188" spans="1:4" x14ac:dyDescent="0.2">
      <c r="A188" s="14">
        <v>39114</v>
      </c>
      <c r="B188" s="18">
        <f>VLOOKUP(A188,Database!A:Q,MATCH($A$1,Database!$A$1:$Q$1,),)</f>
        <v>18144</v>
      </c>
      <c r="C188" s="15">
        <f t="shared" si="4"/>
        <v>-1.8872005623749528E-2</v>
      </c>
      <c r="D188" s="16">
        <f t="shared" si="5"/>
        <v>4.3718361711919007E-2</v>
      </c>
    </row>
    <row r="189" spans="1:4" x14ac:dyDescent="0.2">
      <c r="A189" s="13">
        <v>39142</v>
      </c>
      <c r="B189" s="18">
        <f>VLOOKUP(A189,Database!A:Q,MATCH($A$1,Database!$A$1:$Q$1,),)</f>
        <v>18643</v>
      </c>
      <c r="C189" s="15">
        <f t="shared" si="4"/>
        <v>2.7502204585537919E-2</v>
      </c>
      <c r="D189" s="16">
        <f t="shared" si="5"/>
        <v>7.2361230946218005E-2</v>
      </c>
    </row>
    <row r="190" spans="1:4" x14ac:dyDescent="0.2">
      <c r="A190" s="14">
        <v>39173</v>
      </c>
      <c r="B190" s="18">
        <f>VLOOKUP(A190,Database!A:Q,MATCH($A$1,Database!$A$1:$Q$1,),)</f>
        <v>18189</v>
      </c>
      <c r="C190" s="15">
        <f t="shared" si="4"/>
        <v>-2.4352303813763878E-2</v>
      </c>
      <c r="D190" s="16">
        <f t="shared" si="5"/>
        <v>3.688290958841637E-2</v>
      </c>
    </row>
    <row r="191" spans="1:4" x14ac:dyDescent="0.2">
      <c r="A191" s="13">
        <v>39203</v>
      </c>
      <c r="B191" s="18">
        <f>VLOOKUP(A191,Database!A:Q,MATCH($A$1,Database!$A$1:$Q$1,),)</f>
        <v>18545</v>
      </c>
      <c r="C191" s="15">
        <f t="shared" si="4"/>
        <v>1.9572268953763263E-2</v>
      </c>
      <c r="D191" s="16">
        <f t="shared" si="5"/>
        <v>6.0198948090555683E-2</v>
      </c>
    </row>
    <row r="192" spans="1:4" x14ac:dyDescent="0.2">
      <c r="A192" s="14">
        <v>39234</v>
      </c>
      <c r="B192" s="18">
        <f>VLOOKUP(A192,Database!A:Q,MATCH($A$1,Database!$A$1:$Q$1,),)</f>
        <v>18388</v>
      </c>
      <c r="C192" s="15">
        <f t="shared" si="4"/>
        <v>-8.4658937719061748E-3</v>
      </c>
      <c r="D192" s="16">
        <f t="shared" si="5"/>
        <v>3.8811366589458225E-2</v>
      </c>
    </row>
    <row r="193" spans="1:4" x14ac:dyDescent="0.2">
      <c r="A193" s="13">
        <v>39264</v>
      </c>
      <c r="B193" s="18">
        <f>VLOOKUP(A193,Database!A:Q,MATCH($A$1,Database!$A$1:$Q$1,),)</f>
        <v>18522</v>
      </c>
      <c r="C193" s="15">
        <f t="shared" si="4"/>
        <v>7.2873613226016971E-3</v>
      </c>
      <c r="D193" s="16">
        <f t="shared" si="5"/>
        <v>4.6973037137527554E-2</v>
      </c>
    </row>
    <row r="194" spans="1:4" x14ac:dyDescent="0.2">
      <c r="A194" s="14">
        <v>39295</v>
      </c>
      <c r="B194" s="18">
        <f>VLOOKUP(A194,Database!A:Q,MATCH($A$1,Database!$A$1:$Q$1,),)</f>
        <v>18491</v>
      </c>
      <c r="C194" s="15">
        <f t="shared" si="4"/>
        <v>-1.6736853471547349E-3</v>
      </c>
      <c r="D194" s="16">
        <f t="shared" si="5"/>
        <v>4.8539835554295432E-2</v>
      </c>
    </row>
    <row r="195" spans="1:4" x14ac:dyDescent="0.2">
      <c r="A195" s="13">
        <v>39326</v>
      </c>
      <c r="B195" s="18">
        <f>VLOOKUP(A195,Database!A:Q,MATCH($A$1,Database!$A$1:$Q$1,),)</f>
        <v>18412</v>
      </c>
      <c r="C195" s="15">
        <f t="shared" si="4"/>
        <v>-4.2723487101833327E-3</v>
      </c>
      <c r="D195" s="16">
        <f t="shared" si="5"/>
        <v>8.5451358457493427E-3</v>
      </c>
    </row>
    <row r="196" spans="1:4" x14ac:dyDescent="0.2">
      <c r="A196" s="14">
        <v>39356</v>
      </c>
      <c r="B196" s="18">
        <f>VLOOKUP(A196,Database!A:Q,MATCH($A$1,Database!$A$1:$Q$1,),)</f>
        <v>18431</v>
      </c>
      <c r="C196" s="15">
        <f t="shared" si="4"/>
        <v>1.0319356941125353E-3</v>
      </c>
      <c r="D196" s="16">
        <f t="shared" si="5"/>
        <v>1.6826657839567473E-2</v>
      </c>
    </row>
    <row r="197" spans="1:4" x14ac:dyDescent="0.2">
      <c r="A197" s="13">
        <v>39387</v>
      </c>
      <c r="B197" s="18">
        <f>VLOOKUP(A197,Database!A:Q,MATCH($A$1,Database!$A$1:$Q$1,),)</f>
        <v>18759</v>
      </c>
      <c r="C197" s="15">
        <f t="shared" si="4"/>
        <v>1.779610438934404E-2</v>
      </c>
      <c r="D197" s="16">
        <f t="shared" si="5"/>
        <v>4.74036850921273E-2</v>
      </c>
    </row>
    <row r="198" spans="1:4" x14ac:dyDescent="0.2">
      <c r="A198" s="14">
        <v>39417</v>
      </c>
      <c r="B198" s="18">
        <f>VLOOKUP(A198,Database!A:Q,MATCH($A$1,Database!$A$1:$Q$1,),)</f>
        <v>18570</v>
      </c>
      <c r="C198" s="15">
        <f t="shared" si="4"/>
        <v>-1.0075163921317767E-2</v>
      </c>
      <c r="D198" s="16">
        <f t="shared" si="5"/>
        <v>3.9465859328539762E-3</v>
      </c>
    </row>
    <row r="199" spans="1:4" x14ac:dyDescent="0.2">
      <c r="A199" s="13">
        <v>39448</v>
      </c>
      <c r="B199" s="18">
        <f>VLOOKUP(A199,Database!A:Q,MATCH($A$1,Database!$A$1:$Q$1,),)</f>
        <v>18542</v>
      </c>
      <c r="C199" s="15">
        <f t="shared" si="4"/>
        <v>-1.5078082929456111E-3</v>
      </c>
      <c r="D199" s="16">
        <f t="shared" si="5"/>
        <v>2.6496512193803059E-3</v>
      </c>
    </row>
    <row r="200" spans="1:4" x14ac:dyDescent="0.2">
      <c r="A200" s="14">
        <v>39479</v>
      </c>
      <c r="B200" s="18">
        <f>VLOOKUP(A200,Database!A:Q,MATCH($A$1,Database!$A$1:$Q$1,),)</f>
        <v>18280</v>
      </c>
      <c r="C200" s="15">
        <f t="shared" si="4"/>
        <v>-1.4130083054686658E-2</v>
      </c>
      <c r="D200" s="16">
        <f t="shared" si="5"/>
        <v>7.4955908289241618E-3</v>
      </c>
    </row>
    <row r="201" spans="1:4" x14ac:dyDescent="0.2">
      <c r="A201" s="13">
        <v>39508</v>
      </c>
      <c r="B201" s="18">
        <f>VLOOKUP(A201,Database!A:Q,MATCH($A$1,Database!$A$1:$Q$1,),)</f>
        <v>18338</v>
      </c>
      <c r="C201" s="15">
        <f t="shared" ref="C201:C264" si="6">(B201-B200)/B200</f>
        <v>3.1728665207877461E-3</v>
      </c>
      <c r="D201" s="16">
        <f t="shared" si="5"/>
        <v>-1.6360027892506571E-2</v>
      </c>
    </row>
    <row r="202" spans="1:4" x14ac:dyDescent="0.2">
      <c r="A202" s="14">
        <v>39539</v>
      </c>
      <c r="B202" s="18">
        <f>VLOOKUP(A202,Database!A:Q,MATCH($A$1,Database!$A$1:$Q$1,),)</f>
        <v>18384</v>
      </c>
      <c r="C202" s="15">
        <f t="shared" si="6"/>
        <v>2.508452393936089E-3</v>
      </c>
      <c r="D202" s="16">
        <f t="shared" si="5"/>
        <v>1.0720765297707406E-2</v>
      </c>
    </row>
    <row r="203" spans="1:4" x14ac:dyDescent="0.2">
      <c r="A203" s="13">
        <v>39569</v>
      </c>
      <c r="B203" s="18">
        <f>VLOOKUP(A203,Database!A:Q,MATCH($A$1,Database!$A$1:$Q$1,),)</f>
        <v>18642</v>
      </c>
      <c r="C203" s="15">
        <f t="shared" si="6"/>
        <v>1.4033942558746737E-2</v>
      </c>
      <c r="D203" s="16">
        <f t="shared" si="5"/>
        <v>5.2305203558910759E-3</v>
      </c>
    </row>
    <row r="204" spans="1:4" x14ac:dyDescent="0.2">
      <c r="A204" s="14">
        <v>39600</v>
      </c>
      <c r="B204" s="18">
        <f>VLOOKUP(A204,Database!A:Q,MATCH($A$1,Database!$A$1:$Q$1,),)</f>
        <v>18708</v>
      </c>
      <c r="C204" s="15">
        <f t="shared" si="6"/>
        <v>3.5403926617315739E-3</v>
      </c>
      <c r="D204" s="16">
        <f t="shared" si="5"/>
        <v>1.7402653904720469E-2</v>
      </c>
    </row>
    <row r="205" spans="1:4" x14ac:dyDescent="0.2">
      <c r="A205" s="13">
        <v>39630</v>
      </c>
      <c r="B205" s="18">
        <f>VLOOKUP(A205,Database!A:Q,MATCH($A$1,Database!$A$1:$Q$1,),)</f>
        <v>18635</v>
      </c>
      <c r="C205" s="15">
        <f t="shared" si="6"/>
        <v>-3.9020739790463972E-3</v>
      </c>
      <c r="D205" s="16">
        <f t="shared" si="5"/>
        <v>6.1008530396285494E-3</v>
      </c>
    </row>
    <row r="206" spans="1:4" x14ac:dyDescent="0.2">
      <c r="A206" s="14">
        <v>39661</v>
      </c>
      <c r="B206" s="18">
        <f>VLOOKUP(A206,Database!A:Q,MATCH($A$1,Database!$A$1:$Q$1,),)</f>
        <v>18524</v>
      </c>
      <c r="C206" s="15">
        <f t="shared" si="6"/>
        <v>-5.956533404883284E-3</v>
      </c>
      <c r="D206" s="16">
        <f t="shared" si="5"/>
        <v>1.784651992861392E-3</v>
      </c>
    </row>
    <row r="207" spans="1:4" x14ac:dyDescent="0.2">
      <c r="A207" s="13">
        <v>39692</v>
      </c>
      <c r="B207" s="18">
        <f>VLOOKUP(A207,Database!A:Q,MATCH($A$1,Database!$A$1:$Q$1,),)</f>
        <v>17560</v>
      </c>
      <c r="C207" s="15">
        <f t="shared" si="6"/>
        <v>-5.2040595983588858E-2</v>
      </c>
      <c r="D207" s="16">
        <f t="shared" si="5"/>
        <v>-4.6274169020204217E-2</v>
      </c>
    </row>
    <row r="208" spans="1:4" x14ac:dyDescent="0.2">
      <c r="A208" s="14">
        <v>39722</v>
      </c>
      <c r="B208" s="18">
        <f>VLOOKUP(A208,Database!A:Q,MATCH($A$1,Database!$A$1:$Q$1,),)</f>
        <v>17317</v>
      </c>
      <c r="C208" s="15">
        <f t="shared" si="6"/>
        <v>-1.3838268792710707E-2</v>
      </c>
      <c r="D208" s="16">
        <f t="shared" si="5"/>
        <v>-6.0441647224784331E-2</v>
      </c>
    </row>
    <row r="209" spans="1:4" x14ac:dyDescent="0.2">
      <c r="A209" s="13">
        <v>39753</v>
      </c>
      <c r="B209" s="18">
        <f>VLOOKUP(A209,Database!A:Q,MATCH($A$1,Database!$A$1:$Q$1,),)</f>
        <v>17173</v>
      </c>
      <c r="C209" s="15">
        <f t="shared" si="6"/>
        <v>-8.3155280937806785E-3</v>
      </c>
      <c r="D209" s="16">
        <f t="shared" si="5"/>
        <v>-8.4546084546084546E-2</v>
      </c>
    </row>
    <row r="210" spans="1:4" x14ac:dyDescent="0.2">
      <c r="A210" s="14">
        <v>39783</v>
      </c>
      <c r="B210" s="18">
        <f>VLOOKUP(A210,Database!A:Q,MATCH($A$1,Database!$A$1:$Q$1,),)</f>
        <v>16868</v>
      </c>
      <c r="C210" s="15">
        <f t="shared" si="6"/>
        <v>-1.7760437896698306E-2</v>
      </c>
      <c r="D210" s="16">
        <f t="shared" si="5"/>
        <v>-9.1653204092622509E-2</v>
      </c>
    </row>
    <row r="211" spans="1:4" x14ac:dyDescent="0.2">
      <c r="A211" s="13">
        <v>39814</v>
      </c>
      <c r="B211" s="18">
        <f>VLOOKUP(A211,Database!A:Q,MATCH($A$1,Database!$A$1:$Q$1,),)</f>
        <v>17159</v>
      </c>
      <c r="C211" s="15">
        <f t="shared" si="6"/>
        <v>1.7251600663979131E-2</v>
      </c>
      <c r="D211" s="16">
        <f t="shared" si="5"/>
        <v>-7.4587423147449039E-2</v>
      </c>
    </row>
    <row r="212" spans="1:4" x14ac:dyDescent="0.2">
      <c r="A212" s="14">
        <v>39845</v>
      </c>
      <c r="B212" s="18">
        <f>VLOOKUP(A212,Database!A:Q,MATCH($A$1,Database!$A$1:$Q$1,),)</f>
        <v>17401</v>
      </c>
      <c r="C212" s="15">
        <f t="shared" si="6"/>
        <v>1.4103385978203858E-2</v>
      </c>
      <c r="D212" s="16">
        <f t="shared" ref="D212:D275" si="7">(B212-B200)/B200</f>
        <v>-4.808533916849015E-2</v>
      </c>
    </row>
    <row r="213" spans="1:4" x14ac:dyDescent="0.2">
      <c r="A213" s="13">
        <v>39873</v>
      </c>
      <c r="B213" s="18">
        <f>VLOOKUP(A213,Database!A:Q,MATCH($A$1,Database!$A$1:$Q$1,),)</f>
        <v>16510</v>
      </c>
      <c r="C213" s="15">
        <f t="shared" si="6"/>
        <v>-5.1203953795758865E-2</v>
      </c>
      <c r="D213" s="16">
        <f t="shared" si="7"/>
        <v>-9.9683716872068923E-2</v>
      </c>
    </row>
    <row r="214" spans="1:4" x14ac:dyDescent="0.2">
      <c r="A214" s="14">
        <v>39904</v>
      </c>
      <c r="B214" s="18">
        <f>VLOOKUP(A214,Database!A:Q,MATCH($A$1,Database!$A$1:$Q$1,),)</f>
        <v>16900</v>
      </c>
      <c r="C214" s="15">
        <f t="shared" si="6"/>
        <v>2.3622047244094488E-2</v>
      </c>
      <c r="D214" s="16">
        <f t="shared" si="7"/>
        <v>-8.0722367275892076E-2</v>
      </c>
    </row>
    <row r="215" spans="1:4" x14ac:dyDescent="0.2">
      <c r="A215" s="13">
        <v>39934</v>
      </c>
      <c r="B215" s="18">
        <f>VLOOKUP(A215,Database!A:Q,MATCH($A$1,Database!$A$1:$Q$1,),)</f>
        <v>17038</v>
      </c>
      <c r="C215" s="15">
        <f t="shared" si="6"/>
        <v>8.1656804733727818E-3</v>
      </c>
      <c r="D215" s="16">
        <f t="shared" si="7"/>
        <v>-8.6042270142688559E-2</v>
      </c>
    </row>
    <row r="216" spans="1:4" x14ac:dyDescent="0.2">
      <c r="A216" s="14">
        <v>39965</v>
      </c>
      <c r="B216" s="18">
        <f>VLOOKUP(A216,Database!A:Q,MATCH($A$1,Database!$A$1:$Q$1,),)</f>
        <v>16817</v>
      </c>
      <c r="C216" s="15">
        <f t="shared" si="6"/>
        <v>-1.2971005986618147E-2</v>
      </c>
      <c r="D216" s="16">
        <f t="shared" si="7"/>
        <v>-0.10107975197776352</v>
      </c>
    </row>
    <row r="217" spans="1:4" x14ac:dyDescent="0.2">
      <c r="A217" s="13">
        <v>39995</v>
      </c>
      <c r="B217" s="18">
        <f>VLOOKUP(A217,Database!A:Q,MATCH($A$1,Database!$A$1:$Q$1,),)</f>
        <v>17015</v>
      </c>
      <c r="C217" s="15">
        <f t="shared" si="6"/>
        <v>1.1773800321103645E-2</v>
      </c>
      <c r="D217" s="16">
        <f t="shared" si="7"/>
        <v>-8.6933190233431712E-2</v>
      </c>
    </row>
    <row r="218" spans="1:4" x14ac:dyDescent="0.2">
      <c r="A218" s="14">
        <v>40026</v>
      </c>
      <c r="B218" s="18">
        <f>VLOOKUP(A218,Database!A:Q,MATCH($A$1,Database!$A$1:$Q$1,),)</f>
        <v>17233</v>
      </c>
      <c r="C218" s="15">
        <f t="shared" si="6"/>
        <v>1.2812224507787247E-2</v>
      </c>
      <c r="D218" s="16">
        <f t="shared" si="7"/>
        <v>-6.9693370762254375E-2</v>
      </c>
    </row>
    <row r="219" spans="1:4" x14ac:dyDescent="0.2">
      <c r="A219" s="13">
        <v>40057</v>
      </c>
      <c r="B219" s="18">
        <f>VLOOKUP(A219,Database!A:Q,MATCH($A$1,Database!$A$1:$Q$1,),)</f>
        <v>17172</v>
      </c>
      <c r="C219" s="15">
        <f t="shared" si="6"/>
        <v>-3.5397203040677771E-3</v>
      </c>
      <c r="D219" s="16">
        <f t="shared" si="7"/>
        <v>-2.2095671981776765E-2</v>
      </c>
    </row>
    <row r="220" spans="1:4" x14ac:dyDescent="0.2">
      <c r="A220" s="14">
        <v>40087</v>
      </c>
      <c r="B220" s="18">
        <f>VLOOKUP(A220,Database!A:Q,MATCH($A$1,Database!$A$1:$Q$1,),)</f>
        <v>17296</v>
      </c>
      <c r="C220" s="15">
        <f t="shared" si="6"/>
        <v>7.221057535522944E-3</v>
      </c>
      <c r="D220" s="16">
        <f t="shared" si="7"/>
        <v>-1.2126811803430154E-3</v>
      </c>
    </row>
    <row r="221" spans="1:4" x14ac:dyDescent="0.2">
      <c r="A221" s="13">
        <v>40118</v>
      </c>
      <c r="B221" s="18">
        <f>VLOOKUP(A221,Database!A:Q,MATCH($A$1,Database!$A$1:$Q$1,),)</f>
        <v>17105</v>
      </c>
      <c r="C221" s="15">
        <f t="shared" si="6"/>
        <v>-1.1043015726179464E-2</v>
      </c>
      <c r="D221" s="16">
        <f t="shared" si="7"/>
        <v>-3.9597041868048681E-3</v>
      </c>
    </row>
    <row r="222" spans="1:4" x14ac:dyDescent="0.2">
      <c r="A222" s="14">
        <v>40148</v>
      </c>
      <c r="B222" s="18">
        <f>VLOOKUP(A222,Database!A:Q,MATCH($A$1,Database!$A$1:$Q$1,),)</f>
        <v>17127</v>
      </c>
      <c r="C222" s="15">
        <f t="shared" si="6"/>
        <v>1.2861736334405145E-3</v>
      </c>
      <c r="D222" s="16">
        <f t="shared" si="7"/>
        <v>1.5354517429452217E-2</v>
      </c>
    </row>
    <row r="223" spans="1:4" x14ac:dyDescent="0.2">
      <c r="A223" s="13">
        <v>40179</v>
      </c>
      <c r="B223" s="18">
        <f>VLOOKUP(A223,Database!A:Q,MATCH($A$1,Database!$A$1:$Q$1,),)</f>
        <v>17346</v>
      </c>
      <c r="C223" s="15">
        <f t="shared" si="6"/>
        <v>1.278682781572955E-2</v>
      </c>
      <c r="D223" s="16">
        <f t="shared" si="7"/>
        <v>1.0898070983157527E-2</v>
      </c>
    </row>
    <row r="224" spans="1:4" x14ac:dyDescent="0.2">
      <c r="A224" s="14">
        <v>40210</v>
      </c>
      <c r="B224" s="18">
        <f>VLOOKUP(A224,Database!A:Q,MATCH($A$1,Database!$A$1:$Q$1,),)</f>
        <v>17404</v>
      </c>
      <c r="C224" s="15">
        <f t="shared" si="6"/>
        <v>3.3437103655021331E-3</v>
      </c>
      <c r="D224" s="16">
        <f t="shared" si="7"/>
        <v>1.7240388483420494E-4</v>
      </c>
    </row>
    <row r="225" spans="1:4" x14ac:dyDescent="0.2">
      <c r="A225" s="13">
        <v>40238</v>
      </c>
      <c r="B225" s="18">
        <f>VLOOKUP(A225,Database!A:Q,MATCH($A$1,Database!$A$1:$Q$1,),)</f>
        <v>17918</v>
      </c>
      <c r="C225" s="15">
        <f t="shared" si="6"/>
        <v>2.9533440588370489E-2</v>
      </c>
      <c r="D225" s="16">
        <f t="shared" si="7"/>
        <v>8.5281647486371889E-2</v>
      </c>
    </row>
    <row r="226" spans="1:4" x14ac:dyDescent="0.2">
      <c r="A226" s="14">
        <v>40269</v>
      </c>
      <c r="B226" s="18">
        <f>VLOOKUP(A226,Database!A:Q,MATCH($A$1,Database!$A$1:$Q$1,),)</f>
        <v>17705</v>
      </c>
      <c r="C226" s="15">
        <f t="shared" si="6"/>
        <v>-1.1887487442794956E-2</v>
      </c>
      <c r="D226" s="16">
        <f t="shared" si="7"/>
        <v>4.7633136094674559E-2</v>
      </c>
    </row>
    <row r="227" spans="1:4" x14ac:dyDescent="0.2">
      <c r="A227" s="13">
        <v>40299</v>
      </c>
      <c r="B227" s="18">
        <f>VLOOKUP(A227,Database!A:Q,MATCH($A$1,Database!$A$1:$Q$1,),)</f>
        <v>17653</v>
      </c>
      <c r="C227" s="15">
        <f t="shared" si="6"/>
        <v>-2.9370234397062978E-3</v>
      </c>
      <c r="D227" s="16">
        <f t="shared" si="7"/>
        <v>3.6095785890362719E-2</v>
      </c>
    </row>
    <row r="228" spans="1:4" x14ac:dyDescent="0.2">
      <c r="A228" s="14">
        <v>40330</v>
      </c>
      <c r="B228" s="18">
        <f>VLOOKUP(A228,Database!A:Q,MATCH($A$1,Database!$A$1:$Q$1,),)</f>
        <v>17522</v>
      </c>
      <c r="C228" s="15">
        <f t="shared" si="6"/>
        <v>-7.4208349855548628E-3</v>
      </c>
      <c r="D228" s="16">
        <f t="shared" si="7"/>
        <v>4.1921864779687221E-2</v>
      </c>
    </row>
    <row r="229" spans="1:4" x14ac:dyDescent="0.2">
      <c r="A229" s="13">
        <v>40360</v>
      </c>
      <c r="B229" s="18">
        <f>VLOOKUP(A229,Database!A:Q,MATCH($A$1,Database!$A$1:$Q$1,),)</f>
        <v>17578</v>
      </c>
      <c r="C229" s="15">
        <f t="shared" si="6"/>
        <v>3.1959821938134917E-3</v>
      </c>
      <c r="D229" s="16">
        <f t="shared" si="7"/>
        <v>3.3088451366441375E-2</v>
      </c>
    </row>
    <row r="230" spans="1:4" x14ac:dyDescent="0.2">
      <c r="A230" s="14">
        <v>40391</v>
      </c>
      <c r="B230" s="18">
        <f>VLOOKUP(A230,Database!A:Q,MATCH($A$1,Database!$A$1:$Q$1,),)</f>
        <v>17662</v>
      </c>
      <c r="C230" s="15">
        <f t="shared" si="6"/>
        <v>4.778700648537945E-3</v>
      </c>
      <c r="D230" s="16">
        <f t="shared" si="7"/>
        <v>2.4894098531886497E-2</v>
      </c>
    </row>
    <row r="231" spans="1:4" x14ac:dyDescent="0.2">
      <c r="A231" s="13">
        <v>40422</v>
      </c>
      <c r="B231" s="18">
        <f>VLOOKUP(A231,Database!A:Q,MATCH($A$1,Database!$A$1:$Q$1,),)</f>
        <v>17687</v>
      </c>
      <c r="C231" s="15">
        <f t="shared" si="6"/>
        <v>1.4154682368927641E-3</v>
      </c>
      <c r="D231" s="16">
        <f t="shared" si="7"/>
        <v>2.9990682506405776E-2</v>
      </c>
    </row>
    <row r="232" spans="1:4" x14ac:dyDescent="0.2">
      <c r="A232" s="14">
        <v>40452</v>
      </c>
      <c r="B232" s="18">
        <f>VLOOKUP(A232,Database!A:Q,MATCH($A$1,Database!$A$1:$Q$1,),)</f>
        <v>18000</v>
      </c>
      <c r="C232" s="15">
        <f t="shared" si="6"/>
        <v>1.7696613331825636E-2</v>
      </c>
      <c r="D232" s="16">
        <f t="shared" si="7"/>
        <v>4.0703052728954671E-2</v>
      </c>
    </row>
    <row r="233" spans="1:4" x14ac:dyDescent="0.2">
      <c r="A233" s="13">
        <v>40483</v>
      </c>
      <c r="B233" s="18">
        <f>VLOOKUP(A233,Database!A:Q,MATCH($A$1,Database!$A$1:$Q$1,),)</f>
        <v>18435</v>
      </c>
      <c r="C233" s="15">
        <f t="shared" si="6"/>
        <v>2.4166666666666666E-2</v>
      </c>
      <c r="D233" s="16">
        <f t="shared" si="7"/>
        <v>7.7755042385267467E-2</v>
      </c>
    </row>
    <row r="234" spans="1:4" x14ac:dyDescent="0.2">
      <c r="A234" s="14">
        <v>40513</v>
      </c>
      <c r="B234" s="18">
        <f>VLOOKUP(A234,Database!A:Q,MATCH($A$1,Database!$A$1:$Q$1,),)</f>
        <v>18178</v>
      </c>
      <c r="C234" s="15">
        <f t="shared" si="6"/>
        <v>-1.3940873338757797E-2</v>
      </c>
      <c r="D234" s="16">
        <f t="shared" si="7"/>
        <v>6.1365096047176972E-2</v>
      </c>
    </row>
    <row r="235" spans="1:4" x14ac:dyDescent="0.2">
      <c r="A235" s="13">
        <v>40544</v>
      </c>
      <c r="B235" s="18">
        <f>VLOOKUP(A235,Database!A:Q,MATCH($A$1,Database!$A$1:$Q$1,),)</f>
        <v>18363</v>
      </c>
      <c r="C235" s="15">
        <f t="shared" si="6"/>
        <v>1.0177137198811751E-2</v>
      </c>
      <c r="D235" s="16">
        <f t="shared" si="7"/>
        <v>5.863023175371844E-2</v>
      </c>
    </row>
    <row r="236" spans="1:4" x14ac:dyDescent="0.2">
      <c r="A236" s="14">
        <v>40575</v>
      </c>
      <c r="B236" s="18">
        <f>VLOOKUP(A236,Database!A:Q,MATCH($A$1,Database!$A$1:$Q$1,),)</f>
        <v>18592</v>
      </c>
      <c r="C236" s="15">
        <f t="shared" si="6"/>
        <v>1.2470729183684583E-2</v>
      </c>
      <c r="D236" s="16">
        <f t="shared" si="7"/>
        <v>6.8260170075844631E-2</v>
      </c>
    </row>
    <row r="237" spans="1:4" x14ac:dyDescent="0.2">
      <c r="A237" s="13">
        <v>40603</v>
      </c>
      <c r="B237" s="18">
        <f>VLOOKUP(A237,Database!A:Q,MATCH($A$1,Database!$A$1:$Q$1,),)</f>
        <v>18718</v>
      </c>
      <c r="C237" s="15">
        <f t="shared" si="6"/>
        <v>6.7771084337349399E-3</v>
      </c>
      <c r="D237" s="16">
        <f t="shared" si="7"/>
        <v>4.4647840160732227E-2</v>
      </c>
    </row>
    <row r="238" spans="1:4" x14ac:dyDescent="0.2">
      <c r="A238" s="14">
        <v>40634</v>
      </c>
      <c r="B238" s="18">
        <f>VLOOKUP(A238,Database!A:Q,MATCH($A$1,Database!$A$1:$Q$1,),)</f>
        <v>18957</v>
      </c>
      <c r="C238" s="15">
        <f t="shared" si="6"/>
        <v>1.2768458168607758E-2</v>
      </c>
      <c r="D238" s="16">
        <f t="shared" si="7"/>
        <v>7.0714487432928547E-2</v>
      </c>
    </row>
    <row r="239" spans="1:4" x14ac:dyDescent="0.2">
      <c r="A239" s="13">
        <v>40664</v>
      </c>
      <c r="B239" s="18">
        <f>VLOOKUP(A239,Database!A:Q,MATCH($A$1,Database!$A$1:$Q$1,),)</f>
        <v>18846</v>
      </c>
      <c r="C239" s="15">
        <f t="shared" si="6"/>
        <v>-5.8553568602626995E-3</v>
      </c>
      <c r="D239" s="16">
        <f t="shared" si="7"/>
        <v>6.7580581204327875E-2</v>
      </c>
    </row>
    <row r="240" spans="1:4" x14ac:dyDescent="0.2">
      <c r="A240" s="14">
        <v>40695</v>
      </c>
      <c r="B240" s="18">
        <f>VLOOKUP(A240,Database!A:Q,MATCH($A$1,Database!$A$1:$Q$1,),)</f>
        <v>19182</v>
      </c>
      <c r="C240" s="15">
        <f t="shared" si="6"/>
        <v>1.7828716969118114E-2</v>
      </c>
      <c r="D240" s="16">
        <f t="shared" si="7"/>
        <v>9.4738043602328501E-2</v>
      </c>
    </row>
    <row r="241" spans="1:4" x14ac:dyDescent="0.2">
      <c r="A241" s="13">
        <v>40725</v>
      </c>
      <c r="B241" s="18">
        <f>VLOOKUP(A241,Database!A:Q,MATCH($A$1,Database!$A$1:$Q$1,),)</f>
        <v>18998</v>
      </c>
      <c r="C241" s="15">
        <f t="shared" si="6"/>
        <v>-9.5923261390887284E-3</v>
      </c>
      <c r="D241" s="16">
        <f t="shared" si="7"/>
        <v>8.0782796677665261E-2</v>
      </c>
    </row>
    <row r="242" spans="1:4" x14ac:dyDescent="0.2">
      <c r="A242" s="14">
        <v>40756</v>
      </c>
      <c r="B242" s="18">
        <f>VLOOKUP(A242,Database!A:Q,MATCH($A$1,Database!$A$1:$Q$1,),)</f>
        <v>18922</v>
      </c>
      <c r="C242" s="15">
        <f t="shared" si="6"/>
        <v>-4.0004210969575744E-3</v>
      </c>
      <c r="D242" s="16">
        <f t="shared" si="7"/>
        <v>7.1339599139395318E-2</v>
      </c>
    </row>
    <row r="243" spans="1:4" x14ac:dyDescent="0.2">
      <c r="A243" s="13">
        <v>40787</v>
      </c>
      <c r="B243" s="18">
        <f>VLOOKUP(A243,Database!A:Q,MATCH($A$1,Database!$A$1:$Q$1,),)</f>
        <v>19489</v>
      </c>
      <c r="C243" s="15">
        <f t="shared" si="6"/>
        <v>2.9965119966176935E-2</v>
      </c>
      <c r="D243" s="16">
        <f t="shared" si="7"/>
        <v>0.10188273873466387</v>
      </c>
    </row>
    <row r="244" spans="1:4" x14ac:dyDescent="0.2">
      <c r="A244" s="14">
        <v>40817</v>
      </c>
      <c r="B244" s="18">
        <f>VLOOKUP(A244,Database!A:Q,MATCH($A$1,Database!$A$1:$Q$1,),)</f>
        <v>19136</v>
      </c>
      <c r="C244" s="15">
        <f t="shared" si="6"/>
        <v>-1.8112781569090255E-2</v>
      </c>
      <c r="D244" s="16">
        <f t="shared" si="7"/>
        <v>6.3111111111111118E-2</v>
      </c>
    </row>
    <row r="245" spans="1:4" x14ac:dyDescent="0.2">
      <c r="A245" s="13">
        <v>40848</v>
      </c>
      <c r="B245" s="18">
        <f>VLOOKUP(A245,Database!A:Q,MATCH($A$1,Database!$A$1:$Q$1,),)</f>
        <v>19311</v>
      </c>
      <c r="C245" s="15">
        <f t="shared" si="6"/>
        <v>9.1450668896321079E-3</v>
      </c>
      <c r="D245" s="16">
        <f t="shared" si="7"/>
        <v>4.7518307567127743E-2</v>
      </c>
    </row>
    <row r="246" spans="1:4" x14ac:dyDescent="0.2">
      <c r="A246" s="14">
        <v>40878</v>
      </c>
      <c r="B246" s="18">
        <f>VLOOKUP(A246,Database!A:Q,MATCH($A$1,Database!$A$1:$Q$1,),)</f>
        <v>19494</v>
      </c>
      <c r="C246" s="15">
        <f t="shared" si="6"/>
        <v>9.4764641913935056E-3</v>
      </c>
      <c r="D246" s="16">
        <f t="shared" si="7"/>
        <v>7.2395202992628457E-2</v>
      </c>
    </row>
    <row r="247" spans="1:4" x14ac:dyDescent="0.2">
      <c r="A247" s="13">
        <v>40909</v>
      </c>
      <c r="B247" s="18">
        <f>VLOOKUP(A247,Database!A:Q,MATCH($A$1,Database!$A$1:$Q$1,),)</f>
        <v>19588</v>
      </c>
      <c r="C247" s="15">
        <f t="shared" si="6"/>
        <v>4.8219965117472039E-3</v>
      </c>
      <c r="D247" s="16">
        <f t="shared" si="7"/>
        <v>6.671023253281054E-2</v>
      </c>
    </row>
    <row r="248" spans="1:4" x14ac:dyDescent="0.2">
      <c r="A248" s="14">
        <v>40940</v>
      </c>
      <c r="B248" s="18">
        <f>VLOOKUP(A248,Database!A:Q,MATCH($A$1,Database!$A$1:$Q$1,),)</f>
        <v>20269</v>
      </c>
      <c r="C248" s="15">
        <f t="shared" si="6"/>
        <v>3.4766183377578107E-2</v>
      </c>
      <c r="D248" s="16">
        <f t="shared" si="7"/>
        <v>9.0200086058519799E-2</v>
      </c>
    </row>
    <row r="249" spans="1:4" x14ac:dyDescent="0.2">
      <c r="A249" s="13">
        <v>40969</v>
      </c>
      <c r="B249" s="18">
        <f>VLOOKUP(A249,Database!A:Q,MATCH($A$1,Database!$A$1:$Q$1,),)</f>
        <v>20058</v>
      </c>
      <c r="C249" s="15">
        <f t="shared" si="6"/>
        <v>-1.0409985692436726E-2</v>
      </c>
      <c r="D249" s="16">
        <f t="shared" si="7"/>
        <v>7.158884496206859E-2</v>
      </c>
    </row>
    <row r="250" spans="1:4" x14ac:dyDescent="0.2">
      <c r="A250" s="14">
        <v>41000</v>
      </c>
      <c r="B250" s="18">
        <f>VLOOKUP(A250,Database!A:Q,MATCH($A$1,Database!$A$1:$Q$1,),)</f>
        <v>19533</v>
      </c>
      <c r="C250" s="15">
        <f t="shared" si="6"/>
        <v>-2.6174095124139995E-2</v>
      </c>
      <c r="D250" s="16">
        <f t="shared" si="7"/>
        <v>3.0384554518119954E-2</v>
      </c>
    </row>
    <row r="251" spans="1:4" x14ac:dyDescent="0.2">
      <c r="A251" s="13">
        <v>41030</v>
      </c>
      <c r="B251" s="18">
        <f>VLOOKUP(A251,Database!A:Q,MATCH($A$1,Database!$A$1:$Q$1,),)</f>
        <v>19657</v>
      </c>
      <c r="C251" s="15">
        <f t="shared" si="6"/>
        <v>6.3482311984846161E-3</v>
      </c>
      <c r="D251" s="16">
        <f t="shared" si="7"/>
        <v>4.3033004351055927E-2</v>
      </c>
    </row>
    <row r="252" spans="1:4" x14ac:dyDescent="0.2">
      <c r="A252" s="14">
        <v>41061</v>
      </c>
      <c r="B252" s="18">
        <f>VLOOKUP(A252,Database!A:Q,MATCH($A$1,Database!$A$1:$Q$1,),)</f>
        <v>19878</v>
      </c>
      <c r="C252" s="15">
        <f t="shared" si="6"/>
        <v>1.1242814264638551E-2</v>
      </c>
      <c r="D252" s="16">
        <f t="shared" si="7"/>
        <v>3.6284016265248673E-2</v>
      </c>
    </row>
    <row r="253" spans="1:4" x14ac:dyDescent="0.2">
      <c r="A253" s="13">
        <v>41091</v>
      </c>
      <c r="B253" s="18">
        <f>VLOOKUP(A253,Database!A:Q,MATCH($A$1,Database!$A$1:$Q$1,),)</f>
        <v>19724</v>
      </c>
      <c r="C253" s="15">
        <f t="shared" si="6"/>
        <v>-7.7472582754804309E-3</v>
      </c>
      <c r="D253" s="16">
        <f t="shared" si="7"/>
        <v>3.8214548899884196E-2</v>
      </c>
    </row>
    <row r="254" spans="1:4" x14ac:dyDescent="0.2">
      <c r="A254" s="14">
        <v>41122</v>
      </c>
      <c r="B254" s="18">
        <f>VLOOKUP(A254,Database!A:Q,MATCH($A$1,Database!$A$1:$Q$1,),)</f>
        <v>19931</v>
      </c>
      <c r="C254" s="15">
        <f t="shared" si="6"/>
        <v>1.0494828635165281E-2</v>
      </c>
      <c r="D254" s="16">
        <f t="shared" si="7"/>
        <v>5.3324172920410105E-2</v>
      </c>
    </row>
    <row r="255" spans="1:4" x14ac:dyDescent="0.2">
      <c r="A255" s="13">
        <v>41153</v>
      </c>
      <c r="B255" s="18">
        <f>VLOOKUP(A255,Database!A:Q,MATCH($A$1,Database!$A$1:$Q$1,),)</f>
        <v>20119</v>
      </c>
      <c r="C255" s="15">
        <f t="shared" si="6"/>
        <v>9.4325422708343779E-3</v>
      </c>
      <c r="D255" s="16">
        <f t="shared" si="7"/>
        <v>3.2325927446251734E-2</v>
      </c>
    </row>
    <row r="256" spans="1:4" x14ac:dyDescent="0.2">
      <c r="A256" s="14">
        <v>41183</v>
      </c>
      <c r="B256" s="18">
        <f>VLOOKUP(A256,Database!A:Q,MATCH($A$1,Database!$A$1:$Q$1,),)</f>
        <v>19939</v>
      </c>
      <c r="C256" s="15">
        <f t="shared" si="6"/>
        <v>-8.9467667379094385E-3</v>
      </c>
      <c r="D256" s="16">
        <f t="shared" si="7"/>
        <v>4.1962792642140471E-2</v>
      </c>
    </row>
    <row r="257" spans="1:4" x14ac:dyDescent="0.2">
      <c r="A257" s="13">
        <v>41214</v>
      </c>
      <c r="B257" s="18">
        <f>VLOOKUP(A257,Database!A:Q,MATCH($A$1,Database!$A$1:$Q$1,),)</f>
        <v>19972</v>
      </c>
      <c r="C257" s="15">
        <f t="shared" si="6"/>
        <v>1.6550478960830532E-3</v>
      </c>
      <c r="D257" s="16">
        <f t="shared" si="7"/>
        <v>3.4229195795142664E-2</v>
      </c>
    </row>
    <row r="258" spans="1:4" x14ac:dyDescent="0.2">
      <c r="A258" s="14">
        <v>41244</v>
      </c>
      <c r="B258" s="18">
        <f>VLOOKUP(A258,Database!A:Q,MATCH($A$1,Database!$A$1:$Q$1,),)</f>
        <v>20162</v>
      </c>
      <c r="C258" s="15">
        <f t="shared" si="6"/>
        <v>9.5133186461045464E-3</v>
      </c>
      <c r="D258" s="16">
        <f t="shared" si="7"/>
        <v>3.4266953934543959E-2</v>
      </c>
    </row>
    <row r="259" spans="1:4" x14ac:dyDescent="0.2">
      <c r="A259" s="13">
        <v>41275</v>
      </c>
      <c r="B259" s="18">
        <f>VLOOKUP(A259,Database!A:Q,MATCH($A$1,Database!$A$1:$Q$1,),)</f>
        <v>20434</v>
      </c>
      <c r="C259" s="15">
        <f t="shared" si="6"/>
        <v>1.3490725126475547E-2</v>
      </c>
      <c r="D259" s="16">
        <f t="shared" si="7"/>
        <v>4.3189707984480297E-2</v>
      </c>
    </row>
    <row r="260" spans="1:4" x14ac:dyDescent="0.2">
      <c r="A260" s="14">
        <v>41306</v>
      </c>
      <c r="B260" s="18">
        <f>VLOOKUP(A260,Database!A:Q,MATCH($A$1,Database!$A$1:$Q$1,),)</f>
        <v>20305</v>
      </c>
      <c r="C260" s="15">
        <f t="shared" si="6"/>
        <v>-6.3130077322110208E-3</v>
      </c>
      <c r="D260" s="16">
        <f t="shared" si="7"/>
        <v>1.7761113029749864E-3</v>
      </c>
    </row>
    <row r="261" spans="1:4" x14ac:dyDescent="0.2">
      <c r="A261" s="13">
        <v>41334</v>
      </c>
      <c r="B261" s="18">
        <f>VLOOKUP(A261,Database!A:Q,MATCH($A$1,Database!$A$1:$Q$1,),)</f>
        <v>20316</v>
      </c>
      <c r="C261" s="15">
        <f t="shared" si="6"/>
        <v>5.4173848805712883E-4</v>
      </c>
      <c r="D261" s="16">
        <f t="shared" si="7"/>
        <v>1.2862698175291655E-2</v>
      </c>
    </row>
    <row r="262" spans="1:4" x14ac:dyDescent="0.2">
      <c r="A262" s="14">
        <v>41365</v>
      </c>
      <c r="B262" s="18">
        <f>VLOOKUP(A262,Database!A:Q,MATCH($A$1,Database!$A$1:$Q$1,),)</f>
        <v>20498</v>
      </c>
      <c r="C262" s="15">
        <f t="shared" si="6"/>
        <v>8.9584563890529635E-3</v>
      </c>
      <c r="D262" s="16">
        <f t="shared" si="7"/>
        <v>4.9403573439819791E-2</v>
      </c>
    </row>
    <row r="263" spans="1:4" x14ac:dyDescent="0.2">
      <c r="A263" s="13">
        <v>41395</v>
      </c>
      <c r="B263" s="18">
        <f>VLOOKUP(A263,Database!A:Q,MATCH($A$1,Database!$A$1:$Q$1,),)</f>
        <v>20376</v>
      </c>
      <c r="C263" s="15">
        <f t="shared" si="6"/>
        <v>-5.9518001756268908E-3</v>
      </c>
      <c r="D263" s="16">
        <f t="shared" si="7"/>
        <v>3.6577300707127232E-2</v>
      </c>
    </row>
    <row r="264" spans="1:4" x14ac:dyDescent="0.2">
      <c r="A264" s="14">
        <v>41426</v>
      </c>
      <c r="B264" s="18">
        <f>VLOOKUP(A264,Database!A:Q,MATCH($A$1,Database!$A$1:$Q$1,),)</f>
        <v>20368</v>
      </c>
      <c r="C264" s="15">
        <f t="shared" si="6"/>
        <v>-3.9261876717707107E-4</v>
      </c>
      <c r="D264" s="16">
        <f t="shared" si="7"/>
        <v>2.4650367240165005E-2</v>
      </c>
    </row>
    <row r="265" spans="1:4" x14ac:dyDescent="0.2">
      <c r="A265" s="13">
        <v>41456</v>
      </c>
      <c r="B265" s="18">
        <f>VLOOKUP(A265,Database!A:Q,MATCH($A$1,Database!$A$1:$Q$1,),)</f>
        <v>20578</v>
      </c>
      <c r="C265" s="15">
        <f t="shared" ref="C265:C328" si="8">(B265-B264)/B264</f>
        <v>1.0310290652003142E-2</v>
      </c>
      <c r="D265" s="16">
        <f t="shared" si="7"/>
        <v>4.3297505576962075E-2</v>
      </c>
    </row>
    <row r="266" spans="1:4" x14ac:dyDescent="0.2">
      <c r="A266" s="14">
        <v>41487</v>
      </c>
      <c r="B266" s="18">
        <f>VLOOKUP(A266,Database!A:Q,MATCH($A$1,Database!$A$1:$Q$1,),)</f>
        <v>20315</v>
      </c>
      <c r="C266" s="15">
        <f t="shared" si="8"/>
        <v>-1.2780639517931772E-2</v>
      </c>
      <c r="D266" s="16">
        <f t="shared" si="7"/>
        <v>1.9266469319151071E-2</v>
      </c>
    </row>
    <row r="267" spans="1:4" x14ac:dyDescent="0.2">
      <c r="A267" s="13">
        <v>41518</v>
      </c>
      <c r="B267" s="18">
        <f>VLOOKUP(A267,Database!A:Q,MATCH($A$1,Database!$A$1:$Q$1,),)</f>
        <v>20305</v>
      </c>
      <c r="C267" s="15">
        <f t="shared" si="8"/>
        <v>-4.9224710804824019E-4</v>
      </c>
      <c r="D267" s="16">
        <f t="shared" si="7"/>
        <v>9.2449922958397542E-3</v>
      </c>
    </row>
    <row r="268" spans="1:4" x14ac:dyDescent="0.2">
      <c r="A268" s="14">
        <v>41548</v>
      </c>
      <c r="B268" s="18">
        <f>VLOOKUP(A268,Database!A:Q,MATCH($A$1,Database!$A$1:$Q$1,),)</f>
        <v>20790</v>
      </c>
      <c r="C268" s="15">
        <f t="shared" si="8"/>
        <v>2.3885742427973405E-2</v>
      </c>
      <c r="D268" s="16">
        <f t="shared" si="7"/>
        <v>4.2680174532323589E-2</v>
      </c>
    </row>
    <row r="269" spans="1:4" x14ac:dyDescent="0.2">
      <c r="A269" s="13">
        <v>41579</v>
      </c>
      <c r="B269" s="18">
        <f>VLOOKUP(A269,Database!A:Q,MATCH($A$1,Database!$A$1:$Q$1,),)</f>
        <v>20279</v>
      </c>
      <c r="C269" s="15">
        <f t="shared" si="8"/>
        <v>-2.4579124579124579E-2</v>
      </c>
      <c r="D269" s="16">
        <f t="shared" si="7"/>
        <v>1.5371520128179451E-2</v>
      </c>
    </row>
    <row r="270" spans="1:4" x14ac:dyDescent="0.2">
      <c r="A270" s="14">
        <v>41609</v>
      </c>
      <c r="B270" s="18">
        <f>VLOOKUP(A270,Database!A:Q,MATCH($A$1,Database!$A$1:$Q$1,),)</f>
        <v>20565</v>
      </c>
      <c r="C270" s="15">
        <f t="shared" si="8"/>
        <v>1.4103259529562602E-2</v>
      </c>
      <c r="D270" s="16">
        <f t="shared" si="7"/>
        <v>1.9988096419006052E-2</v>
      </c>
    </row>
    <row r="271" spans="1:4" x14ac:dyDescent="0.2">
      <c r="A271" s="13">
        <v>41640</v>
      </c>
      <c r="B271" s="18">
        <f>VLOOKUP(A271,Database!A:Q,MATCH($A$1,Database!$A$1:$Q$1,),)</f>
        <v>20517</v>
      </c>
      <c r="C271" s="15">
        <f t="shared" si="8"/>
        <v>-2.3340627279358132E-3</v>
      </c>
      <c r="D271" s="16">
        <f t="shared" si="7"/>
        <v>4.0618576881667808E-3</v>
      </c>
    </row>
    <row r="272" spans="1:4" x14ac:dyDescent="0.2">
      <c r="A272" s="14">
        <v>41671</v>
      </c>
      <c r="B272" s="18">
        <f>VLOOKUP(A272,Database!A:Q,MATCH($A$1,Database!$A$1:$Q$1,),)</f>
        <v>20543</v>
      </c>
      <c r="C272" s="15">
        <f t="shared" si="8"/>
        <v>1.2672417994833553E-3</v>
      </c>
      <c r="D272" s="16">
        <f t="shared" si="7"/>
        <v>1.1721250923417878E-2</v>
      </c>
    </row>
    <row r="273" spans="1:4" x14ac:dyDescent="0.2">
      <c r="A273" s="13">
        <v>41699</v>
      </c>
      <c r="B273" s="18">
        <f>VLOOKUP(A273,Database!A:Q,MATCH($A$1,Database!$A$1:$Q$1,),)</f>
        <v>20667</v>
      </c>
      <c r="C273" s="15">
        <f t="shared" si="8"/>
        <v>6.0361193593924936E-3</v>
      </c>
      <c r="D273" s="16">
        <f t="shared" si="7"/>
        <v>1.7277023036030716E-2</v>
      </c>
    </row>
    <row r="274" spans="1:4" x14ac:dyDescent="0.2">
      <c r="A274" s="14">
        <v>41730</v>
      </c>
      <c r="B274" s="18">
        <f>VLOOKUP(A274,Database!A:Q,MATCH($A$1,Database!$A$1:$Q$1,),)</f>
        <v>21161</v>
      </c>
      <c r="C274" s="15">
        <f t="shared" si="8"/>
        <v>2.390284027676973E-2</v>
      </c>
      <c r="D274" s="16">
        <f t="shared" si="7"/>
        <v>3.2344618987218264E-2</v>
      </c>
    </row>
    <row r="275" spans="1:4" x14ac:dyDescent="0.2">
      <c r="A275" s="13">
        <v>41760</v>
      </c>
      <c r="B275" s="18">
        <f>VLOOKUP(A275,Database!A:Q,MATCH($A$1,Database!$A$1:$Q$1,),)</f>
        <v>20765</v>
      </c>
      <c r="C275" s="15">
        <f t="shared" si="8"/>
        <v>-1.8713671376589008E-2</v>
      </c>
      <c r="D275" s="16">
        <f t="shared" si="7"/>
        <v>1.909108755398508E-2</v>
      </c>
    </row>
    <row r="276" spans="1:4" x14ac:dyDescent="0.2">
      <c r="A276" s="14">
        <v>41791</v>
      </c>
      <c r="B276" s="18">
        <f>VLOOKUP(A276,Database!A:Q,MATCH($A$1,Database!$A$1:$Q$1,),)</f>
        <v>20799</v>
      </c>
      <c r="C276" s="15">
        <f t="shared" si="8"/>
        <v>1.6373705754875994E-3</v>
      </c>
      <c r="D276" s="16">
        <f t="shared" ref="D276:D335" si="9">(B276-B264)/B264</f>
        <v>2.116064414768264E-2</v>
      </c>
    </row>
    <row r="277" spans="1:4" x14ac:dyDescent="0.2">
      <c r="A277" s="13">
        <v>41821</v>
      </c>
      <c r="B277" s="18">
        <f>VLOOKUP(A277,Database!A:Q,MATCH($A$1,Database!$A$1:$Q$1,),)</f>
        <v>20918</v>
      </c>
      <c r="C277" s="15">
        <f t="shared" si="8"/>
        <v>5.7214289148516759E-3</v>
      </c>
      <c r="D277" s="16">
        <f t="shared" si="9"/>
        <v>1.6522499757022063E-2</v>
      </c>
    </row>
    <row r="278" spans="1:4" x14ac:dyDescent="0.2">
      <c r="A278" s="14">
        <v>41852</v>
      </c>
      <c r="B278" s="18">
        <f>VLOOKUP(A278,Database!A:Q,MATCH($A$1,Database!$A$1:$Q$1,),)</f>
        <v>21035</v>
      </c>
      <c r="C278" s="15">
        <f t="shared" si="8"/>
        <v>5.5932689549670137E-3</v>
      </c>
      <c r="D278" s="16">
        <f t="shared" si="9"/>
        <v>3.5441791779473299E-2</v>
      </c>
    </row>
    <row r="279" spans="1:4" x14ac:dyDescent="0.2">
      <c r="A279" s="13">
        <v>41883</v>
      </c>
      <c r="B279" s="18">
        <f>VLOOKUP(A279,Database!A:Q,MATCH($A$1,Database!$A$1:$Q$1,),)</f>
        <v>20830</v>
      </c>
      <c r="C279" s="15">
        <f t="shared" si="8"/>
        <v>-9.7456619919182308E-3</v>
      </c>
      <c r="D279" s="16">
        <f t="shared" si="9"/>
        <v>2.5855700566362966E-2</v>
      </c>
    </row>
    <row r="280" spans="1:4" x14ac:dyDescent="0.2">
      <c r="A280" s="14">
        <v>41913</v>
      </c>
      <c r="B280" s="18">
        <f>VLOOKUP(A280,Database!A:Q,MATCH($A$1,Database!$A$1:$Q$1,),)</f>
        <v>21121</v>
      </c>
      <c r="C280" s="15">
        <f t="shared" si="8"/>
        <v>1.3970235237638021E-2</v>
      </c>
      <c r="D280" s="16">
        <f t="shared" si="9"/>
        <v>1.5921115921115923E-2</v>
      </c>
    </row>
    <row r="281" spans="1:4" x14ac:dyDescent="0.2">
      <c r="A281" s="13">
        <v>41944</v>
      </c>
      <c r="B281" s="18">
        <f>VLOOKUP(A281,Database!A:Q,MATCH($A$1,Database!$A$1:$Q$1,),)</f>
        <v>21394</v>
      </c>
      <c r="C281" s="15">
        <f t="shared" si="8"/>
        <v>1.2925524359642062E-2</v>
      </c>
      <c r="D281" s="16">
        <f t="shared" si="9"/>
        <v>5.4982987326791265E-2</v>
      </c>
    </row>
    <row r="282" spans="1:4" x14ac:dyDescent="0.2">
      <c r="A282" s="14">
        <v>41974</v>
      </c>
      <c r="B282" s="18">
        <f>VLOOKUP(A282,Database!A:Q,MATCH($A$1,Database!$A$1:$Q$1,),)</f>
        <v>21296</v>
      </c>
      <c r="C282" s="15">
        <f t="shared" si="8"/>
        <v>-4.5807235673553329E-3</v>
      </c>
      <c r="D282" s="16">
        <f t="shared" si="9"/>
        <v>3.554583029418916E-2</v>
      </c>
    </row>
    <row r="283" spans="1:4" x14ac:dyDescent="0.2">
      <c r="A283" s="13">
        <v>42005</v>
      </c>
      <c r="B283" s="18">
        <f>VLOOKUP(A283,Database!A:Q,MATCH($A$1,Database!$A$1:$Q$1,),)</f>
        <v>21039</v>
      </c>
      <c r="C283" s="15">
        <f t="shared" si="8"/>
        <v>-1.2067993989481593E-2</v>
      </c>
      <c r="D283" s="16">
        <f t="shared" si="9"/>
        <v>2.5442316128088904E-2</v>
      </c>
    </row>
    <row r="284" spans="1:4" x14ac:dyDescent="0.2">
      <c r="A284" s="14">
        <v>42036</v>
      </c>
      <c r="B284" s="18">
        <f>VLOOKUP(A284,Database!A:Q,MATCH($A$1,Database!$A$1:$Q$1,),)</f>
        <v>21326</v>
      </c>
      <c r="C284" s="15">
        <f t="shared" si="8"/>
        <v>1.3641332762964019E-2</v>
      </c>
      <c r="D284" s="16">
        <f t="shared" si="9"/>
        <v>3.8115173051647765E-2</v>
      </c>
    </row>
    <row r="285" spans="1:4" x14ac:dyDescent="0.2">
      <c r="A285" s="13">
        <v>42064</v>
      </c>
      <c r="B285" s="18">
        <f>VLOOKUP(A285,Database!A:Q,MATCH($A$1,Database!$A$1:$Q$1,),)</f>
        <v>21381</v>
      </c>
      <c r="C285" s="15">
        <f t="shared" si="8"/>
        <v>2.5790115352152302E-3</v>
      </c>
      <c r="D285" s="16">
        <f t="shared" si="9"/>
        <v>3.4547829873711716E-2</v>
      </c>
    </row>
    <row r="286" spans="1:4" x14ac:dyDescent="0.2">
      <c r="A286" s="14">
        <v>42095</v>
      </c>
      <c r="B286" s="18">
        <f>VLOOKUP(A286,Database!A:Q,MATCH($A$1,Database!$A$1:$Q$1,),)</f>
        <v>21444</v>
      </c>
      <c r="C286" s="15">
        <f t="shared" si="8"/>
        <v>2.9465413217342499E-3</v>
      </c>
      <c r="D286" s="16">
        <f t="shared" si="9"/>
        <v>1.3373659089835075E-2</v>
      </c>
    </row>
    <row r="287" spans="1:4" x14ac:dyDescent="0.2">
      <c r="A287" s="13">
        <v>42125</v>
      </c>
      <c r="B287" s="18">
        <f>VLOOKUP(A287,Database!A:Q,MATCH($A$1,Database!$A$1:$Q$1,),)</f>
        <v>21626</v>
      </c>
      <c r="C287" s="15">
        <f t="shared" si="8"/>
        <v>8.4872225331094949E-3</v>
      </c>
      <c r="D287" s="16">
        <f t="shared" si="9"/>
        <v>4.1464001926318321E-2</v>
      </c>
    </row>
    <row r="288" spans="1:4" x14ac:dyDescent="0.2">
      <c r="A288" s="14">
        <v>42156</v>
      </c>
      <c r="B288" s="18">
        <f>VLOOKUP(A288,Database!A:Q,MATCH($A$1,Database!$A$1:$Q$1,),)</f>
        <v>21391</v>
      </c>
      <c r="C288" s="15">
        <f t="shared" si="8"/>
        <v>-1.0866549523721446E-2</v>
      </c>
      <c r="D288" s="16">
        <f t="shared" si="9"/>
        <v>2.8462906870522622E-2</v>
      </c>
    </row>
    <row r="289" spans="1:4" x14ac:dyDescent="0.2">
      <c r="A289" s="13">
        <v>42186</v>
      </c>
      <c r="B289" s="18">
        <f>VLOOKUP(A289,Database!A:Q,MATCH($A$1,Database!$A$1:$Q$1,),)</f>
        <v>21548</v>
      </c>
      <c r="C289" s="15">
        <f t="shared" si="8"/>
        <v>7.3395353185919309E-3</v>
      </c>
      <c r="D289" s="16">
        <f t="shared" si="9"/>
        <v>3.0117602065207E-2</v>
      </c>
    </row>
    <row r="290" spans="1:4" x14ac:dyDescent="0.2">
      <c r="A290" s="14">
        <v>42217</v>
      </c>
      <c r="B290" s="18">
        <f>VLOOKUP(A290,Database!A:Q,MATCH($A$1,Database!$A$1:$Q$1,),)</f>
        <v>21587</v>
      </c>
      <c r="C290" s="15">
        <f t="shared" si="8"/>
        <v>1.8099127529237053E-3</v>
      </c>
      <c r="D290" s="16">
        <f t="shared" si="9"/>
        <v>2.6241977656287139E-2</v>
      </c>
    </row>
    <row r="291" spans="1:4" x14ac:dyDescent="0.2">
      <c r="A291" s="13">
        <v>42248</v>
      </c>
      <c r="B291" s="18">
        <f>VLOOKUP(A291,Database!A:Q,MATCH($A$1,Database!$A$1:$Q$1,),)</f>
        <v>21446</v>
      </c>
      <c r="C291" s="15">
        <f t="shared" si="8"/>
        <v>-6.5317088988743228E-3</v>
      </c>
      <c r="D291" s="16">
        <f t="shared" si="9"/>
        <v>2.9572731637061929E-2</v>
      </c>
    </row>
    <row r="292" spans="1:4" x14ac:dyDescent="0.2">
      <c r="A292" s="14">
        <v>42278</v>
      </c>
      <c r="B292" s="18">
        <f>VLOOKUP(A292,Database!A:Q,MATCH($A$1,Database!$A$1:$Q$1,),)</f>
        <v>21239</v>
      </c>
      <c r="C292" s="15">
        <f t="shared" si="8"/>
        <v>-9.6521495850041966E-3</v>
      </c>
      <c r="D292" s="16">
        <f t="shared" si="9"/>
        <v>5.5868566829222104E-3</v>
      </c>
    </row>
    <row r="293" spans="1:4" x14ac:dyDescent="0.2">
      <c r="A293" s="13">
        <v>42309</v>
      </c>
      <c r="B293" s="18">
        <f>VLOOKUP(A293,Database!A:Q,MATCH($A$1,Database!$A$1:$Q$1,),)</f>
        <v>21348</v>
      </c>
      <c r="C293" s="15">
        <f t="shared" si="8"/>
        <v>5.132068364800603E-3</v>
      </c>
      <c r="D293" s="16">
        <f t="shared" si="9"/>
        <v>-2.1501355520239318E-3</v>
      </c>
    </row>
    <row r="294" spans="1:4" x14ac:dyDescent="0.2">
      <c r="A294" s="14">
        <v>42339</v>
      </c>
      <c r="B294" s="18">
        <f>VLOOKUP(A294,Database!A:Q,MATCH($A$1,Database!$A$1:$Q$1,),)</f>
        <v>21506</v>
      </c>
      <c r="C294" s="15">
        <f t="shared" si="8"/>
        <v>7.4011617013303357E-3</v>
      </c>
      <c r="D294" s="16">
        <f t="shared" si="9"/>
        <v>9.8610067618332079E-3</v>
      </c>
    </row>
    <row r="295" spans="1:4" x14ac:dyDescent="0.2">
      <c r="A295" s="13">
        <v>42370</v>
      </c>
      <c r="B295" s="18">
        <f>VLOOKUP(A295,Database!A:Q,MATCH($A$1,Database!$A$1:$Q$1,),)</f>
        <v>21289</v>
      </c>
      <c r="C295" s="15">
        <f t="shared" si="8"/>
        <v>-1.0090207383985864E-2</v>
      </c>
      <c r="D295" s="16">
        <f t="shared" si="9"/>
        <v>1.1882694044393745E-2</v>
      </c>
    </row>
    <row r="296" spans="1:4" x14ac:dyDescent="0.2">
      <c r="A296" s="14">
        <v>42401</v>
      </c>
      <c r="B296" s="18">
        <f>VLOOKUP(A296,Database!A:Q,MATCH($A$1,Database!$A$1:$Q$1,),)</f>
        <v>21962</v>
      </c>
      <c r="C296" s="15">
        <f t="shared" si="8"/>
        <v>3.1612569871764758E-2</v>
      </c>
      <c r="D296" s="16">
        <f t="shared" si="9"/>
        <v>2.9822751570852481E-2</v>
      </c>
    </row>
    <row r="297" spans="1:4" x14ac:dyDescent="0.2">
      <c r="A297" s="13">
        <v>42430</v>
      </c>
      <c r="B297" s="18">
        <f>VLOOKUP(A297,Database!A:Q,MATCH($A$1,Database!$A$1:$Q$1,),)</f>
        <v>21491</v>
      </c>
      <c r="C297" s="15">
        <f t="shared" si="8"/>
        <v>-2.1446134231855023E-2</v>
      </c>
      <c r="D297" s="16">
        <f t="shared" si="9"/>
        <v>5.1447546887423415E-3</v>
      </c>
    </row>
    <row r="298" spans="1:4" x14ac:dyDescent="0.2">
      <c r="A298" s="14">
        <v>42461</v>
      </c>
      <c r="B298" s="18">
        <f>VLOOKUP(A298,Database!A:Q,MATCH($A$1,Database!$A$1:$Q$1,),)</f>
        <v>21407</v>
      </c>
      <c r="C298" s="15">
        <f t="shared" si="8"/>
        <v>-3.9086129077288171E-3</v>
      </c>
      <c r="D298" s="16">
        <f t="shared" si="9"/>
        <v>-1.7254243611266554E-3</v>
      </c>
    </row>
    <row r="299" spans="1:4" x14ac:dyDescent="0.2">
      <c r="A299" s="13">
        <v>42491</v>
      </c>
      <c r="B299" s="18">
        <f>VLOOKUP(A299,Database!A:Q,MATCH($A$1,Database!$A$1:$Q$1,),)</f>
        <v>21579</v>
      </c>
      <c r="C299" s="15">
        <f t="shared" si="8"/>
        <v>8.0347549866865986E-3</v>
      </c>
      <c r="D299" s="16">
        <f t="shared" si="9"/>
        <v>-2.1733099047442895E-3</v>
      </c>
    </row>
    <row r="300" spans="1:4" x14ac:dyDescent="0.2">
      <c r="A300" s="14">
        <v>42522</v>
      </c>
      <c r="B300" s="18">
        <f>VLOOKUP(A300,Database!A:Q,MATCH($A$1,Database!$A$1:$Q$1,),)</f>
        <v>21673</v>
      </c>
      <c r="C300" s="15">
        <f t="shared" si="8"/>
        <v>4.3560869363733256E-3</v>
      </c>
      <c r="D300" s="16">
        <f t="shared" si="9"/>
        <v>1.3183114393903978E-2</v>
      </c>
    </row>
    <row r="301" spans="1:4" x14ac:dyDescent="0.2">
      <c r="A301" s="13">
        <v>42552</v>
      </c>
      <c r="B301" s="18">
        <f>VLOOKUP(A301,Database!A:Q,MATCH($A$1,Database!$A$1:$Q$1,),)</f>
        <v>21431</v>
      </c>
      <c r="C301" s="15">
        <f t="shared" si="8"/>
        <v>-1.1165966871222259E-2</v>
      </c>
      <c r="D301" s="16">
        <f t="shared" si="9"/>
        <v>-5.4297382587711156E-3</v>
      </c>
    </row>
    <row r="302" spans="1:4" x14ac:dyDescent="0.2">
      <c r="A302" s="14">
        <v>42583</v>
      </c>
      <c r="B302" s="18">
        <f>VLOOKUP(A302,Database!A:Q,MATCH($A$1,Database!$A$1:$Q$1,),)</f>
        <v>21787</v>
      </c>
      <c r="C302" s="15">
        <f t="shared" si="8"/>
        <v>1.6611450702253745E-2</v>
      </c>
      <c r="D302" s="16">
        <f t="shared" si="9"/>
        <v>9.2648353175522301E-3</v>
      </c>
    </row>
    <row r="303" spans="1:4" x14ac:dyDescent="0.2">
      <c r="A303" s="13">
        <v>42614</v>
      </c>
      <c r="B303" s="18">
        <f>VLOOKUP(A303,Database!A:Q,MATCH($A$1,Database!$A$1:$Q$1,),)</f>
        <v>21906</v>
      </c>
      <c r="C303" s="15">
        <f t="shared" si="8"/>
        <v>5.4619727360352508E-3</v>
      </c>
      <c r="D303" s="16">
        <f t="shared" si="9"/>
        <v>2.1449221300009327E-2</v>
      </c>
    </row>
    <row r="304" spans="1:4" x14ac:dyDescent="0.2">
      <c r="A304" s="14">
        <v>42644</v>
      </c>
      <c r="B304" s="18">
        <f>VLOOKUP(A304,Database!A:Q,MATCH($A$1,Database!$A$1:$Q$1,),)</f>
        <v>21696</v>
      </c>
      <c r="C304" s="15">
        <f t="shared" si="8"/>
        <v>-9.5864146809093408E-3</v>
      </c>
      <c r="D304" s="16">
        <f t="shared" si="9"/>
        <v>2.1517020575356656E-2</v>
      </c>
    </row>
    <row r="305" spans="1:4" x14ac:dyDescent="0.2">
      <c r="A305" s="13">
        <v>42675</v>
      </c>
      <c r="B305" s="18">
        <f>VLOOKUP(A305,Database!A:Q,MATCH($A$1,Database!$A$1:$Q$1,),)</f>
        <v>21629</v>
      </c>
      <c r="C305" s="15">
        <f t="shared" si="8"/>
        <v>-3.0881268436578173E-3</v>
      </c>
      <c r="D305" s="16">
        <f t="shared" si="9"/>
        <v>1.3162825557429267E-2</v>
      </c>
    </row>
    <row r="306" spans="1:4" x14ac:dyDescent="0.2">
      <c r="A306" s="14">
        <v>42705</v>
      </c>
      <c r="B306" s="18">
        <f>VLOOKUP(A306,Database!A:Q,MATCH($A$1,Database!$A$1:$Q$1,),)</f>
        <v>21951</v>
      </c>
      <c r="C306" s="15">
        <f t="shared" si="8"/>
        <v>1.4887419668038282E-2</v>
      </c>
      <c r="D306" s="16">
        <f t="shared" si="9"/>
        <v>2.0691899934901888E-2</v>
      </c>
    </row>
    <row r="307" spans="1:4" x14ac:dyDescent="0.2">
      <c r="A307" s="13">
        <v>42736</v>
      </c>
      <c r="B307" s="18">
        <f>VLOOKUP(A307,Database!A:Q,MATCH($A$1,Database!$A$1:$Q$1,),)</f>
        <v>22025</v>
      </c>
      <c r="C307" s="15">
        <f t="shared" si="8"/>
        <v>3.3711448225593366E-3</v>
      </c>
      <c r="D307" s="16">
        <f t="shared" si="9"/>
        <v>3.4571844614589696E-2</v>
      </c>
    </row>
    <row r="308" spans="1:4" x14ac:dyDescent="0.2">
      <c r="A308" s="14">
        <v>42767</v>
      </c>
      <c r="B308" s="18">
        <f>VLOOKUP(A308,Database!A:Q,MATCH($A$1,Database!$A$1:$Q$1,),)</f>
        <v>21654</v>
      </c>
      <c r="C308" s="15">
        <f t="shared" si="8"/>
        <v>-1.684449489216799E-2</v>
      </c>
      <c r="D308" s="16">
        <f t="shared" si="9"/>
        <v>-1.4024223659047446E-2</v>
      </c>
    </row>
    <row r="309" spans="1:4" x14ac:dyDescent="0.2">
      <c r="A309" s="13">
        <v>42795</v>
      </c>
      <c r="B309" s="18">
        <f>VLOOKUP(A309,Database!A:Q,MATCH($A$1,Database!$A$1:$Q$1,),)</f>
        <v>21760</v>
      </c>
      <c r="C309" s="15">
        <f t="shared" si="8"/>
        <v>4.8951694836981618E-3</v>
      </c>
      <c r="D309" s="16">
        <f t="shared" si="9"/>
        <v>1.2516867525941092E-2</v>
      </c>
    </row>
    <row r="310" spans="1:4" x14ac:dyDescent="0.2">
      <c r="A310" s="14">
        <v>42826</v>
      </c>
      <c r="B310" s="18">
        <f>VLOOKUP(A310,Database!A:Q,MATCH($A$1,Database!$A$1:$Q$1,),)</f>
        <v>21777</v>
      </c>
      <c r="C310" s="15">
        <f t="shared" si="8"/>
        <v>7.8125000000000004E-4</v>
      </c>
      <c r="D310" s="16">
        <f t="shared" si="9"/>
        <v>1.7284065959732798E-2</v>
      </c>
    </row>
    <row r="311" spans="1:4" x14ac:dyDescent="0.2">
      <c r="A311" s="13">
        <v>42856</v>
      </c>
      <c r="B311" s="18">
        <f>VLOOKUP(A311,Database!A:Q,MATCH($A$1,Database!$A$1:$Q$1,),)</f>
        <v>21648</v>
      </c>
      <c r="C311" s="15">
        <f t="shared" si="8"/>
        <v>-5.9236809477889512E-3</v>
      </c>
      <c r="D311" s="16">
        <f t="shared" si="9"/>
        <v>3.1975531766995692E-3</v>
      </c>
    </row>
    <row r="312" spans="1:4" x14ac:dyDescent="0.2">
      <c r="A312" s="14">
        <v>42887</v>
      </c>
      <c r="B312" s="18">
        <f>VLOOKUP(A312,Database!A:Q,MATCH($A$1,Database!$A$1:$Q$1,),)</f>
        <v>21791</v>
      </c>
      <c r="C312" s="15">
        <f t="shared" si="8"/>
        <v>6.6056910569105695E-3</v>
      </c>
      <c r="D312" s="16">
        <f t="shared" si="9"/>
        <v>5.4445623586951509E-3</v>
      </c>
    </row>
    <row r="313" spans="1:4" x14ac:dyDescent="0.2">
      <c r="A313" s="13">
        <v>42917</v>
      </c>
      <c r="B313" s="18">
        <f>VLOOKUP(A313,Database!A:Q,MATCH($A$1,Database!$A$1:$Q$1,),)</f>
        <v>21619</v>
      </c>
      <c r="C313" s="15">
        <f t="shared" si="8"/>
        <v>-7.8931669037676112E-3</v>
      </c>
      <c r="D313" s="16">
        <f t="shared" si="9"/>
        <v>8.7723391348980446E-3</v>
      </c>
    </row>
    <row r="314" spans="1:4" x14ac:dyDescent="0.2">
      <c r="A314" s="14">
        <v>42948</v>
      </c>
      <c r="B314" s="18">
        <f>VLOOKUP(A314,Database!A:Q,MATCH($A$1,Database!$A$1:$Q$1,),)</f>
        <v>21779</v>
      </c>
      <c r="C314" s="15">
        <f t="shared" si="8"/>
        <v>7.400897358804755E-3</v>
      </c>
      <c r="D314" s="16">
        <f t="shared" si="9"/>
        <v>-3.6719144443934454E-4</v>
      </c>
    </row>
    <row r="315" spans="1:4" x14ac:dyDescent="0.2">
      <c r="A315" s="13">
        <v>42979</v>
      </c>
      <c r="B315" s="18">
        <f>VLOOKUP(A315,Database!A:Q,MATCH($A$1,Database!$A$1:$Q$1,),)</f>
        <v>21897</v>
      </c>
      <c r="C315" s="15">
        <f t="shared" si="8"/>
        <v>5.4180632719592267E-3</v>
      </c>
      <c r="D315" s="16">
        <f t="shared" si="9"/>
        <v>-4.1084634346754312E-4</v>
      </c>
    </row>
    <row r="316" spans="1:4" x14ac:dyDescent="0.2">
      <c r="A316" s="14">
        <v>43009</v>
      </c>
      <c r="B316" s="18">
        <f>VLOOKUP(A316,Database!A:Q,MATCH($A$1,Database!$A$1:$Q$1,),)</f>
        <v>21796</v>
      </c>
      <c r="C316" s="15">
        <f t="shared" si="8"/>
        <v>-4.6125039959811842E-3</v>
      </c>
      <c r="D316" s="16">
        <f t="shared" si="9"/>
        <v>4.6091445427728613E-3</v>
      </c>
    </row>
    <row r="317" spans="1:4" x14ac:dyDescent="0.2">
      <c r="A317" s="13">
        <v>43040</v>
      </c>
      <c r="B317" s="18">
        <f>VLOOKUP(A317,Database!A:Q,MATCH($A$1,Database!$A$1:$Q$1,),)</f>
        <v>22068</v>
      </c>
      <c r="C317" s="15">
        <f t="shared" si="8"/>
        <v>1.2479354009910076E-2</v>
      </c>
      <c r="D317" s="16">
        <f t="shared" si="9"/>
        <v>2.0296823708909336E-2</v>
      </c>
    </row>
    <row r="318" spans="1:4" x14ac:dyDescent="0.2">
      <c r="A318" s="14">
        <v>43070</v>
      </c>
      <c r="B318" s="18">
        <f>VLOOKUP(A318,Database!A:Q,MATCH($A$1,Database!$A$1:$Q$1,),)</f>
        <v>21760</v>
      </c>
      <c r="C318" s="15">
        <f t="shared" si="8"/>
        <v>-1.3956860612651804E-2</v>
      </c>
      <c r="D318" s="16">
        <f t="shared" si="9"/>
        <v>-8.7011981230923421E-3</v>
      </c>
    </row>
    <row r="319" spans="1:4" x14ac:dyDescent="0.2">
      <c r="A319" s="13">
        <v>43101</v>
      </c>
      <c r="B319" s="18">
        <f>VLOOKUP(A319,Database!A:Q,MATCH($A$1,Database!$A$1:$Q$1,),)</f>
        <v>21848</v>
      </c>
      <c r="C319" s="15">
        <f t="shared" si="8"/>
        <v>4.0441176470588239E-3</v>
      </c>
      <c r="D319" s="16">
        <f t="shared" si="9"/>
        <v>-8.0363223609534618E-3</v>
      </c>
    </row>
    <row r="320" spans="1:4" x14ac:dyDescent="0.2">
      <c r="A320" s="14">
        <v>43132</v>
      </c>
      <c r="B320" s="18">
        <f>VLOOKUP(A320,Database!A:Q,MATCH($A$1,Database!$A$1:$Q$1,),)</f>
        <v>22365</v>
      </c>
      <c r="C320" s="15">
        <f t="shared" si="8"/>
        <v>2.3663493225924571E-2</v>
      </c>
      <c r="D320" s="16">
        <f t="shared" si="9"/>
        <v>3.2834580216126348E-2</v>
      </c>
    </row>
    <row r="321" spans="1:4" x14ac:dyDescent="0.2">
      <c r="A321" s="13">
        <v>43160</v>
      </c>
      <c r="B321" s="18">
        <f>VLOOKUP(A321,Database!A:Q,MATCH($A$1,Database!$A$1:$Q$1,),)</f>
        <v>21697</v>
      </c>
      <c r="C321" s="15">
        <f t="shared" si="8"/>
        <v>-2.9868097473731276E-2</v>
      </c>
      <c r="D321" s="16">
        <f t="shared" si="9"/>
        <v>-2.8952205882352942E-3</v>
      </c>
    </row>
    <row r="322" spans="1:4" x14ac:dyDescent="0.2">
      <c r="A322" s="14">
        <v>43191</v>
      </c>
      <c r="B322" s="18">
        <f>VLOOKUP(A322,Database!A:Q,MATCH($A$1,Database!$A$1:$Q$1,),)</f>
        <v>22045</v>
      </c>
      <c r="C322" s="15">
        <f t="shared" si="8"/>
        <v>1.6039083744296447E-2</v>
      </c>
      <c r="D322" s="16">
        <f t="shared" si="9"/>
        <v>1.2306561969049916E-2</v>
      </c>
    </row>
    <row r="323" spans="1:4" x14ac:dyDescent="0.2">
      <c r="A323" s="13">
        <v>43221</v>
      </c>
      <c r="B323" s="18">
        <f>VLOOKUP(A323,Database!A:Q,MATCH($A$1,Database!$A$1:$Q$1,),)</f>
        <v>22855</v>
      </c>
      <c r="C323" s="15">
        <f t="shared" si="8"/>
        <v>3.6743025629394417E-2</v>
      </c>
      <c r="D323" s="16">
        <f t="shared" si="9"/>
        <v>5.5755728011825573E-2</v>
      </c>
    </row>
    <row r="324" spans="1:4" x14ac:dyDescent="0.2">
      <c r="A324" s="14">
        <v>43252</v>
      </c>
      <c r="B324" s="18">
        <f>VLOOKUP(A324,Database!A:Q,MATCH($A$1,Database!$A$1:$Q$1,),)</f>
        <v>22343</v>
      </c>
      <c r="C324" s="15">
        <f t="shared" si="8"/>
        <v>-2.2402100196893458E-2</v>
      </c>
      <c r="D324" s="16">
        <f t="shared" si="9"/>
        <v>2.5331558900463493E-2</v>
      </c>
    </row>
    <row r="325" spans="1:4" x14ac:dyDescent="0.2">
      <c r="A325" s="13">
        <v>43282</v>
      </c>
      <c r="B325" s="18">
        <f>VLOOKUP(A325,Database!A:Q,MATCH($A$1,Database!$A$1:$Q$1,),)</f>
        <v>22698</v>
      </c>
      <c r="C325" s="15">
        <f t="shared" si="8"/>
        <v>1.5888645213265901E-2</v>
      </c>
      <c r="D325" s="16">
        <f t="shared" si="9"/>
        <v>4.9909801563439569E-2</v>
      </c>
    </row>
    <row r="326" spans="1:4" x14ac:dyDescent="0.2">
      <c r="A326" s="14">
        <v>43313</v>
      </c>
      <c r="B326" s="18">
        <f>VLOOKUP(A326,Database!A:Q,MATCH($A$1,Database!$A$1:$Q$1,),)</f>
        <v>22101</v>
      </c>
      <c r="C326" s="15">
        <f t="shared" si="8"/>
        <v>-2.6301876817340735E-2</v>
      </c>
      <c r="D326" s="16">
        <f t="shared" si="9"/>
        <v>1.4784884521787042E-2</v>
      </c>
    </row>
    <row r="327" spans="1:4" x14ac:dyDescent="0.2">
      <c r="A327" s="13">
        <v>43344</v>
      </c>
      <c r="B327" s="18">
        <f>VLOOKUP(A327,Database!A:Q,MATCH($A$1,Database!$A$1:$Q$1,),)</f>
        <v>22112</v>
      </c>
      <c r="C327" s="15">
        <f t="shared" si="8"/>
        <v>4.9771503551875485E-4</v>
      </c>
      <c r="D327" s="16">
        <f t="shared" si="9"/>
        <v>9.8186966251084615E-3</v>
      </c>
    </row>
    <row r="328" spans="1:4" x14ac:dyDescent="0.2">
      <c r="A328" s="14">
        <v>43374</v>
      </c>
      <c r="B328" s="18">
        <f>VLOOKUP(A328,Database!A:Q,MATCH($A$1,Database!$A$1:$Q$1,),)</f>
        <v>22506</v>
      </c>
      <c r="C328" s="15">
        <f t="shared" si="8"/>
        <v>1.781837916063676E-2</v>
      </c>
      <c r="D328" s="16">
        <f t="shared" si="9"/>
        <v>3.2574784364103507E-2</v>
      </c>
    </row>
    <row r="329" spans="1:4" x14ac:dyDescent="0.2">
      <c r="A329" s="13">
        <v>43405</v>
      </c>
      <c r="B329" s="18">
        <f>VLOOKUP(A329,Database!A:Q,MATCH($A$1,Database!$A$1:$Q$1,),)</f>
        <v>22535</v>
      </c>
      <c r="C329" s="15">
        <f t="shared" ref="C329:C335" si="10">(B329-B328)/B328</f>
        <v>1.2885452768150716E-3</v>
      </c>
      <c r="D329" s="16">
        <f t="shared" si="9"/>
        <v>2.1161863331520755E-2</v>
      </c>
    </row>
    <row r="330" spans="1:4" x14ac:dyDescent="0.2">
      <c r="A330" s="14">
        <v>43435</v>
      </c>
      <c r="B330" s="18">
        <f>VLOOKUP(A330,Database!A:Q,MATCH($A$1,Database!$A$1:$Q$1,),)</f>
        <v>22028</v>
      </c>
      <c r="C330" s="15">
        <f t="shared" si="10"/>
        <v>-2.2498335921899267E-2</v>
      </c>
      <c r="D330" s="16">
        <f t="shared" si="9"/>
        <v>1.2316176470588235E-2</v>
      </c>
    </row>
    <row r="331" spans="1:4" x14ac:dyDescent="0.2">
      <c r="A331" s="13">
        <v>43466</v>
      </c>
      <c r="B331" s="18">
        <f>VLOOKUP(A331,Database!A:Q,MATCH($A$1,Database!$A$1:$Q$1,),)</f>
        <v>22040</v>
      </c>
      <c r="C331" s="15">
        <f t="shared" si="10"/>
        <v>5.4476121300163429E-4</v>
      </c>
      <c r="D331" s="16">
        <f t="shared" si="9"/>
        <v>8.7879897473452945E-3</v>
      </c>
    </row>
    <row r="332" spans="1:4" x14ac:dyDescent="0.2">
      <c r="A332" s="14">
        <v>43497</v>
      </c>
      <c r="B332" s="18">
        <f>VLOOKUP(A332,Database!A:Q,MATCH($A$1,Database!$A$1:$Q$1,),)</f>
        <v>22012</v>
      </c>
      <c r="C332" s="15">
        <f t="shared" si="10"/>
        <v>-1.2704174228675136E-3</v>
      </c>
      <c r="D332" s="16">
        <f t="shared" si="9"/>
        <v>-1.5783590431477756E-2</v>
      </c>
    </row>
    <row r="333" spans="1:4" x14ac:dyDescent="0.2">
      <c r="A333" s="13">
        <v>43525</v>
      </c>
      <c r="B333" s="18">
        <f>VLOOKUP(A333,Database!A:Q,MATCH($A$1,Database!$A$1:$Q$1,),)</f>
        <v>22431</v>
      </c>
      <c r="C333" s="15">
        <f t="shared" si="10"/>
        <v>1.9035071779029619E-2</v>
      </c>
      <c r="D333" s="16">
        <f t="shared" si="9"/>
        <v>3.3829561690556301E-2</v>
      </c>
    </row>
    <row r="334" spans="1:4" x14ac:dyDescent="0.2">
      <c r="A334" s="14">
        <v>43556</v>
      </c>
      <c r="B334" s="18">
        <f>VLOOKUP(A334,Database!A:Q,MATCH($A$1,Database!$A$1:$Q$1,),)</f>
        <v>22360</v>
      </c>
      <c r="C334" s="15">
        <f t="shared" si="10"/>
        <v>-3.1652623601266107E-3</v>
      </c>
      <c r="D334" s="16">
        <f t="shared" si="9"/>
        <v>1.4288954411431163E-2</v>
      </c>
    </row>
    <row r="335" spans="1:4" x14ac:dyDescent="0.2">
      <c r="A335" s="36">
        <v>43586</v>
      </c>
      <c r="B335" s="37">
        <f>VLOOKUP(A335,Database!A:Q,MATCH($A$1,Database!$A$1:$Q$1,),)</f>
        <v>22246</v>
      </c>
      <c r="C335" s="38">
        <f t="shared" si="10"/>
        <v>-5.0983899821109126E-3</v>
      </c>
      <c r="D335" s="39">
        <f t="shared" si="9"/>
        <v>-2.664624808575804E-2</v>
      </c>
    </row>
    <row r="336" spans="1:4" x14ac:dyDescent="0.2">
      <c r="A336" s="14">
        <v>43617</v>
      </c>
      <c r="B336" s="18">
        <f>VLOOKUP(A336,Database!A:Q,MATCH($A$1,Database!$A$1:$Q$1,),)</f>
        <v>22374</v>
      </c>
      <c r="C336" s="15">
        <f t="shared" ref="C336:C337" si="11">(B336-B335)/B335</f>
        <v>5.7538433875752946E-3</v>
      </c>
      <c r="D336" s="16">
        <f t="shared" ref="D336:D337" si="12">(B336-B324)/B324</f>
        <v>1.3874591594682899E-3</v>
      </c>
    </row>
    <row r="337" spans="1:4" x14ac:dyDescent="0.2">
      <c r="A337" s="36">
        <v>43647</v>
      </c>
      <c r="B337" s="37">
        <f>VLOOKUP(A337,Database!A:Q,MATCH($A$1,Database!$A$1:$Q$1,),)</f>
        <v>22548</v>
      </c>
      <c r="C337" s="38">
        <f t="shared" si="11"/>
        <v>7.776883883078573E-3</v>
      </c>
      <c r="D337" s="39">
        <f t="shared" si="12"/>
        <v>-6.6085117631509383E-3</v>
      </c>
    </row>
    <row r="338" spans="1:4" x14ac:dyDescent="0.2">
      <c r="A338" s="14">
        <v>43678</v>
      </c>
      <c r="B338" s="18">
        <f>VLOOKUP(A338,Database!A:Q,MATCH($A$1,Database!$A$1:$Q$1,),)</f>
        <v>22432</v>
      </c>
      <c r="C338" s="15">
        <f t="shared" ref="C338:C340" si="13">(B338-B337)/B337</f>
        <v>-5.1445804505942877E-3</v>
      </c>
      <c r="D338" s="16">
        <f t="shared" ref="D338:D340" si="14">(B338-B326)/B326</f>
        <v>1.497669788697344E-2</v>
      </c>
    </row>
    <row r="339" spans="1:4" x14ac:dyDescent="0.2">
      <c r="A339" s="36">
        <v>43709</v>
      </c>
      <c r="B339" s="37">
        <f>VLOOKUP(A339,Database!A:Q,MATCH($A$1,Database!$A$1:$Q$1,),)</f>
        <v>22415</v>
      </c>
      <c r="C339" s="38">
        <f t="shared" si="13"/>
        <v>-7.5784593437945797E-4</v>
      </c>
      <c r="D339" s="39">
        <f t="shared" si="14"/>
        <v>1.3702966714905934E-2</v>
      </c>
    </row>
    <row r="340" spans="1:4" x14ac:dyDescent="0.2">
      <c r="A340" s="14">
        <v>43739</v>
      </c>
      <c r="B340" s="18">
        <f>VLOOKUP(A340,Database!A:Q,MATCH($A$1,Database!$A$1:$Q$1,),)</f>
        <v>22400</v>
      </c>
      <c r="C340" s="15">
        <f t="shared" si="13"/>
        <v>-6.6919473566807942E-4</v>
      </c>
      <c r="D340" s="16">
        <f t="shared" si="14"/>
        <v>-4.7098551497378478E-3</v>
      </c>
    </row>
    <row r="341" spans="1:4" x14ac:dyDescent="0.2">
      <c r="A341" s="36">
        <v>43770</v>
      </c>
      <c r="B341" s="37">
        <f>VLOOKUP(A341,Database!A:Q,MATCH($A$1,Database!$A$1:$Q$1,),)</f>
        <v>22272</v>
      </c>
      <c r="C341" s="38">
        <f t="shared" ref="C341:C342" si="15">(B341-B340)/B340</f>
        <v>-5.7142857142857143E-3</v>
      </c>
      <c r="D341" s="39">
        <f t="shared" ref="D341:D342" si="16">(B341-B329)/B329</f>
        <v>-1.1670734413135124E-2</v>
      </c>
    </row>
    <row r="342" spans="1:4" x14ac:dyDescent="0.2">
      <c r="A342" s="14">
        <v>43800</v>
      </c>
      <c r="B342" s="18">
        <f>VLOOKUP(A342,Database!A:Q,MATCH($A$1,Database!$A$1:$Q$1,),)</f>
        <v>22941</v>
      </c>
      <c r="C342" s="15">
        <f t="shared" si="15"/>
        <v>3.0037715517241378E-2</v>
      </c>
      <c r="D342" s="16">
        <f t="shared" si="16"/>
        <v>4.1447248955874344E-2</v>
      </c>
    </row>
    <row r="343" spans="1:4" x14ac:dyDescent="0.2">
      <c r="A343" s="36">
        <v>43831</v>
      </c>
      <c r="B343" s="37">
        <f>VLOOKUP(A343,Database!A:Q,MATCH($A$1,Database!$A$1:$Q$1,),)</f>
        <v>22914</v>
      </c>
      <c r="C343" s="38">
        <f t="shared" ref="C343:C344" si="17">(B343-B342)/B342</f>
        <v>-1.1769321302471558E-3</v>
      </c>
      <c r="D343" s="39">
        <f t="shared" ref="D343:D344" si="18">(B343-B331)/B331</f>
        <v>3.9655172413793106E-2</v>
      </c>
    </row>
    <row r="344" spans="1:4" x14ac:dyDescent="0.2">
      <c r="A344" s="14">
        <v>43862</v>
      </c>
      <c r="B344" s="18">
        <f>VLOOKUP(A344,Database!A:Q,MATCH($A$1,Database!$A$1:$Q$1,),)</f>
        <v>22560</v>
      </c>
      <c r="C344" s="15">
        <f t="shared" si="17"/>
        <v>-1.5449070437287249E-2</v>
      </c>
      <c r="D344" s="16">
        <f t="shared" si="18"/>
        <v>2.4895511539160458E-2</v>
      </c>
    </row>
    <row r="345" spans="1:4" x14ac:dyDescent="0.2">
      <c r="A345" s="36">
        <v>43891</v>
      </c>
      <c r="B345" s="37">
        <f>VLOOKUP(A345,Database!A:Q,MATCH($A$1,Database!$A$1:$Q$1,),)</f>
        <v>11494</v>
      </c>
      <c r="C345" s="38">
        <f t="shared" ref="C345:C346" si="19">(B345-B344)/B344</f>
        <v>-0.4905141843971631</v>
      </c>
      <c r="D345" s="39">
        <f t="shared" ref="D345:D346" si="20">(B345-B333)/B333</f>
        <v>-0.48758414693950336</v>
      </c>
    </row>
    <row r="346" spans="1:4" x14ac:dyDescent="0.2">
      <c r="A346" s="14">
        <v>43922</v>
      </c>
      <c r="B346" s="18">
        <f>VLOOKUP(A346,Database!A:Q,MATCH($A$1,Database!$A$1:$Q$1,),)</f>
        <v>2836</v>
      </c>
      <c r="C346" s="15">
        <f t="shared" si="19"/>
        <v>-0.75326257177657907</v>
      </c>
      <c r="D346" s="16">
        <f t="shared" si="20"/>
        <v>-0.87316636851520568</v>
      </c>
    </row>
    <row r="347" spans="1:4" x14ac:dyDescent="0.2">
      <c r="A347" s="36">
        <v>43952</v>
      </c>
      <c r="B347" s="37">
        <f>VLOOKUP(A347,Database!A:Q,MATCH($A$1,Database!$A$1:$Q$1,),)</f>
        <v>8394</v>
      </c>
      <c r="C347" s="38">
        <f t="shared" ref="C347:C348" si="21">(B347-B346)/B346</f>
        <v>1.9598025387870239</v>
      </c>
      <c r="D347" s="39">
        <f t="shared" ref="D347:D348" si="22">(B347-B335)/B335</f>
        <v>-0.6226737390991639</v>
      </c>
    </row>
    <row r="348" spans="1:4" x14ac:dyDescent="0.2">
      <c r="A348" s="14">
        <v>43983</v>
      </c>
      <c r="B348" s="18">
        <f>VLOOKUP(A348,Database!A:Q,MATCH($A$1,Database!$A$1:$Q$1,),)</f>
        <v>17361</v>
      </c>
      <c r="C348" s="15">
        <f t="shared" si="21"/>
        <v>1.0682630450321657</v>
      </c>
      <c r="D348" s="16">
        <f t="shared" si="22"/>
        <v>-0.2240547063555913</v>
      </c>
    </row>
    <row r="349" spans="1:4" x14ac:dyDescent="0.2">
      <c r="A349" s="36">
        <v>44013</v>
      </c>
      <c r="B349" s="37">
        <f>VLOOKUP(A349,Database!A:Q,MATCH($A$1,Database!$A$1:$Q$1,),)</f>
        <v>18067</v>
      </c>
      <c r="C349" s="38">
        <f t="shared" ref="C349:C350" si="23">(B349-B348)/B348</f>
        <v>4.0665860261505676E-2</v>
      </c>
      <c r="D349" s="39">
        <f t="shared" ref="D349:D350" si="24">(B349-B337)/B337</f>
        <v>-0.19873159481993968</v>
      </c>
    </row>
    <row r="350" spans="1:4" x14ac:dyDescent="0.2">
      <c r="A350" s="14">
        <v>44044</v>
      </c>
      <c r="B350" s="18">
        <f>VLOOKUP(A350,Database!A:Q,MATCH($A$1,Database!$A$1:$Q$1,),)</f>
        <v>18578</v>
      </c>
      <c r="C350" s="15">
        <f t="shared" si="23"/>
        <v>2.828361100348702E-2</v>
      </c>
      <c r="D350" s="16">
        <f t="shared" si="24"/>
        <v>-0.17180813124108416</v>
      </c>
    </row>
    <row r="351" spans="1:4" x14ac:dyDescent="0.2">
      <c r="A351" s="36">
        <v>44075</v>
      </c>
      <c r="B351" s="37">
        <f>VLOOKUP(A351,Database!A:Q,MATCH($A$1,Database!$A$1:$Q$1,),)</f>
        <v>21411</v>
      </c>
      <c r="C351" s="38">
        <f t="shared" ref="C351:C352" si="25">(B351-B350)/B350</f>
        <v>0.15249219506943698</v>
      </c>
      <c r="D351" s="39">
        <f t="shared" ref="D351:D352" si="26">(B351-B339)/B339</f>
        <v>-4.479143430738345E-2</v>
      </c>
    </row>
    <row r="352" spans="1:4" x14ac:dyDescent="0.2">
      <c r="A352" s="14">
        <v>44105</v>
      </c>
      <c r="B352" s="18">
        <f>VLOOKUP(A352,Database!A:Q,MATCH($A$1,Database!$A$1:$Q$1,),)</f>
        <v>20766</v>
      </c>
      <c r="C352" s="15">
        <f t="shared" si="25"/>
        <v>-3.0124702255849796E-2</v>
      </c>
      <c r="D352" s="16">
        <f t="shared" si="26"/>
        <v>-7.2946428571428565E-2</v>
      </c>
    </row>
    <row r="353" spans="1:4" x14ac:dyDescent="0.2">
      <c r="A353" s="36">
        <v>44136</v>
      </c>
      <c r="B353" s="37">
        <f>VLOOKUP(A353,Database!A:Q,MATCH($A$1,Database!$A$1:$Q$1,),)</f>
        <v>19609</v>
      </c>
      <c r="C353" s="38">
        <f t="shared" ref="C353:C354" si="27">(B353-B352)/B352</f>
        <v>-5.5716074352306653E-2</v>
      </c>
      <c r="D353" s="39">
        <f t="shared" ref="D353:D354" si="28">(B353-B341)/B341</f>
        <v>-0.11956716954022989</v>
      </c>
    </row>
    <row r="354" spans="1:4" x14ac:dyDescent="0.2">
      <c r="A354" s="14">
        <v>44166</v>
      </c>
      <c r="B354" s="18">
        <f>VLOOKUP(A354,Database!A:Q,MATCH($A$1,Database!$A$1:$Q$1,),)</f>
        <v>20095</v>
      </c>
      <c r="C354" s="15">
        <f t="shared" si="27"/>
        <v>2.4784537712274977E-2</v>
      </c>
      <c r="D354" s="16">
        <f t="shared" si="28"/>
        <v>-0.12405736454382982</v>
      </c>
    </row>
    <row r="355" spans="1:4" x14ac:dyDescent="0.2">
      <c r="A355" s="36">
        <v>44197</v>
      </c>
      <c r="B355" s="37">
        <f>VLOOKUP(A355,Database!A:Q,MATCH($A$1,Database!$A$1:$Q$1,),)</f>
        <v>21351</v>
      </c>
      <c r="C355" s="38">
        <f t="shared" ref="C355:C356" si="29">(B355-B354)/B354</f>
        <v>6.2503110226424477E-2</v>
      </c>
      <c r="D355" s="39">
        <f t="shared" ref="D355:D356" si="30">(B355-B343)/B343</f>
        <v>-6.8211573710395393E-2</v>
      </c>
    </row>
    <row r="356" spans="1:4" x14ac:dyDescent="0.2">
      <c r="A356" s="14">
        <v>44228</v>
      </c>
      <c r="B356" s="18">
        <f>VLOOKUP(A356,Database!A:Q,MATCH($A$1,Database!$A$1:$Q$1,),)</f>
        <v>20180</v>
      </c>
      <c r="C356" s="15">
        <f t="shared" si="29"/>
        <v>-5.4845206313521612E-2</v>
      </c>
      <c r="D356" s="16">
        <f t="shared" si="30"/>
        <v>-0.10549645390070922</v>
      </c>
    </row>
    <row r="357" spans="1:4" x14ac:dyDescent="0.2">
      <c r="A357" s="36">
        <v>44256</v>
      </c>
      <c r="B357" s="37">
        <f>VLOOKUP(A357,Database!A:Q,MATCH($A$1,Database!$A$1:$Q$1,),)</f>
        <v>25012</v>
      </c>
      <c r="C357" s="38">
        <f t="shared" ref="C357:C358" si="31">(B357-B356)/B356</f>
        <v>0.23944499504459862</v>
      </c>
      <c r="D357" s="39">
        <f t="shared" ref="D357:D358" si="32">(B357-B345)/B345</f>
        <v>1.1760918740212285</v>
      </c>
    </row>
    <row r="358" spans="1:4" x14ac:dyDescent="0.2">
      <c r="A358" s="14">
        <v>44287</v>
      </c>
      <c r="B358" s="18">
        <f>VLOOKUP(A358,Database!A:Q,MATCH($A$1,Database!$A$1:$Q$1,),)</f>
        <v>24660</v>
      </c>
      <c r="C358" s="15">
        <f t="shared" si="31"/>
        <v>-1.4073244842475612E-2</v>
      </c>
      <c r="D358" s="16">
        <f t="shared" si="32"/>
        <v>7.6953455571227076</v>
      </c>
    </row>
    <row r="359" spans="1:4" x14ac:dyDescent="0.2">
      <c r="A359" s="36">
        <v>44317</v>
      </c>
      <c r="B359" s="37">
        <f>VLOOKUP(A359,Database!A:Q,MATCH($A$1,Database!$A$1:$Q$1,),)</f>
        <v>25586</v>
      </c>
      <c r="C359" s="38">
        <f t="shared" ref="C359:C360" si="33">(B359-B358)/B358</f>
        <v>3.7550689375506895E-2</v>
      </c>
      <c r="D359" s="39">
        <f t="shared" ref="D359:D360" si="34">(B359-B347)/B347</f>
        <v>2.0481296163926612</v>
      </c>
    </row>
    <row r="360" spans="1:4" x14ac:dyDescent="0.2">
      <c r="A360" s="14">
        <v>44348</v>
      </c>
      <c r="B360" s="18">
        <f>VLOOKUP(A360,Database!A:Q,MATCH($A$1,Database!$A$1:$Q$1,),)</f>
        <v>26464</v>
      </c>
      <c r="C360" s="15">
        <f t="shared" si="33"/>
        <v>3.4315641366372232E-2</v>
      </c>
      <c r="D360" s="16">
        <f t="shared" si="34"/>
        <v>0.5243361557513968</v>
      </c>
    </row>
    <row r="361" spans="1:4" x14ac:dyDescent="0.2">
      <c r="A361" s="36">
        <v>44378</v>
      </c>
      <c r="B361" s="37">
        <f>VLOOKUP(A361,Database!A:Q,MATCH($A$1,Database!$A$1:$Q$1,),)</f>
        <v>25761</v>
      </c>
      <c r="C361" s="38">
        <f t="shared" ref="C361:C362" si="35">(B361-B360)/B360</f>
        <v>-2.6564389359129383E-2</v>
      </c>
      <c r="D361" s="39">
        <f t="shared" ref="D361:D362" si="36">(B361-B349)/B349</f>
        <v>0.42585930148890244</v>
      </c>
    </row>
    <row r="362" spans="1:4" x14ac:dyDescent="0.2">
      <c r="A362" s="14">
        <v>44409</v>
      </c>
      <c r="B362" s="18">
        <f>VLOOKUP(A362,Database!A:Q,MATCH($A$1,Database!$A$1:$Q$1,),)</f>
        <v>25795</v>
      </c>
      <c r="C362" s="15">
        <f t="shared" si="35"/>
        <v>1.3198245409727883E-3</v>
      </c>
      <c r="D362" s="16">
        <f t="shared" si="36"/>
        <v>0.38847023360964583</v>
      </c>
    </row>
  </sheetData>
  <conditionalFormatting sqref="C8:C362">
    <cfRule type="colorScale" priority="2">
      <colorScale>
        <cfvo type="min"/>
        <cfvo type="percentile" val="50"/>
        <cfvo type="max"/>
        <color rgb="FFF8696B"/>
        <color rgb="FFFFEB84"/>
        <color rgb="FF63BE7B"/>
      </colorScale>
    </cfRule>
  </conditionalFormatting>
  <conditionalFormatting sqref="D19:D362">
    <cfRule type="colorScale" priority="1">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docProps/app.xml><?xml version="1.0" encoding="utf-8"?>
<Properties xmlns="http://schemas.openxmlformats.org/officeDocument/2006/extended-properties" xmlns:vt="http://schemas.openxmlformats.org/officeDocument/2006/docPropsVTypes">
  <TotalTime>0</TotalTime>
  <Application>Microsoft Macintosh Excel</Application>
  <DocSecurity>0</DocSecurity>
  <ScaleCrop>false</ScaleCrop>
  <HeadingPairs>
    <vt:vector size="2" baseType="variant">
      <vt:variant>
        <vt:lpstr>Worksheets</vt:lpstr>
      </vt:variant>
      <vt:variant>
        <vt:i4>19</vt:i4>
      </vt:variant>
    </vt:vector>
  </HeadingPairs>
  <TitlesOfParts>
    <vt:vector size="19" baseType="lpstr">
      <vt:lpstr>Note</vt:lpstr>
      <vt:lpstr>Database</vt:lpstr>
      <vt:lpstr>Recap</vt:lpstr>
      <vt:lpstr>Recap 2</vt:lpstr>
      <vt:lpstr>Retail Sales ex Auto and Gas</vt:lpstr>
      <vt:lpstr>Retail Sales</vt:lpstr>
      <vt:lpstr>Retail Sales ex Auto</vt:lpstr>
      <vt:lpstr>Food and Beverage</vt:lpstr>
      <vt:lpstr>Non Store Retail</vt:lpstr>
      <vt:lpstr>Health</vt:lpstr>
      <vt:lpstr>Sporting Goods</vt:lpstr>
      <vt:lpstr>General Merchandising</vt:lpstr>
      <vt:lpstr>Food Services</vt:lpstr>
      <vt:lpstr>Gas Station</vt:lpstr>
      <vt:lpstr>Motor</vt:lpstr>
      <vt:lpstr>Housing</vt:lpstr>
      <vt:lpstr>Furniture Home</vt:lpstr>
      <vt:lpstr>Miscellaneous stores retailers</vt:lpstr>
      <vt:lpstr>Clothing and clothing access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g.dupont</dc:creator>
  <cp:lastModifiedBy>Mark Mukherjee</cp:lastModifiedBy>
  <dcterms:created xsi:type="dcterms:W3CDTF">2018-03-27T13:16:34Z</dcterms:created>
  <dcterms:modified xsi:type="dcterms:W3CDTF">2021-12-04T16:58:21Z</dcterms:modified>
</cp:coreProperties>
</file>