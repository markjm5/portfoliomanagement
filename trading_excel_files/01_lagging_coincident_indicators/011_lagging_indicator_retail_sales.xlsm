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5.xml" ContentType="application/vnd.openxmlformats-officedocument.drawing+xml"/>
  <Override PartName="/xl/worksheets/sheet9.xml" ContentType="application/vnd.openxmlformats-officedocument.spreadsheetml.worksheet+xml"/>
  <Override PartName="/xl/drawings/drawing6.xml" ContentType="application/vnd.openxmlformats-officedocument.drawing+xml"/>
  <Override PartName="/xl/worksheets/sheet10.xml" ContentType="application/vnd.openxmlformats-officedocument.spreadsheetml.worksheet+xml"/>
  <Override PartName="/xl/drawings/drawing7.xml" ContentType="application/vnd.openxmlformats-officedocument.drawing+xml"/>
  <Override PartName="/xl/worksheets/sheet11.xml" ContentType="application/vnd.openxmlformats-officedocument.spreadsheetml.worksheet+xml"/>
  <Override PartName="/xl/drawings/drawing8.xml" ContentType="application/vnd.openxmlformats-officedocument.drawing+xml"/>
  <Override PartName="/xl/worksheets/sheet12.xml" ContentType="application/vnd.openxmlformats-officedocument.spreadsheetml.worksheet+xml"/>
  <Override PartName="/xl/drawings/drawing9.xml" ContentType="application/vnd.openxmlformats-officedocument.drawing+xml"/>
  <Override PartName="/xl/worksheets/sheet13.xml" ContentType="application/vnd.openxmlformats-officedocument.spreadsheetml.worksheet+xml"/>
  <Override PartName="/xl/drawings/drawing10.xml" ContentType="application/vnd.openxmlformats-officedocument.drawing+xml"/>
  <Override PartName="/xl/worksheets/sheet14.xml" ContentType="application/vnd.openxmlformats-officedocument.spreadsheetml.worksheet+xml"/>
  <Override PartName="/xl/drawings/drawing11.xml" ContentType="application/vnd.openxmlformats-officedocument.drawing+xml"/>
  <Override PartName="/xl/worksheets/sheet15.xml" ContentType="application/vnd.openxmlformats-officedocument.spreadsheetml.worksheet+xml"/>
  <Override PartName="/xl/drawings/drawing12.xml" ContentType="application/vnd.openxmlformats-officedocument.drawing+xml"/>
  <Override PartName="/xl/worksheets/sheet16.xml" ContentType="application/vnd.openxmlformats-officedocument.spreadsheetml.worksheet+xml"/>
  <Override PartName="/xl/drawings/drawing13.xml" ContentType="application/vnd.openxmlformats-officedocument.drawing+xml"/>
  <Override PartName="/xl/tables/table4.xml" ContentType="application/vnd.openxmlformats-officedocument.spreadsheetml.table+xml"/>
  <Override PartName="/xl/worksheets/sheet17.xml" ContentType="application/vnd.openxmlformats-officedocument.spreadsheetml.worksheet+xml"/>
  <Override PartName="/xl/drawings/drawing14.xml" ContentType="application/vnd.openxmlformats-officedocument.drawing+xml"/>
  <Override PartName="/xl/tables/table5.xml" ContentType="application/vnd.openxmlformats-officedocument.spreadsheetml.table+xml"/>
  <Override PartName="/xl/worksheets/sheet18.xml" ContentType="application/vnd.openxmlformats-officedocument.spreadsheetml.worksheet+xml"/>
  <Override PartName="/xl/drawings/drawing15.xml" ContentType="application/vnd.openxmlformats-officedocument.drawing+xml"/>
  <Override PartName="/xl/tables/table6.xml" ContentType="application/vnd.openxmlformats-officedocument.spreadsheetml.table+xml"/>
  <Override PartName="/xl/worksheets/sheet19.xml" ContentType="application/vnd.openxmlformats-officedocument.spreadsheetml.worksheet+xml"/>
  <Override PartName="/xl/drawings/drawing16.xml" ContentType="application/vnd.openxmlformats-officedocument.drawing+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Recap" sheetId="3" state="visible" r:id="rId3"/>
    <sheet xmlns:r="http://schemas.openxmlformats.org/officeDocument/2006/relationships" name="Recap 2" sheetId="4" state="visible" r:id="rId4"/>
    <sheet xmlns:r="http://schemas.openxmlformats.org/officeDocument/2006/relationships" name="Retail Sales ex Auto and Gas" sheetId="5" state="visible" r:id="rId5"/>
    <sheet xmlns:r="http://schemas.openxmlformats.org/officeDocument/2006/relationships" name="Retail Sales" sheetId="6" state="visible" r:id="rId6"/>
    <sheet xmlns:r="http://schemas.openxmlformats.org/officeDocument/2006/relationships" name="Retail Sales ex Auto" sheetId="7" state="visible" r:id="rId7"/>
    <sheet xmlns:r="http://schemas.openxmlformats.org/officeDocument/2006/relationships" name="Food and Beverage" sheetId="8" state="visible" r:id="rId8"/>
    <sheet xmlns:r="http://schemas.openxmlformats.org/officeDocument/2006/relationships" name="Non Store Retail" sheetId="9" state="visible" r:id="rId9"/>
    <sheet xmlns:r="http://schemas.openxmlformats.org/officeDocument/2006/relationships" name="Health" sheetId="10" state="visible" r:id="rId10"/>
    <sheet xmlns:r="http://schemas.openxmlformats.org/officeDocument/2006/relationships" name="Sporting Goods" sheetId="11" state="visible" r:id="rId11"/>
    <sheet xmlns:r="http://schemas.openxmlformats.org/officeDocument/2006/relationships" name="General Merchandising" sheetId="12" state="visible" r:id="rId12"/>
    <sheet xmlns:r="http://schemas.openxmlformats.org/officeDocument/2006/relationships" name="Food Services" sheetId="13" state="visible" r:id="rId13"/>
    <sheet xmlns:r="http://schemas.openxmlformats.org/officeDocument/2006/relationships" name="Gas Station" sheetId="14" state="visible" r:id="rId14"/>
    <sheet xmlns:r="http://schemas.openxmlformats.org/officeDocument/2006/relationships" name="Motor" sheetId="15" state="visible" r:id="rId15"/>
    <sheet xmlns:r="http://schemas.openxmlformats.org/officeDocument/2006/relationships" name="Housing" sheetId="16" state="visible" r:id="rId16"/>
    <sheet xmlns:r="http://schemas.openxmlformats.org/officeDocument/2006/relationships" name="Furniture Home" sheetId="17" state="visible" r:id="rId17"/>
    <sheet xmlns:r="http://schemas.openxmlformats.org/officeDocument/2006/relationships" name="Miscellaneous stores retailers" sheetId="18" state="visible" r:id="rId18"/>
    <sheet xmlns:r="http://schemas.openxmlformats.org/officeDocument/2006/relationships" name="Clothing and clothing access" sheetId="19" state="visible" r:id="rId19"/>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0.0"/>
    <numFmt numFmtId="167" formatCode="dd\-mm\-yyyy"/>
    <numFmt numFmtId="168" formatCode="dd-mm-YYYY"/>
    <numFmt numFmtId="169" formatCode="yyyy-mm-dd h:mm:ss"/>
  </numFmts>
  <fonts count="26">
    <font>
      <name val="Calibri"/>
      <family val="2"/>
      <color theme="1"/>
      <sz val="11"/>
      <scheme val="minor"/>
    </font>
    <font>
      <name val="Calibri"/>
      <family val="2"/>
      <b val="1"/>
      <color theme="1"/>
      <sz val="11"/>
      <scheme val="minor"/>
    </font>
    <font>
      <name val="Arial"/>
      <family val="2"/>
      <sz val="10"/>
    </font>
    <font>
      <name val="Arial"/>
      <family val="2"/>
      <b val="1"/>
      <sz val="10"/>
    </font>
    <font>
      <name val="Calibri"/>
      <family val="2"/>
      <sz val="8"/>
      <scheme val="minor"/>
    </font>
    <font>
      <name val="Calibri"/>
      <family val="2"/>
      <color theme="10"/>
      <sz val="11"/>
      <u val="single"/>
      <scheme val="minor"/>
    </font>
    <font>
      <name val="Arial"/>
      <family val="2"/>
      <sz val="10"/>
    </font>
    <font>
      <name val="Verdana"/>
      <family val="2"/>
      <b val="1"/>
      <color rgb="FF666666"/>
      <sz val="9"/>
    </font>
    <font>
      <name val="Arial"/>
      <family val="2"/>
      <sz val="10"/>
    </font>
    <font>
      <name val="Calibri"/>
      <family val="2"/>
      <color theme="1"/>
      <sz val="11"/>
      <scheme val="minor"/>
    </font>
    <font>
      <name val="Calibri"/>
      <family val="2"/>
      <b val="1"/>
      <color theme="0"/>
      <sz val="11"/>
      <scheme val="minor"/>
    </font>
    <font>
      <name val="Calibri"/>
      <family val="2"/>
      <color rgb="FF00B0F0"/>
      <sz val="11"/>
      <scheme val="minor"/>
    </font>
    <font>
      <name val="Calibri"/>
      <family val="2"/>
      <color theme="1"/>
      <sz val="14"/>
      <scheme val="minor"/>
    </font>
    <font>
      <name val="Calibri"/>
      <family val="2"/>
      <b val="1"/>
      <sz val="14"/>
      <scheme val="minor"/>
    </font>
    <font>
      <name val="Calibri"/>
      <family val="2"/>
      <sz val="14"/>
      <scheme val="minor"/>
    </font>
    <font>
      <name val="Calibri"/>
      <family val="2"/>
      <color theme="1"/>
      <sz val="8"/>
      <scheme val="minor"/>
    </font>
    <font>
      <name val="Calibri"/>
      <family val="2"/>
      <color theme="10"/>
      <sz val="8"/>
      <u val="single"/>
      <scheme val="minor"/>
    </font>
    <font>
      <name val="Calibri"/>
      <family val="2"/>
      <b val="1"/>
      <color theme="1"/>
      <sz val="14"/>
      <scheme val="minor"/>
    </font>
    <font>
      <name val="Calibri"/>
      <family val="2"/>
      <b val="1"/>
      <sz val="10"/>
      <scheme val="minor"/>
    </font>
    <font>
      <name val="Calibri"/>
      <family val="2"/>
      <sz val="10"/>
      <scheme val="minor"/>
    </font>
    <font>
      <name val="Calibri"/>
      <family val="2"/>
      <sz val="11"/>
      <scheme val="minor"/>
    </font>
    <font>
      <name val="Calibri"/>
      <family val="2"/>
      <b val="1"/>
      <color rgb="FF00B0F0"/>
      <sz val="11"/>
      <scheme val="minor"/>
    </font>
    <font>
      <name val="Calibri"/>
      <family val="2"/>
      <b val="1"/>
      <sz val="11"/>
      <scheme val="minor"/>
    </font>
    <font>
      <name val="Calibri"/>
      <family val="2"/>
      <color theme="0"/>
      <sz val="11"/>
      <scheme val="minor"/>
    </font>
    <font>
      <name val="Calibri"/>
      <family val="2"/>
      <b val="1"/>
      <color theme="0"/>
      <sz val="14"/>
      <scheme val="minor"/>
    </font>
    <font>
      <name val="Arial"/>
      <family val="2"/>
      <b val="1"/>
      <color theme="0"/>
      <sz val="10"/>
    </font>
  </fonts>
  <fills count="7">
    <fill>
      <patternFill/>
    </fill>
    <fill>
      <patternFill patternType="gray125"/>
    </fill>
    <fill>
      <patternFill patternType="solid">
        <fgColor theme="0"/>
        <bgColor indexed="64"/>
      </patternFill>
    </fill>
    <fill>
      <patternFill patternType="solid">
        <fgColor theme="0"/>
        <bgColor theme="4" tint="0.7999816888943144"/>
      </patternFill>
    </fill>
    <fill>
      <patternFill patternType="solid">
        <fgColor rgb="FF00B050"/>
        <bgColor indexed="64"/>
      </patternFill>
    </fill>
    <fill>
      <patternFill patternType="solid">
        <fgColor theme="7" tint="0.7999816888943144"/>
        <bgColor indexed="64"/>
      </patternFill>
    </fill>
    <fill>
      <patternFill patternType="solid">
        <fgColor theme="4" tint="0.7999816888943144"/>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9">
    <xf numFmtId="0" fontId="9" fillId="0" borderId="0"/>
    <xf numFmtId="0" fontId="5" fillId="0" borderId="0"/>
    <xf numFmtId="0" fontId="8" fillId="0" borderId="0"/>
    <xf numFmtId="0" fontId="8" fillId="0" borderId="0"/>
    <xf numFmtId="0" fontId="8" fillId="0" borderId="0"/>
    <xf numFmtId="0" fontId="8" fillId="0" borderId="0"/>
    <xf numFmtId="0" fontId="8" fillId="0" borderId="0"/>
    <xf numFmtId="0" fontId="8" fillId="0" borderId="0"/>
    <xf numFmtId="9" fontId="9" fillId="0" borderId="0"/>
  </cellStyleXfs>
  <cellXfs count="136">
    <xf numFmtId="0" fontId="0" fillId="0" borderId="0" pivotButton="0" quotePrefix="0" xfId="0"/>
    <xf numFmtId="0" fontId="0" fillId="2" borderId="1" applyAlignment="1" pivotButton="0" quotePrefix="0" xfId="0">
      <alignment horizontal="center"/>
    </xf>
    <xf numFmtId="0" fontId="0" fillId="0" borderId="0" applyAlignment="1" pivotButton="0" quotePrefix="0" xfId="0">
      <alignment horizontal="center"/>
    </xf>
    <xf numFmtId="0" fontId="0" fillId="2" borderId="1" pivotButton="0" quotePrefix="0" xfId="0"/>
    <xf numFmtId="0" fontId="0" fillId="2" borderId="3" pivotButton="0" quotePrefix="0" xfId="0"/>
    <xf numFmtId="0" fontId="0" fillId="2" borderId="5" pivotButton="0" quotePrefix="0" xfId="0"/>
    <xf numFmtId="14" fontId="0" fillId="2" borderId="4" applyAlignment="1" pivotButton="0" quotePrefix="0" xfId="0">
      <alignment horizontal="center"/>
    </xf>
    <xf numFmtId="14" fontId="11" fillId="2" borderId="6" applyAlignment="1" pivotButton="0" quotePrefix="0" xfId="0">
      <alignment horizontal="center"/>
    </xf>
    <xf numFmtId="0" fontId="11" fillId="2" borderId="0" pivotButton="0" quotePrefix="0" xfId="0"/>
    <xf numFmtId="0" fontId="5" fillId="2" borderId="0" applyAlignment="1" pivotButton="0" quotePrefix="0" xfId="1">
      <alignment horizontal="center"/>
    </xf>
    <xf numFmtId="164" fontId="4" fillId="3" borderId="1" applyAlignment="1" pivotButton="0" quotePrefix="0" xfId="0">
      <alignment horizontal="center"/>
    </xf>
    <xf numFmtId="164" fontId="4" fillId="2" borderId="1" applyAlignment="1" pivotButton="0" quotePrefix="0" xfId="0">
      <alignment horizontal="center"/>
    </xf>
    <xf numFmtId="10" fontId="4" fillId="2" borderId="1" applyAlignment="1" pivotButton="0" quotePrefix="0" xfId="0">
      <alignment horizontal="center"/>
    </xf>
    <xf numFmtId="10" fontId="4" fillId="3" borderId="1" applyAlignment="1" pivotButton="0" quotePrefix="0" xfId="0">
      <alignment horizontal="center"/>
    </xf>
    <xf numFmtId="3" fontId="0" fillId="2" borderId="0" applyAlignment="1" pivotButton="0" quotePrefix="0" xfId="0">
      <alignment horizontal="center"/>
    </xf>
    <xf numFmtId="3" fontId="6" fillId="2" borderId="1" applyAlignment="1" pivotButton="0" quotePrefix="0" xfId="2">
      <alignment horizontal="center"/>
    </xf>
    <xf numFmtId="3" fontId="0" fillId="0" borderId="0" applyAlignment="1" pivotButton="0" quotePrefix="0" xfId="0">
      <alignment horizontal="center"/>
    </xf>
    <xf numFmtId="164" fontId="4" fillId="3" borderId="7" applyAlignment="1" pivotButton="0" quotePrefix="0" xfId="0">
      <alignment horizontal="center"/>
    </xf>
    <xf numFmtId="3" fontId="6" fillId="2" borderId="7" applyAlignment="1" pivotButton="0" quotePrefix="0" xfId="2">
      <alignment horizontal="center"/>
    </xf>
    <xf numFmtId="0" fontId="0" fillId="2" borderId="7" applyAlignment="1" pivotButton="0" quotePrefix="0" xfId="0">
      <alignment horizontal="center"/>
    </xf>
    <xf numFmtId="0" fontId="7" fillId="2" borderId="0" pivotButton="0" quotePrefix="0" xfId="0"/>
    <xf numFmtId="10" fontId="0" fillId="2" borderId="0" pivotButton="0" quotePrefix="0" xfId="8"/>
    <xf numFmtId="3" fontId="0" fillId="2" borderId="0" pivotButton="0" quotePrefix="0" xfId="0"/>
    <xf numFmtId="3" fontId="0" fillId="0" borderId="0" pivotButton="0" quotePrefix="0" xfId="0"/>
    <xf numFmtId="3" fontId="1" fillId="2" borderId="0" pivotButton="0" quotePrefix="0" xfId="0"/>
    <xf numFmtId="3" fontId="3" fillId="2" borderId="0" pivotButton="0" quotePrefix="0" xfId="0"/>
    <xf numFmtId="0" fontId="3" fillId="2" borderId="0" pivotButton="0" quotePrefix="0" xfId="4"/>
    <xf numFmtId="0" fontId="1" fillId="2" borderId="0" pivotButton="0" quotePrefix="0" xfId="0"/>
    <xf numFmtId="10" fontId="0" fillId="2" borderId="0" pivotButton="0" quotePrefix="0" xfId="0"/>
    <xf numFmtId="0" fontId="2" fillId="2" borderId="0" pivotButton="0" quotePrefix="0" xfId="0"/>
    <xf numFmtId="164" fontId="4" fillId="3" borderId="13" applyAlignment="1" pivotButton="0" quotePrefix="0" xfId="0">
      <alignment horizontal="center"/>
    </xf>
    <xf numFmtId="3" fontId="6" fillId="2" borderId="13" applyAlignment="1" pivotButton="0" quotePrefix="0" xfId="2">
      <alignment horizontal="center"/>
    </xf>
    <xf numFmtId="10" fontId="4" fillId="2" borderId="13" applyAlignment="1" pivotButton="0" quotePrefix="0" xfId="0">
      <alignment horizontal="center"/>
    </xf>
    <xf numFmtId="10" fontId="4" fillId="3" borderId="13" applyAlignment="1" pivotButton="0" quotePrefix="0" xfId="0">
      <alignment horizontal="center"/>
    </xf>
    <xf numFmtId="0" fontId="13" fillId="2" borderId="1" applyAlignment="1" pivotButton="0" quotePrefix="0" xfId="0">
      <alignment horizontal="center"/>
    </xf>
    <xf numFmtId="3" fontId="13" fillId="2" borderId="1" applyAlignment="1" pivotButton="0" quotePrefix="0" xfId="0">
      <alignment horizontal="center"/>
    </xf>
    <xf numFmtId="0" fontId="15" fillId="0" borderId="1" pivotButton="0" quotePrefix="0" xfId="0"/>
    <xf numFmtId="0" fontId="15" fillId="2" borderId="1" pivotButton="0" quotePrefix="0" xfId="0"/>
    <xf numFmtId="0" fontId="12" fillId="2" borderId="16" pivotButton="0" quotePrefix="0" xfId="0"/>
    <xf numFmtId="0" fontId="16" fillId="2" borderId="17" pivotButton="0" quotePrefix="0" xfId="1"/>
    <xf numFmtId="0" fontId="12" fillId="2" borderId="16" applyAlignment="1" pivotButton="0" quotePrefix="0" xfId="0">
      <alignment horizontal="center"/>
    </xf>
    <xf numFmtId="0" fontId="16" fillId="0" borderId="17" pivotButton="0" quotePrefix="0" xfId="1"/>
    <xf numFmtId="0" fontId="12" fillId="2" borderId="18" applyAlignment="1" pivotButton="0" quotePrefix="0" xfId="0">
      <alignment horizontal="center"/>
    </xf>
    <xf numFmtId="0" fontId="13" fillId="2" borderId="19" applyAlignment="1" pivotButton="0" quotePrefix="0" xfId="0">
      <alignment horizontal="center"/>
    </xf>
    <xf numFmtId="3" fontId="13" fillId="2" borderId="19" applyAlignment="1" pivotButton="0" quotePrefix="0" xfId="0">
      <alignment horizontal="center"/>
    </xf>
    <xf numFmtId="3" fontId="13" fillId="5" borderId="21" applyAlignment="1" pivotButton="0" quotePrefix="0" xfId="0">
      <alignment horizontal="center"/>
    </xf>
    <xf numFmtId="3" fontId="13" fillId="5" borderId="22" applyAlignment="1" pivotButton="0" quotePrefix="0" xfId="0">
      <alignment horizontal="center"/>
    </xf>
    <xf numFmtId="0" fontId="15" fillId="0" borderId="19" pivotButton="0" quotePrefix="0" xfId="0"/>
    <xf numFmtId="0" fontId="16" fillId="2" borderId="20" pivotButton="0" quotePrefix="0" xfId="1"/>
    <xf numFmtId="0" fontId="3" fillId="2" borderId="0" pivotButton="0" quotePrefix="0" xfId="0"/>
    <xf numFmtId="10" fontId="18" fillId="2" borderId="23" applyAlignment="1" pivotButton="0" quotePrefix="0" xfId="0">
      <alignment horizontal="center" vertical="center"/>
    </xf>
    <xf numFmtId="10" fontId="18" fillId="2" borderId="24" applyAlignment="1" pivotButton="0" quotePrefix="0" xfId="0">
      <alignment horizontal="center" vertical="center"/>
    </xf>
    <xf numFmtId="10" fontId="19" fillId="2" borderId="16" applyAlignment="1" pivotButton="0" quotePrefix="0" xfId="0">
      <alignment horizontal="center" vertical="center"/>
    </xf>
    <xf numFmtId="10" fontId="19" fillId="2" borderId="17" applyAlignment="1" pivotButton="0" quotePrefix="0" xfId="0">
      <alignment horizontal="center" vertical="center"/>
    </xf>
    <xf numFmtId="0" fontId="0" fillId="2" borderId="0" applyAlignment="1" pivotButton="0" quotePrefix="0" xfId="0">
      <alignment horizontal="center"/>
    </xf>
    <xf numFmtId="164" fontId="18" fillId="2" borderId="25" applyAlignment="1" pivotButton="0" quotePrefix="0" xfId="0">
      <alignment horizontal="center" vertical="center"/>
    </xf>
    <xf numFmtId="164" fontId="18" fillId="2" borderId="26" applyAlignment="1" pivotButton="0" quotePrefix="0" xfId="0">
      <alignment horizontal="center" vertical="center"/>
    </xf>
    <xf numFmtId="10" fontId="18" fillId="2" borderId="14" applyAlignment="1" pivotButton="0" quotePrefix="0" xfId="0">
      <alignment horizontal="center" vertical="center"/>
    </xf>
    <xf numFmtId="10" fontId="18" fillId="2" borderId="15" applyAlignment="1" pivotButton="0" quotePrefix="0" xfId="0">
      <alignment horizontal="center" vertical="center"/>
    </xf>
    <xf numFmtId="0" fontId="12" fillId="2" borderId="23" pivotButton="0" quotePrefix="0" xfId="0"/>
    <xf numFmtId="0" fontId="13" fillId="2" borderId="7" applyAlignment="1" pivotButton="0" quotePrefix="0" xfId="0">
      <alignment horizontal="center"/>
    </xf>
    <xf numFmtId="3" fontId="13" fillId="5" borderId="7" applyAlignment="1" pivotButton="0" quotePrefix="0" xfId="0">
      <alignment horizontal="center"/>
    </xf>
    <xf numFmtId="0" fontId="0" fillId="2" borderId="7" pivotButton="0" quotePrefix="0" xfId="0"/>
    <xf numFmtId="0" fontId="15" fillId="0" borderId="7" pivotButton="0" quotePrefix="0" xfId="0"/>
    <xf numFmtId="0" fontId="16" fillId="2" borderId="24"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0" fillId="2" borderId="0" applyAlignment="1" pivotButton="0" quotePrefix="0" xfId="0">
      <alignment horizontal="left" vertical="center"/>
    </xf>
    <xf numFmtId="14" fontId="21" fillId="2" borderId="31" applyAlignment="1" pivotButton="0" quotePrefix="0" xfId="0">
      <alignment horizontal="center"/>
    </xf>
    <xf numFmtId="14" fontId="1" fillId="2" borderId="31" applyAlignment="1" pivotButton="0" quotePrefix="0" xfId="0">
      <alignment horizontal="center"/>
    </xf>
    <xf numFmtId="0" fontId="1" fillId="2" borderId="32" applyAlignment="1" pivotButton="0" quotePrefix="0" xfId="0">
      <alignment horizontal="center"/>
    </xf>
    <xf numFmtId="0" fontId="15" fillId="2" borderId="0" applyAlignment="1" pivotButton="0" quotePrefix="0" xfId="0">
      <alignment horizontal="left" vertical="center"/>
    </xf>
    <xf numFmtId="14" fontId="1" fillId="2" borderId="2" applyAlignment="1" pivotButton="0" quotePrefix="0" xfId="0">
      <alignment horizontal="center"/>
    </xf>
    <xf numFmtId="0" fontId="24" fillId="4" borderId="21" applyAlignment="1" pivotButton="0" quotePrefix="0" xfId="0">
      <alignment horizontal="center" wrapText="1"/>
    </xf>
    <xf numFmtId="0" fontId="24" fillId="4" borderId="27" applyAlignment="1" pivotButton="0" quotePrefix="0" xfId="0">
      <alignment horizontal="center" wrapText="1"/>
    </xf>
    <xf numFmtId="0" fontId="24" fillId="4" borderId="22" applyAlignment="1" pivotButton="0" quotePrefix="0" xfId="0">
      <alignment horizontal="center" wrapText="1"/>
    </xf>
    <xf numFmtId="0" fontId="10" fillId="4" borderId="1" pivotButton="0" quotePrefix="0" xfId="0"/>
    <xf numFmtId="0" fontId="10" fillId="4" borderId="1" applyAlignment="1" pivotButton="0" quotePrefix="0" xfId="0">
      <alignment horizontal="center"/>
    </xf>
    <xf numFmtId="0" fontId="10" fillId="4" borderId="8" applyAlignment="1" pivotButton="0" quotePrefix="0" xfId="0">
      <alignment horizontal="center" wrapText="1"/>
    </xf>
    <xf numFmtId="3" fontId="10" fillId="4" borderId="9" applyAlignment="1" pivotButton="0" quotePrefix="0" xfId="0">
      <alignment horizontal="center" wrapText="1"/>
    </xf>
    <xf numFmtId="0" fontId="10" fillId="4" borderId="9" applyAlignment="1" pivotButton="0" quotePrefix="0" xfId="0">
      <alignment horizontal="center" wrapText="1"/>
    </xf>
    <xf numFmtId="0" fontId="10" fillId="4" borderId="10" applyAlignment="1" pivotButton="0" quotePrefix="0" xfId="0">
      <alignment horizontal="center" wrapText="1"/>
    </xf>
    <xf numFmtId="0" fontId="10" fillId="4" borderId="3" applyAlignment="1" pivotButton="0" quotePrefix="0" xfId="0">
      <alignment horizontal="center"/>
    </xf>
    <xf numFmtId="0" fontId="10" fillId="4" borderId="11" applyAlignment="1" pivotButton="0" quotePrefix="0" xfId="0">
      <alignment horizontal="center" wrapText="1"/>
    </xf>
    <xf numFmtId="0" fontId="10" fillId="4" borderId="11" applyAlignment="1" pivotButton="0" quotePrefix="0" xfId="0">
      <alignment horizontal="center"/>
    </xf>
    <xf numFmtId="0" fontId="10" fillId="4" borderId="4" applyAlignment="1" pivotButton="0" quotePrefix="0" xfId="0">
      <alignment horizontal="center"/>
    </xf>
    <xf numFmtId="0" fontId="10" fillId="4" borderId="3" applyAlignment="1" pivotButton="0" quotePrefix="0" xfId="0">
      <alignment horizontal="center" wrapText="1"/>
    </xf>
    <xf numFmtId="0" fontId="25" fillId="4" borderId="11" applyAlignment="1" pivotButton="0" quotePrefix="0" xfId="0">
      <alignment horizontal="center" wrapText="1"/>
    </xf>
    <xf numFmtId="0" fontId="23" fillId="4" borderId="8" applyAlignment="1" pivotButton="0" quotePrefix="0" xfId="0">
      <alignment horizontal="center"/>
    </xf>
    <xf numFmtId="0" fontId="23" fillId="4" borderId="9" applyAlignment="1" pivotButton="0" quotePrefix="0" xfId="0">
      <alignment horizontal="center"/>
    </xf>
    <xf numFmtId="0" fontId="23" fillId="4" borderId="10" applyAlignment="1" pivotButton="0" quotePrefix="0" xfId="0">
      <alignment horizontal="center"/>
    </xf>
    <xf numFmtId="0" fontId="10" fillId="4" borderId="12" applyAlignment="1" pivotButton="0" quotePrefix="0" xfId="0">
      <alignment horizontal="center" wrapText="1"/>
    </xf>
    <xf numFmtId="0" fontId="10" fillId="4" borderId="0" applyAlignment="1" pivotButton="0" quotePrefix="0" xfId="0">
      <alignment horizontal="center" wrapText="1"/>
    </xf>
    <xf numFmtId="0" fontId="10" fillId="4" borderId="9" applyAlignment="1" pivotButton="0" quotePrefix="0" xfId="0">
      <alignment horizontal="center"/>
    </xf>
    <xf numFmtId="0" fontId="10" fillId="4" borderId="10" applyAlignment="1" pivotButton="0" quotePrefix="0" xfId="0">
      <alignment horizontal="center"/>
    </xf>
    <xf numFmtId="0" fontId="0" fillId="0" borderId="0" pivotButton="0" quotePrefix="0" xfId="0"/>
    <xf numFmtId="165" fontId="0" fillId="2" borderId="33" applyAlignment="1" pivotButton="0" quotePrefix="0" xfId="8">
      <alignment horizontal="center" vertical="center"/>
    </xf>
    <xf numFmtId="165" fontId="0" fillId="2" borderId="15" applyAlignment="1" pivotButton="0" quotePrefix="0" xfId="8">
      <alignment horizontal="center" vertical="center"/>
    </xf>
    <xf numFmtId="165" fontId="0" fillId="2" borderId="1" applyAlignment="1" pivotButton="0" quotePrefix="0" xfId="8">
      <alignment horizontal="center" vertical="center"/>
    </xf>
    <xf numFmtId="165" fontId="0" fillId="2" borderId="17" applyAlignment="1" pivotButton="0" quotePrefix="0" xfId="8">
      <alignment horizontal="center" vertical="center"/>
    </xf>
    <xf numFmtId="166" fontId="0" fillId="2" borderId="0" applyAlignment="1" pivotButton="0" quotePrefix="0" xfId="0">
      <alignment horizontal="left" vertical="center"/>
    </xf>
    <xf numFmtId="166" fontId="20" fillId="2" borderId="0" applyAlignment="1" pivotButton="0" quotePrefix="0" xfId="0">
      <alignment horizontal="left" vertical="center"/>
    </xf>
    <xf numFmtId="165" fontId="0" fillId="2" borderId="19" applyAlignment="1" pivotButton="0" quotePrefix="0" xfId="8">
      <alignment horizontal="center" vertical="center"/>
    </xf>
    <xf numFmtId="165" fontId="0" fillId="2" borderId="20" applyAlignment="1" pivotButton="0" quotePrefix="0" xfId="8">
      <alignment horizontal="center" vertical="center"/>
    </xf>
    <xf numFmtId="165" fontId="14" fillId="2" borderId="7" applyAlignment="1" pivotButton="0" quotePrefix="0" xfId="0">
      <alignment horizontal="center"/>
    </xf>
    <xf numFmtId="165" fontId="14" fillId="2" borderId="1" applyAlignment="1" pivotButton="0" quotePrefix="0" xfId="0">
      <alignment horizontal="center"/>
    </xf>
    <xf numFmtId="165" fontId="13" fillId="2" borderId="1" applyAlignment="1" pivotButton="0" quotePrefix="0" xfId="8">
      <alignment horizontal="center"/>
    </xf>
    <xf numFmtId="165" fontId="14" fillId="2" borderId="19" applyAlignment="1" pivotButton="0" quotePrefix="0" xfId="0">
      <alignment horizontal="center"/>
    </xf>
    <xf numFmtId="165" fontId="13" fillId="2" borderId="19" applyAlignment="1" pivotButton="0" quotePrefix="0" xfId="8">
      <alignment horizontal="center"/>
    </xf>
    <xf numFmtId="165" fontId="17" fillId="2" borderId="2" applyAlignment="1" pivotButton="0" quotePrefix="0" xfId="0">
      <alignment horizontal="center"/>
    </xf>
    <xf numFmtId="0" fontId="0" fillId="2" borderId="0" pivotButton="0" quotePrefix="0" xfId="0"/>
    <xf numFmtId="0" fontId="5" fillId="2" borderId="0" pivotButton="0" quotePrefix="0" xfId="1"/>
    <xf numFmtId="167" fontId="0" fillId="0" borderId="0" pivotButton="0" quotePrefix="0" xfId="0"/>
    <xf numFmtId="0" fontId="22" fillId="2" borderId="16" applyAlignment="1" pivotButton="0" quotePrefix="0" xfId="0">
      <alignment horizontal="center"/>
    </xf>
    <xf numFmtId="0" fontId="0" fillId="0" borderId="30" pivotButton="0" quotePrefix="0" xfId="0"/>
    <xf numFmtId="0" fontId="22" fillId="2" borderId="18" applyAlignment="1" pivotButton="0" quotePrefix="0" xfId="0">
      <alignment horizontal="center"/>
    </xf>
    <xf numFmtId="0" fontId="0" fillId="0" borderId="35" pivotButton="0" quotePrefix="0" xfId="0"/>
    <xf numFmtId="0" fontId="1" fillId="6" borderId="1" applyAlignment="1" pivotButton="0" quotePrefix="0" xfId="0">
      <alignment horizontal="center"/>
    </xf>
    <xf numFmtId="0" fontId="0" fillId="0" borderId="29" pivotButton="0" quotePrefix="0" xfId="0"/>
    <xf numFmtId="0" fontId="22" fillId="2" borderId="14" applyAlignment="1" pivotButton="0" quotePrefix="0" xfId="0">
      <alignment horizontal="center"/>
    </xf>
    <xf numFmtId="0" fontId="0" fillId="0" borderId="34" pivotButton="0" quotePrefix="0" xfId="0"/>
    <xf numFmtId="0" fontId="1" fillId="2" borderId="28" applyAlignment="1" pivotButton="0" quotePrefix="0" xfId="0">
      <alignment horizontal="center" vertical="center"/>
    </xf>
    <xf numFmtId="0" fontId="0" fillId="2" borderId="0" pivotButton="0" quotePrefix="0" xfId="0"/>
    <xf numFmtId="0" fontId="0" fillId="0" borderId="28" pivotButton="0" quotePrefix="0" xfId="0"/>
    <xf numFmtId="0" fontId="10" fillId="4" borderId="2" applyAlignment="1" pivotButton="0" quotePrefix="0" xfId="0">
      <alignment horizontal="center"/>
    </xf>
    <xf numFmtId="0" fontId="0" fillId="0" borderId="9" pivotButton="0" quotePrefix="0" xfId="0"/>
    <xf numFmtId="0" fontId="0" fillId="0" borderId="10" pivotButton="0" quotePrefix="0" xfId="0"/>
    <xf numFmtId="0" fontId="0" fillId="2" borderId="0" applyAlignment="1" pivotButton="0" quotePrefix="0" xfId="0">
      <alignment vertical="center" wrapText="1"/>
    </xf>
    <xf numFmtId="0" fontId="5" fillId="2" borderId="0" pivotButton="0" quotePrefix="0" xfId="1"/>
    <xf numFmtId="0" fontId="0" fillId="2" borderId="0" applyAlignment="1" pivotButton="0" quotePrefix="0" xfId="0">
      <alignment wrapText="1"/>
    </xf>
    <xf numFmtId="0" fontId="5" fillId="2" borderId="0" applyAlignment="1" pivotButton="0" quotePrefix="0" xfId="1">
      <alignment wrapText="1"/>
    </xf>
    <xf numFmtId="166" fontId="0" fillId="2" borderId="0" applyAlignment="1" pivotButton="0" quotePrefix="0" xfId="0">
      <alignment horizontal="left" vertical="center" wrapText="1"/>
    </xf>
    <xf numFmtId="0" fontId="24" fillId="4" borderId="2" applyAlignment="1" pivotButton="0" quotePrefix="0" xfId="0">
      <alignment horizontal="center" vertical="center" wrapText="1"/>
    </xf>
    <xf numFmtId="0" fontId="24" fillId="4" borderId="10" applyAlignment="1" pivotButton="0" quotePrefix="0" xfId="0">
      <alignment horizontal="center" vertical="center" wrapText="1"/>
    </xf>
    <xf numFmtId="168" fontId="0" fillId="0" borderId="0" pivotButton="0" quotePrefix="0" xfId="0"/>
    <xf numFmtId="168" fontId="0" fillId="0" borderId="0" pivotButton="0" quotePrefix="0" xfId="0"/>
  </cellXfs>
  <cellStyles count="9">
    <cellStyle name="Normal" xfId="0" builtinId="0"/>
    <cellStyle name="Hyperlink" xfId="1" builtinId="8"/>
    <cellStyle name="Normal 2" xfId="2"/>
    <cellStyle name="Normal 3" xfId="3"/>
    <cellStyle name="Normal 4" xfId="4"/>
    <cellStyle name="Normal 5" xfId="5"/>
    <cellStyle name="Normal 6" xfId="6"/>
    <cellStyle name="Normal 7" xfId="7"/>
    <cellStyle name="Per cent" xfId="8" builtinId="5"/>
  </cellStyles>
  <dxfs count="65">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color rgb="FF00B050"/>
      </font>
      <fill>
        <patternFill>
          <bgColor theme="0"/>
        </patternFill>
      </fill>
    </dxf>
    <dxf>
      <font>
        <color rgb="FFFF0000"/>
      </font>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theme="4" tint="0.3999450666829432"/>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strike val="0"/>
        <outline val="0"/>
        <shadow val="0"/>
        <color theme="0"/>
        <sz val="11"/>
        <vertAlign val="baseline"/>
        <scheme val="minor"/>
      </font>
      <fill>
        <patternFill patternType="solid">
          <fgColor indexed="64"/>
          <bgColor rgb="FF00B050"/>
        </patternFill>
      </fill>
      <alignment horizontal="center" vertical="bottom"/>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styles" Target="styles.xml" Id="rId20"/><Relationship Type="http://schemas.openxmlformats.org/officeDocument/2006/relationships/theme" Target="theme/theme1.xml" Id="rId21"/><Relationship Type="http://schemas.microsoft.com/office/2006/relationships/vbaProject" Target="vbaProject.bin" Id="rId22"/></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w="34925">
              <a:solidFill>
                <a:schemeClr val="accent1"/>
              </a:solidFill>
              <a:prstDash val="solid"/>
            </a:ln>
          </spPr>
          <invertIfNegative val="1"/>
          <cat>
            <numRef>
              <f>'Retail Sales ex Auto and Gas'!$A$8:$A$373</f>
              <numCache>
                <formatCode>[$-409]mmm\-yy;@</formatCode>
                <ptCount val="366"/>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numCache>
            </numRef>
          </cat>
          <val>
            <numRef>
              <f>'Retail Sales ex Auto and Gas'!$C$8:$C$373</f>
              <numCache>
                <formatCode>0.00%</formatCode>
                <ptCount val="366"/>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0.000198561619627419</v>
                </pt>
                <pt idx="216">
                  <v>0.00884614926487229</v>
                </pt>
                <pt idx="217">
                  <v>0.008788259232001385</v>
                </pt>
                <pt idx="218">
                  <v>0.00778708031304375</v>
                </pt>
                <pt idx="219">
                  <v>-0.008702452016506787</v>
                </pt>
                <pt idx="220">
                  <v>0.002671144608896005</v>
                </pt>
                <pt idx="221">
                  <v>-0.001842230306051707</v>
                </pt>
                <pt idx="222">
                  <v>0.006590422231847074</v>
                </pt>
                <pt idx="223">
                  <v>0.003403496530604334</v>
                </pt>
                <pt idx="224">
                  <v>0.0049527135616269</v>
                </pt>
                <pt idx="225">
                  <v>0.009768192826663592</v>
                </pt>
                <pt idx="226">
                  <v>-0.0001979662772060867</v>
                </pt>
                <pt idx="227">
                  <v>0.005231913913311679</v>
                </pt>
                <pt idx="228">
                  <v>0.005625149151682052</v>
                </pt>
                <pt idx="229">
                  <v>0.006429911329752371</v>
                </pt>
                <pt idx="230">
                  <v>0.007492935606415031</v>
                </pt>
                <pt idx="231">
                  <v>-0.0001671700342141337</v>
                </pt>
                <pt idx="232">
                  <v>0.009719776177631138</v>
                </pt>
                <pt idx="233">
                  <v>-0.0001655885015344534</v>
                </pt>
                <pt idx="234">
                  <v>0.005001600953947732</v>
                </pt>
                <pt idx="235">
                  <v>0.001973838401593719</v>
                </pt>
                <pt idx="236">
                  <v>0.006392286859811923</v>
                </pt>
                <pt idx="237">
                  <v>0.001220220801859384</v>
                </pt>
                <pt idx="238">
                  <v>-0.003133886599733039</v>
                </pt>
                <pt idx="239">
                  <v>0.01242941142225068</v>
                </pt>
                <pt idx="240">
                  <v>0.008341479543428884</v>
                </pt>
                <pt idx="241">
                  <v>0.003207767073340248</v>
                </pt>
                <pt idx="242">
                  <v>-0.004281110886101134</v>
                </pt>
                <pt idx="243">
                  <v>-0.001355864470641966</v>
                </pt>
                <pt idx="244">
                  <v>-0.001182632805019222</v>
                </pt>
                <pt idx="245">
                  <v>0.005025880602247159</v>
                </pt>
                <pt idx="246">
                  <v>0.003178411008051025</v>
                </pt>
                <pt idx="247">
                  <v>0.004974259449141568</v>
                </pt>
                <pt idx="248">
                  <v>-0.00121093157000985</v>
                </pt>
                <pt idx="249">
                  <v>0.006454349439751157</v>
                </pt>
                <pt idx="250">
                  <v>0.005397982692739942</v>
                </pt>
                <pt idx="251">
                  <v>0.007471888721604902</v>
                </pt>
                <pt idx="252">
                  <v>0.003051190657808968</v>
                </pt>
                <pt idx="253">
                  <v>-0.002409330365167374</v>
                </pt>
                <pt idx="254">
                  <v>-0.003173998163516347</v>
                </pt>
                <pt idx="255">
                  <v>0.004584971443866254</v>
                </pt>
                <pt idx="256">
                  <v>-0.001387552855037059</v>
                </pt>
                <pt idx="257">
                  <v>0.007921080260709571</v>
                </pt>
                <pt idx="258">
                  <v>-0.0008560142737801796</v>
                </pt>
                <pt idx="259">
                  <v>0.004359434890618441</v>
                </pt>
                <pt idx="260">
                  <v>0.003878027139338337</v>
                </pt>
                <pt idx="261">
                  <v>0.00368559172516406</v>
                </pt>
                <pt idx="262">
                  <v>0.003784259791304703</v>
                </pt>
                <pt idx="263">
                  <v>-0.008295339841341887</v>
                </pt>
                <pt idx="264">
                  <v>0.01071463946963047</v>
                </pt>
                <pt idx="265">
                  <v>0.008009083720270078</v>
                </pt>
                <pt idx="266">
                  <v>0.008843920558930416</v>
                </pt>
                <pt idx="267">
                  <v>0.003146994902333495</v>
                </pt>
                <pt idx="268">
                  <v>0.00641006529322322</v>
                </pt>
                <pt idx="269">
                  <v>0.0007702334399810404</v>
                </pt>
                <pt idx="270">
                  <v>0.008393687631151369</v>
                </pt>
                <pt idx="271">
                  <v>0.0009850288659121302</v>
                </pt>
                <pt idx="272">
                  <v>0.00653324296495184</v>
                </pt>
                <pt idx="273">
                  <v>0.003829755549584489</v>
                </pt>
                <pt idx="274">
                  <v>0.003328173374613003</v>
                </pt>
                <pt idx="275">
                  <v>0.0008678546632723906</v>
                </pt>
                <pt idx="276">
                  <v>-0.002016815358627024</v>
                </pt>
                <pt idx="277">
                  <v>0.007131042560996802</v>
                </pt>
                <pt idx="278">
                  <v>0.001920311850976132</v>
                </pt>
                <pt idx="279">
                  <v>0.004388160894980722</v>
                </pt>
                <pt idx="280">
                  <v>0.0003302142900234008</v>
                </pt>
                <pt idx="281">
                  <v>0.007970138168106116</v>
                </pt>
                <pt idx="282">
                  <v>0.00166581643899459</v>
                </pt>
                <pt idx="283">
                  <v>-2.829379014181476e-05</v>
                </pt>
                <pt idx="284">
                  <v>-0.0008708446249709195</v>
                </pt>
                <pt idx="285">
                  <v>0.003958402164849515</v>
                </pt>
                <pt idx="286">
                  <v>0.007149058336441393</v>
                </pt>
                <pt idx="287">
                  <v>-0.003550712009559849</v>
                </pt>
                <pt idx="288">
                  <v>0.01156141572689825</v>
                </pt>
                <pt idx="289">
                  <v>-0.00257482903937883</v>
                </pt>
                <pt idx="290">
                  <v>0.001606458023158996</v>
                </pt>
                <pt idx="291">
                  <v>0.002160140919064248</v>
                </pt>
                <pt idx="292">
                  <v>0.008461588274656248</v>
                </pt>
                <pt idx="293">
                  <v>-0.005265523662749631</v>
                </pt>
                <pt idx="294">
                  <v>0.003399823553461149</v>
                </pt>
                <pt idx="295">
                  <v>0.002349755067903939</v>
                </pt>
                <pt idx="296">
                  <v>0.001836886889334442</v>
                </pt>
                <pt idx="297">
                  <v>0.00131793706240371</v>
                </pt>
                <pt idx="298">
                  <v>0.00304676479280476</v>
                </pt>
                <pt idx="299">
                  <v>0.01511465082301339</v>
                </pt>
                <pt idx="300">
                  <v>-0.0003620662311897616</v>
                </pt>
                <pt idx="301">
                  <v>0.004319428147225747</v>
                </pt>
                <pt idx="302">
                  <v>0.005531794405615248</v>
                </pt>
                <pt idx="303">
                  <v>-0.003797006855953831</v>
                </pt>
                <pt idx="304">
                  <v>0.004013805825820465</v>
                </pt>
                <pt idx="305">
                  <v>0.0001600289237462178</v>
                </pt>
                <pt idx="306">
                  <v>0.005291961611055637</v>
                </pt>
                <pt idx="307">
                  <v>0.00983556306166901</v>
                </pt>
                <pt idx="308">
                  <v>8.756158498143694e-06</v>
                </pt>
                <pt idx="309">
                  <v>0.01392217010732038</v>
                </pt>
                <pt idx="310">
                  <v>0.005503916358894496</v>
                </pt>
                <pt idx="311">
                  <v>-0.00242770561779096</v>
                </pt>
                <pt idx="312">
                  <v>0.006614952375212726</v>
                </pt>
                <pt idx="313">
                  <v>-0.0003592220277228174</v>
                </pt>
                <pt idx="314">
                  <v>0.004354993269296585</v>
                </pt>
                <pt idx="315">
                  <v>0.01180432702273689</v>
                </pt>
                <pt idx="316">
                  <v>-0.00294962898101685</v>
                </pt>
                <pt idx="317">
                  <v>0.006586632513757336</v>
                </pt>
                <pt idx="318">
                  <v>-4.7538485200151e-05</v>
                </pt>
                <pt idx="319">
                  <v>-0.002038659015403201</v>
                </pt>
                <pt idx="320">
                  <v>0.009510759151373512</v>
                </pt>
                <pt idx="321">
                  <v>0.006389953726964106</v>
                </pt>
                <pt idx="322">
                  <v>-0.02398256816207196</v>
                </pt>
                <pt idx="323">
                  <v>0.02678460408070989</v>
                </pt>
                <pt idx="324">
                  <v>-0.006891654602601435</v>
                </pt>
                <pt idx="325">
                  <v>0.009932545159269914</v>
                </pt>
                <pt idx="326">
                  <v>0.006124834667881389</v>
                </pt>
                <pt idx="327">
                  <v>0.003613800627301241</v>
                </pt>
                <pt idx="328">
                  <v>0.006421631904341327</v>
                </pt>
                <pt idx="329">
                  <v>0.00548417931727233</v>
                </pt>
                <pt idx="330">
                  <v>0.002903034355706302</v>
                </pt>
                <pt idx="331">
                  <v>-0.002932119426964788</v>
                </pt>
                <pt idx="332">
                  <v>0.003749110391964657</v>
                </pt>
                <pt idx="333">
                  <v>-0.002049492844166303</v>
                </pt>
                <pt idx="334">
                  <v>0.005257584085150878</v>
                </pt>
                <pt idx="335">
                  <v>0.009673392968587477</v>
                </pt>
                <pt idx="336">
                  <v>0.0002430178591711506</v>
                </pt>
                <pt idx="337">
                  <v>-0.02899924735584224</v>
                </pt>
                <pt idx="338">
                  <v>-0.141953416520708</v>
                </pt>
                <pt idx="339">
                  <v>0.12123046689277</v>
                </pt>
                <pt idx="340">
                  <v>0.07798166434384868</v>
                </pt>
                <pt idx="341">
                  <v>0.01770419750237332</v>
                </pt>
                <pt idx="342">
                  <v>0.009343602878839806</v>
                </pt>
                <pt idx="343">
                  <v>0.01592804679103087</v>
                </pt>
                <pt idx="344">
                  <v>0.00127155486533078</v>
                </pt>
                <pt idx="345">
                  <v>-0.01189376675266788</v>
                </pt>
                <pt idx="346">
                  <v>-0.02864581348979566</v>
                </pt>
                <pt idx="347">
                  <v>0.08646094548763555</v>
                </pt>
                <pt idx="348">
                  <v>-0.03241217640772867</v>
                </pt>
                <pt idx="349">
                  <v>0.09752876064921336</v>
                </pt>
                <pt idx="350">
                  <v>0.0007297715044624847</v>
                </pt>
                <pt idx="351">
                  <v>-0.006612977742347517</v>
                </pt>
                <pt idx="352">
                  <v>0.01468871684038702</v>
                </pt>
                <pt idx="353">
                  <v>-0.01269886918951467</v>
                </pt>
                <pt idx="354">
                  <v>0.02209240670236467</v>
                </pt>
                <pt idx="355">
                  <v>0.003056987320070803</v>
                </pt>
                <pt idx="356">
                  <v>0.01583545686203131</v>
                </pt>
                <pt idx="357">
                  <v>0.001813644726664074</v>
                </pt>
                <pt idx="358">
                  <v>-0.02741279729187388</v>
                </pt>
                <pt idx="359">
                  <v>0.03808667336467042</v>
                </pt>
              </numCache>
            </numRef>
          </val>
        </ser>
        <dLbls>
          <showLegendKey val="0"/>
          <showVal val="0"/>
          <showCatName val="0"/>
          <showSerName val="0"/>
          <showPercent val="0"/>
          <showBubbleSize val="0"/>
        </dLbls>
        <gapWidth val="219"/>
        <axId val="1023425784"/>
        <axId val="1023428408"/>
      </barChart>
      <dateAx>
        <axId val="1023425784"/>
        <scaling>
          <orientation val="minMax"/>
          <min val="42401"/>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8408"/>
        <crosses val="autoZero"/>
        <lblOffset val="100"/>
        <baseTimeUnit val="months"/>
      </dateAx>
      <valAx>
        <axId val="1023428408"/>
        <scaling>
          <orientation val="minMax"/>
          <max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5784"/>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a:noFill/>
              <a:prstDash val="solid"/>
            </a:ln>
          </spPr>
          <invertIfNegative val="1"/>
          <cat>
            <numRef>
              <f>'Retail Sales ex Auto and Gas'!$A$8:$A$370</f>
              <numCache>
                <formatCode>[$-409]mmm\-yy;@</formatCode>
                <ptCount val="36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numCache>
            </numRef>
          </cat>
          <val>
            <numRef>
              <f>'Retail Sales ex Auto and Gas'!$C$8:$C$370</f>
              <numCache>
                <formatCode>0.00%</formatCode>
                <ptCount val="363"/>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0.000198561619627419</v>
                </pt>
                <pt idx="216">
                  <v>0.00884614926487229</v>
                </pt>
                <pt idx="217">
                  <v>0.008788259232001385</v>
                </pt>
                <pt idx="218">
                  <v>0.00778708031304375</v>
                </pt>
                <pt idx="219">
                  <v>-0.008702452016506787</v>
                </pt>
                <pt idx="220">
                  <v>0.002671144608896005</v>
                </pt>
                <pt idx="221">
                  <v>-0.001842230306051707</v>
                </pt>
                <pt idx="222">
                  <v>0.006590422231847074</v>
                </pt>
                <pt idx="223">
                  <v>0.003403496530604334</v>
                </pt>
                <pt idx="224">
                  <v>0.0049527135616269</v>
                </pt>
                <pt idx="225">
                  <v>0.009768192826663592</v>
                </pt>
                <pt idx="226">
                  <v>-0.0001979662772060867</v>
                </pt>
                <pt idx="227">
                  <v>0.005231913913311679</v>
                </pt>
                <pt idx="228">
                  <v>0.005625149151682052</v>
                </pt>
                <pt idx="229">
                  <v>0.006429911329752371</v>
                </pt>
                <pt idx="230">
                  <v>0.007492935606415031</v>
                </pt>
                <pt idx="231">
                  <v>-0.0001671700342141337</v>
                </pt>
                <pt idx="232">
                  <v>0.009719776177631138</v>
                </pt>
                <pt idx="233">
                  <v>-0.0001655885015344534</v>
                </pt>
                <pt idx="234">
                  <v>0.005001600953947732</v>
                </pt>
                <pt idx="235">
                  <v>0.001973838401593719</v>
                </pt>
                <pt idx="236">
                  <v>0.006392286859811923</v>
                </pt>
                <pt idx="237">
                  <v>0.001220220801859384</v>
                </pt>
                <pt idx="238">
                  <v>-0.003133886599733039</v>
                </pt>
                <pt idx="239">
                  <v>0.01242941142225068</v>
                </pt>
                <pt idx="240">
                  <v>0.008341479543428884</v>
                </pt>
                <pt idx="241">
                  <v>0.003207767073340248</v>
                </pt>
                <pt idx="242">
                  <v>-0.004281110886101134</v>
                </pt>
                <pt idx="243">
                  <v>-0.001355864470641966</v>
                </pt>
                <pt idx="244">
                  <v>-0.001182632805019222</v>
                </pt>
                <pt idx="245">
                  <v>0.005025880602247159</v>
                </pt>
                <pt idx="246">
                  <v>0.003178411008051025</v>
                </pt>
                <pt idx="247">
                  <v>0.004974259449141568</v>
                </pt>
                <pt idx="248">
                  <v>-0.00121093157000985</v>
                </pt>
                <pt idx="249">
                  <v>0.006454349439751157</v>
                </pt>
                <pt idx="250">
                  <v>0.005397982692739942</v>
                </pt>
                <pt idx="251">
                  <v>0.007471888721604902</v>
                </pt>
                <pt idx="252">
                  <v>0.003051190657808968</v>
                </pt>
                <pt idx="253">
                  <v>-0.002409330365167374</v>
                </pt>
                <pt idx="254">
                  <v>-0.003173998163516347</v>
                </pt>
                <pt idx="255">
                  <v>0.004584971443866254</v>
                </pt>
                <pt idx="256">
                  <v>-0.001387552855037059</v>
                </pt>
                <pt idx="257">
                  <v>0.007921080260709571</v>
                </pt>
                <pt idx="258">
                  <v>-0.0008560142737801796</v>
                </pt>
                <pt idx="259">
                  <v>0.004359434890618441</v>
                </pt>
                <pt idx="260">
                  <v>0.003878027139338337</v>
                </pt>
                <pt idx="261">
                  <v>0.00368559172516406</v>
                </pt>
                <pt idx="262">
                  <v>0.003784259791304703</v>
                </pt>
                <pt idx="263">
                  <v>-0.008295339841341887</v>
                </pt>
                <pt idx="264">
                  <v>0.01071463946963047</v>
                </pt>
                <pt idx="265">
                  <v>0.008009083720270078</v>
                </pt>
                <pt idx="266">
                  <v>0.008843920558930416</v>
                </pt>
                <pt idx="267">
                  <v>0.003146994902333495</v>
                </pt>
                <pt idx="268">
                  <v>0.00641006529322322</v>
                </pt>
                <pt idx="269">
                  <v>0.0007702334399810404</v>
                </pt>
                <pt idx="270">
                  <v>0.008393687631151369</v>
                </pt>
                <pt idx="271">
                  <v>0.0009850288659121302</v>
                </pt>
                <pt idx="272">
                  <v>0.00653324296495184</v>
                </pt>
                <pt idx="273">
                  <v>0.003829755549584489</v>
                </pt>
                <pt idx="274">
                  <v>0.003328173374613003</v>
                </pt>
                <pt idx="275">
                  <v>0.0008678546632723906</v>
                </pt>
                <pt idx="276">
                  <v>-0.002016815358627024</v>
                </pt>
                <pt idx="277">
                  <v>0.007131042560996802</v>
                </pt>
                <pt idx="278">
                  <v>0.001920311850976132</v>
                </pt>
                <pt idx="279">
                  <v>0.004388160894980722</v>
                </pt>
                <pt idx="280">
                  <v>0.0003302142900234008</v>
                </pt>
                <pt idx="281">
                  <v>0.007970138168106116</v>
                </pt>
                <pt idx="282">
                  <v>0.00166581643899459</v>
                </pt>
                <pt idx="283">
                  <v>-2.829379014181476e-05</v>
                </pt>
                <pt idx="284">
                  <v>-0.0008708446249709195</v>
                </pt>
                <pt idx="285">
                  <v>0.003958402164849515</v>
                </pt>
                <pt idx="286">
                  <v>0.007149058336441393</v>
                </pt>
                <pt idx="287">
                  <v>-0.003550712009559849</v>
                </pt>
                <pt idx="288">
                  <v>0.01156141572689825</v>
                </pt>
                <pt idx="289">
                  <v>-0.00257482903937883</v>
                </pt>
                <pt idx="290">
                  <v>0.001606458023158996</v>
                </pt>
                <pt idx="291">
                  <v>0.002160140919064248</v>
                </pt>
                <pt idx="292">
                  <v>0.008461588274656248</v>
                </pt>
                <pt idx="293">
                  <v>-0.005265523662749631</v>
                </pt>
                <pt idx="294">
                  <v>0.003399823553461149</v>
                </pt>
                <pt idx="295">
                  <v>0.002349755067903939</v>
                </pt>
                <pt idx="296">
                  <v>0.001836886889334442</v>
                </pt>
                <pt idx="297">
                  <v>0.00131793706240371</v>
                </pt>
                <pt idx="298">
                  <v>0.00304676479280476</v>
                </pt>
                <pt idx="299">
                  <v>0.01511465082301339</v>
                </pt>
                <pt idx="300">
                  <v>-0.0003620662311897616</v>
                </pt>
                <pt idx="301">
                  <v>0.004319428147225747</v>
                </pt>
                <pt idx="302">
                  <v>0.005531794405615248</v>
                </pt>
                <pt idx="303">
                  <v>-0.003797006855953831</v>
                </pt>
                <pt idx="304">
                  <v>0.004013805825820465</v>
                </pt>
                <pt idx="305">
                  <v>0.0001600289237462178</v>
                </pt>
                <pt idx="306">
                  <v>0.005291961611055637</v>
                </pt>
                <pt idx="307">
                  <v>0.00983556306166901</v>
                </pt>
                <pt idx="308">
                  <v>8.756158498143694e-06</v>
                </pt>
                <pt idx="309">
                  <v>0.01392217010732038</v>
                </pt>
                <pt idx="310">
                  <v>0.005503916358894496</v>
                </pt>
                <pt idx="311">
                  <v>-0.00242770561779096</v>
                </pt>
                <pt idx="312">
                  <v>0.006614952375212726</v>
                </pt>
                <pt idx="313">
                  <v>-0.0003592220277228174</v>
                </pt>
                <pt idx="314">
                  <v>0.004354993269296585</v>
                </pt>
                <pt idx="315">
                  <v>0.01180432702273689</v>
                </pt>
                <pt idx="316">
                  <v>-0.00294962898101685</v>
                </pt>
                <pt idx="317">
                  <v>0.006586632513757336</v>
                </pt>
                <pt idx="318">
                  <v>-4.7538485200151e-05</v>
                </pt>
                <pt idx="319">
                  <v>-0.002038659015403201</v>
                </pt>
                <pt idx="320">
                  <v>0.009510759151373512</v>
                </pt>
                <pt idx="321">
                  <v>0.006389953726964106</v>
                </pt>
                <pt idx="322">
                  <v>-0.02398256816207196</v>
                </pt>
                <pt idx="323">
                  <v>0.02678460408070989</v>
                </pt>
                <pt idx="324">
                  <v>-0.006891654602601435</v>
                </pt>
                <pt idx="325">
                  <v>0.009932545159269914</v>
                </pt>
                <pt idx="326">
                  <v>0.006124834667881389</v>
                </pt>
                <pt idx="327">
                  <v>0.003613800627301241</v>
                </pt>
                <pt idx="328">
                  <v>0.006421631904341327</v>
                </pt>
                <pt idx="329">
                  <v>0.00548417931727233</v>
                </pt>
                <pt idx="330">
                  <v>0.002903034355706302</v>
                </pt>
                <pt idx="331">
                  <v>-0.002932119426964788</v>
                </pt>
                <pt idx="332">
                  <v>0.003749110391964657</v>
                </pt>
                <pt idx="333">
                  <v>-0.002049492844166303</v>
                </pt>
                <pt idx="334">
                  <v>0.005257584085150878</v>
                </pt>
                <pt idx="335">
                  <v>0.009673392968587477</v>
                </pt>
                <pt idx="336">
                  <v>0.0002430178591711506</v>
                </pt>
                <pt idx="337">
                  <v>-0.02899924735584224</v>
                </pt>
                <pt idx="338">
                  <v>-0.141953416520708</v>
                </pt>
                <pt idx="339">
                  <v>0.12123046689277</v>
                </pt>
                <pt idx="340">
                  <v>0.07798166434384868</v>
                </pt>
                <pt idx="341">
                  <v>0.01770419750237332</v>
                </pt>
                <pt idx="342">
                  <v>0.009343602878839806</v>
                </pt>
                <pt idx="343">
                  <v>0.01592804679103087</v>
                </pt>
                <pt idx="344">
                  <v>0.00127155486533078</v>
                </pt>
                <pt idx="345">
                  <v>-0.01189376675266788</v>
                </pt>
                <pt idx="346">
                  <v>-0.02864581348979566</v>
                </pt>
                <pt idx="347">
                  <v>0.08646094548763555</v>
                </pt>
                <pt idx="348">
                  <v>-0.03241217640772867</v>
                </pt>
                <pt idx="349">
                  <v>0.09752876064921336</v>
                </pt>
                <pt idx="350">
                  <v>0.0007297715044624847</v>
                </pt>
                <pt idx="351">
                  <v>-0.006612977742347517</v>
                </pt>
                <pt idx="352">
                  <v>0.01468871684038702</v>
                </pt>
                <pt idx="353">
                  <v>-0.01269886918951467</v>
                </pt>
                <pt idx="354">
                  <v>0.02209240670236467</v>
                </pt>
                <pt idx="355">
                  <v>0.003056987320070803</v>
                </pt>
                <pt idx="356">
                  <v>0.01583545686203131</v>
                </pt>
                <pt idx="357">
                  <v>0.001813644726664074</v>
                </pt>
                <pt idx="358">
                  <v>-0.02741279729187388</v>
                </pt>
                <pt idx="359">
                  <v>0.03808667336467042</v>
                </pt>
              </numCache>
            </numRef>
          </val>
        </ser>
        <dLbls>
          <showLegendKey val="0"/>
          <showVal val="0"/>
          <showCatName val="0"/>
          <showSerName val="0"/>
          <showPercent val="0"/>
          <showBubbleSize val="0"/>
        </dLbls>
        <gapWidth val="219"/>
        <axId val="1023425784"/>
        <axId val="1023428408"/>
      </barChart>
      <dateAx>
        <axId val="102342578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8408"/>
        <crosses val="autoZero"/>
        <lblOffset val="100"/>
        <baseTimeUnit val="months"/>
      </dateAx>
      <valAx>
        <axId val="10234284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5784"/>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Core Retail Sales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'Retail Sales ex Auto and Gas'!$A$19:$A$370</f>
              <numCache>
                <formatCode>[$-409]mmm\-yy;@</formatCode>
                <ptCount val="352"/>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numCache>
            </numRef>
          </cat>
          <val>
            <numRef>
              <f>'Retail Sales ex Auto and Gas'!$D$19:$D$370</f>
              <numCache>
                <formatCode>0.00%</formatCode>
                <ptCount val="352"/>
                <pt idx="0">
                  <v>0.05326192133362758</v>
                </pt>
                <pt idx="1">
                  <v>0.04779489791587079</v>
                </pt>
                <pt idx="2">
                  <v>0.04346644471999049</v>
                </pt>
                <pt idx="3">
                  <v>0.0546932491985485</v>
                </pt>
                <pt idx="4">
                  <v>0.06347087891202433</v>
                </pt>
                <pt idx="5">
                  <v>0.06244405033358669</v>
                </pt>
                <pt idx="6">
                  <v>0.06599099855573842</v>
                </pt>
                <pt idx="7">
                  <v>0.05584276116980096</v>
                </pt>
                <pt idx="8">
                  <v>0.06560566753143085</v>
                </pt>
                <pt idx="9">
                  <v>0.05705032591945546</v>
                </pt>
                <pt idx="10">
                  <v>0.0591453946449551</v>
                </pt>
                <pt idx="11">
                  <v>0.05364872971351676</v>
                </pt>
                <pt idx="12">
                  <v>0.03817421366922129</v>
                </pt>
                <pt idx="13">
                  <v>0.0574356896900952</v>
                </pt>
                <pt idx="14">
                  <v>0.08406856361505405</v>
                </pt>
                <pt idx="15">
                  <v>0.06424784864743482</v>
                </pt>
                <pt idx="16">
                  <v>0.05686304100906282</v>
                </pt>
                <pt idx="17">
                  <v>0.06936186448761565</v>
                </pt>
                <pt idx="18">
                  <v>0.0629613000291451</v>
                </pt>
                <pt idx="19">
                  <v>0.0742326402851038</v>
                </pt>
                <pt idx="20">
                  <v>0.06748131154704497</v>
                </pt>
                <pt idx="21">
                  <v>0.07444337033803168</v>
                </pt>
                <pt idx="22">
                  <v>0.06774954233764621</v>
                </pt>
                <pt idx="23">
                  <v>0.06847417984858743</v>
                </pt>
                <pt idx="24">
                  <v>0.08234362628661916</v>
                </pt>
                <pt idx="25">
                  <v>0.05378733315966103</v>
                </pt>
                <pt idx="26">
                  <v>0.0409330820688775</v>
                </pt>
                <pt idx="27">
                  <v>0.04713639788997739</v>
                </pt>
                <pt idx="28">
                  <v>0.05257105923732508</v>
                </pt>
                <pt idx="29">
                  <v>0.04448821824128447</v>
                </pt>
                <pt idx="30">
                  <v>0.04368478776381314</v>
                </pt>
                <pt idx="31">
                  <v>0.03890022459374954</v>
                </pt>
                <pt idx="32">
                  <v>0.04255785734126694</v>
                </pt>
                <pt idx="33">
                  <v>0.02958184891997591</v>
                </pt>
                <pt idx="34">
                  <v>0.044823828550672</v>
                </pt>
                <pt idx="35">
                  <v>0.04402488550937527</v>
                </pt>
                <pt idx="36">
                  <v>0.02464965503392286</v>
                </pt>
                <pt idx="37">
                  <v>0.04892608373202263</v>
                </pt>
                <pt idx="38">
                  <v>0.05010638681524757</v>
                </pt>
                <pt idx="39">
                  <v>0.05712640782987298</v>
                </pt>
                <pt idx="40">
                  <v>0.05396528457084104</v>
                </pt>
                <pt idx="41">
                  <v>0.05268476675088069</v>
                </pt>
                <pt idx="42">
                  <v>0.05264166885592769</v>
                </pt>
                <pt idx="43">
                  <v>0.05138965424667599</v>
                </pt>
                <pt idx="44">
                  <v>0.05160421808391295</v>
                </pt>
                <pt idx="45">
                  <v>0.06590649621559148</v>
                </pt>
                <pt idx="46">
                  <v>0.05445000695313586</v>
                </pt>
                <pt idx="47">
                  <v>0.0510862818125388</v>
                </pt>
                <pt idx="48">
                  <v>0.06762744013830659</v>
                </pt>
                <pt idx="49">
                  <v>0.06636490298967858</v>
                </pt>
                <pt idx="50">
                  <v>0.06433732622671576</v>
                </pt>
                <pt idx="51">
                  <v>0.04934203808214142</v>
                </pt>
                <pt idx="52">
                  <v>0.04579604501019572</v>
                </pt>
                <pt idx="53">
                  <v>0.05202206627996592</v>
                </pt>
                <pt idx="54">
                  <v>0.05935124415694792</v>
                </pt>
                <pt idx="55">
                  <v>0.05589974465797608</v>
                </pt>
                <pt idx="56">
                  <v>0.05491919138041391</v>
                </pt>
                <pt idx="57">
                  <v>0.04640661157024793</v>
                </pt>
                <pt idx="58">
                  <v>0.04508377788474854</v>
                </pt>
                <pt idx="59">
                  <v>0.04255333110231829</v>
                </pt>
                <pt idx="60">
                  <v>0.04808795473766333</v>
                </pt>
                <pt idx="61">
                  <v>0.04519068884598634</v>
                </pt>
                <pt idx="62">
                  <v>0.0405655689569499</v>
                </pt>
                <pt idx="63">
                  <v>0.05568278394457023</v>
                </pt>
                <pt idx="64">
                  <v>0.05677879912677899</v>
                </pt>
                <pt idx="65">
                  <v>0.0524442045330403</v>
                </pt>
                <pt idx="66">
                  <v>0.05063291139240506</v>
                </pt>
                <pt idx="67">
                  <v>0.05340494721234067</v>
                </pt>
                <pt idx="68">
                  <v>0.04627072259687399</v>
                </pt>
                <pt idx="69">
                  <v>0.05710530805148197</v>
                </pt>
                <pt idx="70">
                  <v>0.06291959012669729</v>
                </pt>
                <pt idx="71">
                  <v>0.06782391963847384</v>
                </pt>
                <pt idx="72">
                  <v>0.06299572147021293</v>
                </pt>
                <pt idx="73">
                  <v>0.06942017177792013</v>
                </pt>
                <pt idx="74">
                  <v>0.0697820087444572</v>
                </pt>
                <pt idx="75">
                  <v>0.06445269290332097</v>
                </pt>
                <pt idx="76">
                  <v>0.06866663397410749</v>
                </pt>
                <pt idx="77">
                  <v>0.06809994260383211</v>
                </pt>
                <pt idx="78">
                  <v>0.06205304113839664</v>
                </pt>
                <pt idx="79">
                  <v>0.065552675933813</v>
                </pt>
                <pt idx="80">
                  <v>0.07421681506807939</v>
                </pt>
                <pt idx="81">
                  <v>0.06789913153663624</v>
                </pt>
                <pt idx="82">
                  <v>0.06674581503027426</v>
                </pt>
                <pt idx="83">
                  <v>0.08370368623937569</v>
                </pt>
                <pt idx="84">
                  <v>0.06512925226110546</v>
                </pt>
                <pt idx="85">
                  <v>0.06263412251164575</v>
                </pt>
                <pt idx="86">
                  <v>0.07793179011808901</v>
                </pt>
                <pt idx="87">
                  <v>0.06994319100293282</v>
                </pt>
                <pt idx="88">
                  <v>0.0632851128268077</v>
                </pt>
                <pt idx="89">
                  <v>0.06272330743681651</v>
                </pt>
                <pt idx="90">
                  <v>0.0643506445335905</v>
                </pt>
                <pt idx="91">
                  <v>0.06038598042884195</v>
                </pt>
                <pt idx="92">
                  <v>0.06491103763186899</v>
                </pt>
                <pt idx="93">
                  <v>0.05955212770125429</v>
                </pt>
                <pt idx="94">
                  <v>0.0543894404131238</v>
                </pt>
                <pt idx="95">
                  <v>0.03417836494270066</v>
                </pt>
                <pt idx="96">
                  <v>0.05508074273370643</v>
                </pt>
                <pt idx="97">
                  <v>0.04514533085961658</v>
                </pt>
                <pt idx="98">
                  <v>0.02251801656448317</v>
                </pt>
                <pt idx="99">
                  <v>0.03739336416172495</v>
                </pt>
                <pt idx="100">
                  <v>0.03483824330666609</v>
                </pt>
                <pt idx="101">
                  <v>0.03154401045729133</v>
                </pt>
                <pt idx="102">
                  <v>0.03340660518979198</v>
                </pt>
                <pt idx="103">
                  <v>0.03823924120342399</v>
                </pt>
                <pt idx="104">
                  <v>0.007646366127865407</v>
                </pt>
                <pt idx="105">
                  <v>0.02506510588620601</v>
                </pt>
                <pt idx="106">
                  <v>0.03153400394768786</v>
                </pt>
                <pt idx="107">
                  <v>0.03361680419473764</v>
                </pt>
                <pt idx="108">
                  <v>0.03003503039633045</v>
                </pt>
                <pt idx="109">
                  <v>0.03585903545059434</v>
                </pt>
                <pt idx="110">
                  <v>0.0407727466377737</v>
                </pt>
                <pt idx="111">
                  <v>0.03884904060710404</v>
                </pt>
                <pt idx="112">
                  <v>0.03716851987968451</v>
                </pt>
                <pt idx="113">
                  <v>0.03922550231275063</v>
                </pt>
                <pt idx="114">
                  <v>0.03243562938713677</v>
                </pt>
                <pt idx="115">
                  <v>0.02615547029894173</v>
                </pt>
                <pt idx="116">
                  <v>0.04325041007446848</v>
                </pt>
                <pt idx="117">
                  <v>0.03252736379939398</v>
                </pt>
                <pt idx="118">
                  <v>0.03116350222304083</v>
                </pt>
                <pt idx="119">
                  <v>0.02622433663215203</v>
                </pt>
                <pt idx="120">
                  <v>0.02942866002755283</v>
                </pt>
                <pt idx="121">
                  <v>0.01480653934424572</v>
                </pt>
                <pt idx="122">
                  <v>0.02956352114170781</v>
                </pt>
                <pt idx="123">
                  <v>0.01859046894245116</v>
                </pt>
                <pt idx="124">
                  <v>0.03006146995109545</v>
                </pt>
                <pt idx="125">
                  <v>0.04134280051182979</v>
                </pt>
                <pt idx="126">
                  <v>0.05275799862313633</v>
                </pt>
                <pt idx="127">
                  <v>0.06299682832824795</v>
                </pt>
                <pt idx="128">
                  <v>0.06260548947114612</v>
                </pt>
                <pt idx="129">
                  <v>0.05946177956119862</v>
                </pt>
                <pt idx="130">
                  <v>0.05841404358353511</v>
                </pt>
                <pt idx="131">
                  <v>0.05761841250638359</v>
                </pt>
                <pt idx="132">
                  <v>0.06218704012799874</v>
                </pt>
                <pt idx="133">
                  <v>0.07121899704603307</v>
                </pt>
                <pt idx="134">
                  <v>0.07542863313519431</v>
                </pt>
                <pt idx="135">
                  <v>0.071741406514975</v>
                </pt>
                <pt idx="136">
                  <v>0.06924953644969259</v>
                </pt>
                <pt idx="137">
                  <v>0.05489967425454405</v>
                </pt>
                <pt idx="138">
                  <v>0.05281095168542544</v>
                </pt>
                <pt idx="139">
                  <v>0.04363672415339656</v>
                </pt>
                <pt idx="140">
                  <v>0.05268158933509821</v>
                </pt>
                <pt idx="141">
                  <v>0.0562846832926634</v>
                </pt>
                <pt idx="142">
                  <v>0.05514328440771247</v>
                </pt>
                <pt idx="143">
                  <v>0.06624630818995828</v>
                </pt>
                <pt idx="144">
                  <v>0.06110323345498501</v>
                </pt>
                <pt idx="145">
                  <v>0.0706553077509719</v>
                </pt>
                <pt idx="146">
                  <v>0.0494760287727754</v>
                </pt>
                <pt idx="147">
                  <v>0.06829668767256483</v>
                </pt>
                <pt idx="148">
                  <v>0.05943905956227297</v>
                </pt>
                <pt idx="149">
                  <v>0.0710451906430291</v>
                </pt>
                <pt idx="150">
                  <v>0.06088427046779649</v>
                </pt>
                <pt idx="151">
                  <v>0.06813082421062155</v>
                </pt>
                <pt idx="152">
                  <v>0.0652688398995864</v>
                </pt>
                <pt idx="153">
                  <v>0.0718337748521581</v>
                </pt>
                <pt idx="154">
                  <v>0.07041496356850897</v>
                </pt>
                <pt idx="155">
                  <v>0.05925932439621704</v>
                </pt>
                <pt idx="156">
                  <v>0.07903153725497068</v>
                </pt>
                <pt idx="157">
                  <v>0.07030116661889002</v>
                </pt>
                <pt idx="158">
                  <v>0.07360743859160809</v>
                </pt>
                <pt idx="159">
                  <v>0.05990769561017495</v>
                </pt>
                <pt idx="160">
                  <v>0.06162639937628415</v>
                </pt>
                <pt idx="161">
                  <v>0.05037744700814603</v>
                </pt>
                <pt idx="162">
                  <v>0.05164212910532277</v>
                </pt>
                <pt idx="163">
                  <v>0.04949580935198479</v>
                </pt>
                <pt idx="164">
                  <v>0.05157390193623453</v>
                </pt>
                <pt idx="165">
                  <v>0.0406519287821481</v>
                </pt>
                <pt idx="166">
                  <v>0.03715202404027743</v>
                </pt>
                <pt idx="167">
                  <v>0.05179334133048867</v>
                </pt>
                <pt idx="168">
                  <v>0.03125355292436129</v>
                </pt>
                <pt idx="169">
                  <v>0.02763123721715417</v>
                </pt>
                <pt idx="170">
                  <v>0.03575291358294749</v>
                </pt>
                <pt idx="171">
                  <v>0.02735348085499374</v>
                </pt>
                <pt idx="172">
                  <v>0.0376850168787328</v>
                </pt>
                <pt idx="173">
                  <v>0.03966185104879772</v>
                </pt>
                <pt idx="174">
                  <v>0.0473018827287172</v>
                </pt>
                <pt idx="175">
                  <v>0.03945796745867768</v>
                </pt>
                <pt idx="176">
                  <v>0.03221526015546389</v>
                </pt>
                <pt idx="177">
                  <v>0.03303438983138947</v>
                </pt>
                <pt idx="178">
                  <v>0.04431727229069954</v>
                </pt>
                <pt idx="179">
                  <v>0.02353224387029049</v>
                </pt>
                <pt idx="180">
                  <v>0.019710756655235</v>
                </pt>
                <pt idx="181">
                  <v>0.01536134705982238</v>
                </pt>
                <pt idx="182">
                  <v>0.00876071133847243</v>
                </pt>
                <pt idx="183">
                  <v>0.02347889856169568</v>
                </pt>
                <pt idx="184">
                  <v>0.02657652726078388</v>
                </pt>
                <pt idx="185">
                  <v>0.02615504784221832</v>
                </pt>
                <pt idx="186">
                  <v>0.02370411184274345</v>
                </pt>
                <pt idx="187">
                  <v>0.01579278376930423</v>
                </pt>
                <pt idx="188">
                  <v>0.003573051424754255</v>
                </pt>
                <pt idx="189">
                  <v>-0.01005554157877422</v>
                </pt>
                <pt idx="190">
                  <v>-0.03205162595706523</v>
                </pt>
                <pt idx="191">
                  <v>-0.0362083590376311</v>
                </pt>
                <pt idx="192">
                  <v>-0.02570864819155221</v>
                </pt>
                <pt idx="193">
                  <v>-0.02176001368994606</v>
                </pt>
                <pt idx="194">
                  <v>-0.03917775184451414</v>
                </pt>
                <pt idx="195">
                  <v>-0.04059910550220158</v>
                </pt>
                <pt idx="196">
                  <v>-0.04901942113662593</v>
                </pt>
                <pt idx="197">
                  <v>-0.04890636239424237</v>
                </pt>
                <pt idx="198">
                  <v>-0.05353866913291994</v>
                </pt>
                <pt idx="199">
                  <v>-0.04550666146896283</v>
                </pt>
                <pt idx="200">
                  <v>-0.03184947543178678</v>
                </pt>
                <pt idx="201">
                  <v>-0.02137492327000747</v>
                </pt>
                <pt idx="202">
                  <v>-0.008484104675561186</v>
                </pt>
                <pt idx="203">
                  <v>0.007368913745304418</v>
                </pt>
                <pt idx="204">
                  <v>-0.001823074575639761</v>
                </pt>
                <pt idx="205">
                  <v>0.01018176902770268</v>
                </pt>
                <pt idx="206">
                  <v>0.03429881124355384</v>
                </pt>
                <pt idx="207">
                  <v>0.0372217403873952</v>
                </pt>
                <pt idx="208">
                  <v>0.02559686637642733</v>
                </pt>
                <pt idx="209">
                  <v>0.02743930499365739</v>
                </pt>
                <pt idx="210">
                  <v>0.02634329583545252</v>
                </pt>
                <pt idx="211">
                  <v>0.03292532042426936</v>
                </pt>
                <pt idx="212">
                  <v>0.03467600420509008</v>
                </pt>
                <pt idx="213">
                  <v>0.03927287255293647</v>
                </pt>
                <pt idx="214">
                  <v>0.04880872999077649</v>
                </pt>
                <pt idx="215">
                  <v>0.04292107969866289</v>
                </pt>
                <pt idx="216">
                  <v>0.04816942678699759</v>
                </pt>
                <pt idx="217">
                  <v>0.04482287702340518</v>
                </pt>
                <pt idx="218">
                  <v>0.0423802872948869</v>
                </pt>
                <pt idx="219">
                  <v>0.04207604580400901</v>
                </pt>
                <pt idx="220">
                  <v>0.05104854141445699</v>
                </pt>
                <pt idx="221">
                  <v>0.05843725901057043</v>
                </pt>
                <pt idx="222">
                  <v>0.06021515445936296</v>
                </pt>
                <pt idx="223">
                  <v>0.05854169089429003</v>
                </pt>
                <pt idx="224">
                  <v>0.05703347138088762</v>
                </pt>
                <pt idx="225">
                  <v>0.05854764925229693</v>
                </pt>
                <pt idx="226">
                  <v>0.04958674539633229</v>
                </pt>
                <pt idx="227">
                  <v>0.04650463218579006</v>
                </pt>
                <pt idx="228">
                  <v>0.05399764387692098</v>
                </pt>
                <pt idx="229">
                  <v>0.0568446349603357</v>
                </pt>
                <pt idx="230">
                  <v>0.05346108501600015</v>
                </pt>
                <pt idx="231">
                  <v>0.04114983264422131</v>
                </pt>
                <pt idx="232">
                  <v>0.03991201670493643</v>
                </pt>
                <pt idx="233">
                  <v>0.02868360821024588</v>
                </pt>
                <pt idx="234">
                  <v>0.03402487183167533</v>
                </pt>
                <pt idx="235">
                  <v>0.0321490302923771</v>
                </pt>
                <pt idx="236">
                  <v>0.03523981126489797</v>
                </pt>
                <pt idx="237">
                  <v>0.02741865194654271</v>
                </pt>
                <pt idx="238">
                  <v>0.03278973942313273</v>
                </pt>
                <pt idx="239">
                  <v>0.04162906793968679</v>
                </pt>
                <pt idx="240">
                  <v>0.03652856444610563</v>
                </pt>
                <pt idx="241">
                  <v>0.03109039131194109</v>
                </pt>
                <pt idx="242">
                  <v>0.02531717524842878</v>
                </pt>
                <pt idx="243">
                  <v>0.02645719749950047</v>
                </pt>
                <pt idx="244">
                  <v>0.03256349058895829</v>
                </pt>
                <pt idx="245">
                  <v>0.03235164709375324</v>
                </pt>
                <pt idx="246">
                  <v>0.03532556467514718</v>
                </pt>
                <pt idx="247">
                  <v>0.03116185502268929</v>
                </pt>
                <pt idx="248">
                  <v>0.03053100938030665</v>
                </pt>
                <pt idx="249">
                  <v>0.03578169735958432</v>
                </pt>
                <pt idx="250">
                  <v>0.0329322600584401</v>
                </pt>
                <pt idx="251">
                  <v>0.03127434302222005</v>
                </pt>
                <pt idx="252">
                  <v>0.01513459911515471</v>
                </pt>
                <pt idx="253">
                  <v>0.02289036682659735</v>
                </pt>
                <pt idx="254">
                  <v>0.03357300022522913</v>
                </pt>
                <pt idx="255">
                  <v>0.04603394755960637</v>
                </pt>
                <pt idx="256">
                  <v>0.04453664039197503</v>
                </pt>
                <pt idx="257">
                  <v>0.05269285543508768</v>
                </pt>
                <pt idx="258">
                  <v>0.04522436856055528</v>
                </pt>
                <pt idx="259">
                  <v>0.05490066544175836</v>
                </pt>
                <pt idx="260">
                  <v>0.0513564530440115</v>
                </pt>
                <pt idx="261">
                  <v>0.05413724734074319</v>
                </pt>
                <pt idx="262">
                  <v>0.05428865776079262</v>
                </pt>
                <pt idx="263">
                  <v>0.05380962381362075</v>
                </pt>
                <pt idx="264">
                  <v>0.0635466583782196</v>
                </pt>
                <pt idx="265">
                  <v>0.05014970565772488</v>
                </pt>
                <pt idx="266">
                  <v>0.04923495728902656</v>
                </pt>
                <pt idx="267">
                  <v>0.04203414838396661</v>
                </pt>
                <pt idx="268">
                  <v>0.04332342837455982</v>
                </pt>
                <pt idx="269">
                  <v>0.03702057905755026</v>
                </pt>
                <pt idx="270">
                  <v>0.04448128194502003</v>
                </pt>
                <pt idx="271">
                  <v>0.03751263902932254</v>
                </pt>
                <pt idx="272">
                  <v>0.03646233854254917</v>
                </pt>
                <pt idx="273">
                  <v>0.02883809166162183</v>
                </pt>
                <pt idx="274">
                  <v>0.02896994324045407</v>
                </pt>
                <pt idx="275">
                  <v>0.03288847746149297</v>
                </pt>
                <pt idx="276">
                  <v>0.02832854821409073</v>
                </pt>
                <pt idx="277">
                  <v>0.04231964833920078</v>
                </pt>
                <pt idx="278">
                  <v>0.03227465891299486</v>
                </pt>
                <pt idx="279">
                  <v>0.03195129651657838</v>
                </pt>
                <pt idx="280">
                  <v>0.02966213362883279</v>
                </pt>
                <pt idx="281">
                  <v>0.03803193768627936</v>
                </pt>
                <pt idx="282">
                  <v>0.02440153418859939</v>
                </pt>
                <pt idx="283">
                  <v>0.02617489963563886</v>
                </pt>
                <pt idx="284">
                  <v>0.0286152627309939</v>
                </pt>
                <pt idx="285">
                  <v>0.0314029042966599</v>
                </pt>
                <pt idx="286">
                  <v>0.0286902586636495</v>
                </pt>
                <pt idx="287">
                  <v>0.0245002240589524</v>
                </pt>
                <pt idx="288">
                  <v>0.04369103350062304</v>
                </pt>
                <pt idx="289">
                  <v>0.03138883314552107</v>
                </pt>
                <pt idx="290">
                  <v>0.03851784901770818</v>
                </pt>
                <pt idx="291">
                  <v>0.04258784264037826</v>
                </pt>
                <pt idx="292">
                  <v>0.03639038018557521</v>
                </pt>
                <pt idx="293">
                  <v>0.03181941883540805</v>
                </pt>
                <pt idx="294">
                  <v>0.03744724279228185</v>
                </pt>
                <pt idx="295">
                  <v>0.03940358498485066</v>
                </pt>
                <pt idx="296">
                  <v>0.04716612059269402</v>
                </pt>
                <pt idx="297">
                  <v>0.04525527403633479</v>
                </pt>
                <pt idx="298">
                  <v>0.05841257460765286</v>
                </pt>
                <pt idx="299">
                  <v>0.06100535513050662</v>
                </pt>
                <pt idx="300">
                  <v>0.04266995418814876</v>
                </pt>
                <pt idx="301">
                  <v>0.04994731674609066</v>
                </pt>
                <pt idx="302">
                  <v>0.04505610777461514</v>
                </pt>
                <pt idx="303">
                  <v>0.04383305026217428</v>
                </pt>
                <pt idx="304">
                  <v>0.06018030884584486</v>
                </pt>
                <pt idx="305">
                  <v>0.05282732582777924</v>
                </pt>
                <pt idx="306">
                  <v>0.05959234710053245</v>
                </pt>
                <pt idx="307">
                  <v>0.05396443634884564</v>
                </pt>
                <pt idx="308">
                  <v>0.04157132182968688</v>
                </pt>
                <pt idx="309">
                  <v>0.05146824898794287</v>
                </pt>
                <pt idx="310">
                  <v>0.04365711061662862</v>
                </pt>
                <pt idx="311">
                  <v>0.01305178055602475</v>
                </pt>
                <pt idx="312">
                  <v>0.04271738225815246</v>
                </pt>
                <pt idx="313">
                  <v>0.02872635834392943</v>
                </pt>
                <pt idx="314">
                  <v>0.0393175751214949</v>
                </pt>
                <pt idx="315">
                  <v>0.04114902643408233</v>
                </pt>
                <pt idx="316">
                  <v>0.03272095555630396</v>
                </pt>
                <pt idx="317">
                  <v>0.04242748370934373</v>
                </pt>
                <pt idx="318">
                  <v>0.04128577620558996</v>
                </pt>
                <pt idx="319">
                  <v>0.04435831180017227</v>
                </pt>
                <pt idx="320">
                  <v>0.04342331284905242</v>
                </pt>
                <pt idx="321">
                  <v>0.03746811268747242</v>
                </pt>
                <pt idx="322">
                  <v>0.02876804898567114</v>
                </pt>
                <pt idx="323">
                  <v>0.05958853783982366</v>
                </pt>
                <pt idx="324">
                  <v>0.04193065410169044</v>
                </pt>
                <pt idx="325">
                  <v>0.04941607498184761</v>
                </pt>
                <pt idx="326">
                  <v>0.008962235674417838</v>
                </pt>
                <pt idx="327">
                  <v>-0.1395336151643257</v>
                </pt>
                <pt idx="328">
                  <v>-0.0386928459813846</v>
                </pt>
                <pt idx="329">
                  <v>0.02965939223088098</v>
                </pt>
                <pt idx="330">
                  <v>0.04217322064940959</v>
                </pt>
                <pt idx="331">
                  <v>0.0488659793814433</v>
                </pt>
                <pt idx="332">
                  <v>0.06870593922466463</v>
                </pt>
                <pt idx="333">
                  <v>0.06606805065404507</v>
                </pt>
                <pt idx="334">
                  <v>0.05555183184310361</v>
                </pt>
                <pt idx="335">
                  <v>0.01995220645106228</v>
                </pt>
                <pt idx="336">
                  <v>0.09752148198630119</v>
                </pt>
                <pt idx="337">
                  <v>0.06169041236977275</v>
                </pt>
                <pt idx="338">
                  <v>0.2000359003927285</v>
                </pt>
                <pt idx="339">
                  <v>0.399587942565533</v>
                </pt>
                <pt idx="340">
                  <v>0.2400059931531053</v>
                </pt>
                <pt idx="341">
                  <v>0.1671998992977064</v>
                </pt>
                <pt idx="342">
                  <v>0.1323307728185161</v>
                </pt>
                <pt idx="343">
                  <v>0.1466330013607387</v>
                </pt>
                <pt idx="344">
                  <v>0.1321060064633184</v>
                </pt>
                <pt idx="345">
                  <v>0.1485729487707181</v>
                </pt>
                <pt idx="346">
                  <v>0.1645064197813083</v>
                </pt>
                <pt idx="347">
                  <v>0.1659846192868181</v>
                </pt>
                <pt idx="348">
                  <v>0.1140695849739586</v>
                </pt>
              </numCache>
            </numRef>
          </val>
          <smooth val="0"/>
        </ser>
        <dLbls>
          <showLegendKey val="0"/>
          <showVal val="0"/>
          <showCatName val="0"/>
          <showSerName val="0"/>
          <showPercent val="0"/>
          <showBubbleSize val="0"/>
        </dLbls>
        <smooth val="0"/>
        <axId val="728847040"/>
        <axId val="728846712"/>
      </lineChart>
      <dateAx>
        <axId val="72884704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8846712"/>
        <crosses val="autoZero"/>
        <lblOffset val="100"/>
        <baseTimeUnit val="months"/>
      </dateAx>
      <valAx>
        <axId val="728846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8847040"/>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 ex Auto and Gas'!$A$7:$A$370</f>
              <numCache>
                <formatCode>[$-409]mmm\-yy;@</formatCode>
                <ptCount val="364"/>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numCache>
            </numRef>
          </cat>
          <val>
            <numRef>
              <f>'Retail Sales ex Auto and Gas'!$B$7:$B$370</f>
              <numCache>
                <formatCode>#,##0</formatCode>
                <ptCount val="364"/>
                <pt idx="0">
                  <v>117814</v>
                </pt>
                <pt idx="1">
                  <v>117795</v>
                </pt>
                <pt idx="2">
                  <v>117746</v>
                </pt>
                <pt idx="3">
                  <v>118223</v>
                </pt>
                <pt idx="4">
                  <v>118385</v>
                </pt>
                <pt idx="5">
                  <v>118410</v>
                </pt>
                <pt idx="6">
                  <v>119092</v>
                </pt>
                <pt idx="7">
                  <v>120123</v>
                </pt>
                <pt idx="8">
                  <v>120264</v>
                </pt>
                <pt idx="9">
                  <v>121349</v>
                </pt>
                <pt idx="10">
                  <v>121717</v>
                </pt>
                <pt idx="11">
                  <v>123358</v>
                </pt>
                <pt idx="12">
                  <v>124089</v>
                </pt>
                <pt idx="13">
                  <v>123425</v>
                </pt>
                <pt idx="14">
                  <v>122864</v>
                </pt>
                <pt idx="15">
                  <v>124689</v>
                </pt>
                <pt idx="16">
                  <v>125899</v>
                </pt>
                <pt idx="17">
                  <v>125804</v>
                </pt>
                <pt idx="18">
                  <v>126951</v>
                </pt>
                <pt idx="19">
                  <v>126831</v>
                </pt>
                <pt idx="20">
                  <v>128154</v>
                </pt>
                <pt idx="21">
                  <v>128272</v>
                </pt>
                <pt idx="22">
                  <v>128916</v>
                </pt>
                <pt idx="23">
                  <v>129976</v>
                </pt>
                <pt idx="24">
                  <v>128826</v>
                </pt>
                <pt idx="25">
                  <v>130514</v>
                </pt>
                <pt idx="26">
                  <v>133193</v>
                </pt>
                <pt idx="27">
                  <v>132700</v>
                </pt>
                <pt idx="28">
                  <v>133058</v>
                </pt>
                <pt idx="29">
                  <v>134530</v>
                </pt>
                <pt idx="30">
                  <v>134944</v>
                </pt>
                <pt idx="31">
                  <v>136246</v>
                </pt>
                <pt idx="32">
                  <v>136802</v>
                </pt>
                <pt idx="33">
                  <v>137821</v>
                </pt>
                <pt idx="34">
                  <v>137650</v>
                </pt>
                <pt idx="35">
                  <v>138876</v>
                </pt>
                <pt idx="36">
                  <v>139434</v>
                </pt>
                <pt idx="37">
                  <v>137534</v>
                </pt>
                <pt idx="38">
                  <v>138645</v>
                </pt>
                <pt idx="39">
                  <v>138955</v>
                </pt>
                <pt idx="40">
                  <v>140053</v>
                </pt>
                <pt idx="41">
                  <v>140515</v>
                </pt>
                <pt idx="42">
                  <v>140839</v>
                </pt>
                <pt idx="43">
                  <v>141546</v>
                </pt>
                <pt idx="44">
                  <v>142624</v>
                </pt>
                <pt idx="45">
                  <v>141898</v>
                </pt>
                <pt idx="46">
                  <v>143820</v>
                </pt>
                <pt idx="47">
                  <v>144990</v>
                </pt>
                <pt idx="48">
                  <v>142871</v>
                </pt>
                <pt idx="49">
                  <v>144263</v>
                </pt>
                <pt idx="50">
                  <v>145592</v>
                </pt>
                <pt idx="51">
                  <v>146893</v>
                </pt>
                <pt idx="52">
                  <v>147611</v>
                </pt>
                <pt idx="53">
                  <v>147918</v>
                </pt>
                <pt idx="54">
                  <v>148253</v>
                </pt>
                <pt idx="55">
                  <v>148820</v>
                </pt>
                <pt idx="56">
                  <v>149984</v>
                </pt>
                <pt idx="57">
                  <v>151250</v>
                </pt>
                <pt idx="58">
                  <v>151651</v>
                </pt>
                <pt idx="59">
                  <v>152397</v>
                </pt>
                <pt idx="60">
                  <v>152533</v>
                </pt>
                <pt idx="61">
                  <v>153837</v>
                </pt>
                <pt idx="62">
                  <v>154959</v>
                </pt>
                <pt idx="63">
                  <v>154141</v>
                </pt>
                <pt idx="64">
                  <v>154371</v>
                </pt>
                <pt idx="65">
                  <v>155613</v>
                </pt>
                <pt idx="66">
                  <v>157052</v>
                </pt>
                <pt idx="67">
                  <v>157139</v>
                </pt>
                <pt idx="68">
                  <v>158221</v>
                </pt>
                <pt idx="69">
                  <v>158269</v>
                </pt>
                <pt idx="70">
                  <v>158488</v>
                </pt>
                <pt idx="71">
                  <v>158882</v>
                </pt>
                <pt idx="72">
                  <v>159868</v>
                </pt>
                <pt idx="73">
                  <v>160789</v>
                </pt>
                <pt idx="74">
                  <v>161245</v>
                </pt>
                <pt idx="75">
                  <v>162724</v>
                </pt>
                <pt idx="76">
                  <v>163136</v>
                </pt>
                <pt idx="77">
                  <v>163774</v>
                </pt>
                <pt idx="78">
                  <v>165004</v>
                </pt>
                <pt idx="79">
                  <v>165531</v>
                </pt>
                <pt idx="80">
                  <v>165542</v>
                </pt>
                <pt idx="81">
                  <v>167307</v>
                </pt>
                <pt idx="82">
                  <v>168460</v>
                </pt>
                <pt idx="83">
                  <v>169658</v>
                </pt>
                <pt idx="84">
                  <v>169939</v>
                </pt>
                <pt idx="85">
                  <v>171951</v>
                </pt>
                <pt idx="86">
                  <v>172497</v>
                </pt>
                <pt idx="87">
                  <v>173212</v>
                </pt>
                <pt idx="88">
                  <v>174338</v>
                </pt>
                <pt idx="89">
                  <v>174927</v>
                </pt>
                <pt idx="90">
                  <v>175243</v>
                </pt>
                <pt idx="91">
                  <v>176382</v>
                </pt>
                <pt idx="92">
                  <v>177828</v>
                </pt>
                <pt idx="93">
                  <v>178667</v>
                </pt>
                <pt idx="94">
                  <v>179704</v>
                </pt>
                <pt idx="95">
                  <v>183859</v>
                </pt>
                <pt idx="96">
                  <v>181007</v>
                </pt>
                <pt idx="97">
                  <v>182721</v>
                </pt>
                <pt idx="98">
                  <v>185940</v>
                </pt>
                <pt idx="99">
                  <v>185327</v>
                </pt>
                <pt idx="100">
                  <v>185371</v>
                </pt>
                <pt idx="101">
                  <v>185899</v>
                </pt>
                <pt idx="102">
                  <v>186520</v>
                </pt>
                <pt idx="103">
                  <v>187033</v>
                </pt>
                <pt idx="104">
                  <v>189371</v>
                </pt>
                <pt idx="105">
                  <v>189307</v>
                </pt>
                <pt idx="106">
                  <v>189478</v>
                </pt>
                <pt idx="107">
                  <v>190143</v>
                </pt>
                <pt idx="108">
                  <v>190977</v>
                </pt>
                <pt idx="109">
                  <v>190970</v>
                </pt>
                <pt idx="110">
                  <v>190127</v>
                </pt>
                <pt idx="111">
                  <v>192257</v>
                </pt>
                <pt idx="112">
                  <v>191829</v>
                </pt>
                <pt idx="113">
                  <v>191763</v>
                </pt>
                <pt idx="114">
                  <v>192751</v>
                </pt>
                <pt idx="115">
                  <v>194185</v>
                </pt>
                <pt idx="116">
                  <v>190819</v>
                </pt>
                <pt idx="117">
                  <v>194052</v>
                </pt>
                <pt idx="118">
                  <v>195453</v>
                </pt>
                <pt idx="119">
                  <v>196535</v>
                </pt>
                <pt idx="120">
                  <v>196713</v>
                </pt>
                <pt idx="121">
                  <v>197818</v>
                </pt>
                <pt idx="122">
                  <v>197879</v>
                </pt>
                <pt idx="123">
                  <v>199726</v>
                </pt>
                <pt idx="124">
                  <v>198959</v>
                </pt>
                <pt idx="125">
                  <v>199285</v>
                </pt>
                <pt idx="126">
                  <v>199003</v>
                </pt>
                <pt idx="127">
                  <v>199264</v>
                </pt>
                <pt idx="128">
                  <v>199072</v>
                </pt>
                <pt idx="129">
                  <v>200364</v>
                </pt>
                <pt idx="130">
                  <v>201544</v>
                </pt>
                <pt idx="131">
                  <v>201689</v>
                </pt>
                <pt idx="132">
                  <v>202502</v>
                </pt>
                <pt idx="133">
                  <v>200747</v>
                </pt>
                <pt idx="134">
                  <v>203729</v>
                </pt>
                <pt idx="135">
                  <v>203439</v>
                </pt>
                <pt idx="136">
                  <v>204940</v>
                </pt>
                <pt idx="137">
                  <v>207524</v>
                </pt>
                <pt idx="138">
                  <v>209502</v>
                </pt>
                <pt idx="139">
                  <v>211817</v>
                </pt>
                <pt idx="140">
                  <v>211535</v>
                </pt>
                <pt idx="141">
                  <v>212278</v>
                </pt>
                <pt idx="142">
                  <v>213317</v>
                </pt>
                <pt idx="143">
                  <v>213310</v>
                </pt>
                <pt idx="144">
                  <v>215095</v>
                </pt>
                <pt idx="145">
                  <v>215044</v>
                </pt>
                <pt idx="146">
                  <v>219096</v>
                </pt>
                <pt idx="147">
                  <v>218034</v>
                </pt>
                <pt idx="148">
                  <v>219132</v>
                </pt>
                <pt idx="149">
                  <v>218917</v>
                </pt>
                <pt idx="150">
                  <v>220566</v>
                </pt>
                <pt idx="151">
                  <v>221060</v>
                </pt>
                <pt idx="152">
                  <v>222679</v>
                </pt>
                <pt idx="153">
                  <v>224226</v>
                </pt>
                <pt idx="154">
                  <v>225080</v>
                </pt>
                <pt idx="155">
                  <v>227441</v>
                </pt>
                <pt idx="156">
                  <v>228238</v>
                </pt>
                <pt idx="157">
                  <v>230238</v>
                </pt>
                <pt idx="158">
                  <v>229936</v>
                </pt>
                <pt idx="159">
                  <v>232925</v>
                </pt>
                <pt idx="160">
                  <v>232157</v>
                </pt>
                <pt idx="161">
                  <v>234470</v>
                </pt>
                <pt idx="162">
                  <v>233995</v>
                </pt>
                <pt idx="163">
                  <v>236121</v>
                </pt>
                <pt idx="164">
                  <v>237213</v>
                </pt>
                <pt idx="165">
                  <v>240333</v>
                </pt>
                <pt idx="166">
                  <v>240929</v>
                </pt>
                <pt idx="167">
                  <v>240919</v>
                </pt>
                <pt idx="168">
                  <v>246276</v>
                </pt>
                <pt idx="169">
                  <v>246424</v>
                </pt>
                <pt idx="170">
                  <v>246861</v>
                </pt>
                <pt idx="171">
                  <v>246879</v>
                </pt>
                <pt idx="172">
                  <v>246464</v>
                </pt>
                <pt idx="173">
                  <v>246282</v>
                </pt>
                <pt idx="174">
                  <v>246079</v>
                </pt>
                <pt idx="175">
                  <v>247808</v>
                </pt>
                <pt idx="176">
                  <v>249447</v>
                </pt>
                <pt idx="177">
                  <v>250103</v>
                </pt>
                <pt idx="178">
                  <v>249880</v>
                </pt>
                <pt idx="179">
                  <v>253397</v>
                </pt>
                <pt idx="180">
                  <v>253973</v>
                </pt>
                <pt idx="181">
                  <v>253233</v>
                </pt>
                <pt idx="182">
                  <v>255687</v>
                </pt>
                <pt idx="183">
                  <v>253632</v>
                </pt>
                <pt idx="184">
                  <v>255752</v>
                </pt>
                <pt idx="185">
                  <v>256050</v>
                </pt>
                <pt idx="186">
                  <v>257719</v>
                </pt>
                <pt idx="187">
                  <v>257586</v>
                </pt>
                <pt idx="188">
                  <v>257483</v>
                </pt>
                <pt idx="189">
                  <v>258365</v>
                </pt>
                <pt idx="190">
                  <v>260954</v>
                </pt>
                <pt idx="191">
                  <v>259360</v>
                </pt>
                <pt idx="192">
                  <v>258979</v>
                </pt>
                <pt idx="193">
                  <v>257123</v>
                </pt>
                <pt idx="194">
                  <v>257927</v>
                </pt>
                <pt idx="195">
                  <v>259587</v>
                </pt>
                <pt idx="196">
                  <v>262549</v>
                </pt>
                <pt idx="197">
                  <v>262747</v>
                </pt>
                <pt idx="198">
                  <v>263828</v>
                </pt>
                <pt idx="199">
                  <v>261654</v>
                </pt>
                <pt idx="200">
                  <v>258403</v>
                </pt>
                <pt idx="201">
                  <v>255767</v>
                </pt>
                <pt idx="202">
                  <v>252590</v>
                </pt>
                <pt idx="203">
                  <v>249969</v>
                </pt>
                <pt idx="204">
                  <v>252321</v>
                </pt>
                <pt idx="205">
                  <v>251528</v>
                </pt>
                <pt idx="206">
                  <v>247822</v>
                </pt>
                <pt idx="207">
                  <v>249048</v>
                </pt>
                <pt idx="208">
                  <v>249679</v>
                </pt>
                <pt idx="209">
                  <v>249897</v>
                </pt>
                <pt idx="210">
                  <v>249703</v>
                </pt>
                <pt idx="211">
                  <v>249747</v>
                </pt>
                <pt idx="212">
                  <v>250173</v>
                </pt>
                <pt idx="213">
                  <v>250300</v>
                </pt>
                <pt idx="214">
                  <v>250447</v>
                </pt>
                <pt idx="215">
                  <v>251811</v>
                </pt>
                <pt idx="216">
                  <v>251861</v>
                </pt>
                <pt idx="217">
                  <v>254089</v>
                </pt>
                <pt idx="218">
                  <v>256322</v>
                </pt>
                <pt idx="219">
                  <v>258318</v>
                </pt>
                <pt idx="220">
                  <v>256070</v>
                </pt>
                <pt idx="221">
                  <v>256754</v>
                </pt>
                <pt idx="222">
                  <v>256281</v>
                </pt>
                <pt idx="223">
                  <v>257970</v>
                </pt>
                <pt idx="224">
                  <v>258848</v>
                </pt>
                <pt idx="225">
                  <v>260130</v>
                </pt>
                <pt idx="226">
                  <v>262671</v>
                </pt>
                <pt idx="227">
                  <v>262619</v>
                </pt>
                <pt idx="228">
                  <v>263993</v>
                </pt>
                <pt idx="229">
                  <v>265478</v>
                </pt>
                <pt idx="230">
                  <v>267185</v>
                </pt>
                <pt idx="231">
                  <v>269187</v>
                </pt>
                <pt idx="232">
                  <v>269142</v>
                </pt>
                <pt idx="233">
                  <v>271758</v>
                </pt>
                <pt idx="234">
                  <v>271713</v>
                </pt>
                <pt idx="235">
                  <v>273072</v>
                </pt>
                <pt idx="236">
                  <v>273611</v>
                </pt>
                <pt idx="237">
                  <v>275360</v>
                </pt>
                <pt idx="238">
                  <v>275696</v>
                </pt>
                <pt idx="239">
                  <v>274832</v>
                </pt>
                <pt idx="240">
                  <v>278248</v>
                </pt>
                <pt idx="241">
                  <v>280569</v>
                </pt>
                <pt idx="242">
                  <v>281469</v>
                </pt>
                <pt idx="243">
                  <v>280264</v>
                </pt>
                <pt idx="244">
                  <v>279884</v>
                </pt>
                <pt idx="245">
                  <v>279553</v>
                </pt>
                <pt idx="246">
                  <v>280958</v>
                </pt>
                <pt idx="247">
                  <v>281851</v>
                </pt>
                <pt idx="248">
                  <v>283253</v>
                </pt>
                <pt idx="249">
                  <v>282910</v>
                </pt>
                <pt idx="250">
                  <v>284736</v>
                </pt>
                <pt idx="251">
                  <v>286273</v>
                </pt>
                <pt idx="252">
                  <v>288412</v>
                </pt>
                <pt idx="253">
                  <v>289292</v>
                </pt>
                <pt idx="254">
                  <v>288595</v>
                </pt>
                <pt idx="255">
                  <v>287679</v>
                </pt>
                <pt idx="256">
                  <v>288998</v>
                </pt>
                <pt idx="257">
                  <v>288597</v>
                </pt>
                <pt idx="258">
                  <v>290883</v>
                </pt>
                <pt idx="259">
                  <v>290634</v>
                </pt>
                <pt idx="260">
                  <v>291901</v>
                </pt>
                <pt idx="261">
                  <v>293033</v>
                </pt>
                <pt idx="262">
                  <v>294113</v>
                </pt>
                <pt idx="263">
                  <v>295226</v>
                </pt>
                <pt idx="264">
                  <v>292777</v>
                </pt>
                <pt idx="265">
                  <v>295914</v>
                </pt>
                <pt idx="266">
                  <v>298284</v>
                </pt>
                <pt idx="267">
                  <v>300922</v>
                </pt>
                <pt idx="268">
                  <v>301869</v>
                </pt>
                <pt idx="269">
                  <v>303804</v>
                </pt>
                <pt idx="270">
                  <v>304038</v>
                </pt>
                <pt idx="271">
                  <v>306590</v>
                </pt>
                <pt idx="272">
                  <v>306892</v>
                </pt>
                <pt idx="273">
                  <v>308897</v>
                </pt>
                <pt idx="274">
                  <v>310080</v>
                </pt>
                <pt idx="275">
                  <v>311112</v>
                </pt>
                <pt idx="276">
                  <v>311382</v>
                </pt>
                <pt idx="277">
                  <v>310754</v>
                </pt>
                <pt idx="278">
                  <v>312970</v>
                </pt>
                <pt idx="279">
                  <v>313571</v>
                </pt>
                <pt idx="280">
                  <v>314947</v>
                </pt>
                <pt idx="281">
                  <v>315051</v>
                </pt>
                <pt idx="282">
                  <v>317562</v>
                </pt>
                <pt idx="283">
                  <v>318091</v>
                </pt>
                <pt idx="284">
                  <v>318082</v>
                </pt>
                <pt idx="285">
                  <v>317805</v>
                </pt>
                <pt idx="286">
                  <v>319063</v>
                </pt>
                <pt idx="287">
                  <v>321344</v>
                </pt>
                <pt idx="288">
                  <v>320203</v>
                </pt>
                <pt idx="289">
                  <v>323905</v>
                </pt>
                <pt idx="290">
                  <v>323071</v>
                </pt>
                <pt idx="291">
                  <v>323590</v>
                </pt>
                <pt idx="292">
                  <v>324289</v>
                </pt>
                <pt idx="293">
                  <v>327033</v>
                </pt>
                <pt idx="294">
                  <v>325311</v>
                </pt>
                <pt idx="295">
                  <v>326417</v>
                </pt>
                <pt idx="296">
                  <v>327184</v>
                </pt>
                <pt idx="297">
                  <v>327785</v>
                </pt>
                <pt idx="298">
                  <v>328217</v>
                </pt>
                <pt idx="299">
                  <v>329217</v>
                </pt>
                <pt idx="300">
                  <v>334193</v>
                </pt>
                <pt idx="301">
                  <v>334072</v>
                </pt>
                <pt idx="302">
                  <v>335515</v>
                </pt>
                <pt idx="303">
                  <v>337371</v>
                </pt>
                <pt idx="304">
                  <v>336090</v>
                </pt>
                <pt idx="305">
                  <v>337439</v>
                </pt>
                <pt idx="306">
                  <v>337493</v>
                </pt>
                <pt idx="307">
                  <v>339279</v>
                </pt>
                <pt idx="308">
                  <v>342616</v>
                </pt>
                <pt idx="309">
                  <v>342619</v>
                </pt>
                <pt idx="310">
                  <v>347389</v>
                </pt>
                <pt idx="311">
                  <v>349301</v>
                </pt>
                <pt idx="312">
                  <v>348453</v>
                </pt>
                <pt idx="313">
                  <v>350758</v>
                </pt>
                <pt idx="314">
                  <v>350632</v>
                </pt>
                <pt idx="315">
                  <v>352159</v>
                </pt>
                <pt idx="316">
                  <v>356316</v>
                </pt>
                <pt idx="317">
                  <v>355265</v>
                </pt>
                <pt idx="318">
                  <v>357605</v>
                </pt>
                <pt idx="319">
                  <v>357588</v>
                </pt>
                <pt idx="320">
                  <v>356859</v>
                </pt>
                <pt idx="321">
                  <v>360253</v>
                </pt>
                <pt idx="322">
                  <v>362555</v>
                </pt>
                <pt idx="323">
                  <v>353860</v>
                </pt>
                <pt idx="324">
                  <v>363338</v>
                </pt>
                <pt idx="325">
                  <v>360834</v>
                </pt>
                <pt idx="326">
                  <v>364418</v>
                </pt>
                <pt idx="327">
                  <v>366650</v>
                </pt>
                <pt idx="328">
                  <v>367975</v>
                </pt>
                <pt idx="329">
                  <v>370338</v>
                </pt>
                <pt idx="330">
                  <v>372369</v>
                </pt>
                <pt idx="331">
                  <v>373450</v>
                </pt>
                <pt idx="332">
                  <v>372355</v>
                </pt>
                <pt idx="333">
                  <v>373751</v>
                </pt>
                <pt idx="334">
                  <v>372985</v>
                </pt>
                <pt idx="335">
                  <v>374946</v>
                </pt>
                <pt idx="336">
                  <v>378573</v>
                </pt>
                <pt idx="337">
                  <v>378665</v>
                </pt>
                <pt idx="338">
                  <v>367684</v>
                </pt>
                <pt idx="339">
                  <v>315490</v>
                </pt>
                <pt idx="340">
                  <v>353737</v>
                </pt>
                <pt idx="341">
                  <v>381322</v>
                </pt>
                <pt idx="342">
                  <v>388073</v>
                </pt>
                <pt idx="343">
                  <v>391699</v>
                </pt>
                <pt idx="344">
                  <v>397938</v>
                </pt>
                <pt idx="345">
                  <v>398444</v>
                </pt>
                <pt idx="346">
                  <v>393705</v>
                </pt>
                <pt idx="347">
                  <v>382427</v>
                </pt>
                <pt idx="348">
                  <v>415492</v>
                </pt>
                <pt idx="349">
                  <v>402025</v>
                </pt>
                <pt idx="350">
                  <v>441234</v>
                </pt>
                <pt idx="351">
                  <v>441556</v>
                </pt>
                <pt idx="352">
                  <v>438636</v>
                </pt>
                <pt idx="353">
                  <v>445079</v>
                </pt>
                <pt idx="354">
                  <v>439427</v>
                </pt>
                <pt idx="355">
                  <v>449135</v>
                </pt>
                <pt idx="356">
                  <v>450508</v>
                </pt>
                <pt idx="357">
                  <v>457642</v>
                </pt>
                <pt idx="358">
                  <v>458472</v>
                </pt>
                <pt idx="359">
                  <v>445904</v>
                </pt>
                <pt idx="360">
                  <v>462887</v>
                </pt>
              </numCache>
            </numRef>
          </val>
          <smooth val="0"/>
        </ser>
        <dLbls>
          <showLegendKey val="0"/>
          <showVal val="0"/>
          <showCatName val="0"/>
          <showSerName val="0"/>
          <showPercent val="0"/>
          <showBubbleSize val="0"/>
        </dLbls>
        <smooth val="0"/>
        <axId val="1560528767"/>
        <axId val="1592998671"/>
      </lineChart>
      <dateAx>
        <axId val="1560528767"/>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92998671"/>
        <crosses val="autoZero"/>
        <lblOffset val="100"/>
        <baseTimeUnit val="months"/>
      </dateAx>
      <valAx>
        <axId val="159299867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0528767"/>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Retail Sales y/y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'Retail Sales'!$A$7:$A$373</f>
              <numCache>
                <formatCode>[$-409]mmm\-yy;@</formatCode>
                <ptCount val="367"/>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'Retail Sales'!$D$7:$D$373</f>
              <numCache>
                <formatCode>General</formatCode>
                <ptCount val="367"/>
                <pt idx="12">
                  <formatCode>0.00%</formatCode>
                  <v>0.06711356226576069</v>
                </pt>
                <pt idx="13">
                  <formatCode>0.00%</formatCode>
                  <v>0.0580404718262257</v>
                </pt>
                <pt idx="14">
                  <formatCode>0.00%</formatCode>
                  <v>0.05243676742751388</v>
                </pt>
                <pt idx="15">
                  <formatCode>0.00%</formatCode>
                  <v>0.07309861634761913</v>
                </pt>
                <pt idx="16">
                  <formatCode>0.00%</formatCode>
                  <v>0.07737362026906262</v>
                </pt>
                <pt idx="17">
                  <formatCode>0.00%</formatCode>
                  <v>0.07273734472563931</v>
                </pt>
                <pt idx="18">
                  <formatCode>0.00%</formatCode>
                  <v>0.08063040709805867</v>
                </pt>
                <pt idx="19">
                  <formatCode>0.00%</formatCode>
                  <v>0.07691895113230036</v>
                </pt>
                <pt idx="20">
                  <formatCode>0.00%</formatCode>
                  <v>0.07304014167650531</v>
                </pt>
                <pt idx="21">
                  <formatCode>0.00%</formatCode>
                  <v>0.07184761904761905</v>
                </pt>
                <pt idx="22">
                  <formatCode>0.00%</formatCode>
                  <v>0.08037285895569084</v>
                </pt>
                <pt idx="23">
                  <formatCode>0.00%</formatCode>
                  <v>0.07679731954594032</v>
                </pt>
                <pt idx="24">
                  <formatCode>0.00%</formatCode>
                  <v>0.05730177947323938</v>
                </pt>
                <pt idx="25">
                  <formatCode>0.00%</formatCode>
                  <v>0.08247766829358136</v>
                </pt>
                <pt idx="26">
                  <formatCode>0.00%</formatCode>
                  <v>0.1118533307023551</v>
                </pt>
                <pt idx="27">
                  <formatCode>0.00%</formatCode>
                  <v>0.08424375809764129</v>
                </pt>
                <pt idx="28">
                  <formatCode>0.00%</formatCode>
                  <v>0.07007386815822807</v>
                </pt>
                <pt idx="29">
                  <formatCode>0.00%</formatCode>
                  <v>0.08404384896467722</v>
                </pt>
                <pt idx="30">
                  <formatCode>0.00%</formatCode>
                  <v>0.0719253304415662</v>
                </pt>
                <pt idx="31">
                  <formatCode>0.00%</formatCode>
                  <v>0.08553072100140005</v>
                </pt>
                <pt idx="32">
                  <formatCode>0.00%</formatCode>
                  <v>0.08797786249883095</v>
                </pt>
                <pt idx="33">
                  <formatCode>0.00%</formatCode>
                  <v>0.09124362984186697</v>
                </pt>
                <pt idx="34">
                  <formatCode>0.00%</formatCode>
                  <v>0.08110551186216826</v>
                </pt>
                <pt idx="35">
                  <formatCode>0.00%</formatCode>
                  <v>0.07673324427706157</v>
                </pt>
                <pt idx="36">
                  <formatCode>0.00%</formatCode>
                  <v>0.08874809605600026</v>
                </pt>
                <pt idx="37">
                  <formatCode>0.00%</formatCode>
                  <v>0.05489860374108064</v>
                </pt>
                <pt idx="38">
                  <formatCode>0.00%</formatCode>
                  <v>0.04524504251509821</v>
                </pt>
                <pt idx="39">
                  <formatCode>0.00%</formatCode>
                  <v>0.049014031590647</v>
                </pt>
                <pt idx="40">
                  <formatCode>0.00%</formatCode>
                  <v>0.06314912873371777</v>
                </pt>
                <pt idx="41">
                  <formatCode>0.00%</formatCode>
                  <v>0.06405012167969762</v>
                </pt>
                <pt idx="42">
                  <formatCode>0.00%</formatCode>
                  <v>0.05768982621307608</v>
                </pt>
                <pt idx="43">
                  <formatCode>0.00%</formatCode>
                  <v>0.05280302605486254</v>
                </pt>
                <pt idx="44">
                  <formatCode>0.00%</formatCode>
                  <v>0.04672717619396759</v>
                </pt>
                <pt idx="45">
                  <formatCode>0.00%</formatCode>
                  <v>0.03309599090048154</v>
                </pt>
                <pt idx="46">
                  <formatCode>0.00%</formatCode>
                  <v>0.04472515533392413</v>
                </pt>
                <pt idx="47">
                  <formatCode>0.00%</formatCode>
                  <v>0.04831541290071848</v>
                </pt>
                <pt idx="48">
                  <formatCode>0.00%</formatCode>
                  <v>0.03535195685930159</v>
                </pt>
                <pt idx="49">
                  <formatCode>0.00%</formatCode>
                  <v>0.06859409573636964</v>
                </pt>
                <pt idx="50">
                  <formatCode>0.00%</formatCode>
                  <v>0.06813585222250521</v>
                </pt>
                <pt idx="51">
                  <formatCode>0.00%</formatCode>
                  <v>0.06786979187393052</v>
                </pt>
                <pt idx="52">
                  <formatCode>0.00%</formatCode>
                  <v>0.06558580394707024</v>
                </pt>
                <pt idx="53">
                  <formatCode>0.00%</formatCode>
                  <v>0.05142579075425791</v>
                </pt>
                <pt idx="54">
                  <formatCode>0.00%</formatCode>
                  <v>0.0556900253757564</v>
                </pt>
                <pt idx="55">
                  <formatCode>0.00%</formatCode>
                  <v>0.04763195994596191</v>
                </pt>
                <pt idx="56">
                  <formatCode>0.00%</formatCode>
                  <v>0.05917702868515889</v>
                </pt>
                <pt idx="57">
                  <formatCode>0.00%</formatCode>
                  <v>0.0721907496507838</v>
                </pt>
                <pt idx="58">
                  <formatCode>0.00%</formatCode>
                  <v>0.05894164781658551</v>
                </pt>
                <pt idx="59">
                  <formatCode>0.00%</formatCode>
                  <v>0.05509531889410121</v>
                </pt>
                <pt idx="60">
                  <formatCode>0.00%</formatCode>
                  <v>0.07082928044695949</v>
                </pt>
                <pt idx="61">
                  <formatCode>0.00%</formatCode>
                  <v>0.06327119731330894</v>
                </pt>
                <pt idx="62">
                  <formatCode>0.00%</formatCode>
                  <v>0.05736566755964487</v>
                </pt>
                <pt idx="63">
                  <formatCode>0.00%</formatCode>
                  <v>0.04629767649853733</v>
                </pt>
                <pt idx="64">
                  <formatCode>0.00%</formatCode>
                  <v>0.0306520141100976</v>
                </pt>
                <pt idx="65">
                  <formatCode>0.00%</formatCode>
                  <v>0.04623081622452191</v>
                </pt>
                <pt idx="66">
                  <formatCode>0.00%</formatCode>
                  <v>0.05718525229739475</v>
                </pt>
                <pt idx="67">
                  <formatCode>0.00%</formatCode>
                  <v>0.05985912238049899</v>
                </pt>
                <pt idx="68">
                  <formatCode>0.00%</formatCode>
                  <v>0.05042507388623344</v>
                </pt>
                <pt idx="69">
                  <formatCode>0.00%</formatCode>
                  <v>0.03969962905998371</v>
                </pt>
                <pt idx="70">
                  <formatCode>0.00%</formatCode>
                  <v>0.04288953354181469</v>
                </pt>
                <pt idx="71">
                  <formatCode>0.00%</formatCode>
                  <v>0.04139807469672194</v>
                </pt>
                <pt idx="72">
                  <formatCode>0.00%</formatCode>
                  <v>0.03627153986244916</v>
                </pt>
                <pt idx="73">
                  <formatCode>0.00%</formatCode>
                  <v>0.02777901003451305</v>
                </pt>
                <pt idx="74">
                  <formatCode>0.00%</formatCode>
                  <v>0.03060651482793231</v>
                </pt>
                <pt idx="75">
                  <formatCode>0.00%</formatCode>
                  <v>0.05062440175411259</v>
                </pt>
                <pt idx="76">
                  <formatCode>0.00%</formatCode>
                  <v>0.06345518079747363</v>
                </pt>
                <pt idx="77">
                  <formatCode>0.00%</formatCode>
                  <v>0.05712718473659299</v>
                </pt>
                <pt idx="78">
                  <formatCode>0.00%</formatCode>
                  <v>0.03807558274268374</v>
                </pt>
                <pt idx="79">
                  <formatCode>0.00%</formatCode>
                  <v>0.03083175976520764</v>
                </pt>
                <pt idx="80">
                  <formatCode>0.00%</formatCode>
                  <v>0.03576887005453472</v>
                </pt>
                <pt idx="81">
                  <formatCode>0.00%</formatCode>
                  <v>0.0553133538697158</v>
                </pt>
                <pt idx="82">
                  <formatCode>0.00%</formatCode>
                  <v>0.06010675229994793</v>
                </pt>
                <pt idx="83">
                  <formatCode>0.00%</formatCode>
                  <v>0.06639386454769207</v>
                </pt>
                <pt idx="84">
                  <formatCode>0.00%</formatCode>
                  <v>0.06598384192549668</v>
                </pt>
                <pt idx="85">
                  <formatCode>0.00%</formatCode>
                  <v>0.07698416809102053</v>
                </pt>
                <pt idx="86">
                  <formatCode>0.00%</formatCode>
                  <v>0.07544093734849817</v>
                </pt>
                <pt idx="87">
                  <formatCode>0.00%</formatCode>
                  <v>0.06988126414278813</v>
                </pt>
                <pt idx="88">
                  <formatCode>0.00%</formatCode>
                  <v>0.07449119476958768</v>
                </pt>
                <pt idx="89">
                  <formatCode>0.00%</formatCode>
                  <v>0.06895397349469183</v>
                </pt>
                <pt idx="90">
                  <formatCode>0.00%</formatCode>
                  <v>0.08443163964601472</v>
                </pt>
                <pt idx="91">
                  <formatCode>0.00%</formatCode>
                  <v>0.1009015183243858</v>
                </pt>
                <pt idx="92">
                  <formatCode>0.00%</formatCode>
                  <v>0.09543911129742193</v>
                </pt>
                <pt idx="93">
                  <formatCode>0.00%</formatCode>
                  <v>0.07944374126465167</v>
                </pt>
                <pt idx="94">
                  <formatCode>0.00%</formatCode>
                  <v>0.08462857821205039</v>
                </pt>
                <pt idx="95">
                  <formatCode>0.00%</formatCode>
                  <v>0.09464568206709123</v>
                </pt>
                <pt idx="96">
                  <formatCode>0.00%</formatCode>
                  <v>0.08577863473597226</v>
                </pt>
                <pt idx="97">
                  <formatCode>0.00%</formatCode>
                  <v>0.09017313241423533</v>
                </pt>
                <pt idx="98">
                  <formatCode>0.00%</formatCode>
                  <v>0.09783896563967336</v>
                </pt>
                <pt idx="99">
                  <formatCode>0.00%</formatCode>
                  <v>0.07354729341682609</v>
                </pt>
                <pt idx="100">
                  <formatCode>0.00%</formatCode>
                  <v>0.06539737374133904</v>
                </pt>
                <pt idx="101">
                  <formatCode>0.00%</formatCode>
                  <v>0.07035846685639795</v>
                </pt>
                <pt idx="102">
                  <formatCode>0.00%</formatCode>
                  <v>0.05893822633770431</v>
                </pt>
                <pt idx="103">
                  <formatCode>0.00%</formatCode>
                  <v>0.04875686892364447</v>
                </pt>
                <pt idx="104">
                  <formatCode>0.00%</formatCode>
                  <v>0.06211230038612107</v>
                </pt>
                <pt idx="105">
                  <formatCode>0.00%</formatCode>
                  <v>0.0577080261861293</v>
                </pt>
                <pt idx="106">
                  <formatCode>0.00%</formatCode>
                  <v>0.04175645840016606</v>
                </pt>
                <pt idx="107">
                  <formatCode>0.00%</formatCode>
                  <v>0.02196670162267521</v>
                </pt>
                <pt idx="108">
                  <formatCode>0.00%</formatCode>
                  <v>0.04025458506812314</v>
                </pt>
                <pt idx="109">
                  <formatCode>0.00%</formatCode>
                  <v>0.02482538048672892</v>
                </pt>
                <pt idx="110">
                  <formatCode>0.00%</formatCode>
                  <v>0.004571353818424954</v>
                </pt>
                <pt idx="111">
                  <formatCode>0.00%</formatCode>
                  <v>0.03601602679987899</v>
                </pt>
                <pt idx="112">
                  <formatCode>0.00%</formatCode>
                  <v>0.03722263572518184</v>
                </pt>
                <pt idx="113">
                  <formatCode>0.00%</formatCode>
                  <v>0.02552464688284044</v>
                </pt>
                <pt idx="114">
                  <formatCode>0.00%</formatCode>
                  <v>0.02521365953856875</v>
                </pt>
                <pt idx="115">
                  <formatCode>0.00%</formatCode>
                  <v>0.03112656548853502</v>
                </pt>
                <pt idx="116">
                  <formatCode>0.00%</formatCode>
                  <v>-0.005274763284188681</v>
                </pt>
                <pt idx="117">
                  <formatCode>0.00%</formatCode>
                  <v>0.06360159897734782</v>
                </pt>
                <pt idx="118">
                  <formatCode>0.00%</formatCode>
                  <v>0.04014795546844716</v>
                </pt>
                <pt idx="119">
                  <formatCode>0.00%</formatCode>
                  <v>0.02869564271495444</v>
                </pt>
                <pt idx="120">
                  <formatCode>0.00%</formatCode>
                  <v>0.01676266165532181</v>
                </pt>
                <pt idx="121">
                  <formatCode>0.00%</formatCode>
                  <v>0.02253087637611964</v>
                </pt>
                <pt idx="122">
                  <formatCode>0.00%</formatCode>
                  <v>0.02825827455236028</v>
                </pt>
                <pt idx="123">
                  <formatCode>0.00%</formatCode>
                  <v>0.02857824563402752</v>
                </pt>
                <pt idx="124">
                  <formatCode>0.00%</formatCode>
                  <v>0.01227370904027055</v>
                </pt>
                <pt idx="125">
                  <formatCode>0.00%</formatCode>
                  <v>0.02486082431945678</v>
                </pt>
                <pt idx="126">
                  <formatCode>0.00%</formatCode>
                  <v>0.03892967542503864</v>
                </pt>
                <pt idx="127">
                  <formatCode>0.00%</formatCode>
                  <v>0.03993063575598853</v>
                </pt>
                <pt idx="128">
                  <formatCode>0.00%</formatCode>
                  <v>0.04464583242781182</v>
                </pt>
                <pt idx="129">
                  <formatCode>0.00%</formatCode>
                  <v>-0.01685339851972567</v>
                </pt>
                <pt idx="130">
                  <formatCode>0.00%</formatCode>
                  <v>0.01523104304606929</v>
                </pt>
                <pt idx="131">
                  <formatCode>0.00%</formatCode>
                  <v>0.03610087943462399</v>
                </pt>
                <pt idx="132">
                  <formatCode>0.00%</formatCode>
                  <v>0.04140976621470999</v>
                </pt>
                <pt idx="133">
                  <formatCode>0.00%</formatCode>
                  <v>0.02144505953257979</v>
                </pt>
                <pt idx="134">
                  <formatCode>0.00%</formatCode>
                  <v>0.0424362032209722</v>
                </pt>
                <pt idx="135">
                  <formatCode>0.00%</formatCode>
                  <v>0.02342876333382958</v>
                </pt>
                <pt idx="136">
                  <formatCode>0.00%</formatCode>
                  <v>0.04021393151805047</v>
                </pt>
                <pt idx="137">
                  <formatCode>0.00%</formatCode>
                  <v>0.04264159347466003</v>
                </pt>
                <pt idx="138">
                  <formatCode>0.00%</formatCode>
                  <v>0.04257106944229213</v>
                </pt>
                <pt idx="139">
                  <formatCode>0.00%</formatCode>
                  <v>0.05179907739620707</v>
                </pt>
                <pt idx="140">
                  <formatCode>0.00%</formatCode>
                  <v>0.0607572552962796</v>
                </pt>
                <pt idx="141">
                  <formatCode>0.00%</formatCode>
                  <v>0.05260449761029919</v>
                </pt>
                <pt idx="142">
                  <formatCode>0.00%</formatCode>
                  <v>0.05846976163357166</v>
                </pt>
                <pt idx="143">
                  <formatCode>0.00%</formatCode>
                  <v>0.04579056768737221</v>
                </pt>
                <pt idx="144">
                  <formatCode>0.00%</formatCode>
                  <v>0.04743808594808432</v>
                </pt>
                <pt idx="145">
                  <formatCode>0.00%</formatCode>
                  <v>0.06946528967911886</v>
                </pt>
                <pt idx="146">
                  <formatCode>0.00%</formatCode>
                  <v>0.06947439466801654</v>
                </pt>
                <pt idx="147">
                  <formatCode>0.00%</formatCode>
                  <v>0.06059539918809202</v>
                </pt>
                <pt idx="148">
                  <formatCode>0.00%</formatCode>
                  <v>0.07609055025134105</v>
                </pt>
                <pt idx="149">
                  <formatCode>0.00%</formatCode>
                  <v>0.05117045917243497</v>
                </pt>
                <pt idx="150">
                  <formatCode>0.00%</formatCode>
                  <v>0.05219539747710134</v>
                </pt>
                <pt idx="151">
                  <formatCode>0.00%</formatCode>
                  <v>0.03628223996049498</v>
                </pt>
                <pt idx="152">
                  <formatCode>0.00%</formatCode>
                  <v>0.06091529844769934</v>
                </pt>
                <pt idx="153">
                  <formatCode>0.00%</formatCode>
                  <v>0.07194997523039018</v>
                </pt>
                <pt idx="154">
                  <formatCode>0.00%</formatCode>
                  <v>0.06258447396824265</v>
                </pt>
                <pt idx="155">
                  <formatCode>0.00%</formatCode>
                  <v>0.07959155126591132</v>
                </pt>
                <pt idx="156">
                  <formatCode>0.00%</formatCode>
                  <v>0.0628674164279201</v>
                </pt>
                <pt idx="157">
                  <formatCode>0.00%</formatCode>
                  <v>0.06947169653781556</v>
                </pt>
                <pt idx="158">
                  <formatCode>0.00%</formatCode>
                  <v>0.05259819760690665</v>
                </pt>
                <pt idx="159">
                  <formatCode>0.00%</formatCode>
                  <v>0.07358888973946771</v>
                </pt>
                <pt idx="160">
                  <formatCode>0.00%</formatCode>
                  <v>0.04877666445116063</v>
                </pt>
                <pt idx="161">
                  <formatCode>0.00%</formatCode>
                  <v>0.0922027698931286</v>
                </pt>
                <pt idx="162">
                  <formatCode>0.00%</formatCode>
                  <v>0.0879833243865151</v>
                </pt>
                <pt idx="163">
                  <formatCode>0.00%</formatCode>
                  <v>0.07627509193452819</v>
                </pt>
                <pt idx="164">
                  <formatCode>0.00%</formatCode>
                  <v>0.05973152087845728</v>
                </pt>
                <pt idx="165">
                  <formatCode>0.00%</formatCode>
                  <v>0.05312174817898023</v>
                </pt>
                <pt idx="166">
                  <formatCode>0.00%</formatCode>
                  <v>0.05944740663014434</v>
                </pt>
                <pt idx="167">
                  <formatCode>0.00%</formatCode>
                  <v>0.04679788112355894</v>
                </pt>
                <pt idx="168">
                  <formatCode>0.00%</formatCode>
                  <v>0.08711697130479228</v>
                </pt>
                <pt idx="169">
                  <formatCode>0.00%</formatCode>
                  <v>0.06510002222048729</v>
                </pt>
                <pt idx="170">
                  <formatCode>0.00%</formatCode>
                  <v>0.06620281131119578</v>
                </pt>
                <pt idx="171">
                  <formatCode>0.00%</formatCode>
                  <v>0.06191637723830377</v>
                </pt>
                <pt idx="172">
                  <formatCode>0.00%</formatCode>
                  <v>0.06630954017971911</v>
                </pt>
                <pt idx="173">
                  <formatCode>0.00%</formatCode>
                  <v>0.04035197879057437</v>
                </pt>
                <pt idx="174">
                  <formatCode>0.00%</formatCode>
                  <v>0.03586514934675223</v>
                </pt>
                <pt idx="175">
                  <formatCode>0.00%</formatCode>
                  <v>0.05063689350930799</v>
                </pt>
                <pt idx="176">
                  <formatCode>0.00%</formatCode>
                  <v>0.04362476595843654</v>
                </pt>
                <pt idx="177">
                  <formatCode>0.00%</formatCode>
                  <v>0.04174694926140013</v>
                </pt>
                <pt idx="178">
                  <formatCode>0.00%</formatCode>
                  <v>0.03437990354854963</v>
                </pt>
                <pt idx="179">
                  <formatCode>0.00%</formatCode>
                  <v>0.04699126379873635</v>
                </pt>
                <pt idx="180">
                  <formatCode>0.00%</formatCode>
                  <v>0.01758873425479457</v>
                </pt>
                <pt idx="181">
                  <formatCode>0.00%</formatCode>
                  <v>0.02621889677648532</v>
                </pt>
                <pt idx="182">
                  <formatCode>0.00%</formatCode>
                  <v>0.03231411581122685</v>
                </pt>
                <pt idx="183">
                  <formatCode>0.00%</formatCode>
                  <v>0.0245199665382474</v>
                </pt>
                <pt idx="184">
                  <formatCode>0.00%</formatCode>
                  <v>0.03989302054364403</v>
                </pt>
                <pt idx="185">
                  <formatCode>0.00%</formatCode>
                  <v>0.02871082125522872</v>
                </pt>
                <pt idx="186">
                  <formatCode>0.00%</formatCode>
                  <v>0.02954825267544275</v>
                </pt>
                <pt idx="187">
                  <formatCode>0.00%</formatCode>
                  <v>0.02957379030804761</v>
                </pt>
                <pt idx="188">
                  <formatCode>0.00%</formatCode>
                  <v>0.03874515615902564</v>
                </pt>
                <pt idx="189">
                  <formatCode>0.00%</formatCode>
                  <v>0.0469422142374924</v>
                </pt>
                <pt idx="190">
                  <formatCode>0.00%</formatCode>
                  <v>0.05453897669136517</v>
                </pt>
                <pt idx="191">
                  <formatCode>0.00%</formatCode>
                  <v>0.02905451846149617</v>
                </pt>
                <pt idx="192">
                  <formatCode>0.00%</formatCode>
                  <v>0.03195678958021649</v>
                </pt>
                <pt idx="193">
                  <formatCode>0.00%</formatCode>
                  <v>0.02150239281770081</v>
                </pt>
                <pt idx="194">
                  <formatCode>0.00%</formatCode>
                  <v>0.01521688210525169</v>
                </pt>
                <pt idx="195">
                  <formatCode>0.00%</formatCode>
                  <v>0.01743644640579813</v>
                </pt>
                <pt idx="196">
                  <formatCode>0.00%</formatCode>
                  <v>0.01375446844991292</v>
                </pt>
                <pt idx="197">
                  <formatCode>0.00%</formatCode>
                  <v>0.02254762952460112</v>
                </pt>
                <pt idx="198">
                  <formatCode>0.00%</formatCode>
                  <v>0.01467476881286964</v>
                </pt>
                <pt idx="199">
                  <formatCode>0.00%</formatCode>
                  <v>0.002493550697709488</v>
                </pt>
                <pt idx="200">
                  <formatCode>0.00%</formatCode>
                  <v>-0.01646690928985783</v>
                </pt>
                <pt idx="201">
                  <formatCode>0.00%</formatCode>
                  <v>-0.05952479289294384</v>
                </pt>
                <pt idx="202">
                  <formatCode>0.00%</formatCode>
                  <v>-0.1042865438420525</v>
                </pt>
                <pt idx="203">
                  <formatCode>0.00%</formatCode>
                  <v>-0.1127630925091772</v>
                </pt>
                <pt idx="204">
                  <formatCode>0.00%</formatCode>
                  <v>-0.1020877527742541</v>
                </pt>
                <pt idx="205">
                  <formatCode>0.00%</formatCode>
                  <v>-0.09750882788778834</v>
                </pt>
                <pt idx="206">
                  <formatCode>0.00%</formatCode>
                  <v>-0.1153550014084696</v>
                </pt>
                <pt idx="207">
                  <formatCode>0.00%</formatCode>
                  <v>-0.1106363333798568</v>
                </pt>
                <pt idx="208">
                  <formatCode>0.00%</formatCode>
                  <v>-0.1111063834313736</v>
                </pt>
                <pt idx="209">
                  <formatCode>0.00%</formatCode>
                  <v>-0.09714839755083608</v>
                </pt>
                <pt idx="210">
                  <formatCode>0.00%</formatCode>
                  <v>-0.09204667260384281</v>
                </pt>
                <pt idx="211">
                  <formatCode>0.00%</formatCode>
                  <v>-0.06880768445595298</v>
                </pt>
                <pt idx="212">
                  <formatCode>0.00%</formatCode>
                  <v>-0.076956008387665</v>
                </pt>
                <pt idx="213">
                  <formatCode>0.00%</formatCode>
                  <v>-0.03200453322000283</v>
                </pt>
                <pt idx="214">
                  <formatCode>0.00%</formatCode>
                  <v>0.0148077206424046</v>
                </pt>
                <pt idx="215">
                  <formatCode>0.00%</formatCode>
                  <v>0.04209990635097006</v>
                </pt>
                <pt idx="216">
                  <formatCode>0.00%</formatCode>
                  <v>0.02680089870566203</v>
                </pt>
                <pt idx="217">
                  <formatCode>0.00%</formatCode>
                  <v>0.03373006412854316</v>
                </pt>
                <pt idx="218">
                  <formatCode>0.00%</formatCode>
                  <v>0.07469969400783025</v>
                </pt>
                <pt idx="219">
                  <formatCode>0.00%</formatCode>
                  <v>0.07850563750935562</v>
                </pt>
                <pt idx="220">
                  <formatCode>0.00%</formatCode>
                  <v>0.05996302235412378</v>
                </pt>
                <pt idx="221">
                  <formatCode>0.00%</formatCode>
                  <v>0.04083758234451267</v>
                </pt>
                <pt idx="222">
                  <formatCode>0.00%</formatCode>
                  <v>0.04154858641418784</v>
                </pt>
                <pt idx="223">
                  <formatCode>0.00%</formatCode>
                  <v>0.02925565670901266</v>
                </pt>
                <pt idx="224">
                  <formatCode>0.00%</formatCode>
                  <v>0.06191304758838075</v>
                </pt>
                <pt idx="225">
                  <formatCode>0.00%</formatCode>
                  <v>0.063473572678792</v>
                </pt>
                <pt idx="226">
                  <formatCode>0.00%</formatCode>
                  <v>0.06701996370235935</v>
                </pt>
                <pt idx="227">
                  <formatCode>0.00%</formatCode>
                  <v>0.0666422016227837</v>
                </pt>
                <pt idx="228">
                  <formatCode>0.00%</formatCode>
                  <v>0.07543668469385101</v>
                </pt>
                <pt idx="229">
                  <formatCode>0.00%</formatCode>
                  <v>0.08128396200579426</v>
                </pt>
                <pt idx="230">
                  <formatCode>0.00%</formatCode>
                  <v>0.0682969363308774</v>
                </pt>
                <pt idx="231">
                  <formatCode>0.00%</formatCode>
                  <v>0.06476011920585396</v>
                </pt>
                <pt idx="232">
                  <formatCode>0.00%</formatCode>
                  <v>0.07353675850058848</v>
                </pt>
                <pt idx="233">
                  <formatCode>0.00%</formatCode>
                  <v>0.083041471267487</v>
                </pt>
                <pt idx="234">
                  <formatCode>0.00%</formatCode>
                  <v>0.07957932133139724</v>
                </pt>
                <pt idx="235">
                  <formatCode>0.00%</formatCode>
                  <v>0.07621983688797959</v>
                </pt>
                <pt idx="236">
                  <formatCode>0.00%</formatCode>
                  <v>0.07801594035580654</v>
                </pt>
                <pt idx="237">
                  <formatCode>0.00%</formatCode>
                  <v>0.07361149336709419</v>
                </pt>
                <pt idx="238">
                  <formatCode>0.00%</formatCode>
                  <v>0.06554816236001687</v>
                </pt>
                <pt idx="239">
                  <formatCode>0.00%</formatCode>
                  <v>0.06088016579300256</v>
                </pt>
                <pt idx="240">
                  <formatCode>0.00%</formatCode>
                  <v>0.06360046982048449</v>
                </pt>
                <pt idx="241">
                  <formatCode>0.00%</formatCode>
                  <v>0.067282160110053</v>
                </pt>
                <pt idx="242">
                  <formatCode>0.00%</formatCode>
                  <v>0.06096169389986845</v>
                </pt>
                <pt idx="243">
                  <formatCode>0.00%</formatCode>
                  <v>0.05178866147360896</v>
                </pt>
                <pt idx="244">
                  <formatCode>0.00%</formatCode>
                  <v>0.0498957547331032</v>
                </pt>
                <pt idx="245">
                  <formatCode>0.00%</formatCode>
                  <v>0.03248159941535731</v>
                </pt>
                <pt idx="246">
                  <formatCode>0.00%</formatCode>
                  <v>0.03833486989701976</v>
                </pt>
                <pt idx="247">
                  <formatCode>0.00%</formatCode>
                  <v>0.04728051124201185</v>
                </pt>
                <pt idx="248">
                  <formatCode>0.00%</formatCode>
                  <v>0.04656924097246774</v>
                </pt>
                <pt idx="249">
                  <formatCode>0.00%</formatCode>
                  <v>0.04002450741631332</v>
                </pt>
                <pt idx="250">
                  <formatCode>0.00%</formatCode>
                  <v>0.04049384355661349</v>
                </pt>
                <pt idx="251">
                  <formatCode>0.00%</formatCode>
                  <v>0.04447815162100877</v>
                </pt>
                <pt idx="252">
                  <formatCode>0.00%</formatCode>
                  <v>0.04153189123622764</v>
                </pt>
                <pt idx="253">
                  <formatCode>0.00%</formatCode>
                  <v>0.04204042175310807</v>
                </pt>
                <pt idx="254">
                  <formatCode>0.00%</formatCode>
                  <v>0.03094898434251769</v>
                </pt>
                <pt idx="255">
                  <formatCode>0.00%</formatCode>
                  <v>0.03004142783610768</v>
                </pt>
                <pt idx="256">
                  <formatCode>0.00%</formatCode>
                  <v>0.03750773168123687</v>
                </pt>
                <pt idx="257">
                  <formatCode>0.00%</formatCode>
                  <v>0.05095491487290974</v>
                </pt>
                <pt idx="258">
                  <formatCode>0.00%</formatCode>
                  <v>0.05291435154326189</v>
                </pt>
                <pt idx="259">
                  <formatCode>0.00%</formatCode>
                  <v>0.03849692412510381</v>
                </pt>
                <pt idx="260">
                  <formatCode>0.00%</formatCode>
                  <v>0.03031401412878648</v>
                </pt>
                <pt idx="261">
                  <formatCode>0.00%</formatCode>
                  <v>0.03426185423183197</v>
                </pt>
                <pt idx="262">
                  <formatCode>0.00%</formatCode>
                  <v>0.03255309330479435</v>
                </pt>
                <pt idx="263">
                  <formatCode>0.00%</formatCode>
                  <v>0.03504911668206911</v>
                </pt>
                <pt idx="264">
                  <formatCode>0.00%</formatCode>
                  <v>0.01647923718018706</v>
                </pt>
                <pt idx="265">
                  <formatCode>0.00%</formatCode>
                  <v>0.01880817625893244</v>
                </pt>
                <pt idx="266">
                  <formatCode>0.00%</formatCode>
                  <v>0.03759068033190692</v>
                </pt>
                <pt idx="267">
                  <formatCode>0.00%</formatCode>
                  <v>0.05237035976877379</v>
                </pt>
                <pt idx="268">
                  <formatCode>0.00%</formatCode>
                  <v>0.04907206939747869</v>
                </pt>
                <pt idx="269">
                  <formatCode>0.00%</formatCode>
                  <v>0.04828475352502273</v>
                </pt>
                <pt idx="270">
                  <formatCode>0.00%</formatCode>
                  <v>0.042613066286992</v>
                </pt>
                <pt idx="271">
                  <formatCode>0.00%</formatCode>
                  <v>0.05276263995172922</v>
                </pt>
                <pt idx="272">
                  <formatCode>0.00%</formatCode>
                  <v>0.05024063716797216</v>
                </pt>
                <pt idx="273">
                  <formatCode>0.00%</formatCode>
                  <v>0.04901107962602389</v>
                </pt>
                <pt idx="274">
                  <formatCode>0.00%</formatCode>
                  <v>0.04963176737397126</v>
                </pt>
                <pt idx="275">
                  <formatCode>0.00%</formatCode>
                  <v>0.03711953363787964</v>
                </pt>
                <pt idx="276">
                  <formatCode>0.00%</formatCode>
                  <v>0.04185493630459223</v>
                </pt>
                <pt idx="277">
                  <formatCode>0.00%</formatCode>
                  <v>0.02551028811425748</v>
                </pt>
                <pt idx="278">
                  <formatCode>0.00%</formatCode>
                  <v>0.02985863174897244</v>
                </pt>
                <pt idx="279">
                  <formatCode>0.00%</formatCode>
                  <v>0.02136570883257343</v>
                </pt>
                <pt idx="280">
                  <formatCode>0.00%</formatCode>
                  <v>0.02735367200441745</v>
                </pt>
                <pt idx="281">
                  <formatCode>0.00%</formatCode>
                  <v>0.02644923545716541</v>
                </pt>
                <pt idx="282">
                  <formatCode>0.00%</formatCode>
                  <v>0.03186677725791743</v>
                </pt>
                <pt idx="283">
                  <formatCode>0.00%</formatCode>
                  <v>0.02465656841339156</v>
                </pt>
                <pt idx="284">
                  <formatCode>0.00%</formatCode>
                  <v>0.02231554864848852</v>
                </pt>
                <pt idx="285">
                  <formatCode>0.00%</formatCode>
                  <v>0.01612580765351096</v>
                </pt>
                <pt idx="286">
                  <formatCode>0.00%</formatCode>
                  <v>0.01717866719814466</v>
                </pt>
                <pt idx="287">
                  <formatCode>0.00%</formatCode>
                  <v>0.02668096939716724</v>
                </pt>
                <pt idx="288">
                  <formatCode>0.00%</formatCode>
                  <v>0.02591630353599919</v>
                </pt>
                <pt idx="289">
                  <formatCode>0.00%</formatCode>
                  <v>0.03784584957565384</v>
                </pt>
                <pt idx="290">
                  <formatCode>0.00%</formatCode>
                  <v>0.01885479121420516</v>
                </pt>
                <pt idx="291">
                  <formatCode>0.00%</formatCode>
                  <v>0.02106771685530191</v>
                </pt>
                <pt idx="292">
                  <formatCode>0.00%</formatCode>
                  <v>0.01772337295002116</v>
                </pt>
                <pt idx="293">
                  <formatCode>0.00%</formatCode>
                  <v>0.02617454615362261</v>
                </pt>
                <pt idx="294">
                  <formatCode>0.00%</formatCode>
                  <v>0.01712001776396136</v>
                </pt>
                <pt idx="295">
                  <formatCode>0.00%</formatCode>
                  <v>0.01831213195389338</v>
                </pt>
                <pt idx="296">
                  <formatCode>0.00%</formatCode>
                  <v>0.02828357127731898</v>
                </pt>
                <pt idx="297">
                  <formatCode>0.00%</formatCode>
                  <v>0.03467318931632913</v>
                </pt>
                <pt idx="298">
                  <formatCode>0.00%</formatCode>
                  <v>0.02958222839724707</v>
                </pt>
                <pt idx="299">
                  <formatCode>0.00%</formatCode>
                  <v>0.03830813324105131</v>
                </pt>
                <pt idx="300">
                  <formatCode>0.00%</formatCode>
                  <v>0.05737013001514089</v>
                </pt>
                <pt idx="301">
                  <formatCode>0.00%</formatCode>
                  <v>0.04565793138819742</v>
                </pt>
                <pt idx="302">
                  <formatCode>0.00%</formatCode>
                  <v>0.04695561519863363</v>
                </pt>
                <pt idx="303">
                  <formatCode>0.00%</formatCode>
                  <v>0.04847821762482594</v>
                </pt>
                <pt idx="304">
                  <formatCode>0.00%</formatCode>
                  <v>0.03865611308789001</v>
                </pt>
                <pt idx="305">
                  <formatCode>0.00%</formatCode>
                  <v>0.03205737040683844</v>
                </pt>
                <pt idx="306">
                  <formatCode>0.00%</formatCode>
                  <v>0.03470942671265773</v>
                </pt>
                <pt idx="307">
                  <formatCode>0.00%</formatCode>
                  <v>0.03472756560462627</v>
                </pt>
                <pt idx="308">
                  <formatCode>0.00%</formatCode>
                  <v>0.04998872809565511</v>
                </pt>
                <pt idx="309">
                  <formatCode>0.00%</formatCode>
                  <v>0.04816431488644467</v>
                </pt>
                <pt idx="310">
                  <formatCode>0.00%</formatCode>
                  <v>0.05968767773844254</v>
                </pt>
                <pt idx="311">
                  <formatCode>0.00%</formatCode>
                  <v>0.05200176900019442</v>
                </pt>
                <pt idx="312">
                  <formatCode>0.00%</formatCode>
                  <v>0.03803296415507176</v>
                </pt>
                <pt idx="313">
                  <formatCode>0.00%</formatCode>
                  <v>0.04389898413302466</v>
                </pt>
                <pt idx="314">
                  <formatCode>0.00%</formatCode>
                  <v>0.04528399424575052</v>
                </pt>
                <pt idx="315">
                  <formatCode>0.00%</formatCode>
                  <v>0.04355736008078202</v>
                </pt>
                <pt idx="316">
                  <formatCode>0.00%</formatCode>
                  <v>0.06082286392237453</v>
                </pt>
                <pt idx="317">
                  <formatCode>0.00%</formatCode>
                  <v>0.0545900103004002</v>
                </pt>
                <pt idx="318">
                  <formatCode>0.00%</formatCode>
                  <v>0.06119305678339266</v>
                </pt>
                <pt idx="319">
                  <formatCode>0.00%</formatCode>
                  <v>0.05732005064219101</v>
                </pt>
                <pt idx="320">
                  <formatCode>0.00%</formatCode>
                  <v>0.03298409323162361</v>
                </pt>
                <pt idx="321">
                  <formatCode>0.00%</formatCode>
                  <v>0.04319268377661274</v>
                </pt>
                <pt idx="322">
                  <formatCode>0.00%</formatCode>
                  <v>0.03462399516741597</v>
                </pt>
                <pt idx="323">
                  <formatCode>0.00%</formatCode>
                  <v>0.008513386447224925</v>
                </pt>
                <pt idx="324">
                  <formatCode>0.00%</formatCode>
                  <v>0.02285286433960268</v>
                </pt>
                <pt idx="325">
                  <formatCode>0.00%</formatCode>
                  <v>0.01796017895370008</v>
                </pt>
                <pt idx="326">
                  <formatCode>0.00%</formatCode>
                  <v>0.03434926516043642</v>
                </pt>
                <pt idx="327">
                  <formatCode>0.00%</formatCode>
                  <v>0.03494975001262562</v>
                </pt>
                <pt idx="328">
                  <formatCode>0.00%</formatCode>
                  <v>0.02626423203433463</v>
                </pt>
                <pt idx="329">
                  <formatCode>0.00%</formatCode>
                  <v>0.03258404702670571</v>
                </pt>
                <pt idx="330">
                  <formatCode>0.00%</formatCode>
                  <v>0.03277583594784497</v>
                </pt>
                <pt idx="331">
                  <formatCode>0.00%</formatCode>
                  <v>0.03968815312613939</v>
                </pt>
                <pt idx="332">
                  <formatCode>0.00%</formatCode>
                  <v>0.03645960324724899</v>
                </pt>
                <pt idx="333">
                  <formatCode>0.00%</formatCode>
                  <v>0.02984921246615679</v>
                </pt>
                <pt idx="334">
                  <formatCode>0.00%</formatCode>
                  <v>0.03122848751314173</v>
                </pt>
                <pt idx="335">
                  <formatCode>0.00%</formatCode>
                  <v>0.05491217153685211</v>
                </pt>
                <pt idx="336">
                  <formatCode>0.00%</formatCode>
                  <v>0.04814968054041582</v>
                </pt>
                <pt idx="337">
                  <formatCode>0.00%</formatCode>
                  <v>0.04612366625748318</v>
                </pt>
                <pt idx="338">
                  <formatCode>0.00%</formatCode>
                  <v>-0.05861616240790093</v>
                </pt>
                <pt idx="339">
                  <formatCode>0.00%</formatCode>
                  <v>-0.2000815886759602</v>
                </pt>
                <pt idx="340">
                  <formatCode>0.00%</formatCode>
                  <v>-0.05755346683013213</v>
                </pt>
                <pt idx="341">
                  <formatCode>0.00%</formatCode>
                  <v>0.01991816417948057</v>
                </pt>
                <pt idx="342">
                  <formatCode>0.00%</formatCode>
                  <v>0.02708649775626772</v>
                </pt>
                <pt idx="343">
                  <formatCode>0.00%</formatCode>
                  <v>0.03094284953232164</v>
                </pt>
                <pt idx="344">
                  <formatCode>0.00%</formatCode>
                  <v>0.05901601411478871</v>
                </pt>
                <pt idx="345">
                  <formatCode>0.00%</formatCode>
                  <v>0.05337795568723926</v>
                </pt>
                <pt idx="346">
                  <formatCode>0.00%</formatCode>
                  <v>0.03527510257170455</v>
                </pt>
                <pt idx="347">
                  <formatCode>0.00%</formatCode>
                  <v>0.02311677502853805</v>
                </pt>
                <pt idx="348">
                  <formatCode>0.00%</formatCode>
                  <v>0.09400869185660335</v>
                </pt>
                <pt idx="349">
                  <formatCode>0.00%</formatCode>
                  <v>0.06496643274186494</v>
                </pt>
                <pt idx="350">
                  <formatCode>0.00%</formatCode>
                  <v>0.2970647804882111</v>
                </pt>
                <pt idx="351">
                  <formatCode>0.00%</formatCode>
                  <v>0.5342163247677634</v>
                </pt>
                <pt idx="352">
                  <formatCode>0.00%</formatCode>
                  <v>0.2804571593760002</v>
                </pt>
                <pt idx="353">
                  <formatCode>0.00%</formatCode>
                  <v>0.1885603407153731</v>
                </pt>
                <pt idx="354">
                  <formatCode>0.00%</formatCode>
                  <v>0.1531966179147056</v>
                </pt>
                <pt idx="355">
                  <formatCode>0.00%</formatCode>
                  <v>0.1568887319231198</v>
                </pt>
                <pt idx="356">
                  <formatCode>0.00%</formatCode>
                  <v>0.1416359104242267</v>
                </pt>
                <pt idx="357">
                  <formatCode>0.00%</formatCode>
                  <v>0.1626072541125462</v>
                </pt>
                <pt idx="358">
                  <formatCode>0.00%</formatCode>
                  <v>0.1821386538863033</v>
                </pt>
                <pt idx="359">
                  <formatCode>0.00%</formatCode>
                  <v>0.1695256468621495</v>
                </pt>
                <pt idx="360">
                  <formatCode>0.00%</formatCode>
                  <v>0.1271714203439578</v>
                </pt>
                <pt idx="361">
                  <formatCode>0.00%</formatCode>
                  <v>0.1752915334750076</v>
                </pt>
              </numCache>
            </numRef>
          </val>
          <smooth val="0"/>
        </ser>
        <dLbls>
          <showLegendKey val="0"/>
          <showVal val="0"/>
          <showCatName val="0"/>
          <showSerName val="0"/>
          <showPercent val="0"/>
          <showBubbleSize val="0"/>
        </dLbls>
        <smooth val="0"/>
        <axId val="673094928"/>
        <axId val="673095320"/>
      </lineChart>
      <dateAx>
        <axId val="673094928"/>
        <scaling>
          <orientation val="minMax"/>
          <min val="40909"/>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3095320"/>
        <crosses val="autoZero"/>
        <lblOffset val="100"/>
        <baseTimeUnit val="months"/>
        <majorUnit val="12"/>
        <majorTimeUnit val="months"/>
      </dateAx>
      <valAx>
        <axId val="673095320"/>
        <scaling>
          <orientation val="minMax"/>
          <max val="0.6000000000000001"/>
          <min val="-0.2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3094928"/>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(RSAFS),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'Retail Sales'!$B$7:$B$368</f>
              <numCache>
                <formatCode>#,##0</formatCode>
                <ptCount val="362"/>
                <pt idx="0">
                  <v>164095</v>
                </pt>
                <pt idx="1">
                  <v>164213</v>
                </pt>
                <pt idx="2">
                  <v>163721</v>
                </pt>
                <pt idx="3">
                  <v>164709</v>
                </pt>
                <pt idx="4">
                  <v>165612</v>
                </pt>
                <pt idx="5">
                  <v>166077</v>
                </pt>
                <pt idx="6">
                  <v>167257</v>
                </pt>
                <pt idx="7">
                  <v>167800</v>
                </pt>
                <pt idx="8">
                  <v>169400</v>
                </pt>
                <pt idx="9">
                  <v>170625</v>
                </pt>
                <pt idx="10">
                  <v>171003</v>
                </pt>
                <pt idx="11">
                  <v>173105</v>
                </pt>
                <pt idx="12">
                  <v>175108</v>
                </pt>
                <pt idx="13">
                  <v>173744</v>
                </pt>
                <pt idx="14">
                  <v>172306</v>
                </pt>
                <pt idx="15">
                  <v>176749</v>
                </pt>
                <pt idx="16">
                  <v>178426</v>
                </pt>
                <pt idx="17">
                  <v>178157</v>
                </pt>
                <pt idx="18">
                  <v>180743</v>
                </pt>
                <pt idx="19">
                  <v>180707</v>
                </pt>
                <pt idx="20">
                  <v>181773</v>
                </pt>
                <pt idx="21">
                  <v>182884</v>
                </pt>
                <pt idx="22">
                  <v>184747</v>
                </pt>
                <pt idx="23">
                  <v>186399</v>
                </pt>
                <pt idx="24">
                  <v>185142</v>
                </pt>
                <pt idx="25">
                  <v>188074</v>
                </pt>
                <pt idx="26">
                  <v>191579</v>
                </pt>
                <pt idx="27">
                  <v>191639</v>
                </pt>
                <pt idx="28">
                  <v>190929</v>
                </pt>
                <pt idx="29">
                  <v>193130</v>
                </pt>
                <pt idx="30">
                  <v>193743</v>
                </pt>
                <pt idx="31">
                  <v>196163</v>
                </pt>
                <pt idx="32">
                  <v>197765</v>
                </pt>
                <pt idx="33">
                  <v>199571</v>
                </pt>
                <pt idx="34">
                  <v>199731</v>
                </pt>
                <pt idx="35">
                  <v>200702</v>
                </pt>
                <pt idx="36">
                  <v>201573</v>
                </pt>
                <pt idx="37">
                  <v>198399</v>
                </pt>
                <pt idx="38">
                  <v>200247</v>
                </pt>
                <pt idx="39">
                  <v>201032</v>
                </pt>
                <pt idx="40">
                  <v>202986</v>
                </pt>
                <pt idx="41">
                  <v>205500</v>
                </pt>
                <pt idx="42">
                  <v>204920</v>
                </pt>
                <pt idx="43">
                  <v>206521</v>
                </pt>
                <pt idx="44">
                  <v>207006</v>
                </pt>
                <pt idx="45">
                  <v>206176</v>
                </pt>
                <pt idx="46">
                  <v>208664</v>
                </pt>
                <pt idx="47">
                  <v>210399</v>
                </pt>
                <pt idx="48">
                  <v>208699</v>
                </pt>
                <pt idx="49">
                  <v>212008</v>
                </pt>
                <pt idx="50">
                  <v>213891</v>
                </pt>
                <pt idx="51">
                  <v>214676</v>
                </pt>
                <pt idx="52">
                  <v>216299</v>
                </pt>
                <pt idx="53">
                  <v>216068</v>
                </pt>
                <pt idx="54">
                  <v>216332</v>
                </pt>
                <pt idx="55">
                  <v>216358</v>
                </pt>
                <pt idx="56">
                  <v>219256</v>
                </pt>
                <pt idx="57">
                  <v>221060</v>
                </pt>
                <pt idx="58">
                  <v>220963</v>
                </pt>
                <pt idx="59">
                  <v>221991</v>
                </pt>
                <pt idx="60">
                  <v>223481</v>
                </pt>
                <pt idx="61">
                  <v>225422</v>
                </pt>
                <pt idx="62">
                  <v>226161</v>
                </pt>
                <pt idx="63">
                  <v>224615</v>
                </pt>
                <pt idx="64">
                  <v>222929</v>
                </pt>
                <pt idx="65">
                  <v>226057</v>
                </pt>
                <pt idx="66">
                  <v>228703</v>
                </pt>
                <pt idx="67">
                  <v>229309</v>
                </pt>
                <pt idx="68">
                  <v>230312</v>
                </pt>
                <pt idx="69">
                  <v>229836</v>
                </pt>
                <pt idx="70">
                  <v>230440</v>
                </pt>
                <pt idx="71">
                  <v>231181</v>
                </pt>
                <pt idx="72">
                  <v>231587</v>
                </pt>
                <pt idx="73">
                  <v>231684</v>
                </pt>
                <pt idx="74">
                  <v>233083</v>
                </pt>
                <pt idx="75">
                  <v>235986</v>
                </pt>
                <pt idx="76">
                  <v>237075</v>
                </pt>
                <pt idx="77">
                  <v>238971</v>
                </pt>
                <pt idx="78">
                  <v>237411</v>
                </pt>
                <pt idx="79">
                  <v>236379</v>
                </pt>
                <pt idx="80">
                  <v>238550</v>
                </pt>
                <pt idx="81">
                  <v>242549</v>
                </pt>
                <pt idx="82">
                  <v>244291</v>
                </pt>
                <pt idx="83">
                  <v>246530</v>
                </pt>
                <pt idx="84">
                  <v>246868</v>
                </pt>
                <pt idx="85">
                  <v>249520</v>
                </pt>
                <pt idx="86">
                  <v>250667</v>
                </pt>
                <pt idx="87">
                  <v>252477</v>
                </pt>
                <pt idx="88">
                  <v>254735</v>
                </pt>
                <pt idx="89">
                  <v>255449</v>
                </pt>
                <pt idx="90">
                  <v>257456</v>
                </pt>
                <pt idx="91">
                  <v>260230</v>
                </pt>
                <pt idx="92">
                  <v>261317</v>
                </pt>
                <pt idx="93">
                  <v>261818</v>
                </pt>
                <pt idx="94">
                  <v>264965</v>
                </pt>
                <pt idx="95">
                  <v>269863</v>
                </pt>
                <pt idx="96">
                  <v>268044</v>
                </pt>
                <pt idx="97">
                  <v>272020</v>
                </pt>
                <pt idx="98">
                  <v>275192</v>
                </pt>
                <pt idx="99">
                  <v>271046</v>
                </pt>
                <pt idx="100">
                  <v>271394</v>
                </pt>
                <pt idx="101">
                  <v>273422</v>
                </pt>
                <pt idx="102">
                  <v>272630</v>
                </pt>
                <pt idx="103">
                  <v>272918</v>
                </pt>
                <pt idx="104">
                  <v>277548</v>
                </pt>
                <pt idx="105">
                  <v>276927</v>
                </pt>
                <pt idx="106">
                  <v>276029</v>
                </pt>
                <pt idx="107">
                  <v>275791</v>
                </pt>
                <pt idx="108">
                  <v>278834</v>
                </pt>
                <pt idx="109">
                  <v>278773</v>
                </pt>
                <pt idx="110">
                  <v>276450</v>
                </pt>
                <pt idx="111">
                  <v>280808</v>
                </pt>
                <pt idx="112">
                  <v>281496</v>
                </pt>
                <pt idx="113">
                  <v>280401</v>
                </pt>
                <pt idx="114">
                  <v>279504</v>
                </pt>
                <pt idx="115">
                  <v>281413</v>
                </pt>
                <pt idx="116">
                  <v>276084</v>
                </pt>
                <pt idx="117">
                  <v>294540</v>
                </pt>
                <pt idx="118">
                  <v>287111</v>
                </pt>
                <pt idx="119">
                  <v>283705</v>
                </pt>
                <pt idx="120">
                  <v>283508</v>
                </pt>
                <pt idx="121">
                  <v>285054</v>
                </pt>
                <pt idx="122">
                  <v>284262</v>
                </pt>
                <pt idx="123">
                  <v>288833</v>
                </pt>
                <pt idx="124">
                  <v>284951</v>
                </pt>
                <pt idx="125">
                  <v>287372</v>
                </pt>
                <pt idx="126">
                  <v>290385</v>
                </pt>
                <pt idx="127">
                  <v>292650</v>
                </pt>
                <pt idx="128">
                  <v>288410</v>
                </pt>
                <pt idx="129">
                  <v>289576</v>
                </pt>
                <pt idx="130">
                  <v>291484</v>
                </pt>
                <pt idx="131">
                  <v>293947</v>
                </pt>
                <pt idx="132">
                  <v>295248</v>
                </pt>
                <pt idx="133">
                  <v>291167</v>
                </pt>
                <pt idx="134">
                  <v>296325</v>
                </pt>
                <pt idx="135">
                  <v>295600</v>
                </pt>
                <pt idx="136">
                  <v>296410</v>
                </pt>
                <pt idx="137">
                  <v>299626</v>
                </pt>
                <pt idx="138">
                  <v>302747</v>
                </pt>
                <pt idx="139">
                  <v>307809</v>
                </pt>
                <pt idx="140">
                  <v>305933</v>
                </pt>
                <pt idx="141">
                  <v>304809</v>
                </pt>
                <pt idx="142">
                  <v>308527</v>
                </pt>
                <pt idx="143">
                  <v>307407</v>
                </pt>
                <pt idx="144">
                  <v>309254</v>
                </pt>
                <pt idx="145">
                  <v>311393</v>
                </pt>
                <pt idx="146">
                  <v>316912</v>
                </pt>
                <pt idx="147">
                  <v>313512</v>
                </pt>
                <pt idx="148">
                  <v>318964</v>
                </pt>
                <pt idx="149">
                  <v>314958</v>
                </pt>
                <pt idx="150">
                  <v>318549</v>
                </pt>
                <pt idx="151">
                  <v>318977</v>
                </pt>
                <pt idx="152">
                  <v>324569</v>
                </pt>
                <pt idx="153">
                  <v>326740</v>
                </pt>
                <pt idx="154">
                  <v>327836</v>
                </pt>
                <pt idx="155">
                  <v>331874</v>
                </pt>
                <pt idx="156">
                  <v>328696</v>
                </pt>
                <pt idx="157">
                  <v>333026</v>
                </pt>
                <pt idx="158">
                  <v>333581</v>
                </pt>
                <pt idx="159">
                  <v>336583</v>
                </pt>
                <pt idx="160">
                  <v>334522</v>
                </pt>
                <pt idx="161">
                  <v>343998</v>
                </pt>
                <pt idx="162">
                  <v>346576</v>
                </pt>
                <pt idx="163">
                  <v>343307</v>
                </pt>
                <pt idx="164">
                  <v>343956</v>
                </pt>
                <pt idx="165">
                  <v>344097</v>
                </pt>
                <pt idx="166">
                  <v>347325</v>
                </pt>
                <pt idx="167">
                  <v>347405</v>
                </pt>
                <pt idx="168">
                  <v>357331</v>
                </pt>
                <pt idx="169">
                  <v>354706</v>
                </pt>
                <pt idx="170">
                  <v>355665</v>
                </pt>
                <pt idx="171">
                  <v>357423</v>
                </pt>
                <pt idx="172">
                  <v>356704</v>
                </pt>
                <pt idx="173">
                  <v>357879</v>
                </pt>
                <pt idx="174">
                  <v>359006</v>
                </pt>
                <pt idx="175">
                  <v>360691</v>
                </pt>
                <pt idx="176">
                  <v>358961</v>
                </pt>
                <pt idx="177">
                  <v>358462</v>
                </pt>
                <pt idx="178">
                  <v>359266</v>
                </pt>
                <pt idx="179">
                  <v>363730</v>
                </pt>
                <pt idx="180">
                  <v>363616</v>
                </pt>
                <pt idx="181">
                  <v>364006</v>
                </pt>
                <pt idx="182">
                  <v>367158</v>
                </pt>
                <pt idx="183">
                  <v>366187</v>
                </pt>
                <pt idx="184">
                  <v>370934</v>
                </pt>
                <pt idx="185">
                  <v>368154</v>
                </pt>
                <pt idx="186">
                  <v>369614</v>
                </pt>
                <pt idx="187">
                  <v>371358</v>
                </pt>
                <pt idx="188">
                  <v>372869</v>
                </pt>
                <pt idx="189">
                  <v>375289</v>
                </pt>
                <pt idx="190">
                  <v>378860</v>
                </pt>
                <pt idx="191">
                  <v>374298</v>
                </pt>
                <pt idx="192">
                  <v>375236</v>
                </pt>
                <pt idx="193">
                  <v>371833</v>
                </pt>
                <pt idx="194">
                  <v>372745</v>
                </pt>
                <pt idx="195">
                  <v>372572</v>
                </pt>
                <pt idx="196">
                  <v>376036</v>
                </pt>
                <pt idx="197">
                  <v>376455</v>
                </pt>
                <pt idx="198">
                  <v>375038</v>
                </pt>
                <pt idx="199">
                  <v>372284</v>
                </pt>
                <pt idx="200">
                  <v>366729</v>
                </pt>
                <pt idx="201">
                  <v>352950</v>
                </pt>
                <pt idx="202">
                  <v>339350</v>
                </pt>
                <pt idx="203">
                  <v>332091</v>
                </pt>
                <pt idx="204">
                  <v>336929</v>
                </pt>
                <pt idx="205">
                  <v>335576</v>
                </pt>
                <pt idx="206">
                  <v>329747</v>
                </pt>
                <pt idx="207">
                  <v>331352</v>
                </pt>
                <pt idx="208">
                  <v>334256</v>
                </pt>
                <pt idx="209">
                  <v>339883</v>
                </pt>
                <pt idx="210">
                  <v>340517</v>
                </pt>
                <pt idx="211">
                  <v>346668</v>
                </pt>
                <pt idx="212">
                  <v>338507</v>
                </pt>
                <pt idx="213">
                  <v>341654</v>
                </pt>
                <pt idx="214">
                  <v>344375</v>
                </pt>
                <pt idx="215">
                  <v>346072</v>
                </pt>
                <pt idx="216">
                  <v>345959</v>
                </pt>
                <pt idx="217">
                  <v>346895</v>
                </pt>
                <pt idx="218">
                  <v>354379</v>
                </pt>
                <pt idx="219">
                  <v>357365</v>
                </pt>
                <pt idx="220">
                  <v>354299</v>
                </pt>
                <pt idx="221">
                  <v>353763</v>
                </pt>
                <pt idx="222">
                  <v>354665</v>
                </pt>
                <pt idx="223">
                  <v>356810</v>
                </pt>
                <pt idx="224">
                  <v>359465</v>
                </pt>
                <pt idx="225">
                  <v>363340</v>
                </pt>
                <pt idx="226">
                  <v>367455</v>
                </pt>
                <pt idx="227">
                  <v>369135</v>
                </pt>
                <pt idx="228">
                  <v>372057</v>
                </pt>
                <pt idx="229">
                  <v>375092</v>
                </pt>
                <pt idx="230">
                  <v>378582</v>
                </pt>
                <pt idx="231">
                  <v>380508</v>
                </pt>
                <pt idx="232">
                  <v>380353</v>
                </pt>
                <pt idx="233">
                  <v>383140</v>
                </pt>
                <pt idx="234">
                  <v>382889</v>
                </pt>
                <pt idx="235">
                  <v>384006</v>
                </pt>
                <pt idx="236">
                  <v>387509</v>
                </pt>
                <pt idx="237">
                  <v>390086</v>
                </pt>
                <pt idx="238">
                  <v>391541</v>
                </pt>
                <pt idx="239">
                  <v>391608</v>
                </pt>
                <pt idx="240">
                  <v>395720</v>
                </pt>
                <pt idx="241">
                  <v>400329</v>
                </pt>
                <pt idx="242">
                  <v>401661</v>
                </pt>
                <pt idx="243">
                  <v>400214</v>
                </pt>
                <pt idx="244">
                  <v>399331</v>
                </pt>
                <pt idx="245">
                  <v>395585</v>
                </pt>
                <pt idx="246">
                  <v>397567</v>
                </pt>
                <pt idx="247">
                  <v>402162</v>
                </pt>
                <pt idx="248">
                  <v>405555</v>
                </pt>
                <pt idx="249">
                  <v>405699</v>
                </pt>
                <pt idx="250">
                  <v>407396</v>
                </pt>
                <pt idx="251">
                  <v>409026</v>
                </pt>
                <pt idx="252">
                  <v>412155</v>
                </pt>
                <pt idx="253">
                  <v>417159</v>
                </pt>
                <pt idx="254">
                  <v>414092</v>
                </pt>
                <pt idx="255">
                  <v>412237</v>
                </pt>
                <pt idx="256">
                  <v>414309</v>
                </pt>
                <pt idx="257">
                  <v>415742</v>
                </pt>
                <pt idx="258">
                  <v>418604</v>
                </pt>
                <pt idx="259">
                  <v>417644</v>
                </pt>
                <pt idx="260">
                  <v>417849</v>
                </pt>
                <pt idx="261">
                  <v>419599</v>
                </pt>
                <pt idx="262">
                  <v>420658</v>
                </pt>
                <pt idx="263">
                  <v>423362</v>
                </pt>
                <pt idx="264">
                  <v>418947</v>
                </pt>
                <pt idx="265">
                  <v>425005</v>
                </pt>
                <pt idx="266">
                  <v>429658</v>
                </pt>
                <pt idx="267">
                  <v>433826</v>
                </pt>
                <pt idx="268">
                  <v>434640</v>
                </pt>
                <pt idx="269">
                  <v>435816</v>
                </pt>
                <pt idx="270">
                  <v>436442</v>
                </pt>
                <pt idx="271">
                  <v>439680</v>
                </pt>
                <pt idx="272">
                  <v>438842</v>
                </pt>
                <pt idx="273">
                  <v>440164</v>
                </pt>
                <pt idx="274">
                  <v>441536</v>
                </pt>
                <pt idx="275">
                  <v>439077</v>
                </pt>
                <pt idx="276">
                  <v>436482</v>
                </pt>
                <pt idx="277">
                  <v>435847</v>
                </pt>
                <pt idx="278">
                  <v>442487</v>
                </pt>
                <pt idx="279">
                  <v>443095</v>
                </pt>
                <pt idx="280">
                  <v>446529</v>
                </pt>
                <pt idx="281">
                  <v>447343</v>
                </pt>
                <pt idx="282">
                  <v>450350</v>
                </pt>
                <pt idx="283">
                  <v>450521</v>
                </pt>
                <pt idx="284">
                  <v>448635</v>
                </pt>
                <pt idx="285">
                  <v>447262</v>
                </pt>
                <pt idx="286">
                  <v>449121</v>
                </pt>
                <pt idx="287">
                  <v>450792</v>
                </pt>
                <pt idx="288">
                  <v>447794</v>
                </pt>
                <pt idx="289">
                  <v>452342</v>
                </pt>
                <pt idx="290">
                  <v>450830</v>
                </pt>
                <pt idx="291">
                  <v>452430</v>
                </pt>
                <pt idx="292">
                  <v>454443</v>
                </pt>
                <pt idx="293">
                  <v>459052</v>
                </pt>
                <pt idx="294">
                  <v>458060</v>
                </pt>
                <pt idx="295">
                  <v>458771</v>
                </pt>
                <pt idx="296">
                  <v>461324</v>
                </pt>
                <pt idx="297">
                  <v>462770</v>
                </pt>
                <pt idx="298">
                  <v>462407</v>
                </pt>
                <pt idx="299">
                  <v>468061</v>
                </pt>
                <pt idx="300">
                  <v>473484</v>
                </pt>
                <pt idx="301">
                  <v>472995</v>
                </pt>
                <pt idx="302">
                  <v>471999</v>
                </pt>
                <pt idx="303">
                  <v>474363</v>
                </pt>
                <pt idx="304">
                  <v>472010</v>
                </pt>
                <pt idx="305">
                  <v>473768</v>
                </pt>
                <pt idx="306">
                  <v>473959</v>
                </pt>
                <pt idx="307">
                  <v>474703</v>
                </pt>
                <pt idx="308">
                  <v>484385</v>
                </pt>
                <pt idx="309">
                  <v>485059</v>
                </pt>
                <pt idx="310">
                  <v>490007</v>
                </pt>
                <pt idx="311">
                  <v>492401</v>
                </pt>
                <pt idx="312">
                  <v>491492</v>
                </pt>
                <pt idx="313">
                  <v>493759</v>
                </pt>
                <pt idx="314">
                  <v>493373</v>
                </pt>
                <pt idx="315">
                  <v>495025</v>
                </pt>
                <pt idx="316">
                  <v>500719</v>
                </pt>
                <pt idx="317">
                  <v>499631</v>
                </pt>
                <pt idx="318">
                  <v>502962</v>
                </pt>
                <pt idx="319">
                  <v>501913</v>
                </pt>
                <pt idx="320">
                  <v>500362</v>
                </pt>
                <pt idx="321">
                  <v>506010</v>
                </pt>
                <pt idx="322">
                  <v>506973</v>
                </pt>
                <pt idx="323">
                  <v>496593</v>
                </pt>
                <pt idx="324">
                  <v>502724</v>
                </pt>
                <pt idx="325">
                  <v>502627</v>
                </pt>
                <pt idx="326">
                  <v>510320</v>
                </pt>
                <pt idx="327">
                  <v>512326</v>
                </pt>
                <pt idx="328">
                  <v>513870</v>
                </pt>
                <pt idx="329">
                  <v>515911</v>
                </pt>
                <pt idx="330">
                  <v>519447</v>
                </pt>
                <pt idx="331">
                  <v>521833</v>
                </pt>
                <pt idx="332">
                  <v>518605</v>
                </pt>
                <pt idx="333">
                  <v>521114</v>
                </pt>
                <pt idx="334">
                  <v>522805</v>
                </pt>
                <pt idx="335">
                  <v>523862</v>
                </pt>
                <pt idx="336">
                  <v>526930</v>
                </pt>
                <pt idx="337">
                  <v>525810</v>
                </pt>
                <pt idx="338">
                  <v>480407</v>
                </pt>
                <pt idx="339">
                  <v>409819</v>
                </pt>
                <pt idx="340">
                  <v>484295</v>
                </pt>
                <pt idx="341">
                  <v>526187</v>
                </pt>
                <pt idx="342">
                  <v>533517</v>
                </pt>
                <pt idx="343">
                  <v>537980</v>
                </pt>
                <pt idx="344">
                  <v>549211</v>
                </pt>
                <pt idx="345">
                  <v>548930</v>
                </pt>
                <pt idx="346">
                  <v>541247</v>
                </pt>
                <pt idx="347">
                  <v>535972</v>
                </pt>
                <pt idx="348">
                  <v>576466</v>
                </pt>
                <pt idx="349">
                  <v>559970</v>
                </pt>
                <pt idx="350">
                  <v>623119</v>
                </pt>
                <pt idx="351">
                  <v>628751</v>
                </pt>
                <pt idx="352">
                  <v>620119</v>
                </pt>
                <pt idx="353">
                  <v>625405</v>
                </pt>
                <pt idx="354">
                  <v>615250</v>
                </pt>
                <pt idx="355">
                  <v>622383</v>
                </pt>
                <pt idx="356">
                  <v>626999</v>
                </pt>
                <pt idx="357">
                  <v>638190</v>
                </pt>
                <pt idx="358">
                  <v>639829</v>
                </pt>
                <pt idx="359">
                  <v>626833</v>
                </pt>
                <pt idx="360">
                  <v>649776</v>
                </pt>
                <pt idx="361">
                  <v>658128</v>
                </pt>
              </numCache>
            </numRef>
          </val>
          <smooth val="0"/>
        </ser>
        <dLbls>
          <showLegendKey val="0"/>
          <showVal val="0"/>
          <showCatName val="0"/>
          <showSerName val="0"/>
          <showPercent val="0"/>
          <showBubbleSize val="0"/>
        </dLbls>
        <smooth val="0"/>
        <axId val="1474519791"/>
        <axId val="1311982767"/>
      </lineChart>
      <dateAx>
        <axId val="1474519791"/>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311982767"/>
        <crosses val="autoZero"/>
        <lblOffset val="100"/>
        <baseTimeUnit val="months"/>
      </dateAx>
      <valAx>
        <axId val="13119827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74519791"/>
        <crosses val="autoZero"/>
        <crossBetween val="between"/>
      </valAx>
    </plotArea>
    <plotVisOnly val="1"/>
    <dispBlanksAs val="gap"/>
  </chart>
</chartSpace>
</file>

<file path=xl/charts/chart7.xml><?xml version="1.0" encoding="utf-8"?>
<chartSpace xmlns="http://schemas.openxmlformats.org/drawingml/2006/chart">
  <chart>
    <title>
      <tx>
        <strRef>
          <f>Table7[[#Headers],[mom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'Retail Sales ex Auto'!$C$6</f>
              <strCache>
                <ptCount val="1"/>
                <pt idx="0">
                  <v>mom %</v>
                </pt>
              </strCache>
            </strRef>
          </tx>
          <spPr>
            <a:solidFill xmlns:a="http://schemas.openxmlformats.org/drawingml/2006/main">
              <a:srgbClr val="00B050"/>
            </a:solidFill>
            <a:ln xmlns:a="http://schemas.openxmlformats.org/drawingml/2006/main">
              <a:noFill/>
              <a:prstDash val="solid"/>
            </a:ln>
          </spPr>
          <invertIfNegative val="1"/>
          <cat>
            <numRef>
              <f>'Retail Sales ex Auto'!$A$19:$A$373</f>
              <numCache>
                <formatCode>[$-409]mmm\-yy;@</formatCode>
                <ptCount val="355"/>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numCache>
            </numRef>
          </cat>
          <val>
            <numRef>
              <f>'Retail Sales ex Auto'!$C$19:$C$373</f>
              <numCache>
                <formatCode>0.00%</formatCode>
                <ptCount val="355"/>
                <pt idx="0">
                  <v>0.004779548793054307</v>
                </pt>
                <pt idx="1">
                  <v>-0.003389411362528821</v>
                </pt>
                <pt idx="2">
                  <v>-0.004889761423431445</v>
                </pt>
                <pt idx="3">
                  <v>0.01376594231065412</v>
                </pt>
                <pt idx="4">
                  <v>0.008623433747142402</v>
                </pt>
                <pt idx="5">
                  <v>-0.001111748673074164</v>
                </pt>
                <pt idx="6">
                  <v>0.008530499407604208</v>
                </pt>
                <pt idx="7">
                  <v>-0.001779954860344742</v>
                </pt>
                <pt idx="8">
                  <v>0.00975014799968617</v>
                </pt>
                <pt idx="9">
                  <v>0.003228085046266864</v>
                </pt>
                <pt idx="10">
                  <v>0.00452730818787977</v>
                </pt>
                <pt idx="11">
                  <v>0.006539566832550641</v>
                </pt>
                <pt idx="12">
                  <v>-0.007806243602153158</v>
                </pt>
                <pt idx="13">
                  <v>0.01338414676941649</v>
                </pt>
                <pt idx="14">
                  <v>0.01880337144796349</v>
                </pt>
                <pt idx="15">
                  <v>-0.00365047857298238</v>
                </pt>
                <pt idx="16">
                  <v>0.001801224013591054</v>
                </pt>
                <pt idx="17">
                  <v>0.0119729484918035</v>
                </pt>
                <pt idx="18">
                  <v>0.00455619191191811</v>
                </pt>
                <pt idx="19">
                  <v>0.01115458309326973</v>
                </pt>
                <pt idx="20">
                  <v>0.003445282943861765</v>
                </pt>
                <pt idx="21">
                  <v>0.007124416477936758</v>
                </pt>
                <pt idx="22">
                  <v>-1.311217465416639e-05</v>
                </pt>
                <pt idx="23">
                  <v>0.008083761669988461</v>
                </pt>
                <pt idx="24">
                  <v>0.003824116648564981</v>
                </pt>
                <pt idx="25">
                  <v>-0.01199878198109479</v>
                </pt>
                <pt idx="26">
                  <v>0.007009973966700984</v>
                </pt>
                <pt idx="27">
                  <v>0.002669861818371254</v>
                </pt>
                <pt idx="28">
                  <v>0.00839091806515301</v>
                </pt>
                <pt idx="29">
                  <v>0.003735476724115722</v>
                </pt>
                <pt idx="30">
                  <v>0.001539962014270315</v>
                </pt>
                <pt idx="31">
                  <v>0.004388550048690482</v>
                </pt>
                <pt idx="32">
                  <v>0.006665688607094333</v>
                </pt>
                <pt idx="33">
                  <v>-0.005785144913761421</v>
                </pt>
                <pt idx="34">
                  <v>0.01208374494120646</v>
                </pt>
                <pt idx="35">
                  <v>0.009036467024766846</v>
                </pt>
                <pt idx="36">
                  <v>-0.01177013904490876</v>
                </pt>
                <pt idx="37">
                  <v>0.008651720871487212</v>
                </pt>
                <pt idx="38">
                  <v>0.0114137240170298</v>
                </pt>
                <pt idx="39">
                  <v>0.009916864240480862</v>
                </pt>
                <pt idx="40">
                  <v>0.00584755891997916</v>
                </pt>
                <pt idx="41">
                  <v>0.001042053882107752</v>
                </pt>
                <pt idx="42">
                  <v>0.0003530772508674743</v>
                </pt>
                <pt idx="43">
                  <v>0.003395647728932379</v>
                </pt>
                <pt idx="44">
                  <v>0.007192848392222505</v>
                </pt>
                <pt idx="45">
                  <v>0.009261043402861409</v>
                </pt>
                <pt idx="46">
                  <v>0.003836286617743572</v>
                </pt>
                <pt idx="47">
                  <v>0.005366917677545126</v>
                </pt>
                <pt idx="48">
                  <v>0.001862186384166095</v>
                </pt>
                <pt idx="49">
                  <v>0.007965964678322545</v>
                </pt>
                <pt idx="50">
                  <v>0.006480467858167321</v>
                </pt>
                <pt idx="51">
                  <v>-0.006828439812014331</v>
                </pt>
                <pt idx="52">
                  <v>-9.370205090363915e-05</v>
                </pt>
                <pt idx="53">
                  <v>0.007338729515397861</v>
                </pt>
                <pt idx="54">
                  <v>0.008471373502101854</v>
                </pt>
                <pt idx="55">
                  <v>0.002150500438171671</v>
                </pt>
                <pt idx="56">
                  <v>0.006656272832396546</v>
                </pt>
                <pt idx="57">
                  <v>1.143000834390609e-05</v>
                </pt>
                <pt idx="58">
                  <v>0.0008343810721225283</v>
                </pt>
                <pt idx="59">
                  <v>0.001667370921507943</v>
                </pt>
                <pt idx="60">
                  <v>0.003847951749535396</v>
                </pt>
                <pt idx="61">
                  <v>0.004259113082291744</v>
                </pt>
                <pt idx="62">
                  <v>0.0005937469959229372</v>
                </pt>
                <pt idx="63">
                  <v>0.008895268666500892</v>
                </pt>
                <pt idx="64">
                  <v>0.003758640391660412</v>
                </pt>
                <pt idx="65">
                  <v>0.002868415618913685</v>
                </pt>
                <pt idx="66">
                  <v>0.007701425097519852</v>
                </pt>
                <pt idx="67">
                  <v>0.001606926904153161</v>
                </pt>
                <pt idx="68">
                  <v>-0.0001543703344323031</v>
                </pt>
                <pt idx="69">
                  <v>0.01048226121287647</v>
                </pt>
                <pt idx="70">
                  <v>0.006651933098687621</v>
                </pt>
                <pt idx="71">
                  <v>0.008581155067922851</v>
                </pt>
                <pt idx="72">
                  <v>0.001483416372402006</v>
                </pt>
                <pt idx="73">
                  <v>0.01034170007459763</v>
                </pt>
                <pt idx="74">
                  <v>0.004068840964623393</v>
                </pt>
                <pt idx="75">
                  <v>0.006882651063874811</v>
                </pt>
                <pt idx="76">
                  <v>0.006289175997099728</v>
                </pt>
                <pt idx="77">
                  <v>0.00246966437626616</v>
                </pt>
                <pt idx="78">
                  <v>0.00494799397907259</v>
                </pt>
                <pt idx="79">
                  <v>0.008136949524999094</v>
                </pt>
                <pt idx="80">
                  <v>0.008482549083113558</v>
                </pt>
                <pt idx="81">
                  <v>0.005770593422950853</v>
                </pt>
                <pt idx="82">
                  <v>0.007080623824753293</v>
                </pt>
                <pt idx="83">
                  <v>0.02646253573297902</v>
                </pt>
                <pt idx="84">
                  <v>-0.0175971052296106</v>
                </pt>
                <pt idx="85">
                  <v>0.01282659147056622</v>
                </pt>
                <pt idx="86">
                  <v>0.0188434720477</v>
                </pt>
                <pt idx="87">
                  <v>-0.007375736969128309</v>
                </pt>
                <pt idx="88">
                  <v>0.001846672578617578</v>
                </pt>
                <pt idx="89">
                  <v>0.005695165188971514</v>
                </pt>
                <pt idx="90">
                  <v>0.003099852986691427</v>
                </pt>
                <pt idx="91">
                  <v>0.0008774255755092202</v>
                </pt>
                <pt idx="92">
                  <v>0.01488870799154171</v>
                </pt>
                <pt idx="93">
                  <v>9.966872015871057e-05</v>
                </pt>
                <pt idx="94">
                  <v>0.00315586159767273</v>
                </pt>
                <pt idx="95">
                  <v>0.004177231957007153</v>
                </pt>
                <pt idx="96">
                  <v>0.003019781690041316</v>
                </pt>
                <pt idx="97">
                  <v>-0.001517087192590227</v>
                </pt>
                <pt idx="98">
                  <v>-0.008495425359268057</v>
                </pt>
                <pt idx="99">
                  <v>0.01468837028356715</v>
                </pt>
                <pt idx="100">
                  <v>0.002721215663354763</v>
                </pt>
                <pt idx="101">
                  <v>-0.003571811598595523</v>
                </pt>
                <pt idx="102">
                  <v>-0.001188632183854257</v>
                </pt>
                <pt idx="103">
                  <v>0.007618173044036413</v>
                </pt>
                <pt idx="104">
                  <v>-0.01352161924645337</v>
                </pt>
                <pt idx="105">
                  <v>0.009097122386934081</v>
                </pt>
                <pt idx="106">
                  <v>0.002863348669920826</v>
                </pt>
                <pt idx="107">
                  <v>0.003665614025282024</v>
                </pt>
                <pt idx="108">
                  <v>0.001661368540733694</v>
                </pt>
                <pt idx="109">
                  <v>0.00483221600885829</v>
                </pt>
                <pt idx="110">
                  <v>0.0037162380236622</v>
                </pt>
                <pt idx="111">
                  <v>0.01327563713870974</v>
                </pt>
                <pt idx="112">
                  <v>-0.003141688805070223</v>
                </pt>
                <pt idx="113">
                  <v>0.0005866596328147383</v>
                </pt>
                <pt idx="114">
                  <v>0.001922569971547782</v>
                </pt>
                <pt idx="115">
                  <v>2.268180601612223e-05</v>
                </pt>
                <pt idx="116">
                  <v>-0.0004626983478947225</v>
                </pt>
                <pt idx="117">
                  <v>0.007619903423737429</v>
                </pt>
                <pt idx="118">
                  <v>0.006891177941024128</v>
                </pt>
                <pt idx="119">
                  <v>0.00268392730135583</v>
                </pt>
                <pt idx="120">
                  <v>0.006343881188295495</v>
                </pt>
                <pt idx="121">
                  <v>-0.004180427795633382</v>
                </pt>
                <pt idx="122">
                  <v>0.01364453862317034</v>
                </pt>
                <pt idx="123">
                  <v>-0.007365050922937061</v>
                </pt>
                <pt idx="124">
                  <v>0.003229802672329882</v>
                </pt>
                <pt idx="125">
                  <v>0.0112502756339581</v>
                </pt>
                <pt idx="126">
                  <v>0.01045350870689618</v>
                </pt>
                <pt idx="127">
                  <v>0.01377655396248565</v>
                </pt>
                <pt idx="128">
                  <v>-0.0006002809825875942</v>
                </pt>
                <pt idx="129">
                  <v>0.001035148179544961</v>
                </pt>
                <pt idx="130">
                  <v>0.00764706883638592</v>
                </pt>
                <pt idx="131">
                  <v>0.002174932112555904</v>
                </pt>
                <pt idx="132">
                  <v>0.01129353066109294</v>
                </pt>
                <pt idx="133">
                  <v>0.001316754450296686</v>
                </pt>
                <pt idx="134">
                  <v>0.01862255513940907</v>
                </pt>
                <pt idx="135">
                  <v>-0.004996425288530283</v>
                </pt>
                <pt idx="136">
                  <v>0.0106383852319012</v>
                </pt>
                <pt idx="137">
                  <v>-0.0007150315060757364</v>
                </pt>
                <pt idx="138">
                  <v>0.005464147629560063</v>
                </pt>
                <pt idx="139">
                  <v>0.001217091031130843</v>
                </pt>
                <pt idx="140">
                  <v>0.008997948403146858</v>
                </pt>
                <pt idx="141">
                  <v>0.01217579250720461</v>
                </pt>
                <pt idx="142">
                  <v>0.006117477716879809</v>
                </pt>
                <pt idx="143">
                  <v>0.008088700580515586</v>
                </pt>
                <pt idx="144">
                  <v>0.0004912529679866816</v>
                </pt>
                <pt idx="145">
                  <v>0.01028786538484021</v>
                </pt>
                <pt idx="146">
                  <v>0.0006981597127130641</v>
                </pt>
                <pt idx="147">
                  <v>0.01349090712859533</v>
                </pt>
                <pt idx="148">
                  <v>-0.006225896993161782</v>
                </pt>
                <pt idx="149">
                  <v>0.01171846596019089</v>
                </pt>
                <pt idx="150">
                  <v>0.002315033723081113</v>
                </pt>
                <pt idx="151">
                  <v>0.01716791648897427</v>
                </pt>
                <pt idx="152">
                  <v>0.01413253190857821</v>
                </pt>
                <pt idx="153">
                  <v>0.01066480322249011</v>
                </pt>
                <pt idx="154">
                  <v>-0.007710574709314954</v>
                </pt>
                <pt idx="155">
                  <v>-0.0001495728054750943</v>
                </pt>
                <pt idx="156">
                  <v>0.02371995782145633</v>
                </pt>
                <pt idx="157">
                  <v>8.553893090592856e-05</v>
                </pt>
                <pt idx="158">
                  <v>0.001632228312389967</v>
                </pt>
                <pt idx="159">
                  <v>0.005226716383923489</v>
                </pt>
                <pt idx="160">
                  <v>0.0003468719582337846</v>
                </pt>
                <pt idx="161">
                  <v>-0.0003998259165036108</v>
                </pt>
                <pt idx="162">
                  <v>0.00188311918162189</v>
                </pt>
                <pt idx="163">
                  <v>0.008698355721059066</v>
                </pt>
                <pt idx="164">
                  <v>-0.003929892400806994</v>
                </pt>
                <pt idx="165">
                  <v>-0.004806914642980217</v>
                </pt>
                <pt idx="166">
                  <v>0.0006607423634789676</v>
                </pt>
                <pt idx="167">
                  <v>0.01797303691358112</v>
                </pt>
                <pt idx="168">
                  <v>-0.0002601529005314057</v>
                </pt>
                <pt idx="169">
                  <v>-0.0001804196143877703</v>
                </pt>
                <pt idx="170">
                  <v>0.01221869415092048</v>
                </pt>
                <pt idx="171">
                  <v>-0.005841898479872191</v>
                </pt>
                <pt idx="172">
                  <v>0.01298701298701299</v>
                </pt>
                <pt idx="173">
                  <v>-0.001320860056919536</v>
                </pt>
                <pt idx="174">
                  <v>0.004506408508317425</v>
                </pt>
                <pt idx="175">
                  <v>0.0004309730489137443</v>
                </pt>
                <pt idx="176">
                  <v>0.002998551604598231</v>
                </pt>
                <pt idx="177">
                  <v>0.006692752280236597</v>
                </pt>
                <pt idx="178">
                  <v>0.0176939718885216</v>
                </pt>
                <pt idx="179">
                  <v>-0.006555775255084357</v>
                </pt>
                <pt idx="180">
                  <v>0.001491927310909012</v>
                </pt>
                <pt idx="181">
                  <v>-0.00588914473029376</v>
                </pt>
                <pt idx="182">
                  <v>0.004485577067487242</v>
                </pt>
                <pt idx="183">
                  <v>0.005146675261071665</v>
                </pt>
                <pt idx="184">
                  <v>0.01445524262858654</v>
                </pt>
                <pt idx="185">
                  <v>0.00782357368854943</v>
                </pt>
                <pt idx="186">
                  <v>0.004355079632970571</v>
                </pt>
                <pt idx="187">
                  <v>-0.01075839956734623</v>
                </pt>
                <pt idx="188">
                  <v>-0.01014972388455543</v>
                </pt>
                <pt idx="189">
                  <v>-0.02573804983891117</v>
                </pt>
                <pt idx="190">
                  <v>-0.04044190841265932</v>
                </pt>
                <pt idx="191">
                  <v>-0.02249917360021943</v>
                </pt>
                <pt idx="192">
                  <v>0.01140778794681402</v>
                </pt>
                <pt idx="193">
                  <v>0.0008856828828444292</v>
                </pt>
                <pt idx="194">
                  <v>-0.01684862183177676</v>
                </pt>
                <pt idx="195">
                  <v>0.004149692568507882</v>
                </pt>
                <pt idx="196">
                  <v>0.00853867060242265</v>
                </pt>
                <pt idx="197">
                  <v>0.01108267568985641</v>
                </pt>
                <pt idx="198">
                  <v>-0.001775678499816431</v>
                </pt>
                <pt idx="199">
                  <v>0.005785641283167532</v>
                </pt>
                <pt idx="200">
                  <v>0.001997151948805401</v>
                </pt>
                <pt idx="201">
                  <v>0.0007439301267137588</v>
                </pt>
                <pt idx="202">
                  <v>0.006434419762610236</v>
                </pt>
                <pt idx="203">
                  <v>0.006874085429586788</v>
                </pt>
                <pt idx="204">
                  <v>0.000782025862218116</v>
                </pt>
                <pt idx="205">
                  <v>0.006292809255270228</v>
                </pt>
                <pt idx="206">
                  <v>0.008394064025783486</v>
                </pt>
                <pt idx="207">
                  <v>0.006998725645865845</v>
                </pt>
                <pt idx="208">
                  <v>-0.009677332033999241</v>
                </pt>
                <pt idx="209">
                  <v>-0.0009566893083136301</v>
                </pt>
                <pt idx="210">
                  <v>-0.001200426818424329</v>
                </pt>
                <pt idx="211">
                  <v>0.007238610488109709</v>
                </pt>
                <pt idx="212">
                  <v>0.006955422067657287</v>
                </pt>
                <pt idx="213">
                  <v>0.008119376782971253</v>
                </pt>
                <pt idx="214">
                  <v>0.01116171595057098</v>
                </pt>
                <pt idx="215">
                  <v>0.006474731985838387</v>
                </pt>
                <pt idx="216">
                  <v>0.006163252143811411</v>
                </pt>
                <pt idx="217">
                  <v>0.00654411307808785</v>
                </pt>
                <pt idx="218">
                  <v>0.0105142768023082</v>
                </pt>
                <pt idx="219">
                  <v>0.00894832287272353</v>
                </pt>
                <pt idx="220">
                  <v>0.002074629291471075</v>
                </pt>
                <pt idx="221">
                  <v>0.00613785690206779</v>
                </pt>
                <pt idx="222">
                  <v>0.0003002794179004463</v>
                </pt>
                <pt idx="223">
                  <v>0.005308610376437354</v>
                </pt>
                <pt idx="224">
                  <v>0.001716187799979255</v>
                </pt>
                <pt idx="225">
                  <v>0.004747515634168306</v>
                </pt>
                <pt idx="226">
                  <v>0.003472764407912406</v>
                </pt>
                <pt idx="227">
                  <v>-0.003719057133431678</v>
                </pt>
                <pt idx="228">
                  <v>0.01211096984596546</v>
                </pt>
                <pt idx="229">
                  <v>0.01154320987654321</v>
                </pt>
                <pt idx="230">
                  <v>0.003875022883993409</v>
                </pt>
                <pt idx="231">
                  <v>-0.005288593051882922</v>
                </pt>
                <pt idx="232">
                  <v>-0.004821706847557063</v>
                </pt>
                <pt idx="233">
                  <v>-0.007654471095390737</v>
                </pt>
                <pt idx="234">
                  <v>0.003845927741113061</v>
                </pt>
                <pt idx="235">
                  <v>0.01171241701136105</v>
                </pt>
                <pt idx="236">
                  <v>0.006452556345623047</v>
                </pt>
                <pt idx="237">
                  <v>0.001592202445816685</v>
                </pt>
                <pt idx="238">
                  <v>0.002030910948181549</v>
                </pt>
                <pt idx="239">
                  <v>0.001812654196249223</v>
                </pt>
                <pt idx="240">
                  <v>0.006915362823226226</v>
                </pt>
                <pt idx="241">
                  <v>0.01160690793407802</v>
                </pt>
                <pt idx="242">
                  <v>-0.006372325898953118</v>
                </pt>
                <pt idx="243">
                  <v>-0.006942667959617112</v>
                </pt>
                <pt idx="244">
                  <v>0.002225563729601495</v>
                </pt>
                <pt idx="245">
                  <v>-0.0004961281086460783</v>
                </pt>
                <pt idx="246">
                  <v>0.007367870225013082</v>
                </pt>
                <pt idx="247">
                  <v>-0.001831463775902449</v>
                </pt>
                <pt idx="248">
                  <v>0.004106794499690727</v>
                </pt>
                <pt idx="249">
                  <v>0.001347537264588201</v>
                </pt>
                <pt idx="250">
                  <v>0.002153158162480628</v>
                </pt>
                <pt idx="251">
                  <v>0.00903682017259087</v>
                </pt>
                <pt idx="252">
                  <v>-0.005808749978063633</v>
                </pt>
                <pt idx="253">
                  <v>0.01036738920661818</v>
                </pt>
                <pt idx="254">
                  <v>0.004996564134220059</v>
                </pt>
                <pt idx="255">
                  <v>0.008280409790469127</v>
                </pt>
                <pt idx="256">
                  <v>0.001856268498031666</v>
                </pt>
                <pt idx="257">
                  <v>0.002673121931072461</v>
                </pt>
                <pt idx="258">
                  <v>0.0007580351728320194</v>
                </pt>
                <pt idx="259">
                  <v>0.007460276173135575</v>
                </pt>
                <pt idx="260">
                  <v>-0.0003716702178668399</v>
                </pt>
                <pt idx="261">
                  <v>0.003056775995368005</v>
                </pt>
                <pt idx="262">
                  <v>0.0008828298090880538</v>
                </pt>
                <pt idx="263">
                  <v>-0.005965153327057201</v>
                </pt>
                <pt idx="264">
                  <v>-0.01037510203036879</v>
                </pt>
                <pt idx="265">
                  <v>0.001721447395269037</v>
                </pt>
                <pt idx="266">
                  <v>0.007989970220505965</v>
                </pt>
                <pt idx="267">
                  <v>0.0001593865893262217</v>
                </pt>
                <pt idx="268">
                  <v>0.008005054026288904</v>
                </pt>
                <pt idx="269">
                  <v>0.002038304311493552</v>
                </pt>
                <pt idx="270">
                  <v>0.008218336723596797</v>
                </pt>
                <pt idx="271">
                  <v>-0.001495018932249095</v>
                </pt>
                <pt idx="272">
                  <v>-0.006394828165230046</v>
                </pt>
                <pt idx="273">
                  <v>-0.001870238145534947</v>
                </pt>
                <pt idx="274">
                  <v>0.00233089050740608</v>
                </pt>
                <pt idx="275">
                  <v>0.005976964895536843</v>
                </pt>
                <pt idx="276">
                  <v>-0.007329564535990149</v>
                </pt>
                <pt idx="277">
                  <v>0.005833081947894142</v>
                </pt>
                <pt idx="278">
                  <v>0.001409871906270146</v>
                </pt>
                <pt idx="279">
                  <v>0.003968953713266886</v>
                </pt>
                <pt idx="280">
                  <v>0.004547089277400325</v>
                </pt>
                <pt idx="281">
                  <v>0.01104012522132981</v>
                </pt>
                <pt idx="282">
                  <v>-0.005989569036508372</v>
                </pt>
                <pt idx="283">
                  <v>0.0008754052546407525</v>
                </pt>
                <pt idx="284">
                  <v>0.00472360561204078</v>
                </pt>
                <pt idx="285">
                  <v>0.004369114670723637</v>
                </pt>
                <pt idx="286">
                  <v>0.0001558492691489536</v>
                </pt>
                <pt idx="287">
                  <v>0.007714703590809059</v>
                </pt>
                <pt idx="288">
                  <v>0.01477685510977519</v>
                </pt>
                <pt idx="289">
                  <v>0.0003047606826639292</v>
                </pt>
                <pt idx="290">
                  <v>0.002982537722688132</v>
                </pt>
                <pt idx="291">
                  <v>0.00430595746268259</v>
                </pt>
                <pt idx="292">
                  <v>-0.007330662492372185</v>
                </pt>
                <pt idx="293">
                  <v>0.002472290303009245</v>
                </pt>
                <pt idx="294">
                  <v>-9.064926200836106e-05</v>
                </pt>
                <pt idx="295">
                  <v>0.00801518779430351</v>
                </pt>
                <pt idx="296">
                  <v>0.0142628900339643</v>
                </pt>
                <pt idx="297">
                  <v>0.0003207836509873877</v>
                </pt>
                <pt idx="298">
                  <v>0.01521278343097151</v>
                </pt>
                <pt idx="299">
                  <v>0.006746380272936923</v>
                </pt>
                <pt idx="300">
                  <v>-0.002061114072970581</v>
                </pt>
                <pt idx="301">
                  <v>0.006975739558756995</v>
                </pt>
                <pt idx="302">
                  <v>-0.001771834432479908</v>
                </pt>
                <pt idx="303">
                  <v>0.003351608670443796</v>
                </pt>
                <pt idx="304">
                  <v>0.0133793928457378</v>
                </pt>
                <pt idx="305">
                  <v>-0.002008298298573683</v>
                </pt>
                <pt idx="306">
                  <v>0.006869019993083365</v>
                </pt>
                <pt idx="307">
                  <v>0.001057795454715154</v>
                </pt>
                <pt idx="308">
                  <v>-0.003122793408320156</v>
                </pt>
                <pt idx="309">
                  <v>0.01292686333389866</v>
                </pt>
                <pt idx="310">
                  <v>0.0003594899182776001</v>
                </pt>
                <pt idx="311">
                  <v>-0.02819504919057687</v>
                </pt>
                <pt idx="312">
                  <v>0.02101453313138579</v>
                </pt>
                <pt idx="313">
                  <v>-0.002096155229597216</v>
                </pt>
                <pt idx="314">
                  <v>0.01194708084539394</v>
                </pt>
                <pt idx="315">
                  <v>0.007509580426451803</v>
                </pt>
                <pt idx="316">
                  <v>0.002716165573942365</v>
                </pt>
                <pt idx="317">
                  <v>0.00414345497032226</v>
                </pt>
                <pt idx="318">
                  <v>0.006809458657722997</v>
                </pt>
                <pt idx="319">
                  <v>0.001120820074705304</v>
                </pt>
                <pt idx="320">
                  <v>-0.003219350700208777</v>
                </pt>
                <pt idx="321">
                  <v>0.005119392228839725</v>
                </pt>
                <pt idx="322">
                  <v>-0.001899203149991487</v>
                </pt>
                <pt idx="323">
                  <v>0.006760766412397141</v>
                </pt>
                <pt idx="324">
                  <v>0.006512520314338284</v>
                </pt>
                <pt idx="325">
                  <v>-0.003504296200754918</v>
                </pt>
                <pt idx="326">
                  <v>-0.04265864046253777</v>
                </pt>
                <pt idx="327">
                  <v>-0.1509589647107945</v>
                </pt>
                <pt idx="328">
                  <v>0.1221587665863633</v>
                </pt>
                <pt idx="329">
                  <v>0.08415220436516735</v>
                </pt>
                <pt idx="330">
                  <v>0.02034585058696432</v>
                </pt>
                <pt idx="331">
                  <v>0.00966587984502522</v>
                </pt>
                <pt idx="332">
                  <v>0.01557566188972553</v>
                </pt>
                <pt idx="333">
                  <v>0.001099262482263469</v>
                </pt>
                <pt idx="334">
                  <v>-0.01285276179318425</v>
                </pt>
                <pt idx="335">
                  <v>-0.01907055757237271</v>
                </pt>
                <pt idx="336">
                  <v>0.08270446592728782</v>
                </pt>
                <pt idx="337">
                  <v>-0.02664186315561136</v>
                </pt>
                <pt idx="338">
                  <v>0.09783039340158657</v>
                </pt>
                <pt idx="339">
                  <v>-0.0006623100472229114</v>
                </pt>
                <pt idx="340">
                  <v>-0.004292479543010973</v>
                </pt>
                <pt idx="341">
                  <v>0.01672258032608516</v>
                </pt>
                <pt idx="342">
                  <v>-0.009078066507629913</v>
                </pt>
                <pt idx="343">
                  <v>0.02153983980626212</v>
                </pt>
                <pt idx="344">
                  <v>0.006230991172095091</v>
                </pt>
                <pt idx="345">
                  <v>0.0180419499712467</v>
                </pt>
                <pt idx="346">
                  <v>0.003365792446708286</v>
                </pt>
                <pt idx="347">
                  <v>-0.02488409241438423</v>
                </pt>
                <pt idx="348">
                  <v>0.03336822716684713</v>
                </pt>
                <pt idx="349">
                  <v>0.01084542085452637</v>
                </pt>
              </numCache>
            </numRef>
          </val>
        </ser>
        <dLbls>
          <showLegendKey val="0"/>
          <showVal val="0"/>
          <showCatName val="0"/>
          <showSerName val="0"/>
          <showPercent val="0"/>
          <showBubbleSize val="0"/>
        </dLbls>
        <gapWidth val="219"/>
        <overlap val="-27"/>
        <axId val="986129336"/>
        <axId val="986131632"/>
      </barChart>
      <dateAx>
        <axId val="986129336"/>
        <scaling>
          <orientation val="minMax"/>
          <max val="44562"/>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86131632"/>
        <crosses val="autoZero"/>
        <lblOffset val="100"/>
        <baseTimeUnit val="months"/>
      </dateAx>
      <valAx>
        <axId val="986131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8612933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strRef>
          <f>Table7[[#Headers],[Retail and Food Services Excluding Motor Vehicles and Parts Dealers, Retail Sales mil$]]</f>
          <strCache>
            <ptCount val="1"/>
            <pt idx="0">
              <v>Retail and Food Services Excluding Motor Vehicles and Parts Dealers, Retail Sales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'Retail Sales ex Auto'!$B$6</f>
              <strCache>
                <ptCount val="1"/>
                <pt idx="0">
                  <v>Retail and Food Services Excluding Motor Vehicles and Parts Dealers, Retail Sales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 ex Auto'!$A$7:$A$368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'Retail Sales ex Auto'!$B$7:$B$368</f>
              <numCache>
                <formatCode>#,##0</formatCode>
                <ptCount val="362"/>
                <pt idx="0">
                  <v>130617</v>
                </pt>
                <pt idx="1">
                  <v>130396</v>
                </pt>
                <pt idx="2">
                  <v>130385</v>
                </pt>
                <pt idx="3">
                  <v>130933</v>
                </pt>
                <pt idx="4">
                  <v>131255</v>
                </pt>
                <pt idx="5">
                  <v>131296</v>
                </pt>
                <pt idx="6">
                  <v>132058</v>
                </pt>
                <pt idx="7">
                  <v>133215</v>
                </pt>
                <pt idx="8">
                  <v>133510</v>
                </pt>
                <pt idx="9">
                  <v>134653</v>
                </pt>
                <pt idx="10">
                  <v>135075</v>
                </pt>
                <pt idx="11">
                  <v>136833</v>
                </pt>
                <pt idx="12">
                  <v>137487</v>
                </pt>
                <pt idx="13">
                  <v>137021</v>
                </pt>
                <pt idx="14">
                  <v>136351</v>
                </pt>
                <pt idx="15">
                  <v>138228</v>
                </pt>
                <pt idx="16">
                  <v>139420</v>
                </pt>
                <pt idx="17">
                  <v>139265</v>
                </pt>
                <pt idx="18">
                  <v>140453</v>
                </pt>
                <pt idx="19">
                  <v>140203</v>
                </pt>
                <pt idx="20">
                  <v>141570</v>
                </pt>
                <pt idx="21">
                  <v>142027</v>
                </pt>
                <pt idx="22">
                  <v>142670</v>
                </pt>
                <pt idx="23">
                  <v>143603</v>
                </pt>
                <pt idx="24">
                  <v>142482</v>
                </pt>
                <pt idx="25">
                  <v>144389</v>
                </pt>
                <pt idx="26">
                  <v>147104</v>
                </pt>
                <pt idx="27">
                  <v>146567</v>
                </pt>
                <pt idx="28">
                  <v>146831</v>
                </pt>
                <pt idx="29">
                  <v>148589</v>
                </pt>
                <pt idx="30">
                  <v>149266</v>
                </pt>
                <pt idx="31">
                  <v>150931</v>
                </pt>
                <pt idx="32">
                  <v>151451</v>
                </pt>
                <pt idx="33">
                  <v>152530</v>
                </pt>
                <pt idx="34">
                  <v>152528</v>
                </pt>
                <pt idx="35">
                  <v>153761</v>
                </pt>
                <pt idx="36">
                  <v>154349</v>
                </pt>
                <pt idx="37">
                  <v>152497</v>
                </pt>
                <pt idx="38">
                  <v>153566</v>
                </pt>
                <pt idx="39">
                  <v>153976</v>
                </pt>
                <pt idx="40">
                  <v>155268</v>
                </pt>
                <pt idx="41">
                  <v>155848</v>
                </pt>
                <pt idx="42">
                  <v>156088</v>
                </pt>
                <pt idx="43">
                  <v>156773</v>
                </pt>
                <pt idx="44">
                  <v>157818</v>
                </pt>
                <pt idx="45">
                  <v>156905</v>
                </pt>
                <pt idx="46">
                  <v>158801</v>
                </pt>
                <pt idx="47">
                  <v>160236</v>
                </pt>
                <pt idx="48">
                  <v>158350</v>
                </pt>
                <pt idx="49">
                  <v>159720</v>
                </pt>
                <pt idx="50">
                  <v>161543</v>
                </pt>
                <pt idx="51">
                  <v>163145</v>
                </pt>
                <pt idx="52">
                  <v>164099</v>
                </pt>
                <pt idx="53">
                  <v>164270</v>
                </pt>
                <pt idx="54">
                  <v>164328</v>
                </pt>
                <pt idx="55">
                  <v>164886</v>
                </pt>
                <pt idx="56">
                  <v>166072</v>
                </pt>
                <pt idx="57">
                  <v>167610</v>
                </pt>
                <pt idx="58">
                  <v>168253</v>
                </pt>
                <pt idx="59">
                  <v>169156</v>
                </pt>
                <pt idx="60">
                  <v>169471</v>
                </pt>
                <pt idx="61">
                  <v>170821</v>
                </pt>
                <pt idx="62">
                  <v>171928</v>
                </pt>
                <pt idx="63">
                  <v>170754</v>
                </pt>
                <pt idx="64">
                  <v>170738</v>
                </pt>
                <pt idx="65">
                  <v>171991</v>
                </pt>
                <pt idx="66">
                  <v>173448</v>
                </pt>
                <pt idx="67">
                  <v>173821</v>
                </pt>
                <pt idx="68">
                  <v>174978</v>
                </pt>
                <pt idx="69">
                  <v>174980</v>
                </pt>
                <pt idx="70">
                  <v>175126</v>
                </pt>
                <pt idx="71">
                  <v>175418</v>
                </pt>
                <pt idx="72">
                  <v>176093</v>
                </pt>
                <pt idx="73">
                  <v>176843</v>
                </pt>
                <pt idx="74">
                  <v>176948</v>
                </pt>
                <pt idx="75">
                  <v>178522</v>
                </pt>
                <pt idx="76">
                  <v>179193</v>
                </pt>
                <pt idx="77">
                  <v>179707</v>
                </pt>
                <pt idx="78">
                  <v>181091</v>
                </pt>
                <pt idx="79">
                  <v>181382</v>
                </pt>
                <pt idx="80">
                  <v>181354</v>
                </pt>
                <pt idx="81">
                  <v>183255</v>
                </pt>
                <pt idx="82">
                  <v>184474</v>
                </pt>
                <pt idx="83">
                  <v>186057</v>
                </pt>
                <pt idx="84">
                  <v>186333</v>
                </pt>
                <pt idx="85">
                  <v>188260</v>
                </pt>
                <pt idx="86">
                  <v>189026</v>
                </pt>
                <pt idx="87">
                  <v>190327</v>
                </pt>
                <pt idx="88">
                  <v>191524</v>
                </pt>
                <pt idx="89">
                  <v>191997</v>
                </pt>
                <pt idx="90">
                  <v>192947</v>
                </pt>
                <pt idx="91">
                  <v>194517</v>
                </pt>
                <pt idx="92">
                  <v>196167</v>
                </pt>
                <pt idx="93">
                  <v>197299</v>
                </pt>
                <pt idx="94">
                  <v>198696</v>
                </pt>
                <pt idx="95">
                  <v>203954</v>
                </pt>
                <pt idx="96">
                  <v>200365</v>
                </pt>
                <pt idx="97">
                  <v>202935</v>
                </pt>
                <pt idx="98">
                  <v>206759</v>
                </pt>
                <pt idx="99">
                  <v>205234</v>
                </pt>
                <pt idx="100">
                  <v>205613</v>
                </pt>
                <pt idx="101">
                  <v>206784</v>
                </pt>
                <pt idx="102">
                  <v>207425</v>
                </pt>
                <pt idx="103">
                  <v>207607</v>
                </pt>
                <pt idx="104">
                  <v>210698</v>
                </pt>
                <pt idx="105">
                  <v>210719</v>
                </pt>
                <pt idx="106">
                  <v>211384</v>
                </pt>
                <pt idx="107">
                  <v>212267</v>
                </pt>
                <pt idx="108">
                  <v>212908</v>
                </pt>
                <pt idx="109">
                  <v>212585</v>
                </pt>
                <pt idx="110">
                  <v>210779</v>
                </pt>
                <pt idx="111">
                  <v>213875</v>
                </pt>
                <pt idx="112">
                  <v>214457</v>
                </pt>
                <pt idx="113">
                  <v>213691</v>
                </pt>
                <pt idx="114">
                  <v>213437</v>
                </pt>
                <pt idx="115">
                  <v>215063</v>
                </pt>
                <pt idx="116">
                  <v>212155</v>
                </pt>
                <pt idx="117">
                  <v>214085</v>
                </pt>
                <pt idx="118">
                  <v>214698</v>
                </pt>
                <pt idx="119">
                  <v>215485</v>
                </pt>
                <pt idx="120">
                  <v>215843</v>
                </pt>
                <pt idx="121">
                  <v>216886</v>
                </pt>
                <pt idx="122">
                  <v>217692</v>
                </pt>
                <pt idx="123">
                  <v>220582</v>
                </pt>
                <pt idx="124">
                  <v>219889</v>
                </pt>
                <pt idx="125">
                  <v>220018</v>
                </pt>
                <pt idx="126">
                  <v>220441</v>
                </pt>
                <pt idx="127">
                  <v>220446</v>
                </pt>
                <pt idx="128">
                  <v>220344</v>
                </pt>
                <pt idx="129">
                  <v>222023</v>
                </pt>
                <pt idx="130">
                  <v>223553</v>
                </pt>
                <pt idx="131">
                  <v>224153</v>
                </pt>
                <pt idx="132">
                  <v>225575</v>
                </pt>
                <pt idx="133">
                  <v>224632</v>
                </pt>
                <pt idx="134">
                  <v>227697</v>
                </pt>
                <pt idx="135">
                  <v>226020</v>
                </pt>
                <pt idx="136">
                  <v>226750</v>
                </pt>
                <pt idx="137">
                  <v>229301</v>
                </pt>
                <pt idx="138">
                  <v>231698</v>
                </pt>
                <pt idx="139">
                  <v>234890</v>
                </pt>
                <pt idx="140">
                  <v>234749</v>
                </pt>
                <pt idx="141">
                  <v>234992</v>
                </pt>
                <pt idx="142">
                  <v>236789</v>
                </pt>
                <pt idx="143">
                  <v>237304</v>
                </pt>
                <pt idx="144">
                  <v>239984</v>
                </pt>
                <pt idx="145">
                  <v>240300</v>
                </pt>
                <pt idx="146">
                  <v>244775</v>
                </pt>
                <pt idx="147">
                  <v>243552</v>
                </pt>
                <pt idx="148">
                  <v>246143</v>
                </pt>
                <pt idx="149">
                  <v>245967</v>
                </pt>
                <pt idx="150">
                  <v>247311</v>
                </pt>
                <pt idx="151">
                  <v>247612</v>
                </pt>
                <pt idx="152">
                  <v>249840</v>
                </pt>
                <pt idx="153">
                  <v>252882</v>
                </pt>
                <pt idx="154">
                  <v>254429</v>
                </pt>
                <pt idx="155">
                  <v>256487</v>
                </pt>
                <pt idx="156">
                  <v>256613</v>
                </pt>
                <pt idx="157">
                  <v>259253</v>
                </pt>
                <pt idx="158">
                  <v>259434</v>
                </pt>
                <pt idx="159">
                  <v>262934</v>
                </pt>
                <pt idx="160">
                  <v>261297</v>
                </pt>
                <pt idx="161">
                  <v>264359</v>
                </pt>
                <pt idx="162">
                  <v>264971</v>
                </pt>
                <pt idx="163">
                  <v>269520</v>
                </pt>
                <pt idx="164">
                  <v>273329</v>
                </pt>
                <pt idx="165">
                  <v>276244</v>
                </pt>
                <pt idx="166">
                  <v>274114</v>
                </pt>
                <pt idx="167">
                  <v>274073</v>
                </pt>
                <pt idx="168">
                  <v>280574</v>
                </pt>
                <pt idx="169">
                  <v>280598</v>
                </pt>
                <pt idx="170">
                  <v>281056</v>
                </pt>
                <pt idx="171">
                  <v>282525</v>
                </pt>
                <pt idx="172">
                  <v>282623</v>
                </pt>
                <pt idx="173">
                  <v>282510</v>
                </pt>
                <pt idx="174">
                  <v>283042</v>
                </pt>
                <pt idx="175">
                  <v>285504</v>
                </pt>
                <pt idx="176">
                  <v>284382</v>
                </pt>
                <pt idx="177">
                  <v>283015</v>
                </pt>
                <pt idx="178">
                  <v>283202</v>
                </pt>
                <pt idx="179">
                  <v>288292</v>
                </pt>
                <pt idx="180">
                  <v>288217</v>
                </pt>
                <pt idx="181">
                  <v>288165</v>
                </pt>
                <pt idx="182">
                  <v>291686</v>
                </pt>
                <pt idx="183">
                  <v>289982</v>
                </pt>
                <pt idx="184">
                  <v>293748</v>
                </pt>
                <pt idx="185">
                  <v>293360</v>
                </pt>
                <pt idx="186">
                  <v>294682</v>
                </pt>
                <pt idx="187">
                  <v>294809</v>
                </pt>
                <pt idx="188">
                  <v>295693</v>
                </pt>
                <pt idx="189">
                  <v>297672</v>
                </pt>
                <pt idx="190">
                  <v>302939</v>
                </pt>
                <pt idx="191">
                  <v>300953</v>
                </pt>
                <pt idx="192">
                  <v>301402</v>
                </pt>
                <pt idx="193">
                  <v>299627</v>
                </pt>
                <pt idx="194">
                  <v>300971</v>
                </pt>
                <pt idx="195">
                  <v>302520</v>
                </pt>
                <pt idx="196">
                  <v>306893</v>
                </pt>
                <pt idx="197">
                  <v>309294</v>
                </pt>
                <pt idx="198">
                  <v>310641</v>
                </pt>
                <pt idx="199">
                  <v>307299</v>
                </pt>
                <pt idx="200">
                  <v>304180</v>
                </pt>
                <pt idx="201">
                  <v>296351</v>
                </pt>
                <pt idx="202">
                  <v>284366</v>
                </pt>
                <pt idx="203">
                  <v>277968</v>
                </pt>
                <pt idx="204">
                  <v>281139</v>
                </pt>
                <pt idx="205">
                  <v>281388</v>
                </pt>
                <pt idx="206">
                  <v>276647</v>
                </pt>
                <pt idx="207">
                  <v>277795</v>
                </pt>
                <pt idx="208">
                  <v>280167</v>
                </pt>
                <pt idx="209">
                  <v>283272</v>
                </pt>
                <pt idx="210">
                  <v>282769</v>
                </pt>
                <pt idx="211">
                  <v>284405</v>
                </pt>
                <pt idx="212">
                  <v>284973</v>
                </pt>
                <pt idx="213">
                  <v>285185</v>
                </pt>
                <pt idx="214">
                  <v>287020</v>
                </pt>
                <pt idx="215">
                  <v>288993</v>
                </pt>
                <pt idx="216">
                  <v>289219</v>
                </pt>
                <pt idx="217">
                  <v>291039</v>
                </pt>
                <pt idx="218">
                  <v>293482</v>
                </pt>
                <pt idx="219">
                  <v>295536</v>
                </pt>
                <pt idx="220">
                  <v>292676</v>
                </pt>
                <pt idx="221">
                  <v>292396</v>
                </pt>
                <pt idx="222">
                  <v>292045</v>
                </pt>
                <pt idx="223">
                  <v>294159</v>
                </pt>
                <pt idx="224">
                  <v>296205</v>
                </pt>
                <pt idx="225">
                  <v>298610</v>
                </pt>
                <pt idx="226">
                  <v>301943</v>
                </pt>
                <pt idx="227">
                  <v>303898</v>
                </pt>
                <pt idx="228">
                  <v>305771</v>
                </pt>
                <pt idx="229">
                  <v>307772</v>
                </pt>
                <pt idx="230">
                  <v>311008</v>
                </pt>
                <pt idx="231">
                  <v>313791</v>
                </pt>
                <pt idx="232">
                  <v>314442</v>
                </pt>
                <pt idx="233">
                  <v>316372</v>
                </pt>
                <pt idx="234">
                  <v>316467</v>
                </pt>
                <pt idx="235">
                  <v>318147</v>
                </pt>
                <pt idx="236">
                  <v>318693</v>
                </pt>
                <pt idx="237">
                  <v>320206</v>
                </pt>
                <pt idx="238">
                  <v>321318</v>
                </pt>
                <pt idx="239">
                  <v>320123</v>
                </pt>
                <pt idx="240">
                  <v>324000</v>
                </pt>
                <pt idx="241">
                  <v>327740</v>
                </pt>
                <pt idx="242">
                  <v>329010</v>
                </pt>
                <pt idx="243">
                  <v>327270</v>
                </pt>
                <pt idx="244">
                  <v>325692</v>
                </pt>
                <pt idx="245">
                  <v>323199</v>
                </pt>
                <pt idx="246">
                  <v>324442</v>
                </pt>
                <pt idx="247">
                  <v>328242</v>
                </pt>
                <pt idx="248">
                  <v>330360</v>
                </pt>
                <pt idx="249">
                  <v>330886</v>
                </pt>
                <pt idx="250">
                  <v>331558</v>
                </pt>
                <pt idx="251">
                  <v>332159</v>
                </pt>
                <pt idx="252">
                  <v>334456</v>
                </pt>
                <pt idx="253">
                  <v>338338</v>
                </pt>
                <pt idx="254">
                  <v>336182</v>
                </pt>
                <pt idx="255">
                  <v>333848</v>
                </pt>
                <pt idx="256">
                  <v>334591</v>
                </pt>
                <pt idx="257">
                  <v>334425</v>
                </pt>
                <pt idx="258">
                  <v>336889</v>
                </pt>
                <pt idx="259">
                  <v>336272</v>
                </pt>
                <pt idx="260">
                  <v>337653</v>
                </pt>
                <pt idx="261">
                  <v>338108</v>
                </pt>
                <pt idx="262">
                  <v>338836</v>
                </pt>
                <pt idx="263">
                  <v>341898</v>
                </pt>
                <pt idx="264">
                  <v>339912</v>
                </pt>
                <pt idx="265">
                  <v>343436</v>
                </pt>
                <pt idx="266">
                  <v>345152</v>
                </pt>
                <pt idx="267">
                  <v>348010</v>
                </pt>
                <pt idx="268">
                  <v>348656</v>
                </pt>
                <pt idx="269">
                  <v>349588</v>
                </pt>
                <pt idx="270">
                  <v>349853</v>
                </pt>
                <pt idx="271">
                  <v>352463</v>
                </pt>
                <pt idx="272">
                  <v>352332</v>
                </pt>
                <pt idx="273">
                  <v>353409</v>
                </pt>
                <pt idx="274">
                  <v>353721</v>
                </pt>
                <pt idx="275">
                  <v>351611</v>
                </pt>
                <pt idx="276">
                  <v>347963</v>
                </pt>
                <pt idx="277">
                  <v>348562</v>
                </pt>
                <pt idx="278">
                  <v>351347</v>
                </pt>
                <pt idx="279">
                  <v>351403</v>
                </pt>
                <pt idx="280">
                  <v>354216</v>
                </pt>
                <pt idx="281">
                  <v>354938</v>
                </pt>
                <pt idx="282">
                  <v>357855</v>
                </pt>
                <pt idx="283">
                  <v>357320</v>
                </pt>
                <pt idx="284">
                  <v>355035</v>
                </pt>
                <pt idx="285">
                  <v>354371</v>
                </pt>
                <pt idx="286">
                  <v>355197</v>
                </pt>
                <pt idx="287">
                  <v>357320</v>
                </pt>
                <pt idx="288">
                  <v>354701</v>
                </pt>
                <pt idx="289">
                  <v>356770</v>
                </pt>
                <pt idx="290">
                  <v>357273</v>
                </pt>
                <pt idx="291">
                  <v>358691</v>
                </pt>
                <pt idx="292">
                  <v>360322</v>
                </pt>
                <pt idx="293">
                  <v>364300</v>
                </pt>
                <pt idx="294">
                  <v>362118</v>
                </pt>
                <pt idx="295">
                  <v>362435</v>
                </pt>
                <pt idx="296">
                  <v>364147</v>
                </pt>
                <pt idx="297">
                  <v>365738</v>
                </pt>
                <pt idx="298">
                  <v>365795</v>
                </pt>
                <pt idx="299">
                  <v>368617</v>
                </pt>
                <pt idx="300">
                  <v>374064</v>
                </pt>
                <pt idx="301">
                  <v>374178</v>
                </pt>
                <pt idx="302">
                  <v>375294</v>
                </pt>
                <pt idx="303">
                  <v>376910</v>
                </pt>
                <pt idx="304">
                  <v>374147</v>
                </pt>
                <pt idx="305">
                  <v>375072</v>
                </pt>
                <pt idx="306">
                  <v>375038</v>
                </pt>
                <pt idx="307">
                  <v>378044</v>
                </pt>
                <pt idx="308">
                  <v>383436</v>
                </pt>
                <pt idx="309">
                  <v>383559</v>
                </pt>
                <pt idx="310">
                  <v>389394</v>
                </pt>
                <pt idx="311">
                  <v>392021</v>
                </pt>
                <pt idx="312">
                  <v>391213</v>
                </pt>
                <pt idx="313">
                  <v>393942</v>
                </pt>
                <pt idx="314">
                  <v>393244</v>
                </pt>
                <pt idx="315">
                  <v>394562</v>
                </pt>
                <pt idx="316">
                  <v>399841</v>
                </pt>
                <pt idx="317">
                  <v>399038</v>
                </pt>
                <pt idx="318">
                  <v>401779</v>
                </pt>
                <pt idx="319">
                  <v>402204</v>
                </pt>
                <pt idx="320">
                  <v>400948</v>
                </pt>
                <pt idx="321">
                  <v>406131</v>
                </pt>
                <pt idx="322">
                  <v>406277</v>
                </pt>
                <pt idx="323">
                  <v>394822</v>
                </pt>
                <pt idx="324">
                  <v>403119</v>
                </pt>
                <pt idx="325">
                  <v>402274</v>
                </pt>
                <pt idx="326">
                  <v>407080</v>
                </pt>
                <pt idx="327">
                  <v>410137</v>
                </pt>
                <pt idx="328">
                  <v>411251</v>
                </pt>
                <pt idx="329">
                  <v>412955</v>
                </pt>
                <pt idx="330">
                  <v>415767</v>
                </pt>
                <pt idx="331">
                  <v>416233</v>
                </pt>
                <pt idx="332">
                  <v>414893</v>
                </pt>
                <pt idx="333">
                  <v>417017</v>
                </pt>
                <pt idx="334">
                  <v>416225</v>
                </pt>
                <pt idx="335">
                  <v>419039</v>
                </pt>
                <pt idx="336">
                  <v>421768</v>
                </pt>
                <pt idx="337">
                  <v>420290</v>
                </pt>
                <pt idx="338">
                  <v>402361</v>
                </pt>
                <pt idx="339">
                  <v>341621</v>
                </pt>
                <pt idx="340">
                  <v>383353</v>
                </pt>
                <pt idx="341">
                  <v>415613</v>
                </pt>
                <pt idx="342">
                  <v>424069</v>
                </pt>
                <pt idx="343">
                  <v>428168</v>
                </pt>
                <pt idx="344">
                  <v>434837</v>
                </pt>
                <pt idx="345">
                  <v>435315</v>
                </pt>
                <pt idx="346">
                  <v>429720</v>
                </pt>
                <pt idx="347">
                  <v>421525</v>
                </pt>
                <pt idx="348">
                  <v>456387</v>
                </pt>
                <pt idx="349">
                  <v>444228</v>
                </pt>
                <pt idx="350">
                  <v>487687</v>
                </pt>
                <pt idx="351">
                  <v>487364</v>
                </pt>
                <pt idx="352">
                  <v>485272</v>
                </pt>
                <pt idx="353">
                  <v>493387</v>
                </pt>
                <pt idx="354">
                  <v>488908</v>
                </pt>
                <pt idx="355">
                  <v>499439</v>
                </pt>
                <pt idx="356">
                  <v>502551</v>
                </pt>
                <pt idx="357">
                  <v>511618</v>
                </pt>
                <pt idx="358">
                  <v>513340</v>
                </pt>
                <pt idx="359">
                  <v>500566</v>
                </pt>
                <pt idx="360">
                  <v>517269</v>
                </pt>
                <pt idx="361">
                  <v>522879</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8208"/>
        <crosses val="autoZero"/>
        <lblOffset val="100"/>
        <baseTimeUnit val="months"/>
      </dateAx>
      <valAx>
        <axId val="1031868208"/>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56072"/>
        <crosses val="autoZero"/>
        <crossBetween val="between"/>
      </valAx>
    </plotArea>
    <plotVisOnly val="1"/>
    <dispBlanksAs val="gap"/>
  </chart>
</chartSpace>
</file>

<file path=xl/charts/chart9.xml><?xml version="1.0" encoding="utf-8"?>
<chartSpace xmlns="http://schemas.openxmlformats.org/drawingml/2006/chart">
  <chart>
    <title>
      <tx>
        <strRef>
          <f>Table7[[#Headers],[yoy %]]</f>
          <strCache>
            <ptCount val="1"/>
            <pt idx="0">
              <v>yoy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'Retail Sales ex Auto'!$D$6</f>
              <strCache>
                <ptCount val="1"/>
                <pt idx="0">
                  <v>yoy %</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'Retail Sales ex Auto'!$A$7:$A$368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'Retail Sales ex Auto'!$D$7:$D$368</f>
              <numCache>
                <formatCode>General</formatCode>
                <ptCount val="362"/>
                <pt idx="12">
                  <formatCode>0.00%</formatCode>
                  <v>0.05259652265784698</v>
                </pt>
                <pt idx="13">
                  <formatCode>0.00%</formatCode>
                  <v>0.05080677321390226</v>
                </pt>
                <pt idx="14">
                  <formatCode>0.00%</formatCode>
                  <v>0.04575679717758944</v>
                </pt>
                <pt idx="15">
                  <formatCode>0.00%</formatCode>
                  <v>0.05571551862402908</v>
                </pt>
                <pt idx="16">
                  <formatCode>0.00%</formatCode>
                  <v>0.06220715401318045</v>
                </pt>
                <pt idx="17">
                  <formatCode>0.00%</formatCode>
                  <v>0.06069491835242505</v>
                </pt>
                <pt idx="18">
                  <formatCode>0.00%</formatCode>
                  <v>0.06357055233306577</v>
                </pt>
                <pt idx="19">
                  <formatCode>0.00%</formatCode>
                  <v>0.05245655519273355</v>
                </pt>
                <pt idx="20">
                  <formatCode>0.00%</formatCode>
                  <v>0.06037000973709834</v>
                </pt>
                <pt idx="21">
                  <formatCode>0.00%</formatCode>
                  <v>0.05476298337207489</v>
                </pt>
                <pt idx="22">
                  <formatCode>0.00%</formatCode>
                  <v>0.05622802146955395</v>
                </pt>
                <pt idx="23">
                  <formatCode>0.00%</formatCode>
                  <v>0.049476369004553</v>
                </pt>
                <pt idx="24">
                  <formatCode>0.00%</formatCode>
                  <v>0.03633070763053962</v>
                </pt>
                <pt idx="25">
                  <formatCode>0.00%</formatCode>
                  <v>0.05377277935498938</v>
                </pt>
                <pt idx="26">
                  <formatCode>0.00%</formatCode>
                  <v>0.07886264127142449</v>
                </pt>
                <pt idx="27">
                  <formatCode>0.00%</formatCode>
                  <v>0.06032786410857424</v>
                </pt>
                <pt idx="28">
                  <formatCode>0.00%</formatCode>
                  <v>0.05315593171711375</v>
                </pt>
                <pt idx="29">
                  <formatCode>0.00%</formatCode>
                  <v>0.0669514953505906</v>
                </pt>
                <pt idx="30">
                  <formatCode>0.00%</formatCode>
                  <v>0.06274696873687283</v>
                </pt>
                <pt idx="31">
                  <formatCode>0.00%</formatCode>
                  <v>0.0765176208782979</v>
                </pt>
                <pt idx="32">
                  <formatCode>0.00%</formatCode>
                  <v>0.06979586070495161</v>
                </pt>
                <pt idx="33">
                  <formatCode>0.00%</formatCode>
                  <v>0.07395072767854</v>
                </pt>
                <pt idx="34">
                  <formatCode>0.00%</formatCode>
                  <v>0.06909651643653186</v>
                </pt>
                <pt idx="35">
                  <formatCode>0.00%</formatCode>
                  <v>0.07073668377401586</v>
                </pt>
                <pt idx="36">
                  <formatCode>0.00%</formatCode>
                  <v>0.08328771353574486</v>
                </pt>
                <pt idx="37">
                  <formatCode>0.00%</formatCode>
                  <v>0.05615386213631232</v>
                </pt>
                <pt idx="38">
                  <formatCode>0.00%</formatCode>
                  <v>0.04392810528605613</v>
                </pt>
                <pt idx="39">
                  <formatCode>0.00%</formatCode>
                  <v>0.0505502602905156</v>
                </pt>
                <pt idx="40">
                  <formatCode>0.00%</formatCode>
                  <v>0.05746061798938916</v>
                </pt>
                <pt idx="41">
                  <formatCode>0.00%</formatCode>
                  <v>0.04885287605408207</v>
                </pt>
                <pt idx="42">
                  <formatCode>0.00%</formatCode>
                  <v>0.04570364316053221</v>
                </pt>
                <pt idx="43">
                  <formatCode>0.00%</formatCode>
                  <v>0.03870642876546236</v>
                </pt>
                <pt idx="44">
                  <formatCode>0.00%</formatCode>
                  <v>0.04203999973588818</v>
                </pt>
                <pt idx="45">
                  <formatCode>0.00%</formatCode>
                  <v>0.02868288205598898</v>
                </pt>
                <pt idx="46">
                  <formatCode>0.00%</formatCode>
                  <v>0.04112687506556173</v>
                </pt>
                <pt idx="47">
                  <formatCode>0.00%</formatCode>
                  <v>0.04211080833241199</v>
                </pt>
                <pt idx="48">
                  <formatCode>0.00%</formatCode>
                  <v>0.02592177467946018</v>
                </pt>
                <pt idx="49">
                  <formatCode>0.00%</formatCode>
                  <v>0.04736486619408906</v>
                </pt>
                <pt idx="50">
                  <formatCode>0.00%</formatCode>
                  <v>0.05194509201255487</v>
                </pt>
                <pt idx="51">
                  <formatCode>0.00%</formatCode>
                  <v>0.05954824128435601</v>
                </pt>
                <pt idx="52">
                  <formatCode>0.00%</formatCode>
                  <v>0.05687585336321715</v>
                </pt>
                <pt idx="53">
                  <formatCode>0.00%</formatCode>
                  <v>0.05403983368410246</v>
                </pt>
                <pt idx="54">
                  <formatCode>0.00%</formatCode>
                  <v>0.05279073343242274</v>
                </pt>
                <pt idx="55">
                  <formatCode>0.00%</formatCode>
                  <v>0.05174998245871419</v>
                </pt>
                <pt idx="56">
                  <formatCode>0.00%</formatCode>
                  <v>0.05230075149856164</v>
                </pt>
                <pt idx="57">
                  <formatCode>0.00%</formatCode>
                  <v>0.0682259966221599</v>
                </pt>
                <pt idx="58">
                  <formatCode>0.00%</formatCode>
                  <v>0.05952103576173953</v>
                </pt>
                <pt idx="59">
                  <formatCode>0.00%</formatCode>
                  <v>0.05566788986245289</v>
                </pt>
                <pt idx="60">
                  <formatCode>0.00%</formatCode>
                  <v>0.07023050205241553</v>
                </pt>
                <pt idx="61">
                  <formatCode>0.00%</formatCode>
                  <v>0.06950288004007012</v>
                </pt>
                <pt idx="62">
                  <formatCode>0.00%</formatCode>
                  <v>0.06428628909949673</v>
                </pt>
                <pt idx="63">
                  <formatCode>0.00%</formatCode>
                  <v>0.04663949247601826</v>
                </pt>
                <pt idx="64">
                  <formatCode>0.00%</formatCode>
                  <v>0.04045728493165711</v>
                </pt>
                <pt idx="65">
                  <formatCode>0.00%</formatCode>
                  <v>0.0470018871370305</v>
                </pt>
                <pt idx="66">
                  <formatCode>0.00%</formatCode>
                  <v>0.05549875858040017</v>
                </pt>
                <pt idx="67">
                  <formatCode>0.00%</formatCode>
                  <v>0.0541889547930085</v>
                </pt>
                <pt idx="68">
                  <formatCode>0.00%</formatCode>
                  <v>0.05362734235753167</v>
                </pt>
                <pt idx="69">
                  <formatCode>0.00%</formatCode>
                  <v>0.04397112344132212</v>
                </pt>
                <pt idx="70">
                  <formatCode>0.00%</formatCode>
                  <v>0.04084919733972054</v>
                </pt>
                <pt idx="71">
                  <formatCode>0.00%</formatCode>
                  <v>0.03701908297666059</v>
                </pt>
                <pt idx="72">
                  <formatCode>0.00%</formatCode>
                  <v>0.03907453192581622</v>
                </pt>
                <pt idx="73">
                  <formatCode>0.00%</formatCode>
                  <v>0.03525327682193641</v>
                </pt>
                <pt idx="74">
                  <formatCode>0.00%</formatCode>
                  <v>0.02919826904285515</v>
                </pt>
                <pt idx="75">
                  <formatCode>0.00%</formatCode>
                  <v>0.04549234571371681</v>
                </pt>
                <pt idx="76">
                  <formatCode>0.00%</formatCode>
                  <v>0.0495203176797198</v>
                </pt>
                <pt idx="77">
                  <formatCode>0.00%</formatCode>
                  <v>0.04486281258903082</v>
                </pt>
                <pt idx="78">
                  <formatCode>0.00%</formatCode>
                  <v>0.04406508002398413</v>
                </pt>
                <pt idx="79">
                  <formatCode>0.00%</formatCode>
                  <v>0.04349877172493542</v>
                </pt>
                <pt idx="80">
                  <formatCode>0.00%</formatCode>
                  <v>0.03643886660037262</v>
                </pt>
                <pt idx="81">
                  <formatCode>0.00%</formatCode>
                  <v>0.04729111898502686</v>
                </pt>
                <pt idx="82">
                  <formatCode>0.00%</formatCode>
                  <v>0.05337871018580907</v>
                </pt>
                <pt idx="83">
                  <formatCode>0.00%</formatCode>
                  <v>0.0606494202419364</v>
                </pt>
                <pt idx="84">
                  <formatCode>0.00%</formatCode>
                  <v>0.05815109061688994</v>
                </pt>
                <pt idx="85">
                  <formatCode>0.00%</formatCode>
                  <v>0.06456009002335406</v>
                </pt>
                <pt idx="86">
                  <formatCode>0.00%</formatCode>
                  <v>0.06825734113976988</v>
                </pt>
                <pt idx="87">
                  <formatCode>0.00%</formatCode>
                  <v>0.06612630376088101</v>
                </pt>
                <pt idx="88">
                  <formatCode>0.00%</formatCode>
                  <v>0.06881407197825808</v>
                </pt>
                <pt idx="89">
                  <formatCode>0.00%</formatCode>
                  <v>0.06838910003505706</v>
                </pt>
                <pt idx="90">
                  <formatCode>0.00%</formatCode>
                  <v>0.06546984665168341</v>
                </pt>
                <pt idx="91">
                  <formatCode>0.00%</formatCode>
                  <v>0.07241622652743933</v>
                </pt>
                <pt idx="92">
                  <formatCode>0.00%</formatCode>
                  <v>0.08168002911432888</v>
                </pt>
                <pt idx="93">
                  <formatCode>0.00%</formatCode>
                  <v>0.07663638099915418</v>
                </pt>
                <pt idx="94">
                  <formatCode>0.00%</formatCode>
                  <v>0.07709487515855892</v>
                </pt>
                <pt idx="95">
                  <formatCode>0.00%</formatCode>
                  <v>0.09619095223506775</v>
                </pt>
                <pt idx="96">
                  <formatCode>0.00%</formatCode>
                  <v>0.07530603811455834</v>
                </pt>
                <pt idx="97">
                  <formatCode>0.00%</formatCode>
                  <v>0.07795070646977584</v>
                </pt>
                <pt idx="98">
                  <formatCode>0.00%</formatCode>
                  <v>0.09381249140329902</v>
                </pt>
                <pt idx="99">
                  <formatCode>0.00%</formatCode>
                  <v>0.07832309656538483</v>
                </pt>
                <pt idx="100">
                  <formatCode>0.00%</formatCode>
                  <v>0.07356258223512457</v>
                </pt>
                <pt idx="101">
                  <formatCode>0.00%</formatCode>
                  <v>0.07701682838794356</v>
                </pt>
                <pt idx="102">
                  <formatCode>0.00%</formatCode>
                  <v>0.07503614982352667</v>
                </pt>
                <pt idx="103">
                  <formatCode>0.00%</formatCode>
                  <v>0.0672948893927009</v>
                </pt>
                <pt idx="104">
                  <formatCode>0.00%</formatCode>
                  <v>0.07407464048489297</v>
                </pt>
                <pt idx="105">
                  <formatCode>0.00%</formatCode>
                  <v>0.06801859107243322</v>
                </pt>
                <pt idx="106">
                  <formatCode>0.00%</formatCode>
                  <v>0.06385634335869872</v>
                </pt>
                <pt idx="107">
                  <formatCode>0.00%</formatCode>
                  <v>0.04075919079792503</v>
                </pt>
                <pt idx="108">
                  <formatCode>0.00%</formatCode>
                  <v>0.06260075362463505</v>
                </pt>
                <pt idx="109">
                  <formatCode>0.00%</formatCode>
                  <v>0.04755217187769483</v>
                </pt>
                <pt idx="110">
                  <formatCode>0.00%</formatCode>
                  <v>0.01944292630550544</v>
                </pt>
                <pt idx="111">
                  <formatCode>0.00%</formatCode>
                  <v>0.04210316029507782</v>
                </pt>
                <pt idx="112">
                  <formatCode>0.00%</formatCode>
                  <v>0.04301284451858588</v>
                </pt>
                <pt idx="113">
                  <formatCode>0.00%</formatCode>
                  <v>0.03340200402352213</v>
                </pt>
                <pt idx="114">
                  <formatCode>0.00%</formatCode>
                  <v>0.0289839701096782</v>
                </pt>
                <pt idx="115">
                  <formatCode>0.00%</formatCode>
                  <v>0.03591401060657878</v>
                </pt>
                <pt idx="116">
                  <formatCode>0.00%</formatCode>
                  <v>0.006915110727201967</v>
                </pt>
                <pt idx="117">
                  <formatCode>0.00%</formatCode>
                  <v>0.01597387990641565</v>
                </pt>
                <pt idx="118">
                  <formatCode>0.00%</formatCode>
                  <v>0.01567762933807668</v>
                </pt>
                <pt idx="119">
                  <formatCode>0.00%</formatCode>
                  <v>0.01516015207262551</v>
                </pt>
                <pt idx="120">
                  <formatCode>0.00%</formatCode>
                  <v>0.01378529693576568</v>
                </pt>
                <pt idx="121">
                  <formatCode>0.00%</formatCode>
                  <v>0.02023190723710516</v>
                </pt>
                <pt idx="122">
                  <formatCode>0.00%</formatCode>
                  <v>0.03279738493872729</v>
                </pt>
                <pt idx="123">
                  <formatCode>0.00%</formatCode>
                  <v>0.03135943892460549</v>
                </pt>
                <pt idx="124">
                  <formatCode>0.00%</formatCode>
                  <v>0.02532908694983144</v>
                </pt>
                <pt idx="125">
                  <formatCode>0.00%</formatCode>
                  <v>0.02960817254821214</v>
                </pt>
                <pt idx="126">
                  <formatCode>0.00%</formatCode>
                  <v>0.03281530381330322</v>
                </pt>
                <pt idx="127">
                  <formatCode>0.00%</formatCode>
                  <v>0.02502987496687017</v>
                </pt>
                <pt idx="128">
                  <formatCode>0.00%</formatCode>
                  <v>0.03859913742311046</v>
                </pt>
                <pt idx="129">
                  <formatCode>0.00%</formatCode>
                  <v>0.03707873041081813</v>
                </pt>
                <pt idx="130">
                  <formatCode>0.00%</formatCode>
                  <v>0.041243979915975</v>
                </pt>
                <pt idx="131">
                  <formatCode>0.00%</formatCode>
                  <v>0.04022553774044597</v>
                </pt>
                <pt idx="132">
                  <formatCode>0.00%</formatCode>
                  <v>0.04508832809032491</v>
                </pt>
                <pt idx="133">
                  <formatCode>0.00%</formatCode>
                  <v>0.03571461505122507</v>
                </pt>
                <pt idx="134">
                  <formatCode>0.00%</formatCode>
                  <v>0.04595942891792073</v>
                </pt>
                <pt idx="135">
                  <formatCode>0.00%</formatCode>
                  <v>0.02465296352376894</v>
                </pt>
                <pt idx="136">
                  <formatCode>0.00%</formatCode>
                  <v>0.03120210651737922</v>
                </pt>
                <pt idx="137">
                  <formatCode>0.00%</formatCode>
                  <v>0.04219200247252498</v>
                </pt>
                <pt idx="138">
                  <formatCode>0.00%</formatCode>
                  <v>0.05106581806469759</v>
                </pt>
                <pt idx="139">
                  <formatCode>0.00%</formatCode>
                  <v>0.06552171506854286</v>
                </pt>
                <pt idx="140">
                  <formatCode>0.00%</formatCode>
                  <v>0.06537504992194024</v>
                </pt>
                <pt idx="141">
                  <formatCode>0.00%</formatCode>
                  <v>0.05841286713538688</v>
                </pt>
                <pt idx="142">
                  <formatCode>0.00%</formatCode>
                  <v>0.05920743626790962</v>
                </pt>
                <pt idx="143">
                  <formatCode>0.00%</formatCode>
                  <v>0.05866974789541073</v>
                </pt>
                <pt idx="144">
                  <formatCode>0.00%</formatCode>
                  <v>0.0638767593926632</v>
                </pt>
                <pt idx="145">
                  <formatCode>0.00%</formatCode>
                  <v>0.06974963495850992</v>
                </pt>
                <pt idx="146">
                  <formatCode>0.00%</formatCode>
                  <v>0.07500318405600426</v>
                </pt>
                <pt idx="147">
                  <formatCode>0.00%</formatCode>
                  <v>0.07756835678258561</v>
                </pt>
                <pt idx="148">
                  <formatCode>0.00%</formatCode>
                  <v>0.08552590959206174</v>
                </pt>
                <pt idx="149">
                  <formatCode>0.00%</formatCode>
                  <v>0.07268175891077666</v>
                </pt>
                <pt idx="150">
                  <formatCode>0.00%</formatCode>
                  <v>0.06738513064420064</v>
                </pt>
                <pt idx="151">
                  <formatCode>0.00%</formatCode>
                  <v>0.05416152241474733</v>
                </pt>
                <pt idx="152">
                  <formatCode>0.00%</formatCode>
                  <v>0.0642856838580782</v>
                </pt>
                <pt idx="153">
                  <formatCode>0.00%</formatCode>
                  <v>0.0761302512425955</v>
                </pt>
                <pt idx="154">
                  <formatCode>0.00%</formatCode>
                  <v>0.07449670381647797</v>
                </pt>
                <pt idx="155">
                  <formatCode>0.00%</formatCode>
                  <v>0.08083723831035297</v>
                </pt>
                <pt idx="156">
                  <formatCode>0.00%</formatCode>
                  <v>0.06929211947463164</v>
                </pt>
                <pt idx="157">
                  <formatCode>0.00%</formatCode>
                  <v>0.0788722430295464</v>
                </pt>
                <pt idx="158">
                  <formatCode>0.00%</formatCode>
                  <v>0.05988765192523746</v>
                </pt>
                <pt idx="159">
                  <formatCode>0.00%</formatCode>
                  <v>0.07958054132177111</v>
                </pt>
                <pt idx="160">
                  <formatCode>0.00%</formatCode>
                  <v>0.06156583774472563</v>
                </pt>
                <pt idx="161">
                  <formatCode>0.00%</formatCode>
                  <v>0.07477425833546776</v>
                </pt>
                <pt idx="162">
                  <formatCode>0.00%</formatCode>
                  <v>0.07140806514873985</v>
                </pt>
                <pt idx="163">
                  <formatCode>0.00%</formatCode>
                  <v>0.08847713357995574</v>
                </pt>
                <pt idx="164">
                  <formatCode>0.00%</formatCode>
                  <v>0.09401617034902338</v>
                </pt>
                <pt idx="165">
                  <formatCode>0.00%</formatCode>
                  <v>0.09238300867598326</v>
                </pt>
                <pt idx="166">
                  <formatCode>0.00%</formatCode>
                  <v>0.07736932503763329</v>
                </pt>
                <pt idx="167">
                  <formatCode>0.00%</formatCode>
                  <v>0.06856487853185542</v>
                </pt>
                <pt idx="168">
                  <formatCode>0.00%</formatCode>
                  <v>0.09337406912354401</v>
                </pt>
                <pt idx="169">
                  <formatCode>0.00%</formatCode>
                  <v>0.08233270203237764</v>
                </pt>
                <pt idx="170">
                  <formatCode>0.00%</formatCode>
                  <v>0.08334296969556805</v>
                </pt>
                <pt idx="171">
                  <formatCode>0.00%</formatCode>
                  <v>0.07450919242091171</v>
                </pt>
                <pt idx="172">
                  <formatCode>0.00%</formatCode>
                  <v>0.08161593895069595</v>
                </pt>
                <pt idx="173">
                  <formatCode>0.00%</formatCode>
                  <v>0.06866042011053151</v>
                </pt>
                <pt idx="174">
                  <formatCode>0.00%</formatCode>
                  <v>0.06819991621724641</v>
                </pt>
                <pt idx="175">
                  <formatCode>0.00%</formatCode>
                  <v>0.05930543187889582</v>
                </pt>
                <pt idx="176">
                  <formatCode>0.00%</formatCode>
                  <v>0.04043844597536302</v>
                </pt>
                <pt idx="177">
                  <formatCode>0.00%</formatCode>
                  <v>0.0245109396041181</v>
                </pt>
                <pt idx="178">
                  <formatCode>0.00%</formatCode>
                  <v>0.033154089174577</v>
                </pt>
                <pt idx="179">
                  <formatCode>0.00%</formatCode>
                  <v>0.05188033844997501</v>
                </pt>
                <pt idx="180">
                  <formatCode>0.00%</formatCode>
                  <v>0.02724058537141717</v>
                </pt>
                <pt idx="181">
                  <formatCode>0.00%</formatCode>
                  <v>0.02696740532719406</v>
                </pt>
                <pt idx="182">
                  <formatCode>0.00%</formatCode>
                  <v>0.03782164408516452</v>
                </pt>
                <pt idx="183">
                  <formatCode>0.00%</formatCode>
                  <v>0.02639412441376869</v>
                </pt>
                <pt idx="184">
                  <formatCode>0.00%</formatCode>
                  <v>0.03936339222214753</v>
                </pt>
                <pt idx="185">
                  <formatCode>0.00%</formatCode>
                  <v>0.03840572015149906</v>
                </pt>
                <pt idx="186">
                  <formatCode>0.00%</formatCode>
                  <v>0.04112463874619315</v>
                </pt>
                <pt idx="187">
                  <formatCode>0.00%</formatCode>
                  <v>0.03259148733467832</v>
                </pt>
                <pt idx="188">
                  <formatCode>0.00%</formatCode>
                  <v>0.0397739660034742</v>
                </pt>
                <pt idx="189">
                  <formatCode>0.00%</formatCode>
                  <v>0.05178877444658411</v>
                </pt>
                <pt idx="190">
                  <formatCode>0.00%</formatCode>
                  <v>0.0696923044328783</v>
                </pt>
                <pt idx="191">
                  <formatCode>0.00%</formatCode>
                  <v>0.04391727831504169</v>
                </pt>
                <pt idx="192">
                  <formatCode>0.00%</formatCode>
                  <v>0.04574678107120676</v>
                </pt>
                <pt idx="193">
                  <formatCode>0.00%</formatCode>
                  <v>0.03977582287925321</v>
                </pt>
                <pt idx="194">
                  <formatCode>0.00%</formatCode>
                  <v>0.03183217569578245</v>
                </pt>
                <pt idx="195">
                  <formatCode>0.00%</formatCode>
                  <v>0.04323716644481382</v>
                </pt>
                <pt idx="196">
                  <formatCode>0.00%</formatCode>
                  <v>0.04474924084589512</v>
                </pt>
                <pt idx="197">
                  <formatCode>0.00%</formatCode>
                  <v>0.05431551677120262</v>
                </pt>
                <pt idx="198">
                  <formatCode>0.00%</formatCode>
                  <v>0.05415668415444445</v>
                </pt>
                <pt idx="199">
                  <formatCode>0.00%</formatCode>
                  <v>0.04236641350840714</v>
                </pt>
                <pt idx="200">
                  <formatCode>0.00%</formatCode>
                  <v>0.02870206599412228</v>
                </pt>
                <pt idx="201">
                  <formatCode>0.00%</formatCode>
                  <v>-0.004437770431884759</v>
                </pt>
                <pt idx="202">
                  <formatCode>0.00%</formatCode>
                  <v>-0.06130937251393845</v>
                </pt>
                <pt idx="203">
                  <formatCode>0.00%</formatCode>
                  <v>-0.0763740517622353</v>
                </pt>
                <pt idx="204">
                  <formatCode>0.00%</formatCode>
                  <v>-0.06722914910982675</v>
                </pt>
                <pt idx="205">
                  <formatCode>0.00%</formatCode>
                  <v>-0.06087235129010403</v>
                </pt>
                <pt idx="206">
                  <formatCode>0.00%</formatCode>
                  <v>-0.0808184177213087</v>
                </pt>
                <pt idx="207">
                  <formatCode>0.00%</formatCode>
                  <v>-0.08173013354488959</v>
                </pt>
                <pt idx="208">
                  <formatCode>0.00%</formatCode>
                  <v>-0.08708572694717703</v>
                </pt>
                <pt idx="209">
                  <formatCode>0.00%</formatCode>
                  <v>-0.08413354284273215</v>
                </pt>
                <pt idx="210">
                  <formatCode>0.00%</formatCode>
                  <v>-0.08972415102964515</v>
                </pt>
                <pt idx="211">
                  <formatCode>0.00%</formatCode>
                  <v>-0.07450073055883684</v>
                </pt>
                <pt idx="212">
                  <formatCode>0.00%</formatCode>
                  <v>-0.06314353343415083</v>
                </pt>
                <pt idx="213">
                  <formatCode>0.00%</formatCode>
                  <v>-0.03767829364503578</v>
                </pt>
                <pt idx="214">
                  <formatCode>0.00%</formatCode>
                  <v>0.009333042628162298</v>
                </pt>
                <pt idx="215">
                  <formatCode>0.00%</formatCode>
                  <v>0.03966283888792955</v>
                </pt>
                <pt idx="216">
                  <formatCode>0.00%</formatCode>
                  <v>0.02874023170033329</v>
                </pt>
                <pt idx="217">
                  <formatCode>0.00%</formatCode>
                  <v>0.03429783786088959</v>
                </pt>
                <pt idx="218">
                  <formatCode>0.00%</formatCode>
                  <v>0.0608537233369601</v>
                </pt>
                <pt idx="219">
                  <formatCode>0.00%</formatCode>
                  <v>0.06386364045429184</v>
                </pt>
                <pt idx="220">
                  <formatCode>0.00%</formatCode>
                  <v>0.04464837043620412</v>
                </pt>
                <pt idx="221">
                  <formatCode>0.00%</formatCode>
                  <v>0.03220932531277359</v>
                </pt>
                <pt idx="222">
                  <formatCode>0.00%</formatCode>
                  <v>0.03280416170089366</v>
                </pt>
                <pt idx="223">
                  <formatCode>0.00%</formatCode>
                  <v>0.03429616216311247</v>
                </pt>
                <pt idx="224">
                  <formatCode>0.00%</formatCode>
                  <v>0.03941426029834405</v>
                </pt>
                <pt idx="225">
                  <formatCode>0.00%</formatCode>
                  <v>0.04707470589266616</v>
                </pt>
                <pt idx="226">
                  <formatCode>0.00%</formatCode>
                  <v>0.05199289248136019</v>
                </pt>
                <pt idx="227">
                  <formatCode>0.00%</formatCode>
                  <v>0.05157564370071247</v>
                </pt>
                <pt idx="228">
                  <formatCode>0.00%</formatCode>
                  <v>0.05722998834793012</v>
                </pt>
                <pt idx="229">
                  <formatCode>0.00%</formatCode>
                  <v>0.05749401282989565</v>
                </pt>
                <pt idx="230">
                  <formatCode>0.00%</formatCode>
                  <v>0.05971746137752912</v>
                </pt>
                <pt idx="231">
                  <formatCode>0.00%</formatCode>
                  <v>0.061769124573656</v>
                </pt>
                <pt idx="232">
                  <formatCode>0.00%</formatCode>
                  <v>0.07436892673126598</v>
                </pt>
                <pt idx="233">
                  <formatCode>0.00%</formatCode>
                  <v>0.08199838575083107</v>
                </pt>
                <pt idx="234">
                  <formatCode>0.00%</formatCode>
                  <v>0.08362409902583506</v>
                </pt>
                <pt idx="235">
                  <formatCode>0.00%</formatCode>
                  <v>0.08154773438854497</v>
                </pt>
                <pt idx="236">
                  <formatCode>0.00%</formatCode>
                  <v>0.07592039297108422</v>
                </pt>
                <pt idx="237">
                  <formatCode>0.00%</formatCode>
                  <v>0.07232175747630688</v>
                </pt>
                <pt idx="238">
                  <formatCode>0.00%</formatCode>
                  <v>0.06416774026885869</v>
                </pt>
                <pt idx="239">
                  <formatCode>0.00%</formatCode>
                  <v>0.05338962415020829</v>
                </pt>
                <pt idx="240">
                  <formatCode>0.00%</formatCode>
                  <v>0.05961651039503419</v>
                </pt>
                <pt idx="241">
                  <formatCode>0.00%</formatCode>
                  <v>0.06487919628816137</v>
                </pt>
                <pt idx="242">
                  <formatCode>0.00%</formatCode>
                  <v>0.05788275542751312</v>
                </pt>
                <pt idx="243">
                  <formatCode>0.00%</formatCode>
                  <v>0.04295534288746331</v>
                </pt>
                <pt idx="244">
                  <formatCode>0.00%</formatCode>
                  <v>0.03577766328925525</v>
                </pt>
                <pt idx="245">
                  <formatCode>0.00%</formatCode>
                  <v>0.02157902722111944</v>
                </pt>
                <pt idx="246">
                  <formatCode>0.00%</formatCode>
                  <v>0.02520009985243327</v>
                </pt>
                <pt idx="247">
                  <formatCode>0.00%</formatCode>
                  <v>0.03173061509302304</v>
                </pt>
                <pt idx="248">
                  <formatCode>0.00%</formatCode>
                  <v>0.03660889947378825</v>
                </pt>
                <pt idx="249">
                  <formatCode>0.00%</formatCode>
                  <v>0.03335352866592131</v>
                </pt>
                <pt idx="250">
                  <formatCode>0.00%</formatCode>
                  <v>0.03186874062455262</v>
                </pt>
                <pt idx="251">
                  <formatCode>0.00%</formatCode>
                  <v>0.03759804825020382</v>
                </pt>
                <pt idx="252">
                  <formatCode>0.00%</formatCode>
                  <v>0.0322716049382716</v>
                </pt>
                <pt idx="253">
                  <formatCode>0.00%</formatCode>
                  <v>0.03233660828705681</v>
                </pt>
                <pt idx="254">
                  <formatCode>0.00%</formatCode>
                  <v>0.02179872952189903</v>
                </pt>
                <pt idx="255">
                  <formatCode>0.00%</formatCode>
                  <v>0.02009961194121062</v>
                </pt>
                <pt idx="256">
                  <formatCode>0.00%</formatCode>
                  <v>0.02732336072117215</v>
                </pt>
                <pt idx="257">
                  <formatCode>0.00%</formatCode>
                  <v>0.03473401836020532</v>
                </pt>
                <pt idx="258">
                  <formatCode>0.00%</formatCode>
                  <v>0.0383643301422134</v>
                </pt>
                <pt idx="259">
                  <formatCode>0.00%</formatCode>
                  <v>0.02446365791093157</v>
                </pt>
                <pt idx="260">
                  <formatCode>0.00%</formatCode>
                  <v>0.02207591718125681</v>
                </pt>
                <pt idx="261">
                  <formatCode>0.00%</formatCode>
                  <v>0.02182624831512968</v>
                </pt>
                <pt idx="262">
                  <formatCode>0.00%</formatCode>
                  <v>0.0219509105495871</v>
                </pt>
                <pt idx="263">
                  <formatCode>0.00%</formatCode>
                  <v>0.02932029540069665</v>
                </pt>
                <pt idx="264">
                  <formatCode>0.00%</formatCode>
                  <v>0.01631305762192934</v>
                </pt>
                <pt idx="265">
                  <formatCode>0.00%</formatCode>
                  <v>0.01506777246422217</v>
                </pt>
                <pt idx="266">
                  <formatCode>0.00%</formatCode>
                  <v>0.02668197583451821</v>
                </pt>
                <pt idx="267">
                  <formatCode>0.00%</formatCode>
                  <v>0.04242050274376363</v>
                </pt>
                <pt idx="268">
                  <formatCode>0.00%</formatCode>
                  <v>0.04203639667534393</v>
                </pt>
                <pt idx="269">
                  <formatCode>0.00%</formatCode>
                  <v>0.04534050983030575</v>
                </pt>
                <pt idx="270">
                  <formatCode>0.00%</formatCode>
                  <v>0.03848151765121449</v>
                </pt>
                <pt idx="271">
                  <formatCode>0.00%</formatCode>
                  <v>0.04814852262454204</v>
                </pt>
                <pt idx="272">
                  <formatCode>0.00%</formatCode>
                  <v>0.0434736252898686</v>
                </pt>
                <pt idx="273">
                  <formatCode>0.00%</formatCode>
                  <v>0.04525477066499461</v>
                </pt>
                <pt idx="274">
                  <formatCode>0.00%</formatCode>
                  <v>0.04392980675016822</v>
                </pt>
                <pt idx="275">
                  <formatCode>0.00%</formatCode>
                  <v>0.02840905767217123</v>
                </pt>
                <pt idx="276">
                  <formatCode>0.00%</formatCode>
                  <v>0.02368554214031867</v>
                </pt>
                <pt idx="277">
                  <formatCode>0.00%</formatCode>
                  <v>0.01492563388811889</v>
                </pt>
                <pt idx="278">
                  <formatCode>0.00%</formatCode>
                  <v>0.01794861394400148</v>
                </pt>
                <pt idx="279">
                  <formatCode>0.00%</formatCode>
                  <v>0.009749719835636907</v>
                </pt>
                <pt idx="280">
                  <formatCode>0.00%</formatCode>
                  <v>0.01594695057592584</v>
                </pt>
                <pt idx="281">
                  <formatCode>0.00%</formatCode>
                  <v>0.01530372896094832</v>
                </pt>
                <pt idx="282">
                  <formatCode>0.00%</formatCode>
                  <v>0.02287246357755972</v>
                </pt>
                <pt idx="283">
                  <formatCode>0.00%</formatCode>
                  <v>0.01378016983342932</v>
                </pt>
                <pt idx="284">
                  <formatCode>0.00%</formatCode>
                  <v>0.00767174142570076</v>
                </pt>
                <pt idx="285">
                  <formatCode>0.00%</formatCode>
                  <v>0.002722058578021499</v>
                </pt>
                <pt idx="286">
                  <formatCode>0.00%</formatCode>
                  <v>0.004172780242055179</v>
                </pt>
                <pt idx="287">
                  <formatCode>0.00%</formatCode>
                  <v>0.01623669339127615</v>
                </pt>
                <pt idx="288">
                  <formatCode>0.00%</formatCode>
                  <v>0.01936412779519662</v>
                </pt>
                <pt idx="289">
                  <formatCode>0.00%</formatCode>
                  <v>0.02354817794251812</v>
                </pt>
                <pt idx="290">
                  <formatCode>0.00%</formatCode>
                  <v>0.01686651657762838</v>
                </pt>
                <pt idx="291">
                  <formatCode>0.00%</formatCode>
                  <v>0.02073972049185693</v>
                </pt>
                <pt idx="292">
                  <formatCode>0.00%</formatCode>
                  <v>0.01723806942656458</v>
                </pt>
                <pt idx="293">
                  <formatCode>0.00%</formatCode>
                  <v>0.0263764375750131</v>
                </pt>
                <pt idx="294">
                  <formatCode>0.00%</formatCode>
                  <v>0.01191264618351008</v>
                </pt>
                <pt idx="295">
                  <formatCode>0.00%</formatCode>
                  <v>0.01431489980969439</v>
                </pt>
                <pt idx="296">
                  <formatCode>0.00%</formatCode>
                  <v>0.02566507527426874</v>
                </pt>
                <pt idx="297">
                  <formatCode>0.00%</formatCode>
                  <v>0.03207655253957011</v>
                </pt>
                <pt idx="298">
                  <formatCode>0.00%</formatCode>
                  <v>0.02983696371309442</v>
                </pt>
                <pt idx="299">
                  <formatCode>0.00%</formatCode>
                  <v>0.03161591850442181</v>
                </pt>
                <pt idx="300">
                  <formatCode>0.00%</formatCode>
                  <v>0.05458964028858108</v>
                </pt>
                <pt idx="301">
                  <formatCode>0.00%</formatCode>
                  <v>0.0487933402472181</v>
                </pt>
                <pt idx="302">
                  <formatCode>0.00%</formatCode>
                  <v>0.05044041951113015</v>
                </pt>
                <pt idx="303">
                  <formatCode>0.00%</formatCode>
                  <v>0.05079302240647243</v>
                </pt>
                <pt idx="304">
                  <formatCode>0.00%</formatCode>
                  <v>0.03836845932249488</v>
                </pt>
                <pt idx="305">
                  <formatCode>0.00%</formatCode>
                  <v>0.02956903650837222</v>
                </pt>
                <pt idx="306">
                  <formatCode>0.00%</formatCode>
                  <v>0.03567897757084707</v>
                </pt>
                <pt idx="307">
                  <formatCode>0.00%</formatCode>
                  <v>0.04306703270931339</v>
                </pt>
                <pt idx="308">
                  <formatCode>0.00%</formatCode>
                  <v>0.05297036636303471</v>
                </pt>
                <pt idx="309">
                  <formatCode>0.00%</formatCode>
                  <v>0.04872613728953513</v>
                </pt>
                <pt idx="310">
                  <formatCode>0.00%</formatCode>
                  <v>0.06451427712243196</v>
                </pt>
                <pt idx="311">
                  <formatCode>0.00%</formatCode>
                  <v>0.06349137451609665</v>
                </pt>
                <pt idx="312">
                  <formatCode>0.00%</formatCode>
                  <v>0.04584509602634843</v>
                </pt>
                <pt idx="313">
                  <formatCode>0.00%</formatCode>
                  <v>0.05281978095986403</v>
                </pt>
                <pt idx="314">
                  <formatCode>0.00%</formatCode>
                  <v>0.04782916859848545</v>
                </pt>
                <pt idx="315">
                  <formatCode>0.00%</formatCode>
                  <v>0.04683346156907484</v>
                </pt>
                <pt idx="316">
                  <formatCode>0.00%</formatCode>
                  <v>0.06867354275191302</v>
                </pt>
                <pt idx="317">
                  <formatCode>0.00%</formatCode>
                  <v>0.06389706509683474</v>
                </pt>
                <pt idx="318">
                  <formatCode>0.00%</formatCode>
                  <v>0.07130210805305062</v>
                </pt>
                <pt idx="319">
                  <formatCode>0.00%</formatCode>
                  <v>0.06390790489995873</v>
                </pt>
                <pt idx="320">
                  <formatCode>0.00%</formatCode>
                  <v>0.04567124630968401</v>
                </pt>
                <pt idx="321">
                  <formatCode>0.00%</formatCode>
                  <v>0.05884883420803579</v>
                </pt>
                <pt idx="322">
                  <formatCode>0.00%</formatCode>
                  <v>0.04335711387437916</v>
                </pt>
                <pt idx="323">
                  <formatCode>0.00%</formatCode>
                  <v>0.007145025394047768</v>
                </pt>
                <pt idx="324">
                  <formatCode>0.00%</formatCode>
                  <v>0.03043354898738028</v>
                </pt>
                <pt idx="325">
                  <formatCode>0.00%</formatCode>
                  <v>0.02115032162094928</v>
                </pt>
                <pt idx="326">
                  <formatCode>0.00%</formatCode>
                  <v>0.03518426218836142</v>
                </pt>
                <pt idx="327">
                  <formatCode>0.00%</formatCode>
                  <v>0.0394741510839868</v>
                </pt>
                <pt idx="328">
                  <formatCode>0.00%</formatCode>
                  <v>0.02853634319642058</v>
                </pt>
                <pt idx="329">
                  <formatCode>0.00%</formatCode>
                  <v>0.03487637768834046</v>
                </pt>
                <pt idx="330">
                  <formatCode>0.00%</formatCode>
                  <v>0.03481515957777783</v>
                </pt>
                <pt idx="331">
                  <formatCode>0.00%</formatCode>
                  <v>0.03488030949468429</v>
                </pt>
                <pt idx="332">
                  <formatCode>0.00%</formatCode>
                  <v>0.0347800712311821</v>
                </pt>
                <pt idx="333">
                  <formatCode>0.00%</formatCode>
                  <v>0.02680415924910928</v>
                </pt>
                <pt idx="334">
                  <formatCode>0.00%</formatCode>
                  <v>0.0244857572542871</v>
                </pt>
                <pt idx="335">
                  <formatCode>0.00%</formatCode>
                  <v>0.06133650100551641</v>
                </pt>
                <pt idx="336">
                  <formatCode>0.00%</formatCode>
                  <v>0.04626177381864909</v>
                </pt>
                <pt idx="337">
                  <formatCode>0.00%</formatCode>
                  <v>0.04478539502925866</v>
                </pt>
                <pt idx="338">
                  <formatCode>0.00%</formatCode>
                  <v>-0.01159231600668173</v>
                </pt>
                <pt idx="339">
                  <formatCode>0.00%</formatCode>
                  <v>-0.1670563738458125</v>
                </pt>
                <pt idx="340">
                  <formatCode>0.00%</formatCode>
                  <v>-0.06783691711387936</v>
                </pt>
                <pt idx="341">
                  <formatCode>0.00%</formatCode>
                  <v>0.006436536668644284</v>
                </pt>
                <pt idx="342">
                  <formatCode>0.00%</formatCode>
                  <v>0.01996791472146659</v>
                </pt>
                <pt idx="343">
                  <formatCode>0.00%</formatCode>
                  <v>0.02867384373656101</v>
                </pt>
                <pt idx="344">
                  <formatCode>0.00%</formatCode>
                  <v>0.04807022533520691</v>
                </pt>
                <pt idx="345">
                  <formatCode>0.00%</formatCode>
                  <v>0.04387830711937403</v>
                </pt>
                <pt idx="346">
                  <formatCode>0.00%</formatCode>
                  <v>0.03242236770977236</v>
                </pt>
                <pt idx="347">
                  <formatCode>0.00%</formatCode>
                  <v>0.005932622023248433</v>
                </pt>
                <pt idx="348">
                  <formatCode>0.00%</formatCode>
                  <v>0.08208066994176894</v>
                </pt>
                <pt idx="349">
                  <formatCode>0.00%</formatCode>
                  <v>0.05695591139451331</v>
                </pt>
                <pt idx="350">
                  <formatCode>0.00%</formatCode>
                  <v>0.2120632963930401</v>
                </pt>
                <pt idx="351">
                  <formatCode>0.00%</formatCode>
                  <v>0.4266218997075707</v>
                </pt>
                <pt idx="352">
                  <formatCode>0.00%</formatCode>
                  <v>0.2658620122967604</v>
                </pt>
                <pt idx="353">
                  <formatCode>0.00%</formatCode>
                  <v>0.1871308164085339</v>
                </pt>
                <pt idx="354">
                  <formatCode>0.00%</formatCode>
                  <v>0.1528972879413492</v>
                </pt>
                <pt idx="355">
                  <formatCode>0.00%</formatCode>
                  <v>0.1664556902897928</v>
                </pt>
                <pt idx="356">
                  <formatCode>0.00%</formatCode>
                  <v>0.1557227190878421</v>
                </pt>
                <pt idx="357">
                  <formatCode>0.00%</formatCode>
                  <v>0.1752822668642248</v>
                </pt>
                <pt idx="358">
                  <formatCode>0.00%</formatCode>
                  <v>0.1945918272363399</v>
                </pt>
                <pt idx="359">
                  <formatCode>0.00%</formatCode>
                  <v>0.1875120099638218</v>
                </pt>
                <pt idx="360">
                  <formatCode>0.00%</formatCode>
                  <v>0.1333999434690296</v>
                </pt>
                <pt idx="361">
                  <formatCode>0.00%</formatCode>
                  <v>0.1770509738242524</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8208"/>
        <crosses val="autoZero"/>
        <lblOffset val="100"/>
        <baseTimeUnit val="months"/>
      </dateAx>
      <valAx>
        <axId val="1031868208"/>
        <scaling>
          <orientation val="minMax"/>
          <max val="0.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56072"/>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Food and Beverage Stores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and Beverage'!$D$6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'Food and Beverage'!$A$19:$A$372</f>
              <numCache>
                <formatCode>[$-409]mmm\-yy;@</formatCode>
                <ptCount val="354"/>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numCache>
            </numRef>
          </cat>
          <val>
            <numRef>
              <f>'Food and Beverage'!$D$19:$D$372</f>
              <numCache>
                <formatCode>0.00%</formatCode>
                <ptCount val="354"/>
                <pt idx="0">
                  <v>0.01997568748562605</v>
                </pt>
                <pt idx="1">
                  <v>0.0280100059245606</v>
                </pt>
                <pt idx="2">
                  <v>0.01742776649413615</v>
                </pt>
                <pt idx="3">
                  <v>0.017221096660349</v>
                </pt>
                <pt idx="4">
                  <v>0.01451917442541832</v>
                </pt>
                <pt idx="5">
                  <v>0.01323103930301356</v>
                </pt>
                <pt idx="6">
                  <v>0.01246649226496141</v>
                </pt>
                <pt idx="7">
                  <v>0.002738313842981863</v>
                </pt>
                <pt idx="8">
                  <v>0.008370499644496154</v>
                </pt>
                <pt idx="9">
                  <v>0.006356748426865289</v>
                </pt>
                <pt idx="10">
                  <v>0.01197083118224058</v>
                </pt>
                <pt idx="11">
                  <v>0.01423189619087484</v>
                </pt>
                <pt idx="12">
                  <v>0.01362538250926075</v>
                </pt>
                <pt idx="13">
                  <v>0.01456792495117344</v>
                </pt>
                <pt idx="14">
                  <v>0.02067100264022152</v>
                </pt>
                <pt idx="15">
                  <v>0.02473577692826625</v>
                </pt>
                <pt idx="16">
                  <v>0.02226928507251957</v>
                </pt>
                <pt idx="17">
                  <v>0.03064040041067762</v>
                </pt>
                <pt idx="18">
                  <v>0.01961785064914351</v>
                </pt>
                <pt idx="19">
                  <v>0.03521172010537814</v>
                </pt>
                <pt idx="20">
                  <v>0.03846030575943079</v>
                </pt>
                <pt idx="21">
                  <v>0.02711669750526383</v>
                </pt>
                <pt idx="22">
                  <v>0.03210789784140548</v>
                </pt>
                <pt idx="23">
                  <v>0.0252388964729039</v>
                </pt>
                <pt idx="24">
                  <v>0.03676750985127749</v>
                </pt>
                <pt idx="25">
                  <v>0.02243751577884373</v>
                </pt>
                <pt idx="26">
                  <v>0.02255520504731861</v>
                </pt>
                <pt idx="27">
                  <v>0.01294711432960281</v>
                </pt>
                <pt idx="28">
                  <v>0.02140749576244586</v>
                </pt>
                <pt idx="29">
                  <v>0.0147557824611649</v>
                </pt>
                <pt idx="30">
                  <v>0.01570516831435365</v>
                </pt>
                <pt idx="31">
                  <v>0.01008627645707902</v>
                </pt>
                <pt idx="32">
                  <v>0.006913366871392858</v>
                </pt>
                <pt idx="33">
                  <v>0.01186482792893527</v>
                </pt>
                <pt idx="34">
                  <v>0.01155390793945011</v>
                </pt>
                <pt idx="35">
                  <v>0.01885799219669288</v>
                </pt>
                <pt idx="36">
                  <v>0.01409961685823755</v>
                </pt>
                <pt idx="37">
                  <v>0.01632766443408747</v>
                </pt>
                <pt idx="38">
                  <v>0.02039179392256671</v>
                </pt>
                <pt idx="39">
                  <v>0.02667739539489973</v>
                </pt>
                <pt idx="40">
                  <v>0.01960663798401967</v>
                </pt>
                <pt idx="41">
                  <v>0.0209835260913581</v>
                </pt>
                <pt idx="42">
                  <v>0.03092465964393519</v>
                </pt>
                <pt idx="43">
                  <v>0.03057117399453099</v>
                </pt>
                <pt idx="44">
                  <v>0.0266360153256705</v>
                </pt>
                <pt idx="45">
                  <v>0.03456320216096753</v>
                </pt>
                <pt idx="46">
                  <v>0.03023454678719766</v>
                </pt>
                <pt idx="47">
                  <v>0.02783940674102665</v>
                </pt>
                <pt idx="48">
                  <v>0.02913707118029318</v>
                </pt>
                <pt idx="49">
                  <v>0.03222181729834791</v>
                </pt>
                <pt idx="50">
                  <v>0.03265207401136776</v>
                </pt>
                <pt idx="51">
                  <v>0.02658708627238198</v>
                </pt>
                <pt idx="52">
                  <v>0.02411236361444331</v>
                </pt>
                <pt idx="53">
                  <v>0.01835882335266368</v>
                </pt>
                <pt idx="54">
                  <v>0.01900209142515686</v>
                </pt>
                <pt idx="55">
                  <v>0.02128674497644744</v>
                </pt>
                <pt idx="56">
                  <v>0.02349674568579447</v>
                </pt>
                <pt idx="57">
                  <v>0.01910752432945645</v>
                </pt>
                <pt idx="58">
                  <v>0.01470326673385901</v>
                </pt>
                <pt idx="59">
                  <v>0.01097016470031639</v>
                </pt>
                <pt idx="60">
                  <v>0.002261446738523892</v>
                </pt>
                <pt idx="61">
                  <v>0.003324605019270941</v>
                </pt>
                <pt idx="62">
                  <v>0.003484014521606745</v>
                </pt>
                <pt idx="63">
                  <v>0.009337561663143059</v>
                </pt>
                <pt idx="64">
                  <v>0.01636352934251575</v>
                </pt>
                <pt idx="65">
                  <v>0.0206538416145403</v>
                </pt>
                <pt idx="66">
                  <v>0.02199026564240896</v>
                </pt>
                <pt idx="67">
                  <v>0.02025922466137319</v>
                </pt>
                <pt idx="68">
                  <v>0.01852338029812433</v>
                </pt>
                <pt idx="69">
                  <v>0.02168976359613369</v>
                </pt>
                <pt idx="70">
                  <v>0.02658486707566462</v>
                </pt>
                <pt idx="71">
                  <v>0.03928049137174613</v>
                </pt>
                <pt idx="72">
                  <v>0.03870948836664127</v>
                </pt>
                <pt idx="73">
                  <v>0.04706468828807694</v>
                </pt>
                <pt idx="74">
                  <v>0.04017505470459519</v>
                </pt>
                <pt idx="75">
                  <v>0.0476813870948973</v>
                </pt>
                <pt idx="76">
                  <v>0.0441883361325071</v>
                </pt>
                <pt idx="77">
                  <v>0.03700277520814061</v>
                </pt>
                <pt idx="78">
                  <v>0.03643562084002754</v>
                </pt>
                <pt idx="79">
                  <v>0.03339055793991416</v>
                </pt>
                <pt idx="80">
                  <v>0.04281704662618856</v>
                </pt>
                <pt idx="81">
                  <v>0.03356794802382242</v>
                </pt>
                <pt idx="82">
                  <v>0.03301081388730791</v>
                </pt>
                <pt idx="83">
                  <v>0.06000056285706245</v>
                </pt>
                <pt idx="84">
                  <v>0.00468304793071346</v>
                </pt>
                <pt idx="85">
                  <v>0.007645559694177613</v>
                </pt>
                <pt idx="86">
                  <v>0.02544036800179513</v>
                </pt>
                <pt idx="87">
                  <v>0.02762891178185655</v>
                </pt>
                <pt idx="88">
                  <v>0.01821963394342762</v>
                </pt>
                <pt idx="89">
                  <v>0.0363235950044603</v>
                </pt>
                <pt idx="90">
                  <v>0.02524497591762166</v>
                </pt>
                <pt idx="91">
                  <v>0.02749397790514162</v>
                </pt>
                <pt idx="92">
                  <v>0.02463541237538107</v>
                </pt>
                <pt idx="93">
                  <v>0.03322213338479777</v>
                </pt>
                <pt idx="94">
                  <v>0.03856749311294766</v>
                </pt>
                <pt idx="95">
                  <v>0.009770343820523032</v>
                </pt>
                <pt idx="96">
                  <v>0.06430236149720607</v>
                </pt>
                <pt idx="97">
                  <v>0.0631461923290717</v>
                </pt>
                <pt idx="98">
                  <v>0.04305369402883011</v>
                </pt>
                <pt idx="99">
                  <v>0.03677583225248595</v>
                </pt>
                <pt idx="100">
                  <v>0.04689925647520223</v>
                </pt>
                <pt idx="101">
                  <v>0.03749831876260928</v>
                </pt>
                <pt idx="102">
                  <v>0.03963496949079324</v>
                </pt>
                <pt idx="103">
                  <v>0.04386957693344112</v>
                </pt>
                <pt idx="104">
                  <v>0.04084914763589579</v>
                </pt>
                <pt idx="105">
                  <v>0.03917173657807663</v>
                </pt>
                <pt idx="106">
                  <v>0.03875331564986737</v>
                </pt>
                <pt idx="107">
                  <v>0.02532011674072516</v>
                </pt>
                <pt idx="108">
                  <v>0.02453631638656571</v>
                </pt>
                <pt idx="109">
                  <v>0.01654815434487086</v>
                </pt>
                <pt idx="110">
                  <v>0.02045472425458264</v>
                </pt>
                <pt idx="111">
                  <v>0.005186478667674425</v>
                </pt>
                <pt idx="112">
                  <v>0.007128177111787508</v>
                </pt>
                <pt idx="113">
                  <v>0.003992843993881097</v>
                </pt>
                <pt idx="114">
                  <v>0.008518153015114528</v>
                </pt>
                <pt idx="115">
                  <v>-0.0023491145645103</v>
                </pt>
                <pt idx="116">
                  <v>-0.00600020601565719</v>
                </pt>
                <pt idx="117">
                  <v>-0.006445152013147083</v>
                </pt>
                <pt idx="118">
                  <v>-0.007022292587012589</v>
                </pt>
                <pt idx="119">
                  <v>0.001948917837726946</v>
                </pt>
                <pt idx="120">
                  <v>0.01490999922746118</v>
                </pt>
                <pt idx="121">
                  <v>0.01028674296001029</v>
                </pt>
                <pt idx="122">
                  <v>0.01040783285791381</v>
                </pt>
                <pt idx="123">
                  <v>0.02263534536403236</v>
                </pt>
                <pt idx="124">
                  <v>0.007904321545733992</v>
                </pt>
                <pt idx="125">
                  <v>0.01954910518296619</v>
                </pt>
                <pt idx="126">
                  <v>0.02508111448730494</v>
                </pt>
                <pt idx="127">
                  <v>0.03068802235619841</v>
                </pt>
                <pt idx="128">
                  <v>0.03313557346045234</v>
                </pt>
                <pt idx="129">
                  <v>0.02798955883493138</v>
                </pt>
                <pt idx="130">
                  <v>0.01915856606490768</v>
                </pt>
                <pt idx="131">
                  <v>0.01886261261261261</v>
                </pt>
                <pt idx="132">
                  <v>0.02615954531614736</v>
                </pt>
                <pt idx="133">
                  <v>0.01621484026982309</v>
                </pt>
                <pt idx="134">
                  <v>0.02800244162978788</v>
                </pt>
                <pt idx="135">
                  <v>0.02428944499378819</v>
                </pt>
                <pt idx="136">
                  <v>0.04141572054640047</v>
                </pt>
                <pt idx="137">
                  <v>0.02857142857142857</v>
                </pt>
                <pt idx="138">
                  <v>0.02067423633440514</v>
                </pt>
                <pt idx="139">
                  <v>0.02354831421183441</v>
                </pt>
                <pt idx="140">
                  <v>0.02926425598074126</v>
                </pt>
                <pt idx="141">
                  <v>0.0352222445695897</v>
                </pt>
                <pt idx="142">
                  <v>0.04473770533168479</v>
                </pt>
                <pt idx="143">
                  <v>0.04333190986962747</v>
                </pt>
                <pt idx="144">
                  <v>0.03085824493731919</v>
                </pt>
                <pt idx="145">
                  <v>0.0459646310305095</v>
                </pt>
                <pt idx="146">
                  <v>0.03416709963136149</v>
                </pt>
                <pt idx="147">
                  <v>0.04663481769350727</v>
                </pt>
                <pt idx="148">
                  <v>0.03558508674787744</v>
                </pt>
                <pt idx="149">
                  <v>0.04321808510638298</v>
                </pt>
                <pt idx="150">
                  <v>0.03822204720533583</v>
                </pt>
                <pt idx="151">
                  <v>0.04343773760761326</v>
                </pt>
                <pt idx="152">
                  <v>0.04385430624923864</v>
                </pt>
                <pt idx="153">
                  <v>0.04043519440464337</v>
                </pt>
                <pt idx="154">
                  <v>0.03427205100956429</v>
                </pt>
                <pt idx="155">
                  <v>0.03989502576202629</v>
                </pt>
                <pt idx="156">
                  <v>0.02374613225876088</v>
                </pt>
                <pt idx="157">
                  <v>0.03884378667049836</v>
                </pt>
                <pt idx="158">
                  <v>0.03428229665071771</v>
                </pt>
                <pt idx="159">
                  <v>0.02331906439940402</v>
                </pt>
                <pt idx="160">
                  <v>0.03738029039233858</v>
                </pt>
                <pt idx="161">
                  <v>0.033496211316479</v>
                </pt>
                <pt idx="162">
                  <v>0.03894841646121752</v>
                </pt>
                <pt idx="163">
                  <v>0.03803300267970476</v>
                </pt>
                <pt idx="164">
                  <v>0.02336328626444159</v>
                </pt>
                <pt idx="165">
                  <v>0.03968068717613557</v>
                </pt>
                <pt idx="166">
                  <v>0.04084253788851785</v>
                </pt>
                <pt idx="167">
                  <v>0.03563242342154616</v>
                </pt>
                <pt idx="168">
                  <v>0.05095944331201237</v>
                </pt>
                <pt idx="169">
                  <v>0.04368473224371239</v>
                </pt>
                <pt idx="170">
                  <v>0.0471399162676659</v>
                </pt>
                <pt idx="171">
                  <v>0.03972821188379672</v>
                </pt>
                <pt idx="172">
                  <v>0.04123333486049388</v>
                </pt>
                <pt idx="173">
                  <v>0.04214060572838153</v>
                </pt>
                <pt idx="174">
                  <v>0.04396833002487052</v>
                </pt>
                <pt idx="175">
                  <v>0.03358242753623188</v>
                </pt>
                <pt idx="176">
                  <v>0.04577384482050814</v>
                </pt>
                <pt idx="177">
                  <v>0.03527008216963765</v>
                </pt>
                <pt idx="178">
                  <v>0.04603787130934218</v>
                </pt>
                <pt idx="179">
                  <v>0.04697071316789626</v>
                </pt>
                <pt idx="180">
                  <v>0.04472088460852506</v>
                </pt>
                <pt idx="181">
                  <v>0.03165172063435968</v>
                </pt>
                <pt idx="182">
                  <v>0.03560778423273177</v>
                </pt>
                <pt idx="183">
                  <v>0.05263625855783764</v>
                </pt>
                <pt idx="184">
                  <v>0.04182250187002244</v>
                </pt>
                <pt idx="185">
                  <v>0.04254060095995792</v>
                </pt>
                <pt idx="186">
                  <v>0.04570092232373126</v>
                </pt>
                <pt idx="187">
                  <v>0.05137699099533335</v>
                </pt>
                <pt idx="188">
                  <v>0.04115325060519486</v>
                </pt>
                <pt idx="189">
                  <v>0.03448051525600156</v>
                </pt>
                <pt idx="190">
                  <v>0.01585020590253947</v>
                </pt>
                <pt idx="191">
                  <v>0.002370224851060195</v>
                </pt>
                <pt idx="192">
                  <v>0.01658059835260979</v>
                </pt>
                <pt idx="193">
                  <v>0.004731624809985655</v>
                </pt>
                <pt idx="194">
                  <v>0.0006185610989057868</v>
                </pt>
                <pt idx="195">
                  <v>-0.004709012585522426</v>
                </pt>
                <pt idx="196">
                  <v>-0.002871924823144335</v>
                </pt>
                <pt idx="197">
                  <v>-0.004582912882610158</v>
                </pt>
                <pt idx="198">
                  <v>-0.01076392517504441</v>
                </pt>
                <pt idx="199">
                  <v>-0.01414937067600233</v>
                </pt>
                <pt idx="200">
                  <v>-0.003791369920402179</v>
                </pt>
                <pt idx="201">
                  <v>-0.002096304215667778</v>
                </pt>
                <pt idx="202">
                  <v>0.006883009944471423</v>
                </pt>
                <pt idx="203">
                  <v>0.02539303821737463</v>
                </pt>
                <pt idx="204">
                  <v>0.004995906715086379</v>
                </pt>
                <pt idx="205">
                  <v>0.03773866348448687</v>
                </pt>
                <pt idx="206">
                  <v>0.02901176671214188</v>
                </pt>
                <pt idx="207">
                  <v>0.02206521969745189</v>
                </pt>
                <pt idx="208">
                  <v>0.02066964569347085</v>
                </pt>
                <pt idx="209">
                  <v>0.01189017951425554</v>
                </pt>
                <pt idx="210">
                  <v>0.01219099936615255</v>
                </pt>
                <pt idx="211">
                  <v>0.02016529624384367</v>
                </pt>
                <pt idx="212">
                  <v>0.02346559010912761</v>
                </pt>
                <pt idx="213">
                  <v>0.02027183160725165</v>
                </pt>
                <pt idx="214">
                  <v>0.03027951938602193</v>
                </pt>
                <pt idx="215">
                  <v>0.02181410229775211</v>
                </pt>
                <pt idx="216">
                  <v>0.0375336800551413</v>
                </pt>
                <pt idx="217">
                  <v>0.0270642107640814</v>
                </pt>
                <pt idx="218">
                  <v>0.03743293352391606</v>
                </pt>
                <pt idx="219">
                  <v>0.05527992859070434</v>
                </pt>
                <pt idx="220">
                  <v>0.04544039838157485</v>
                </pt>
                <pt idx="221">
                  <v>0.06323962181453885</v>
                </pt>
                <pt idx="222">
                  <v>0.06422860959776233</v>
                </pt>
                <pt idx="223">
                  <v>0.06048111389677393</v>
                </pt>
                <pt idx="224">
                  <v>0.04877247046738572</v>
                </pt>
                <pt idx="225">
                  <v>0.05674518201284796</v>
                </pt>
                <pt idx="226">
                  <v>0.04646571550688947</v>
                </pt>
                <pt idx="227">
                  <v>0.04129391672088484</v>
                </pt>
                <pt idx="228">
                  <v>0.03756492329991545</v>
                </pt>
                <pt idx="229">
                  <v>0.03280884499270248</v>
                </pt>
                <pt idx="230">
                  <v>0.040435303514377</v>
                </pt>
                <pt idx="231">
                  <v>0.02871980486269573</v>
                </pt>
                <pt idx="232">
                  <v>0.03679666567430783</v>
                </pt>
                <pt idx="233">
                  <v>0.02477278526981136</v>
                </pt>
                <pt idx="234">
                  <v>0.02445865369527695</v>
                </pt>
                <pt idx="235">
                  <v>0.0229963659098902</v>
                </pt>
                <pt idx="236">
                  <v>0.02928558835628514</v>
                </pt>
                <pt idx="237">
                  <v>0.0298495830410724</v>
                </pt>
                <pt idx="238">
                  <v>0.02438929516103936</v>
                </pt>
                <pt idx="239">
                  <v>0.02878063067460705</v>
                </pt>
                <pt idx="240">
                  <v>0.02161428017074117</v>
                </pt>
                <pt idx="241">
                  <v>0.03043091099152116</v>
                </pt>
                <pt idx="242">
                  <v>0.01915363208905095</v>
                </pt>
                <pt idx="243">
                  <v>0.008356279638978125</v>
                </pt>
                <pt idx="244">
                  <v>0.01941078504565555</v>
                </pt>
                <pt idx="245">
                  <v>0.01938511636816397</v>
                </pt>
                <pt idx="246">
                  <v>0.02655511094943616</v>
                </pt>
                <pt idx="247">
                  <v>0.02547795030462767</v>
                </pt>
                <pt idx="248">
                  <v>0.02428440925700365</v>
                </pt>
                <pt idx="249">
                  <v>0.02056530952020584</v>
                </pt>
                <pt idx="250">
                  <v>0.02650465160432884</v>
                </pt>
                <pt idx="251">
                  <v>0.03638330581335763</v>
                </pt>
                <pt idx="252">
                  <v>0.04069966194401185</v>
                </pt>
                <pt idx="253">
                  <v>0.02872440353184295</v>
                </pt>
                <pt idx="254">
                  <v>0.03361392011750749</v>
                </pt>
                <pt idx="255">
                  <v>0.04828096258509851</v>
                </pt>
                <pt idx="256">
                  <v>0.04127466997164479</v>
                </pt>
                <pt idx="257">
                  <v>0.05165642557829265</v>
                </pt>
                <pt idx="258">
                  <v>0.0471110447983886</v>
                </pt>
                <pt idx="259">
                  <v>0.04853519080699532</v>
                </pt>
                <pt idx="260">
                  <v>0.04934968413229283</v>
                </pt>
                <pt idx="261">
                  <v>0.05251839905084997</v>
                </pt>
                <pt idx="262">
                  <v>0.0499019716642622</v>
                </pt>
                <pt idx="263">
                  <v>0.04591070578324726</v>
                </pt>
                <pt idx="264">
                  <v>0.04224683833056554</v>
                </pt>
                <pt idx="265">
                  <v>0.04450409978268412</v>
                </pt>
                <pt idx="266">
                  <v>0.04190351260749162</v>
                </pt>
                <pt idx="267">
                  <v>0.03279726478409523</v>
                </pt>
                <pt idx="268">
                  <v>0.03087410506573371</v>
                </pt>
                <pt idx="269">
                  <v>0.02596219133045063</v>
                </pt>
                <pt idx="270">
                  <v>0.02545240809347393</v>
                </pt>
                <pt idx="271">
                  <v>0.02298442245865823</v>
                </pt>
                <pt idx="272">
                  <v>0.01648487853247397</v>
                </pt>
                <pt idx="273">
                  <v>0.006305481189234888</v>
                </pt>
                <pt idx="274">
                  <v>0.0136706363187936</v>
                </pt>
                <pt idx="275">
                  <v>0.004412305429586959</v>
                </pt>
                <pt idx="276">
                  <v>0.008894803193724611</v>
                </pt>
                <pt idx="277">
                  <v>0.008532065179383173</v>
                </pt>
                <pt idx="278">
                  <v>0.0001224033013919004</v>
                </pt>
                <pt idx="279">
                  <v>0.01346948784418132</v>
                </pt>
                <pt idx="280">
                  <v>0.01684656158704057</v>
                </pt>
                <pt idx="281">
                  <v>0.0192967484630523</v>
                </pt>
                <pt idx="282">
                  <v>0.01040418251610998</v>
                </pt>
                <pt idx="283">
                  <v>0.01481082770475579</v>
                </pt>
                <pt idx="284">
                  <v>0.0228195167836675</v>
                </pt>
                <pt idx="285">
                  <v>0.03360520880736514</v>
                </pt>
                <pt idx="286">
                  <v>0.02719847062912756</v>
                </pt>
                <pt idx="287">
                  <v>0.03421947180336442</v>
                </pt>
                <pt idx="288">
                  <v>0.0336862200624783</v>
                </pt>
                <pt idx="289">
                  <v>0.03723736218015394</v>
                </pt>
                <pt idx="290">
                  <v>0.05467261124224145</v>
                </pt>
                <pt idx="291">
                  <v>0.04493527591987695</v>
                </pt>
                <pt idx="292">
                  <v>0.04280356466985514</v>
                </pt>
                <pt idx="293">
                  <v>0.03222444341927657</v>
                </pt>
                <pt idx="294">
                  <v>0.0390394003988173</v>
                </pt>
                <pt idx="295">
                  <v>0.03962632173288164</v>
                </pt>
                <pt idx="296">
                  <v>0.04451862322666349</v>
                </pt>
                <pt idx="297">
                  <v>0.04248653774511464</v>
                </pt>
                <pt idx="298">
                  <v>0.0450215717790373</v>
                </pt>
                <pt idx="299">
                  <v>0.04979099244875944</v>
                </pt>
                <pt idx="300">
                  <v>0.0398582965363241</v>
                </pt>
                <pt idx="301">
                  <v>0.03666934082096537</v>
                </pt>
                <pt idx="302">
                  <v>0.030569278206956</v>
                </pt>
                <pt idx="303">
                  <v>0.03398885231802319</v>
                </pt>
                <pt idx="304">
                  <v>0.03137888936549312</v>
                </pt>
                <pt idx="305">
                  <v>0.03206263552546637</v>
                </pt>
                <pt idx="306">
                  <v>0.03755604453782903</v>
                </pt>
                <pt idx="307">
                  <v>0.02876797998749218</v>
                </pt>
                <pt idx="308">
                  <v>0.02416396275945281</v>
                </pt>
                <pt idx="309">
                  <v>0.02425157968260156</v>
                </pt>
                <pt idx="310">
                  <v>0.02221286792086261</v>
                </pt>
                <pt idx="311">
                  <v>0.01119103432773514</v>
                </pt>
                <pt idx="312">
                  <v>0.03237264874465165</v>
                </pt>
                <pt idx="313">
                  <v>0.007529100699706574</v>
                </pt>
                <pt idx="314">
                  <v>0.02506193095904514</v>
                </pt>
                <pt idx="315">
                  <v>0.02293812783927315</v>
                </pt>
                <pt idx="316">
                  <v>0.02487363235011837</v>
                </pt>
                <pt idx="317">
                  <v>0.03539695268644747</v>
                </pt>
                <pt idx="318">
                  <v>0.04195302409388803</v>
                </pt>
                <pt idx="319">
                  <v>0.04508078707406815</v>
                </pt>
                <pt idx="320">
                  <v>0.03276391829716779</v>
                </pt>
                <pt idx="321">
                  <v>0.0294817305252474</v>
                </pt>
                <pt idx="322">
                  <v>0.03284868066774367</v>
                </pt>
                <pt idx="323">
                  <v>0.04282379840899347</v>
                </pt>
                <pt idx="324">
                  <v>0.02159837347513294</v>
                </pt>
                <pt idx="325">
                  <v>0.04533307730465812</v>
                </pt>
                <pt idx="326">
                  <v>0.2984589793484401</v>
                </pt>
                <pt idx="327">
                  <v>0.1266301798279906</v>
                </pt>
                <pt idx="328">
                  <v>0.1503176163943126</v>
                </pt>
                <pt idx="329">
                  <v>0.1232089471319919</v>
                </pt>
                <pt idx="330">
                  <v>0.1128030117531831</v>
                </pt>
                <pt idx="331">
                  <v>0.09850293901542984</v>
                </pt>
                <pt idx="332">
                  <v>0.1063649396494582</v>
                </pt>
                <pt idx="333">
                  <v>0.09782022644997304</v>
                </pt>
                <pt idx="334">
                  <v>0.1073728761577624</v>
                </pt>
                <pt idx="335">
                  <v>0.08688105243924721</v>
                </pt>
                <pt idx="336">
                  <v>0.1134244729872476</v>
                </pt>
                <pt idx="337">
                  <v>0.1074151180234516</v>
                </pt>
                <pt idx="338">
                  <v>-0.1182939946581584</v>
                </pt>
                <pt idx="339">
                  <v>0.02004219409282701</v>
                </pt>
                <pt idx="340">
                  <v>0.008778594882092752</v>
                </pt>
                <pt idx="341">
                  <v>0.03533257023072361</v>
                </pt>
                <pt idx="342">
                  <v>0.02633569414838754</v>
                </pt>
                <pt idx="343">
                  <v>0.06305477753159706</v>
                </pt>
                <pt idx="344">
                  <v>0.06792437056749941</v>
                </pt>
                <pt idx="345">
                  <v>0.08645197502280222</v>
                </pt>
                <pt idx="346">
                  <v>0.08581438502229484</v>
                </pt>
                <pt idx="347">
                  <v>0.08364853884732845</v>
                </pt>
                <pt idx="348">
                  <v>0.08026948989412896</v>
                </pt>
                <pt idx="349">
                  <v>0.07956540370180944</v>
                </pt>
              </numCache>
            </numRef>
          </val>
          <smooth val="0"/>
        </ser>
        <dLbls>
          <showLegendKey val="0"/>
          <showVal val="0"/>
          <showCatName val="0"/>
          <showSerName val="0"/>
          <showPercent val="0"/>
          <showBubbleSize val="0"/>
        </dLbls>
        <smooth val="0"/>
        <axId val="1033339464"/>
        <axId val="1033342744"/>
      </lineChart>
      <dateAx>
        <axId val="1033339464"/>
        <scaling>
          <orientation val="minMax"/>
          <max val="44562"/>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3342744"/>
        <crosses val="autoZero"/>
        <lblOffset val="100"/>
        <baseTimeUnit val="months"/>
      </dateAx>
      <valAx>
        <axId val="10333427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3339464"/>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and Beverage'!$B$6</f>
              <strCache>
                <ptCount val="1"/>
                <pt idx="0">
                  <v>Food and Beverage Stores,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'Food and Beverage'!$A$7:$A$366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'Food and Beverage'!$B$7:$B$366</f>
              <numCache>
                <formatCode>#,##0</formatCode>
                <ptCount val="360"/>
                <pt idx="0">
                  <v>30437</v>
                </pt>
                <pt idx="1">
                  <v>30382</v>
                </pt>
                <pt idx="2">
                  <v>30526</v>
                </pt>
                <pt idx="3">
                  <v>30602</v>
                </pt>
                <pt idx="4">
                  <v>30718</v>
                </pt>
                <pt idx="5">
                  <v>30761</v>
                </pt>
                <pt idx="6">
                  <v>30963</v>
                </pt>
                <pt idx="7">
                  <v>31041</v>
                </pt>
                <pt idx="8">
                  <v>30942</v>
                </pt>
                <pt idx="9">
                  <v>31148</v>
                </pt>
                <pt idx="10">
                  <v>30992</v>
                </pt>
                <pt idx="11">
                  <v>31057</v>
                </pt>
                <pt idx="12">
                  <v>31045</v>
                </pt>
                <pt idx="13">
                  <v>31233</v>
                </pt>
                <pt idx="14">
                  <v>31058</v>
                </pt>
                <pt idx="15">
                  <v>31129</v>
                </pt>
                <pt idx="16">
                  <v>31164</v>
                </pt>
                <pt idx="17">
                  <v>31168</v>
                </pt>
                <pt idx="18">
                  <v>31349</v>
                </pt>
                <pt idx="19">
                  <v>31126</v>
                </pt>
                <pt idx="20">
                  <v>31201</v>
                </pt>
                <pt idx="21">
                  <v>31346</v>
                </pt>
                <pt idx="22">
                  <v>31363</v>
                </pt>
                <pt idx="23">
                  <v>31499</v>
                </pt>
                <pt idx="24">
                  <v>31468</v>
                </pt>
                <pt idx="25">
                  <v>31688</v>
                </pt>
                <pt idx="26">
                  <v>31700</v>
                </pt>
                <pt idx="27">
                  <v>31899</v>
                </pt>
                <pt idx="28">
                  <v>31858</v>
                </pt>
                <pt idx="29">
                  <v>32123</v>
                </pt>
                <pt idx="30">
                  <v>31964</v>
                </pt>
                <pt idx="31">
                  <v>32222</v>
                </pt>
                <pt idx="32">
                  <v>32401</v>
                </pt>
                <pt idx="33">
                  <v>32196</v>
                </pt>
                <pt idx="34">
                  <v>32370</v>
                </pt>
                <pt idx="35">
                  <v>32294</v>
                </pt>
                <pt idx="36">
                  <v>32625</v>
                </pt>
                <pt idx="37">
                  <v>32399</v>
                </pt>
                <pt idx="38">
                  <v>32415</v>
                </pt>
                <pt idx="39">
                  <v>32312</v>
                </pt>
                <pt idx="40">
                  <v>32540</v>
                </pt>
                <pt idx="41">
                  <v>32597</v>
                </pt>
                <pt idx="42">
                  <v>32466</v>
                </pt>
                <pt idx="43">
                  <v>32547</v>
                </pt>
                <pt idx="44">
                  <v>32625</v>
                </pt>
                <pt idx="45">
                  <v>32578</v>
                </pt>
                <pt idx="46">
                  <v>32744</v>
                </pt>
                <pt idx="47">
                  <v>32903</v>
                </pt>
                <pt idx="48">
                  <v>33085</v>
                </pt>
                <pt idx="49">
                  <v>32928</v>
                </pt>
                <pt idx="50">
                  <v>33076</v>
                </pt>
                <pt idx="51">
                  <v>33174</v>
                </pt>
                <pt idx="52">
                  <v>33178</v>
                </pt>
                <pt idx="53">
                  <v>33281</v>
                </pt>
                <pt idx="54">
                  <v>33470</v>
                </pt>
                <pt idx="55">
                  <v>33542</v>
                </pt>
                <pt idx="56">
                  <v>33494</v>
                </pt>
                <pt idx="57">
                  <v>33704</v>
                </pt>
                <pt idx="58">
                  <v>33734</v>
                </pt>
                <pt idx="59">
                  <v>33819</v>
                </pt>
                <pt idx="60">
                  <v>34049</v>
                </pt>
                <pt idx="61">
                  <v>33989</v>
                </pt>
                <pt idx="62">
                  <v>34156</v>
                </pt>
                <pt idx="63">
                  <v>34056</v>
                </pt>
                <pt idx="64">
                  <v>33978</v>
                </pt>
                <pt idx="65">
                  <v>33892</v>
                </pt>
                <pt idx="66">
                  <v>34106</v>
                </pt>
                <pt idx="67">
                  <v>34256</v>
                </pt>
                <pt idx="68">
                  <v>34281</v>
                </pt>
                <pt idx="69">
                  <v>34348</v>
                </pt>
                <pt idx="70">
                  <v>34230</v>
                </pt>
                <pt idx="71">
                  <v>34190</v>
                </pt>
                <pt idx="72">
                  <v>34126</v>
                </pt>
                <pt idx="73">
                  <v>34102</v>
                </pt>
                <pt idx="74">
                  <v>34275</v>
                </pt>
                <pt idx="75">
                  <v>34374</v>
                </pt>
                <pt idx="76">
                  <v>34534</v>
                </pt>
                <pt idx="77">
                  <v>34592</v>
                </pt>
                <pt idx="78">
                  <v>34856</v>
                </pt>
                <pt idx="79">
                  <v>34950</v>
                </pt>
                <pt idx="80">
                  <v>34916</v>
                </pt>
                <pt idx="81">
                  <v>35093</v>
                </pt>
                <pt idx="82">
                  <v>35140</v>
                </pt>
                <pt idx="83">
                  <v>35533</v>
                </pt>
                <pt idx="84">
                  <v>35447</v>
                </pt>
                <pt idx="85">
                  <v>35707</v>
                </pt>
                <pt idx="86">
                  <v>35652</v>
                </pt>
                <pt idx="87">
                  <v>36013</v>
                </pt>
                <pt idx="88">
                  <v>36060</v>
                </pt>
                <pt idx="89">
                  <v>35872</v>
                </pt>
                <pt idx="90">
                  <v>36126</v>
                </pt>
                <pt idx="91">
                  <v>36117</v>
                </pt>
                <pt idx="92">
                  <v>36411</v>
                </pt>
                <pt idx="93">
                  <v>36271</v>
                </pt>
                <pt idx="94">
                  <v>36300</v>
                </pt>
                <pt idx="95">
                  <v>37665</v>
                </pt>
                <pt idx="96">
                  <v>35613</v>
                </pt>
                <pt idx="97">
                  <v>35980</v>
                </pt>
                <pt idx="98">
                  <v>36559</v>
                </pt>
                <pt idx="99">
                  <v>37008</v>
                </pt>
                <pt idx="100">
                  <v>36717</v>
                </pt>
                <pt idx="101">
                  <v>37175</v>
                </pt>
                <pt idx="102">
                  <v>37038</v>
                </pt>
                <pt idx="103">
                  <v>37110</v>
                </pt>
                <pt idx="104">
                  <v>37308</v>
                </pt>
                <pt idx="105">
                  <v>37476</v>
                </pt>
                <pt idx="106">
                  <v>37700</v>
                </pt>
                <pt idx="107">
                  <v>38033</v>
                </pt>
                <pt idx="108">
                  <v>37903</v>
                </pt>
                <pt idx="109">
                  <v>38252</v>
                </pt>
                <pt idx="110">
                  <v>38133</v>
                </pt>
                <pt idx="111">
                  <v>38369</v>
                </pt>
                <pt idx="112">
                  <v>38439</v>
                </pt>
                <pt idx="113">
                  <v>38569</v>
                </pt>
                <pt idx="114">
                  <v>38506</v>
                </pt>
                <pt idx="115">
                  <v>38738</v>
                </pt>
                <pt idx="116">
                  <v>38832</v>
                </pt>
                <pt idx="117">
                  <v>38944</v>
                </pt>
                <pt idx="118">
                  <v>39161</v>
                </pt>
                <pt idx="119">
                  <v>38996</v>
                </pt>
                <pt idx="120">
                  <v>38833</v>
                </pt>
                <pt idx="121">
                  <v>38885</v>
                </pt>
                <pt idx="122">
                  <v>38913</v>
                </pt>
                <pt idx="123">
                  <v>38568</v>
                </pt>
                <pt idx="124">
                  <v>38713</v>
                </pt>
                <pt idx="125">
                  <v>38723</v>
                </pt>
                <pt idx="126">
                  <v>38834</v>
                </pt>
                <pt idx="127">
                  <v>38647</v>
                </pt>
                <pt idx="128">
                  <v>38599</v>
                </pt>
                <pt idx="129">
                  <v>38693</v>
                </pt>
                <pt idx="130">
                  <v>38886</v>
                </pt>
                <pt idx="131">
                  <v>39072</v>
                </pt>
                <pt idx="132">
                  <v>39412</v>
                </pt>
                <pt idx="133">
                  <v>39285</v>
                </pt>
                <pt idx="134">
                  <v>39318</v>
                </pt>
                <pt idx="135">
                  <v>39441</v>
                </pt>
                <pt idx="136">
                  <v>39019</v>
                </pt>
                <pt idx="137">
                  <v>39480</v>
                </pt>
                <pt idx="138">
                  <v>39808</v>
                </pt>
                <pt idx="139">
                  <v>39833</v>
                </pt>
                <pt idx="140">
                  <v>39878</v>
                </pt>
                <pt idx="141">
                  <v>39776</v>
                </pt>
                <pt idx="142">
                  <v>39631</v>
                </pt>
                <pt idx="143">
                  <v>39809</v>
                </pt>
                <pt idx="144">
                  <v>40443</v>
                </pt>
                <pt idx="145">
                  <v>39922</v>
                </pt>
                <pt idx="146">
                  <v>40419</v>
                </pt>
                <pt idx="147">
                  <v>40399</v>
                </pt>
                <pt idx="148">
                  <v>40635</v>
                </pt>
                <pt idx="149">
                  <v>40608</v>
                </pt>
                <pt idx="150">
                  <v>40631</v>
                </pt>
                <pt idx="151">
                  <v>40771</v>
                </pt>
                <pt idx="152">
                  <v>41045</v>
                </pt>
                <pt idx="153">
                  <v>41177</v>
                </pt>
                <pt idx="154">
                  <v>41404</v>
                </pt>
                <pt idx="155">
                  <v>41534</v>
                </pt>
                <pt idx="156">
                  <v>41691</v>
                </pt>
                <pt idx="157">
                  <v>41757</v>
                </pt>
                <pt idx="158">
                  <v>41800</v>
                </pt>
                <pt idx="159">
                  <v>42283</v>
                </pt>
                <pt idx="160">
                  <v>42081</v>
                </pt>
                <pt idx="161">
                  <v>42363</v>
                </pt>
                <pt idx="162">
                  <v>42184</v>
                </pt>
                <pt idx="163">
                  <v>42542</v>
                </pt>
                <pt idx="164">
                  <v>42845</v>
                </pt>
                <pt idx="165">
                  <v>42842</v>
                </pt>
                <pt idx="166">
                  <v>42823</v>
                </pt>
                <pt idx="167">
                  <v>43191</v>
                </pt>
                <pt idx="168">
                  <v>42681</v>
                </pt>
                <pt idx="169">
                  <v>43379</v>
                </pt>
                <pt idx="170">
                  <v>43233</v>
                </pt>
                <pt idx="171">
                  <v>43269</v>
                </pt>
                <pt idx="172">
                  <v>43654</v>
                </pt>
                <pt idx="173">
                  <v>43782</v>
                </pt>
                <pt idx="174">
                  <v>43827</v>
                </pt>
                <pt idx="175">
                  <v>44160</v>
                </pt>
                <pt idx="176">
                  <v>43846</v>
                </pt>
                <pt idx="177">
                  <v>44542</v>
                </pt>
                <pt idx="178">
                  <v>44572</v>
                </pt>
                <pt idx="179">
                  <v>44730</v>
                </pt>
                <pt idx="180">
                  <v>44856</v>
                </pt>
                <pt idx="181">
                  <v>45274</v>
                </pt>
                <pt idx="182">
                  <v>45271</v>
                </pt>
                <pt idx="183">
                  <v>44988</v>
                </pt>
                <pt idx="184">
                  <v>45454</v>
                </pt>
                <pt idx="185">
                  <v>45627</v>
                </pt>
                <pt idx="186">
                  <v>45754</v>
                </pt>
                <pt idx="187">
                  <v>45643</v>
                </pt>
                <pt idx="188">
                  <v>45853</v>
                </pt>
                <pt idx="189">
                  <v>46113</v>
                </pt>
                <pt idx="190">
                  <v>46624</v>
                </pt>
                <pt idx="191">
                  <v>46831</v>
                </pt>
                <pt idx="192">
                  <v>46862</v>
                </pt>
                <pt idx="193">
                  <v>46707</v>
                </pt>
                <pt idx="194">
                  <v>46883</v>
                </pt>
                <pt idx="195">
                  <v>47356</v>
                </pt>
                <pt idx="196">
                  <v>47355</v>
                </pt>
                <pt idx="197">
                  <v>47568</v>
                </pt>
                <pt idx="198">
                  <v>47845</v>
                </pt>
                <pt idx="199">
                  <v>47988</v>
                </pt>
                <pt idx="200">
                  <v>47740</v>
                </pt>
                <pt idx="201">
                  <v>47703</v>
                </pt>
                <pt idx="202">
                  <v>47363</v>
                </pt>
                <pt idx="203">
                  <v>46942</v>
                </pt>
                <pt idx="204">
                  <v>47639</v>
                </pt>
                <pt idx="205">
                  <v>46928</v>
                </pt>
                <pt idx="206">
                  <v>46912</v>
                </pt>
                <pt idx="207">
                  <v>47133</v>
                </pt>
                <pt idx="208">
                  <v>47219</v>
                </pt>
                <pt idx="209">
                  <v>47350</v>
                </pt>
                <pt idx="210">
                  <v>47330</v>
                </pt>
                <pt idx="211">
                  <v>47309</v>
                </pt>
                <pt idx="212">
                  <v>47559</v>
                </pt>
                <pt idx="213">
                  <v>47603</v>
                </pt>
                <pt idx="214">
                  <v>47689</v>
                </pt>
                <pt idx="215">
                  <v>48134</v>
                </pt>
                <pt idx="216">
                  <v>47877</v>
                </pt>
                <pt idx="217">
                  <v>48699</v>
                </pt>
                <pt idx="218">
                  <v>48273</v>
                </pt>
                <pt idx="219">
                  <v>48173</v>
                </pt>
                <pt idx="220">
                  <v>48195</v>
                </pt>
                <pt idx="221">
                  <v>47913</v>
                </pt>
                <pt idx="222">
                  <v>47907</v>
                </pt>
                <pt idx="223">
                  <v>48263</v>
                </pt>
                <pt idx="224">
                  <v>48675</v>
                </pt>
                <pt idx="225">
                  <v>48568</v>
                </pt>
                <pt idx="226">
                  <v>49133</v>
                </pt>
                <pt idx="227">
                  <v>49184</v>
                </pt>
                <pt idx="228">
                  <v>49674</v>
                </pt>
                <pt idx="229">
                  <v>50017</v>
                </pt>
                <pt idx="230">
                  <v>50080</v>
                </pt>
                <pt idx="231">
                  <v>50836</v>
                </pt>
                <pt idx="232">
                  <v>50385</v>
                </pt>
                <pt idx="233">
                  <v>50943</v>
                </pt>
                <pt idx="234">
                  <v>50984</v>
                </pt>
                <pt idx="235">
                  <v>51182</v>
                </pt>
                <pt idx="236">
                  <v>51049</v>
                </pt>
                <pt idx="237">
                  <v>51324</v>
                </pt>
                <pt idx="238">
                  <v>51416</v>
                </pt>
                <pt idx="239">
                  <v>51215</v>
                </pt>
                <pt idx="240">
                  <v>51540</v>
                </pt>
                <pt idx="241">
                  <v>51658</v>
                </pt>
                <pt idx="242">
                  <v>52105</v>
                </pt>
                <pt idx="243">
                  <v>52296</v>
                </pt>
                <pt idx="244">
                  <v>52239</v>
                </pt>
                <pt idx="245">
                  <v>52205</v>
                </pt>
                <pt idx="246">
                  <v>52231</v>
                </pt>
                <pt idx="247">
                  <v>52359</v>
                </pt>
                <pt idx="248">
                  <v>52544</v>
                </pt>
                <pt idx="249">
                  <v>52856</v>
                </pt>
                <pt idx="250">
                  <v>52670</v>
                </pt>
                <pt idx="251">
                  <v>52689</v>
                </pt>
                <pt idx="252">
                  <v>52654</v>
                </pt>
                <pt idx="253">
                  <v>53230</v>
                </pt>
                <pt idx="254">
                  <v>53103</v>
                </pt>
                <pt idx="255">
                  <v>52733</v>
                </pt>
                <pt idx="256">
                  <v>53253</v>
                </pt>
                <pt idx="257">
                  <v>53217</v>
                </pt>
                <pt idx="258">
                  <v>53618</v>
                </pt>
                <pt idx="259">
                  <v>53693</v>
                </pt>
                <pt idx="260">
                  <v>53820</v>
                </pt>
                <pt idx="261">
                  <v>53943</v>
                </pt>
                <pt idx="262">
                  <v>54066</v>
                </pt>
                <pt idx="263">
                  <v>54606</v>
                </pt>
                <pt idx="264">
                  <v>54797</v>
                </pt>
                <pt idx="265">
                  <v>54759</v>
                </pt>
                <pt idx="266">
                  <v>54888</v>
                </pt>
                <pt idx="267">
                  <v>55279</v>
                </pt>
                <pt idx="268">
                  <v>55451</v>
                </pt>
                <pt idx="269">
                  <v>55966</v>
                </pt>
                <pt idx="270">
                  <v>56144</v>
                </pt>
                <pt idx="271">
                  <v>56299</v>
                </pt>
                <pt idx="272">
                  <v>56476</v>
                </pt>
                <pt idx="273">
                  <v>56776</v>
                </pt>
                <pt idx="274">
                  <v>56764</v>
                </pt>
                <pt idx="275">
                  <v>57113</v>
                </pt>
                <pt idx="276">
                  <v>57112</v>
                </pt>
                <pt idx="277">
                  <v>57196</v>
                </pt>
                <pt idx="278">
                  <v>57188</v>
                </pt>
                <pt idx="279">
                  <v>57092</v>
                </pt>
                <pt idx="280">
                  <v>57163</v>
                </pt>
                <pt idx="281">
                  <v>57419</v>
                </pt>
                <pt idx="282">
                  <v>57573</v>
                </pt>
                <pt idx="283">
                  <v>57593</v>
                </pt>
                <pt idx="284">
                  <v>57407</v>
                </pt>
                <pt idx="285">
                  <v>57134</v>
                </pt>
                <pt idx="286">
                  <v>57540</v>
                </pt>
                <pt idx="287">
                  <v>57365</v>
                </pt>
                <pt idx="288">
                  <v>57620</v>
                </pt>
                <pt idx="289">
                  <v>57684</v>
                </pt>
                <pt idx="290">
                  <v>57195</v>
                </pt>
                <pt idx="291">
                  <v>57861</v>
                </pt>
                <pt idx="292">
                  <v>58126</v>
                </pt>
                <pt idx="293">
                  <v>58527</v>
                </pt>
                <pt idx="294">
                  <v>58172</v>
                </pt>
                <pt idx="295">
                  <v>58446</v>
                </pt>
                <pt idx="296">
                  <v>58717</v>
                </pt>
                <pt idx="297">
                  <v>59054</v>
                </pt>
                <pt idx="298">
                  <v>59105</v>
                </pt>
                <pt idx="299">
                  <v>59328</v>
                </pt>
                <pt idx="300">
                  <v>59561</v>
                </pt>
                <pt idx="301">
                  <v>59832</v>
                </pt>
                <pt idx="302">
                  <v>60322</v>
                </pt>
                <pt idx="303">
                  <v>60461</v>
                </pt>
                <pt idx="304">
                  <v>60614</v>
                </pt>
                <pt idx="305">
                  <v>60413</v>
                </pt>
                <pt idx="306">
                  <v>60443</v>
                </pt>
                <pt idx="307">
                  <v>60762</v>
                </pt>
                <pt idx="308">
                  <v>61331</v>
                </pt>
                <pt idx="309">
                  <v>61563</v>
                </pt>
                <pt idx="310">
                  <v>61766</v>
                </pt>
                <pt idx="311">
                  <v>62282</v>
                </pt>
                <pt idx="312">
                  <v>61935</v>
                </pt>
                <pt idx="313">
                  <v>62026</v>
                </pt>
                <pt idx="314">
                  <v>62166</v>
                </pt>
                <pt idx="315">
                  <v>62516</v>
                </pt>
                <pt idx="316">
                  <v>62516</v>
                </pt>
                <pt idx="317">
                  <v>62350</v>
                </pt>
                <pt idx="318">
                  <v>62713</v>
                </pt>
                <pt idx="319">
                  <v>62510</v>
                </pt>
                <pt idx="320">
                  <v>62813</v>
                </pt>
                <pt idx="321">
                  <v>63056</v>
                </pt>
                <pt idx="322">
                  <v>63138</v>
                </pt>
                <pt idx="323">
                  <v>62979</v>
                </pt>
                <pt idx="324">
                  <v>63940</v>
                </pt>
                <pt idx="325">
                  <v>62493</v>
                </pt>
                <pt idx="326">
                  <v>63724</v>
                </pt>
                <pt idx="327">
                  <v>63950</v>
                </pt>
                <pt idx="328">
                  <v>64071</v>
                </pt>
                <pt idx="329">
                  <v>64557</v>
                </pt>
                <pt idx="330">
                  <v>65344</v>
                </pt>
                <pt idx="331">
                  <v>65328</v>
                </pt>
                <pt idx="332">
                  <v>64871</v>
                </pt>
                <pt idx="333">
                  <v>64915</v>
                </pt>
                <pt idx="334">
                  <v>65212</v>
                </pt>
                <pt idx="335">
                  <v>65676</v>
                </pt>
                <pt idx="336">
                  <v>65321</v>
                </pt>
                <pt idx="337">
                  <v>65326</v>
                </pt>
                <pt idx="338">
                  <v>82743</v>
                </pt>
                <pt idx="339">
                  <v>72048</v>
                </pt>
                <pt idx="340">
                  <v>73702</v>
                </pt>
                <pt idx="341">
                  <v>72511</v>
                </pt>
                <pt idx="342">
                  <v>72715</v>
                </pt>
                <pt idx="343">
                  <v>71763</v>
                </pt>
                <pt idx="344">
                  <v>71771</v>
                </pt>
                <pt idx="345">
                  <v>71265</v>
                </pt>
                <pt idx="346">
                  <v>72214</v>
                </pt>
                <pt idx="347">
                  <v>71382</v>
                </pt>
                <pt idx="348">
                  <v>72730</v>
                </pt>
                <pt idx="349">
                  <v>72343</v>
                </pt>
                <pt idx="350">
                  <v>72955</v>
                </pt>
                <pt idx="351">
                  <v>73492</v>
                </pt>
                <pt idx="352">
                  <v>74349</v>
                </pt>
                <pt idx="353">
                  <v>75073</v>
                </pt>
                <pt idx="354">
                  <v>74630</v>
                </pt>
                <pt idx="355">
                  <v>76288</v>
                </pt>
                <pt idx="356">
                  <v>76646</v>
                </pt>
                <pt idx="357">
                  <v>77426</v>
                </pt>
                <pt idx="358">
                  <v>78411</v>
                </pt>
                <pt idx="359">
                  <v>77353</v>
                </pt>
              </numCache>
            </numRef>
          </val>
          <smooth val="0"/>
        </ser>
        <dLbls>
          <showLegendKey val="0"/>
          <showVal val="0"/>
          <showCatName val="0"/>
          <showSerName val="0"/>
          <showPercent val="0"/>
          <showBubbleSize val="0"/>
        </dLbls>
        <smooth val="0"/>
        <axId val="644217568"/>
        <axId val="644219216"/>
      </lineChart>
      <dateAx>
        <axId val="644217568"/>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44219216"/>
        <crosses val="autoZero"/>
        <lblOffset val="100"/>
        <baseTimeUnit val="months"/>
      </dateAx>
      <valAx>
        <axId val="6442192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44217568"/>
        <crosses val="autoZero"/>
        <crossBetween val="between"/>
      </valAx>
    </plotArea>
    <plotVisOnly val="1"/>
    <dispBlanksAs val="gap"/>
  </chart>
</chartSpace>
</file>

<file path=xl/charts/chart12.xml><?xml version="1.0" encoding="utf-8"?>
<chartSpace xmlns="http://schemas.openxmlformats.org/drawingml/2006/chart">
  <chart>
    <title>
      <tx>
        <strRef>
          <f>'Non Store Retail'!$B$6</f>
          <strCache>
            <ptCount val="1"/>
            <pt idx="0">
              <v>Nonstore Retailers,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'Non Store Retail'!$B$6</f>
              <strCache>
                <ptCount val="1"/>
                <pt idx="0">
                  <v>Nonstore Retailers,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'Non Store Retail'!$A$7:$A$366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'Non Store Retail'!$B$7:$B$366</f>
              <numCache>
                <formatCode>#,##0</formatCode>
                <ptCount val="360"/>
                <pt idx="0">
                  <v>6515</v>
                </pt>
                <pt idx="1">
                  <v>6110</v>
                </pt>
                <pt idx="2">
                  <v>6018</v>
                </pt>
                <pt idx="3">
                  <v>6327</v>
                </pt>
                <pt idx="4">
                  <v>6550</v>
                </pt>
                <pt idx="5">
                  <v>6653</v>
                </pt>
                <pt idx="6">
                  <v>6891</v>
                </pt>
                <pt idx="7">
                  <v>6766</v>
                </pt>
                <pt idx="8">
                  <v>6714</v>
                </pt>
                <pt idx="9">
                  <v>6665</v>
                </pt>
                <pt idx="10">
                  <v>6610</v>
                </pt>
                <pt idx="11">
                  <v>6597</v>
                </pt>
                <pt idx="12">
                  <v>6644</v>
                </pt>
                <pt idx="13">
                  <v>6780</v>
                </pt>
                <pt idx="14">
                  <v>7009</v>
                </pt>
                <pt idx="15">
                  <v>6868</v>
                </pt>
                <pt idx="16">
                  <v>7309</v>
                </pt>
                <pt idx="17">
                  <v>6858</v>
                </pt>
                <pt idx="18">
                  <v>7046</v>
                </pt>
                <pt idx="19">
                  <v>6999</v>
                </pt>
                <pt idx="20">
                  <v>7486</v>
                </pt>
                <pt idx="21">
                  <v>7343</v>
                </pt>
                <pt idx="22">
                  <v>7561</v>
                </pt>
                <pt idx="23">
                  <v>7438</v>
                </pt>
                <pt idx="24">
                  <v>7720</v>
                </pt>
                <pt idx="25">
                  <v>7681</v>
                </pt>
                <pt idx="26">
                  <v>7853</v>
                </pt>
                <pt idx="27">
                  <v>7941</v>
                </pt>
                <pt idx="28">
                  <v>7859</v>
                </pt>
                <pt idx="29">
                  <v>8074</v>
                </pt>
                <pt idx="30">
                  <v>8077</v>
                </pt>
                <pt idx="31">
                  <v>8241</v>
                </pt>
                <pt idx="32">
                  <v>8106</v>
                </pt>
                <pt idx="33">
                  <v>8306</v>
                </pt>
                <pt idx="34">
                  <v>8092</v>
                </pt>
                <pt idx="35">
                  <v>8237</v>
                </pt>
                <pt idx="36">
                  <v>8182</v>
                </pt>
                <pt idx="37">
                  <v>8307</v>
                </pt>
                <pt idx="38">
                  <v>8216</v>
                </pt>
                <pt idx="39">
                  <v>8365</v>
                </pt>
                <pt idx="40">
                  <v>8518</v>
                </pt>
                <pt idx="41">
                  <v>8429</v>
                </pt>
                <pt idx="42">
                  <v>8499</v>
                </pt>
                <pt idx="43">
                  <v>8699</v>
                </pt>
                <pt idx="44">
                  <v>8842</v>
                </pt>
                <pt idx="45">
                  <v>8702</v>
                </pt>
                <pt idx="46">
                  <v>9170</v>
                </pt>
                <pt idx="47">
                  <v>9543</v>
                </pt>
                <pt idx="48">
                  <v>9038</v>
                </pt>
                <pt idx="49">
                  <v>9400</v>
                </pt>
                <pt idx="50">
                  <v>9606</v>
                </pt>
                <pt idx="51">
                  <v>9632</v>
                </pt>
                <pt idx="52">
                  <v>9519</v>
                </pt>
                <pt idx="53">
                  <v>9610</v>
                </pt>
                <pt idx="54">
                  <v>9550</v>
                </pt>
                <pt idx="55">
                  <v>9468</v>
                </pt>
                <pt idx="56">
                  <v>9889</v>
                </pt>
                <pt idx="57">
                  <v>10025</v>
                </pt>
                <pt idx="58">
                  <v>10390</v>
                </pt>
                <pt idx="59">
                  <v>10765</v>
                </pt>
                <pt idx="60">
                  <v>10006</v>
                </pt>
                <pt idx="61">
                  <v>10350</v>
                </pt>
                <pt idx="62">
                  <v>10488</v>
                </pt>
                <pt idx="63">
                  <v>10642</v>
                </pt>
                <pt idx="64">
                  <v>10547</v>
                </pt>
                <pt idx="65">
                  <v>10643</v>
                </pt>
                <pt idx="66">
                  <v>10836</v>
                </pt>
                <pt idx="67">
                  <v>10432</v>
                </pt>
                <pt idx="68">
                  <v>10669</v>
                </pt>
                <pt idx="69">
                  <v>10529</v>
                </pt>
                <pt idx="70">
                  <v>10675</v>
                </pt>
                <pt idx="71">
                  <v>10490</v>
                </pt>
                <pt idx="72">
                  <v>10390</v>
                </pt>
                <pt idx="73">
                  <v>10626</v>
                </pt>
                <pt idx="74">
                  <v>10844</v>
                </pt>
                <pt idx="75">
                  <v>10992</v>
                </pt>
                <pt idx="76">
                  <v>11189</v>
                </pt>
                <pt idx="77">
                  <v>11103</v>
                </pt>
                <pt idx="78">
                  <v>11580</v>
                </pt>
                <pt idx="79">
                  <v>11375</v>
                </pt>
                <pt idx="80">
                  <v>11302</v>
                </pt>
                <pt idx="81">
                  <v>11577</v>
                </pt>
                <pt idx="82">
                  <v>11553</v>
                </pt>
                <pt idx="83">
                  <v>11459</v>
                </pt>
                <pt idx="84">
                  <v>11720</v>
                </pt>
                <pt idx="85">
                  <v>11821</v>
                </pt>
                <pt idx="86">
                  <v>12052</v>
                </pt>
                <pt idx="87">
                  <v>12345</v>
                </pt>
                <pt idx="88">
                  <v>12558</v>
                </pt>
                <pt idx="89">
                  <v>12558</v>
                </pt>
                <pt idx="90">
                  <v>12742</v>
                </pt>
                <pt idx="91">
                  <v>12965</v>
                </pt>
                <pt idx="92">
                  <v>13196</v>
                </pt>
                <pt idx="93">
                  <v>13127</v>
                </pt>
                <pt idx="94">
                  <v>13110</v>
                </pt>
                <pt idx="95">
                  <v>13528</v>
                </pt>
                <pt idx="96">
                  <v>13855</v>
                </pt>
                <pt idx="97">
                  <v>14241</v>
                </pt>
                <pt idx="98">
                  <v>14261</v>
                </pt>
                <pt idx="99">
                  <v>14458</v>
                </pt>
                <pt idx="100">
                  <v>14539</v>
                </pt>
                <pt idx="101">
                  <v>14949</v>
                </pt>
                <pt idx="102">
                  <v>15037</v>
                </pt>
                <pt idx="103">
                  <v>15280</v>
                </pt>
                <pt idx="104">
                  <v>15775</v>
                </pt>
                <pt idx="105">
                  <v>15698</v>
                </pt>
                <pt idx="106">
                  <v>15883</v>
                </pt>
                <pt idx="107">
                  <v>16538</v>
                </pt>
                <pt idx="108">
                  <v>15505</v>
                </pt>
                <pt idx="109">
                  <v>15223</v>
                </pt>
                <pt idx="110">
                  <v>15354</v>
                </pt>
                <pt idx="111">
                  <v>15289</v>
                </pt>
                <pt idx="112">
                  <v>14876</v>
                </pt>
                <pt idx="113">
                  <v>14981</v>
                </pt>
                <pt idx="114">
                  <v>14964</v>
                </pt>
                <pt idx="115">
                  <v>15214</v>
                </pt>
                <pt idx="116">
                  <v>14473</v>
                </pt>
                <pt idx="117">
                  <v>14979</v>
                </pt>
                <pt idx="118">
                  <v>14837</v>
                </pt>
                <pt idx="119">
                  <v>14810</v>
                </pt>
                <pt idx="120">
                  <v>15091</v>
                </pt>
                <pt idx="121">
                  <v>15054</v>
                </pt>
                <pt idx="122">
                  <v>15345</v>
                </pt>
                <pt idx="123">
                  <v>15675</v>
                </pt>
                <pt idx="124">
                  <v>15850</v>
                </pt>
                <pt idx="125">
                  <v>15725</v>
                </pt>
                <pt idx="126">
                  <v>16018</v>
                </pt>
                <pt idx="127">
                  <v>15881</v>
                </pt>
                <pt idx="128">
                  <v>15725</v>
                </pt>
                <pt idx="129">
                  <v>15977</v>
                </pt>
                <pt idx="130">
                  <v>16416</v>
                </pt>
                <pt idx="131">
                  <v>16497</v>
                </pt>
                <pt idx="132">
                  <v>16434</v>
                </pt>
                <pt idx="133">
                  <v>16933</v>
                </pt>
                <pt idx="134">
                  <v>16764</v>
                </pt>
                <pt idx="135">
                  <v>16593</v>
                </pt>
                <pt idx="136">
                  <v>16722</v>
                </pt>
                <pt idx="137">
                  <v>16938</v>
                </pt>
                <pt idx="138">
                  <v>17049</v>
                </pt>
                <pt idx="139">
                  <v>17312</v>
                </pt>
                <pt idx="140">
                  <v>17595</v>
                </pt>
                <pt idx="141">
                  <v>17778</v>
                </pt>
                <pt idx="142">
                  <v>17881</v>
                </pt>
                <pt idx="143">
                  <v>17742</v>
                </pt>
                <pt idx="144">
                  <v>18275</v>
                </pt>
                <pt idx="145">
                  <v>18566</v>
                </pt>
                <pt idx="146">
                  <v>18072</v>
                </pt>
                <pt idx="147">
                  <v>18442</v>
                </pt>
                <pt idx="148">
                  <v>18351</v>
                </pt>
                <pt idx="149">
                  <v>18649</v>
                </pt>
                <pt idx="150">
                  <v>18927</v>
                </pt>
                <pt idx="151">
                  <v>19178</v>
                </pt>
                <pt idx="152">
                  <v>19472</v>
                </pt>
                <pt idx="153">
                  <v>19675</v>
                </pt>
                <pt idx="154">
                  <v>19789</v>
                </pt>
                <pt idx="155">
                  <v>19942</v>
                </pt>
                <pt idx="156">
                  <v>20237</v>
                </pt>
                <pt idx="157">
                  <v>20175</v>
                </pt>
                <pt idx="158">
                  <v>20506</v>
                </pt>
                <pt idx="159">
                  <v>20741</v>
                </pt>
                <pt idx="160">
                  <v>20568</v>
                </pt>
                <pt idx="161">
                  <v>21024</v>
                </pt>
                <pt idx="162">
                  <v>20988</v>
                </pt>
                <pt idx="163">
                  <v>21767</v>
                </pt>
                <pt idx="164">
                  <v>21951</v>
                </pt>
                <pt idx="165">
                  <v>22255</v>
                </pt>
                <pt idx="166">
                  <v>22461</v>
                </pt>
                <pt idx="167">
                  <v>22827</v>
                </pt>
                <pt idx="168">
                  <v>22574</v>
                </pt>
                <pt idx="169">
                  <v>23068</v>
                </pt>
                <pt idx="170">
                  <v>23677</v>
                </pt>
                <pt idx="171">
                  <v>23305</v>
                </pt>
                <pt idx="172">
                  <v>23794</v>
                </pt>
                <pt idx="173">
                  <v>23762</v>
                </pt>
                <pt idx="174">
                  <v>23638</v>
                </pt>
                <pt idx="175">
                  <v>24225</v>
                </pt>
                <pt idx="176">
                  <v>24206</v>
                </pt>
                <pt idx="177">
                  <v>24349</v>
                </pt>
                <pt idx="178">
                  <v>24259</v>
                </pt>
                <pt idx="179">
                  <v>24206</v>
                </pt>
                <pt idx="180">
                  <v>24243</v>
                </pt>
                <pt idx="181">
                  <v>25505</v>
                </pt>
                <pt idx="182">
                  <v>25034</v>
                </pt>
                <pt idx="183">
                  <v>25303</v>
                </pt>
                <pt idx="184">
                  <v>25271</v>
                </pt>
                <pt idx="185">
                  <v>25462</v>
                </pt>
                <pt idx="186">
                  <v>25970</v>
                </pt>
                <pt idx="187">
                  <v>25826</v>
                </pt>
                <pt idx="188">
                  <v>26112</v>
                </pt>
                <pt idx="189">
                  <v>26397</v>
                </pt>
                <pt idx="190">
                  <v>27065</v>
                </pt>
                <pt idx="191">
                  <v>26268</v>
                </pt>
                <pt idx="192">
                  <v>26019</v>
                </pt>
                <pt idx="193">
                  <v>26101</v>
                </pt>
                <pt idx="194">
                  <v>26530</v>
                </pt>
                <pt idx="195">
                  <v>27243</v>
                </pt>
                <pt idx="196">
                  <v>27526</v>
                </pt>
                <pt idx="197">
                  <v>27403</v>
                </pt>
                <pt idx="198">
                  <v>27823</v>
                </pt>
                <pt idx="199">
                  <v>27374</v>
                </pt>
                <pt idx="200">
                  <v>27258</v>
                </pt>
                <pt idx="201">
                  <v>26333</v>
                </pt>
                <pt idx="202">
                  <v>25149</v>
                </pt>
                <pt idx="203">
                  <v>24751</v>
                </pt>
                <pt idx="204">
                  <v>25049</v>
                </pt>
                <pt idx="205">
                  <v>25241</v>
                </pt>
                <pt idx="206">
                  <v>24941</v>
                </pt>
                <pt idx="207">
                  <v>24932</v>
                </pt>
                <pt idx="208">
                  <v>25159</v>
                </pt>
                <pt idx="209">
                  <v>25768</v>
                </pt>
                <pt idx="210">
                  <v>26110</v>
                </pt>
                <pt idx="211">
                  <v>26150</v>
                </pt>
                <pt idx="212">
                  <v>26339</v>
                </pt>
                <pt idx="213">
                  <v>26634</v>
                </pt>
                <pt idx="214">
                  <v>26666</v>
                </pt>
                <pt idx="215">
                  <v>26984</v>
                </pt>
                <pt idx="216">
                  <v>27302</v>
                </pt>
                <pt idx="217">
                  <v>27253</v>
                </pt>
                <pt idx="218">
                  <v>27854</v>
                </pt>
                <pt idx="219">
                  <v>27719</v>
                </pt>
                <pt idx="220">
                  <v>27799</v>
                </pt>
                <pt idx="221">
                  <v>28462</v>
                </pt>
                <pt idx="222">
                  <v>28114</v>
                </pt>
                <pt idx="223">
                  <v>28756</v>
                </pt>
                <pt idx="224">
                  <v>28872</v>
                </pt>
                <pt idx="225">
                  <v>28946</v>
                </pt>
                <pt idx="226">
                  <v>28951</v>
                </pt>
                <pt idx="227">
                  <v>29642</v>
                </pt>
                <pt idx="228">
                  <v>30626</v>
                </pt>
                <pt idx="229">
                  <v>30116</v>
                </pt>
                <pt idx="230">
                  <v>30457</v>
                </pt>
                <pt idx="231">
                  <v>30751</v>
                </pt>
                <pt idx="232">
                  <v>30950</v>
                </pt>
                <pt idx="233">
                  <v>31119</v>
                </pt>
                <pt idx="234">
                  <v>31208</v>
                </pt>
                <pt idx="235">
                  <v>31679</v>
                </pt>
                <pt idx="236">
                  <v>31417</v>
                </pt>
                <pt idx="237">
                  <v>32499</v>
                </pt>
                <pt idx="238">
                  <v>32762</v>
                </pt>
                <pt idx="239">
                  <v>32468</v>
                </pt>
                <pt idx="240">
                  <v>32433</v>
                </pt>
                <pt idx="241">
                  <v>32918</v>
                </pt>
                <pt idx="242">
                  <v>32879</v>
                </pt>
                <pt idx="243">
                  <v>33207</v>
                </pt>
                <pt idx="244">
                  <v>33790</v>
                </pt>
                <pt idx="245">
                  <v>33745</v>
                </pt>
                <pt idx="246">
                  <v>34188</v>
                </pt>
                <pt idx="247">
                  <v>34407</v>
                </pt>
                <pt idx="248">
                  <v>34740</v>
                </pt>
                <pt idx="249">
                  <v>34739</v>
                </pt>
                <pt idx="250">
                  <v>35242</v>
                </pt>
                <pt idx="251">
                  <v>35266</v>
                </pt>
                <pt idx="252">
                  <v>35599</v>
                </pt>
                <pt idx="253">
                  <v>35576</v>
                </pt>
                <pt idx="254">
                  <v>35421</v>
                </pt>
                <pt idx="255">
                  <v>35140</v>
                </pt>
                <pt idx="256">
                  <v>35127</v>
                </pt>
                <pt idx="257">
                  <v>35316</v>
                </pt>
                <pt idx="258">
                  <v>35628</v>
                </pt>
                <pt idx="259">
                  <v>35734</v>
                </pt>
                <pt idx="260">
                  <v>35619</v>
                </pt>
                <pt idx="261">
                  <v>35599</v>
                </pt>
                <pt idx="262">
                  <v>36449</v>
                </pt>
                <pt idx="263">
                  <v>37559</v>
                </pt>
                <pt idx="264">
                  <v>36326</v>
                </pt>
                <pt idx="265">
                  <v>37254</v>
                </pt>
                <pt idx="266">
                  <v>37750</v>
                </pt>
                <pt idx="267">
                  <v>37839</v>
                </pt>
                <pt idx="268">
                  <v>37922</v>
                </pt>
                <pt idx="269">
                  <v>38712</v>
                </pt>
                <pt idx="270">
                  <v>38579</v>
                </pt>
                <pt idx="271">
                  <v>39064</v>
                </pt>
                <pt idx="272">
                  <v>39151</v>
                </pt>
                <pt idx="273">
                  <v>39513</v>
                </pt>
                <pt idx="274">
                  <v>39837</v>
                </pt>
                <pt idx="275">
                  <v>39908</v>
                </pt>
                <pt idx="276">
                  <v>39830</v>
                </pt>
                <pt idx="277">
                  <v>40837</v>
                </pt>
                <pt idx="278">
                  <v>40661</v>
                </pt>
                <pt idx="279">
                  <v>40897</v>
                </pt>
                <pt idx="280">
                  <v>40766</v>
                </pt>
                <pt idx="281">
                  <v>41040</v>
                </pt>
                <pt idx="282">
                  <v>41617</v>
                </pt>
                <pt idx="283">
                  <v>41642</v>
                </pt>
                <pt idx="284">
                  <v>42054</v>
                </pt>
                <pt idx="285">
                  <v>42262</v>
                </pt>
                <pt idx="286">
                  <v>42146</v>
                </pt>
                <pt idx="287">
                  <v>42355</v>
                </pt>
                <pt idx="288">
                  <v>43174</v>
                </pt>
                <pt idx="289">
                  <v>43388</v>
                </pt>
                <pt idx="290">
                  <v>43437</v>
                </pt>
                <pt idx="291">
                  <v>43975</v>
                </pt>
                <pt idx="292">
                  <v>44827</v>
                </pt>
                <pt idx="293">
                  <v>45364</v>
                </pt>
                <pt idx="294">
                  <v>45324</v>
                </pt>
                <pt idx="295">
                  <v>45586</v>
                </pt>
                <pt idx="296">
                  <v>45918</v>
                </pt>
                <pt idx="297">
                  <v>46508</v>
                </pt>
                <pt idx="298">
                  <v>46534</v>
                </pt>
                <pt idx="299">
                  <v>47605</v>
                </pt>
                <pt idx="300">
                  <v>48132</v>
                </pt>
                <pt idx="301">
                  <v>48312</v>
                </pt>
                <pt idx="302">
                  <v>48903</v>
                </pt>
                <pt idx="303">
                  <v>49624</v>
                </pt>
                <pt idx="304">
                  <v>49991</v>
                </pt>
                <pt idx="305">
                  <v>50267</v>
                </pt>
                <pt idx="306">
                  <v>50713</v>
                </pt>
                <pt idx="307">
                  <v>51035</v>
                </pt>
                <pt idx="308">
                  <v>51561</v>
                </pt>
                <pt idx="309">
                  <v>51074</v>
                </pt>
                <pt idx="310">
                  <v>53421</v>
                </pt>
                <pt idx="311">
                  <v>54363</v>
                </pt>
                <pt idx="312">
                  <v>54331</v>
                </pt>
                <pt idx="313">
                  <v>54637</v>
                </pt>
                <pt idx="314">
                  <v>55316</v>
                </pt>
                <pt idx="315">
                  <v>56131</v>
                </pt>
                <pt idx="316">
                  <v>55818</v>
                </pt>
                <pt idx="317">
                  <v>55751</v>
                </pt>
                <pt idx="318">
                  <v>56714</v>
                </pt>
                <pt idx="319">
                  <v>56948</v>
                </pt>
                <pt idx="320">
                  <v>57753</v>
                </pt>
                <pt idx="321">
                  <v>58219</v>
                </pt>
                <pt idx="322">
                  <v>60268</v>
                </pt>
                <pt idx="323">
                  <v>54472</v>
                </pt>
                <pt idx="324">
                  <v>60570</v>
                </pt>
                <pt idx="325">
                  <v>61022</v>
                </pt>
                <pt idx="326">
                  <v>60845</v>
                </pt>
                <pt idx="327">
                  <v>61862</v>
                </pt>
                <pt idx="328">
                  <v>63306</v>
                </pt>
                <pt idx="329">
                  <v>64217</v>
                </pt>
                <pt idx="330">
                  <v>64423</v>
                </pt>
                <pt idx="331">
                  <v>64972</v>
                </pt>
                <pt idx="332">
                  <v>64658</v>
                </pt>
                <pt idx="333">
                  <v>65294</v>
                </pt>
                <pt idx="334">
                  <v>64774</v>
                </pt>
                <pt idx="335">
                  <v>64552</v>
                </pt>
                <pt idx="336">
                  <v>65240</v>
                </pt>
                <pt idx="337">
                  <v>65600</v>
                </pt>
                <pt idx="338">
                  <v>68433</v>
                </pt>
                <pt idx="339">
                  <v>76629</v>
                </pt>
                <pt idx="340">
                  <v>81508</v>
                </pt>
                <pt idx="341">
                  <v>78600</v>
                </pt>
                <pt idx="342">
                  <v>80675</v>
                </pt>
                <pt idx="343">
                  <v>82235</v>
                </pt>
                <pt idx="344">
                  <v>80842</v>
                </pt>
                <pt idx="345">
                  <v>83254</v>
                </pt>
                <pt idx="346">
                  <v>82211</v>
                </pt>
                <pt idx="347">
                  <v>74474</v>
                </pt>
                <pt idx="348">
                  <v>87028</v>
                </pt>
                <pt idx="349">
                  <v>84324</v>
                </pt>
                <pt idx="350">
                  <v>88886</v>
                </pt>
                <pt idx="351">
                  <v>88975</v>
                </pt>
                <pt idx="352">
                  <v>87917</v>
                </pt>
                <pt idx="353">
                  <v>88003</v>
                </pt>
                <pt idx="354">
                  <v>83934</v>
                </pt>
                <pt idx="355">
                  <v>88903</v>
                </pt>
                <pt idx="356">
                  <v>88532</v>
                </pt>
                <pt idx="357">
                  <v>92138</v>
                </pt>
                <pt idx="358">
                  <v>92154</v>
                </pt>
                <pt idx="359">
                  <v>82596</v>
                </pt>
              </numCache>
            </numRef>
          </val>
          <smooth val="0"/>
        </ser>
        <dLbls>
          <showLegendKey val="0"/>
          <showVal val="0"/>
          <showCatName val="0"/>
          <showSerName val="0"/>
          <showPercent val="0"/>
          <showBubbleSize val="0"/>
        </dLbls>
        <smooth val="0"/>
        <axId val="721545464"/>
        <axId val="721548088"/>
      </lineChart>
      <dateAx>
        <axId val="7215454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546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3.xml><?xml version="1.0" encoding="utf-8"?>
<chartSpace xmlns="http://schemas.openxmlformats.org/drawingml/2006/chart">
  <chart>
    <title>
      <tx>
        <strRef>
          <f>'Non Store Retail'!$D$6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'Non Store Retail'!$D$6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'Non Store Retail'!$A$7:$A$370</f>
              <numCache>
                <formatCode>[$-409]mmm\-yy;@</formatCode>
                <ptCount val="364"/>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'Non Store Retail'!$D$7:$D$370</f>
              <numCache>
                <formatCode>General</formatCode>
                <ptCount val="364"/>
                <pt idx="12">
                  <formatCode>0.00%</formatCode>
                  <v>0.01980046047582502</v>
                </pt>
                <pt idx="13">
                  <formatCode>0.00%</formatCode>
                  <v>0.1096563011456629</v>
                </pt>
                <pt idx="14">
                  <formatCode>0.00%</formatCode>
                  <v>0.1646726487205052</v>
                </pt>
                <pt idx="15">
                  <formatCode>0.00%</formatCode>
                  <v>0.08550655919076972</v>
                </pt>
                <pt idx="16">
                  <formatCode>0.00%</formatCode>
                  <v>0.1158778625954199</v>
                </pt>
                <pt idx="17">
                  <formatCode>0.00%</formatCode>
                  <v>0.03081316699233428</v>
                </pt>
                <pt idx="18">
                  <formatCode>0.00%</formatCode>
                  <v>0.02249310695109563</v>
                </pt>
                <pt idx="19">
                  <formatCode>0.00%</formatCode>
                  <v>0.03443689033402306</v>
                </pt>
                <pt idx="20">
                  <formatCode>0.00%</formatCode>
                  <v>0.1149836163240989</v>
                </pt>
                <pt idx="21">
                  <formatCode>0.00%</formatCode>
                  <v>0.1017254313578395</v>
                </pt>
                <pt idx="22">
                  <formatCode>0.00%</formatCode>
                  <v>0.1438729198184569</v>
                </pt>
                <pt idx="23">
                  <formatCode>0.00%</formatCode>
                  <v>0.1274821888737305</v>
                </pt>
                <pt idx="24">
                  <formatCode>0.00%</formatCode>
                  <v>0.1619506321493076</v>
                </pt>
                <pt idx="25">
                  <formatCode>0.00%</formatCode>
                  <v>0.1328908554572271</v>
                </pt>
                <pt idx="26">
                  <formatCode>0.00%</formatCode>
                  <v>0.1204166072192895</v>
                </pt>
                <pt idx="27">
                  <formatCode>0.00%</formatCode>
                  <v>0.1562317996505533</v>
                </pt>
                <pt idx="28">
                  <formatCode>0.00%</formatCode>
                  <v>0.07524969216035025</v>
                </pt>
                <pt idx="29">
                  <formatCode>0.00%</formatCode>
                  <v>0.1773111694371537</v>
                </pt>
                <pt idx="30">
                  <formatCode>0.00%</formatCode>
                  <v>0.1463241555492478</v>
                </pt>
                <pt idx="31">
                  <formatCode>0.00%</formatCode>
                  <v>0.1774539219888555</v>
                </pt>
                <pt idx="32">
                  <formatCode>0.00%</formatCode>
                  <v>0.08282126636387924</v>
                </pt>
                <pt idx="33">
                  <formatCode>0.00%</formatCode>
                  <v>0.1311453084570339</v>
                </pt>
                <pt idx="34">
                  <formatCode>0.00%</formatCode>
                  <v>0.07022880571352996</v>
                </pt>
                <pt idx="35">
                  <formatCode>0.00%</formatCode>
                  <v>0.1074213498252218</v>
                </pt>
                <pt idx="36">
                  <formatCode>0.00%</formatCode>
                  <v>0.05984455958549223</v>
                </pt>
                <pt idx="37">
                  <formatCode>0.00%</formatCode>
                  <v>0.081499804712928</v>
                </pt>
                <pt idx="38">
                  <formatCode>0.00%</formatCode>
                  <v>0.04622437285113969</v>
                </pt>
                <pt idx="39">
                  <formatCode>0.00%</formatCode>
                  <v>0.0533937791210175</v>
                </pt>
                <pt idx="40">
                  <formatCode>0.00%</formatCode>
                  <v>0.08385290749459219</v>
                </pt>
                <pt idx="41">
                  <formatCode>0.00%</formatCode>
                  <v>0.04396829328709437</v>
                </pt>
                <pt idx="42">
                  <formatCode>0.00%</formatCode>
                  <v>0.05224712145598613</v>
                </pt>
                <pt idx="43">
                  <formatCode>0.00%</formatCode>
                  <v>0.0555757796383934</v>
                </pt>
                <pt idx="44">
                  <formatCode>0.00%</formatCode>
                  <v>0.09079694053787318</v>
                </pt>
                <pt idx="45">
                  <formatCode>0.00%</formatCode>
                  <v>0.04767637852155068</v>
                </pt>
                <pt idx="46">
                  <formatCode>0.00%</formatCode>
                  <v>0.1332179930795848</v>
                </pt>
                <pt idx="47">
                  <formatCode>0.00%</formatCode>
                  <v>0.1585528711909676</v>
                </pt>
                <pt idx="48">
                  <formatCode>0.00%</formatCode>
                  <v>0.1046198973356148</v>
                </pt>
                <pt idx="49">
                  <formatCode>0.00%</formatCode>
                  <v>0.1315757794631034</v>
                </pt>
                <pt idx="50">
                  <formatCode>0.00%</formatCode>
                  <v>0.1691820837390458</v>
                </pt>
                <pt idx="51">
                  <formatCode>0.00%</formatCode>
                  <v>0.1514644351464435</v>
                </pt>
                <pt idx="52">
                  <formatCode>0.00%</formatCode>
                  <v>0.117515848790796</v>
                </pt>
                <pt idx="53">
                  <formatCode>0.00%</formatCode>
                  <v>0.1401115197532329</v>
                </pt>
                <pt idx="54">
                  <formatCode>0.00%</formatCode>
                  <v>0.1236616072479115</v>
                </pt>
                <pt idx="55">
                  <formatCode>0.00%</formatCode>
                  <v>0.08840096562823313</v>
                </pt>
                <pt idx="56">
                  <formatCode>0.00%</formatCode>
                  <v>0.1184121239538566</v>
                </pt>
                <pt idx="57">
                  <formatCode>0.00%</formatCode>
                  <v>0.1520340151689267</v>
                </pt>
                <pt idx="58">
                  <formatCode>0.00%</formatCode>
                  <v>0.1330425299890949</v>
                </pt>
                <pt idx="59">
                  <formatCode>0.00%</formatCode>
                  <v>0.1280519752698313</v>
                </pt>
                <pt idx="60">
                  <formatCode>0.00%</formatCode>
                  <v>0.1071033414472228</v>
                </pt>
                <pt idx="61">
                  <formatCode>0.00%</formatCode>
                  <v>0.101063829787234</v>
                </pt>
                <pt idx="62">
                  <formatCode>0.00%</formatCode>
                  <v>0.09181761399125546</v>
                </pt>
                <pt idx="63">
                  <formatCode>0.00%</formatCode>
                  <v>0.104858803986711</v>
                </pt>
                <pt idx="64">
                  <formatCode>0.00%</formatCode>
                  <v>0.1079945372413069</v>
                </pt>
                <pt idx="65">
                  <formatCode>0.00%</formatCode>
                  <v>0.1074921956295525</v>
                </pt>
                <pt idx="66">
                  <formatCode>0.00%</formatCode>
                  <v>0.1346596858638743</v>
                </pt>
                <pt idx="67">
                  <formatCode>0.00%</formatCode>
                  <v>0.1018166455428813</v>
                </pt>
                <pt idx="68">
                  <formatCode>0.00%</formatCode>
                  <v>0.0788755182526039</v>
                </pt>
                <pt idx="69">
                  <formatCode>0.00%</formatCode>
                  <v>0.05027431421446384</v>
                </pt>
                <pt idx="70">
                  <formatCode>0.00%</formatCode>
                  <v>0.02743022136669875</v>
                </pt>
                <pt idx="71">
                  <formatCode>0.00%</formatCode>
                  <v>-0.02554575011611705</v>
                </pt>
                <pt idx="72">
                  <formatCode>0.00%</formatCode>
                  <v>0.03837697381571057</v>
                </pt>
                <pt idx="73">
                  <formatCode>0.00%</formatCode>
                  <v>0.02666666666666667</v>
                </pt>
                <pt idx="74">
                  <formatCode>0.00%</formatCode>
                  <v>0.03394355453852022</v>
                </pt>
                <pt idx="75">
                  <formatCode>0.00%</formatCode>
                  <v>0.03288855478293554</v>
                </pt>
                <pt idx="76">
                  <formatCode>0.00%</formatCode>
                  <v>0.06087038968427041</v>
                </pt>
                <pt idx="77">
                  <formatCode>0.00%</formatCode>
                  <v>0.04322089636380719</v>
                </pt>
                <pt idx="78">
                  <formatCode>0.00%</formatCode>
                  <v>0.06866002214839424</v>
                </pt>
                <pt idx="79">
                  <formatCode>0.00%</formatCode>
                  <v>0.09039493865030675</v>
                </pt>
                <pt idx="80">
                  <formatCode>0.00%</formatCode>
                  <v>0.05933077139375761</v>
                </pt>
                <pt idx="81">
                  <formatCode>0.00%</formatCode>
                  <v>0.09953461867223858</v>
                </pt>
                <pt idx="82">
                  <formatCode>0.00%</formatCode>
                  <v>0.08224824355971896</v>
                </pt>
                <pt idx="83">
                  <formatCode>0.00%</formatCode>
                  <v>0.09237368922783604</v>
                </pt>
                <pt idx="84">
                  <formatCode>0.00%</formatCode>
                  <v>0.1280076997112608</v>
                </pt>
                <pt idx="85">
                  <formatCode>0.00%</formatCode>
                  <v>0.1124600037643516</v>
                </pt>
                <pt idx="86">
                  <formatCode>0.00%</formatCode>
                  <v>0.1113980081150867</v>
                </pt>
                <pt idx="87">
                  <formatCode>0.00%</formatCode>
                  <v>0.123089519650655</v>
                </pt>
                <pt idx="88">
                  <formatCode>0.00%</formatCode>
                  <v>0.1223523103047636</v>
                </pt>
                <pt idx="89">
                  <formatCode>0.00%</formatCode>
                  <v>0.131045663334234</v>
                </pt>
                <pt idx="90">
                  <formatCode>0.00%</formatCode>
                  <v>0.1003454231433506</v>
                </pt>
                <pt idx="91">
                  <formatCode>0.00%</formatCode>
                  <v>0.1397802197802198</v>
                </pt>
                <pt idx="92">
                  <formatCode>0.00%</formatCode>
                  <v>0.1675809591222792</v>
                </pt>
                <pt idx="93">
                  <formatCode>0.00%</formatCode>
                  <v>0.1338861535803749</v>
                </pt>
                <pt idx="94">
                  <formatCode>0.00%</formatCode>
                  <v>0.1347701895611529</v>
                </pt>
                <pt idx="95">
                  <formatCode>0.00%</formatCode>
                  <v>0.1805567676062484</v>
                </pt>
                <pt idx="96">
                  <formatCode>0.00%</formatCode>
                  <v>0.1821672354948805</v>
                </pt>
                <pt idx="97">
                  <formatCode>0.00%</formatCode>
                  <v>0.2047204128246341</v>
                </pt>
                <pt idx="98">
                  <formatCode>0.00%</formatCode>
                  <v>0.1832890806505144</v>
                </pt>
                <pt idx="99">
                  <formatCode>0.00%</formatCode>
                  <v>0.1711624139327663</v>
                </pt>
                <pt idx="100">
                  <formatCode>0.00%</formatCode>
                  <v>0.1577480490523969</v>
                </pt>
                <pt idx="101">
                  <formatCode>0.00%</formatCode>
                  <v>0.1903965599617773</v>
                </pt>
                <pt idx="102">
                  <formatCode>0.00%</formatCode>
                  <v>0.1801130120860148</v>
                </pt>
                <pt idx="103">
                  <formatCode>0.00%</formatCode>
                  <v>0.1785576552256074</v>
                </pt>
                <pt idx="104">
                  <formatCode>0.00%</formatCode>
                  <v>0.195438011518642</v>
                </pt>
                <pt idx="105">
                  <formatCode>0.00%</formatCode>
                  <v>0.195855869581778</v>
                </pt>
                <pt idx="106">
                  <formatCode>0.00%</formatCode>
                  <v>0.2115179252479024</v>
                </pt>
                <pt idx="107">
                  <formatCode>0.00%</formatCode>
                  <v>0.222501478415139</v>
                </pt>
                <pt idx="108">
                  <formatCode>0.00%</formatCode>
                  <v>0.1190905810176831</v>
                </pt>
                <pt idx="109">
                  <formatCode>0.00%</formatCode>
                  <v>0.06895583175338811</v>
                </pt>
                <pt idx="110">
                  <formatCode>0.00%</formatCode>
                  <v>0.07664259168361265</v>
                </pt>
                <pt idx="111">
                  <formatCode>0.00%</formatCode>
                  <v>0.0574768294369899</v>
                </pt>
                <pt idx="112">
                  <formatCode>0.00%</formatCode>
                  <v>0.02317903569709058</v>
                </pt>
                <pt idx="113">
                  <formatCode>0.00%</formatCode>
                  <v>0.002140611412134591</v>
                </pt>
                <pt idx="114">
                  <formatCode>0.00%</formatCode>
                  <v>-0.004854691760324533</v>
                </pt>
                <pt idx="115">
                  <formatCode>0.00%</formatCode>
                  <v>-0.004319371727748691</v>
                </pt>
                <pt idx="116">
                  <formatCode>0.00%</formatCode>
                  <v>-0.08253565768621236</v>
                </pt>
                <pt idx="117">
                  <formatCode>0.00%</formatCode>
                  <v>-0.04580201299528602</v>
                </pt>
                <pt idx="118">
                  <formatCode>0.00%</formatCode>
                  <v>-0.06585657621356167</v>
                </pt>
                <pt idx="119">
                  <formatCode>0.00%</formatCode>
                  <v>-0.1044866368363768</v>
                </pt>
                <pt idx="120">
                  <formatCode>0.00%</formatCode>
                  <v>-0.02670106417284747</v>
                </pt>
                <pt idx="121">
                  <formatCode>0.00%</formatCode>
                  <v>-0.01110162254483348</v>
                </pt>
                <pt idx="122">
                  <formatCode>0.00%</formatCode>
                  <v>-0.0005861664712778429</v>
                </pt>
                <pt idx="123">
                  <formatCode>0.00%</formatCode>
                  <v>0.02524690954280856</v>
                </pt>
                <pt idx="124">
                  <formatCode>0.00%</formatCode>
                  <v>0.06547458994353321</v>
                </pt>
                <pt idx="125">
                  <formatCode>0.00%</formatCode>
                  <v>0.04966290634804085</v>
                </pt>
                <pt idx="126">
                  <formatCode>0.00%</formatCode>
                  <v>0.07043571237636996</v>
                </pt>
                <pt idx="127">
                  <formatCode>0.00%</formatCode>
                  <v>0.04384119889575391</v>
                </pt>
                <pt idx="128">
                  <formatCode>0.00%</formatCode>
                  <v>0.08650590755199336</v>
                </pt>
                <pt idx="129">
                  <formatCode>0.00%</formatCode>
                  <v>0.06662661058815675</v>
                </pt>
                <pt idx="130">
                  <formatCode>0.00%</formatCode>
                  <v>0.1064231313607872</v>
                </pt>
                <pt idx="131">
                  <formatCode>0.00%</formatCode>
                  <v>0.1139095205941931</v>
                </pt>
                <pt idx="132">
                  <formatCode>0.00%</formatCode>
                  <v>0.08899343979855542</v>
                </pt>
                <pt idx="133">
                  <formatCode>0.00%</formatCode>
                  <v>0.1248173242991896</v>
                </pt>
                <pt idx="134">
                  <formatCode>0.00%</formatCode>
                  <v>0.09247311827956989</v>
                </pt>
                <pt idx="135">
                  <formatCode>0.00%</formatCode>
                  <v>0.05856459330143541</v>
                </pt>
                <pt idx="136">
                  <formatCode>0.00%</formatCode>
                  <v>0.05501577287066246</v>
                </pt>
                <pt idx="137">
                  <formatCode>0.00%</formatCode>
                  <v>0.07713831478537361</v>
                </pt>
                <pt idx="138">
                  <formatCode>0.00%</formatCode>
                  <v>0.06436508927456611</v>
                </pt>
                <pt idx="139">
                  <formatCode>0.00%</formatCode>
                  <v>0.09010767583905295</v>
                </pt>
                <pt idx="140">
                  <formatCode>0.00%</formatCode>
                  <v>0.1189189189189189</v>
                </pt>
                <pt idx="141">
                  <formatCode>0.00%</formatCode>
                  <v>0.1127245415284471</v>
                </pt>
                <pt idx="142">
                  <formatCode>0.00%</formatCode>
                  <v>0.08924220272904483</v>
                </pt>
                <pt idx="143">
                  <formatCode>0.00%</formatCode>
                  <v>0.07546826695762866</v>
                </pt>
                <pt idx="144">
                  <formatCode>0.00%</formatCode>
                  <v>0.1120238529877084</v>
                </pt>
                <pt idx="145">
                  <formatCode>0.00%</formatCode>
                  <v>0.09643890627768263</v>
                </pt>
                <pt idx="146">
                  <formatCode>0.00%</formatCode>
                  <v>0.07802433786685756</v>
                </pt>
                <pt idx="147">
                  <formatCode>0.00%</formatCode>
                  <v>0.1114325317905141</v>
                </pt>
                <pt idx="148">
                  <formatCode>0.00%</formatCode>
                  <v>0.09741657696447793</v>
                </pt>
                <pt idx="149">
                  <formatCode>0.00%</formatCode>
                  <v>0.1010154681780612</v>
                </pt>
                <pt idx="150">
                  <formatCode>0.00%</formatCode>
                  <v>0.1101530881576632</v>
                </pt>
                <pt idx="151">
                  <formatCode>0.00%</formatCode>
                  <v>0.1077865064695009</v>
                </pt>
                <pt idx="152">
                  <formatCode>0.00%</formatCode>
                  <v>0.1066780335322535</v>
                </pt>
                <pt idx="153">
                  <formatCode>0.00%</formatCode>
                  <v>0.1067049161885476</v>
                </pt>
                <pt idx="154">
                  <formatCode>0.00%</formatCode>
                  <v>0.1067054415301158</v>
                </pt>
                <pt idx="155">
                  <formatCode>0.00%</formatCode>
                  <v>0.1239995490925488</v>
                </pt>
                <pt idx="156">
                  <formatCode>0.00%</formatCode>
                  <v>0.107359781121751</v>
                </pt>
                <pt idx="157">
                  <formatCode>0.00%</formatCode>
                  <v>0.08666379403210168</v>
                </pt>
                <pt idx="158">
                  <formatCode>0.00%</formatCode>
                  <v>0.1346834882691456</v>
                </pt>
                <pt idx="159">
                  <formatCode>0.00%</formatCode>
                  <v>0.1246610996638109</v>
                </pt>
                <pt idx="160">
                  <formatCode>0.00%</formatCode>
                  <v>0.1208108549942782</v>
                </pt>
                <pt idx="161">
                  <formatCode>0.00%</formatCode>
                  <v>0.1273526730655799</v>
                </pt>
                <pt idx="162">
                  <formatCode>0.00%</formatCode>
                  <v>0.1088920589633856</v>
                </pt>
                <pt idx="163">
                  <formatCode>0.00%</formatCode>
                  <v>0.1349984357075816</v>
                </pt>
                <pt idx="164">
                  <formatCode>0.00%</formatCode>
                  <v>0.1273110106820049</v>
                </pt>
                <pt idx="165">
                  <formatCode>0.00%</formatCode>
                  <v>0.1311308767471411</v>
                </pt>
                <pt idx="166">
                  <formatCode>0.00%</formatCode>
                  <v>0.1350245085653646</v>
                </pt>
                <pt idx="167">
                  <formatCode>0.00%</formatCode>
                  <v>0.1446695416708454</v>
                </pt>
                <pt idx="168">
                  <formatCode>0.00%</formatCode>
                  <v>0.1154815437070712</v>
                </pt>
                <pt idx="169">
                  <formatCode>0.00%</formatCode>
                  <v>0.1433952912019827</v>
                </pt>
                <pt idx="170">
                  <formatCode>0.00%</formatCode>
                  <v>0.1546376670242856</v>
                </pt>
                <pt idx="171">
                  <formatCode>0.00%</formatCode>
                  <v>0.123619883322887</v>
                </pt>
                <pt idx="172">
                  <formatCode>0.00%</formatCode>
                  <v>0.1568455853753403</v>
                </pt>
                <pt idx="173">
                  <formatCode>0.00%</formatCode>
                  <v>0.1302321156773212</v>
                </pt>
                <pt idx="174">
                  <formatCode>0.00%</formatCode>
                  <v>0.1262626262626263</v>
                </pt>
                <pt idx="175">
                  <formatCode>0.00%</formatCode>
                  <v>0.1129232324160426</v>
                </pt>
                <pt idx="176">
                  <formatCode>0.00%</formatCode>
                  <v>0.1027288050658284</v>
                </pt>
                <pt idx="177">
                  <formatCode>0.00%</formatCode>
                  <v>0.09409121545720063</v>
                </pt>
                <pt idx="178">
                  <formatCode>0.00%</formatCode>
                  <v>0.08004986420907351</v>
                </pt>
                <pt idx="179">
                  <formatCode>0.00%</formatCode>
                  <v>0.06041091689665747</v>
                </pt>
                <pt idx="180">
                  <formatCode>0.00%</formatCode>
                  <v>0.07393461504385576</v>
                </pt>
                <pt idx="181">
                  <formatCode>0.00%</formatCode>
                  <v>0.1056441824172013</v>
                </pt>
                <pt idx="182">
                  <formatCode>0.00%</formatCode>
                  <v>0.05731300418127296</v>
                </pt>
                <pt idx="183">
                  <formatCode>0.00%</formatCode>
                  <v>0.08573267539154687</v>
                </pt>
                <pt idx="184">
                  <formatCode>0.00%</formatCode>
                  <v>0.06207447255610658</v>
                </pt>
                <pt idx="185">
                  <formatCode>0.00%</formatCode>
                  <v>0.07154279942765761</v>
                </pt>
                <pt idx="186">
                  <formatCode>0.00%</formatCode>
                  <v>0.09865470852017937</v>
                </pt>
                <pt idx="187">
                  <formatCode>0.00%</formatCode>
                  <v>0.06608875128998969</v>
                </pt>
                <pt idx="188">
                  <formatCode>0.00%</formatCode>
                  <v>0.07874080806411633</v>
                </pt>
                <pt idx="189">
                  <formatCode>0.00%</formatCode>
                  <v>0.08411023039960573</v>
                </pt>
                <pt idx="190">
                  <formatCode>0.00%</formatCode>
                  <v>0.1156684117234841</v>
                </pt>
                <pt idx="191">
                  <formatCode>0.00%</formatCode>
                  <v>0.08518549120052879</v>
                </pt>
                <pt idx="192">
                  <formatCode>0.00%</formatCode>
                  <v>0.07325826011632224</v>
                </pt>
                <pt idx="193">
                  <formatCode>0.00%</formatCode>
                  <v>0.02336796706528132</v>
                </pt>
                <pt idx="194">
                  <formatCode>0.00%</formatCode>
                  <v>0.05975872812974355</v>
                </pt>
                <pt idx="195">
                  <formatCode>0.00%</formatCode>
                  <v>0.07667075050389281</v>
                </pt>
                <pt idx="196">
                  <formatCode>0.00%</formatCode>
                  <v>0.08923271734399113</v>
                </pt>
                <pt idx="197">
                  <formatCode>0.00%</formatCode>
                  <v>0.0762312465635064</v>
                </pt>
                <pt idx="198">
                  <formatCode>0.00%</formatCode>
                  <v>0.07135155949172121</v>
                </pt>
                <pt idx="199">
                  <formatCode>0.00%</formatCode>
                  <v>0.05993959575621467</v>
                </pt>
                <pt idx="200">
                  <formatCode>0.00%</formatCode>
                  <v>0.04388786764705882</v>
                </pt>
                <pt idx="201">
                  <formatCode>0.00%</formatCode>
                  <v>-0.002424517937644429</v>
                </pt>
                <pt idx="202">
                  <formatCode>0.00%</formatCode>
                  <v>-0.07079253648623683</v>
                </pt>
                <pt idx="203">
                  <formatCode>0.00%</formatCode>
                  <v>-0.05775087559007157</v>
                </pt>
                <pt idx="204">
                  <formatCode>0.00%</formatCode>
                  <v>-0.03728044890272493</v>
                </pt>
                <pt idx="205">
                  <formatCode>0.00%</formatCode>
                  <v>-0.03294892915980231</v>
                </pt>
                <pt idx="206">
                  <formatCode>0.00%</formatCode>
                  <v>-0.05989445910290237</v>
                </pt>
                <pt idx="207">
                  <formatCode>0.00%</formatCode>
                  <v>-0.08482913041882319</v>
                </pt>
                <pt idx="208">
                  <formatCode>0.00%</formatCode>
                  <v>-0.08599142628787328</v>
                </pt>
                <pt idx="209">
                  <formatCode>0.00%</formatCode>
                  <v>-0.05966500018246178</v>
                </pt>
                <pt idx="210">
                  <formatCode>0.00%</formatCode>
                  <v>-0.06156776767422636</v>
                </pt>
                <pt idx="211">
                  <formatCode>0.00%</formatCode>
                  <v>-0.04471396215386864</v>
                </pt>
                <pt idx="212">
                  <formatCode>0.00%</formatCode>
                  <v>-0.03371487269792355</v>
                </pt>
                <pt idx="213">
                  <formatCode>0.00%</formatCode>
                  <v>0.01143052443701819</v>
                </pt>
                <pt idx="214">
                  <formatCode>0.00%</formatCode>
                  <v>0.06032048988031333</v>
                </pt>
                <pt idx="215">
                  <formatCode>0.00%</formatCode>
                  <v>0.09021857702719083</v>
                </pt>
                <pt idx="216">
                  <formatCode>0.00%</formatCode>
                  <v>0.0899437103277576</v>
                </pt>
                <pt idx="217">
                  <formatCode>0.00%</formatCode>
                  <v>0.07971158036527871</v>
                </pt>
                <pt idx="218">
                  <formatCode>0.00%</formatCode>
                  <v>0.1167956377049838</v>
                </pt>
                <pt idx="219">
                  <formatCode>0.00%</formatCode>
                  <v>0.1117840526231349</v>
                </pt>
                <pt idx="220">
                  <formatCode>0.00%</formatCode>
                  <v>0.1049326284828491</v>
                </pt>
                <pt idx="221">
                  <formatCode>0.00%</formatCode>
                  <v>0.1045482769326296</v>
                </pt>
                <pt idx="222">
                  <formatCode>0.00%</formatCode>
                  <v>0.07675220222137112</v>
                </pt>
                <pt idx="223">
                  <formatCode>0.00%</formatCode>
                  <v>0.09965583173996176</v>
                </pt>
                <pt idx="224">
                  <formatCode>0.00%</formatCode>
                  <v>0.09616917878431223</v>
                </pt>
                <pt idx="225">
                  <formatCode>0.00%</formatCode>
                  <v>0.08680633776376061</v>
                </pt>
                <pt idx="226">
                  <formatCode>0.00%</formatCode>
                  <v>0.08568964224105603</v>
                </pt>
                <pt idx="227">
                  <formatCode>0.00%</formatCode>
                  <v>0.09850281648384228</v>
                </pt>
                <pt idx="228">
                  <formatCode>0.00%</formatCode>
                  <v>0.1217493223939638</v>
                </pt>
                <pt idx="229">
                  <formatCode>0.00%</formatCode>
                  <v>0.1050526547536051</v>
                </pt>
                <pt idx="230">
                  <formatCode>0.00%</formatCode>
                  <v>0.09345156889495225</v>
                </pt>
                <pt idx="231">
                  <formatCode>0.00%</formatCode>
                  <v>0.1093834553916086</v>
                </pt>
                <pt idx="232">
                  <formatCode>0.00%</formatCode>
                  <v>0.113349401057592</v>
                </pt>
                <pt idx="233">
                  <formatCode>0.00%</formatCode>
                  <v>0.09335254022907737</v>
                </pt>
                <pt idx="234">
                  <formatCode>0.00%</formatCode>
                  <v>0.1100519314220673</v>
                </pt>
                <pt idx="235">
                  <formatCode>0.00%</formatCode>
                  <v>0.1016483516483516</v>
                </pt>
                <pt idx="236">
                  <formatCode>0.00%</formatCode>
                  <v>0.08814768633970629</v>
                </pt>
                <pt idx="237">
                  <formatCode>0.00%</formatCode>
                  <v>0.1227458025288468</v>
                </pt>
                <pt idx="238">
                  <formatCode>0.00%</formatCode>
                  <v>0.1316362129114711</v>
                </pt>
                <pt idx="239">
                  <formatCode>0.00%</formatCode>
                  <v>0.09533769651170636</v>
                </pt>
                <pt idx="240">
                  <formatCode>0.00%</formatCode>
                  <v>0.05900215503167244</v>
                </pt>
                <pt idx="241">
                  <formatCode>0.00%</formatCode>
                  <v>0.09304024438836499</v>
                </pt>
                <pt idx="242">
                  <formatCode>0.00%</formatCode>
                  <v>0.07952194897724661</v>
                </pt>
                <pt idx="243">
                  <formatCode>0.00%</formatCode>
                  <v>0.07986732138792234</v>
                </pt>
                <pt idx="244">
                  <formatCode>0.00%</formatCode>
                  <v>0.09176090468497576</v>
                </pt>
                <pt idx="245">
                  <formatCode>0.00%</formatCode>
                  <v>0.08438574504322119</v>
                </pt>
                <pt idx="246">
                  <formatCode>0.00%</formatCode>
                  <v>0.09548833632401948</v>
                </pt>
                <pt idx="247">
                  <formatCode>0.00%</formatCode>
                  <v>0.08611382935067395</v>
                </pt>
                <pt idx="248">
                  <formatCode>0.00%</formatCode>
                  <v>0.1057707610529331</v>
                </pt>
                <pt idx="249">
                  <formatCode>0.00%</formatCode>
                  <v>0.06892519769839071</v>
                </pt>
                <pt idx="250">
                  <formatCode>0.00%</formatCode>
                  <v>0.07569745436786521</v>
                </pt>
                <pt idx="251">
                  <formatCode>0.00%</formatCode>
                  <v>0.0861771590489097</v>
                </pt>
                <pt idx="252">
                  <formatCode>0.00%</formatCode>
                  <v>0.09761662504239509</v>
                </pt>
                <pt idx="253">
                  <formatCode>0.00%</formatCode>
                  <v>0.08074609636065375</v>
                </pt>
                <pt idx="254">
                  <formatCode>0.00%</formatCode>
                  <v>0.07731378691566045</v>
                </pt>
                <pt idx="255">
                  <formatCode>0.00%</formatCode>
                  <v>0.05821061824314151</v>
                </pt>
                <pt idx="256">
                  <formatCode>0.00%</formatCode>
                  <v>0.03956791950281148</v>
                </pt>
                <pt idx="257">
                  <formatCode>0.00%</formatCode>
                  <v>0.04655504519188028</v>
                </pt>
                <pt idx="258">
                  <formatCode>0.00%</formatCode>
                  <v>0.04212004212004212</v>
                </pt>
                <pt idx="259">
                  <formatCode>0.00%</formatCode>
                  <v>0.03856773331008225</v>
                </pt>
                <pt idx="260">
                  <formatCode>0.00%</formatCode>
                  <v>0.02530224525043178</v>
                </pt>
                <pt idx="261">
                  <formatCode>0.00%</formatCode>
                  <v>0.02475603788249518</v>
                </pt>
                <pt idx="262">
                  <formatCode>0.00%</formatCode>
                  <v>0.03424890755348731</v>
                </pt>
                <pt idx="263">
                  <formatCode>0.00%</formatCode>
                  <v>0.06502013270572223</v>
                </pt>
                <pt idx="264">
                  <formatCode>0.00%</formatCode>
                  <v>0.02042192196410011</v>
                </pt>
                <pt idx="265">
                  <formatCode>0.00%</formatCode>
                  <v>0.04716662918821678</v>
                </pt>
                <pt idx="266">
                  <formatCode>0.00%</formatCode>
                  <v>0.06575195505491092</v>
                </pt>
                <pt idx="267">
                  <formatCode>0.00%</formatCode>
                  <v>0.07680705748434832</v>
                </pt>
                <pt idx="268">
                  <formatCode>0.00%</formatCode>
                  <v>0.07956842315028326</v>
                </pt>
                <pt idx="269">
                  <formatCode>0.00%</formatCode>
                  <v>0.09616038056405028</v>
                </pt>
                <pt idx="270">
                  <formatCode>0.00%</formatCode>
                  <v>0.08282811272033232</v>
                </pt>
                <pt idx="271">
                  <formatCode>0.00%</formatCode>
                  <v>0.09318855991492696</v>
                </pt>
                <pt idx="272">
                  <formatCode>0.00%</formatCode>
                  <v>0.09916056037508071</v>
                </pt>
                <pt idx="273">
                  <formatCode>0.00%</formatCode>
                  <v>0.1099469086210287</v>
                </pt>
                <pt idx="274">
                  <formatCode>0.00%</formatCode>
                  <v>0.09295179565968888</v>
                </pt>
                <pt idx="275">
                  <formatCode>0.00%</formatCode>
                  <v>0.06254160121408983</v>
                </pt>
                <pt idx="276">
                  <formatCode>0.00%</formatCode>
                  <v>0.09645983593018774</v>
                </pt>
                <pt idx="277">
                  <formatCode>0.00%</formatCode>
                  <v>0.09617759166800881</v>
                </pt>
                <pt idx="278">
                  <formatCode>0.00%</formatCode>
                  <v>0.07711258278145695</v>
                </pt>
                <pt idx="279">
                  <formatCode>0.00%</formatCode>
                  <v>0.08081608922011681</v>
                </pt>
                <pt idx="280">
                  <formatCode>0.00%</formatCode>
                  <v>0.07499604451242023</v>
                </pt>
                <pt idx="281">
                  <formatCode>0.00%</formatCode>
                  <v>0.06013639181649101</v>
                </pt>
                <pt idx="282">
                  <formatCode>0.00%</formatCode>
                  <v>0.07874750511936546</v>
                </pt>
                <pt idx="283">
                  <formatCode>0.00%</formatCode>
                  <v>0.06599426582019251</v>
                </pt>
                <pt idx="284">
                  <formatCode>0.00%</formatCode>
                  <v>0.07414880845955403</v>
                </pt>
                <pt idx="285">
                  <formatCode>0.00%</formatCode>
                  <v>0.06957203958190974</v>
                </pt>
                <pt idx="286">
                  <formatCode>0.00%</formatCode>
                  <v>0.05796119185681653</v>
                </pt>
                <pt idx="287">
                  <formatCode>0.00%</formatCode>
                  <v>0.0613160268617821</v>
                </pt>
                <pt idx="288">
                  <formatCode>0.00%</formatCode>
                  <v>0.08395681646999749</v>
                </pt>
                <pt idx="289">
                  <formatCode>0.00%</formatCode>
                  <v>0.06246786002889537</v>
                </pt>
                <pt idx="290">
                  <formatCode>0.00%</formatCode>
                  <v>0.06827180836673963</v>
                </pt>
                <pt idx="291">
                  <formatCode>0.00%</formatCode>
                  <v>0.07526224417438931</v>
                </pt>
                <pt idx="292">
                  <formatCode>0.00%</formatCode>
                  <v>0.09961732816562822</v>
                </pt>
                <pt idx="293">
                  <formatCode>0.00%</formatCode>
                  <v>0.1053606237816764</v>
                </pt>
                <pt idx="294">
                  <formatCode>0.00%</formatCode>
                  <v>0.0890741764182906</v>
                </pt>
                <pt idx="295">
                  <formatCode>0.00%</formatCode>
                  <v>0.09471206954517074</v>
                </pt>
                <pt idx="296">
                  <formatCode>0.00%</formatCode>
                  <v>0.09188186617206449</v>
                </pt>
                <pt idx="297">
                  <formatCode>0.00%</formatCode>
                  <v>0.1004685059864654</v>
                </pt>
                <pt idx="298">
                  <formatCode>0.00%</formatCode>
                  <v>0.1041142694443126</v>
                </pt>
                <pt idx="299">
                  <formatCode>0.00%</formatCode>
                  <v>0.1239523078739228</v>
                </pt>
                <pt idx="300">
                  <formatCode>0.00%</formatCode>
                  <v>0.1148376337610599</v>
                </pt>
                <pt idx="301">
                  <formatCode>0.00%</formatCode>
                  <v>0.1134876002581359</v>
                </pt>
                <pt idx="302">
                  <formatCode>0.00%</formatCode>
                  <v>0.125837419711306</v>
                </pt>
                <pt idx="303">
                  <formatCode>0.00%</formatCode>
                  <v>0.1284593519044912</v>
                </pt>
                <pt idx="304">
                  <formatCode>0.00%</formatCode>
                  <v>0.1151984295179245</v>
                </pt>
                <pt idx="305">
                  <formatCode>0.00%</formatCode>
                  <v>0.1080812979455075</v>
                </pt>
                <pt idx="306">
                  <formatCode>0.00%</formatCode>
                  <v>0.1188994793045627</v>
                </pt>
                <pt idx="307">
                  <formatCode>0.00%</formatCode>
                  <v>0.1195323125520993</v>
                </pt>
                <pt idx="308">
                  <formatCode>0.00%</formatCode>
                  <v>0.1228929831438652</v>
                </pt>
                <pt idx="309">
                  <formatCode>0.00%</formatCode>
                  <v>0.09817665777930679</v>
                </pt>
                <pt idx="310">
                  <formatCode>0.00%</formatCode>
                  <v>0.1479993123307689</v>
                </pt>
                <pt idx="311">
                  <formatCode>0.00%</formatCode>
                  <v>0.1419598781640584</v>
                </pt>
                <pt idx="312">
                  <formatCode>0.00%</formatCode>
                  <v>0.1287916562785673</v>
                </pt>
                <pt idx="313">
                  <formatCode>0.00%</formatCode>
                  <v>0.13091985428051</v>
                </pt>
                <pt idx="314">
                  <formatCode>0.00%</formatCode>
                  <v>0.1311371490501605</v>
                </pt>
                <pt idx="315">
                  <formatCode>0.00%</formatCode>
                  <v>0.1311260680315976</v>
                </pt>
                <pt idx="316">
                  <formatCode>0.00%</formatCode>
                  <v>0.1165609809765758</v>
                </pt>
                <pt idx="317">
                  <formatCode>0.00%</formatCode>
                  <v>0.1090974197783834</v>
                </pt>
                <pt idx="318">
                  <formatCode>0.00%</formatCode>
                  <v>0.1183325774456254</v>
                </pt>
                <pt idx="319">
                  <formatCode>0.00%</formatCode>
                  <v>0.1158616635642206</v>
                </pt>
                <pt idx="320">
                  <formatCode>0.00%</formatCode>
                  <v>0.1200907662768371</v>
                </pt>
                <pt idx="321">
                  <formatCode>0.00%</formatCode>
                  <v>0.1398950542350315</v>
                </pt>
                <pt idx="322">
                  <formatCode>0.00%</formatCode>
                  <v>0.128170569626177</v>
                </pt>
                <pt idx="323">
                  <formatCode>0.00%</formatCode>
                  <v>0.002005040192778176</v>
                </pt>
                <pt idx="324">
                  <formatCode>0.00%</formatCode>
                  <v>0.1148331523439657</v>
                </pt>
                <pt idx="325">
                  <formatCode>0.00%</formatCode>
                  <v>0.116862199608324</v>
                </pt>
                <pt idx="326">
                  <formatCode>0.00%</formatCode>
                  <v>0.09995299732446308</v>
                </pt>
                <pt idx="327">
                  <formatCode>0.00%</formatCode>
                  <v>0.102100443605138</v>
                </pt>
                <pt idx="328">
                  <formatCode>0.00%</formatCode>
                  <v>0.1341502741051274</v>
                </pt>
                <pt idx="329">
                  <formatCode>0.00%</formatCode>
                  <v>0.1518537784075622</v>
                </pt>
                <pt idx="330">
                  <formatCode>0.00%</formatCode>
                  <v>0.1359276369150474</v>
                </pt>
                <pt idx="331">
                  <formatCode>0.00%</formatCode>
                  <v>0.1409004706047622</v>
                </pt>
                <pt idx="332">
                  <formatCode>0.00%</formatCode>
                  <v>0.119560888611847</v>
                </pt>
                <pt idx="333">
                  <formatCode>0.00%</formatCode>
                  <v>0.1215239011319329</v>
                </pt>
                <pt idx="334">
                  <formatCode>0.00%</formatCode>
                  <v>0.07476604499900445</v>
                </pt>
                <pt idx="335">
                  <formatCode>0.00%</formatCode>
                  <v>0.1850491995887796</v>
                </pt>
                <pt idx="336">
                  <formatCode>0.00%</formatCode>
                  <v>0.07710087502063728</v>
                </pt>
                <pt idx="337">
                  <formatCode>0.00%</formatCode>
                  <v>0.07502212316869326</v>
                </pt>
                <pt idx="338">
                  <formatCode>0.00%</formatCode>
                  <v>0.1247103295258444</v>
                </pt>
                <pt idx="339">
                  <formatCode>0.00%</formatCode>
                  <v>0.2387087388057289</v>
                </pt>
                <pt idx="340">
                  <formatCode>0.00%</formatCode>
                  <v>0.2875240893438221</v>
                </pt>
                <pt idx="341">
                  <formatCode>0.00%</formatCode>
                  <v>0.2239749599015837</v>
                </pt>
                <pt idx="342">
                  <formatCode>0.00%</formatCode>
                  <v>0.2522701519643605</v>
                </pt>
                <pt idx="343">
                  <formatCode>0.00%</formatCode>
                  <v>0.2656990703687742</v>
                </pt>
                <pt idx="344">
                  <formatCode>0.00%</formatCode>
                  <v>0.2503015868106035</v>
                </pt>
                <pt idx="345">
                  <formatCode>0.00%</formatCode>
                  <v>0.2750635586730787</v>
                </pt>
                <pt idx="346">
                  <formatCode>0.00%</formatCode>
                  <v>0.2691975175224627</v>
                </pt>
                <pt idx="347">
                  <formatCode>0.00%</formatCode>
                  <v>0.1537055397199157</v>
                </pt>
                <pt idx="348">
                  <formatCode>0.00%</formatCode>
                  <v>0.3339668914776211</v>
                </pt>
                <pt idx="349">
                  <formatCode>0.00%</formatCode>
                  <v>0.2854268292682927</v>
                </pt>
                <pt idx="350">
                  <formatCode>0.00%</formatCode>
                  <v>0.2988762731430742</v>
                </pt>
                <pt idx="351">
                  <formatCode>0.00%</formatCode>
                  <v>0.1611139385872189</v>
                </pt>
                <pt idx="352">
                  <formatCode>0.00%</formatCode>
                  <v>0.07863031849634392</v>
                </pt>
                <pt idx="353">
                  <formatCode>0.00%</formatCode>
                  <v>0.1196310432569975</v>
                </pt>
                <pt idx="354">
                  <formatCode>0.00%</formatCode>
                  <v>0.04039665323830183</v>
                </pt>
                <pt idx="355">
                  <formatCode>0.00%</formatCode>
                  <v>0.08108469629719706</v>
                </pt>
                <pt idx="356">
                  <formatCode>0.00%</formatCode>
                  <v>0.09512382177580961</v>
                </pt>
                <pt idx="357">
                  <formatCode>0.00%</formatCode>
                  <v>0.106709587527326</v>
                </pt>
                <pt idx="358">
                  <formatCode>0.00%</formatCode>
                  <v>0.1209448857208889</v>
                </pt>
                <pt idx="359">
                  <formatCode>0.00%</formatCode>
                  <v>0.1090581948062411</v>
                </pt>
                <pt idx="360">
                  <formatCode>0.00%</formatCode>
                  <v>0.08323757871030013</v>
                </pt>
                <pt idx="361">
                  <formatCode>0.00%</formatCode>
                  <v>0.1366752051610455</v>
                </pt>
              </numCache>
            </numRef>
          </val>
          <smooth val="0"/>
        </ser>
        <dLbls>
          <showLegendKey val="0"/>
          <showVal val="0"/>
          <showCatName val="0"/>
          <showSerName val="0"/>
          <showPercent val="0"/>
          <showBubbleSize val="0"/>
        </dLbls>
        <smooth val="0"/>
        <axId val="721545464"/>
        <axId val="721548088"/>
      </lineChart>
      <dateAx>
        <axId val="721545464"/>
        <scaling>
          <orientation val="minMax"/>
          <max val="44562"/>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5464"/>
        <crosses val="autoZero"/>
        <crossBetween val="between"/>
      </valAx>
    </plotArea>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Health and Personal Care Stores,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Health!$B$6</f>
              <strCache>
                <ptCount val="1"/>
                <pt idx="0">
                  <v>Health and Personal Care Stores,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Health!$A$7:$A$366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Health!$B$7:$B$366</f>
              <numCache>
                <formatCode>#,##0</formatCode>
                <ptCount val="360"/>
                <pt idx="0">
                  <v>7421</v>
                </pt>
                <pt idx="1">
                  <v>7425</v>
                </pt>
                <pt idx="2">
                  <v>7443</v>
                </pt>
                <pt idx="3">
                  <v>7516</v>
                </pt>
                <pt idx="4">
                  <v>7458</v>
                </pt>
                <pt idx="5">
                  <v>7417</v>
                </pt>
                <pt idx="6">
                  <v>7292</v>
                </pt>
                <pt idx="7">
                  <v>7508</v>
                </pt>
                <pt idx="8">
                  <v>7420</v>
                </pt>
                <pt idx="9">
                  <v>7535</v>
                </pt>
                <pt idx="10">
                  <v>7497</v>
                </pt>
                <pt idx="11">
                  <v>7526</v>
                </pt>
                <pt idx="12">
                  <v>7518</v>
                </pt>
                <pt idx="13">
                  <v>7651</v>
                </pt>
                <pt idx="14">
                  <v>7605</v>
                </pt>
                <pt idx="15">
                  <v>7683</v>
                </pt>
                <pt idx="16">
                  <v>7666</v>
                </pt>
                <pt idx="17">
                  <v>7680</v>
                </pt>
                <pt idx="18">
                  <v>7756</v>
                </pt>
                <pt idx="19">
                  <v>7678</v>
                </pt>
                <pt idx="20">
                  <v>7772</v>
                </pt>
                <pt idx="21">
                  <v>7758</v>
                </pt>
                <pt idx="22">
                  <v>7784</v>
                </pt>
                <pt idx="23">
                  <v>7989</v>
                </pt>
                <pt idx="24">
                  <v>7865</v>
                </pt>
                <pt idx="25">
                  <v>7729</v>
                </pt>
                <pt idx="26">
                  <v>7911</v>
                </pt>
                <pt idx="27">
                  <v>7838</v>
                </pt>
                <pt idx="28">
                  <v>7955</v>
                </pt>
                <pt idx="29">
                  <v>8014</v>
                </pt>
                <pt idx="30">
                  <v>8084</v>
                </pt>
                <pt idx="31">
                  <v>8126</v>
                </pt>
                <pt idx="32">
                  <v>8190</v>
                </pt>
                <pt idx="33">
                  <v>8214</v>
                </pt>
                <pt idx="34">
                  <v>8190</v>
                </pt>
                <pt idx="35">
                  <v>8287</v>
                </pt>
                <pt idx="36">
                  <v>8306</v>
                </pt>
                <pt idx="37">
                  <v>8304</v>
                </pt>
                <pt idx="38">
                  <v>8304</v>
                </pt>
                <pt idx="39">
                  <v>8450</v>
                </pt>
                <pt idx="40">
                  <v>8424</v>
                </pt>
                <pt idx="41">
                  <v>8482</v>
                </pt>
                <pt idx="42">
                  <v>8431</v>
                </pt>
                <pt idx="43">
                  <v>8488</v>
                </pt>
                <pt idx="44">
                  <v>8611</v>
                </pt>
                <pt idx="45">
                  <v>8584</v>
                </pt>
                <pt idx="46">
                  <v>8691</v>
                </pt>
                <pt idx="47">
                  <v>8761</v>
                </pt>
                <pt idx="48">
                  <v>8546</v>
                </pt>
                <pt idx="49">
                  <v>8782</v>
                </pt>
                <pt idx="50">
                  <v>8991</v>
                </pt>
                <pt idx="51">
                  <v>8922</v>
                </pt>
                <pt idx="52">
                  <v>9076</v>
                </pt>
                <pt idx="53">
                  <v>9072</v>
                </pt>
                <pt idx="54">
                  <v>9134</v>
                </pt>
                <pt idx="55">
                  <v>9237</v>
                </pt>
                <pt idx="56">
                  <v>9190</v>
                </pt>
                <pt idx="57">
                  <v>9363</v>
                </pt>
                <pt idx="58">
                  <v>9414</v>
                </pt>
                <pt idx="59">
                  <v>9505</v>
                </pt>
                <pt idx="60">
                  <v>9448</v>
                </pt>
                <pt idx="61">
                  <v>9649</v>
                </pt>
                <pt idx="62">
                  <v>9922</v>
                </pt>
                <pt idx="63">
                  <v>9578</v>
                </pt>
                <pt idx="64">
                  <v>9722</v>
                </pt>
                <pt idx="65">
                  <v>9916</v>
                </pt>
                <pt idx="66">
                  <v>9950</v>
                </pt>
                <pt idx="67">
                  <v>9989</v>
                </pt>
                <pt idx="68">
                  <v>10077</v>
                </pt>
                <pt idx="69">
                  <v>10058</v>
                </pt>
                <pt idx="70">
                  <v>10217</v>
                </pt>
                <pt idx="71">
                  <v>10201</v>
                </pt>
                <pt idx="72">
                  <v>10382</v>
                </pt>
                <pt idx="73">
                  <v>10406</v>
                </pt>
                <pt idx="74">
                  <v>10393</v>
                </pt>
                <pt idx="75">
                  <v>10620</v>
                </pt>
                <pt idx="76">
                  <v>10645</v>
                </pt>
                <pt idx="77">
                  <v>10672</v>
                </pt>
                <pt idx="78">
                  <v>10828</v>
                </pt>
                <pt idx="79">
                  <v>11019</v>
                </pt>
                <pt idx="80">
                  <v>10985</v>
                </pt>
                <pt idx="81">
                  <v>11106</v>
                </pt>
                <pt idx="82">
                  <v>11232</v>
                </pt>
                <pt idx="83">
                  <v>11311</v>
                </pt>
                <pt idx="84">
                  <v>11415</v>
                </pt>
                <pt idx="85">
                  <v>11498</v>
                </pt>
                <pt idx="86">
                  <v>11595</v>
                </pt>
                <pt idx="87">
                  <v>11619</v>
                </pt>
                <pt idx="88">
                  <v>11741</v>
                </pt>
                <pt idx="89">
                  <v>11837</v>
                </pt>
                <pt idx="90">
                  <v>11857</v>
                </pt>
                <pt idx="91">
                  <v>11848</v>
                </pt>
                <pt idx="92">
                  <v>11993</v>
                </pt>
                <pt idx="93">
                  <v>12155</v>
                </pt>
                <pt idx="94">
                  <v>12258</v>
                </pt>
                <pt idx="95">
                  <v>12801</v>
                </pt>
                <pt idx="96">
                  <v>12381</v>
                </pt>
                <pt idx="97">
                  <v>12386</v>
                </pt>
                <pt idx="98">
                  <v>12580</v>
                </pt>
                <pt idx="99">
                  <v>12733</v>
                </pt>
                <pt idx="100">
                  <v>12814</v>
                </pt>
                <pt idx="101">
                  <v>12864</v>
                </pt>
                <pt idx="102">
                  <v>12967</v>
                </pt>
                <pt idx="103">
                  <v>13034</v>
                </pt>
                <pt idx="104">
                  <v>13233</v>
                </pt>
                <pt idx="105">
                  <v>13302</v>
                </pt>
                <pt idx="106">
                  <v>13340</v>
                </pt>
                <pt idx="107">
                  <v>13527</v>
                </pt>
                <pt idx="108">
                  <v>13413</v>
                </pt>
                <pt idx="109">
                  <v>13582</v>
                </pt>
                <pt idx="110">
                  <v>13650</v>
                </pt>
                <pt idx="111">
                  <v>13643</v>
                </pt>
                <pt idx="112">
                  <v>13812</v>
                </pt>
                <pt idx="113">
                  <v>13843</v>
                </pt>
                <pt idx="114">
                  <v>13879</v>
                </pt>
                <pt idx="115">
                  <v>14004</v>
                </pt>
                <pt idx="116">
                  <v>13894</v>
                </pt>
                <pt idx="117">
                  <v>14298</v>
                </pt>
                <pt idx="118">
                  <v>14280</v>
                </pt>
                <pt idx="119">
                  <v>14350</v>
                </pt>
                <pt idx="120">
                  <v>14525</v>
                </pt>
                <pt idx="121">
                  <v>14747</v>
                </pt>
                <pt idx="122">
                  <v>14745</v>
                </pt>
                <pt idx="123">
                  <v>14940</v>
                </pt>
                <pt idx="124">
                  <v>14903</v>
                </pt>
                <pt idx="125">
                  <v>14947</v>
                </pt>
                <pt idx="126">
                  <v>15004</v>
                </pt>
                <pt idx="127">
                  <v>15120</v>
                </pt>
                <pt idx="128">
                  <v>15288</v>
                </pt>
                <pt idx="129">
                  <v>15298</v>
                </pt>
                <pt idx="130">
                  <v>15348</v>
                </pt>
                <pt idx="131">
                  <v>15293</v>
                </pt>
                <pt idx="132">
                  <v>15441</v>
                </pt>
                <pt idx="133">
                  <v>15534</v>
                </pt>
                <pt idx="134">
                  <v>15677</v>
                </pt>
                <pt idx="135">
                  <v>15705</v>
                </pt>
                <pt idx="136">
                  <v>15791</v>
                </pt>
                <pt idx="137">
                  <v>15934</v>
                </pt>
                <pt idx="138">
                  <v>16182</v>
                </pt>
                <pt idx="139">
                  <v>16345</v>
                </pt>
                <pt idx="140">
                  <v>16339</v>
                </pt>
                <pt idx="141">
                  <v>16434</v>
                </pt>
                <pt idx="142">
                  <v>16500</v>
                </pt>
                <pt idx="143">
                  <v>16648</v>
                </pt>
                <pt idx="144">
                  <v>16287</v>
                </pt>
                <pt idx="145">
                  <v>16133</v>
                </pt>
                <pt idx="146">
                  <v>16526</v>
                </pt>
                <pt idx="147">
                  <v>16476</v>
                </pt>
                <pt idx="148">
                  <v>16462</v>
                </pt>
                <pt idx="149">
                  <v>16570</v>
                </pt>
                <pt idx="150">
                  <v>16554</v>
                </pt>
                <pt idx="151">
                  <v>16610</v>
                </pt>
                <pt idx="152">
                  <v>16635</v>
                </pt>
                <pt idx="153">
                  <v>16739</v>
                </pt>
                <pt idx="154">
                  <v>16813</v>
                </pt>
                <pt idx="155">
                  <v>16882</v>
                </pt>
                <pt idx="156">
                  <v>17116</v>
                </pt>
                <pt idx="157">
                  <v>17292</v>
                </pt>
                <pt idx="158">
                  <v>17245</v>
                </pt>
                <pt idx="159">
                  <v>17350</v>
                </pt>
                <pt idx="160">
                  <v>17413</v>
                </pt>
                <pt idx="161">
                  <v>17392</v>
                </pt>
                <pt idx="162">
                  <v>17635</v>
                </pt>
                <pt idx="163">
                  <v>17548</v>
                </pt>
                <pt idx="164">
                  <v>17707</v>
                </pt>
                <pt idx="165">
                  <v>17742</v>
                </pt>
                <pt idx="166">
                  <v>17859</v>
                </pt>
                <pt idx="167">
                  <v>18005</v>
                </pt>
                <pt idx="168">
                  <v>18000</v>
                </pt>
                <pt idx="169">
                  <v>18124</v>
                </pt>
                <pt idx="170">
                  <v>18222</v>
                </pt>
                <pt idx="171">
                  <v>18294</v>
                </pt>
                <pt idx="172">
                  <v>18466</v>
                </pt>
                <pt idx="173">
                  <v>18584</v>
                </pt>
                <pt idx="174">
                  <v>18640</v>
                </pt>
                <pt idx="175">
                  <v>18757</v>
                </pt>
                <pt idx="176">
                  <v>18933</v>
                </pt>
                <pt idx="177">
                  <v>19044</v>
                </pt>
                <pt idx="178">
                  <v>19276</v>
                </pt>
                <pt idx="179">
                  <v>19385</v>
                </pt>
                <pt idx="180">
                  <v>19423</v>
                </pt>
                <pt idx="181">
                  <v>19401</v>
                </pt>
                <pt idx="182">
                  <v>19540</v>
                </pt>
                <pt idx="183">
                  <v>19572</v>
                </pt>
                <pt idx="184">
                  <v>19650</v>
                </pt>
                <pt idx="185">
                  <v>19880</v>
                </pt>
                <pt idx="186">
                  <v>19831</v>
                </pt>
                <pt idx="187">
                  <v>20014</v>
                </pt>
                <pt idx="188">
                  <v>20132</v>
                </pt>
                <pt idx="189">
                  <v>19988</v>
                </pt>
                <pt idx="190">
                  <v>19938</v>
                </pt>
                <pt idx="191">
                  <v>19825</v>
                </pt>
                <pt idx="192">
                  <v>20120</v>
                </pt>
                <pt idx="193">
                  <v>20279</v>
                </pt>
                <pt idx="194">
                  <v>20288</v>
                </pt>
                <pt idx="195">
                  <v>20172</v>
                </pt>
                <pt idx="196">
                  <v>20536</v>
                </pt>
                <pt idx="197">
                  <v>20497</v>
                </pt>
                <pt idx="198">
                  <v>20640</v>
                </pt>
                <pt idx="199">
                  <v>20620</v>
                </pt>
                <pt idx="200">
                  <v>20654</v>
                </pt>
                <pt idx="201">
                  <v>20659</v>
                </pt>
                <pt idx="202">
                  <v>20789</v>
                </pt>
                <pt idx="203">
                  <v>20682</v>
                </pt>
                <pt idx="204">
                  <v>20753</v>
                </pt>
                <pt idx="205">
                  <v>20906</v>
                </pt>
                <pt idx="206">
                  <v>20908</v>
                </pt>
                <pt idx="207">
                  <v>21059</v>
                </pt>
                <pt idx="208">
                  <v>21121</v>
                </pt>
                <pt idx="209">
                  <v>21055</v>
                </pt>
                <pt idx="210">
                  <v>21027</v>
                </pt>
                <pt idx="211">
                  <v>21070</v>
                </pt>
                <pt idx="212">
                  <v>21231</v>
                </pt>
                <pt idx="213">
                  <v>21278</v>
                </pt>
                <pt idx="214">
                  <v>21288</v>
                </pt>
                <pt idx="215">
                  <v>21195</v>
                </pt>
                <pt idx="216">
                  <v>21165</v>
                </pt>
                <pt idx="217">
                  <v>21199</v>
                </pt>
                <pt idx="218">
                  <v>21363</v>
                </pt>
                <pt idx="219">
                  <v>21471</v>
                </pt>
                <pt idx="220">
                  <v>21399</v>
                </pt>
                <pt idx="221">
                  <v>21661</v>
                </pt>
                <pt idx="222">
                  <v>21733</v>
                </pt>
                <pt idx="223">
                  <v>21863</v>
                </pt>
                <pt idx="224">
                  <v>21910</v>
                </pt>
                <pt idx="225">
                  <v>22128</v>
                </pt>
                <pt idx="226">
                  <v>22180</v>
                </pt>
                <pt idx="227">
                  <v>22272</v>
                </pt>
                <pt idx="228">
                  <v>22695</v>
                </pt>
                <pt idx="229">
                  <v>22428</v>
                </pt>
                <pt idx="230">
                  <v>22563</v>
                </pt>
                <pt idx="231">
                  <v>22448</v>
                </pt>
                <pt idx="232">
                  <v>22608</v>
                </pt>
                <pt idx="233">
                  <v>22607</v>
                </pt>
                <pt idx="234">
                  <v>22728</v>
                </pt>
                <pt idx="235">
                  <v>22822</v>
                </pt>
                <pt idx="236">
                  <v>22695</v>
                </pt>
                <pt idx="237">
                  <v>22830</v>
                </pt>
                <pt idx="238">
                  <v>22735</v>
                </pt>
                <pt idx="239">
                  <v>22677</v>
                </pt>
                <pt idx="240">
                  <v>22973</v>
                </pt>
                <pt idx="241">
                  <v>22999</v>
                </pt>
                <pt idx="242">
                  <v>22945</v>
                </pt>
                <pt idx="243">
                  <v>23045</v>
                </pt>
                <pt idx="244">
                  <v>22883</v>
                </pt>
                <pt idx="245">
                  <v>22449</v>
                </pt>
                <pt idx="246">
                  <v>22793</v>
                </pt>
                <pt idx="247">
                  <v>22741</v>
                </pt>
                <pt idx="248">
                  <v>22608</v>
                </pt>
                <pt idx="249">
                  <v>22527</v>
                </pt>
                <pt idx="250">
                  <v>22661</v>
                </pt>
                <pt idx="251">
                  <v>22898</v>
                </pt>
                <pt idx="252">
                  <v>23173</v>
                </pt>
                <pt idx="253">
                  <v>23008</v>
                </pt>
                <pt idx="254">
                  <v>23049</v>
                </pt>
                <pt idx="255">
                  <v>22953</v>
                </pt>
                <pt idx="256">
                  <v>23055</v>
                </pt>
                <pt idx="257">
                  <v>23043</v>
                </pt>
                <pt idx="258">
                  <v>23308</v>
                </pt>
                <pt idx="259">
                  <v>23305</v>
                </pt>
                <pt idx="260">
                  <v>23728</v>
                </pt>
                <pt idx="261">
                  <v>23771</v>
                </pt>
                <pt idx="262">
                  <v>23772</v>
                </pt>
                <pt idx="263">
                  <v>23824</v>
                </pt>
                <pt idx="264">
                  <v>23768</v>
                </pt>
                <pt idx="265">
                  <v>23906</v>
                </pt>
                <pt idx="266">
                  <v>24053</v>
                </pt>
                <pt idx="267">
                  <v>24259</v>
                </pt>
                <pt idx="268">
                  <v>24594</v>
                </pt>
                <pt idx="269">
                  <v>24797</v>
                </pt>
                <pt idx="270">
                  <v>24813</v>
                </pt>
                <pt idx="271">
                  <v>24902</v>
                </pt>
                <pt idx="272">
                  <v>25046</v>
                </pt>
                <pt idx="273">
                  <v>24962</v>
                </pt>
                <pt idx="274">
                  <v>25064</v>
                </pt>
                <pt idx="275">
                  <v>25240</v>
                </pt>
                <pt idx="276">
                  <v>25440</v>
                </pt>
                <pt idx="277">
                  <v>25249</v>
                </pt>
                <pt idx="278">
                  <v>25793</v>
                </pt>
                <pt idx="279">
                  <v>25393</v>
                </pt>
                <pt idx="280">
                  <v>25348</v>
                </pt>
                <pt idx="281">
                  <v>25534</v>
                </pt>
                <pt idx="282">
                  <v>25783</v>
                </pt>
                <pt idx="283">
                  <v>25955</v>
                </pt>
                <pt idx="284">
                  <v>26194</v>
                </pt>
                <pt idx="285">
                  <v>26043</v>
                </pt>
                <pt idx="286">
                  <v>26210</v>
                </pt>
                <pt idx="287">
                  <v>26433</v>
                </pt>
                <pt idx="288">
                  <v>26247</v>
                </pt>
                <pt idx="289">
                  <v>26787</v>
                </pt>
                <pt idx="290">
                  <v>26617</v>
                </pt>
                <pt idx="291">
                  <v>26811</v>
                </pt>
                <pt idx="292">
                  <v>26722</v>
                </pt>
                <pt idx="293">
                  <v>26892</v>
                </pt>
                <pt idx="294">
                  <v>26822</v>
                </pt>
                <pt idx="295">
                  <v>26747</v>
                </pt>
                <pt idx="296">
                  <v>26683</v>
                </pt>
                <pt idx="297">
                  <v>25885</v>
                </pt>
                <pt idx="298">
                  <v>26114</v>
                </pt>
                <pt idx="299">
                  <v>26179</v>
                </pt>
                <pt idx="300">
                  <v>26160</v>
                </pt>
                <pt idx="301">
                  <v>26436</v>
                </pt>
                <pt idx="302">
                  <v>26569</v>
                </pt>
                <pt idx="303">
                  <v>26755</v>
                </pt>
                <pt idx="304">
                  <v>26761</v>
                </pt>
                <pt idx="305">
                  <v>26983</v>
                </pt>
                <pt idx="306">
                  <v>27020</v>
                </pt>
                <pt idx="307">
                  <v>27336</v>
                </pt>
                <pt idx="308">
                  <v>27372</v>
                </pt>
                <pt idx="309">
                  <v>27568</v>
                </pt>
                <pt idx="310">
                  <v>27763</v>
                </pt>
                <pt idx="311">
                  <v>27669</v>
                </pt>
                <pt idx="312">
                  <v>27671</v>
                </pt>
                <pt idx="313">
                  <v>27510</v>
                </pt>
                <pt idx="314">
                  <v>27674</v>
                </pt>
                <pt idx="315">
                  <v>27937</v>
                </pt>
                <pt idx="316">
                  <v>28309</v>
                </pt>
                <pt idx="317">
                  <v>28076</v>
                </pt>
                <pt idx="318">
                  <v>28258</v>
                </pt>
                <pt idx="319">
                  <v>28533</v>
                </pt>
                <pt idx="320">
                  <v>28319</v>
                </pt>
                <pt idx="321">
                  <v>28555</v>
                </pt>
                <pt idx="322">
                  <v>29077</v>
                </pt>
                <pt idx="323">
                  <v>27944</v>
                </pt>
                <pt idx="324">
                  <v>28639</v>
                </pt>
                <pt idx="325">
                  <v>28756</v>
                </pt>
                <pt idx="326">
                  <v>28700</v>
                </pt>
                <pt idx="327">
                  <v>28545</v>
                </pt>
                <pt idx="328">
                  <v>28684</v>
                </pt>
                <pt idx="329">
                  <v>28615</v>
                </pt>
                <pt idx="330">
                  <v>28398</v>
                </pt>
                <pt idx="331">
                  <v>28414</v>
                </pt>
                <pt idx="332">
                  <v>28434</v>
                </pt>
                <pt idx="333">
                  <v>28718</v>
                </pt>
                <pt idx="334">
                  <v>28499</v>
                </pt>
                <pt idx="335">
                  <v>28359</v>
                </pt>
                <pt idx="336">
                  <v>28872</v>
                </pt>
                <pt idx="337">
                  <v>29064</v>
                </pt>
                <pt idx="338">
                  <v>30492</v>
                </pt>
                <pt idx="339">
                  <v>25958</v>
                </pt>
                <pt idx="340">
                  <v>26251</v>
                </pt>
                <pt idx="341">
                  <v>28336</v>
                </pt>
                <pt idx="342">
                  <v>29811</v>
                </pt>
                <pt idx="343">
                  <v>29599</v>
                </pt>
                <pt idx="344">
                  <v>29972</v>
                </pt>
                <pt idx="345">
                  <v>29883</v>
                </pt>
                <pt idx="346">
                  <v>29520</v>
                </pt>
                <pt idx="347">
                  <v>29929</v>
                </pt>
                <pt idx="348">
                  <v>30204</v>
                </pt>
                <pt idx="349">
                  <v>29691</v>
                </pt>
                <pt idx="350">
                  <v>32081</v>
                </pt>
                <pt idx="351">
                  <v>32113</v>
                </pt>
                <pt idx="352">
                  <v>31138</v>
                </pt>
                <pt idx="353">
                  <v>32559</v>
                </pt>
                <pt idx="354">
                  <v>32389</v>
                </pt>
                <pt idx="355">
                  <v>32624</v>
                </pt>
                <pt idx="356">
                  <v>32304</v>
                </pt>
                <pt idx="357">
                  <v>31855</v>
                </pt>
                <pt idx="358">
                  <v>31656</v>
                </pt>
                <pt idx="359">
                  <v>32371</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648"/>
        <crosses val="autoZero"/>
        <lblOffset val="100"/>
        <baseTimeUnit val="months"/>
      </dateAx>
      <valAx>
        <axId val="892479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320"/>
        <crosses val="autoZero"/>
        <crossBetween val="between"/>
      </valAx>
    </plotArea>
    <plotVisOnly val="1"/>
    <dispBlanksAs val="gap"/>
  </chart>
</chartSpace>
</file>

<file path=xl/charts/chart15.xml><?xml version="1.0" encoding="utf-8"?>
<chartSpace xmlns="http://schemas.openxmlformats.org/drawingml/2006/chart">
  <chart>
    <title>
      <tx>
        <strRef>
          <f>Health!$D$6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Health!$D$6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Health!$A$7:$A$366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Health!$D$7:$D$366</f>
              <numCache>
                <formatCode>General</formatCode>
                <ptCount val="360"/>
                <pt idx="12">
                  <formatCode>0.00%</formatCode>
                  <v>0.01307101468804743</v>
                </pt>
                <pt idx="13">
                  <formatCode>0.00%</formatCode>
                  <v>0.03043771043771044</v>
                </pt>
                <pt idx="14">
                  <formatCode>0.00%</formatCode>
                  <v>0.02176541717049577</v>
                </pt>
                <pt idx="15">
                  <formatCode>0.00%</formatCode>
                  <v>0.02221926556679085</v>
                </pt>
                <pt idx="16">
                  <formatCode>0.00%</formatCode>
                  <v>0.02788951461517833</v>
                </pt>
                <pt idx="17">
                  <formatCode>0.00%</formatCode>
                  <v>0.03545908049076446</v>
                </pt>
                <pt idx="18">
                  <formatCode>0.00%</formatCode>
                  <v>0.06363137685134394</v>
                </pt>
                <pt idx="19">
                  <formatCode>0.00%</formatCode>
                  <v>0.02264251465103889</v>
                </pt>
                <pt idx="20">
                  <formatCode>0.00%</formatCode>
                  <v>0.04743935309973046</v>
                </pt>
                <pt idx="21">
                  <formatCode>0.00%</formatCode>
                  <v>0.02959522229595222</v>
                </pt>
                <pt idx="22">
                  <formatCode>0.00%</formatCode>
                  <v>0.03828197945845005</v>
                </pt>
                <pt idx="23">
                  <formatCode>0.00%</formatCode>
                  <v>0.06152006377889981</v>
                </pt>
                <pt idx="24">
                  <formatCode>0.00%</formatCode>
                  <v>0.04615589252460761</v>
                </pt>
                <pt idx="25">
                  <formatCode>0.00%</formatCode>
                  <v>0.01019474578486472</v>
                </pt>
                <pt idx="26">
                  <formatCode>0.00%</formatCode>
                  <v>0.04023668639053254</v>
                </pt>
                <pt idx="27">
                  <formatCode>0.00%</formatCode>
                  <v>0.0201744110373552</v>
                </pt>
                <pt idx="28">
                  <formatCode>0.00%</formatCode>
                  <v>0.03769893034176885</v>
                </pt>
                <pt idx="29">
                  <formatCode>0.00%</formatCode>
                  <v>0.04348958333333333</v>
                </pt>
                <pt idx="30">
                  <formatCode>0.00%</formatCode>
                  <v>0.04228984012377515</v>
                </pt>
                <pt idx="31">
                  <formatCode>0.00%</formatCode>
                  <v>0.05834852826256838</v>
                </pt>
                <pt idx="32">
                  <formatCode>0.00%</formatCode>
                  <v>0.05378281008749357</v>
                </pt>
                <pt idx="33">
                  <formatCode>0.00%</formatCode>
                  <v>0.05877803557617943</v>
                </pt>
                <pt idx="34">
                  <formatCode>0.00%</formatCode>
                  <v>0.05215827338129497</v>
                </pt>
                <pt idx="35">
                  <formatCode>0.00%</formatCode>
                  <v>0.03730128927275003</v>
                </pt>
                <pt idx="36">
                  <formatCode>0.00%</formatCode>
                  <v>0.05607120152574698</v>
                </pt>
                <pt idx="37">
                  <formatCode>0.00%</formatCode>
                  <v>0.07439513520507181</v>
                </pt>
                <pt idx="38">
                  <formatCode>0.00%</formatCode>
                  <v>0.049677664012135</v>
                </pt>
                <pt idx="39">
                  <formatCode>0.00%</formatCode>
                  <v>0.07808114314876244</v>
                </pt>
                <pt idx="40">
                  <formatCode>0.00%</formatCode>
                  <v>0.0589566310496543</v>
                </pt>
                <pt idx="41">
                  <formatCode>0.00%</formatCode>
                  <v>0.05839780384327427</v>
                </pt>
                <pt idx="42">
                  <formatCode>0.00%</formatCode>
                  <v>0.04292429490351311</v>
                </pt>
                <pt idx="43">
                  <formatCode>0.00%</formatCode>
                  <v>0.04454836327836574</v>
                </pt>
                <pt idx="44">
                  <formatCode>0.00%</formatCode>
                  <v>0.0514041514041514</v>
                </pt>
                <pt idx="45">
                  <formatCode>0.00%</formatCode>
                  <v>0.04504504504504504</v>
                </pt>
                <pt idx="46">
                  <formatCode>0.00%</formatCode>
                  <v>0.06117216117216117</v>
                </pt>
                <pt idx="47">
                  <formatCode>0.00%</formatCode>
                  <v>0.05719802099674189</v>
                </pt>
                <pt idx="48">
                  <formatCode>0.00%</formatCode>
                  <v>0.02889477486154587</v>
                </pt>
                <pt idx="49">
                  <formatCode>0.00%</formatCode>
                  <v>0.0575626204238921</v>
                </pt>
                <pt idx="50">
                  <formatCode>0.00%</formatCode>
                  <v>0.08273121387283237</v>
                </pt>
                <pt idx="51">
                  <formatCode>0.00%</formatCode>
                  <v>0.05585798816568047</v>
                </pt>
                <pt idx="52">
                  <formatCode>0.00%</formatCode>
                  <v>0.07739791073124407</v>
                </pt>
                <pt idx="53">
                  <formatCode>0.00%</formatCode>
                  <v>0.06955906625795803</v>
                </pt>
                <pt idx="54">
                  <formatCode>0.00%</formatCode>
                  <v>0.08338275412169376</v>
                </pt>
                <pt idx="55">
                  <formatCode>0.00%</formatCode>
                  <v>0.08824222431668237</v>
                </pt>
                <pt idx="56">
                  <formatCode>0.00%</formatCode>
                  <v>0.06723957728486819</v>
                </pt>
                <pt idx="57">
                  <formatCode>0.00%</formatCode>
                  <v>0.09075023299161231</v>
                </pt>
                <pt idx="58">
                  <formatCode>0.00%</formatCode>
                  <v>0.08318950638591646</v>
                </pt>
                <pt idx="59">
                  <formatCode>0.00%</formatCode>
                  <v>0.08492181257847278</v>
                </pt>
                <pt idx="60">
                  <formatCode>0.00%</formatCode>
                  <v>0.1055464544816288</v>
                </pt>
                <pt idx="61">
                  <formatCode>0.00%</formatCode>
                  <v>0.0987246640856297</v>
                </pt>
                <pt idx="62">
                  <formatCode>0.00%</formatCode>
                  <v>0.1035479924368813</v>
                </pt>
                <pt idx="63">
                  <formatCode>0.00%</formatCode>
                  <v>0.0735261152208025</v>
                </pt>
                <pt idx="64">
                  <formatCode>0.00%</formatCode>
                  <v>0.07117672983693257</v>
                </pt>
                <pt idx="65">
                  <formatCode>0.00%</formatCode>
                  <v>0.09303350970017636</v>
                </pt>
                <pt idx="66">
                  <formatCode>0.00%</formatCode>
                  <v>0.08933654477775345</v>
                </pt>
                <pt idx="67">
                  <formatCode>0.00%</formatCode>
                  <v>0.08141171375987875</v>
                </pt>
                <pt idx="68">
                  <formatCode>0.00%</formatCode>
                  <v>0.09651795429815016</v>
                </pt>
                <pt idx="69">
                  <formatCode>0.00%</formatCode>
                  <v>0.07422834561572146</v>
                </pt>
                <pt idx="70">
                  <formatCode>0.00%</formatCode>
                  <v>0.08529849160824304</v>
                </pt>
                <pt idx="71">
                  <formatCode>0.00%</formatCode>
                  <v>0.07322461862177801</v>
                </pt>
                <pt idx="72">
                  <formatCode>0.00%</formatCode>
                  <v>0.09885690093141405</v>
                </pt>
                <pt idx="73">
                  <formatCode>0.00%</formatCode>
                  <v>0.07845372577469167</v>
                </pt>
                <pt idx="74">
                  <formatCode>0.00%</formatCode>
                  <v>0.04747026809111066</v>
                </pt>
                <pt idx="75">
                  <formatCode>0.00%</formatCode>
                  <v>0.1087909793276258</v>
                </pt>
                <pt idx="76">
                  <formatCode>0.00%</formatCode>
                  <v>0.09493931289858054</v>
                </pt>
                <pt idx="77">
                  <formatCode>0.00%</formatCode>
                  <v>0.07624041952400161</v>
                </pt>
                <pt idx="78">
                  <formatCode>0.00%</formatCode>
                  <v>0.08824120603015076</v>
                </pt>
                <pt idx="79">
                  <formatCode>0.00%</formatCode>
                  <v>0.103113424767244</v>
                </pt>
                <pt idx="80">
                  <formatCode>0.00%</formatCode>
                  <v>0.09010618239555424</v>
                </pt>
                <pt idx="81">
                  <formatCode>0.00%</formatCode>
                  <v>0.1041956651421754</v>
                </pt>
                <pt idx="82">
                  <formatCode>0.00%</formatCode>
                  <v>0.09934423020456103</v>
                </pt>
                <pt idx="83">
                  <formatCode>0.00%</formatCode>
                  <v>0.1088128614841682</v>
                </pt>
                <pt idx="84">
                  <formatCode>0.00%</formatCode>
                  <v>0.09949913311500674</v>
                </pt>
                <pt idx="85">
                  <formatCode>0.00%</formatCode>
                  <v>0.1049394580049971</v>
                </pt>
                <pt idx="86">
                  <formatCode>0.00%</formatCode>
                  <v>0.11565476763206</v>
                </pt>
                <pt idx="87">
                  <formatCode>0.00%</formatCode>
                  <v>0.09406779661016949</v>
                </pt>
                <pt idx="88">
                  <formatCode>0.00%</formatCode>
                  <v>0.102959135744481</v>
                </pt>
                <pt idx="89">
                  <formatCode>0.00%</formatCode>
                  <v>0.109164167916042</v>
                </pt>
                <pt idx="90">
                  <formatCode>0.00%</formatCode>
                  <v>0.09503140007388253</v>
                </pt>
                <pt idx="91">
                  <formatCode>0.00%</formatCode>
                  <v>0.07523368726744714</v>
                </pt>
                <pt idx="92">
                  <formatCode>0.00%</formatCode>
                  <v>0.0917614929449249</v>
                </pt>
                <pt idx="93">
                  <formatCode>0.00%</formatCode>
                  <v>0.09445344858634971</v>
                </pt>
                <pt idx="94">
                  <formatCode>0.00%</formatCode>
                  <v>0.09134615384615384</v>
                </pt>
                <pt idx="95">
                  <formatCode>0.00%</formatCode>
                  <v>0.1317301741667403</v>
                </pt>
                <pt idx="96">
                  <formatCode>0.00%</formatCode>
                  <v>0.08462549277266754</v>
                </pt>
                <pt idx="97">
                  <formatCode>0.00%</formatCode>
                  <v>0.07723082275178292</v>
                </pt>
                <pt idx="98">
                  <formatCode>0.00%</formatCode>
                  <v>0.08495040965933592</v>
                </pt>
                <pt idx="99">
                  <formatCode>0.00%</formatCode>
                  <v>0.09587744212066443</v>
                </pt>
                <pt idx="100">
                  <formatCode>0.00%</formatCode>
                  <v>0.09138914913550805</v>
                </pt>
                <pt idx="101">
                  <formatCode>0.00%</formatCode>
                  <v>0.08676184844132805</v>
                </pt>
                <pt idx="102">
                  <formatCode>0.00%</formatCode>
                  <v>0.09361558572994855</v>
                </pt>
                <pt idx="103">
                  <formatCode>0.00%</formatCode>
                  <v>0.100101282916948</v>
                </pt>
                <pt idx="104">
                  <formatCode>0.00%</formatCode>
                  <v>0.1033936462936713</v>
                </pt>
                <pt idx="105">
                  <formatCode>0.00%</formatCode>
                  <v>0.09436445907034142</v>
                </pt>
                <pt idx="106">
                  <formatCode>0.00%</formatCode>
                  <v>0.08826888562571382</v>
                </pt>
                <pt idx="107">
                  <formatCode>0.00%</formatCode>
                  <v>0.05671431919381299</v>
                </pt>
                <pt idx="108">
                  <formatCode>0.00%</formatCode>
                  <v>0.08335352556336321</v>
                </pt>
                <pt idx="109">
                  <formatCode>0.00%</formatCode>
                  <v>0.09656063297271113</v>
                </pt>
                <pt idx="110">
                  <formatCode>0.00%</formatCode>
                  <v>0.08505564387917329</v>
                </pt>
                <pt idx="111">
                  <formatCode>0.00%</formatCode>
                  <v>0.07146783947223749</v>
                </pt>
                <pt idx="112">
                  <formatCode>0.00%</formatCode>
                  <v>0.07788356485094428</v>
                </pt>
                <pt idx="113">
                  <formatCode>0.00%</formatCode>
                  <v>0.07610385572139304</v>
                </pt>
                <pt idx="114">
                  <formatCode>0.00%</formatCode>
                  <v>0.0703323822009717</v>
                </pt>
                <pt idx="115">
                  <formatCode>0.00%</formatCode>
                  <v>0.07442074574190578</v>
                </pt>
                <pt idx="116">
                  <formatCode>0.00%</formatCode>
                  <v>0.04995088037482052</v>
                </pt>
                <pt idx="117">
                  <formatCode>0.00%</formatCode>
                  <v>0.07487595850248083</v>
                </pt>
                <pt idx="118">
                  <formatCode>0.00%</formatCode>
                  <v>0.0704647676161919</v>
                </pt>
                <pt idx="119">
                  <formatCode>0.00%</formatCode>
                  <v>0.06084128040215864</v>
                </pt>
                <pt idx="120">
                  <formatCode>0.00%</formatCode>
                  <v>0.0829046447476329</v>
                </pt>
                <pt idx="121">
                  <formatCode>0.00%</formatCode>
                  <v>0.08577529082609336</v>
                </pt>
                <pt idx="122">
                  <formatCode>0.00%</formatCode>
                  <v>0.08021978021978023</v>
                </pt>
                <pt idx="123">
                  <formatCode>0.00%</formatCode>
                  <v>0.09506706736055121</v>
                </pt>
                <pt idx="124">
                  <formatCode>0.00%</formatCode>
                  <v>0.07898928467998842</v>
                </pt>
                <pt idx="125">
                  <formatCode>0.00%</formatCode>
                  <v>0.07975149895253919</v>
                </pt>
                <pt idx="126">
                  <formatCode>0.00%</formatCode>
                  <v>0.0810577130917213</v>
                </pt>
                <pt idx="127">
                  <formatCode>0.00%</formatCode>
                  <v>0.07969151670951156</v>
                </pt>
                <pt idx="128">
                  <formatCode>0.00%</formatCode>
                  <v>0.1003310781632359</v>
                </pt>
                <pt idx="129">
                  <formatCode>0.00%</formatCode>
                  <v>0.06993985172751434</v>
                </pt>
                <pt idx="130">
                  <formatCode>0.00%</formatCode>
                  <v>0.07478991596638655</v>
                </pt>
                <pt idx="131">
                  <formatCode>0.00%</formatCode>
                  <v>0.06571428571428571</v>
                </pt>
                <pt idx="132">
                  <formatCode>0.00%</formatCode>
                  <v>0.06306368330464716</v>
                </pt>
                <pt idx="133">
                  <formatCode>0.00%</formatCode>
                  <v>0.05336678646504374</v>
                </pt>
                <pt idx="134">
                  <formatCode>0.00%</formatCode>
                  <v>0.06320786707358426</v>
                </pt>
                <pt idx="135">
                  <formatCode>0.00%</formatCode>
                  <v>0.05120481927710843</v>
                </pt>
                <pt idx="136">
                  <formatCode>0.00%</formatCode>
                  <v>0.05958531839227001</v>
                </pt>
                <pt idx="137">
                  <formatCode>0.00%</formatCode>
                  <v>0.06603331772261993</v>
                </pt>
                <pt idx="138">
                  <formatCode>0.00%</formatCode>
                  <v>0.07851239669421488</v>
                </pt>
                <pt idx="139">
                  <formatCode>0.00%</formatCode>
                  <v>0.08101851851851852</v>
                </pt>
                <pt idx="140">
                  <formatCode>0.00%</formatCode>
                  <v>0.06874672946101518</v>
                </pt>
                <pt idx="141">
                  <formatCode>0.00%</formatCode>
                  <v>0.07425807295071252</v>
                </pt>
                <pt idx="142">
                  <formatCode>0.00%</formatCode>
                  <v>0.07505863956215794</v>
                </pt>
                <pt idx="143">
                  <formatCode>0.00%</formatCode>
                  <v>0.08860262865363239</v>
                </pt>
                <pt idx="144">
                  <formatCode>0.00%</formatCode>
                  <v>0.05478919759082961</v>
                </pt>
                <pt idx="145">
                  <formatCode>0.00%</formatCode>
                  <v>0.038560576799279</v>
                </pt>
                <pt idx="146">
                  <formatCode>0.00%</formatCode>
                  <v>0.05415576959877528</v>
                </pt>
                <pt idx="147">
                  <formatCode>0.00%</formatCode>
                  <v>0.04909264565425024</v>
                </pt>
                <pt idx="148">
                  <formatCode>0.00%</formatCode>
                  <v>0.04249255905262491</v>
                </pt>
                <pt idx="149">
                  <formatCode>0.00%</formatCode>
                  <v>0.03991464792268106</v>
                </pt>
                <pt idx="150">
                  <formatCode>0.00%</formatCode>
                  <v>0.02298850574712644</v>
                </pt>
                <pt idx="151">
                  <formatCode>0.00%</formatCode>
                  <v>0.01621290914652799</v>
                </pt>
                <pt idx="152">
                  <formatCode>0.00%</formatCode>
                  <v>0.01811616377991309</v>
                </pt>
                <pt idx="153">
                  <formatCode>0.00%</formatCode>
                  <v>0.01855908482414506</v>
                </pt>
                <pt idx="154">
                  <formatCode>0.00%</formatCode>
                  <v>0.01896969696969697</v>
                </pt>
                <pt idx="155">
                  <formatCode>0.00%</formatCode>
                  <v>0.01405574243152331</v>
                </pt>
                <pt idx="156">
                  <formatCode>0.00%</formatCode>
                  <v>0.05089949039110948</v>
                </pt>
                <pt idx="157">
                  <formatCode>0.00%</formatCode>
                  <v>0.07184032727948925</v>
                </pt>
                <pt idx="158">
                  <formatCode>0.00%</formatCode>
                  <v>0.04350720077453709</v>
                </pt>
                <pt idx="159">
                  <formatCode>0.00%</formatCode>
                  <v>0.05304685603301772</v>
                </pt>
                <pt idx="160">
                  <formatCode>0.00%</formatCode>
                  <v>0.05776940833434577</v>
                </pt>
                <pt idx="161">
                  <formatCode>0.00%</formatCode>
                  <v>0.0496077248038624</v>
                </pt>
                <pt idx="162">
                  <formatCode>0.00%</formatCode>
                  <v>0.06530143771898031</v>
                </pt>
                <pt idx="163">
                  <formatCode>0.00%</formatCode>
                  <v>0.05647200481637567</v>
                </pt>
                <pt idx="164">
                  <formatCode>0.00%</formatCode>
                  <v>0.0644424406372107</v>
                </pt>
                <pt idx="165">
                  <formatCode>0.00%</formatCode>
                  <v>0.05991994742816178</v>
                </pt>
                <pt idx="166">
                  <formatCode>0.00%</formatCode>
                  <v>0.06221376315945994</v>
                </pt>
                <pt idx="167">
                  <formatCode>0.00%</formatCode>
                  <v>0.06652055443667812</v>
                </pt>
                <pt idx="168">
                  <formatCode>0.00%</formatCode>
                  <v>0.05164758121056322</v>
                </pt>
                <pt idx="169">
                  <formatCode>0.00%</formatCode>
                  <v>0.0481147351376359</v>
                </pt>
                <pt idx="170">
                  <formatCode>0.00%</formatCode>
                  <v>0.05665410263844593</v>
                </pt>
                <pt idx="171">
                  <formatCode>0.00%</formatCode>
                  <v>0.05440922190201729</v>
                </pt>
                <pt idx="172">
                  <formatCode>0.00%</formatCode>
                  <v>0.06047206110377305</v>
                </pt>
                <pt idx="173">
                  <formatCode>0.00%</formatCode>
                  <v>0.06853725850965961</v>
                </pt>
                <pt idx="174">
                  <formatCode>0.00%</formatCode>
                  <v>0.0569889424440034</v>
                </pt>
                <pt idx="175">
                  <formatCode>0.00%</formatCode>
                  <v>0.06889674036927285</v>
                </pt>
                <pt idx="176">
                  <formatCode>0.00%</formatCode>
                  <v>0.06923815440221381</v>
                </pt>
                <pt idx="177">
                  <formatCode>0.00%</formatCode>
                  <v>0.07338518769022657</v>
                </pt>
                <pt idx="178">
                  <formatCode>0.00%</formatCode>
                  <v>0.07934374825018198</v>
                </pt>
                <pt idx="179">
                  <formatCode>0.00%</formatCode>
                  <v>0.07664537628436545</v>
                </pt>
                <pt idx="180">
                  <formatCode>0.00%</formatCode>
                  <v>0.07905555555555556</v>
                </pt>
                <pt idx="181">
                  <formatCode>0.00%</formatCode>
                  <v>0.07045905981019643</v>
                </pt>
                <pt idx="182">
                  <formatCode>0.00%</formatCode>
                  <v>0.0723301503676874</v>
                </pt>
                <pt idx="183">
                  <formatCode>0.00%</formatCode>
                  <v>0.06985897015414889</v>
                </pt>
                <pt idx="184">
                  <formatCode>0.00%</formatCode>
                  <v>0.0641178381891043</v>
                </pt>
                <pt idx="185">
                  <formatCode>0.00%</formatCode>
                  <v>0.06973740852346104</v>
                </pt>
                <pt idx="186">
                  <formatCode>0.00%</formatCode>
                  <v>0.06389484978540773</v>
                </pt>
                <pt idx="187">
                  <formatCode>0.00%</formatCode>
                  <v>0.06701498107373248</v>
                </pt>
                <pt idx="188">
                  <formatCode>0.00%</formatCode>
                  <v>0.06332857972851634</v>
                </pt>
                <pt idx="189">
                  <formatCode>0.00%</formatCode>
                  <v>0.049569418189456</v>
                </pt>
                <pt idx="190">
                  <formatCode>0.00%</formatCode>
                  <v>0.03434322473542228</v>
                </pt>
                <pt idx="191">
                  <formatCode>0.00%</formatCode>
                  <v>0.02269796234201702</v>
                </pt>
                <pt idx="192">
                  <formatCode>0.00%</formatCode>
                  <v>0.0358852906348144</v>
                </pt>
                <pt idx="193">
                  <formatCode>0.00%</formatCode>
                  <v>0.04525539920622648</v>
                </pt>
                <pt idx="194">
                  <formatCode>0.00%</formatCode>
                  <v>0.03828045035823951</v>
                </pt>
                <pt idx="195">
                  <formatCode>0.00%</formatCode>
                  <v>0.03065603923973023</v>
                </pt>
                <pt idx="196">
                  <formatCode>0.00%</formatCode>
                  <v>0.04508905852417303</v>
                </pt>
                <pt idx="197">
                  <formatCode>0.00%</formatCode>
                  <v>0.03103621730382294</v>
                </pt>
                <pt idx="198">
                  <formatCode>0.00%</formatCode>
                  <v>0.0407947153446624</v>
                </pt>
                <pt idx="199">
                  <formatCode>0.00%</formatCode>
                  <v>0.03027880483661437</v>
                </pt>
                <pt idx="200">
                  <formatCode>0.00%</formatCode>
                  <v>0.02592886946155375</v>
                </pt>
                <pt idx="201">
                  <formatCode>0.00%</formatCode>
                  <v>0.03357014208525115</v>
                </pt>
                <pt idx="202">
                  <formatCode>0.00%</formatCode>
                  <v>0.04268231517704885</v>
                </pt>
                <pt idx="203">
                  <formatCode>0.00%</formatCode>
                  <v>0.04322824716267339</v>
                </pt>
                <pt idx="204">
                  <formatCode>0.00%</formatCode>
                  <v>0.03146123260437376</v>
                </pt>
                <pt idx="205">
                  <formatCode>0.00%</formatCode>
                  <v>0.03091868435327186</v>
                </pt>
                <pt idx="206">
                  <formatCode>0.00%</formatCode>
                  <v>0.03055993690851735</v>
                </pt>
                <pt idx="207">
                  <formatCode>0.00%</formatCode>
                  <v>0.04397184215744596</v>
                </pt>
                <pt idx="208">
                  <formatCode>0.00%</formatCode>
                  <v>0.0284865601869887</v>
                </pt>
                <pt idx="209">
                  <formatCode>0.00%</formatCode>
                  <v>0.02722349612138362</v>
                </pt>
                <pt idx="210">
                  <formatCode>0.00%</formatCode>
                  <v>0.01875</v>
                </pt>
                <pt idx="211">
                  <formatCode>0.00%</formatCode>
                  <v>0.02182347235693502</v>
                </pt>
                <pt idx="212">
                  <formatCode>0.00%</formatCode>
                  <v>0.02793647719570059</v>
                </pt>
                <pt idx="213">
                  <formatCode>0.00%</formatCode>
                  <v>0.02996272810881456</v>
                </pt>
                <pt idx="214">
                  <formatCode>0.00%</formatCode>
                  <v>0.02400307855115686</v>
                </pt>
                <pt idx="215">
                  <formatCode>0.00%</formatCode>
                  <v>0.02480417754569191</v>
                </pt>
                <pt idx="216">
                  <formatCode>0.00%</formatCode>
                  <v>0.01985255143834626</v>
                </pt>
                <pt idx="217">
                  <formatCode>0.00%</formatCode>
                  <v>0.01401511527791065</v>
                </pt>
                <pt idx="218">
                  <formatCode>0.00%</formatCode>
                  <v>0.02176200497417257</v>
                </pt>
                <pt idx="219">
                  <formatCode>0.00%</formatCode>
                  <v>0.01956408186523577</v>
                </pt>
                <pt idx="220">
                  <formatCode>0.00%</formatCode>
                  <v>0.01316225557502012</v>
                </pt>
                <pt idx="221">
                  <formatCode>0.00%</formatCode>
                  <v>0.02878176205176917</v>
                </pt>
                <pt idx="222">
                  <formatCode>0.00%</formatCode>
                  <v>0.03357587863223475</v>
                </pt>
                <pt idx="223">
                  <formatCode>0.00%</formatCode>
                  <v>0.03763644992880873</v>
                </pt>
                <pt idx="224">
                  <formatCode>0.00%</formatCode>
                  <v>0.03198153643257501</v>
                </pt>
                <pt idx="225">
                  <formatCode>0.00%</formatCode>
                  <v>0.03994736347401071</v>
                </pt>
                <pt idx="226">
                  <formatCode>0.00%</formatCode>
                  <v>0.04190154077414506</v>
                </pt>
                <pt idx="227">
                  <formatCode>0.00%</formatCode>
                  <v>0.0508138711960368</v>
                </pt>
                <pt idx="228">
                  <formatCode>0.00%</formatCode>
                  <v>0.07228915662650602</v>
                </pt>
                <pt idx="229">
                  <formatCode>0.00%</formatCode>
                  <v>0.05797443275626209</v>
                </pt>
                <pt idx="230">
                  <formatCode>0.00%</formatCode>
                  <v>0.05617188597107148</v>
                </pt>
                <pt idx="231">
                  <formatCode>0.00%</formatCode>
                  <v>0.04550323692422337</v>
                </pt>
                <pt idx="232">
                  <formatCode>0.00%</formatCode>
                  <v>0.05649796719472872</v>
                </pt>
                <pt idx="233">
                  <formatCode>0.00%</formatCode>
                  <v>0.04367296062046997</v>
                </pt>
                <pt idx="234">
                  <formatCode>0.00%</formatCode>
                  <v>0.04578291078084019</v>
                </pt>
                <pt idx="235">
                  <formatCode>0.00%</formatCode>
                  <v>0.04386406257146778</v>
                </pt>
                <pt idx="236">
                  <formatCode>0.00%</formatCode>
                  <v>0.03582838886353264</v>
                </pt>
                <pt idx="237">
                  <formatCode>0.00%</formatCode>
                  <v>0.03172451193058568</v>
                </pt>
                <pt idx="238">
                  <formatCode>0.00%</formatCode>
                  <v>0.02502254283137962</v>
                </pt>
                <pt idx="239">
                  <formatCode>0.00%</formatCode>
                  <v>0.01818426724137931</v>
                </pt>
                <pt idx="240">
                  <formatCode>0.00%</formatCode>
                  <v>0.01224939413967834</v>
                </pt>
                <pt idx="241">
                  <formatCode>0.00%</formatCode>
                  <v>0.02545924736935973</v>
                </pt>
                <pt idx="242">
                  <formatCode>0.00%</formatCode>
                  <v>0.01693037273412223</v>
                </pt>
                <pt idx="243">
                  <formatCode>0.00%</formatCode>
                  <v>0.02659479686386315</v>
                </pt>
                <pt idx="244">
                  <formatCode>0.00%</formatCode>
                  <v>0.01216383581033263</v>
                </pt>
                <pt idx="245">
                  <formatCode>0.00%</formatCode>
                  <v>-0.006988985712389968</v>
                </pt>
                <pt idx="246">
                  <formatCode>0.00%</formatCode>
                  <v>0.002859908482928546</v>
                </pt>
                <pt idx="247">
                  <formatCode>0.00%</formatCode>
                  <v>-0.003549206905617387</v>
                </pt>
                <pt idx="248">
                  <formatCode>0.00%</formatCode>
                  <v>-0.003833443489755453</v>
                </pt>
                <pt idx="249">
                  <formatCode>0.00%</formatCode>
                  <v>-0.01327201051248357</v>
                </pt>
                <pt idx="250">
                  <formatCode>0.00%</formatCode>
                  <v>-0.00325489333626567</v>
                </pt>
                <pt idx="251">
                  <formatCode>0.00%</formatCode>
                  <v>0.009745557172465493</v>
                </pt>
                <pt idx="252">
                  <formatCode>0.00%</formatCode>
                  <v>0.008705872110738692</v>
                </pt>
                <pt idx="253">
                  <formatCode>0.00%</formatCode>
                  <v>0.000391321361798339</v>
                </pt>
                <pt idx="254">
                  <formatCode>0.00%</formatCode>
                  <v>0.004532577903682719</v>
                </pt>
                <pt idx="255">
                  <formatCode>0.00%</formatCode>
                  <v>-0.003992189195053157</v>
                </pt>
                <pt idx="256">
                  <formatCode>0.00%</formatCode>
                  <v>0.00751649696281082</v>
                </pt>
                <pt idx="257">
                  <formatCode>0.00%</formatCode>
                  <v>0.02645997594547641</v>
                </pt>
                <pt idx="258">
                  <formatCode>0.00%</formatCode>
                  <v>0.0225946562541131</v>
                </pt>
                <pt idx="259">
                  <formatCode>0.00%</formatCode>
                  <v>0.02480102018380898</v>
                </pt>
                <pt idx="260">
                  <formatCode>0.00%</formatCode>
                  <v>0.04953998584571833</v>
                </pt>
                <pt idx="261">
                  <formatCode>0.00%</formatCode>
                  <v>0.05522262174279753</v>
                </pt>
                <pt idx="262">
                  <formatCode>0.00%</formatCode>
                  <v>0.04902696262300869</v>
                </pt>
                <pt idx="263">
                  <formatCode>0.00%</formatCode>
                  <v>0.0404402131190497</v>
                </pt>
                <pt idx="264">
                  <formatCode>0.00%</formatCode>
                  <v>0.02567643378069305</v>
                </pt>
                <pt idx="265">
                  <formatCode>0.00%</formatCode>
                  <v>0.03902990264255911</v>
                </pt>
                <pt idx="266">
                  <formatCode>0.00%</formatCode>
                  <v>0.04355937350861209</v>
                </pt>
                <pt idx="267">
                  <formatCode>0.00%</formatCode>
                  <v>0.05689888032065525</v>
                </pt>
                <pt idx="268">
                  <formatCode>0.00%</formatCode>
                  <v>0.0667534157449577</v>
                </pt>
                <pt idx="269">
                  <formatCode>0.00%</formatCode>
                  <v>0.07611856095126503</v>
                </pt>
                <pt idx="270">
                  <formatCode>0.00%</formatCode>
                  <v>0.06457010468508667</v>
                </pt>
                <pt idx="271">
                  <formatCode>0.00%</formatCode>
                  <v>0.06852606736751771</v>
                </pt>
                <pt idx="272">
                  <formatCode>0.00%</formatCode>
                  <v>0.05554619015509103</v>
                </pt>
                <pt idx="273">
                  <formatCode>0.00%</formatCode>
                  <v>0.05010306676202095</v>
                </pt>
                <pt idx="274">
                  <formatCode>0.00%</formatCode>
                  <v>0.05434965505636884</v>
                </pt>
                <pt idx="275">
                  <formatCode>0.00%</formatCode>
                  <v>0.05943586299529886</v>
                </pt>
                <pt idx="276">
                  <formatCode>0.00%</formatCode>
                  <v>0.07034668461797375</v>
                </pt>
                <pt idx="277">
                  <formatCode>0.00%</formatCode>
                  <v>0.05617836526395047</v>
                </pt>
                <pt idx="278">
                  <formatCode>0.00%</formatCode>
                  <v>0.07234024861763605</v>
                </pt>
                <pt idx="279">
                  <formatCode>0.00%</formatCode>
                  <v>0.04674553773857125</v>
                </pt>
                <pt idx="280">
                  <formatCode>0.00%</formatCode>
                  <v>0.03065788403675693</v>
                </pt>
                <pt idx="281">
                  <formatCode>0.00%</formatCode>
                  <v>0.02972133725853934</v>
                </pt>
                <pt idx="282">
                  <formatCode>0.00%</formatCode>
                  <v>0.03909241123604562</v>
                </pt>
                <pt idx="283">
                  <formatCode>0.00%</formatCode>
                  <v>0.04228576017990523</v>
                </pt>
                <pt idx="284">
                  <formatCode>0.00%</formatCode>
                  <v>0.04583566238121856</v>
                </pt>
                <pt idx="285">
                  <formatCode>0.00%</formatCode>
                  <v>0.04330582485377774</v>
                </pt>
                <pt idx="286">
                  <formatCode>0.00%</formatCode>
                  <v>0.0457229492499202</v>
                </pt>
                <pt idx="287">
                  <formatCode>0.00%</formatCode>
                  <v>0.0472662440570523</v>
                </pt>
                <pt idx="288">
                  <formatCode>0.00%</formatCode>
                  <v>0.03172169811320755</v>
                </pt>
                <pt idx="289">
                  <formatCode>0.00%</formatCode>
                  <v>0.0609133034971682</v>
                </pt>
                <pt idx="290">
                  <formatCode>0.00%</formatCode>
                  <v>0.03194665219245531</v>
                </pt>
                <pt idx="291">
                  <formatCode>0.00%</formatCode>
                  <v>0.0558421612255346</v>
                </pt>
                <pt idx="292">
                  <formatCode>0.00%</formatCode>
                  <v>0.05420545999684393</v>
                </pt>
                <pt idx="293">
                  <formatCode>0.00%</formatCode>
                  <v>0.05318398997415211</v>
                </pt>
                <pt idx="294">
                  <formatCode>0.00%</formatCode>
                  <v>0.04029787068998953</v>
                </pt>
                <pt idx="295">
                  <formatCode>0.00%</formatCode>
                  <v>0.03051435176266615</v>
                </pt>
                <pt idx="296">
                  <formatCode>0.00%</formatCode>
                  <v>0.01866839734290296</v>
                </pt>
                <pt idx="297">
                  <formatCode>0.00%</formatCode>
                  <v>-0.006066889375263986</v>
                </pt>
                <pt idx="298">
                  <formatCode>0.00%</formatCode>
                  <v>-0.003662724151087371</v>
                </pt>
                <pt idx="299">
                  <formatCode>0.00%</formatCode>
                  <v>-0.009609200620436575</v>
                </pt>
                <pt idx="300">
                  <formatCode>0.00%</formatCode>
                  <v>-0.003314664533089496</v>
                </pt>
                <pt idx="301">
                  <formatCode>0.00%</formatCode>
                  <v>-0.01310337103819017</v>
                </pt>
                <pt idx="302">
                  <formatCode>0.00%</formatCode>
                  <v>-0.001803358755682459</v>
                </pt>
                <pt idx="303">
                  <formatCode>0.00%</formatCode>
                  <v>-0.002088694938644586</v>
                </pt>
                <pt idx="304">
                  <formatCode>0.00%</formatCode>
                  <v>0.001459471596437392</v>
                </pt>
                <pt idx="305">
                  <formatCode>0.00%</formatCode>
                  <v>0.003383905994347761</v>
                </pt>
                <pt idx="306">
                  <formatCode>0.00%</formatCode>
                  <v>0.00738199985086869</v>
                </pt>
                <pt idx="307">
                  <formatCode>0.00%</formatCode>
                  <v>0.02202116125172917</v>
                </pt>
                <pt idx="308">
                  <formatCode>0.00%</formatCode>
                  <v>0.02582168421841622</v>
                </pt>
                <pt idx="309">
                  <formatCode>0.00%</formatCode>
                  <v>0.06501835039598224</v>
                </pt>
                <pt idx="310">
                  <formatCode>0.00%</formatCode>
                  <v>0.06314620510071225</v>
                </pt>
                <pt idx="311">
                  <formatCode>0.00%</formatCode>
                  <v>0.05691584858092364</v>
                </pt>
                <pt idx="312">
                  <formatCode>0.00%</formatCode>
                  <v>0.05775993883792049</v>
                </pt>
                <pt idx="313">
                  <formatCode>0.00%</formatCode>
                  <v>0.04062641852019973</v>
                </pt>
                <pt idx="314">
                  <formatCode>0.00%</formatCode>
                  <v>0.041589822725733</v>
                </pt>
                <pt idx="315">
                  <formatCode>0.00%</formatCode>
                  <v>0.04417865819472996</v>
                </pt>
                <pt idx="316">
                  <formatCode>0.00%</formatCode>
                  <v>0.05784537199656216</v>
                </pt>
                <pt idx="317">
                  <formatCode>0.00%</formatCode>
                  <v>0.04050698587999852</v>
                </pt>
                <pt idx="318">
                  <formatCode>0.00%</formatCode>
                  <v>0.0458179126572909</v>
                </pt>
                <pt idx="319">
                  <formatCode>0.00%</formatCode>
                  <v>0.04378841088674276</v>
                </pt>
                <pt idx="320">
                  <formatCode>0.00%</formatCode>
                  <v>0.03459739880169516</v>
                </pt>
                <pt idx="321">
                  <formatCode>0.00%</formatCode>
                  <v>0.03580237957051654</v>
                </pt>
                <pt idx="322">
                  <formatCode>0.00%</formatCode>
                  <v>0.04732917912329359</v>
                </pt>
                <pt idx="323">
                  <formatCode>0.00%</formatCode>
                  <v>0.009938920813907261</v>
                </pt>
                <pt idx="324">
                  <formatCode>0.00%</formatCode>
                  <v>0.03498247262476961</v>
                </pt>
                <pt idx="325">
                  <formatCode>0.00%</formatCode>
                  <v>0.04529262086513995</v>
                </pt>
                <pt idx="326">
                  <formatCode>0.00%</formatCode>
                  <v>0.03707451037074511</v>
                </pt>
                <pt idx="327">
                  <formatCode>0.00%</formatCode>
                  <v>0.02176325303361134</v>
                </pt>
                <pt idx="328">
                  <formatCode>0.00%</formatCode>
                  <v>0.01324667067010491</v>
                </pt>
                <pt idx="329">
                  <formatCode>0.00%</formatCode>
                  <v>0.01919789143752671</v>
                </pt>
                <pt idx="330">
                  <formatCode>0.00%</formatCode>
                  <v>0.004954349210842948</v>
                </pt>
                <pt idx="331">
                  <formatCode>0.00%</formatCode>
                  <v>-0.004170609469736796</v>
                </pt>
                <pt idx="332">
                  <formatCode>0.00%</formatCode>
                  <v>0.004060877855856493</v>
                </pt>
                <pt idx="333">
                  <formatCode>0.00%</formatCode>
                  <v>0.005708282262300823</v>
                </pt>
                <pt idx="334">
                  <formatCode>0.00%</formatCode>
                  <v>-0.01987825429033256</v>
                </pt>
                <pt idx="335">
                  <formatCode>0.00%</formatCode>
                  <v>0.01485113083309476</v>
                </pt>
                <pt idx="336">
                  <formatCode>0.00%</formatCode>
                  <v>0.008135758930130242</v>
                </pt>
                <pt idx="337">
                  <formatCode>0.00%</formatCode>
                  <v>0.01071080817916261</v>
                </pt>
                <pt idx="338">
                  <formatCode>0.00%</formatCode>
                  <v>0.0624390243902439</v>
                </pt>
                <pt idx="339">
                  <formatCode>0.00%</formatCode>
                  <v>-0.0906288316692941</v>
                </pt>
                <pt idx="340">
                  <formatCode>0.00%</formatCode>
                  <v>-0.08482080602426439</v>
                </pt>
                <pt idx="341">
                  <formatCode>0.00%</formatCode>
                  <v>-0.009750131050148523</v>
                </pt>
                <pt idx="342">
                  <formatCode>0.00%</formatCode>
                  <v>0.04975702514261568</v>
                </pt>
                <pt idx="343">
                  <formatCode>0.00%</formatCode>
                  <v>0.04170479341169846</v>
                </pt>
                <pt idx="344">
                  <formatCode>0.00%</formatCode>
                  <v>0.05409017373566857</v>
                </pt>
                <pt idx="345">
                  <formatCode>0.00%</formatCode>
                  <v>0.04056689184483599</v>
                </pt>
                <pt idx="346">
                  <formatCode>0.00%</formatCode>
                  <v>0.03582581844977017</v>
                </pt>
                <pt idx="347">
                  <formatCode>0.00%</formatCode>
                  <v>0.0553616135970944</v>
                </pt>
                <pt idx="348">
                  <formatCode>0.00%</formatCode>
                  <v>0.04613466334164588</v>
                </pt>
                <pt idx="349">
                  <formatCode>0.00%</formatCode>
                  <v>0.02157308009909166</v>
                </pt>
                <pt idx="350">
                  <formatCode>0.00%</formatCode>
                  <v>0.05211202938475665</v>
                </pt>
                <pt idx="351">
                  <formatCode>0.00%</formatCode>
                  <v>0.2371137992141151</v>
                </pt>
                <pt idx="352">
                  <formatCode>0.00%</formatCode>
                  <v>0.1861643365967011</v>
                </pt>
                <pt idx="353">
                  <formatCode>0.00%</formatCode>
                  <v>0.1490330321852061</v>
                </pt>
                <pt idx="354">
                  <formatCode>0.00%</formatCode>
                  <v>0.08647814565093422</v>
                </pt>
                <pt idx="355">
                  <formatCode>0.00%</formatCode>
                  <v>0.102199398628332</v>
                </pt>
                <pt idx="356">
                  <formatCode>0.00%</formatCode>
                  <v>0.07780595222207394</v>
                </pt>
                <pt idx="357">
                  <formatCode>0.00%</formatCode>
                  <v>0.0659906970518355</v>
                </pt>
                <pt idx="358">
                  <formatCode>0.00%</formatCode>
                  <v>0.07235772357723577</v>
                </pt>
                <pt idx="359">
                  <formatCode>0.00%</formatCode>
                  <v>0.08159310367870627</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648"/>
        <crosses val="autoZero"/>
        <lblOffset val="100"/>
        <baseTimeUnit val="months"/>
      </dateAx>
      <valAx>
        <axId val="892479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320"/>
        <crosses val="autoZero"/>
        <crossBetween val="between"/>
      </valAx>
    </plotArea>
    <plotVisOnly val="1"/>
    <dispBlanksAs val="gap"/>
  </chart>
</chartSpace>
</file>

<file path=xl/charts/chart16.xml><?xml version="1.0" encoding="utf-8"?>
<chartSpace xmlns="http://schemas.openxmlformats.org/drawingml/2006/chart">
  <chart>
    <title>
      <tx>
        <strRef>
          <f>'Sporting Goods'!$B$6</f>
          <strCache>
            <ptCount val="1"/>
            <pt idx="0">
              <v>Sporting Goods,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'Sporting Goods'!$B$6</f>
              <strCache>
                <ptCount val="1"/>
                <pt idx="0">
                  <v>Sporting Goods,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'Sporting Goods'!$A$7:$A$366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'Sporting Goods'!$B$7:$B$366</f>
              <numCache>
                <formatCode>#,##0</formatCode>
                <ptCount val="360"/>
                <pt idx="0">
                  <v>3385</v>
                </pt>
                <pt idx="1">
                  <v>3516</v>
                </pt>
                <pt idx="2">
                  <v>3482</v>
                </pt>
                <pt idx="3">
                  <v>3535</v>
                </pt>
                <pt idx="4">
                  <v>3512</v>
                </pt>
                <pt idx="5">
                  <v>3549</v>
                </pt>
                <pt idx="6">
                  <v>3586</v>
                </pt>
                <pt idx="7">
                  <v>3512</v>
                </pt>
                <pt idx="8">
                  <v>3566</v>
                </pt>
                <pt idx="9">
                  <v>3607</v>
                </pt>
                <pt idx="10">
                  <v>3626</v>
                </pt>
                <pt idx="11">
                  <v>3800</v>
                </pt>
                <pt idx="12">
                  <v>3648</v>
                </pt>
                <pt idx="13">
                  <v>3585</v>
                </pt>
                <pt idx="14">
                  <v>3608</v>
                </pt>
                <pt idx="15">
                  <v>3749</v>
                </pt>
                <pt idx="16">
                  <v>3746</v>
                </pt>
                <pt idx="17">
                  <v>3702</v>
                </pt>
                <pt idx="18">
                  <v>3810</v>
                </pt>
                <pt idx="19">
                  <v>3804</v>
                </pt>
                <pt idx="20">
                  <v>3825</v>
                </pt>
                <pt idx="21">
                  <v>3817</v>
                </pt>
                <pt idx="22">
                  <v>3930</v>
                </pt>
                <pt idx="23">
                  <v>4018</v>
                </pt>
                <pt idx="24">
                  <v>3981</v>
                </pt>
                <pt idx="25">
                  <v>4095</v>
                </pt>
                <pt idx="26">
                  <v>4131</v>
                </pt>
                <pt idx="27">
                  <v>4035</v>
                </pt>
                <pt idx="28">
                  <v>4119</v>
                </pt>
                <pt idx="29">
                  <v>4135</v>
                </pt>
                <pt idx="30">
                  <v>4111</v>
                </pt>
                <pt idx="31">
                  <v>4249</v>
                </pt>
                <pt idx="32">
                  <v>4306</v>
                </pt>
                <pt idx="33">
                  <v>4347</v>
                </pt>
                <pt idx="34">
                  <v>4221</v>
                </pt>
                <pt idx="35">
                  <v>4255</v>
                </pt>
                <pt idx="36">
                  <v>4436</v>
                </pt>
                <pt idx="37">
                  <v>4298</v>
                </pt>
                <pt idx="38">
                  <v>4347</v>
                </pt>
                <pt idx="39">
                  <v>4345</v>
                </pt>
                <pt idx="40">
                  <v>4380</v>
                </pt>
                <pt idx="41">
                  <v>4421</v>
                </pt>
                <pt idx="42">
                  <v>4429</v>
                </pt>
                <pt idx="43">
                  <v>4462</v>
                </pt>
                <pt idx="44">
                  <v>4441</v>
                </pt>
                <pt idx="45">
                  <v>4414</v>
                </pt>
                <pt idx="46">
                  <v>4532</v>
                </pt>
                <pt idx="47">
                  <v>4505</v>
                </pt>
                <pt idx="48">
                  <v>4600</v>
                </pt>
                <pt idx="49">
                  <v>4485</v>
                </pt>
                <pt idx="50">
                  <v>4548</v>
                </pt>
                <pt idx="51">
                  <v>4628</v>
                </pt>
                <pt idx="52">
                  <v>4432</v>
                </pt>
                <pt idx="53">
                  <v>4609</v>
                </pt>
                <pt idx="54">
                  <v>4655</v>
                </pt>
                <pt idx="55">
                  <v>4738</v>
                </pt>
                <pt idx="56">
                  <v>4690</v>
                </pt>
                <pt idx="57">
                  <v>4769</v>
                </pt>
                <pt idx="58">
                  <v>4692</v>
                </pt>
                <pt idx="59">
                  <v>4940</v>
                </pt>
                <pt idx="60">
                  <v>4748</v>
                </pt>
                <pt idx="61">
                  <v>4666</v>
                </pt>
                <pt idx="62">
                  <v>4698</v>
                </pt>
                <pt idx="63">
                  <v>4725</v>
                </pt>
                <pt idx="64">
                  <v>4763</v>
                </pt>
                <pt idx="65">
                  <v>4838</v>
                </pt>
                <pt idx="66">
                  <v>4786</v>
                </pt>
                <pt idx="67">
                  <v>4745</v>
                </pt>
                <pt idx="68">
                  <v>4827</v>
                </pt>
                <pt idx="69">
                  <v>4878</v>
                </pt>
                <pt idx="70">
                  <v>5015</v>
                </pt>
                <pt idx="71">
                  <v>4915</v>
                </pt>
                <pt idx="72">
                  <v>4834</v>
                </pt>
                <pt idx="73">
                  <v>5027</v>
                </pt>
                <pt idx="74">
                  <v>5008</v>
                </pt>
                <pt idx="75">
                  <v>5036</v>
                </pt>
                <pt idx="76">
                  <v>4986</v>
                </pt>
                <pt idx="77">
                  <v>5083</v>
                </pt>
                <pt idx="78">
                  <v>5032</v>
                </pt>
                <pt idx="79">
                  <v>5057</v>
                </pt>
                <pt idx="80">
                  <v>5047</v>
                </pt>
                <pt idx="81">
                  <v>5108</v>
                </pt>
                <pt idx="82">
                  <v>5093</v>
                </pt>
                <pt idx="83">
                  <v>5154</v>
                </pt>
                <pt idx="84">
                  <v>5122</v>
                </pt>
                <pt idx="85">
                  <v>5292</v>
                </pt>
                <pt idx="86">
                  <v>5273</v>
                </pt>
                <pt idx="87">
                  <v>5277</v>
                </pt>
                <pt idx="88">
                  <v>5328</v>
                </pt>
                <pt idx="89">
                  <v>5367</v>
                </pt>
                <pt idx="90">
                  <v>5326</v>
                </pt>
                <pt idx="91">
                  <v>5290</v>
                </pt>
                <pt idx="92">
                  <v>5385</v>
                </pt>
                <pt idx="93">
                  <v>5373</v>
                </pt>
                <pt idx="94">
                  <v>5414</v>
                </pt>
                <pt idx="95">
                  <v>5455</v>
                </pt>
                <pt idx="96">
                  <v>5232</v>
                </pt>
                <pt idx="97">
                  <v>5541</v>
                </pt>
                <pt idx="98">
                  <v>5635</v>
                </pt>
                <pt idx="99">
                  <v>5649</v>
                </pt>
                <pt idx="100">
                  <v>5757</v>
                </pt>
                <pt idx="101">
                  <v>5686</v>
                </pt>
                <pt idx="102">
                  <v>5800</v>
                </pt>
                <pt idx="103">
                  <v>5633</v>
                </pt>
                <pt idx="104">
                  <v>5728</v>
                </pt>
                <pt idx="105">
                  <v>5626</v>
                </pt>
                <pt idx="106">
                  <v>5615</v>
                </pt>
                <pt idx="107">
                  <v>5601</v>
                </pt>
                <pt idx="108">
                  <v>5386</v>
                </pt>
                <pt idx="109">
                  <v>5715</v>
                </pt>
                <pt idx="110">
                  <v>5723</v>
                </pt>
                <pt idx="111">
                  <v>5658</v>
                </pt>
                <pt idx="112">
                  <v>5679</v>
                </pt>
                <pt idx="113">
                  <v>5621</v>
                </pt>
                <pt idx="114">
                  <v>5703</v>
                </pt>
                <pt idx="115">
                  <v>5775</v>
                </pt>
                <pt idx="116">
                  <v>5672</v>
                </pt>
                <pt idx="117">
                  <v>5798</v>
                </pt>
                <pt idx="118">
                  <v>6066</v>
                </pt>
                <pt idx="119">
                  <v>5797</v>
                </pt>
                <pt idx="120">
                  <v>5775</v>
                </pt>
                <pt idx="121">
                  <v>5711</v>
                </pt>
                <pt idx="122">
                  <v>5717</v>
                </pt>
                <pt idx="123">
                  <v>5799</v>
                </pt>
                <pt idx="124">
                  <v>5731</v>
                </pt>
                <pt idx="125">
                  <v>5670</v>
                </pt>
                <pt idx="126">
                  <v>5666</v>
                </pt>
                <pt idx="127">
                  <v>5689</v>
                </pt>
                <pt idx="128">
                  <v>5852</v>
                </pt>
                <pt idx="129">
                  <v>5839</v>
                </pt>
                <pt idx="130">
                  <v>5985</v>
                </pt>
                <pt idx="131">
                  <v>5809</v>
                </pt>
                <pt idx="132">
                  <v>5794</v>
                </pt>
                <pt idx="133">
                  <v>5576</v>
                </pt>
                <pt idx="134">
                  <v>5660</v>
                </pt>
                <pt idx="135">
                  <v>5709</v>
                </pt>
                <pt idx="136">
                  <v>5748</v>
                </pt>
                <pt idx="137">
                  <v>5908</v>
                </pt>
                <pt idx="138">
                  <v>5808</v>
                </pt>
                <pt idx="139">
                  <v>6132</v>
                </pt>
                <pt idx="140">
                  <v>5954</v>
                </pt>
                <pt idx="141">
                  <v>5841</v>
                </pt>
                <pt idx="142">
                  <v>6011</v>
                </pt>
                <pt idx="143">
                  <v>6013</v>
                </pt>
                <pt idx="144">
                  <v>6087</v>
                </pt>
                <pt idx="145">
                  <v>6093</v>
                </pt>
                <pt idx="146">
                  <v>6067</v>
                </pt>
                <pt idx="147">
                  <v>5941</v>
                </pt>
                <pt idx="148">
                  <v>5985</v>
                </pt>
                <pt idx="149">
                  <v>6017</v>
                </pt>
                <pt idx="150">
                  <v>6124</v>
                </pt>
                <pt idx="151">
                  <v>6192</v>
                </pt>
                <pt idx="152">
                  <v>6111</v>
                </pt>
                <pt idx="153">
                  <v>6094</v>
                </pt>
                <pt idx="154">
                  <v>6140</v>
                </pt>
                <pt idx="155">
                  <v>6122</v>
                </pt>
                <pt idx="156">
                  <v>6192</v>
                </pt>
                <pt idx="157">
                  <v>6269</v>
                </pt>
                <pt idx="158">
                  <v>6137</v>
                </pt>
                <pt idx="159">
                  <v>6318</v>
                </pt>
                <pt idx="160">
                  <v>6232</v>
                </pt>
                <pt idx="161">
                  <v>6135</v>
                </pt>
                <pt idx="162">
                  <v>6239</v>
                </pt>
                <pt idx="163">
                  <v>6274</v>
                </pt>
                <pt idx="164">
                  <v>6155</v>
                </pt>
                <pt idx="165">
                  <v>6377</v>
                </pt>
                <pt idx="166">
                  <v>6287</v>
                </pt>
                <pt idx="167">
                  <v>6462</v>
                </pt>
                <pt idx="168">
                  <v>6735</v>
                </pt>
                <pt idx="169">
                  <v>6629</v>
                </pt>
                <pt idx="170">
                  <v>6610</v>
                </pt>
                <pt idx="171">
                  <v>6580</v>
                </pt>
                <pt idx="172">
                  <v>6503</v>
                </pt>
                <pt idx="173">
                  <v>6524</v>
                </pt>
                <pt idx="174">
                  <v>6461</v>
                </pt>
                <pt idx="175">
                  <v>6412</v>
                </pt>
                <pt idx="176">
                  <v>6690</v>
                </pt>
                <pt idx="177">
                  <v>6589</v>
                </pt>
                <pt idx="178">
                  <v>6461</v>
                </pt>
                <pt idx="179">
                  <v>6566</v>
                </pt>
                <pt idx="180">
                  <v>6489</v>
                </pt>
                <pt idx="181">
                  <v>6494</v>
                </pt>
                <pt idx="182">
                  <v>6779</v>
                </pt>
                <pt idx="183">
                  <v>6640</v>
                </pt>
                <pt idx="184">
                  <v>6805</v>
                </pt>
                <pt idx="185">
                  <v>6850</v>
                </pt>
                <pt idx="186">
                  <v>6936</v>
                </pt>
                <pt idx="187">
                  <v>6780</v>
                </pt>
                <pt idx="188">
                  <v>6749</v>
                </pt>
                <pt idx="189">
                  <v>6834</v>
                </pt>
                <pt idx="190">
                  <v>6940</v>
                </pt>
                <pt idx="191">
                  <v>6756</v>
                </pt>
                <pt idx="192">
                  <v>6818</v>
                </pt>
                <pt idx="193">
                  <v>6751</v>
                </pt>
                <pt idx="194">
                  <v>6733</v>
                </pt>
                <pt idx="195">
                  <v>6809</v>
                </pt>
                <pt idx="196">
                  <v>6949</v>
                </pt>
                <pt idx="197">
                  <v>6879</v>
                </pt>
                <pt idx="198">
                  <v>6858</v>
                </pt>
                <pt idx="199">
                  <v>6931</v>
                </pt>
                <pt idx="200">
                  <v>6536</v>
                </pt>
                <pt idx="201">
                  <v>6426</v>
                </pt>
                <pt idx="202">
                  <v>6431</v>
                </pt>
                <pt idx="203">
                  <v>6470</v>
                </pt>
                <pt idx="204">
                  <v>6661</v>
                </pt>
                <pt idx="205">
                  <v>6535</v>
                </pt>
                <pt idx="206">
                  <v>6360</v>
                </pt>
                <pt idx="207">
                  <v>6514</v>
                </pt>
                <pt idx="208">
                  <v>6453</v>
                </pt>
                <pt idx="209">
                  <v>6473</v>
                </pt>
                <pt idx="210">
                  <v>6455</v>
                </pt>
                <pt idx="211">
                  <v>6628</v>
                </pt>
                <pt idx="212">
                  <v>6484</v>
                </pt>
                <pt idx="213">
                  <v>6408</v>
                </pt>
                <pt idx="214">
                  <v>6307</v>
                </pt>
                <pt idx="215">
                  <v>6523</v>
                </pt>
                <pt idx="216">
                  <v>6501</v>
                </pt>
                <pt idx="217">
                  <v>6412</v>
                </pt>
                <pt idx="218">
                  <v>6522</v>
                </pt>
                <pt idx="219">
                  <v>6416</v>
                </pt>
                <pt idx="220">
                  <v>6496</v>
                </pt>
                <pt idx="221">
                  <v>6497</v>
                </pt>
                <pt idx="222">
                  <v>6488</v>
                </pt>
                <pt idx="223">
                  <v>6446</v>
                </pt>
                <pt idx="224">
                  <v>6462</v>
                </pt>
                <pt idx="225">
                  <v>6571</v>
                </pt>
                <pt idx="226">
                  <v>6775</v>
                </pt>
                <pt idx="227">
                  <v>6584</v>
                </pt>
                <pt idx="228">
                  <v>6565</v>
                </pt>
                <pt idx="229">
                  <v>6611</v>
                </pt>
                <pt idx="230">
                  <v>6559</v>
                </pt>
                <pt idx="231">
                  <v>6615</v>
                </pt>
                <pt idx="232">
                  <v>6542</v>
                </pt>
                <pt idx="233">
                  <v>6578</v>
                </pt>
                <pt idx="234">
                  <v>6421</v>
                </pt>
                <pt idx="235">
                  <v>6661</v>
                </pt>
                <pt idx="236">
                  <v>6693</v>
                </pt>
                <pt idx="237">
                  <v>6589</v>
                </pt>
                <pt idx="238">
                  <v>6594</v>
                </pt>
                <pt idx="239">
                  <v>6353</v>
                </pt>
                <pt idx="240">
                  <v>6575</v>
                </pt>
                <pt idx="241">
                  <v>6667</v>
                </pt>
                <pt idx="242">
                  <v>6815</v>
                </pt>
                <pt idx="243">
                  <v>6843</v>
                </pt>
                <pt idx="244">
                  <v>6862</v>
                </pt>
                <pt idx="245">
                  <v>6804</v>
                </pt>
                <pt idx="246">
                  <v>6775</v>
                </pt>
                <pt idx="247">
                  <v>6750</v>
                </pt>
                <pt idx="248">
                  <v>6706</v>
                </pt>
                <pt idx="249">
                  <v>6749</v>
                </pt>
                <pt idx="250">
                  <v>6700</v>
                </pt>
                <pt idx="251">
                  <v>6820</v>
                </pt>
                <pt idx="252">
                  <v>7010</v>
                </pt>
                <pt idx="253">
                  <v>7009</v>
                </pt>
                <pt idx="254">
                  <v>6891</v>
                </pt>
                <pt idx="255">
                  <v>6795</v>
                </pt>
                <pt idx="256">
                  <v>6857</v>
                </pt>
                <pt idx="257">
                  <v>6893</v>
                </pt>
                <pt idx="258">
                  <v>6938</v>
                </pt>
                <pt idx="259">
                  <v>6764</v>
                </pt>
                <pt idx="260">
                  <v>6876</v>
                </pt>
                <pt idx="261">
                  <v>6863</v>
                </pt>
                <pt idx="262">
                  <v>6903</v>
                </pt>
                <pt idx="263">
                  <v>6870</v>
                </pt>
                <pt idx="264">
                  <v>6485</v>
                </pt>
                <pt idx="265">
                  <v>6798</v>
                </pt>
                <pt idx="266">
                  <v>6794</v>
                </pt>
                <pt idx="267">
                  <v>6903</v>
                </pt>
                <pt idx="268">
                  <v>6877</v>
                </pt>
                <pt idx="269">
                  <v>6952</v>
                </pt>
                <pt idx="270">
                  <v>6928</v>
                </pt>
                <pt idx="271">
                  <v>7166</v>
                </pt>
                <pt idx="272">
                  <v>7061</v>
                </pt>
                <pt idx="273">
                  <v>7157</v>
                </pt>
                <pt idx="274">
                  <v>7137</v>
                </pt>
                <pt idx="275">
                  <v>7074</v>
                </pt>
                <pt idx="276">
                  <v>6951</v>
                </pt>
                <pt idx="277">
                  <v>6985</v>
                </pt>
                <pt idx="278">
                  <v>7076</v>
                </pt>
                <pt idx="279">
                  <v>7082</v>
                </pt>
                <pt idx="280">
                  <v>7123</v>
                </pt>
                <pt idx="281">
                  <v>7094</v>
                </pt>
                <pt idx="282">
                  <v>7140</v>
                </pt>
                <pt idx="283">
                  <v>7170</v>
                </pt>
                <pt idx="284">
                  <v>7197</v>
                </pt>
                <pt idx="285">
                  <v>7106</v>
                </pt>
                <pt idx="286">
                  <v>7213</v>
                </pt>
                <pt idx="287">
                  <v>7353</v>
                </pt>
                <pt idx="288">
                  <v>7303</v>
                </pt>
                <pt idx="289">
                  <v>7296</v>
                </pt>
                <pt idx="290">
                  <v>7280</v>
                </pt>
                <pt idx="291">
                  <v>7213</v>
                </pt>
                <pt idx="292">
                  <v>7261</v>
                </pt>
                <pt idx="293">
                  <v>7562</v>
                </pt>
                <pt idx="294">
                  <v>7216</v>
                </pt>
                <pt idx="295">
                  <v>7039</v>
                </pt>
                <pt idx="296">
                  <v>7058</v>
                </pt>
                <pt idx="297">
                  <v>7084</v>
                </pt>
                <pt idx="298">
                  <v>6961</v>
                </pt>
                <pt idx="299">
                  <v>7075</v>
                </pt>
                <pt idx="300">
                  <v>7227</v>
                </pt>
                <pt idx="301">
                  <v>7051</v>
                </pt>
                <pt idx="302">
                  <v>6964</v>
                </pt>
                <pt idx="303">
                  <v>7028</v>
                </pt>
                <pt idx="304">
                  <v>6948</v>
                </pt>
                <pt idx="305">
                  <v>6945</v>
                </pt>
                <pt idx="306">
                  <v>6841</v>
                </pt>
                <pt idx="307">
                  <v>6913</v>
                </pt>
                <pt idx="308">
                  <v>7002</v>
                </pt>
                <pt idx="309">
                  <v>7031</v>
                </pt>
                <pt idx="310">
                  <v>7144</v>
                </pt>
                <pt idx="311">
                  <v>7059</v>
                </pt>
                <pt idx="312">
                  <v>6879</v>
                </pt>
                <pt idx="313">
                  <v>7163</v>
                </pt>
                <pt idx="314">
                  <v>7237</v>
                </pt>
                <pt idx="315">
                  <v>7127</v>
                </pt>
                <pt idx="316">
                  <v>7138</v>
                </pt>
                <pt idx="317">
                  <v>6919</v>
                </pt>
                <pt idx="318">
                  <v>6673</v>
                </pt>
                <pt idx="319">
                  <v>6608</v>
                </pt>
                <pt idx="320">
                  <v>6503</v>
                </pt>
                <pt idx="321">
                  <v>6501</v>
                </pt>
                <pt idx="322">
                  <v>6579</v>
                </pt>
                <pt idx="323">
                  <v>6398</v>
                </pt>
                <pt idx="324">
                  <v>6541</v>
                </pt>
                <pt idx="325">
                  <v>6594</v>
                </pt>
                <pt idx="326">
                  <v>6632</v>
                </pt>
                <pt idx="327">
                  <v>6775</v>
                </pt>
                <pt idx="328">
                  <v>6815</v>
                </pt>
                <pt idx="329">
                  <v>6892</v>
                </pt>
                <pt idx="330">
                  <v>6785</v>
                </pt>
                <pt idx="331">
                  <v>6775</v>
                </pt>
                <pt idx="332">
                  <v>6823</v>
                </pt>
                <pt idx="333">
                  <v>6846</v>
                </pt>
                <pt idx="334">
                  <v>6633</v>
                </pt>
                <pt idx="335">
                  <v>6702</v>
                </pt>
                <pt idx="336">
                  <v>6759</v>
                </pt>
                <pt idx="337">
                  <v>6769</v>
                </pt>
                <pt idx="338">
                  <v>5642</v>
                </pt>
                <pt idx="339">
                  <v>3771</v>
                </pt>
                <pt idx="340">
                  <v>6680</v>
                </pt>
                <pt idx="341">
                  <v>8552</v>
                </pt>
                <pt idx="342">
                  <v>8108</v>
                </pt>
                <pt idx="343">
                  <v>7526</v>
                </pt>
                <pt idx="344">
                  <v>8127</v>
                </pt>
                <pt idx="345">
                  <v>8026</v>
                </pt>
                <pt idx="346">
                  <v>7887</v>
                </pt>
                <pt idx="347">
                  <v>7737</v>
                </pt>
                <pt idx="348">
                  <v>8579</v>
                </pt>
                <pt idx="349">
                  <v>8030</v>
                </pt>
                <pt idx="350">
                  <v>9931</v>
                </pt>
                <pt idx="351">
                  <v>9749</v>
                </pt>
                <pt idx="352">
                  <v>9583</v>
                </pt>
                <pt idx="353">
                  <v>9449</v>
                </pt>
                <pt idx="354">
                  <v>9256</v>
                </pt>
                <pt idx="355">
                  <v>8910</v>
                </pt>
                <pt idx="356">
                  <v>9277</v>
                </pt>
                <pt idx="357">
                  <v>9341</v>
                </pt>
                <pt idx="358">
                  <v>9464</v>
                </pt>
                <pt idx="359">
                  <v>9140</v>
                </pt>
              </numCache>
            </numRef>
          </val>
          <smooth val="0"/>
        </ser>
        <dLbls>
          <showLegendKey val="0"/>
          <showVal val="0"/>
          <showCatName val="0"/>
          <showSerName val="0"/>
          <showPercent val="0"/>
          <showBubbleSize val="0"/>
        </dLbls>
        <smooth val="0"/>
        <axId val="919503544"/>
        <axId val="919502560"/>
      </lineChart>
      <dateAx>
        <axId val="9195035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19502560"/>
        <crosses val="autoZero"/>
        <lblOffset val="100"/>
        <baseTimeUnit val="months"/>
      </dateAx>
      <valAx>
        <axId val="919502560"/>
        <scaling>
          <orientation val="minMax"/>
          <min val="3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195035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strRef>
          <f>'Sporting Goods'!$D$6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'Sporting Goods'!$D$6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'Sporting Goods'!$A$7:$A$366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'Sporting Goods'!$D$7:$D$366</f>
              <numCache>
                <formatCode>General</formatCode>
                <ptCount val="360"/>
                <pt idx="12">
                  <formatCode>0.00%</formatCode>
                  <v>0.0776957163958641</v>
                </pt>
                <pt idx="13">
                  <formatCode>0.00%</formatCode>
                  <v>0.01962457337883959</v>
                </pt>
                <pt idx="14">
                  <formatCode>0.00%</formatCode>
                  <v>0.03618609994256174</v>
                </pt>
                <pt idx="15">
                  <formatCode>0.00%</formatCode>
                  <v>0.06053748231966054</v>
                </pt>
                <pt idx="16">
                  <formatCode>0.00%</formatCode>
                  <v>0.06662870159453303</v>
                </pt>
                <pt idx="17">
                  <formatCode>0.00%</formatCode>
                  <v>0.04311073541842773</v>
                </pt>
                <pt idx="18">
                  <formatCode>0.00%</formatCode>
                  <v>0.06246514221974345</v>
                </pt>
                <pt idx="19">
                  <formatCode>0.00%</formatCode>
                  <v>0.08314350797266515</v>
                </pt>
                <pt idx="20">
                  <formatCode>0.00%</formatCode>
                  <v>0.07263039820527202</v>
                </pt>
                <pt idx="21">
                  <formatCode>0.00%</formatCode>
                  <v>0.05822012752980316</v>
                </pt>
                <pt idx="22">
                  <formatCode>0.00%</formatCode>
                  <v>0.08383894098179813</v>
                </pt>
                <pt idx="23">
                  <formatCode>0.00%</formatCode>
                  <v>0.05736842105263158</v>
                </pt>
                <pt idx="24">
                  <formatCode>0.00%</formatCode>
                  <v>0.0912828947368421</v>
                </pt>
                <pt idx="25">
                  <formatCode>0.00%</formatCode>
                  <v>0.1422594142259414</v>
                </pt>
                <pt idx="26">
                  <formatCode>0.00%</formatCode>
                  <v>0.1449556541019956</v>
                </pt>
                <pt idx="27">
                  <formatCode>0.00%</formatCode>
                  <v>0.07628700986929848</v>
                </pt>
                <pt idx="28">
                  <formatCode>0.00%</formatCode>
                  <v>0.09957287773625201</v>
                </pt>
                <pt idx="29">
                  <formatCode>0.00%</formatCode>
                  <v>0.1169638033495408</v>
                </pt>
                <pt idx="30">
                  <formatCode>0.00%</formatCode>
                  <v>0.07900262467191602</v>
                </pt>
                <pt idx="31">
                  <formatCode>0.00%</formatCode>
                  <v>0.1169821240799159</v>
                </pt>
                <pt idx="32">
                  <formatCode>0.00%</formatCode>
                  <v>0.1257516339869281</v>
                </pt>
                <pt idx="33">
                  <formatCode>0.00%</formatCode>
                  <v>0.1388525019648939</v>
                </pt>
                <pt idx="34">
                  <formatCode>0.00%</formatCode>
                  <v>0.07404580152671755</v>
                </pt>
                <pt idx="35">
                  <formatCode>0.00%</formatCode>
                  <v>0.05898456943753111</v>
                </pt>
                <pt idx="36">
                  <formatCode>0.00%</formatCode>
                  <v>0.1142928912333585</v>
                </pt>
                <pt idx="37">
                  <formatCode>0.00%</formatCode>
                  <v>0.04957264957264957</v>
                </pt>
                <pt idx="38">
                  <formatCode>0.00%</formatCode>
                  <v>0.05228758169934641</v>
                </pt>
                <pt idx="39">
                  <formatCode>0.00%</formatCode>
                  <v>0.0768277571251549</v>
                </pt>
                <pt idx="40">
                  <formatCode>0.00%</formatCode>
                  <v>0.06336489439184267</v>
                </pt>
                <pt idx="41">
                  <formatCode>0.00%</formatCode>
                  <v>0.06916565900846433</v>
                </pt>
                <pt idx="42">
                  <formatCode>0.00%</formatCode>
                  <v>0.07735344198491852</v>
                </pt>
                <pt idx="43">
                  <formatCode>0.00%</formatCode>
                  <v>0.05012944222169922</v>
                </pt>
                <pt idx="44">
                  <formatCode>0.00%</formatCode>
                  <v>0.03135160241523455</v>
                </pt>
                <pt idx="45">
                  <formatCode>0.00%</formatCode>
                  <v>0.01541292845640672</v>
                </pt>
                <pt idx="46">
                  <formatCode>0.00%</formatCode>
                  <v>0.07367922293295427</v>
                </pt>
                <pt idx="47">
                  <formatCode>0.00%</formatCode>
                  <v>0.05875440658049354</v>
                </pt>
                <pt idx="48">
                  <formatCode>0.00%</formatCode>
                  <v>0.0369702434625789</v>
                </pt>
                <pt idx="49">
                  <formatCode>0.00%</formatCode>
                  <v>0.04350860865518846</v>
                </pt>
                <pt idx="50">
                  <formatCode>0.00%</formatCode>
                  <v>0.04623878536922015</v>
                </pt>
                <pt idx="51">
                  <formatCode>0.00%</formatCode>
                  <v>0.06513233601841197</v>
                </pt>
                <pt idx="52">
                  <formatCode>0.00%</formatCode>
                  <v>0.01187214611872146</v>
                </pt>
                <pt idx="53">
                  <formatCode>0.00%</formatCode>
                  <v>0.04252431576566388</v>
                </pt>
                <pt idx="54">
                  <formatCode>0.00%</formatCode>
                  <v>0.05102731993678031</v>
                </pt>
                <pt idx="55">
                  <formatCode>0.00%</formatCode>
                  <v>0.06185567010309279</v>
                </pt>
                <pt idx="56">
                  <formatCode>0.00%</formatCode>
                  <v>0.05606845305111462</v>
                </pt>
                <pt idx="57">
                  <formatCode>0.00%</formatCode>
                  <v>0.08042591753511553</v>
                </pt>
                <pt idx="58">
                  <formatCode>0.00%</formatCode>
                  <v>0.0353045013239188</v>
                </pt>
                <pt idx="59">
                  <formatCode>0.00%</formatCode>
                  <v>0.09655937846836848</v>
                </pt>
                <pt idx="60">
                  <formatCode>0.00%</formatCode>
                  <v>0.03217391304347826</v>
                </pt>
                <pt idx="61">
                  <formatCode>0.00%</formatCode>
                  <v>0.04035674470457079</v>
                </pt>
                <pt idx="62">
                  <formatCode>0.00%</formatCode>
                  <v>0.03298153034300792</v>
                </pt>
                <pt idx="63">
                  <formatCode>0.00%</formatCode>
                  <v>0.02095937770095074</v>
                </pt>
                <pt idx="64">
                  <formatCode>0.00%</formatCode>
                  <v>0.07468411552346571</v>
                </pt>
                <pt idx="65">
                  <formatCode>0.00%</formatCode>
                  <v>0.04968539813408548</v>
                </pt>
                <pt idx="66">
                  <formatCode>0.00%</formatCode>
                  <v>0.02814178302900107</v>
                </pt>
                <pt idx="67">
                  <formatCode>0.00%</formatCode>
                  <v>0.00147741663149008</v>
                </pt>
                <pt idx="68">
                  <formatCode>0.00%</formatCode>
                  <v>0.02921108742004264</v>
                </pt>
                <pt idx="69">
                  <formatCode>0.00%</formatCode>
                  <v>0.0228559446424827</v>
                </pt>
                <pt idx="70">
                  <formatCode>0.00%</formatCode>
                  <v>0.06884057971014493</v>
                </pt>
                <pt idx="71">
                  <formatCode>0.00%</formatCode>
                  <v>-0.005060728744939271</v>
                </pt>
                <pt idx="72">
                  <formatCode>0.00%</formatCode>
                  <v>0.01811288963774221</v>
                </pt>
                <pt idx="73">
                  <formatCode>0.00%</formatCode>
                  <v>0.07736819545649379</v>
                </pt>
                <pt idx="74">
                  <formatCode>0.00%</formatCode>
                  <v>0.06598552575564069</v>
                </pt>
                <pt idx="75">
                  <formatCode>0.00%</formatCode>
                  <v>0.06582010582010582</v>
                </pt>
                <pt idx="76">
                  <formatCode>0.00%</formatCode>
                  <v>0.04681923157673735</v>
                </pt>
                <pt idx="77">
                  <formatCode>0.00%</formatCode>
                  <v>0.05064076064489458</v>
                </pt>
                <pt idx="78">
                  <formatCode>0.00%</formatCode>
                  <v>0.05139991642290013</v>
                </pt>
                <pt idx="79">
                  <formatCode>0.00%</formatCode>
                  <v>0.06575342465753424</v>
                </pt>
                <pt idx="80">
                  <formatCode>0.00%</formatCode>
                  <v>0.04557696291692562</v>
                </pt>
                <pt idx="81">
                  <formatCode>0.00%</formatCode>
                  <v>0.04715047150471505</v>
                </pt>
                <pt idx="82">
                  <formatCode>0.00%</formatCode>
                  <v>0.01555333998005982</v>
                </pt>
                <pt idx="83">
                  <formatCode>0.00%</formatCode>
                  <v>0.04862665310274669</v>
                </pt>
                <pt idx="84">
                  <formatCode>0.00%</formatCode>
                  <v>0.05957798924286305</v>
                </pt>
                <pt idx="85">
                  <formatCode>0.00%</formatCode>
                  <v>0.05271533717923214</v>
                </pt>
                <pt idx="86">
                  <formatCode>0.00%</formatCode>
                  <v>0.05291533546325879</v>
                </pt>
                <pt idx="87">
                  <formatCode>0.00%</formatCode>
                  <v>0.04785544082605242</v>
                </pt>
                <pt idx="88">
                  <formatCode>0.00%</formatCode>
                  <v>0.06859205776173286</v>
                </pt>
                <pt idx="89">
                  <formatCode>0.00%</formatCode>
                  <v>0.0558725162305725</v>
                </pt>
                <pt idx="90">
                  <formatCode>0.00%</formatCode>
                  <v>0.05842607313195548</v>
                </pt>
                <pt idx="91">
                  <formatCode>0.00%</formatCode>
                  <v>0.04607474787423373</v>
                </pt>
                <pt idx="92">
                  <formatCode>0.00%</formatCode>
                  <v>0.0669704775113929</v>
                </pt>
                <pt idx="93">
                  <formatCode>0.00%</formatCode>
                  <v>0.05187940485512921</v>
                </pt>
                <pt idx="94">
                  <formatCode>0.00%</formatCode>
                  <v>0.06302768505792264</v>
                </pt>
                <pt idx="95">
                  <formatCode>0.00%</formatCode>
                  <v>0.05840124175397749</v>
                </pt>
                <pt idx="96">
                  <formatCode>0.00%</formatCode>
                  <v>0.02147598594299102</v>
                </pt>
                <pt idx="97">
                  <formatCode>0.00%</formatCode>
                  <v>0.04705215419501134</v>
                </pt>
                <pt idx="98">
                  <formatCode>0.00%</formatCode>
                  <v>0.06865162146785511</v>
                </pt>
                <pt idx="99">
                  <formatCode>0.00%</formatCode>
                  <v>0.07049459920409323</v>
                </pt>
                <pt idx="100">
                  <formatCode>0.00%</formatCode>
                  <v>0.08051801801801801</v>
                </pt>
                <pt idx="101">
                  <formatCode>0.00%</formatCode>
                  <v>0.05943730203092976</v>
                </pt>
                <pt idx="102">
                  <formatCode>0.00%</formatCode>
                  <v>0.08899737138565528</v>
                </pt>
                <pt idx="103">
                  <formatCode>0.00%</formatCode>
                  <v>0.06483931947069943</v>
                </pt>
                <pt idx="104">
                  <formatCode>0.00%</formatCode>
                  <v>0.06369545032497678</v>
                </pt>
                <pt idx="105">
                  <formatCode>0.00%</formatCode>
                  <v>0.04708728829331844</v>
                </pt>
                <pt idx="106">
                  <formatCode>0.00%</formatCode>
                  <v>0.03712596970816402</v>
                </pt>
                <pt idx="107">
                  <formatCode>0.00%</formatCode>
                  <v>0.02676443629697525</v>
                </pt>
                <pt idx="108">
                  <formatCode>0.00%</formatCode>
                  <v>0.02943425076452599</v>
                </pt>
                <pt idx="109">
                  <formatCode>0.00%</formatCode>
                  <v>0.03140227395776936</v>
                </pt>
                <pt idx="110">
                  <formatCode>0.00%</formatCode>
                  <v>0.01561668145519077</v>
                </pt>
                <pt idx="111">
                  <formatCode>0.00%</formatCode>
                  <v>0.00159320233669676</v>
                </pt>
                <pt idx="112">
                  <formatCode>0.00%</formatCode>
                  <v>-0.01354872329338197</v>
                </pt>
                <pt idx="113">
                  <formatCode>0.00%</formatCode>
                  <v>-0.0114315863524446</v>
                </pt>
                <pt idx="114">
                  <formatCode>0.00%</formatCode>
                  <v>-0.01672413793103448</v>
                </pt>
                <pt idx="115">
                  <formatCode>0.00%</formatCode>
                  <v>0.02520859222439198</v>
                </pt>
                <pt idx="116">
                  <formatCode>0.00%</formatCode>
                  <v>-0.009776536312849162</v>
                </pt>
                <pt idx="117">
                  <formatCode>0.00%</formatCode>
                  <v>0.03057234269463207</v>
                </pt>
                <pt idx="118">
                  <formatCode>0.00%</formatCode>
                  <v>0.08032056990204808</v>
                </pt>
                <pt idx="119">
                  <formatCode>0.00%</formatCode>
                  <v>0.03499375111587216</v>
                </pt>
                <pt idx="120">
                  <formatCode>0.00%</formatCode>
                  <v>0.07222428518380988</v>
                </pt>
                <pt idx="121">
                  <formatCode>0.00%</formatCode>
                  <v>-0.0006999125109361329</v>
                </pt>
                <pt idx="122">
                  <formatCode>0.00%</formatCode>
                  <v>-0.001048401188188013</v>
                </pt>
                <pt idx="123">
                  <formatCode>0.00%</formatCode>
                  <v>0.02492046659597031</v>
                </pt>
                <pt idx="124">
                  <formatCode>0.00%</formatCode>
                  <v>0.00915654164465575</v>
                </pt>
                <pt idx="125">
                  <formatCode>0.00%</formatCode>
                  <v>0.008717310087173101</v>
                </pt>
                <pt idx="126">
                  <formatCode>0.00%</formatCode>
                  <v>-0.006487813431527266</v>
                </pt>
                <pt idx="127">
                  <formatCode>0.00%</formatCode>
                  <v>-0.01489177489177489</v>
                </pt>
                <pt idx="128">
                  <formatCode>0.00%</formatCode>
                  <v>0.03173483779971791</v>
                </pt>
                <pt idx="129">
                  <formatCode>0.00%</formatCode>
                  <v>0.007071403932390479</v>
                </pt>
                <pt idx="130">
                  <formatCode>0.00%</formatCode>
                  <v>-0.01335311572700297</v>
                </pt>
                <pt idx="131">
                  <formatCode>0.00%</formatCode>
                  <v>0.002070036225633949</v>
                </pt>
                <pt idx="132">
                  <formatCode>0.00%</formatCode>
                  <v>0.00329004329004329</v>
                </pt>
                <pt idx="133">
                  <formatCode>0.00%</formatCode>
                  <v>-0.02363859219050954</v>
                </pt>
                <pt idx="134">
                  <formatCode>0.00%</formatCode>
                  <v>-0.009970264124540842</v>
                </pt>
                <pt idx="135">
                  <formatCode>0.00%</formatCode>
                  <v>-0.01551991722710812</v>
                </pt>
                <pt idx="136">
                  <formatCode>0.00%</formatCode>
                  <v>0.002966323503751527</v>
                </pt>
                <pt idx="137">
                  <formatCode>0.00%</formatCode>
                  <v>0.04197530864197531</v>
                </pt>
                <pt idx="138">
                  <formatCode>0.00%</formatCode>
                  <v>0.02506177197317331</v>
                </pt>
                <pt idx="139">
                  <formatCode>0.00%</formatCode>
                  <v>0.07786957285990508</v>
                </pt>
                <pt idx="140">
                  <formatCode>0.00%</formatCode>
                  <v>0.01742993848257006</v>
                </pt>
                <pt idx="141">
                  <formatCode>0.00%</formatCode>
                  <v>0.0003425244048638465</v>
                </pt>
                <pt idx="142">
                  <formatCode>0.00%</formatCode>
                  <v>0.004344193817878028</v>
                </pt>
                <pt idx="143">
                  <formatCode>0.00%</formatCode>
                  <v>0.03511792046823894</v>
                </pt>
                <pt idx="144">
                  <formatCode>0.00%</formatCode>
                  <v>0.0505695547117708</v>
                </pt>
                <pt idx="145">
                  <formatCode>0.00%</formatCode>
                  <v>0.09271879483500717</v>
                </pt>
                <pt idx="146">
                  <formatCode>0.00%</formatCode>
                  <v>0.07190812720848057</v>
                </pt>
                <pt idx="147">
                  <formatCode>0.00%</formatCode>
                  <v>0.04063758977053775</v>
                </pt>
                <pt idx="148">
                  <formatCode>0.00%</formatCode>
                  <v>0.04123173277661795</v>
                </pt>
                <pt idx="149">
                  <formatCode>0.00%</formatCode>
                  <v>0.01844955991875423</v>
                </pt>
                <pt idx="150">
                  <formatCode>0.00%</formatCode>
                  <v>0.05440771349862259</v>
                </pt>
                <pt idx="151">
                  <formatCode>0.00%</formatCode>
                  <v>0.009784735812133072</v>
                </pt>
                <pt idx="152">
                  <formatCode>0.00%</formatCode>
                  <v>0.02636882767887135</v>
                </pt>
                <pt idx="153">
                  <formatCode>0.00%</formatCode>
                  <v>0.04331450094161959</v>
                </pt>
                <pt idx="154">
                  <formatCode>0.00%</formatCode>
                  <v>0.02146065546498087</v>
                </pt>
                <pt idx="155">
                  <formatCode>0.00%</formatCode>
                  <v>0.0181273906535839</v>
                </pt>
                <pt idx="156">
                  <formatCode>0.00%</formatCode>
                  <v>0.01724987678659438</v>
                </pt>
                <pt idx="157">
                  <formatCode>0.00%</formatCode>
                  <v>0.02888560643361234</v>
                </pt>
                <pt idx="158">
                  <formatCode>0.00%</formatCode>
                  <v>0.01153782759189056</v>
                </pt>
                <pt idx="159">
                  <formatCode>0.00%</formatCode>
                  <v>0.06345733041575492</v>
                </pt>
                <pt idx="160">
                  <formatCode>0.00%</formatCode>
                  <v>0.04126984126984127</v>
                </pt>
                <pt idx="161">
                  <formatCode>0.00%</formatCode>
                  <v>0.0196111018780123</v>
                </pt>
                <pt idx="162">
                  <formatCode>0.00%</formatCode>
                  <v>0.01877857609405617</v>
                </pt>
                <pt idx="163">
                  <formatCode>0.00%</formatCode>
                  <v>0.01324289405684755</v>
                </pt>
                <pt idx="164">
                  <formatCode>0.00%</formatCode>
                  <v>0.007200130911471117</v>
                </pt>
                <pt idx="165">
                  <formatCode>0.00%</formatCode>
                  <v>0.04643912044634067</v>
                </pt>
                <pt idx="166">
                  <formatCode>0.00%</formatCode>
                  <v>0.0239413680781759</v>
                </pt>
                <pt idx="167">
                  <formatCode>0.00%</formatCode>
                  <v>0.0555374060764456</v>
                </pt>
                <pt idx="168">
                  <formatCode>0.00%</formatCode>
                  <v>0.08769379844961241</v>
                </pt>
                <pt idx="169">
                  <formatCode>0.00%</formatCode>
                  <v>0.05742542670282342</v>
                </pt>
                <pt idx="170">
                  <formatCode>0.00%</formatCode>
                  <v>0.07707348867524849</v>
                </pt>
                <pt idx="171">
                  <formatCode>0.00%</formatCode>
                  <v>0.04146881924659702</v>
                </pt>
                <pt idx="172">
                  <formatCode>0.00%</formatCode>
                  <v>0.04348523748395379</v>
                </pt>
                <pt idx="173">
                  <formatCode>0.00%</formatCode>
                  <v>0.06340668296658517</v>
                </pt>
                <pt idx="174">
                  <formatCode>0.00%</formatCode>
                  <v>0.0355826254207405</v>
                </pt>
                <pt idx="175">
                  <formatCode>0.00%</formatCode>
                  <v>0.02199553713739241</v>
                </pt>
                <pt idx="176">
                  <formatCode>0.00%</formatCode>
                  <v>0.08692120227457352</v>
                </pt>
                <pt idx="177">
                  <formatCode>0.00%</formatCode>
                  <v>0.03324447232240866</v>
                </pt>
                <pt idx="178">
                  <formatCode>0.00%</formatCode>
                  <v>0.02767615714967393</v>
                </pt>
                <pt idx="179">
                  <formatCode>0.00%</formatCode>
                  <v>0.01609408851748684</v>
                </pt>
                <pt idx="180">
                  <formatCode>0.00%</formatCode>
                  <v>-0.03652561247216036</v>
                </pt>
                <pt idx="181">
                  <formatCode>0.00%</formatCode>
                  <v>-0.02036506260371097</v>
                </pt>
                <pt idx="182">
                  <formatCode>0.00%</formatCode>
                  <v>0.02556732223903177</v>
                </pt>
                <pt idx="183">
                  <formatCode>0.00%</formatCode>
                  <v>0.00911854103343465</v>
                </pt>
                <pt idx="184">
                  <formatCode>0.00%</formatCode>
                  <v>0.04644010456712287</v>
                </pt>
                <pt idx="185">
                  <formatCode>0.00%</formatCode>
                  <v>0.04996934396076027</v>
                </pt>
                <pt idx="186">
                  <formatCode>0.00%</formatCode>
                  <v>0.07351803126451013</v>
                </pt>
                <pt idx="187">
                  <formatCode>0.00%</formatCode>
                  <v>0.05739238927011853</v>
                </pt>
                <pt idx="188">
                  <formatCode>0.00%</formatCode>
                  <v>0.008819133034379671</v>
                </pt>
                <pt idx="189">
                  <formatCode>0.00%</formatCode>
                  <v>0.03718318409470329</v>
                </pt>
                <pt idx="190">
                  <formatCode>0.00%</formatCode>
                  <v>0.07413713047515864</v>
                </pt>
                <pt idx="191">
                  <formatCode>0.00%</formatCode>
                  <v>0.02893694791349376</v>
                </pt>
                <pt idx="192">
                  <formatCode>0.00%</formatCode>
                  <v>0.05070118662351672</v>
                </pt>
                <pt idx="193">
                  <formatCode>0.00%</formatCode>
                  <v>0.03957499230058516</v>
                </pt>
                <pt idx="194">
                  <formatCode>0.00%</formatCode>
                  <v>-0.006785661602006196</v>
                </pt>
                <pt idx="195">
                  <formatCode>0.00%</formatCode>
                  <v>0.02545180722891566</v>
                </pt>
                <pt idx="196">
                  <formatCode>0.00%</formatCode>
                  <v>0.02116091109478325</v>
                </pt>
                <pt idx="197">
                  <formatCode>0.00%</formatCode>
                  <v>0.004233576642335766</v>
                </pt>
                <pt idx="198">
                  <formatCode>0.00%</formatCode>
                  <v>-0.01124567474048443</v>
                </pt>
                <pt idx="199">
                  <formatCode>0.00%</formatCode>
                  <v>0.02227138643067847</v>
                </pt>
                <pt idx="200">
                  <formatCode>0.00%</formatCode>
                  <v>-0.03156023114535487</v>
                </pt>
                <pt idx="201">
                  <formatCode>0.00%</formatCode>
                  <v>-0.05970149253731343</v>
                </pt>
                <pt idx="202">
                  <formatCode>0.00%</formatCode>
                  <v>-0.07334293948126801</v>
                </pt>
                <pt idx="203">
                  <formatCode>0.00%</formatCode>
                  <v>-0.0423327412670219</v>
                </pt>
                <pt idx="204">
                  <formatCode>0.00%</formatCode>
                  <v>-0.02302728072748607</v>
                </pt>
                <pt idx="205">
                  <formatCode>0.00%</formatCode>
                  <v>-0.03199525996148719</v>
                </pt>
                <pt idx="206">
                  <formatCode>0.00%</formatCode>
                  <v>-0.05539878211792663</v>
                </pt>
                <pt idx="207">
                  <formatCode>0.00%</formatCode>
                  <v>-0.04332501101483331</v>
                </pt>
                <pt idx="208">
                  <formatCode>0.00%</formatCode>
                  <v>-0.07137717657216866</v>
                </pt>
                <pt idx="209">
                  <formatCode>0.00%</formatCode>
                  <v>-0.05902020642535252</v>
                </pt>
                <pt idx="210">
                  <formatCode>0.00%</formatCode>
                  <v>-0.05876348789734617</v>
                </pt>
                <pt idx="211">
                  <formatCode>0.00%</formatCode>
                  <v>-0.0437166354061463</v>
                </pt>
                <pt idx="212">
                  <formatCode>0.00%</formatCode>
                  <v>-0.00795593635250918</v>
                </pt>
                <pt idx="213">
                  <formatCode>0.00%</formatCode>
                  <v>-0.002801120448179272</v>
                </pt>
                <pt idx="214">
                  <formatCode>0.00%</formatCode>
                  <v>-0.01928160472710309</v>
                </pt>
                <pt idx="215">
                  <formatCode>0.00%</formatCode>
                  <v>0.008191653786707883</v>
                </pt>
                <pt idx="216">
                  <formatCode>0.00%</formatCode>
                  <v>-0.02402041735475154</v>
                </pt>
                <pt idx="217">
                  <formatCode>0.00%</formatCode>
                  <v>-0.01882172915072686</v>
                </pt>
                <pt idx="218">
                  <formatCode>0.00%</formatCode>
                  <v>0.02547169811320755</v>
                </pt>
                <pt idx="219">
                  <formatCode>0.00%</formatCode>
                  <v>-0.01504451949646914</v>
                </pt>
                <pt idx="220">
                  <formatCode>0.00%</formatCode>
                  <v>0.0066635673330234</v>
                </pt>
                <pt idx="221">
                  <formatCode>0.00%</formatCode>
                  <v>0.003707708944847829</v>
                </pt>
                <pt idx="222">
                  <formatCode>0.00%</formatCode>
                  <v>0.005112316034082106</v>
                </pt>
                <pt idx="223">
                  <formatCode>0.00%</formatCode>
                  <v>-0.02745926372963187</v>
                </pt>
                <pt idx="224">
                  <formatCode>0.00%</formatCode>
                  <v>-0.003392967304133251</v>
                </pt>
                <pt idx="225">
                  <formatCode>0.00%</formatCode>
                  <v>0.02543695380774032</v>
                </pt>
                <pt idx="226">
                  <formatCode>0.00%</formatCode>
                  <v>0.07420326621214524</v>
                </pt>
                <pt idx="227">
                  <formatCode>0.00%</formatCode>
                  <v>0.00935152537176146</v>
                </pt>
                <pt idx="228">
                  <formatCode>0.00%</formatCode>
                  <v>0.009844639286263652</v>
                </pt>
                <pt idx="229">
                  <formatCode>0.00%</formatCode>
                  <v>0.03103555832813475</v>
                </pt>
                <pt idx="230">
                  <formatCode>0.00%</formatCode>
                  <v>0.00567310640907697</v>
                </pt>
                <pt idx="231">
                  <formatCode>0.00%</formatCode>
                  <v>0.03101620947630923</v>
                </pt>
                <pt idx="232">
                  <formatCode>0.00%</formatCode>
                  <v>0.00708128078817734</v>
                </pt>
                <pt idx="233">
                  <formatCode>0.00%</formatCode>
                  <v>0.01246729259658304</v>
                </pt>
                <pt idx="234">
                  <formatCode>0.00%</formatCode>
                  <v>-0.01032675709001233</v>
                </pt>
                <pt idx="235">
                  <formatCode>0.00%</formatCode>
                  <v>0.03335401799565622</v>
                </pt>
                <pt idx="236">
                  <formatCode>0.00%</formatCode>
                  <v>0.03574744661095636</v>
                </pt>
                <pt idx="237">
                  <formatCode>0.00%</formatCode>
                  <v>0.002739309085375133</v>
                </pt>
                <pt idx="238">
                  <formatCode>0.00%</formatCode>
                  <v>-0.02671586715867159</v>
                </pt>
                <pt idx="239">
                  <formatCode>0.00%</formatCode>
                  <v>-0.03508505467800729</v>
                </pt>
                <pt idx="240">
                  <formatCode>0.00%</formatCode>
                  <v>0.001523229246001523</v>
                </pt>
                <pt idx="241">
                  <formatCode>0.00%</formatCode>
                  <v>0.008470730600514294</v>
                </pt>
                <pt idx="242">
                  <formatCode>0.00%</formatCode>
                  <v>0.03903033999085227</v>
                </pt>
                <pt idx="243">
                  <formatCode>0.00%</formatCode>
                  <v>0.03446712018140589</v>
                </pt>
                <pt idx="244">
                  <formatCode>0.00%</formatCode>
                  <v>0.04891470498318557</v>
                </pt>
                <pt idx="245">
                  <formatCode>0.00%</formatCode>
                  <v>0.03435694740042566</v>
                </pt>
                <pt idx="246">
                  <formatCode>0.00%</formatCode>
                  <v>0.05513159943933967</v>
                </pt>
                <pt idx="247">
                  <formatCode>0.00%</formatCode>
                  <v>0.01336135715358054</v>
                </pt>
                <pt idx="248">
                  <formatCode>0.00%</formatCode>
                  <v>0.00194232780516958</v>
                </pt>
                <pt idx="249">
                  <formatCode>0.00%</formatCode>
                  <v>0.02428289573531643</v>
                </pt>
                <pt idx="250">
                  <formatCode>0.00%</formatCode>
                  <v>0.01607521989687595</v>
                </pt>
                <pt idx="251">
                  <formatCode>0.00%</formatCode>
                  <v>0.073508578624272</v>
                </pt>
                <pt idx="252">
                  <formatCode>0.00%</formatCode>
                  <v>0.0661596958174905</v>
                </pt>
                <pt idx="253">
                  <formatCode>0.00%</formatCode>
                  <v>0.05129743512824358</v>
                </pt>
                <pt idx="254">
                  <formatCode>0.00%</formatCode>
                  <v>0.0111518708730741</v>
                </pt>
                <pt idx="255">
                  <formatCode>0.00%</formatCode>
                  <v>-0.007014467338886454</v>
                </pt>
                <pt idx="256">
                  <formatCode>0.00%</formatCode>
                  <v>-0.000728650539201399</v>
                </pt>
                <pt idx="257">
                  <formatCode>0.00%</formatCode>
                  <v>0.01308054085831864</v>
                </pt>
                <pt idx="258">
                  <formatCode>0.00%</formatCode>
                  <v>0.02405904059040591</v>
                </pt>
                <pt idx="259">
                  <formatCode>0.00%</formatCode>
                  <v>0.002074074074074074</v>
                </pt>
                <pt idx="260">
                  <formatCode>0.00%</formatCode>
                  <v>0.02535043244855353</v>
                </pt>
                <pt idx="261">
                  <formatCode>0.00%</formatCode>
                  <v>0.01689139131723218</v>
                </pt>
                <pt idx="262">
                  <formatCode>0.00%</formatCode>
                  <v>0.03029850746268657</v>
                </pt>
                <pt idx="263">
                  <formatCode>0.00%</formatCode>
                  <v>0.007331378299120235</v>
                </pt>
                <pt idx="264">
                  <formatCode>0.00%</formatCode>
                  <v>-0.07489300998573467</v>
                </pt>
                <pt idx="265">
                  <formatCode>0.00%</formatCode>
                  <v>-0.03010415180482237</v>
                </pt>
                <pt idx="266">
                  <formatCode>0.00%</formatCode>
                  <v>-0.01407633144681469</v>
                </pt>
                <pt idx="267">
                  <formatCode>0.00%</formatCode>
                  <v>0.01589403973509934</v>
                </pt>
                <pt idx="268">
                  <formatCode>0.00%</formatCode>
                  <v>0.002916727431821496</v>
                </pt>
                <pt idx="269">
                  <formatCode>0.00%</formatCode>
                  <v>0.008559408095169013</v>
                </pt>
                <pt idx="270">
                  <formatCode>0.00%</formatCode>
                  <v>-0.001441337561256846</v>
                </pt>
                <pt idx="271">
                  <formatCode>0.00%</formatCode>
                  <v>0.05943228858663513</v>
                </pt>
                <pt idx="272">
                  <formatCode>0.00%</formatCode>
                  <v>0.02690517742873764</v>
                </pt>
                <pt idx="273">
                  <formatCode>0.00%</formatCode>
                  <v>0.04283840885909952</v>
                </pt>
                <pt idx="274">
                  <formatCode>0.00%</formatCode>
                  <v>0.03389830508474576</v>
                </pt>
                <pt idx="275">
                  <formatCode>0.00%</formatCode>
                  <v>0.0296943231441048</v>
                </pt>
                <pt idx="276">
                  <formatCode>0.00%</formatCode>
                  <v>0.07185813415574402</v>
                </pt>
                <pt idx="277">
                  <formatCode>0.00%</formatCode>
                  <v>0.02750809061488673</v>
                </pt>
                <pt idx="278">
                  <formatCode>0.00%</formatCode>
                  <v>0.0415072122460995</v>
                </pt>
                <pt idx="279">
                  <formatCode>0.00%</formatCode>
                  <v>0.02593075474431407</v>
                </pt>
                <pt idx="280">
                  <formatCode>0.00%</formatCode>
                  <v>0.03577141195288643</v>
                </pt>
                <pt idx="281">
                  <formatCode>0.00%</formatCode>
                  <v>0.02042577675489068</v>
                </pt>
                <pt idx="282">
                  <formatCode>0.00%</formatCode>
                  <v>0.03060046189376443</v>
                </pt>
                <pt idx="283">
                  <formatCode>0.00%</formatCode>
                  <v>0.0005581914596706671</v>
                </pt>
                <pt idx="284">
                  <formatCode>0.00%</formatCode>
                  <v>0.01926072794221782</v>
                </pt>
                <pt idx="285">
                  <formatCode>0.00%</formatCode>
                  <v>-0.007125890736342043</v>
                </pt>
                <pt idx="286">
                  <formatCode>0.00%</formatCode>
                  <v>0.01064873196020737</v>
                </pt>
                <pt idx="287">
                  <formatCode>0.00%</formatCode>
                  <v>0.03944020356234097</v>
                </pt>
                <pt idx="288">
                  <formatCode>0.00%</formatCode>
                  <v>0.0506401956553014</v>
                </pt>
                <pt idx="289">
                  <formatCode>0.00%</formatCode>
                  <v>0.04452397995705083</v>
                </pt>
                <pt idx="290">
                  <formatCode>0.00%</formatCode>
                  <v>0.02882984737139627</v>
                </pt>
                <pt idx="291">
                  <formatCode>0.00%</formatCode>
                  <v>0.01849759954815024</v>
                </pt>
                <pt idx="292">
                  <formatCode>0.00%</formatCode>
                  <v>0.01937385932893444</v>
                </pt>
                <pt idx="293">
                  <formatCode>0.00%</formatCode>
                  <v>0.06597124330420073</v>
                </pt>
                <pt idx="294">
                  <formatCode>0.00%</formatCode>
                  <v>0.01064425770308123</v>
                </pt>
                <pt idx="295">
                  <formatCode>0.00%</formatCode>
                  <v>-0.01827057182705718</v>
                </pt>
                <pt idx="296">
                  <formatCode>0.00%</formatCode>
                  <v>-0.0193136028900931</v>
                </pt>
                <pt idx="297">
                  <formatCode>0.00%</formatCode>
                  <v>-0.003095975232198143</v>
                </pt>
                <pt idx="298">
                  <formatCode>0.00%</formatCode>
                  <v>-0.03493691945099127</v>
                </pt>
                <pt idx="299">
                  <formatCode>0.00%</formatCode>
                  <v>-0.03780769753841969</v>
                </pt>
                <pt idx="300">
                  <formatCode>0.00%</formatCode>
                  <v>-0.01040668218540326</v>
                </pt>
                <pt idx="301">
                  <formatCode>0.00%</formatCode>
                  <v>-0.03358004385964912</v>
                </pt>
                <pt idx="302">
                  <formatCode>0.00%</formatCode>
                  <v>-0.04340659340659341</v>
                </pt>
                <pt idx="303">
                  <formatCode>0.00%</formatCode>
                  <v>-0.02564813531124359</v>
                </pt>
                <pt idx="304">
                  <formatCode>0.00%</formatCode>
                  <v>-0.04310701005371161</v>
                </pt>
                <pt idx="305">
                  <formatCode>0.00%</formatCode>
                  <v>-0.08159217138323195</v>
                </pt>
                <pt idx="306">
                  <formatCode>0.00%</formatCode>
                  <v>-0.05196784922394679</v>
                </pt>
                <pt idx="307">
                  <formatCode>0.00%</formatCode>
                  <v>-0.01790026992470522</v>
                </pt>
                <pt idx="308">
                  <formatCode>0.00%</formatCode>
                  <v>-0.00793425899688297</v>
                </pt>
                <pt idx="309">
                  <formatCode>0.00%</formatCode>
                  <v>-0.007481648785996612</v>
                </pt>
                <pt idx="310">
                  <formatCode>0.00%</formatCode>
                  <v>0.02628932624622899</v>
                </pt>
                <pt idx="311">
                  <formatCode>0.00%</formatCode>
                  <v>-0.002261484098939929</v>
                </pt>
                <pt idx="312">
                  <formatCode>0.00%</formatCode>
                  <v>-0.04815276048152761</v>
                </pt>
                <pt idx="313">
                  <formatCode>0.00%</formatCode>
                  <v>0.01588427173450574</v>
                </pt>
                <pt idx="314">
                  <formatCode>0.00%</formatCode>
                  <v>0.03920160827110856</v>
                </pt>
                <pt idx="315">
                  <formatCode>0.00%</formatCode>
                  <v>0.01408651109846329</v>
                </pt>
                <pt idx="316">
                  <formatCode>0.00%</formatCode>
                  <v>0.02734599884858952</v>
                </pt>
                <pt idx="317">
                  <formatCode>0.00%</formatCode>
                  <v>-0.003743700503959683</v>
                </pt>
                <pt idx="318">
                  <formatCode>0.00%</formatCode>
                  <v>-0.02455781318520684</v>
                </pt>
                <pt idx="319">
                  <formatCode>0.00%</formatCode>
                  <v>-0.04411977433820338</v>
                </pt>
                <pt idx="320">
                  <formatCode>0.00%</formatCode>
                  <v>-0.07126535275635533</v>
                </pt>
                <pt idx="321">
                  <formatCode>0.00%</formatCode>
                  <v>-0.075380457971839</v>
                </pt>
                <pt idx="322">
                  <formatCode>0.00%</formatCode>
                  <v>-0.07908734602463606</v>
                </pt>
                <pt idx="323">
                  <formatCode>0.00%</formatCode>
                  <v>-0.09363932568352458</v>
                </pt>
                <pt idx="324">
                  <formatCode>0.00%</formatCode>
                  <v>-0.0491350486989388</v>
                </pt>
                <pt idx="325">
                  <formatCode>0.00%</formatCode>
                  <v>-0.0794359905067709</v>
                </pt>
                <pt idx="326">
                  <formatCode>0.00%</formatCode>
                  <v>-0.0835981760397955</v>
                </pt>
                <pt idx="327">
                  <formatCode>0.00%</formatCode>
                  <v>-0.04938964501192648</v>
                </pt>
                <pt idx="328">
                  <formatCode>0.00%</formatCode>
                  <v>-0.04525077052395629</v>
                </pt>
                <pt idx="329">
                  <formatCode>0.00%</formatCode>
                  <v>-0.003902298019945079</v>
                </pt>
                <pt idx="330">
                  <formatCode>0.00%</formatCode>
                  <v>0.01678405514760977</v>
                </pt>
                <pt idx="331">
                  <formatCode>0.00%</formatCode>
                  <v>0.02527239709443099</v>
                </pt>
                <pt idx="332">
                  <formatCode>0.00%</formatCode>
                  <v>0.04920805781946794</v>
                </pt>
                <pt idx="333">
                  <formatCode>0.00%</formatCode>
                  <v>0.053068758652515</v>
                </pt>
                <pt idx="334">
                  <formatCode>0.00%</formatCode>
                  <v>0.008207934336525308</v>
                </pt>
                <pt idx="335">
                  <formatCode>0.00%</formatCode>
                  <v>0.04751484839012191</v>
                </pt>
                <pt idx="336">
                  <formatCode>0.00%</formatCode>
                  <v>0.03332823727258829</v>
                </pt>
                <pt idx="337">
                  <formatCode>0.00%</formatCode>
                  <v>0.02653927813163482</v>
                </pt>
                <pt idx="338">
                  <formatCode>0.00%</formatCode>
                  <v>-0.1492762364294331</v>
                </pt>
                <pt idx="339">
                  <formatCode>0.00%</formatCode>
                  <v>-0.4433948339483395</v>
                </pt>
                <pt idx="340">
                  <formatCode>0.00%</formatCode>
                  <v>-0.0198092443140132</v>
                </pt>
                <pt idx="341">
                  <formatCode>0.00%</formatCode>
                  <v>0.240858966918166</v>
                </pt>
                <pt idx="342">
                  <formatCode>0.00%</formatCode>
                  <v>0.1949889462048637</v>
                </pt>
                <pt idx="343">
                  <formatCode>0.00%</formatCode>
                  <v>0.1108487084870849</v>
                </pt>
                <pt idx="344">
                  <formatCode>0.00%</formatCode>
                  <v>0.1911182764179979</v>
                </pt>
                <pt idx="345">
                  <formatCode>0.00%</formatCode>
                  <v>0.1723634238971662</v>
                </pt>
                <pt idx="346">
                  <formatCode>0.00%</formatCode>
                  <v>0.1890547263681592</v>
                </pt>
                <pt idx="347">
                  <formatCode>0.00%</formatCode>
                  <v>0.1544315129811996</v>
                </pt>
                <pt idx="348">
                  <formatCode>0.00%</formatCode>
                  <v>0.2692706021600829</v>
                </pt>
                <pt idx="349">
                  <formatCode>0.00%</formatCode>
                  <v>0.1862904417196041</v>
                </pt>
                <pt idx="350">
                  <formatCode>0.00%</formatCode>
                  <v>0.760191421481744</v>
                </pt>
                <pt idx="351">
                  <formatCode>0.00%</formatCode>
                  <v>1.5852559002917</v>
                </pt>
                <pt idx="352">
                  <formatCode>0.00%</formatCode>
                  <v>0.4345808383233533</v>
                </pt>
                <pt idx="353">
                  <formatCode>0.00%</formatCode>
                  <v>0.104887745556595</v>
                </pt>
                <pt idx="354">
                  <formatCode>0.00%</formatCode>
                  <v>0.1415885545140602</v>
                </pt>
                <pt idx="355">
                  <formatCode>0.00%</formatCode>
                  <v>0.1838958277969705</v>
                </pt>
                <pt idx="356">
                  <formatCode>0.00%</formatCode>
                  <v>0.1415036298757229</v>
                </pt>
                <pt idx="357">
                  <formatCode>0.00%</formatCode>
                  <v>0.1638425118365313</v>
                </pt>
                <pt idx="358">
                  <formatCode>0.00%</formatCode>
                  <v>0.199949283631292</v>
                </pt>
                <pt idx="359">
                  <formatCode>0.00%</formatCode>
                  <v>0.181336435310844</v>
                </pt>
              </numCache>
            </numRef>
          </val>
          <smooth val="0"/>
        </ser>
        <dLbls>
          <showLegendKey val="0"/>
          <showVal val="0"/>
          <showCatName val="0"/>
          <showSerName val="0"/>
          <showPercent val="0"/>
          <showBubbleSize val="0"/>
        </dLbls>
        <smooth val="0"/>
        <axId val="1039182047"/>
        <axId val="1039181719"/>
      </lineChart>
      <dateAx>
        <axId val="1039182047"/>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9181719"/>
        <crosses val="autoZero"/>
        <lblOffset val="100"/>
        <baseTimeUnit val="months"/>
      </dateAx>
      <valAx>
        <axId val="1039181719"/>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9182047"/>
        <crosses val="autoZero"/>
        <crossBetween val="between"/>
      </valAx>
    </plotArea>
    <plotVisOnly val="1"/>
    <dispBlanksAs val="gap"/>
  </chart>
</chartSpace>
</file>

<file path=xl/charts/chart18.xml><?xml version="1.0" encoding="utf-8"?>
<chartSpace xmlns="http://schemas.openxmlformats.org/drawingml/2006/chart">
  <chart>
    <title>
      <tx>
        <strRef>
          <f>'General Merchandising'!$B$6</f>
          <strCache>
            <ptCount val="1"/>
            <pt idx="0">
              <v>General Merchandise Stores,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'General Merchandising'!$B$6</f>
              <strCache>
                <ptCount val="1"/>
                <pt idx="0">
                  <v>General Merchandise Stores,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'General Merchandising'!$A$7:$A$366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'General Merchandising'!$B$7:$B$366</f>
              <numCache>
                <formatCode>#,##0</formatCode>
                <ptCount val="360"/>
                <pt idx="0">
                  <v>19879</v>
                </pt>
                <pt idx="1">
                  <v>20202</v>
                </pt>
                <pt idx="2">
                  <v>20168</v>
                </pt>
                <pt idx="3">
                  <v>20258</v>
                </pt>
                <pt idx="4">
                  <v>20345</v>
                </pt>
                <pt idx="5">
                  <v>20298</v>
                </pt>
                <pt idx="6">
                  <v>20205</v>
                </pt>
                <pt idx="7">
                  <v>20593</v>
                </pt>
                <pt idx="8">
                  <v>20684</v>
                </pt>
                <pt idx="9">
                  <v>20851</v>
                </pt>
                <pt idx="10">
                  <v>21078</v>
                </pt>
                <pt idx="11">
                  <v>21752</v>
                </pt>
                <pt idx="12">
                  <v>21383</v>
                </pt>
                <pt idx="13">
                  <v>21392</v>
                </pt>
                <pt idx="14">
                  <v>21273</v>
                </pt>
                <pt idx="15">
                  <v>21759</v>
                </pt>
                <pt idx="16">
                  <v>21993</v>
                </pt>
                <pt idx="17">
                  <v>21957</v>
                </pt>
                <pt idx="18">
                  <v>22343</v>
                </pt>
                <pt idx="19">
                  <v>22315</v>
                </pt>
                <pt idx="20">
                  <v>22429</v>
                </pt>
                <pt idx="21">
                  <v>22647</v>
                </pt>
                <pt idx="22">
                  <v>22760</v>
                </pt>
                <pt idx="23">
                  <v>22905</v>
                </pt>
                <pt idx="24">
                  <v>22706</v>
                </pt>
                <pt idx="25">
                  <v>23070</v>
                </pt>
                <pt idx="26">
                  <v>23657</v>
                </pt>
                <pt idx="27">
                  <v>23354</v>
                </pt>
                <pt idx="28">
                  <v>23271</v>
                </pt>
                <pt idx="29">
                  <v>23626</v>
                </pt>
                <pt idx="30">
                  <v>23635</v>
                </pt>
                <pt idx="31">
                  <v>23889</v>
                </pt>
                <pt idx="32">
                  <v>23995</v>
                </pt>
                <pt idx="33">
                  <v>24255</v>
                </pt>
                <pt idx="34">
                  <v>24356</v>
                </pt>
                <pt idx="35">
                  <v>24583</v>
                </pt>
                <pt idx="36">
                  <v>24936</v>
                </pt>
                <pt idx="37">
                  <v>24115</v>
                </pt>
                <pt idx="38">
                  <v>24579</v>
                </pt>
                <pt idx="39">
                  <v>24747</v>
                </pt>
                <pt idx="40">
                  <v>24851</v>
                </pt>
                <pt idx="41">
                  <v>25166</v>
                </pt>
                <pt idx="42">
                  <v>25375</v>
                </pt>
                <pt idx="43">
                  <v>25174</v>
                </pt>
                <pt idx="44">
                  <v>25469</v>
                </pt>
                <pt idx="45">
                  <v>25135</v>
                </pt>
                <pt idx="46">
                  <v>25414</v>
                </pt>
                <pt idx="47">
                  <v>25554</v>
                </pt>
                <pt idx="48">
                  <v>25215</v>
                </pt>
                <pt idx="49">
                  <v>25616</v>
                </pt>
                <pt idx="50">
                  <v>25576</v>
                </pt>
                <pt idx="51">
                  <v>26103</v>
                </pt>
                <pt idx="52">
                  <v>26216</v>
                </pt>
                <pt idx="53">
                  <v>26085</v>
                </pt>
                <pt idx="54">
                  <v>26209</v>
                </pt>
                <pt idx="55">
                  <v>26441</v>
                </pt>
                <pt idx="56">
                  <v>26590</v>
                </pt>
                <pt idx="57">
                  <v>26904</v>
                </pt>
                <pt idx="58">
                  <v>26772</v>
                </pt>
                <pt idx="59">
                  <v>27051</v>
                </pt>
                <pt idx="60">
                  <v>27216</v>
                </pt>
                <pt idx="61">
                  <v>27262</v>
                </pt>
                <pt idx="62">
                  <v>27304</v>
                </pt>
                <pt idx="63">
                  <v>27179</v>
                </pt>
                <pt idx="64">
                  <v>27328</v>
                </pt>
                <pt idx="65">
                  <v>27433</v>
                </pt>
                <pt idx="66">
                  <v>27949</v>
                </pt>
                <pt idx="67">
                  <v>27939</v>
                </pt>
                <pt idx="68">
                  <v>27868</v>
                </pt>
                <pt idx="69">
                  <v>28155</v>
                </pt>
                <pt idx="70">
                  <v>28151</v>
                </pt>
                <pt idx="71">
                  <v>28008</v>
                </pt>
                <pt idx="72">
                  <v>28402</v>
                </pt>
                <pt idx="73">
                  <v>28748</v>
                </pt>
                <pt idx="74">
                  <v>28714</v>
                </pt>
                <pt idx="75">
                  <v>29123</v>
                </pt>
                <pt idx="76">
                  <v>29076</v>
                </pt>
                <pt idx="77">
                  <v>29170</v>
                </pt>
                <pt idx="78">
                  <v>29113</v>
                </pt>
                <pt idx="79">
                  <v>29274</v>
                </pt>
                <pt idx="80">
                  <v>29559</v>
                </pt>
                <pt idx="81">
                  <v>29720</v>
                </pt>
                <pt idx="82">
                  <v>30094</v>
                </pt>
                <pt idx="83">
                  <v>30129</v>
                </pt>
                <pt idx="84">
                  <v>30664</v>
                </pt>
                <pt idx="85">
                  <v>31094</v>
                </pt>
                <pt idx="86">
                  <v>31390</v>
                </pt>
                <pt idx="87">
                  <v>31009</v>
                </pt>
                <pt idx="88">
                  <v>31165</v>
                </pt>
                <pt idx="89">
                  <v>31652</v>
                </pt>
                <pt idx="90">
                  <v>31549</v>
                </pt>
                <pt idx="91">
                  <v>31806</v>
                </pt>
                <pt idx="92">
                  <v>32152</v>
                </pt>
                <pt idx="93">
                  <v>32085</v>
                </pt>
                <pt idx="94">
                  <v>32161</v>
                </pt>
                <pt idx="95">
                  <v>33101</v>
                </pt>
                <pt idx="96">
                  <v>32179</v>
                </pt>
                <pt idx="97">
                  <v>32576</v>
                </pt>
                <pt idx="98">
                  <v>33105</v>
                </pt>
                <pt idx="99">
                  <v>32879</v>
                </pt>
                <pt idx="100">
                  <v>33339</v>
                </pt>
                <pt idx="101">
                  <v>33408</v>
                </pt>
                <pt idx="102">
                  <v>33586</v>
                </pt>
                <pt idx="103">
                  <v>33823</v>
                </pt>
                <pt idx="104">
                  <v>34146</v>
                </pt>
                <pt idx="105">
                  <v>34280</v>
                </pt>
                <pt idx="106">
                  <v>34458</v>
                </pt>
                <pt idx="107">
                  <v>34734</v>
                </pt>
                <pt idx="108">
                  <v>35601</v>
                </pt>
                <pt idx="109">
                  <v>34655</v>
                </pt>
                <pt idx="110">
                  <v>34069</v>
                </pt>
                <pt idx="111">
                  <v>35364</v>
                </pt>
                <pt idx="112">
                  <v>35202</v>
                </pt>
                <pt idx="113">
                  <v>35114</v>
                </pt>
                <pt idx="114">
                  <v>35720</v>
                </pt>
                <pt idx="115">
                  <v>35915</v>
                </pt>
                <pt idx="116">
                  <v>35822</v>
                </pt>
                <pt idx="117">
                  <v>36229</v>
                </pt>
                <pt idx="118">
                  <v>36656</v>
                </pt>
                <pt idx="119">
                  <v>37054</v>
                </pt>
                <pt idx="120">
                  <v>36811</v>
                </pt>
                <pt idx="121">
                  <v>36974</v>
                </pt>
                <pt idx="122">
                  <v>37144</v>
                </pt>
                <pt idx="123">
                  <v>37491</v>
                </pt>
                <pt idx="124">
                  <v>37114</v>
                </pt>
                <pt idx="125">
                  <v>37417</v>
                </pt>
                <pt idx="126">
                  <v>37132</v>
                </pt>
                <pt idx="127">
                  <v>37202</v>
                </pt>
                <pt idx="128">
                  <v>37059</v>
                </pt>
                <pt idx="129">
                  <v>37816</v>
                </pt>
                <pt idx="130">
                  <v>37698</v>
                </pt>
                <pt idx="131">
                  <v>37716</v>
                </pt>
                <pt idx="132">
                  <v>37740</v>
                </pt>
                <pt idx="133">
                  <v>38030</v>
                </pt>
                <pt idx="134">
                  <v>38391</v>
                </pt>
                <pt idx="135">
                  <v>38321</v>
                </pt>
                <pt idx="136">
                  <v>38483</v>
                </pt>
                <pt idx="137">
                  <v>38866</v>
                </pt>
                <pt idx="138">
                  <v>39404</v>
                </pt>
                <pt idx="139">
                  <v>40085</v>
                </pt>
                <pt idx="140">
                  <v>39896</v>
                </pt>
                <pt idx="141">
                  <v>39649</v>
                </pt>
                <pt idx="142">
                  <v>39945</v>
                </pt>
                <pt idx="143">
                  <v>40084</v>
                </pt>
                <pt idx="144">
                  <v>40436</v>
                </pt>
                <pt idx="145">
                  <v>40519</v>
                </pt>
                <pt idx="146">
                  <v>41079</v>
                </pt>
                <pt idx="147">
                  <v>40662</v>
                </pt>
                <pt idx="148">
                  <v>41332</v>
                </pt>
                <pt idx="149">
                  <v>40756</v>
                </pt>
                <pt idx="150">
                  <v>41197</v>
                </pt>
                <pt idx="151">
                  <v>41323</v>
                </pt>
                <pt idx="152">
                  <v>41555</v>
                </pt>
                <pt idx="153">
                  <v>42042</v>
                </pt>
                <pt idx="154">
                  <v>42179</v>
                </pt>
                <pt idx="155">
                  <v>42656</v>
                </pt>
                <pt idx="156">
                  <v>42556</v>
                </pt>
                <pt idx="157">
                  <v>43183</v>
                </pt>
                <pt idx="158">
                  <v>42949</v>
                </pt>
                <pt idx="159">
                  <v>43601</v>
                </pt>
                <pt idx="160">
                  <v>43423</v>
                </pt>
                <pt idx="161">
                  <v>44354</v>
                </pt>
                <pt idx="162">
                  <v>44017</v>
                </pt>
                <pt idx="163">
                  <v>44214</v>
                </pt>
                <pt idx="164">
                  <v>44502</v>
                </pt>
                <pt idx="165">
                  <v>45267</v>
                </pt>
                <pt idx="166">
                  <v>45226</v>
                </pt>
                <pt idx="167">
                  <v>44778</v>
                </pt>
                <pt idx="168">
                  <v>45710</v>
                </pt>
                <pt idx="169">
                  <v>45774</v>
                </pt>
                <pt idx="170">
                  <v>45635</v>
                </pt>
                <pt idx="171">
                  <v>46048</v>
                </pt>
                <pt idx="172">
                  <v>45806</v>
                </pt>
                <pt idx="173">
                  <v>45956</v>
                </pt>
                <pt idx="174">
                  <v>45838</v>
                </pt>
                <pt idx="175">
                  <v>46043</v>
                </pt>
                <pt idx="176">
                  <v>46712</v>
                </pt>
                <pt idx="177">
                  <v>46679</v>
                </pt>
                <pt idx="178">
                  <v>46800</v>
                </pt>
                <pt idx="179">
                  <v>47344</v>
                </pt>
                <pt idx="180">
                  <v>48034</v>
                </pt>
                <pt idx="181">
                  <v>47293</v>
                </pt>
                <pt idx="182">
                  <v>48132</v>
                </pt>
                <pt idx="183">
                  <v>47679</v>
                </pt>
                <pt idx="184">
                  <v>47887</v>
                </pt>
                <pt idx="185">
                  <v>47852</v>
                </pt>
                <pt idx="186">
                  <v>48412</v>
                </pt>
                <pt idx="187">
                  <v>48704</v>
                </pt>
                <pt idx="188">
                  <v>48288</v>
                </pt>
                <pt idx="189">
                  <v>48540</v>
                </pt>
                <pt idx="190">
                  <v>49047</v>
                </pt>
                <pt idx="191">
                  <v>49302</v>
                </pt>
                <pt idx="192">
                  <v>48951</v>
                </pt>
                <pt idx="193">
                  <v>48927</v>
                </pt>
                <pt idx="194">
                  <v>48990</v>
                </pt>
                <pt idx="195">
                  <v>49433</v>
                </pt>
                <pt idx="196">
                  <v>50375</v>
                </pt>
                <pt idx="197">
                  <v>50762</v>
                </pt>
                <pt idx="198">
                  <v>50582</v>
                </pt>
                <pt idx="199">
                  <v>50131</v>
                </pt>
                <pt idx="200">
                  <v>49436</v>
                </pt>
                <pt idx="201">
                  <v>49260</v>
                </pt>
                <pt idx="202">
                  <v>49464</v>
                </pt>
                <pt idx="203">
                  <v>48906</v>
                </pt>
                <pt idx="204">
                  <v>49288</v>
                </pt>
                <pt idx="205">
                  <v>49199</v>
                </pt>
                <pt idx="206">
                  <v>48840</v>
                </pt>
                <pt idx="207">
                  <v>48887</v>
                </pt>
                <pt idx="208">
                  <v>49085</v>
                </pt>
                <pt idx="209">
                  <v>48792</v>
                </pt>
                <pt idx="210">
                  <v>48812</v>
                </pt>
                <pt idx="211">
                  <v>48934</v>
                </pt>
                <pt idx="212">
                  <v>49220</v>
                </pt>
                <pt idx="213">
                  <v>49725</v>
                </pt>
                <pt idx="214">
                  <v>49156</v>
                </pt>
                <pt idx="215">
                  <v>49657</v>
                </pt>
                <pt idx="216">
                  <v>49849</v>
                </pt>
                <pt idx="217">
                  <v>50538</v>
                </pt>
                <pt idx="218">
                  <v>50064</v>
                </pt>
                <pt idx="219">
                  <v>50656</v>
                </pt>
                <pt idx="220">
                  <v>49985</v>
                </pt>
                <pt idx="221">
                  <v>49971</v>
                </pt>
                <pt idx="222">
                  <v>49870</v>
                </pt>
                <pt idx="223">
                  <v>50160</v>
                </pt>
                <pt idx="224">
                  <v>50254</v>
                </pt>
                <pt idx="225">
                  <v>50259</v>
                </pt>
                <pt idx="226">
                  <v>51386</v>
                </pt>
                <pt idx="227">
                  <v>50916</v>
                </pt>
                <pt idx="228">
                  <v>50839</v>
                </pt>
                <pt idx="229">
                  <v>51513</v>
                </pt>
                <pt idx="230">
                  <v>51641</v>
                </pt>
                <pt idx="231">
                  <v>52005</v>
                </pt>
                <pt idx="232">
                  <v>51790</v>
                </pt>
                <pt idx="233">
                  <v>52353</v>
                </pt>
                <pt idx="234">
                  <v>52123</v>
                </pt>
                <pt idx="235">
                  <v>52136</v>
                </pt>
                <pt idx="236">
                  <v>52575</v>
                </pt>
                <pt idx="237">
                  <v>52455</v>
                </pt>
                <pt idx="238">
                  <v>52657</v>
                </pt>
                <pt idx="239">
                  <v>52458</v>
                </pt>
                <pt idx="240">
                  <v>53149</v>
                </pt>
                <pt idx="241">
                  <v>53944</v>
                </pt>
                <pt idx="242">
                  <v>53658</v>
                </pt>
                <pt idx="243">
                  <v>53285</v>
                </pt>
                <pt idx="244">
                  <v>53154</v>
                </pt>
                <pt idx="245">
                  <v>53132</v>
                </pt>
                <pt idx="246">
                  <v>53280</v>
                </pt>
                <pt idx="247">
                  <v>53554</v>
                </pt>
                <pt idx="248">
                  <v>53450</v>
                </pt>
                <pt idx="249">
                  <v>53674</v>
                </pt>
                <pt idx="250">
                  <v>53464</v>
                </pt>
                <pt idx="251">
                  <v>53676</v>
                </pt>
                <pt idx="252">
                  <v>54074</v>
                </pt>
                <pt idx="253">
                  <v>54534</v>
                </pt>
                <pt idx="254">
                  <v>54236</v>
                </pt>
                <pt idx="255">
                  <v>54198</v>
                </pt>
                <pt idx="256">
                  <v>54453</v>
                </pt>
                <pt idx="257">
                  <v>54447</v>
                </pt>
                <pt idx="258">
                  <v>54636</v>
                </pt>
                <pt idx="259">
                  <v>54466</v>
                </pt>
                <pt idx="260">
                  <v>54836</v>
                </pt>
                <pt idx="261">
                  <v>54919</v>
                </pt>
                <pt idx="262">
                  <v>54770</v>
                </pt>
                <pt idx="263">
                  <v>54662</v>
                </pt>
                <pt idx="264">
                  <v>54538</v>
                </pt>
                <pt idx="265">
                  <v>55390</v>
                </pt>
                <pt idx="266">
                  <v>55469</v>
                </pt>
                <pt idx="267">
                  <v>55963</v>
                </pt>
                <pt idx="268">
                  <v>55960</v>
                </pt>
                <pt idx="269">
                  <v>55952</v>
                </pt>
                <pt idx="270">
                  <v>56067</v>
                </pt>
                <pt idx="271">
                  <v>56433</v>
                </pt>
                <pt idx="272">
                  <v>56032</v>
                </pt>
                <pt idx="273">
                  <v>56249</v>
                </pt>
                <pt idx="274">
                  <v>56338</v>
                </pt>
                <pt idx="275">
                  <v>56388</v>
                </pt>
                <pt idx="276">
                  <v>56497</v>
                </pt>
                <pt idx="277">
                  <v>56158</v>
                </pt>
                <pt idx="278">
                  <v>56368</v>
                </pt>
                <pt idx="279">
                  <v>56245</v>
                </pt>
                <pt idx="280">
                  <v>56778</v>
                </pt>
                <pt idx="281">
                  <v>56644</v>
                </pt>
                <pt idx="282">
                  <v>56924</v>
                </pt>
                <pt idx="283">
                  <v>56743</v>
                </pt>
                <pt idx="284">
                  <v>57113</v>
                </pt>
                <pt idx="285">
                  <v>56750</v>
                </pt>
                <pt idx="286">
                  <v>56938</v>
                </pt>
                <pt idx="287">
                  <v>57161</v>
                </pt>
                <pt idx="288">
                  <v>56318</v>
                </pt>
                <pt idx="289">
                  <v>57185</v>
                </pt>
                <pt idx="290">
                  <v>56993</v>
                </pt>
                <pt idx="291">
                  <v>56917</v>
                </pt>
                <pt idx="292">
                  <v>56668</v>
                </pt>
                <pt idx="293">
                  <v>57085</v>
                </pt>
                <pt idx="294">
                  <v>56755</v>
                </pt>
                <pt idx="295">
                  <v>56858</v>
                </pt>
                <pt idx="296">
                  <v>56245</v>
                </pt>
                <pt idx="297">
                  <v>56762</v>
                </pt>
                <pt idx="298">
                  <v>56538</v>
                </pt>
                <pt idx="299">
                  <v>56446</v>
                </pt>
                <pt idx="300">
                  <v>57695</v>
                </pt>
                <pt idx="301">
                  <v>56965</v>
                </pt>
                <pt idx="302">
                  <v>57274</v>
                </pt>
                <pt idx="303">
                  <v>57655</v>
                </pt>
                <pt idx="304">
                  <v>56600</v>
                </pt>
                <pt idx="305">
                  <v>57767</v>
                </pt>
                <pt idx="306">
                  <v>57438</v>
                </pt>
                <pt idx="307">
                  <v>57654</v>
                </pt>
                <pt idx="308">
                  <v>58294</v>
                </pt>
                <pt idx="309">
                  <v>57996</v>
                </pt>
                <pt idx="310">
                  <v>58065</v>
                </pt>
                <pt idx="311">
                  <v>58591</v>
                </pt>
                <pt idx="312">
                  <v>58607</v>
                </pt>
                <pt idx="313">
                  <v>58670</v>
                </pt>
                <pt idx="314">
                  <v>58081</v>
                </pt>
                <pt idx="315">
                  <v>58423</v>
                </pt>
                <pt idx="316">
                  <v>59682</v>
                </pt>
                <pt idx="317">
                  <v>58687</v>
                </pt>
                <pt idx="318">
                  <v>58966</v>
                </pt>
                <pt idx="319">
                  <v>59202</v>
                </pt>
                <pt idx="320">
                  <v>58992</v>
                </pt>
                <pt idx="321">
                  <v>59355</v>
                </pt>
                <pt idx="322">
                  <v>59962</v>
                </pt>
                <pt idx="323">
                  <v>59257</v>
                </pt>
                <pt idx="324">
                  <v>59432</v>
                </pt>
                <pt idx="325">
                  <v>58756</v>
                </pt>
                <pt idx="326">
                  <v>59647</v>
                </pt>
                <pt idx="327">
                  <v>60161</v>
                </pt>
                <pt idx="328">
                  <v>59648</v>
                </pt>
                <pt idx="329">
                  <v>59693</v>
                </pt>
                <pt idx="330">
                  <v>60138</v>
                </pt>
                <pt idx="331">
                  <v>60073</v>
                </pt>
                <pt idx="332">
                  <v>59589</v>
                </pt>
                <pt idx="333">
                  <v>59869</v>
                </pt>
                <pt idx="334">
                  <v>59958</v>
                </pt>
                <pt idx="335">
                  <v>60259</v>
                </pt>
                <pt idx="336">
                  <v>60594</v>
                </pt>
                <pt idx="337">
                  <v>60699</v>
                </pt>
                <pt idx="338">
                  <v>65710</v>
                </pt>
                <pt idx="339">
                  <v>57089</v>
                </pt>
                <pt idx="340">
                  <v>61069</v>
                </pt>
                <pt idx="341">
                  <v>62024</v>
                </pt>
                <pt idx="342">
                  <v>61745</v>
                </pt>
                <pt idx="343">
                  <v>61180</v>
                </pt>
                <pt idx="344">
                  <v>63602</v>
                </pt>
                <pt idx="345">
                  <v>62700</v>
                </pt>
                <pt idx="346">
                  <v>61864</v>
                </pt>
                <pt idx="347">
                  <v>60777</v>
                </pt>
                <pt idx="348">
                  <v>66933</v>
                </pt>
                <pt idx="349">
                  <v>62909</v>
                </pt>
                <pt idx="350">
                  <v>71164</v>
                </pt>
                <pt idx="351">
                  <v>69437</v>
                </pt>
                <pt idx="352">
                  <v>67394</v>
                </pt>
                <pt idx="353">
                  <v>68999</v>
                </pt>
                <pt idx="354">
                  <v>68273</v>
                </pt>
                <pt idx="355">
                  <v>70665</v>
                </pt>
                <pt idx="356">
                  <v>70474</v>
                </pt>
                <pt idx="357">
                  <v>71506</v>
                </pt>
                <pt idx="358">
                  <v>70654</v>
                </pt>
                <pt idx="359">
                  <v>69639</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5088"/>
        <crosses val="autoZero"/>
        <lblOffset val="100"/>
        <baseTimeUnit val="months"/>
      </dateAx>
      <valAx>
        <axId val="991625088"/>
        <scaling>
          <orientation val="minMax"/>
          <min val="2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7056"/>
        <crosses val="autoZero"/>
        <crossBetween val="between"/>
      </valAx>
    </plotArea>
    <plotVisOnly val="1"/>
    <dispBlanksAs val="gap"/>
  </chart>
</chartSpace>
</file>

<file path=xl/charts/chart19.xml><?xml version="1.0" encoding="utf-8"?>
<chartSpace xmlns="http://schemas.openxmlformats.org/drawingml/2006/chart">
  <chart>
    <title>
      <tx>
        <strRef>
          <f>'General Merchandising'!$D$6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'General Merchandising'!$D$6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'General Merchandising'!$A$7:$A$366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'General Merchandising'!$D$7:$D$366</f>
              <numCache>
                <formatCode>General</formatCode>
                <ptCount val="360"/>
                <pt idx="12">
                  <formatCode>0.00%</formatCode>
                  <v>0.07565772926203532</v>
                </pt>
                <pt idx="13">
                  <formatCode>0.00%</formatCode>
                  <v>0.05890505890505891</v>
                </pt>
                <pt idx="14">
                  <formatCode>0.00%</formatCode>
                  <v>0.05478976596588656</v>
                </pt>
                <pt idx="15">
                  <formatCode>0.00%</formatCode>
                  <v>0.07409418501332807</v>
                </pt>
                <pt idx="16">
                  <formatCode>0.00%</formatCode>
                  <v>0.08100270336692061</v>
                </pt>
                <pt idx="17">
                  <formatCode>0.00%</formatCode>
                  <v>0.08173219036358262</v>
                </pt>
                <pt idx="18">
                  <formatCode>0.00%</formatCode>
                  <v>0.1058153922296461</v>
                </pt>
                <pt idx="19">
                  <formatCode>0.00%</formatCode>
                  <v>0.08362064779293935</v>
                </pt>
                <pt idx="20">
                  <formatCode>0.00%</formatCode>
                  <v>0.08436472635853801</v>
                </pt>
                <pt idx="21">
                  <formatCode>0.00%</formatCode>
                  <v>0.08613495755599251</v>
                </pt>
                <pt idx="22">
                  <formatCode>0.00%</formatCode>
                  <v>0.07979884239491412</v>
                </pt>
                <pt idx="23">
                  <formatCode>0.00%</formatCode>
                  <v>0.0530066200809121</v>
                </pt>
                <pt idx="24">
                  <formatCode>0.00%</formatCode>
                  <v>0.06187158022728335</v>
                </pt>
                <pt idx="25">
                  <formatCode>0.00%</formatCode>
                  <v>0.07844053851907255</v>
                </pt>
                <pt idx="26">
                  <formatCode>0.00%</formatCode>
                  <v>0.1120669393127438</v>
                </pt>
                <pt idx="27">
                  <formatCode>0.00%</formatCode>
                  <v>0.07330300105703387</v>
                </pt>
                <pt idx="28">
                  <formatCode>0.00%</formatCode>
                  <v>0.05810939844495976</v>
                </pt>
                <pt idx="29">
                  <formatCode>0.00%</formatCode>
                  <v>0.07601220567472788</v>
                </pt>
                <pt idx="30">
                  <formatCode>0.00%</formatCode>
                  <v>0.05782571722687195</v>
                </pt>
                <pt idx="31">
                  <formatCode>0.00%</formatCode>
                  <v>0.07053551422809769</v>
                </pt>
                <pt idx="32">
                  <formatCode>0.00%</formatCode>
                  <v>0.06982032190467698</v>
                </pt>
                <pt idx="33">
                  <formatCode>0.00%</formatCode>
                  <v>0.07100278182540734</v>
                </pt>
                <pt idx="34">
                  <formatCode>0.00%</formatCode>
                  <v>0.07012302284710017</v>
                </pt>
                <pt idx="35">
                  <formatCode>0.00%</formatCode>
                  <v>0.0732591137306265</v>
                </pt>
                <pt idx="36">
                  <formatCode>0.00%</formatCode>
                  <v>0.09821192636307584</v>
                </pt>
                <pt idx="37">
                  <formatCode>0.00%</formatCode>
                  <v>0.04529692241005635</v>
                </pt>
                <pt idx="38">
                  <formatCode>0.00%</formatCode>
                  <v>0.03897366529991123</v>
                </pt>
                <pt idx="39">
                  <formatCode>0.00%</formatCode>
                  <v>0.0596471696497388</v>
                </pt>
                <pt idx="40">
                  <formatCode>0.00%</formatCode>
                  <v>0.06789566413132225</v>
                </pt>
                <pt idx="41">
                  <formatCode>0.00%</formatCode>
                  <v>0.06518242614069246</v>
                </pt>
                <pt idx="42">
                  <formatCode>0.00%</formatCode>
                  <v>0.0736196319018405</v>
                </pt>
                <pt idx="43">
                  <formatCode>0.00%</formatCode>
                  <v>0.05379044748629076</v>
                </pt>
                <pt idx="44">
                  <formatCode>0.00%</formatCode>
                  <v>0.06142946447176495</v>
                </pt>
                <pt idx="45">
                  <formatCode>0.00%</formatCode>
                  <v>0.036281179138322</v>
                </pt>
                <pt idx="46">
                  <formatCode>0.00%</formatCode>
                  <v>0.04343898833962884</v>
                </pt>
                <pt idx="47">
                  <formatCode>0.00%</formatCode>
                  <v>0.03949884066224627</v>
                </pt>
                <pt idx="48">
                  <formatCode>0.00%</formatCode>
                  <v>0.01118864292589028</v>
                </pt>
                <pt idx="49">
                  <formatCode>0.00%</formatCode>
                  <v>0.06224341696039809</v>
                </pt>
                <pt idx="50">
                  <formatCode>0.00%</formatCode>
                  <v>0.04056308230603361</v>
                </pt>
                <pt idx="51">
                  <formatCode>0.00%</formatCode>
                  <v>0.0547945205479452</v>
                </pt>
                <pt idx="52">
                  <formatCode>0.00%</formatCode>
                  <v>0.05492736710796346</v>
                </pt>
                <pt idx="53">
                  <formatCode>0.00%</formatCode>
                  <v>0.03651752364301041</v>
                </pt>
                <pt idx="54">
                  <formatCode>0.00%</formatCode>
                  <v>0.03286699507389163</v>
                </pt>
                <pt idx="55">
                  <formatCode>0.00%</formatCode>
                  <v>0.05032970525144991</v>
                </pt>
                <pt idx="56">
                  <formatCode>0.00%</formatCode>
                  <v>0.04401429188425144</v>
                </pt>
                <pt idx="57">
                  <formatCode>0.00%</formatCode>
                  <v>0.07037994827929182</v>
                </pt>
                <pt idx="58">
                  <formatCode>0.00%</formatCode>
                  <v>0.05343511450381679</v>
                </pt>
                <pt idx="59">
                  <formatCode>0.00%</formatCode>
                  <v>0.0585818267198873</v>
                </pt>
                <pt idx="60">
                  <formatCode>0.00%</formatCode>
                  <v>0.0793575252825699</v>
                </pt>
                <pt idx="61">
                  <formatCode>0.00%</formatCode>
                  <v>0.06425671455340412</v>
                </pt>
                <pt idx="62">
                  <formatCode>0.00%</formatCode>
                  <v>0.06756334063184236</v>
                </pt>
                <pt idx="63">
                  <formatCode>0.00%</formatCode>
                  <v>0.04122131555759875</v>
                </pt>
                <pt idx="64">
                  <formatCode>0.00%</formatCode>
                  <v>0.04241684467500763</v>
                </pt>
                <pt idx="65">
                  <formatCode>0.00%</formatCode>
                  <v>0.05167720912401763</v>
                </pt>
                <pt idx="66">
                  <formatCode>0.00%</formatCode>
                  <v>0.06638940821855088</v>
                </pt>
                <pt idx="67">
                  <formatCode>0.00%</formatCode>
                  <v>0.05665443818312469</v>
                </pt>
                <pt idx="68">
                  <formatCode>0.00%</formatCode>
                  <v>0.0480631816472358</v>
                </pt>
                <pt idx="69">
                  <formatCode>0.00%</formatCode>
                  <v>0.04649866190900982</v>
                </pt>
                <pt idx="70">
                  <formatCode>0.00%</formatCode>
                  <v>0.0515090392947856</v>
                </pt>
                <pt idx="71">
                  <formatCode>0.00%</formatCode>
                  <v>0.03537762005101475</v>
                </pt>
                <pt idx="72">
                  <formatCode>0.00%</formatCode>
                  <v>0.04357730746619635</v>
                </pt>
                <pt idx="73">
                  <formatCode>0.00%</formatCode>
                  <v>0.05450810652189862</v>
                </pt>
                <pt idx="74">
                  <formatCode>0.00%</formatCode>
                  <v>0.0516407852329329</v>
                </pt>
                <pt idx="75">
                  <formatCode>0.00%</formatCode>
                  <v>0.07152581036829905</v>
                </pt>
                <pt idx="76">
                  <formatCode>0.00%</formatCode>
                  <v>0.06396370023419204</v>
                </pt>
                <pt idx="77">
                  <formatCode>0.00%</formatCode>
                  <v>0.06331790179710567</v>
                </pt>
                <pt idx="78">
                  <formatCode>0.00%</formatCode>
                  <v>0.04164728612830513</v>
                </pt>
                <pt idx="79">
                  <formatCode>0.00%</formatCode>
                  <v>0.04778266938687856</v>
                </pt>
                <pt idx="80">
                  <formatCode>0.00%</formatCode>
                  <v>0.06067891488445529</v>
                </pt>
                <pt idx="81">
                  <formatCode>0.00%</formatCode>
                  <v>0.05558515361392292</v>
                </pt>
                <pt idx="82">
                  <formatCode>0.00%</formatCode>
                  <v>0.06902063869844766</v>
                </pt>
                <pt idx="83">
                  <formatCode>0.00%</formatCode>
                  <v>0.07572836332476435</v>
                </pt>
                <pt idx="84">
                  <formatCode>0.00%</formatCode>
                  <v>0.0796422787127667</v>
                </pt>
                <pt idx="85">
                  <formatCode>0.00%</formatCode>
                  <v>0.08160567691665507</v>
                </pt>
                <pt idx="86">
                  <formatCode>0.00%</formatCode>
                  <v>0.09319495716375287</v>
                </pt>
                <pt idx="87">
                  <formatCode>0.00%</formatCode>
                  <v>0.06475981183257219</v>
                </pt>
                <pt idx="88">
                  <formatCode>0.00%</formatCode>
                  <v>0.07184619617553996</v>
                </pt>
                <pt idx="89">
                  <formatCode>0.00%</formatCode>
                  <v>0.08508741858073363</v>
                </pt>
                <pt idx="90">
                  <formatCode>0.00%</formatCode>
                  <v>0.08367396008655927</v>
                </pt>
                <pt idx="91">
                  <formatCode>0.00%</formatCode>
                  <v>0.08649313383890142</v>
                </pt>
                <pt idx="92">
                  <formatCode>0.00%</formatCode>
                  <v>0.08772285936601373</v>
                </pt>
                <pt idx="93">
                  <formatCode>0.00%</formatCode>
                  <v>0.07957604306864065</v>
                </pt>
                <pt idx="94">
                  <formatCode>0.00%</formatCode>
                  <v>0.06868478766531534</v>
                </pt>
                <pt idx="95">
                  <formatCode>0.00%</formatCode>
                  <v>0.09864250389989711</v>
                </pt>
                <pt idx="96">
                  <formatCode>0.00%</formatCode>
                  <v>0.0494064701278372</v>
                </pt>
                <pt idx="97">
                  <formatCode>0.00%</formatCode>
                  <v>0.04766192834630475</v>
                </pt>
                <pt idx="98">
                  <formatCode>0.00%</formatCode>
                  <v>0.05463523415100351</v>
                </pt>
                <pt idx="99">
                  <formatCode>0.00%</formatCode>
                  <v>0.06030507272082299</v>
                </pt>
                <pt idx="100">
                  <formatCode>0.00%</formatCode>
                  <v>0.06975774105567142</v>
                </pt>
                <pt idx="101">
                  <formatCode>0.00%</formatCode>
                  <v>0.05547832680399343</v>
                </pt>
                <pt idx="102">
                  <formatCode>0.00%</formatCode>
                  <v>0.06456623030840915</v>
                </pt>
                <pt idx="103">
                  <formatCode>0.00%</formatCode>
                  <v>0.06341570772810162</v>
                </pt>
                <pt idx="104">
                  <formatCode>0.00%</formatCode>
                  <v>0.06201791490420502</v>
                </pt>
                <pt idx="105">
                  <formatCode>0.00%</formatCode>
                  <v>0.06841203054386785</v>
                </pt>
                <pt idx="106">
                  <formatCode>0.00%</formatCode>
                  <v>0.07142190852274494</v>
                </pt>
                <pt idx="107">
                  <formatCode>0.00%</formatCode>
                  <v>0.04933385698317271</v>
                </pt>
                <pt idx="108">
                  <formatCode>0.00%</formatCode>
                  <v>0.1063426458249169</v>
                </pt>
                <pt idx="109">
                  <formatCode>0.00%</formatCode>
                  <v>0.06381999017681729</v>
                </pt>
                <pt idx="110">
                  <formatCode>0.00%</formatCode>
                  <v>0.02911946835825404</v>
                </pt>
                <pt idx="111">
                  <formatCode>0.00%</formatCode>
                  <v>0.07558015754737066</v>
                </pt>
                <pt idx="112">
                  <formatCode>0.00%</formatCode>
                  <v>0.05588050031494646</v>
                </pt>
                <pt idx="113">
                  <formatCode>0.00%</formatCode>
                  <v>0.05106561302681992</v>
                </pt>
                <pt idx="114">
                  <formatCode>0.00%</formatCode>
                  <v>0.06353837908652414</v>
                </pt>
                <pt idx="115">
                  <formatCode>0.00%</formatCode>
                  <v>0.06185140289152352</v>
                </pt>
                <pt idx="116">
                  <formatCode>0.00%</formatCode>
                  <v>0.04908334797633691</v>
                </pt>
                <pt idx="117">
                  <formatCode>0.00%</formatCode>
                  <v>0.05685530921820303</v>
                </pt>
                <pt idx="118">
                  <formatCode>0.00%</formatCode>
                  <v>0.06378779964014163</v>
                </pt>
                <pt idx="119">
                  <formatCode>0.00%</formatCode>
                  <v>0.0667933436978177</v>
                </pt>
                <pt idx="120">
                  <formatCode>0.00%</formatCode>
                  <v>0.03398780933119856</v>
                </pt>
                <pt idx="121">
                  <formatCode>0.00%</formatCode>
                  <v>0.06691675082960612</v>
                </pt>
                <pt idx="122">
                  <formatCode>0.00%</formatCode>
                  <v>0.09025800581173501</v>
                </pt>
                <pt idx="123">
                  <formatCode>0.00%</formatCode>
                  <v>0.06014591109602986</v>
                </pt>
                <pt idx="124">
                  <formatCode>0.00%</formatCode>
                  <v>0.05431509573319698</v>
                </pt>
                <pt idx="125">
                  <formatCode>0.00%</formatCode>
                  <v>0.06558637580452241</v>
                </pt>
                <pt idx="126">
                  <formatCode>0.00%</formatCode>
                  <v>0.03952967525195969</v>
                </pt>
                <pt idx="127">
                  <formatCode>0.00%</formatCode>
                  <v>0.03583460949464012</v>
                </pt>
                <pt idx="128">
                  <formatCode>0.00%</formatCode>
                  <v>0.03453185193456535</v>
                </pt>
                <pt idx="129">
                  <formatCode>0.00%</formatCode>
                  <v>0.0438046868530735</v>
                </pt>
                <pt idx="130">
                  <formatCode>0.00%</formatCode>
                  <v>0.02842645133129638</v>
                </pt>
                <pt idx="131">
                  <formatCode>0.00%</formatCode>
                  <v>0.01786581745560533</v>
                </pt>
                <pt idx="132">
                  <formatCode>0.00%</formatCode>
                  <v>0.02523702154247372</v>
                </pt>
                <pt idx="133">
                  <formatCode>0.00%</formatCode>
                  <v>0.02856061015848975</v>
                </pt>
                <pt idx="134">
                  <formatCode>0.00%</formatCode>
                  <v>0.03357204393710963</v>
                </pt>
                <pt idx="135">
                  <formatCode>0.00%</formatCode>
                  <v>0.02213864660851938</v>
                </pt>
                <pt idx="136">
                  <formatCode>0.00%</formatCode>
                  <v>0.03688635016435846</v>
                </pt>
                <pt idx="137">
                  <formatCode>0.00%</formatCode>
                  <v>0.03872571291124356</v>
                </pt>
                <pt idx="138">
                  <formatCode>0.00%</formatCode>
                  <v>0.06118711623397609</v>
                </pt>
                <pt idx="139">
                  <formatCode>0.00%</formatCode>
                  <v>0.07749583355733562</v>
                </pt>
                <pt idx="140">
                  <formatCode>0.00%</formatCode>
                  <v>0.07655360371299819</v>
                </pt>
                <pt idx="141">
                  <formatCode>0.00%</formatCode>
                  <v>0.04847154643537127</v>
                </pt>
                <pt idx="142">
                  <formatCode>0.00%</formatCode>
                  <v>0.05960528409995225</v>
                </pt>
                <pt idx="143">
                  <formatCode>0.00%</formatCode>
                  <v>0.06278502492310956</v>
                </pt>
                <pt idx="144">
                  <formatCode>0.00%</formatCode>
                  <v>0.07143614202437731</v>
                </pt>
                <pt idx="145">
                  <formatCode>0.00%</formatCode>
                  <v>0.06544833026557981</v>
                </pt>
                <pt idx="146">
                  <formatCode>0.00%</formatCode>
                  <v>0.07001641009611628</v>
                </pt>
                <pt idx="147">
                  <formatCode>0.00%</formatCode>
                  <v>0.06108922000991623</v>
                </pt>
                <pt idx="148">
                  <formatCode>0.00%</formatCode>
                  <v>0.07403268975911441</v>
                </pt>
                <pt idx="149">
                  <formatCode>0.00%</formatCode>
                  <v>0.04862862141717697</v>
                </pt>
                <pt idx="150">
                  <formatCode>0.00%</formatCode>
                  <v>0.04550299461983555</v>
                </pt>
                <pt idx="151">
                  <formatCode>0.00%</formatCode>
                  <v>0.0308843707122365</v>
                </pt>
                <pt idx="152">
                  <formatCode>0.00%</formatCode>
                  <v>0.04158311610186485</v>
                </pt>
                <pt idx="153">
                  <formatCode>0.00%</formatCode>
                  <v>0.06035461171782391</v>
                </pt>
                <pt idx="154">
                  <formatCode>0.00%</formatCode>
                  <v>0.05592689948679434</v>
                </pt>
                <pt idx="155">
                  <formatCode>0.00%</formatCode>
                  <v>0.06416525296876559</v>
                </pt>
                <pt idx="156">
                  <formatCode>0.00%</formatCode>
                  <v>0.05242852903353448</v>
                </pt>
                <pt idx="157">
                  <formatCode>0.00%</formatCode>
                  <v>0.06574693353735285</v>
                </pt>
                <pt idx="158">
                  <formatCode>0.00%</formatCode>
                  <v>0.04552204289296234</v>
                </pt>
                <pt idx="159">
                  <formatCode>0.00%</formatCode>
                  <v>0.07227878609020708</v>
                </pt>
                <pt idx="160">
                  <formatCode>0.00%</formatCode>
                  <v>0.05059034162392335</v>
                </pt>
                <pt idx="161">
                  <formatCode>0.00%</formatCode>
                  <v>0.08828148002748061</v>
                </pt>
                <pt idx="162">
                  <formatCode>0.00%</formatCode>
                  <v>0.06845158628055441</v>
                </pt>
                <pt idx="163">
                  <formatCode>0.00%</formatCode>
                  <v>0.06996103864675847</v>
                </pt>
                <pt idx="164">
                  <formatCode>0.00%</formatCode>
                  <v>0.07091806040187704</v>
                </pt>
                <pt idx="165">
                  <formatCode>0.00%</formatCode>
                  <v>0.07670900528043385</v>
                </pt>
                <pt idx="166">
                  <formatCode>0.00%</formatCode>
                  <v>0.07223974015505347</v>
                </pt>
                <pt idx="167">
                  <formatCode>0.00%</formatCode>
                  <v>0.04974681170292573</v>
                </pt>
                <pt idx="168">
                  <formatCode>0.00%</formatCode>
                  <v>0.07411410846884106</v>
                </pt>
                <pt idx="169">
                  <formatCode>0.00%</formatCode>
                  <v>0.06000046314521918</v>
                </pt>
                <pt idx="170">
                  <formatCode>0.00%</formatCode>
                  <v>0.06253929078674707</v>
                </pt>
                <pt idx="171">
                  <formatCode>0.00%</formatCode>
                  <v>0.05612256599619275</v>
                </pt>
                <pt idx="172">
                  <formatCode>0.00%</formatCode>
                  <v>0.05487875089238422</v>
                </pt>
                <pt idx="173">
                  <formatCode>0.00%</formatCode>
                  <v>0.03611850114983992</v>
                </pt>
                <pt idx="174">
                  <formatCode>0.00%</formatCode>
                  <v>0.04137037962605357</v>
                </pt>
                <pt idx="175">
                  <formatCode>0.00%</formatCode>
                  <v>0.04136698783190845</v>
                </pt>
                <pt idx="176">
                  <formatCode>0.00%</formatCode>
                  <v>0.04966068940721766</v>
                </pt>
                <pt idx="177">
                  <formatCode>0.00%</formatCode>
                  <v>0.03119270108467537</v>
                </pt>
                <pt idx="178">
                  <formatCode>0.00%</formatCode>
                  <v>0.03480298943085836</v>
                </pt>
                <pt idx="179">
                  <formatCode>0.00%</formatCode>
                  <v>0.05730492652641923</v>
                </pt>
                <pt idx="180">
                  <formatCode>0.00%</formatCode>
                  <v>0.05084226646248086</v>
                </pt>
                <pt idx="181">
                  <formatCode>0.00%</formatCode>
                  <v>0.03318477738454145</v>
                </pt>
                <pt idx="182">
                  <formatCode>0.00%</formatCode>
                  <v>0.05471677440560973</v>
                </pt>
                <pt idx="183">
                  <formatCode>0.00%</formatCode>
                  <v>0.03541956219596942</v>
                </pt>
                <pt idx="184">
                  <formatCode>0.00%</formatCode>
                  <v>0.04543072959874252</v>
                </pt>
                <pt idx="185">
                  <formatCode>0.00%</formatCode>
                  <v>0.04125685438245278</v>
                </pt>
                <pt idx="186">
                  <formatCode>0.00%</formatCode>
                  <v>0.05615428247305729</v>
                </pt>
                <pt idx="187">
                  <formatCode>0.00%</formatCode>
                  <v>0.05779380144647395</v>
                </pt>
                <pt idx="188">
                  <formatCode>0.00%</formatCode>
                  <v>0.03373865387908889</v>
                </pt>
                <pt idx="189">
                  <formatCode>0.00%</formatCode>
                  <v>0.03986803487649693</v>
                </pt>
                <pt idx="190">
                  <formatCode>0.00%</formatCode>
                  <v>0.04801282051282051</v>
                </pt>
                <pt idx="191">
                  <formatCode>0.00%</formatCode>
                  <v>0.04135687732342008</v>
                </pt>
                <pt idx="192">
                  <formatCode>0.00%</formatCode>
                  <v>0.01909064412707666</v>
                </pt>
                <pt idx="193">
                  <formatCode>0.00%</formatCode>
                  <v>0.03455056773729728</v>
                </pt>
                <pt idx="194">
                  <formatCode>0.00%</formatCode>
                  <v>0.01782597855896285</v>
                </pt>
                <pt idx="195">
                  <formatCode>0.00%</formatCode>
                  <v>0.03678768430545943</v>
                </pt>
                <pt idx="196">
                  <formatCode>0.00%</formatCode>
                  <v>0.05195564558230835</v>
                </pt>
                <pt idx="197">
                  <formatCode>0.00%</formatCode>
                  <v>0.06081250522444203</v>
                </pt>
                <pt idx="198">
                  <formatCode>0.00%</formatCode>
                  <v>0.0448235974551764</v>
                </pt>
                <pt idx="199">
                  <formatCode>0.00%</formatCode>
                  <v>0.02929944152431012</v>
                </pt>
                <pt idx="200">
                  <formatCode>0.00%</formatCode>
                  <v>0.0237740225314778</v>
                </pt>
                <pt idx="201">
                  <formatCode>0.00%</formatCode>
                  <v>0.01483312731767614</v>
                </pt>
                <pt idx="202">
                  <formatCode>0.00%</formatCode>
                  <v>0.008502049054988072</v>
                </pt>
                <pt idx="203">
                  <formatCode>0.00%</formatCode>
                  <v>-0.008032128514056224</v>
                </pt>
                <pt idx="204">
                  <formatCode>0.00%</formatCode>
                  <v>0.006884435455864027</v>
                </pt>
                <pt idx="205">
                  <formatCode>0.00%</formatCode>
                  <v>0.005559302634537168</v>
                </pt>
                <pt idx="206">
                  <formatCode>0.00%</formatCode>
                  <v>-0.003061849357011635</v>
                </pt>
                <pt idx="207">
                  <formatCode>0.00%</formatCode>
                  <v>-0.01104525317095867</v>
                </pt>
                <pt idx="208">
                  <formatCode>0.00%</formatCode>
                  <v>-0.02560794044665013</v>
                </pt>
                <pt idx="209">
                  <formatCode>0.00%</formatCode>
                  <v>-0.03880855758244356</v>
                </pt>
                <pt idx="210">
                  <formatCode>0.00%</formatCode>
                  <v>-0.03499268514491321</v>
                </pt>
                <pt idx="211">
                  <formatCode>0.00%</formatCode>
                  <v>-0.02387744110430672</v>
                </pt>
                <pt idx="212">
                  <formatCode>0.00%</formatCode>
                  <v>-0.004369285540901368</v>
                </pt>
                <pt idx="213">
                  <formatCode>0.00%</formatCode>
                  <v>0.009439707673568819</v>
                </pt>
                <pt idx="214">
                  <formatCode>0.00%</formatCode>
                  <v>-0.006226750768235484</v>
                </pt>
                <pt idx="215">
                  <formatCode>0.00%</formatCode>
                  <v>0.01535598904019957</v>
                </pt>
                <pt idx="216">
                  <formatCode>0.00%</formatCode>
                  <v>0.01138208083103392</v>
                </pt>
                <pt idx="217">
                  <formatCode>0.00%</formatCode>
                  <v>0.02721600032520986</v>
                </pt>
                <pt idx="218">
                  <formatCode>0.00%</formatCode>
                  <v>0.02506142506142506</v>
                </pt>
                <pt idx="219">
                  <formatCode>0.00%</formatCode>
                  <v>0.03618548898480169</v>
                </pt>
                <pt idx="220">
                  <formatCode>0.00%</formatCode>
                  <v>0.01833554038912091</v>
                </pt>
                <pt idx="221">
                  <formatCode>0.00%</formatCode>
                  <v>0.02416379734382686</v>
                </pt>
                <pt idx="222">
                  <formatCode>0.00%</formatCode>
                  <v>0.02167499795132345</v>
                </pt>
                <pt idx="223">
                  <formatCode>0.00%</formatCode>
                  <v>0.02505415457555074</v>
                </pt>
                <pt idx="224">
                  <formatCode>0.00%</formatCode>
                  <v>0.021007720438846</v>
                </pt>
                <pt idx="225">
                  <formatCode>0.00%</formatCode>
                  <v>0.01073906485671192</v>
                </pt>
                <pt idx="226">
                  <formatCode>0.00%</formatCode>
                  <v>0.04536577426967207</v>
                </pt>
                <pt idx="227">
                  <formatCode>0.00%</formatCode>
                  <v>0.02535392794570755</v>
                </pt>
                <pt idx="228">
                  <formatCode>0.00%</formatCode>
                  <v>0.01985997713093543</v>
                </pt>
                <pt idx="229">
                  <formatCode>0.00%</formatCode>
                  <v>0.01929241362934821</v>
                </pt>
                <pt idx="230">
                  <formatCode>0.00%</formatCode>
                  <v>0.03149968040907638</v>
                </pt>
                <pt idx="231">
                  <formatCode>0.00%</formatCode>
                  <v>0.02663060644346178</v>
                </pt>
                <pt idx="232">
                  <formatCode>0.00%</formatCode>
                  <v>0.03611083324997499</v>
                </pt>
                <pt idx="233">
                  <formatCode>0.00%</formatCode>
                  <v>0.04766764723539653</v>
                </pt>
                <pt idx="234">
                  <formatCode>0.00%</formatCode>
                  <v>0.04517746139963906</v>
                </pt>
                <pt idx="235">
                  <formatCode>0.00%</formatCode>
                  <v>0.03939393939393939</v>
                </pt>
                <pt idx="236">
                  <formatCode>0.00%</formatCode>
                  <v>0.04618537827834601</v>
                </pt>
                <pt idx="237">
                  <formatCode>0.00%</formatCode>
                  <v>0.04369366680594521</v>
                </pt>
                <pt idx="238">
                  <formatCode>0.00%</formatCode>
                  <v>0.02473436344529639</v>
                </pt>
                <pt idx="239">
                  <formatCode>0.00%</formatCode>
                  <v>0.03028517558331369</v>
                </pt>
                <pt idx="240">
                  <formatCode>0.00%</formatCode>
                  <v>0.04543755778044415</v>
                </pt>
                <pt idx="241">
                  <formatCode>0.00%</formatCode>
                  <v>0.04719197095878711</v>
                </pt>
                <pt idx="242">
                  <formatCode>0.00%</formatCode>
                  <v>0.03905811273987723</v>
                </pt>
                <pt idx="243">
                  <formatCode>0.00%</formatCode>
                  <v>0.02461301797904048</v>
                </pt>
                <pt idx="244">
                  <formatCode>0.00%</formatCode>
                  <v>0.02633713072021626</v>
                </pt>
                <pt idx="245">
                  <formatCode>0.00%</formatCode>
                  <v>0.01487975856206903</v>
                </pt>
                <pt idx="246">
                  <formatCode>0.00%</formatCode>
                  <v>0.02219749438827389</v>
                </pt>
                <pt idx="247">
                  <formatCode>0.00%</formatCode>
                  <v>0.02719809728402639</v>
                </pt>
                <pt idx="248">
                  <formatCode>0.00%</formatCode>
                  <v>0.01664289110794104</v>
                </pt>
                <pt idx="249">
                  <formatCode>0.00%</formatCode>
                  <v>0.02323896673339053</v>
                </pt>
                <pt idx="250">
                  <formatCode>0.00%</formatCode>
                  <v>0.01532559773629337</v>
                </pt>
                <pt idx="251">
                  <formatCode>0.00%</formatCode>
                  <v>0.02321857485988791</v>
                </pt>
                <pt idx="252">
                  <formatCode>0.00%</formatCode>
                  <v>0.017403902237107</v>
                </pt>
                <pt idx="253">
                  <formatCode>0.00%</formatCode>
                  <v>0.01093726827821444</v>
                </pt>
                <pt idx="254">
                  <formatCode>0.00%</formatCode>
                  <v>0.01077192590107719</v>
                </pt>
                <pt idx="255">
                  <formatCode>0.00%</formatCode>
                  <v>0.01713427793938256</v>
                </pt>
                <pt idx="256">
                  <formatCode>0.00%</formatCode>
                  <v>0.02443842420137713</v>
                </pt>
                <pt idx="257">
                  <formatCode>0.00%</formatCode>
                  <v>0.02474968004215915</v>
                </pt>
                <pt idx="258">
                  <formatCode>0.00%</formatCode>
                  <v>0.02545045045045045</v>
                </pt>
                <pt idx="259">
                  <formatCode>0.00%</formatCode>
                  <v>0.01702954027710349</v>
                </pt>
                <pt idx="260">
                  <formatCode>0.00%</formatCode>
                  <v>0.02593077642656689</v>
                </pt>
                <pt idx="261">
                  <formatCode>0.00%</formatCode>
                  <v>0.02319558818049708</v>
                </pt>
                <pt idx="262">
                  <formatCode>0.00%</formatCode>
                  <v>0.02442765225198264</v>
                </pt>
                <pt idx="263">
                  <formatCode>0.00%</formatCode>
                  <v>0.01836947611595499</v>
                </pt>
                <pt idx="264">
                  <formatCode>0.00%</formatCode>
                  <v>0.008580833672374893</v>
                </pt>
                <pt idx="265">
                  <formatCode>0.00%</formatCode>
                  <v>0.0156966296255547</v>
                </pt>
                <pt idx="266">
                  <formatCode>0.00%</formatCode>
                  <v>0.02273397743196401</v>
                </pt>
                <pt idx="267">
                  <formatCode>0.00%</formatCode>
                  <v>0.03256577733495701</v>
                </pt>
                <pt idx="268">
                  <formatCode>0.00%</formatCode>
                  <v>0.02767524286999798</v>
                </pt>
                <pt idx="269">
                  <formatCode>0.00%</formatCode>
                  <v>0.02764155968189248</v>
                </pt>
                <pt idx="270">
                  <formatCode>0.00%</formatCode>
                  <v>0.02619152207335822</v>
                </pt>
                <pt idx="271">
                  <formatCode>0.00%</formatCode>
                  <v>0.03611427312451805</v>
                </pt>
                <pt idx="272">
                  <formatCode>0.00%</formatCode>
                  <v>0.02181048945947918</v>
                </pt>
                <pt idx="273">
                  <formatCode>0.00%</formatCode>
                  <v>0.02421748393088002</v>
                </pt>
                <pt idx="274">
                  <formatCode>0.00%</formatCode>
                  <v>0.02862881139309841</v>
                </pt>
                <pt idx="275">
                  <formatCode>0.00%</formatCode>
                  <v>0.03157586623248326</v>
                </pt>
                <pt idx="276">
                  <formatCode>0.00%</formatCode>
                  <v>0.03591990905423741</v>
                </pt>
                <pt idx="277">
                  <formatCode>0.00%</formatCode>
                  <v>0.01386531864957573</v>
                </pt>
                <pt idx="278">
                  <formatCode>0.00%</formatCode>
                  <v>0.01620725089689736</v>
                </pt>
                <pt idx="279">
                  <formatCode>0.00%</formatCode>
                  <v>0.005039043653842718</v>
                </pt>
                <pt idx="280">
                  <formatCode>0.00%</formatCode>
                  <v>0.01461758398856326</v>
                </pt>
                <pt idx="281">
                  <formatCode>0.00%</formatCode>
                  <v>0.01236774378038319</v>
                </pt>
                <pt idx="282">
                  <formatCode>0.00%</formatCode>
                  <v>0.01528528367845613</v>
                </pt>
                <pt idx="283">
                  <formatCode>0.00%</formatCode>
                  <v>0.005493239771055943</v>
                </pt>
                <pt idx="284">
                  <formatCode>0.00%</formatCode>
                  <v>0.01929254711593375</v>
                </pt>
                <pt idx="285">
                  <formatCode>0.00%</formatCode>
                  <v>0.008906825010222405</v>
                </pt>
                <pt idx="286">
                  <formatCode>0.00%</formatCode>
                  <v>0.01065000532500266</v>
                </pt>
                <pt idx="287">
                  <formatCode>0.00%</formatCode>
                  <v>0.01370859048024402</v>
                </pt>
                <pt idx="288">
                  <formatCode>0.00%</formatCode>
                  <v>-0.003168309821760447</v>
                </pt>
                <pt idx="289">
                  <formatCode>0.00%</formatCode>
                  <v>0.01828768830798818</v>
                </pt>
                <pt idx="290">
                  <formatCode>0.00%</formatCode>
                  <v>0.01108785126312802</v>
                </pt>
                <pt idx="291">
                  <formatCode>0.00%</formatCode>
                  <v>0.0119477286869944</v>
                </pt>
                <pt idx="292">
                  <formatCode>0.00%</formatCode>
                  <v>-0.001937370108140477</v>
                </pt>
                <pt idx="293">
                  <formatCode>0.00%</formatCode>
                  <v>0.007785467128027681</v>
                </pt>
                <pt idx="294">
                  <formatCode>0.00%</formatCode>
                  <v>-0.002968870775068513</v>
                </pt>
                <pt idx="295">
                  <formatCode>0.00%</formatCode>
                  <v>0.002026681705232364</v>
                </pt>
                <pt idx="296">
                  <formatCode>0.00%</formatCode>
                  <v>-0.01519794092413286</v>
                </pt>
                <pt idx="297">
                  <formatCode>0.00%</formatCode>
                  <v>0.0002114537444933921</v>
                </pt>
                <pt idx="298">
                  <formatCode>0.00%</formatCode>
                  <v>-0.007025185289262004</v>
                </pt>
                <pt idx="299">
                  <formatCode>0.00%</formatCode>
                  <v>-0.01250852854218786</v>
                </pt>
                <pt idx="300">
                  <formatCode>0.00%</formatCode>
                  <v>0.02445044213217799</v>
                </pt>
                <pt idx="301">
                  <formatCode>0.00%</formatCode>
                  <v>-0.003847162717495847</v>
                </pt>
                <pt idx="302">
                  <formatCode>0.00%</formatCode>
                  <v>0.004930430052813503</v>
                </pt>
                <pt idx="303">
                  <formatCode>0.00%</formatCode>
                  <v>0.01296624909956604</v>
                </pt>
                <pt idx="304">
                  <formatCode>0.00%</formatCode>
                  <v>-0.001199971765370227</v>
                </pt>
                <pt idx="305">
                  <formatCode>0.00%</formatCode>
                  <v>0.01194709643514058</v>
                </pt>
                <pt idx="306">
                  <formatCode>0.00%</formatCode>
                  <v>0.01203418201039556</v>
                </pt>
                <pt idx="307">
                  <formatCode>0.00%</formatCode>
                  <v>0.01399978894790531</v>
                </pt>
                <pt idx="308">
                  <formatCode>0.00%</formatCode>
                  <v>0.03642990488043382</v>
                </pt>
                <pt idx="309">
                  <formatCode>0.00%</formatCode>
                  <v>0.02173989640956978</v>
                </pt>
                <pt idx="310">
                  <formatCode>0.00%</formatCode>
                  <v>0.0270083837419081</v>
                </pt>
                <pt idx="311">
                  <formatCode>0.00%</formatCode>
                  <v>0.03800092123445417</v>
                </pt>
                <pt idx="312">
                  <formatCode>0.00%</formatCode>
                  <v>0.01580726232775804</v>
                </pt>
                <pt idx="313">
                  <formatCode>0.00%</formatCode>
                  <v>0.02993065917668744</v>
                </pt>
                <pt idx="314">
                  <formatCode>0.00%</formatCode>
                  <v>0.01409016307574117</v>
                </pt>
                <pt idx="315">
                  <formatCode>0.00%</formatCode>
                  <v>0.01332061399705143</v>
                </pt>
                <pt idx="316">
                  <formatCode>0.00%</formatCode>
                  <v>0.05445229681978798</v>
                </pt>
                <pt idx="317">
                  <formatCode>0.00%</formatCode>
                  <v>0.01592604774352139</v>
                </pt>
                <pt idx="318">
                  <formatCode>0.00%</formatCode>
                  <v>0.02660259758348132</v>
                </pt>
                <pt idx="319">
                  <formatCode>0.00%</formatCode>
                  <v>0.02684982828598189</v>
                </pt>
                <pt idx="320">
                  <formatCode>0.00%</formatCode>
                  <v>0.0119737880399355</v>
                </pt>
                <pt idx="321">
                  <formatCode>0.00%</formatCode>
                  <v>0.02343265052762259</v>
                </pt>
                <pt idx="322">
                  <formatCode>0.00%</formatCode>
                  <v>0.03267028330319469</v>
                </pt>
                <pt idx="323">
                  <formatCode>0.00%</formatCode>
                  <v>0.01136693348807837</v>
                </pt>
                <pt idx="324">
                  <formatCode>0.00%</formatCode>
                  <v>0.01407681676250277</v>
                </pt>
                <pt idx="325">
                  <formatCode>0.00%</formatCode>
                  <v>0.001465825805351969</v>
                </pt>
                <pt idx="326">
                  <formatCode>0.00%</formatCode>
                  <v>0.02696234568964033</v>
                </pt>
                <pt idx="327">
                  <formatCode>0.00%</formatCode>
                  <v>0.02974855793095185</v>
                </pt>
                <pt idx="328">
                  <formatCode>0.00%</formatCode>
                  <v>-0.0005696860024798097</v>
                </pt>
                <pt idx="329">
                  <formatCode>0.00%</formatCode>
                  <v>0.01714178608550446</v>
                </pt>
                <pt idx="330">
                  <formatCode>0.00%</formatCode>
                  <v>0.01987586066546823</v>
                </pt>
                <pt idx="331">
                  <formatCode>0.00%</formatCode>
                  <v>0.01471234079929732</v>
                </pt>
                <pt idx="332">
                  <formatCode>0.00%</formatCode>
                  <v>0.010120016273393</v>
                </pt>
                <pt idx="333">
                  <formatCode>0.00%</formatCode>
                  <v>0.008659759076741639</v>
                </pt>
                <pt idx="334">
                  <formatCode>0.00%</formatCode>
                  <v>-6.670891564657616e-05</v>
                </pt>
                <pt idx="335">
                  <formatCode>0.00%</formatCode>
                  <v>0.01690939467067182</v>
                </pt>
                <pt idx="336">
                  <formatCode>0.00%</formatCode>
                  <v>0.01955175662942522</v>
                </pt>
                <pt idx="337">
                  <formatCode>0.00%</formatCode>
                  <v>0.03306896316971884</v>
                </pt>
                <pt idx="338">
                  <formatCode>0.00%</formatCode>
                  <v>0.1016480292386876</v>
                </pt>
                <pt idx="339">
                  <formatCode>0.00%</formatCode>
                  <v>-0.0510629810009807</v>
                </pt>
                <pt idx="340">
                  <formatCode>0.00%</formatCode>
                  <v>0.02382309549356223</v>
                </pt>
                <pt idx="341">
                  <formatCode>0.00%</formatCode>
                  <v>0.03904980483473774</v>
                </pt>
                <pt idx="342">
                  <formatCode>0.00%</formatCode>
                  <v>0.02672187302537497</v>
                </pt>
                <pt idx="343">
                  <formatCode>0.00%</formatCode>
                  <v>0.01842757977793684</v>
                </pt>
                <pt idx="344">
                  <formatCode>0.00%</formatCode>
                  <v>0.06734464414573159</v>
                </pt>
                <pt idx="345">
                  <formatCode>0.00%</formatCode>
                  <v>0.04728657569025706</v>
                </pt>
                <pt idx="346">
                  <formatCode>0.00%</formatCode>
                  <v>0.0317889189099036</v>
                </pt>
                <pt idx="347">
                  <formatCode>0.00%</formatCode>
                  <v>0.008596226289848819</v>
                </pt>
                <pt idx="348">
                  <formatCode>0.00%</formatCode>
                  <v>0.1046143182493316</v>
                </pt>
                <pt idx="349">
                  <formatCode>0.00%</formatCode>
                  <v>0.03640916654310615</v>
                </pt>
                <pt idx="350">
                  <formatCode>0.00%</formatCode>
                  <v>0.08300106528686653</v>
                </pt>
                <pt idx="351">
                  <formatCode>0.00%</formatCode>
                  <v>0.216293856960185</v>
                </pt>
                <pt idx="352">
                  <formatCode>0.00%</formatCode>
                  <v>0.1035713700895708</v>
                </pt>
                <pt idx="353">
                  <formatCode>0.00%</formatCode>
                  <v>0.1124564684638205</v>
                </pt>
                <pt idx="354">
                  <formatCode>0.00%</formatCode>
                  <v>0.1057251599319783</v>
                </pt>
                <pt idx="355">
                  <formatCode>0.00%</formatCode>
                  <v>0.1550343249427918</v>
                </pt>
                <pt idx="356">
                  <formatCode>0.00%</formatCode>
                  <v>0.1080469167636238</v>
                </pt>
                <pt idx="357">
                  <formatCode>0.00%</formatCode>
                  <v>0.1404465709728868</v>
                </pt>
                <pt idx="358">
                  <formatCode>0.00%</formatCode>
                  <v>0.1420858657700763</v>
                </pt>
                <pt idx="359">
                  <formatCode>0.00%</formatCode>
                  <v>0.1458117379929908</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ysClr val="windowText" lastClr="000000"/>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5088"/>
        <crosses val="autoZero"/>
        <lblOffset val="100"/>
        <baseTimeUnit val="months"/>
      </dateAx>
      <valAx>
        <axId val="991625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70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0.xml><?xml version="1.0" encoding="utf-8"?>
<chartSpace xmlns="http://schemas.openxmlformats.org/drawingml/2006/chart">
  <chart>
    <title>
      <tx>
        <strRef>
          <f>'Food Services'!$B$6</f>
          <strCache>
            <ptCount val="1"/>
            <pt idx="0">
              <v>Food Services and Drinking Places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Services'!$B$6</f>
              <strCache>
                <ptCount val="1"/>
                <pt idx="0">
                  <v>Food Services and Drinking Places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'Food Services'!$A$7:$A$366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'Food Services'!$B$7:$B$366</f>
              <numCache>
                <formatCode>#,##0</formatCode>
                <ptCount val="360"/>
                <pt idx="0">
                  <v>17170</v>
                </pt>
                <pt idx="1">
                  <v>16990</v>
                </pt>
                <pt idx="2">
                  <v>16916</v>
                </pt>
                <pt idx="3">
                  <v>16677</v>
                </pt>
                <pt idx="4">
                  <v>16602</v>
                </pt>
                <pt idx="5">
                  <v>16277</v>
                </pt>
                <pt idx="6">
                  <v>16496</v>
                </pt>
                <pt idx="7">
                  <v>16733</v>
                </pt>
                <pt idx="8">
                  <v>16812</v>
                </pt>
                <pt idx="9">
                  <v>17104</v>
                </pt>
                <pt idx="10">
                  <v>17420</v>
                </pt>
                <pt idx="11">
                  <v>17491</v>
                </pt>
                <pt idx="12">
                  <v>17553</v>
                </pt>
                <pt idx="13">
                  <v>17478</v>
                </pt>
                <pt idx="14">
                  <v>17554</v>
                </pt>
                <pt idx="15">
                  <v>17770</v>
                </pt>
                <pt idx="16">
                  <v>17821</v>
                </pt>
                <pt idx="17">
                  <v>18030</v>
                </pt>
                <pt idx="18">
                  <v>17927</v>
                </pt>
                <pt idx="19">
                  <v>18201</v>
                </pt>
                <pt idx="20">
                  <v>18515</v>
                </pt>
                <pt idx="21">
                  <v>18199</v>
                </pt>
                <pt idx="22">
                  <v>18153</v>
                </pt>
                <pt idx="23">
                  <v>18238</v>
                </pt>
                <pt idx="24">
                  <v>17624</v>
                </pt>
                <pt idx="25">
                  <v>18425</v>
                </pt>
                <pt idx="26">
                  <v>18813</v>
                </pt>
                <pt idx="27">
                  <v>18533</v>
                </pt>
                <pt idx="28">
                  <v>18600</v>
                </pt>
                <pt idx="29">
                  <v>18889</v>
                </pt>
                <pt idx="30">
                  <v>18962</v>
                </pt>
                <pt idx="31">
                  <v>18868</v>
                </pt>
                <pt idx="32">
                  <v>18978</v>
                </pt>
                <pt idx="33">
                  <v>19010</v>
                </pt>
                <pt idx="34">
                  <v>19028</v>
                </pt>
                <pt idx="35">
                  <v>19178</v>
                </pt>
                <pt idx="36">
                  <v>19160</v>
                </pt>
                <pt idx="37">
                  <v>18911</v>
                </pt>
                <pt idx="38">
                  <v>19234</v>
                </pt>
                <pt idx="39">
                  <v>19346</v>
                </pt>
                <pt idx="40">
                  <v>19450</v>
                </pt>
                <pt idx="41">
                  <v>19419</v>
                </pt>
                <pt idx="42">
                  <v>19489</v>
                </pt>
                <pt idx="43">
                  <v>19715</v>
                </pt>
                <pt idx="44">
                  <v>19640</v>
                </pt>
                <pt idx="45">
                  <v>19611</v>
                </pt>
                <pt idx="46">
                  <v>19609</v>
                </pt>
                <pt idx="47">
                  <v>19625</v>
                </pt>
                <pt idx="48">
                  <v>19564</v>
                </pt>
                <pt idx="49">
                  <v>19742</v>
                </pt>
                <pt idx="50">
                  <v>19862</v>
                </pt>
                <pt idx="51">
                  <v>19932</v>
                </pt>
                <pt idx="52">
                  <v>20094</v>
                </pt>
                <pt idx="53">
                  <v>19932</v>
                </pt>
                <pt idx="54">
                  <v>20145</v>
                </pt>
                <pt idx="55">
                  <v>20140</v>
                </pt>
                <pt idx="56">
                  <v>20397</v>
                </pt>
                <pt idx="57">
                  <v>20551</v>
                </pt>
                <pt idx="58">
                  <v>20789</v>
                </pt>
                <pt idx="59">
                  <v>20707</v>
                </pt>
                <pt idx="60">
                  <v>21110</v>
                </pt>
                <pt idx="61">
                  <v>21136</v>
                </pt>
                <pt idx="62">
                  <v>21171</v>
                </pt>
                <pt idx="63">
                  <v>21216</v>
                </pt>
                <pt idx="64">
                  <v>21230</v>
                </pt>
                <pt idx="65">
                  <v>21382</v>
                </pt>
                <pt idx="66">
                  <v>21689</v>
                </pt>
                <pt idx="67">
                  <v>21674</v>
                </pt>
                <pt idx="68">
                  <v>21986</v>
                </pt>
                <pt idx="69">
                  <v>21758</v>
                </pt>
                <pt idx="70">
                  <v>21504</v>
                </pt>
                <pt idx="71">
                  <v>21818</v>
                </pt>
                <pt idx="72">
                  <v>21921</v>
                </pt>
                <pt idx="73">
                  <v>22132</v>
                </pt>
                <pt idx="74">
                  <v>22251</v>
                </pt>
                <pt idx="75">
                  <v>22353</v>
                </pt>
                <pt idx="76">
                  <v>22436</v>
                </pt>
                <pt idx="77">
                  <v>22634</v>
                </pt>
                <pt idx="78">
                  <v>22570</v>
                </pt>
                <pt idx="79">
                  <v>22743</v>
                </pt>
                <pt idx="80">
                  <v>22830</v>
                </pt>
                <pt idx="81">
                  <v>23066</v>
                </pt>
                <pt idx="82">
                  <v>23157</v>
                </pt>
                <pt idx="83">
                  <v>23351</v>
                </pt>
                <pt idx="84">
                  <v>22871</v>
                </pt>
                <pt idx="85">
                  <v>23270</v>
                </pt>
                <pt idx="86">
                  <v>23250</v>
                </pt>
                <pt idx="87">
                  <v>23440</v>
                </pt>
                <pt idx="88">
                  <v>23500</v>
                </pt>
                <pt idx="89">
                  <v>23546</v>
                </pt>
                <pt idx="90">
                  <v>23508</v>
                </pt>
                <pt idx="91">
                  <v>23664</v>
                </pt>
                <pt idx="92">
                  <v>23836</v>
                </pt>
                <pt idx="93">
                  <v>24265</v>
                </pt>
                <pt idx="94">
                  <v>24421</v>
                </pt>
                <pt idx="95">
                  <v>24378</v>
                </pt>
                <pt idx="96">
                  <v>24608</v>
                </pt>
                <pt idx="97">
                  <v>24887</v>
                </pt>
                <pt idx="98">
                  <v>25367</v>
                </pt>
                <pt idx="99">
                  <v>25215</v>
                </pt>
                <pt idx="100">
                  <v>25193</v>
                </pt>
                <pt idx="101">
                  <v>25262</v>
                </pt>
                <pt idx="102">
                  <v>25454</v>
                </pt>
                <pt idx="103">
                  <v>25342</v>
                </pt>
                <pt idx="104">
                  <v>25711</v>
                </pt>
                <pt idx="105">
                  <v>25706</v>
                </pt>
                <pt idx="106">
                  <v>25698</v>
                </pt>
                <pt idx="107">
                  <v>25133</v>
                </pt>
                <pt idx="108">
                  <v>26180</v>
                </pt>
                <pt idx="109">
                  <v>26069</v>
                </pt>
                <pt idx="110">
                  <v>26122</v>
                </pt>
                <pt idx="111">
                  <v>26045</v>
                </pt>
                <pt idx="112">
                  <v>26278</v>
                </pt>
                <pt idx="113">
                  <v>26379</v>
                </pt>
                <pt idx="114">
                  <v>26507</v>
                </pt>
                <pt idx="115">
                  <v>26853</v>
                </pt>
                <pt idx="116">
                  <v>26239</v>
                </pt>
                <pt idx="117">
                  <v>26541</v>
                </pt>
                <pt idx="118">
                  <v>26597</v>
                </pt>
                <pt idx="119">
                  <v>27156</v>
                </pt>
                <pt idx="120">
                  <v>27201</v>
                </pt>
                <pt idx="121">
                  <v>27384</v>
                </pt>
                <pt idx="122">
                  <v>27203</v>
                </pt>
                <pt idx="123">
                  <v>27500</v>
                </pt>
                <pt idx="124">
                  <v>27378</v>
                </pt>
                <pt idx="125">
                  <v>27586</v>
                </pt>
                <pt idx="126">
                  <v>27616</v>
                </pt>
                <pt idx="127">
                  <v>27607</v>
                </pt>
                <pt idx="128">
                  <v>27784</v>
                </pt>
                <pt idx="129">
                  <v>27623</v>
                </pt>
                <pt idx="130">
                  <v>27916</v>
                </pt>
                <pt idx="131">
                  <v>28017</v>
                </pt>
                <pt idx="132">
                  <v>28018</v>
                </pt>
                <pt idx="133">
                  <v>27979</v>
                </pt>
                <pt idx="134">
                  <v>28505</v>
                </pt>
                <pt idx="135">
                  <v>28403</v>
                </pt>
                <pt idx="136">
                  <v>29048</v>
                </pt>
                <pt idx="137">
                  <v>29230</v>
                </pt>
                <pt idx="138">
                  <v>29395</v>
                </pt>
                <pt idx="139">
                  <v>29844</v>
                </pt>
                <pt idx="140">
                  <v>29503</v>
                </pt>
                <pt idx="141">
                  <v>30045</v>
                </pt>
                <pt idx="142">
                  <v>30229</v>
                </pt>
                <pt idx="143">
                  <v>29795</v>
                </pt>
                <pt idx="144">
                  <v>30341</v>
                </pt>
                <pt idx="145">
                  <v>30461</v>
                </pt>
                <pt idx="146">
                  <v>30703</v>
                </pt>
                <pt idx="147">
                  <v>30560</v>
                </pt>
                <pt idx="148">
                  <v>30712</v>
                </pt>
                <pt idx="149">
                  <v>30825</v>
                </pt>
                <pt idx="150">
                  <v>31191</v>
                </pt>
                <pt idx="151">
                  <v>31036</v>
                </pt>
                <pt idx="152">
                  <v>31430</v>
                </pt>
                <pt idx="153">
                  <v>31625</v>
                </pt>
                <pt idx="154">
                  <v>31659</v>
                </pt>
                <pt idx="155">
                  <v>32111</v>
                </pt>
                <pt idx="156">
                  <v>32000</v>
                </pt>
                <pt idx="157">
                  <v>32469</v>
                </pt>
                <pt idx="158">
                  <v>32273</v>
                </pt>
                <pt idx="159">
                  <v>32823</v>
                </pt>
                <pt idx="160">
                  <v>32746</v>
                </pt>
                <pt idx="161">
                  <v>33009</v>
                </pt>
                <pt idx="162">
                  <v>33056</v>
                </pt>
                <pt idx="163">
                  <v>33261</v>
                </pt>
                <pt idx="164">
                  <v>33283</v>
                </pt>
                <pt idx="165">
                  <v>33618</v>
                </pt>
                <pt idx="166">
                  <v>34022</v>
                </pt>
                <pt idx="167">
                  <v>33932</v>
                </pt>
                <pt idx="168">
                  <v>34983</v>
                </pt>
                <pt idx="169">
                  <v>34535</v>
                </pt>
                <pt idx="170">
                  <v>34796</v>
                </pt>
                <pt idx="171">
                  <v>34862</v>
                </pt>
                <pt idx="172">
                  <v>34910</v>
                </pt>
                <pt idx="173">
                  <v>34695</v>
                </pt>
                <pt idx="174">
                  <v>34802</v>
                </pt>
                <pt idx="175">
                  <v>35367</v>
                </pt>
                <pt idx="176">
                  <v>35725</v>
                </pt>
                <pt idx="177">
                  <v>35784</v>
                </pt>
                <pt idx="178">
                  <v>35923</v>
                </pt>
                <pt idx="179">
                  <v>36881</v>
                </pt>
                <pt idx="180">
                  <v>36435</v>
                </pt>
                <pt idx="181">
                  <v>36053</v>
                </pt>
                <pt idx="182">
                  <v>36579</v>
                </pt>
                <pt idx="183">
                  <v>36627</v>
                </pt>
                <pt idx="184">
                  <v>36732</v>
                </pt>
                <pt idx="185">
                  <v>37078</v>
                </pt>
                <pt idx="186">
                  <v>37272</v>
                </pt>
                <pt idx="187">
                  <v>37189</v>
                </pt>
                <pt idx="188">
                  <v>37427</v>
                </pt>
                <pt idx="189">
                  <v>37759</v>
                </pt>
                <pt idx="190">
                  <v>37727</v>
                </pt>
                <pt idx="191">
                  <v>38109</v>
                </pt>
                <pt idx="192">
                  <v>37824</v>
                </pt>
                <pt idx="193">
                  <v>37249</v>
                </pt>
                <pt idx="194">
                  <v>37552</v>
                </pt>
                <pt idx="195">
                  <v>37729</v>
                </pt>
                <pt idx="196">
                  <v>38089</v>
                </pt>
                <pt idx="197">
                  <v>38144</v>
                </pt>
                <pt idx="198">
                  <v>38267</v>
                </pt>
                <pt idx="199">
                  <v>38239</v>
                </pt>
                <pt idx="200">
                  <v>38386</v>
                </pt>
                <pt idx="201">
                  <v>38120</v>
                </pt>
                <pt idx="202">
                  <v>38018</v>
                </pt>
                <pt idx="203">
                  <v>38066</v>
                </pt>
                <pt idx="204">
                  <v>38256</v>
                </pt>
                <pt idx="205">
                  <v>37945</v>
                </pt>
                <pt idx="206">
                  <v>37447</v>
                </pt>
                <pt idx="207">
                  <v>37738</v>
                </pt>
                <pt idx="208">
                  <v>37755</v>
                </pt>
                <pt idx="209">
                  <v>37714</v>
                </pt>
                <pt idx="210">
                  <v>37715</v>
                </pt>
                <pt idx="211">
                  <v>37645</v>
                </pt>
                <pt idx="212">
                  <v>37474</v>
                </pt>
                <pt idx="213">
                  <v>37500</v>
                </pt>
                <pt idx="214">
                  <v>37700</v>
                </pt>
                <pt idx="215">
                  <v>37659</v>
                </pt>
                <pt idx="216">
                  <v>37660</v>
                </pt>
                <pt idx="217">
                  <v>38267</v>
                </pt>
                <pt idx="218">
                  <v>38376</v>
                </pt>
                <pt idx="219">
                  <v>38658</v>
                </pt>
                <pt idx="220">
                  <v>38695</v>
                </pt>
                <pt idx="221">
                  <v>38838</v>
                </pt>
                <pt idx="222">
                  <v>39033</v>
                </pt>
                <pt idx="223">
                  <v>39402</v>
                </pt>
                <pt idx="224">
                  <v>39385</v>
                </pt>
                <pt idx="225">
                  <v>39440</v>
                </pt>
                <pt idx="226">
                  <v>39710</v>
                </pt>
                <pt idx="227">
                  <v>39508</v>
                </pt>
                <pt idx="228">
                  <v>39700</v>
                </pt>
                <pt idx="229">
                  <v>40382</v>
                </pt>
                <pt idx="230">
                  <v>40575</v>
                </pt>
                <pt idx="231">
                  <v>40624</v>
                </pt>
                <pt idx="232">
                  <v>41050</v>
                </pt>
                <pt idx="233">
                  <v>41540</v>
                </pt>
                <pt idx="234">
                  <v>41516</v>
                </pt>
                <pt idx="235">
                  <v>41718</v>
                </pt>
                <pt idx="236">
                  <v>42013</v>
                </pt>
                <pt idx="237">
                  <v>42162</v>
                </pt>
                <pt idx="238">
                  <v>42237</v>
                </pt>
                <pt idx="239">
                  <v>41864</v>
                </pt>
                <pt idx="240">
                  <v>42858</v>
                </pt>
                <pt idx="241">
                  <v>42950</v>
                </pt>
                <pt idx="242">
                  <v>42942</v>
                </pt>
                <pt idx="243">
                  <v>43365</v>
                </pt>
                <pt idx="244">
                  <v>43313</v>
                </pt>
                <pt idx="245">
                  <v>43542</v>
                </pt>
                <pt idx="246">
                  <v>43676</v>
                </pt>
                <pt idx="247">
                  <v>43712</v>
                </pt>
                <pt idx="248">
                  <v>44085</v>
                </pt>
                <pt idx="249">
                  <v>43708</v>
                </pt>
                <pt idx="250">
                  <v>44520</v>
                </pt>
                <pt idx="251">
                  <v>44538</v>
                </pt>
                <pt idx="252">
                  <v>45146</v>
                </pt>
                <pt idx="253">
                  <v>44868</v>
                </pt>
                <pt idx="254">
                  <v>45011</v>
                </pt>
                <pt idx="255">
                  <v>44723</v>
                </pt>
                <pt idx="256">
                  <v>44816</v>
                </pt>
                <pt idx="257">
                  <v>44701</v>
                </pt>
                <pt idx="258">
                  <v>45050</v>
                </pt>
                <pt idx="259">
                  <v>45155</v>
                </pt>
                <pt idx="260">
                  <v>45344</v>
                </pt>
                <pt idx="261">
                  <v>45936</v>
                </pt>
                <pt idx="262">
                  <v>46744</v>
                </pt>
                <pt idx="263">
                  <v>46330</v>
                </pt>
                <pt idx="264">
                  <v>45914</v>
                </pt>
                <pt idx="265">
                  <v>46424</v>
                </pt>
                <pt idx="266">
                  <v>47057</v>
                </pt>
                <pt idx="267">
                  <v>47137</v>
                </pt>
                <pt idx="268">
                  <v>47540</v>
                </pt>
                <pt idx="269">
                  <v>47710</v>
                </pt>
                <pt idx="270">
                  <v>48083</v>
                </pt>
                <pt idx="271">
                  <v>48375</v>
                </pt>
                <pt idx="272">
                  <v>48982</v>
                </pt>
                <pt idx="273">
                  <v>49658</v>
                </pt>
                <pt idx="274">
                  <v>49731</v>
                </pt>
                <pt idx="275">
                  <v>50508</v>
                </pt>
                <pt idx="276">
                  <v>50834</v>
                </pt>
                <pt idx="277">
                  <v>50690</v>
                </pt>
                <pt idx="278">
                  <v>51067</v>
                </pt>
                <pt idx="279">
                  <v>51739</v>
                </pt>
                <pt idx="280">
                  <v>51811</v>
                </pt>
                <pt idx="281">
                  <v>51879</v>
                </pt>
                <pt idx="282">
                  <v>52157</v>
                </pt>
                <pt idx="283">
                  <v>52416</v>
                </pt>
                <pt idx="284">
                  <v>52387</v>
                </pt>
                <pt idx="285">
                  <v>52759</v>
                </pt>
                <pt idx="286">
                  <v>52881</v>
                </pt>
                <pt idx="287">
                  <v>53740</v>
                </pt>
                <pt idx="288">
                  <v>53045</v>
                </pt>
                <pt idx="289">
                  <v>54237</v>
                </pt>
                <pt idx="290">
                  <v>53919</v>
                </pt>
                <pt idx="291">
                  <v>54240</v>
                </pt>
                <pt idx="292">
                  <v>54300</v>
                </pt>
                <pt idx="293">
                  <v>54296</v>
                </pt>
                <pt idx="294">
                  <v>54330</v>
                </pt>
                <pt idx="295">
                  <v>54803</v>
                </pt>
                <pt idx="296">
                  <v>55366</v>
                </pt>
                <pt idx="297">
                  <v>55375</v>
                </pt>
                <pt idx="298">
                  <v>56346</v>
                </pt>
                <pt idx="299">
                  <v>55451</v>
                </pt>
                <pt idx="300">
                  <v>57403</v>
                </pt>
                <pt idx="301">
                  <v>57492</v>
                </pt>
                <pt idx="302">
                  <v>57379</v>
                </pt>
                <pt idx="303">
                  <v>57474</v>
                </pt>
                <pt idx="304">
                  <v>57470</v>
                </pt>
                <pt idx="305">
                  <v>57263</v>
                </pt>
                <pt idx="306">
                  <v>57215</v>
                </pt>
                <pt idx="307">
                  <v>57524</v>
                </pt>
                <pt idx="308">
                  <v>57884</v>
                </pt>
                <pt idx="309">
                  <v>58126</v>
                </pt>
                <pt idx="310">
                  <v>58849</v>
                </pt>
                <pt idx="311">
                  <v>59119</v>
                </pt>
                <pt idx="312">
                  <v>59344</v>
                </pt>
                <pt idx="313">
                  <v>59653</v>
                </pt>
                <pt idx="314">
                  <v>60141</v>
                </pt>
                <pt idx="315">
                  <v>59415</v>
                </pt>
                <pt idx="316">
                  <v>60723</v>
                </pt>
                <pt idx="317">
                  <v>61440</v>
                </pt>
                <pt idx="318">
                  <v>62259</v>
                </pt>
                <pt idx="319">
                  <v>62635</v>
                </pt>
                <pt idx="320">
                  <v>61377</v>
                </pt>
                <pt idx="321">
                  <v>61972</v>
                </pt>
                <pt idx="322">
                  <v>61731</v>
                </pt>
                <pt idx="323">
                  <v>61790</v>
                </pt>
                <pt idx="324">
                  <v>61973</v>
                </pt>
                <pt idx="325">
                  <v>62631</v>
                </pt>
                <pt idx="326">
                  <v>63153</v>
                </pt>
                <pt idx="327">
                  <v>63617</v>
                </pt>
                <pt idx="328">
                  <v>64318</v>
                </pt>
                <pt idx="329">
                  <v>64984</v>
                </pt>
                <pt idx="330">
                  <v>65435</v>
                </pt>
                <pt idx="331">
                  <v>65333</v>
                </pt>
                <pt idx="332">
                  <v>65756</v>
                </pt>
                <pt idx="333">
                  <v>65628</v>
                </pt>
                <pt idx="334">
                  <v>65147</v>
                </pt>
                <pt idx="335">
                  <v>65807</v>
                </pt>
                <pt idx="336">
                  <v>66344</v>
                </pt>
                <pt idx="337">
                  <v>66200</v>
                </pt>
                <pt idx="338">
                  <v>46126</v>
                </pt>
                <pt idx="339">
                  <v>29927</v>
                </pt>
                <pt idx="340">
                  <v>39664</v>
                </pt>
                <pt idx="341">
                  <v>50464</v>
                </pt>
                <pt idx="342">
                  <v>52214</v>
                </pt>
                <pt idx="343">
                  <v>54558</v>
                </pt>
                <pt idx="344">
                  <v>55800</v>
                </pt>
                <pt idx="345">
                  <v>55992</v>
                </pt>
                <pt idx="346">
                  <v>53647</v>
                </pt>
                <pt idx="347">
                  <v>51190</v>
                </pt>
                <pt idx="348">
                  <v>56304</v>
                </pt>
                <pt idx="349">
                  <v>55512</v>
                </pt>
                <pt idx="350">
                  <v>63248</v>
                </pt>
                <pt idx="351">
                  <v>66482</v>
                </pt>
                <pt idx="352">
                  <v>69338</v>
                </pt>
                <pt idx="353">
                  <v>71017</v>
                </pt>
                <pt idx="354">
                  <v>72059</v>
                </pt>
                <pt idx="355">
                  <v>72090</v>
                </pt>
                <pt idx="356">
                  <v>72766</v>
                </pt>
                <pt idx="357">
                  <v>72990</v>
                </pt>
                <pt idx="358">
                  <v>73731</v>
                </pt>
                <pt idx="359">
                  <v>72531</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367"/>
        <crosses val="autoZero"/>
        <lblOffset val="100"/>
        <baseTimeUnit val="months"/>
      </dateAx>
      <valAx>
        <axId val="1585895367"/>
        <scaling>
          <orientation val="minMax"/>
          <min val="1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695"/>
        <crosses val="autoZero"/>
        <crossBetween val="between"/>
      </valAx>
    </plotArea>
    <plotVisOnly val="1"/>
    <dispBlanksAs val="gap"/>
  </chart>
</chartSpace>
</file>

<file path=xl/charts/chart21.xml><?xml version="1.0" encoding="utf-8"?>
<chartSpace xmlns="http://schemas.openxmlformats.org/drawingml/2006/chart">
  <chart>
    <title>
      <tx>
        <strRef>
          <f>'Food Services'!$D$6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Services'!$D$6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'Food Services'!$A$7:$A$366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'Food Services'!$D$7:$D$366</f>
              <numCache>
                <formatCode>General</formatCode>
                <ptCount val="360"/>
                <pt idx="12">
                  <formatCode>0.00%</formatCode>
                  <v>0.02230634828188701</v>
                </pt>
                <pt idx="13">
                  <formatCode>0.00%</formatCode>
                  <v>0.02872277810476751</v>
                </pt>
                <pt idx="14">
                  <formatCode>0.00%</formatCode>
                  <v>0.03771577205013005</v>
                </pt>
                <pt idx="15">
                  <formatCode>0.00%</formatCode>
                  <v>0.06553936559333214</v>
                </pt>
                <pt idx="16">
                  <formatCode>0.00%</formatCode>
                  <v>0.07342488856764245</v>
                </pt>
                <pt idx="17">
                  <formatCode>0.00%</formatCode>
                  <v>0.1076979787430116</v>
                </pt>
                <pt idx="18">
                  <formatCode>0.00%</formatCode>
                  <v>0.08674830261881668</v>
                </pt>
                <pt idx="19">
                  <formatCode>0.00%</formatCode>
                  <v>0.08773083129145999</v>
                </pt>
                <pt idx="20">
                  <formatCode>0.00%</formatCode>
                  <v>0.1012966928384487</v>
                </pt>
                <pt idx="21">
                  <formatCode>0.00%</formatCode>
                  <v>0.0640201122544434</v>
                </pt>
                <pt idx="22">
                  <formatCode>0.00%</formatCode>
                  <v>0.0420780711825488</v>
                </pt>
                <pt idx="23">
                  <formatCode>0.00%</formatCode>
                  <v>0.04270767823452061</v>
                </pt>
                <pt idx="24">
                  <formatCode>0.00%</formatCode>
                  <v>0.004044892610949695</v>
                </pt>
                <pt idx="25">
                  <formatCode>0.00%</formatCode>
                  <v>0.05418240073234924</v>
                </pt>
                <pt idx="26">
                  <formatCode>0.00%</formatCode>
                  <v>0.07172154494702063</v>
                </pt>
                <pt idx="27">
                  <formatCode>0.00%</formatCode>
                  <v>0.04293753517163759</v>
                </pt>
                <pt idx="28">
                  <formatCode>0.00%</formatCode>
                  <v>0.04371247404747208</v>
                </pt>
                <pt idx="29">
                  <formatCode>0.00%</formatCode>
                  <v>0.04764281752634498</v>
                </pt>
                <pt idx="30">
                  <formatCode>0.00%</formatCode>
                  <v>0.05773414402856027</v>
                </pt>
                <pt idx="31">
                  <formatCode>0.00%</formatCode>
                  <v>0.03664633811329048</v>
                </pt>
                <pt idx="32">
                  <formatCode>0.00%</formatCode>
                  <v>0.02500675128274372</v>
                </pt>
                <pt idx="33">
                  <formatCode>0.00%</formatCode>
                  <v>0.04456288807077312</v>
                </pt>
                <pt idx="34">
                  <formatCode>0.00%</formatCode>
                  <v>0.04820139921776015</v>
                </pt>
                <pt idx="35">
                  <formatCode>0.00%</formatCode>
                  <v>0.05154073911613116</v>
                </pt>
                <pt idx="36">
                  <formatCode>0.00%</formatCode>
                  <v>0.08715388107126645</v>
                </pt>
                <pt idx="37">
                  <formatCode>0.00%</formatCode>
                  <v>0.02637720488466757</v>
                </pt>
                <pt idx="38">
                  <formatCode>0.00%</formatCode>
                  <v>0.02237814277361399</v>
                </pt>
                <pt idx="39">
                  <formatCode>0.00%</formatCode>
                  <v>0.0438676954621486</v>
                </pt>
                <pt idx="40">
                  <formatCode>0.00%</formatCode>
                  <v>0.0456989247311828</v>
                </pt>
                <pt idx="41">
                  <formatCode>0.00%</formatCode>
                  <v>0.02805865847847954</v>
                </pt>
                <pt idx="42">
                  <formatCode>0.00%</formatCode>
                  <v>0.02779242695918152</v>
                </pt>
                <pt idx="43">
                  <formatCode>0.00%</formatCode>
                  <v>0.04489082043671825</v>
                </pt>
                <pt idx="44">
                  <formatCode>0.00%</formatCode>
                  <v>0.03488249552112973</v>
                </pt>
                <pt idx="45">
                  <formatCode>0.00%</formatCode>
                  <v>0.03161493950552341</v>
                </pt>
                <pt idx="46">
                  <formatCode>0.00%</formatCode>
                  <v>0.03053394996846752</v>
                </pt>
                <pt idx="47">
                  <formatCode>0.00%</formatCode>
                  <v>0.02330795703410158</v>
                </pt>
                <pt idx="48">
                  <formatCode>0.00%</formatCode>
                  <v>0.02108559498956159</v>
                </pt>
                <pt idx="49">
                  <formatCode>0.00%</formatCode>
                  <v>0.04394267886415314</v>
                </pt>
                <pt idx="50">
                  <formatCode>0.00%</formatCode>
                  <v>0.03265051471352812</v>
                </pt>
                <pt idx="51">
                  <formatCode>0.00%</formatCode>
                  <v>0.03029049932802647</v>
                </pt>
                <pt idx="52">
                  <formatCode>0.00%</formatCode>
                  <v>0.03311053984575835</v>
                </pt>
                <pt idx="53">
                  <formatCode>0.00%</formatCode>
                  <v>0.02641742623204078</v>
                </pt>
                <pt idx="54">
                  <formatCode>0.00%</formatCode>
                  <v>0.03366001334085895</v>
                </pt>
                <pt idx="55">
                  <formatCode>0.00%</formatCode>
                  <v>0.02155718995688562</v>
                </pt>
                <pt idx="56">
                  <formatCode>0.00%</formatCode>
                  <v>0.03854378818737271</v>
                </pt>
                <pt idx="57">
                  <formatCode>0.00%</formatCode>
                  <v>0.0479322829024527</v>
                </pt>
                <pt idx="58">
                  <formatCode>0.00%</formatCode>
                  <v>0.06017644958947422</v>
                </pt>
                <pt idx="59">
                  <formatCode>0.00%</formatCode>
                  <v>0.05513375796178344</v>
                </pt>
                <pt idx="60">
                  <formatCode>0.00%</formatCode>
                  <v>0.07902269474545083</v>
                </pt>
                <pt idx="61">
                  <formatCode>0.00%</formatCode>
                  <v>0.07061088035660014</v>
                </pt>
                <pt idx="62">
                  <formatCode>0.00%</formatCode>
                  <v>0.06590474272480112</v>
                </pt>
                <pt idx="63">
                  <formatCode>0.00%</formatCode>
                  <v>0.06441902468392535</v>
                </pt>
                <pt idx="64">
                  <formatCode>0.00%</formatCode>
                  <v>0.05653428884244053</v>
                </pt>
                <pt idx="65">
                  <formatCode>0.00%</formatCode>
                  <v>0.07274734095926148</v>
                </pt>
                <pt idx="66">
                  <formatCode>0.00%</formatCode>
                  <v>0.07664432861752296</v>
                </pt>
                <pt idx="67">
                  <formatCode>0.00%</formatCode>
                  <v>0.07616683217477656</v>
                </pt>
                <pt idx="68">
                  <formatCode>0.00%</formatCode>
                  <v>0.07790361327646222</v>
                </pt>
                <pt idx="69">
                  <formatCode>0.00%</formatCode>
                  <v>0.05873193518563573</v>
                </pt>
                <pt idx="70">
                  <formatCode>0.00%</formatCode>
                  <v>0.03439318870556544</v>
                </pt>
                <pt idx="71">
                  <formatCode>0.00%</formatCode>
                  <v>0.05365335393828174</v>
                </pt>
                <pt idx="72">
                  <formatCode>0.00%</formatCode>
                  <v>0.03841781146376125</v>
                </pt>
                <pt idx="73">
                  <formatCode>0.00%</formatCode>
                  <v>0.04712339137017411</v>
                </pt>
                <pt idx="74">
                  <formatCode>0.00%</formatCode>
                  <v>0.05101317840442114</v>
                </pt>
                <pt idx="75">
                  <formatCode>0.00%</formatCode>
                  <v>0.05359162895927602</v>
                </pt>
                <pt idx="76">
                  <formatCode>0.00%</formatCode>
                  <v>0.05680640602920396</v>
                </pt>
                <pt idx="77">
                  <formatCode>0.00%</formatCode>
                  <v>0.05855392386119165</v>
                </pt>
                <pt idx="78">
                  <formatCode>0.00%</formatCode>
                  <v>0.04061966895661395</v>
                </pt>
                <pt idx="79">
                  <formatCode>0.00%</formatCode>
                  <v>0.04932176801697887</v>
                </pt>
                <pt idx="80">
                  <formatCode>0.00%</formatCode>
                  <v>0.03838806513235696</v>
                </pt>
                <pt idx="81">
                  <formatCode>0.00%</formatCode>
                  <v>0.06011581946870117</v>
                </pt>
                <pt idx="82">
                  <formatCode>0.00%</formatCode>
                  <v>0.07686941964285714</v>
                </pt>
                <pt idx="83">
                  <formatCode>0.00%</formatCode>
                  <v>0.07026308552571271</v>
                </pt>
                <pt idx="84">
                  <formatCode>0.00%</formatCode>
                  <v>0.04333743898544774</v>
                </pt>
                <pt idx="85">
                  <formatCode>0.00%</formatCode>
                  <v>0.05141876016627508</v>
                </pt>
                <pt idx="86">
                  <formatCode>0.00%</formatCode>
                  <v>0.04489685856815424</v>
                </pt>
                <pt idx="87">
                  <formatCode>0.00%</formatCode>
                  <v>0.04862881939784369</v>
                </pt>
                <pt idx="88">
                  <formatCode>0.00%</formatCode>
                  <v>0.04742378320556249</v>
                </pt>
                <pt idx="89">
                  <formatCode>0.00%</formatCode>
                  <v>0.0402933639657153</v>
                </pt>
                <pt idx="90">
                  <formatCode>0.00%</formatCode>
                  <v>0.04155959237926451</v>
                </pt>
                <pt idx="91">
                  <formatCode>0.00%</formatCode>
                  <v>0.04049597678406543</v>
                </pt>
                <pt idx="92">
                  <formatCode>0.00%</formatCode>
                  <v>0.04406482698204117</v>
                </pt>
                <pt idx="93">
                  <formatCode>0.00%</formatCode>
                  <v>0.0519812711350039</v>
                </pt>
                <pt idx="94">
                  <formatCode>0.00%</formatCode>
                  <v>0.05458392710627456</v>
                </pt>
                <pt idx="95">
                  <formatCode>0.00%</formatCode>
                  <v>0.0439809858250182</v>
                </pt>
                <pt idx="96">
                  <formatCode>0.00%</formatCode>
                  <v>0.07594770670281142</v>
                </pt>
                <pt idx="97">
                  <formatCode>0.00%</formatCode>
                  <v>0.06948861194671251</v>
                </pt>
                <pt idx="98">
                  <formatCode>0.00%</formatCode>
                  <v>0.09105376344086022</v>
                </pt>
                <pt idx="99">
                  <formatCode>0.00%</formatCode>
                  <v>0.07572525597269625</v>
                </pt>
                <pt idx="100">
                  <formatCode>0.00%</formatCode>
                  <v>0.07204255319148936</v>
                </pt>
                <pt idx="101">
                  <formatCode>0.00%</formatCode>
                  <v>0.07287862057249639</v>
                </pt>
                <pt idx="102">
                  <formatCode>0.00%</formatCode>
                  <v>0.08278033010039136</v>
                </pt>
                <pt idx="103">
                  <formatCode>0.00%</formatCode>
                  <v>0.07090939824205544</v>
                </pt>
                <pt idx="104">
                  <formatCode>0.00%</formatCode>
                  <v>0.07866252726967612</v>
                </pt>
                <pt idx="105">
                  <formatCode>0.00%</formatCode>
                  <v>0.05938594683700803</v>
                </pt>
                <pt idx="106">
                  <formatCode>0.00%</formatCode>
                  <v>0.05229106097211417</v>
                </pt>
                <pt idx="107">
                  <formatCode>0.00%</formatCode>
                  <v>0.03097054721470178</v>
                </pt>
                <pt idx="108">
                  <formatCode>0.00%</formatCode>
                  <v>0.0638816644993498</v>
                </pt>
                <pt idx="109">
                  <formatCode>0.00%</formatCode>
                  <v>0.04749467593522723</v>
                </pt>
                <pt idx="110">
                  <formatCode>0.00%</formatCode>
                  <v>0.02976307801474357</v>
                </pt>
                <pt idx="111">
                  <formatCode>0.00%</formatCode>
                  <v>0.03291691453499901</v>
                </pt>
                <pt idx="112">
                  <formatCode>0.00%</formatCode>
                  <v>0.04306751875520978</v>
                </pt>
                <pt idx="113">
                  <formatCode>0.00%</formatCode>
                  <v>0.04421660992795503</v>
                </pt>
                <pt idx="114">
                  <formatCode>0.00%</formatCode>
                  <v>0.04136874361593463</v>
                </pt>
                <pt idx="115">
                  <formatCode>0.00%</formatCode>
                  <v>0.05962433904190672</v>
                </pt>
                <pt idx="116">
                  <formatCode>0.00%</formatCode>
                  <v>0.02053595737233091</v>
                </pt>
                <pt idx="117">
                  <formatCode>0.00%</formatCode>
                  <v>0.03248268886641251</v>
                </pt>
                <pt idx="118">
                  <formatCode>0.00%</formatCode>
                  <v>0.03498326718032532</v>
                </pt>
                <pt idx="119">
                  <formatCode>0.00%</formatCode>
                  <v>0.08049178371065929</v>
                </pt>
                <pt idx="120">
                  <formatCode>0.00%</formatCode>
                  <v>0.03899923605805958</v>
                </pt>
                <pt idx="121">
                  <formatCode>0.00%</formatCode>
                  <v>0.05044305496950401</v>
                </pt>
                <pt idx="122">
                  <formatCode>0.00%</formatCode>
                  <v>0.04138274251588699</v>
                </pt>
                <pt idx="123">
                  <formatCode>0.00%</formatCode>
                  <v>0.05586484929928969</v>
                </pt>
                <pt idx="124">
                  <formatCode>0.00%</formatCode>
                  <v>0.0418601111195677</v>
                </pt>
                <pt idx="125">
                  <formatCode>0.00%</formatCode>
                  <v>0.04575609386254217</v>
                </pt>
                <pt idx="126">
                  <formatCode>0.00%</formatCode>
                  <v>0.04183800505526842</v>
                </pt>
                <pt idx="127">
                  <formatCode>0.00%</formatCode>
                  <v>0.02807879938926749</v>
                </pt>
                <pt idx="128">
                  <formatCode>0.00%</formatCode>
                  <v>0.05888181714242158</v>
                </pt>
                <pt idx="129">
                  <formatCode>0.00%</formatCode>
                  <v>0.04076711502957688</v>
                </pt>
                <pt idx="130">
                  <formatCode>0.00%</formatCode>
                  <v>0.04959205925480317</v>
                </pt>
                <pt idx="131">
                  <formatCode>0.00%</formatCode>
                  <v>0.03170570039770217</v>
                </pt>
                <pt idx="132">
                  <formatCode>0.00%</formatCode>
                  <v>0.03003566045365979</v>
                </pt>
                <pt idx="133">
                  <formatCode>0.00%</formatCode>
                  <v>0.0217280163599182</v>
                </pt>
                <pt idx="134">
                  <formatCode>0.00%</formatCode>
                  <v>0.04786236812116311</v>
                </pt>
                <pt idx="135">
                  <formatCode>0.00%</formatCode>
                  <v>0.03283636363636364</v>
                </pt>
                <pt idx="136">
                  <formatCode>0.00%</formatCode>
                  <v>0.06099788151070203</v>
                </pt>
                <pt idx="137">
                  <formatCode>0.00%</formatCode>
                  <v>0.05959544696585224</v>
                </pt>
                <pt idx="138">
                  <formatCode>0.00%</formatCode>
                  <v>0.06441917728852839</v>
                </pt>
                <pt idx="139">
                  <formatCode>0.00%</formatCode>
                  <v>0.08103017350671932</v>
                </pt>
                <pt idx="140">
                  <formatCode>0.00%</formatCode>
                  <v>0.0618701410883962</v>
                </pt>
                <pt idx="141">
                  <formatCode>0.00%</formatCode>
                  <v>0.08768055605835717</v>
                </pt>
                <pt idx="142">
                  <formatCode>0.00%</formatCode>
                  <v>0.08285570998710418</v>
                </pt>
                <pt idx="143">
                  <formatCode>0.00%</formatCode>
                  <v>0.06346146982189385</v>
                </pt>
                <pt idx="144">
                  <formatCode>0.00%</formatCode>
                  <v>0.08291098579484617</v>
                </pt>
                <pt idx="145">
                  <formatCode>0.00%</formatCode>
                  <v>0.0887093891847457</v>
                </pt>
                <pt idx="146">
                  <formatCode>0.00%</formatCode>
                  <v>0.0771092790738467</v>
                </pt>
                <pt idx="147">
                  <formatCode>0.00%</formatCode>
                  <v>0.0759426821110446</v>
                </pt>
                <pt idx="148">
                  <formatCode>0.00%</formatCode>
                  <v>0.05728449462957863</v>
                </pt>
                <pt idx="149">
                  <formatCode>0.00%</formatCode>
                  <v>0.0545672254533014</v>
                </pt>
                <pt idx="150">
                  <formatCode>0.00%</formatCode>
                  <v>0.06109882633100867</v>
                </pt>
                <pt idx="151">
                  <formatCode>0.00%</formatCode>
                  <v>0.03994102667202788</v>
                </pt>
                <pt idx="152">
                  <formatCode>0.00%</formatCode>
                  <v>0.06531539165508593</v>
                </pt>
                <pt idx="153">
                  <formatCode>0.00%</formatCode>
                  <v>0.05258778498918289</v>
                </pt>
                <pt idx="154">
                  <formatCode>0.00%</formatCode>
                  <v>0.04730556750140594</v>
                </pt>
                <pt idx="155">
                  <formatCode>0.00%</formatCode>
                  <v>0.07773116294680316</v>
                </pt>
                <pt idx="156">
                  <formatCode>0.00%</formatCode>
                  <v>0.05467848785471804</v>
                </pt>
                <pt idx="157">
                  <formatCode>0.00%</formatCode>
                  <v>0.06592035717803092</v>
                </pt>
                <pt idx="158">
                  <formatCode>0.00%</formatCode>
                  <v>0.05113506823437449</v>
                </pt>
                <pt idx="159">
                  <formatCode>0.00%</formatCode>
                  <v>0.07405104712041885</v>
                </pt>
                <pt idx="160">
                  <formatCode>0.00%</formatCode>
                  <v>0.06622818442302683</v>
                </pt>
                <pt idx="161">
                  <formatCode>0.00%</formatCode>
                  <v>0.07085158150851581</v>
                </pt>
                <pt idx="162">
                  <formatCode>0.00%</formatCode>
                  <v>0.05979288897438364</v>
                </pt>
                <pt idx="163">
                  <formatCode>0.00%</formatCode>
                  <v>0.07169093955406625</v>
                </pt>
                <pt idx="164">
                  <formatCode>0.00%</formatCode>
                  <v>0.05895641107222399</v>
                </pt>
                <pt idx="165">
                  <formatCode>0.00%</formatCode>
                  <v>0.0630197628458498</v>
                </pt>
                <pt idx="166">
                  <formatCode>0.00%</formatCode>
                  <v>0.07463912315613254</v>
                </pt>
                <pt idx="167">
                  <formatCode>0.00%</formatCode>
                  <v>0.05670953878733145</v>
                </pt>
                <pt idx="168">
                  <formatCode>0.00%</formatCode>
                  <v>0.09321875</v>
                </pt>
                <pt idx="169">
                  <formatCode>0.00%</formatCode>
                  <v>0.06362992392743848</v>
                </pt>
                <pt idx="170">
                  <formatCode>0.00%</formatCode>
                  <v>0.07817680413968332</v>
                </pt>
                <pt idx="171">
                  <formatCode>0.00%</formatCode>
                  <v>0.06212107363738842</v>
                </pt>
                <pt idx="172">
                  <formatCode>0.00%</formatCode>
                  <v>0.06608440725584805</v>
                </pt>
                <pt idx="173">
                  <formatCode>0.00%</formatCode>
                  <v>0.05107697900572571</v>
                </pt>
                <pt idx="174">
                  <formatCode>0.00%</formatCode>
                  <v>0.05281945788964182</v>
                </pt>
                <pt idx="175">
                  <formatCode>0.00%</formatCode>
                  <v>0.063317398755299</v>
                </pt>
                <pt idx="176">
                  <formatCode>0.00%</formatCode>
                  <v>0.07337078989273803</v>
                </pt>
                <pt idx="177">
                  <formatCode>0.00%</formatCode>
                  <v>0.06442976976619669</v>
                </pt>
                <pt idx="178">
                  <formatCode>0.00%</formatCode>
                  <v>0.05587560989947681</v>
                </pt>
                <pt idx="179">
                  <formatCode>0.00%</formatCode>
                  <v>0.08690911234233173</v>
                </pt>
                <pt idx="180">
                  <formatCode>0.00%</formatCode>
                  <v>0.04150587428179402</v>
                </pt>
                <pt idx="181">
                  <formatCode>0.00%</formatCode>
                  <v>0.04395540755755031</v>
                </pt>
                <pt idx="182">
                  <formatCode>0.00%</formatCode>
                  <v>0.0512415220140246</v>
                </pt>
                <pt idx="183">
                  <formatCode>0.00%</formatCode>
                  <v>0.0506281911536917</v>
                </pt>
                <pt idx="184">
                  <formatCode>0.00%</formatCode>
                  <v>0.05219134918361501</v>
                </pt>
                <pt idx="185">
                  <formatCode>0.00%</formatCode>
                  <v>0.06868424845078541</v>
                </pt>
                <pt idx="186">
                  <formatCode>0.00%</formatCode>
                  <v>0.07097293259008103</v>
                </pt>
                <pt idx="187">
                  <formatCode>0.00%</formatCode>
                  <v>0.05151695082986965</v>
                </pt>
                <pt idx="188">
                  <formatCode>0.00%</formatCode>
                  <v>0.04764170748775368</v>
                </pt>
                <pt idx="189">
                  <formatCode>0.00%</formatCode>
                  <v>0.05519226469930695</v>
                </pt>
                <pt idx="190">
                  <formatCode>0.00%</formatCode>
                  <v>0.05021852295186928</v>
                </pt>
                <pt idx="191">
                  <formatCode>0.00%</formatCode>
                  <v>0.03329627721591063</v>
                </pt>
                <pt idx="192">
                  <formatCode>0.00%</formatCode>
                  <v>0.03812268423219432</v>
                </pt>
                <pt idx="193">
                  <formatCode>0.00%</formatCode>
                  <v>0.03317338362965634</v>
                </pt>
                <pt idx="194">
                  <formatCode>0.00%</formatCode>
                  <v>0.02659996172667378</v>
                </pt>
                <pt idx="195">
                  <formatCode>0.00%</formatCode>
                  <v>0.03008709422011085</v>
                </pt>
                <pt idx="196">
                  <formatCode>0.00%</formatCode>
                  <v>0.0369432647283023</v>
                </pt>
                <pt idx="197">
                  <formatCode>0.00%</formatCode>
                  <v>0.02875020227628243</v>
                </pt>
                <pt idx="198">
                  <formatCode>0.00%</formatCode>
                  <v>0.02669564284181155</v>
                </pt>
                <pt idx="199">
                  <formatCode>0.00%</formatCode>
                  <v>0.02823415526096426</v>
                </pt>
                <pt idx="200">
                  <formatCode>0.00%</formatCode>
                  <v>0.02562321318833997</v>
                </pt>
                <pt idx="201">
                  <formatCode>0.00%</formatCode>
                  <v>0.009560634550703143</v>
                </pt>
                <pt idx="202">
                  <formatCode>0.00%</formatCode>
                  <v>0.007713308770906778</v>
                </pt>
                <pt idx="203">
                  <formatCode>0.00%</formatCode>
                  <v>-0.001128342386312944</v>
                </pt>
                <pt idx="204">
                  <formatCode>0.00%</formatCode>
                  <v>0.01142131979695431</v>
                </pt>
                <pt idx="205">
                  <formatCode>0.00%</formatCode>
                  <v>0.01868506537088244</v>
                </pt>
                <pt idx="206">
                  <formatCode>0.00%</formatCode>
                  <v>-0.002796122709842352</v>
                </pt>
                <pt idx="207">
                  <formatCode>0.00%</formatCode>
                  <v>0.0002385432956081529</v>
                </pt>
                <pt idx="208">
                  <formatCode>0.00%</formatCode>
                  <v>-0.008768935913255796</v>
                </pt>
                <pt idx="209">
                  <formatCode>0.00%</formatCode>
                  <v>-0.01127307046979866</v>
                </pt>
                <pt idx="210">
                  <formatCode>0.00%</formatCode>
                  <v>-0.01442496145503959</v>
                </pt>
                <pt idx="211">
                  <formatCode>0.00%</formatCode>
                  <v>-0.01553387902403306</v>
                </pt>
                <pt idx="212">
                  <formatCode>0.00%</formatCode>
                  <v>-0.02375866201219195</v>
                </pt>
                <pt idx="213">
                  <formatCode>0.00%</formatCode>
                  <v>-0.01626442812172088</v>
                </pt>
                <pt idx="214">
                  <formatCode>0.00%</formatCode>
                  <v>-0.008364458940501867</v>
                </pt>
                <pt idx="215">
                  <formatCode>0.00%</formatCode>
                  <v>-0.01069195607628855</v>
                </pt>
                <pt idx="216">
                  <formatCode>0.00%</formatCode>
                  <v>-0.01557925554161439</v>
                </pt>
                <pt idx="217">
                  <formatCode>0.00%</formatCode>
                  <v>0.008485966530504678</v>
                </pt>
                <pt idx="218">
                  <formatCode>0.00%</formatCode>
                  <v>0.0248083958661575</v>
                </pt>
                <pt idx="219">
                  <formatCode>0.00%</formatCode>
                  <v>0.02437861041920611</v>
                </pt>
                <pt idx="220">
                  <formatCode>0.00%</formatCode>
                  <v>0.02489736458747186</v>
                </pt>
                <pt idx="221">
                  <formatCode>0.00%</formatCode>
                  <v>0.02980325608527337</v>
                </pt>
                <pt idx="222">
                  <formatCode>0.00%</formatCode>
                  <v>0.03494630783507888</v>
                </pt>
                <pt idx="223">
                  <formatCode>0.00%</formatCode>
                  <v>0.04667286492230044</v>
                </pt>
                <pt idx="224">
                  <formatCode>0.00%</formatCode>
                  <v>0.05099535678070129</v>
                </pt>
                <pt idx="225">
                  <formatCode>0.00%</formatCode>
                  <v>0.05173333333333333</v>
                </pt>
                <pt idx="226">
                  <formatCode>0.00%</formatCode>
                  <v>0.05331564986737401</v>
                </pt>
                <pt idx="227">
                  <formatCode>0.00%</formatCode>
                  <v>0.04909848907299716</v>
                </pt>
                <pt idx="228">
                  <formatCode>0.00%</formatCode>
                  <v>0.05416887944768985</v>
                </pt>
                <pt idx="229">
                  <formatCode>0.00%</formatCode>
                  <v>0.05526955340110278</v>
                </pt>
                <pt idx="230">
                  <formatCode>0.00%</formatCode>
                  <v>0.05730143839899937</v>
                </pt>
                <pt idx="231">
                  <formatCode>0.00%</formatCode>
                  <v>0.05085622639557142</v>
                </pt>
                <pt idx="232">
                  <formatCode>0.00%</formatCode>
                  <v>0.06086057630184778</v>
                </pt>
                <pt idx="233">
                  <formatCode>0.00%</formatCode>
                  <v>0.06957103867346413</v>
                </pt>
                <pt idx="234">
                  <formatCode>0.00%</formatCode>
                  <v>0.06361284041708298</v>
                </pt>
                <pt idx="235">
                  <formatCode>0.00%</formatCode>
                  <v>0.05877874219582762</v>
                </pt>
                <pt idx="236">
                  <formatCode>0.00%</formatCode>
                  <v>0.06672591087977657</v>
                </pt>
                <pt idx="237">
                  <formatCode>0.00%</formatCode>
                  <v>0.06901622718052738</v>
                </pt>
                <pt idx="238">
                  <formatCode>0.00%</formatCode>
                  <v>0.06363636363636363</v>
                </pt>
                <pt idx="239">
                  <formatCode>0.00%</formatCode>
                  <v>0.05963349195099726</v>
                </pt>
                <pt idx="240">
                  <formatCode>0.00%</formatCode>
                  <v>0.07954659949622166</v>
                </pt>
                <pt idx="241">
                  <formatCode>0.00%</formatCode>
                  <v>0.0635926898122926</v>
                </pt>
                <pt idx="242">
                  <formatCode>0.00%</formatCode>
                  <v>0.05833641404805915</v>
                </pt>
                <pt idx="243">
                  <formatCode>0.00%</formatCode>
                  <v>0.06747243009058684</v>
                </pt>
                <pt idx="244">
                  <formatCode>0.00%</formatCode>
                  <v>0.0551278928136419</v>
                </pt>
                <pt idx="245">
                  <formatCode>0.00%</formatCode>
                  <v>0.04819451131439576</v>
                </pt>
                <pt idx="246">
                  <formatCode>0.00%</formatCode>
                  <v>0.05202813373157337</v>
                </pt>
                <pt idx="247">
                  <formatCode>0.00%</formatCode>
                  <v>0.04779711395560669</v>
                </pt>
                <pt idx="248">
                  <formatCode>0.00%</formatCode>
                  <v>0.04931806821698046</v>
                </pt>
                <pt idx="249">
                  <formatCode>0.00%</formatCode>
                  <v>0.03666808974906314</v>
                </pt>
                <pt idx="250">
                  <formatCode>0.00%</formatCode>
                  <v>0.05405213438454436</v>
                </pt>
                <pt idx="251">
                  <formatCode>0.00%</formatCode>
                  <v>0.06387349512707816</v>
                </pt>
                <pt idx="252">
                  <formatCode>0.00%</formatCode>
                  <v>0.05338559895468757</v>
                </pt>
                <pt idx="253">
                  <formatCode>0.00%</formatCode>
                  <v>0.04465657741559954</v>
                </pt>
                <pt idx="254">
                  <formatCode>0.00%</formatCode>
                  <v>0.04818126775650878</v>
                </pt>
                <pt idx="255">
                  <formatCode>0.00%</formatCode>
                  <v>0.03131557707828894</v>
                </pt>
                <pt idx="256">
                  <formatCode>0.00%</formatCode>
                  <v>0.03470089811373029</v>
                </pt>
                <pt idx="257">
                  <formatCode>0.00%</formatCode>
                  <v>0.02661797804418722</v>
                </pt>
                <pt idx="258">
                  <formatCode>0.00%</formatCode>
                  <v>0.03145892480996428</v>
                </pt>
                <pt idx="259">
                  <formatCode>0.00%</formatCode>
                  <v>0.03301153001464129</v>
                </pt>
                <pt idx="260">
                  <formatCode>0.00%</formatCode>
                  <v>0.02855846659861631</v>
                </pt>
                <pt idx="261">
                  <formatCode>0.00%</formatCode>
                  <v>0.05097464994966597</v>
                </pt>
                <pt idx="262">
                  <formatCode>0.00%</formatCode>
                  <v>0.04995507637017071</v>
                </pt>
                <pt idx="263">
                  <formatCode>0.00%</formatCode>
                  <v>0.04023530468364094</v>
                </pt>
                <pt idx="264">
                  <formatCode>0.00%</formatCode>
                  <v>0.01701147388472955</v>
                </pt>
                <pt idx="265">
                  <formatCode>0.00%</formatCode>
                  <v>0.03467950432379424</v>
                </pt>
                <pt idx="266">
                  <formatCode>0.00%</formatCode>
                  <v>0.04545555530870232</v>
                </pt>
                <pt idx="267">
                  <formatCode>0.00%</formatCode>
                  <v>0.05397670102631755</v>
                </pt>
                <pt idx="268">
                  <formatCode>0.00%</formatCode>
                  <v>0.06078186362013566</v>
                </pt>
                <pt idx="269">
                  <formatCode>0.00%</formatCode>
                  <v>0.06731393033712893</v>
                </pt>
                <pt idx="270">
                  <formatCode>0.00%</formatCode>
                  <v>0.06732519422863485</v>
                </pt>
                <pt idx="271">
                  <formatCode>0.00%</formatCode>
                  <v>0.07130993245487764</v>
                </pt>
                <pt idx="272">
                  <formatCode>0.00%</formatCode>
                  <v>0.08023112208892025</v>
                </pt>
                <pt idx="273">
                  <formatCode>0.00%</formatCode>
                  <v>0.08102577499129224</v>
                </pt>
                <pt idx="274">
                  <formatCode>0.00%</formatCode>
                  <v>0.0639012493582064</v>
                </pt>
                <pt idx="275">
                  <formatCode>0.00%</formatCode>
                  <v>0.09017914957910642</v>
                </pt>
                <pt idx="276">
                  <formatCode>0.00%</formatCode>
                  <v>0.1071568584745394</v>
                </pt>
                <pt idx="277">
                  <formatCode>0.00%</formatCode>
                  <v>0.0918921247630536</v>
                </pt>
                <pt idx="278">
                  <formatCode>0.00%</formatCode>
                  <v>0.08521580211233186</v>
                </pt>
                <pt idx="279">
                  <formatCode>0.00%</formatCode>
                  <v>0.09763031164478012</v>
                </pt>
                <pt idx="280">
                  <formatCode>0.00%</formatCode>
                  <v>0.08984013462347497</v>
                </pt>
                <pt idx="281">
                  <formatCode>0.00%</formatCode>
                  <v>0.08738210018863969</v>
                </pt>
                <pt idx="282">
                  <formatCode>0.00%</formatCode>
                  <v>0.08472849031882371</v>
                </pt>
                <pt idx="283">
                  <formatCode>0.00%</formatCode>
                  <v>0.08353488372093024</v>
                </pt>
                <pt idx="284">
                  <formatCode>0.00%</formatCode>
                  <v>0.06951533216283533</v>
                </pt>
                <pt idx="285">
                  <formatCode>0.00%</formatCode>
                  <v>0.06244713842683958</v>
                </pt>
                <pt idx="286">
                  <formatCode>0.00%</formatCode>
                  <v>0.06334077336068046</v>
                </pt>
                <pt idx="287">
                  <formatCode>0.00%</formatCode>
                  <v>0.06398986299200127</v>
                </pt>
                <pt idx="288">
                  <formatCode>0.00%</formatCode>
                  <v>0.04349451154738954</v>
                </pt>
                <pt idx="289">
                  <formatCode>0.00%</formatCode>
                  <v>0.06997435391595976</v>
                </pt>
                <pt idx="290">
                  <formatCode>0.00%</formatCode>
                  <v>0.05584819942428574</v>
                </pt>
                <pt idx="291">
                  <formatCode>0.00%</formatCode>
                  <v>0.04833877732464872</v>
                </pt>
                <pt idx="292">
                  <formatCode>0.00%</formatCode>
                  <v>0.04803999150759491</v>
                </pt>
                <pt idx="293">
                  <formatCode>0.00%</formatCode>
                  <v>0.04658917866574144</v>
                </pt>
                <pt idx="294">
                  <formatCode>0.00%</formatCode>
                  <v>0.04166267231627586</v>
                </pt>
                <pt idx="295">
                  <formatCode>0.00%</formatCode>
                  <v>0.04553952991452991</v>
                </pt>
                <pt idx="296">
                  <formatCode>0.00%</formatCode>
                  <v>0.05686525282990055</v>
                </pt>
                <pt idx="297">
                  <formatCode>0.00%</formatCode>
                  <v>0.04958395723952311</v>
                </pt>
                <pt idx="298">
                  <formatCode>0.00%</formatCode>
                  <v>0.06552447949168888</v>
                </pt>
                <pt idx="299">
                  <formatCode>0.00%</formatCode>
                  <v>0.03183848157796799</v>
                </pt>
                <pt idx="300">
                  <formatCode>0.00%</formatCode>
                  <v>0.08215665944009803</v>
                </pt>
                <pt idx="301">
                  <formatCode>0.00%</formatCode>
                  <v>0.06001438132640079</v>
                </pt>
                <pt idx="302">
                  <formatCode>0.00%</formatCode>
                  <v>0.06417032956842672</v>
                </pt>
                <pt idx="303">
                  <formatCode>0.00%</formatCode>
                  <v>0.05962389380530973</v>
                </pt>
                <pt idx="304">
                  <formatCode>0.00%</formatCode>
                  <v>0.05837937384898711</v>
                </pt>
                <pt idx="305">
                  <formatCode>0.00%</formatCode>
                  <v>0.0546449093855901</v>
                </pt>
                <pt idx="306">
                  <formatCode>0.00%</formatCode>
                  <v>0.05310141726486287</v>
                </pt>
                <pt idx="307">
                  <formatCode>0.00%</formatCode>
                  <v>0.04965056657482254</v>
                </pt>
                <pt idx="308">
                  <formatCode>0.00%</formatCode>
                  <v>0.04547917494491204</v>
                </pt>
                <pt idx="309">
                  <formatCode>0.00%</formatCode>
                  <v>0.04967945823927765</v>
                </pt>
                <pt idx="310">
                  <formatCode>0.00%</formatCode>
                  <v>0.04442196429205267</v>
                </pt>
                <pt idx="311">
                  <formatCode>0.00%</formatCode>
                  <v>0.06614849146092946</v>
                </pt>
                <pt idx="312">
                  <formatCode>0.00%</formatCode>
                  <v>0.03381356375102346</v>
                </pt>
                <pt idx="313">
                  <formatCode>0.00%</formatCode>
                  <v>0.03758783830793849</v>
                </pt>
                <pt idx="314">
                  <formatCode>0.00%</formatCode>
                  <v>0.04813607765907388</v>
                </pt>
                <pt idx="315">
                  <formatCode>0.00%</formatCode>
                  <v>0.03377179246267878</v>
                </pt>
                <pt idx="316">
                  <formatCode>0.00%</formatCode>
                  <v>0.05660344527579607</v>
                </pt>
                <pt idx="317">
                  <formatCode>0.00%</formatCode>
                  <v>0.07294413495625447</v>
                </pt>
                <pt idx="318">
                  <formatCode>0.00%</formatCode>
                  <v>0.08815869964170235</v>
                </pt>
                <pt idx="319">
                  <formatCode>0.00%</formatCode>
                  <v>0.08884987135804186</v>
                </pt>
                <pt idx="320">
                  <formatCode>0.00%</formatCode>
                  <v>0.0603448275862069</v>
                </pt>
                <pt idx="321">
                  <formatCode>0.00%</formatCode>
                  <v>0.06616660358531466</v>
                </pt>
                <pt idx="322">
                  <formatCode>0.00%</formatCode>
                  <v>0.04897279477986032</v>
                </pt>
                <pt idx="323">
                  <formatCode>0.00%</formatCode>
                  <v>0.04518006055582807</v>
                </pt>
                <pt idx="324">
                  <formatCode>0.00%</formatCode>
                  <v>0.04430102453491507</v>
                </pt>
                <pt idx="325">
                  <formatCode>0.00%</formatCode>
                  <v>0.04992204918445007</v>
                </pt>
                <pt idx="326">
                  <formatCode>0.00%</formatCode>
                  <v>0.05008230657953808</v>
                </pt>
                <pt idx="327">
                  <formatCode>0.00%</formatCode>
                  <v>0.07072288142724902</v>
                </pt>
                <pt idx="328">
                  <formatCode>0.00%</formatCode>
                  <v>0.05920326729575284</v>
                </pt>
                <pt idx="329">
                  <formatCode>0.00%</formatCode>
                  <v>0.05768229166666667</v>
                </pt>
                <pt idx="330">
                  <formatCode>0.00%</formatCode>
                  <v>0.05101270499044315</v>
                </pt>
                <pt idx="331">
                  <formatCode>0.00%</formatCode>
                  <v>0.04307495809052447</v>
                </pt>
                <pt idx="332">
                  <formatCode>0.00%</formatCode>
                  <v>0.07134594392036105</v>
                </pt>
                <pt idx="333">
                  <formatCode>0.00%</formatCode>
                  <v>0.05899438456076938</v>
                </pt>
                <pt idx="334">
                  <formatCode>0.00%</formatCode>
                  <v>0.05533686478430611</v>
                </pt>
                <pt idx="335">
                  <formatCode>0.00%</formatCode>
                  <v>0.06501051950153747</v>
                </pt>
                <pt idx="336">
                  <formatCode>0.00%</formatCode>
                  <v>0.07053071498878544</v>
                </pt>
                <pt idx="337">
                  <formatCode>0.00%</formatCode>
                  <v>0.05698456036148233</v>
                </pt>
                <pt idx="338">
                  <formatCode>0.00%</formatCode>
                  <v>-0.2696150618339588</v>
                </pt>
                <pt idx="339">
                  <formatCode>0.00%</formatCode>
                  <v>-0.5295754279516481</v>
                </pt>
                <pt idx="340">
                  <formatCode>0.00%</formatCode>
                  <v>-0.3833141577785379</v>
                </pt>
                <pt idx="341">
                  <formatCode>0.00%</formatCode>
                  <v>-0.2234396159054536</v>
                </pt>
                <pt idx="342">
                  <formatCode>0.00%</formatCode>
                  <v>-0.2020478337281272</v>
                </pt>
                <pt idx="343">
                  <formatCode>0.00%</formatCode>
                  <v>-0.1649243108383206</v>
                </pt>
                <pt idx="344">
                  <formatCode>0.00%</formatCode>
                  <v>-0.1514082365107366</v>
                </pt>
                <pt idx="345">
                  <formatCode>0.00%</formatCode>
                  <v>-0.1468275735966356</v>
                </pt>
                <pt idx="346">
                  <formatCode>0.00%</formatCode>
                  <v>-0.1765238614210938</v>
                </pt>
                <pt idx="347">
                  <formatCode>0.00%</formatCode>
                  <v>-0.2221192274378106</v>
                </pt>
                <pt idx="348">
                  <formatCode>0.00%</formatCode>
                  <v>-0.1513324490534186</v>
                </pt>
                <pt idx="349">
                  <formatCode>0.00%</formatCode>
                  <v>-0.1614501510574018</v>
                </pt>
                <pt idx="350">
                  <formatCode>0.00%</formatCode>
                  <v>0.3712006243767073</v>
                </pt>
                <pt idx="351">
                  <formatCode>0.00%</formatCode>
                  <v>1.221472249139573</v>
                </pt>
                <pt idx="352">
                  <formatCode>0.00%</formatCode>
                  <v>0.7481343283582089</v>
                </pt>
                <pt idx="353">
                  <formatCode>0.00%</formatCode>
                  <v>0.4072804375396322</v>
                </pt>
                <pt idx="354">
                  <formatCode>0.00%</formatCode>
                  <v>0.3800704791818286</v>
                </pt>
                <pt idx="355">
                  <formatCode>0.00%</formatCode>
                  <v>0.3213460903992082</v>
                </pt>
                <pt idx="356">
                  <formatCode>0.00%</formatCode>
                  <v>0.3040501792114695</v>
                </pt>
                <pt idx="357">
                  <formatCode>0.00%</formatCode>
                  <v>0.3035790827261037</v>
                </pt>
                <pt idx="358">
                  <formatCode>0.00%</formatCode>
                  <v>0.3743732175144929</v>
                </pt>
                <pt idx="359">
                  <formatCode>0.00%</formatCode>
                  <v>0.4168978316077359</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367"/>
        <crosses val="autoZero"/>
        <lblOffset val="100"/>
        <baseTimeUnit val="months"/>
      </dateAx>
      <valAx>
        <axId val="15858953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695"/>
        <crosses val="autoZero"/>
        <crossBetween val="between"/>
      </valAx>
    </plotArea>
    <plotVisOnly val="1"/>
    <dispBlanksAs val="gap"/>
  </chart>
</chartSpace>
</file>

<file path=xl/charts/chart2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Gasoline Stations,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'Gas Station'!$B$6</f>
              <strCache>
                <ptCount val="1"/>
                <pt idx="0">
                  <v>Gasoline Stations,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'Gas Station'!$A$7:$A$366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'Gas Station'!$B$7:$B$366</f>
              <numCache>
                <formatCode>#,##0</formatCode>
                <ptCount val="360"/>
                <pt idx="0">
                  <v>12803</v>
                </pt>
                <pt idx="1">
                  <v>12601</v>
                </pt>
                <pt idx="2">
                  <v>12639</v>
                </pt>
                <pt idx="3">
                  <v>12710</v>
                </pt>
                <pt idx="4">
                  <v>12870</v>
                </pt>
                <pt idx="5">
                  <v>12886</v>
                </pt>
                <pt idx="6">
                  <v>12966</v>
                </pt>
                <pt idx="7">
                  <v>13092</v>
                </pt>
                <pt idx="8">
                  <v>13246</v>
                </pt>
                <pt idx="9">
                  <v>13304</v>
                </pt>
                <pt idx="10">
                  <v>13358</v>
                </pt>
                <pt idx="11">
                  <v>13475</v>
                </pt>
                <pt idx="12">
                  <v>13398</v>
                </pt>
                <pt idx="13">
                  <v>13596</v>
                </pt>
                <pt idx="14">
                  <v>13487</v>
                </pt>
                <pt idx="15">
                  <v>13539</v>
                </pt>
                <pt idx="16">
                  <v>13521</v>
                </pt>
                <pt idx="17">
                  <v>13461</v>
                </pt>
                <pt idx="18">
                  <v>13502</v>
                </pt>
                <pt idx="19">
                  <v>13372</v>
                </pt>
                <pt idx="20">
                  <v>13416</v>
                </pt>
                <pt idx="21">
                  <v>13755</v>
                </pt>
                <pt idx="22">
                  <v>13754</v>
                </pt>
                <pt idx="23">
                  <v>13627</v>
                </pt>
                <pt idx="24">
                  <v>13656</v>
                </pt>
                <pt idx="25">
                  <v>13875</v>
                </pt>
                <pt idx="26">
                  <v>13911</v>
                </pt>
                <pt idx="27">
                  <v>13867</v>
                </pt>
                <pt idx="28">
                  <v>13773</v>
                </pt>
                <pt idx="29">
                  <v>14059</v>
                </pt>
                <pt idx="30">
                  <v>14322</v>
                </pt>
                <pt idx="31">
                  <v>14685</v>
                </pt>
                <pt idx="32">
                  <v>14649</v>
                </pt>
                <pt idx="33">
                  <v>14709</v>
                </pt>
                <pt idx="34">
                  <v>14878</v>
                </pt>
                <pt idx="35">
                  <v>14885</v>
                </pt>
                <pt idx="36">
                  <v>14915</v>
                </pt>
                <pt idx="37">
                  <v>14963</v>
                </pt>
                <pt idx="38">
                  <v>14921</v>
                </pt>
                <pt idx="39">
                  <v>15021</v>
                </pt>
                <pt idx="40">
                  <v>15215</v>
                </pt>
                <pt idx="41">
                  <v>15333</v>
                </pt>
                <pt idx="42">
                  <v>15249</v>
                </pt>
                <pt idx="43">
                  <v>15227</v>
                </pt>
                <pt idx="44">
                  <v>15194</v>
                </pt>
                <pt idx="45">
                  <v>15007</v>
                </pt>
                <pt idx="46">
                  <v>14981</v>
                </pt>
                <pt idx="47">
                  <v>15246</v>
                </pt>
                <pt idx="48">
                  <v>15479</v>
                </pt>
                <pt idx="49">
                  <v>15457</v>
                </pt>
                <pt idx="50">
                  <v>15951</v>
                </pt>
                <pt idx="51">
                  <v>16252</v>
                </pt>
                <pt idx="52">
                  <v>16488</v>
                </pt>
                <pt idx="53">
                  <v>16352</v>
                </pt>
                <pt idx="54">
                  <v>16075</v>
                </pt>
                <pt idx="55">
                  <v>16066</v>
                </pt>
                <pt idx="56">
                  <v>16088</v>
                </pt>
                <pt idx="57">
                  <v>16360</v>
                </pt>
                <pt idx="58">
                  <v>16602</v>
                </pt>
                <pt idx="59">
                  <v>16759</v>
                </pt>
                <pt idx="60">
                  <v>16938</v>
                </pt>
                <pt idx="61">
                  <v>16984</v>
                </pt>
                <pt idx="62">
                  <v>16969</v>
                </pt>
                <pt idx="63">
                  <v>16613</v>
                </pt>
                <pt idx="64">
                  <v>16367</v>
                </pt>
                <pt idx="65">
                  <v>16378</v>
                </pt>
                <pt idx="66">
                  <v>16396</v>
                </pt>
                <pt idx="67">
                  <v>16682</v>
                </pt>
                <pt idx="68">
                  <v>16757</v>
                </pt>
                <pt idx="69">
                  <v>16711</v>
                </pt>
                <pt idx="70">
                  <v>16638</v>
                </pt>
                <pt idx="71">
                  <v>16536</v>
                </pt>
                <pt idx="72">
                  <v>16225</v>
                </pt>
                <pt idx="73">
                  <v>16054</v>
                </pt>
                <pt idx="74">
                  <v>15703</v>
                </pt>
                <pt idx="75">
                  <v>15798</v>
                </pt>
                <pt idx="76">
                  <v>16057</v>
                </pt>
                <pt idx="77">
                  <v>15933</v>
                </pt>
                <pt idx="78">
                  <v>16087</v>
                </pt>
                <pt idx="79">
                  <v>15851</v>
                </pt>
                <pt idx="80">
                  <v>15812</v>
                </pt>
                <pt idx="81">
                  <v>15948</v>
                </pt>
                <pt idx="82">
                  <v>16014</v>
                </pt>
                <pt idx="83">
                  <v>16399</v>
                </pt>
                <pt idx="84">
                  <v>16394</v>
                </pt>
                <pt idx="85">
                  <v>16309</v>
                </pt>
                <pt idx="86">
                  <v>16529</v>
                </pt>
                <pt idx="87">
                  <v>17115</v>
                </pt>
                <pt idx="88">
                  <v>17186</v>
                </pt>
                <pt idx="89">
                  <v>17070</v>
                </pt>
                <pt idx="90">
                  <v>17704</v>
                </pt>
                <pt idx="91">
                  <v>18135</v>
                </pt>
                <pt idx="92">
                  <v>18339</v>
                </pt>
                <pt idx="93">
                  <v>18632</v>
                </pt>
                <pt idx="94">
                  <v>18992</v>
                </pt>
                <pt idx="95">
                  <v>20095</v>
                </pt>
                <pt idx="96">
                  <v>19358</v>
                </pt>
                <pt idx="97">
                  <v>20214</v>
                </pt>
                <pt idx="98">
                  <v>20819</v>
                </pt>
                <pt idx="99">
                  <v>19907</v>
                </pt>
                <pt idx="100">
                  <v>20242</v>
                </pt>
                <pt idx="101">
                  <v>20885</v>
                </pt>
                <pt idx="102">
                  <v>20905</v>
                </pt>
                <pt idx="103">
                  <v>20574</v>
                </pt>
                <pt idx="104">
                  <v>21327</v>
                </pt>
                <pt idx="105">
                  <v>21412</v>
                </pt>
                <pt idx="106">
                  <v>21906</v>
                </pt>
                <pt idx="107">
                  <v>22124</v>
                </pt>
                <pt idx="108">
                  <v>21931</v>
                </pt>
                <pt idx="109">
                  <v>21615</v>
                </pt>
                <pt idx="110">
                  <v>20652</v>
                </pt>
                <pt idx="111">
                  <v>21618</v>
                </pt>
                <pt idx="112">
                  <v>22628</v>
                </pt>
                <pt idx="113">
                  <v>21928</v>
                </pt>
                <pt idx="114">
                  <v>20686</v>
                </pt>
                <pt idx="115">
                  <v>20878</v>
                </pt>
                <pt idx="116">
                  <v>21336</v>
                </pt>
                <pt idx="117">
                  <v>20033</v>
                </pt>
                <pt idx="118">
                  <v>19245</v>
                </pt>
                <pt idx="119">
                  <v>18950</v>
                </pt>
                <pt idx="120">
                  <v>19130</v>
                </pt>
                <pt idx="121">
                  <v>19068</v>
                </pt>
                <pt idx="122">
                  <v>19813</v>
                </pt>
                <pt idx="123">
                  <v>20856</v>
                </pt>
                <pt idx="124">
                  <v>20930</v>
                </pt>
                <pt idx="125">
                  <v>20733</v>
                </pt>
                <pt idx="126">
                  <v>21438</v>
                </pt>
                <pt idx="127">
                  <v>21182</v>
                </pt>
                <pt idx="128">
                  <v>21272</v>
                </pt>
                <pt idx="129">
                  <v>21659</v>
                </pt>
                <pt idx="130">
                  <v>22009</v>
                </pt>
                <pt idx="131">
                  <v>22464</v>
                </pt>
                <pt idx="132">
                  <v>23073</v>
                </pt>
                <pt idx="133">
                  <v>23885</v>
                </pt>
                <pt idx="134">
                  <v>23968</v>
                </pt>
                <pt idx="135">
                  <v>22581</v>
                </pt>
                <pt idx="136">
                  <v>21810</v>
                </pt>
                <pt idx="137">
                  <v>21777</v>
                </pt>
                <pt idx="138">
                  <v>22196</v>
                </pt>
                <pt idx="139">
                  <v>23073</v>
                </pt>
                <pt idx="140">
                  <v>23214</v>
                </pt>
                <pt idx="141">
                  <v>22714</v>
                </pt>
                <pt idx="142">
                  <v>23472</v>
                </pt>
                <pt idx="143">
                  <v>23994</v>
                </pt>
                <pt idx="144">
                  <v>24889</v>
                </pt>
                <pt idx="145">
                  <v>25256</v>
                </pt>
                <pt idx="146">
                  <v>25679</v>
                </pt>
                <pt idx="147">
                  <v>25518</v>
                </pt>
                <pt idx="148">
                  <v>27011</v>
                </pt>
                <pt idx="149">
                  <v>27050</v>
                </pt>
                <pt idx="150">
                  <v>26745</v>
                </pt>
                <pt idx="151">
                  <v>26552</v>
                </pt>
                <pt idx="152">
                  <v>27161</v>
                </pt>
                <pt idx="153">
                  <v>28656</v>
                </pt>
                <pt idx="154">
                  <v>29349</v>
                </pt>
                <pt idx="155">
                  <v>29046</v>
                </pt>
                <pt idx="156">
                  <v>28375</v>
                </pt>
                <pt idx="157">
                  <v>29015</v>
                </pt>
                <pt idx="158">
                  <v>29498</v>
                </pt>
                <pt idx="159">
                  <v>30009</v>
                </pt>
                <pt idx="160">
                  <v>29140</v>
                </pt>
                <pt idx="161">
                  <v>29889</v>
                </pt>
                <pt idx="162">
                  <v>30976</v>
                </pt>
                <pt idx="163">
                  <v>33399</v>
                </pt>
                <pt idx="164">
                  <v>36116</v>
                </pt>
                <pt idx="165">
                  <v>35911</v>
                </pt>
                <pt idx="166">
                  <v>33185</v>
                </pt>
                <pt idx="167">
                  <v>33154</v>
                </pt>
                <pt idx="168">
                  <v>34298</v>
                </pt>
                <pt idx="169">
                  <v>34174</v>
                </pt>
                <pt idx="170">
                  <v>34195</v>
                </pt>
                <pt idx="171">
                  <v>35646</v>
                </pt>
                <pt idx="172">
                  <v>36159</v>
                </pt>
                <pt idx="173">
                  <v>36228</v>
                </pt>
                <pt idx="174">
                  <v>36963</v>
                </pt>
                <pt idx="175">
                  <v>37696</v>
                </pt>
                <pt idx="176">
                  <v>34935</v>
                </pt>
                <pt idx="177">
                  <v>32912</v>
                </pt>
                <pt idx="178">
                  <v>33322</v>
                </pt>
                <pt idx="179">
                  <v>34895</v>
                </pt>
                <pt idx="180">
                  <v>34244</v>
                </pt>
                <pt idx="181">
                  <v>34932</v>
                </pt>
                <pt idx="182">
                  <v>35999</v>
                </pt>
                <pt idx="183">
                  <v>36350</v>
                </pt>
                <pt idx="184">
                  <v>37996</v>
                </pt>
                <pt idx="185">
                  <v>37310</v>
                </pt>
                <pt idx="186">
                  <v>36963</v>
                </pt>
                <pt idx="187">
                  <v>37223</v>
                </pt>
                <pt idx="188">
                  <v>38210</v>
                </pt>
                <pt idx="189">
                  <v>39307</v>
                </pt>
                <pt idx="190">
                  <v>41985</v>
                </pt>
                <pt idx="191">
                  <v>41593</v>
                </pt>
                <pt idx="192">
                  <v>42423</v>
                </pt>
                <pt idx="193">
                  <v>42504</v>
                </pt>
                <pt idx="194">
                  <v>43044</v>
                </pt>
                <pt idx="195">
                  <v>42933</v>
                </pt>
                <pt idx="196">
                  <v>44344</v>
                </pt>
                <pt idx="197">
                  <v>46547</v>
                </pt>
                <pt idx="198">
                  <v>46813</v>
                </pt>
                <pt idx="199">
                  <v>45645</v>
                </pt>
                <pt idx="200">
                  <v>45777</v>
                </pt>
                <pt idx="201">
                  <v>40584</v>
                </pt>
                <pt idx="202">
                  <v>31776</v>
                </pt>
                <pt idx="203">
                  <v>27999</v>
                </pt>
                <pt idx="204">
                  <v>28818</v>
                </pt>
                <pt idx="205">
                  <v>29860</v>
                </pt>
                <pt idx="206">
                  <v>28825</v>
                </pt>
                <pt idx="207">
                  <v>28747</v>
                </pt>
                <pt idx="208">
                  <v>30488</v>
                </pt>
                <pt idx="209">
                  <v>33375</v>
                </pt>
                <pt idx="210">
                  <v>33066</v>
                </pt>
                <pt idx="211">
                  <v>34658</v>
                </pt>
                <pt idx="212">
                  <v>34800</v>
                </pt>
                <pt idx="213">
                  <v>34885</v>
                </pt>
                <pt idx="214">
                  <v>36573</v>
                </pt>
                <pt idx="215">
                  <v>37182</v>
                </pt>
                <pt idx="216">
                  <v>37358</v>
                </pt>
                <pt idx="217">
                  <v>36950</v>
                </pt>
                <pt idx="218">
                  <v>37160</v>
                </pt>
                <pt idx="219">
                  <v>37218</v>
                </pt>
                <pt idx="220">
                  <v>36606</v>
                </pt>
                <pt idx="221">
                  <v>35642</v>
                </pt>
                <pt idx="222">
                  <v>35764</v>
                </pt>
                <pt idx="223">
                  <v>36189</v>
                </pt>
                <pt idx="224">
                  <v>37357</v>
                </pt>
                <pt idx="225">
                  <v>38480</v>
                </pt>
                <pt idx="226">
                  <v>39272</v>
                </pt>
                <pt idx="227">
                  <v>41279</v>
                </pt>
                <pt idx="228">
                  <v>41778</v>
                </pt>
                <pt idx="229">
                  <v>42294</v>
                </pt>
                <pt idx="230">
                  <v>43823</v>
                </pt>
                <pt idx="231">
                  <v>44604</v>
                </pt>
                <pt idx="232">
                  <v>45300</v>
                </pt>
                <pt idx="233">
                  <v>44614</v>
                </pt>
                <pt idx="234">
                  <v>44754</v>
                </pt>
                <pt idx="235">
                  <v>45075</v>
                </pt>
                <pt idx="236">
                  <v>45082</v>
                </pt>
                <pt idx="237">
                  <v>44846</v>
                </pt>
                <pt idx="238">
                  <v>45622</v>
                </pt>
                <pt idx="239">
                  <v>45291</v>
                </pt>
                <pt idx="240">
                  <v>45752</v>
                </pt>
                <pt idx="241">
                  <v>47171</v>
                </pt>
                <pt idx="242">
                  <v>47541</v>
                </pt>
                <pt idx="243">
                  <v>47006</v>
                </pt>
                <pt idx="244">
                  <v>45808</v>
                </pt>
                <pt idx="245">
                  <v>43646</v>
                </pt>
                <pt idx="246">
                  <v>43484</v>
                </pt>
                <pt idx="247">
                  <v>46391</v>
                </pt>
                <pt idx="248">
                  <v>47107</v>
                </pt>
                <pt idx="249">
                  <v>47976</v>
                </pt>
                <pt idx="250">
                  <v>46822</v>
                </pt>
                <pt idx="251">
                  <v>45886</v>
                </pt>
                <pt idx="252">
                  <v>46044</v>
                </pt>
                <pt idx="253">
                  <v>49046</v>
                </pt>
                <pt idx="254">
                  <v>47587</v>
                </pt>
                <pt idx="255">
                  <v>46169</v>
                </pt>
                <pt idx="256">
                  <v>45593</v>
                </pt>
                <pt idx="257">
                  <v>45828</v>
                </pt>
                <pt idx="258">
                  <v>46006</v>
                </pt>
                <pt idx="259">
                  <v>45638</v>
                </pt>
                <pt idx="260">
                  <v>45752</v>
                </pt>
                <pt idx="261">
                  <v>45075</v>
                </pt>
                <pt idx="262">
                  <v>44723</v>
                </pt>
                <pt idx="263">
                  <v>46672</v>
                </pt>
                <pt idx="264">
                  <v>47135</v>
                </pt>
                <pt idx="265">
                  <v>47522</v>
                </pt>
                <pt idx="266">
                  <v>46868</v>
                </pt>
                <pt idx="267">
                  <v>47088</v>
                </pt>
                <pt idx="268">
                  <v>46787</v>
                </pt>
                <pt idx="269">
                  <v>45784</v>
                </pt>
                <pt idx="270">
                  <v>45815</v>
                </pt>
                <pt idx="271">
                  <v>45873</v>
                </pt>
                <pt idx="272">
                  <v>45440</v>
                </pt>
                <pt idx="273">
                  <v>44512</v>
                </pt>
                <pt idx="274">
                  <v>43641</v>
                </pt>
                <pt idx="275">
                  <v>40499</v>
                </pt>
                <pt idx="276">
                  <v>36581</v>
                </pt>
                <pt idx="277">
                  <v>37808</v>
                </pt>
                <pt idx="278">
                  <v>38377</v>
                </pt>
                <pt idx="279">
                  <v>37832</v>
                </pt>
                <pt idx="280">
                  <v>39269</v>
                </pt>
                <pt idx="281">
                  <v>39887</v>
                </pt>
                <pt idx="282">
                  <v>40293</v>
                </pt>
                <pt idx="283">
                  <v>39229</v>
                </pt>
                <pt idx="284">
                  <v>36953</v>
                </pt>
                <pt idx="285">
                  <v>36566</v>
                </pt>
                <pt idx="286">
                  <v>36134</v>
                </pt>
                <pt idx="287">
                  <v>35976</v>
                </pt>
                <pt idx="288">
                  <v>34498</v>
                </pt>
                <pt idx="289">
                  <v>32865</v>
                </pt>
                <pt idx="290">
                  <v>34202</v>
                </pt>
                <pt idx="291">
                  <v>35101</v>
                </pt>
                <pt idx="292">
                  <v>36033</v>
                </pt>
                <pt idx="293">
                  <v>37267</v>
                </pt>
                <pt idx="294">
                  <v>36807</v>
                </pt>
                <pt idx="295">
                  <v>36018</v>
                </pt>
                <pt idx="296">
                  <v>36963</v>
                </pt>
                <pt idx="297">
                  <v>37953</v>
                </pt>
                <pt idx="298">
                  <v>37578</v>
                </pt>
                <pt idx="299">
                  <v>39400</v>
                </pt>
                <pt idx="300">
                  <v>39871</v>
                </pt>
                <pt idx="301">
                  <v>40106</v>
                </pt>
                <pt idx="302">
                  <v>39779</v>
                </pt>
                <pt idx="303">
                  <v>39539</v>
                </pt>
                <pt idx="304">
                  <v>38057</v>
                </pt>
                <pt idx="305">
                  <v>37633</v>
                </pt>
                <pt idx="306">
                  <v>37545</v>
                </pt>
                <pt idx="307">
                  <v>38765</v>
                </pt>
                <pt idx="308">
                  <v>40820</v>
                </pt>
                <pt idx="309">
                  <v>40940</v>
                </pt>
                <pt idx="310">
                  <v>42005</v>
                </pt>
                <pt idx="311">
                  <v>42720</v>
                </pt>
                <pt idx="312">
                  <v>42760</v>
                </pt>
                <pt idx="313">
                  <v>43184</v>
                </pt>
                <pt idx="314">
                  <v>42612</v>
                </pt>
                <pt idx="315">
                  <v>42403</v>
                </pt>
                <pt idx="316">
                  <v>43525</v>
                </pt>
                <pt idx="317">
                  <v>43773</v>
                </pt>
                <pt idx="318">
                  <v>44174</v>
                </pt>
                <pt idx="319">
                  <v>44616</v>
                </pt>
                <pt idx="320">
                  <v>44089</v>
                </pt>
                <pt idx="321">
                  <v>45878</v>
                </pt>
                <pt idx="322">
                  <v>43722</v>
                </pt>
                <pt idx="323">
                  <v>40962</v>
                </pt>
                <pt idx="324">
                  <v>39781</v>
                </pt>
                <pt idx="325">
                  <v>41440</v>
                </pt>
                <pt idx="326">
                  <v>42662</v>
                </pt>
                <pt idx="327">
                  <v>43487</v>
                </pt>
                <pt idx="328">
                  <v>43276</v>
                </pt>
                <pt idx="329">
                  <v>42617</v>
                </pt>
                <pt idx="330">
                  <v>43398</v>
                </pt>
                <pt idx="331">
                  <v>42783</v>
                </pt>
                <pt idx="332">
                  <v>42538</v>
                </pt>
                <pt idx="333">
                  <v>43266</v>
                </pt>
                <pt idx="334">
                  <v>43240</v>
                </pt>
                <pt idx="335">
                  <v>44093</v>
                </pt>
                <pt idx="336">
                  <v>43195</v>
                </pt>
                <pt idx="337">
                  <v>41625</v>
                </pt>
                <pt idx="338">
                  <v>34677</v>
                </pt>
                <pt idx="339">
                  <v>26131</v>
                </pt>
                <pt idx="340">
                  <v>29616</v>
                </pt>
                <pt idx="341">
                  <v>34291</v>
                </pt>
                <pt idx="342">
                  <v>35996</v>
                </pt>
                <pt idx="343">
                  <v>36469</v>
                </pt>
                <pt idx="344">
                  <v>36899</v>
                </pt>
                <pt idx="345">
                  <v>36871</v>
                </pt>
                <pt idx="346">
                  <v>36015</v>
                </pt>
                <pt idx="347">
                  <v>39098</v>
                </pt>
                <pt idx="348">
                  <v>40895</v>
                </pt>
                <pt idx="349">
                  <v>42203</v>
                </pt>
                <pt idx="350">
                  <v>46453</v>
                </pt>
                <pt idx="351">
                  <v>45808</v>
                </pt>
                <pt idx="352">
                  <v>46636</v>
                </pt>
                <pt idx="353">
                  <v>48308</v>
                </pt>
                <pt idx="354">
                  <v>49481</v>
                </pt>
                <pt idx="355">
                  <v>50304</v>
                </pt>
                <pt idx="356">
                  <v>52043</v>
                </pt>
                <pt idx="357">
                  <v>53976</v>
                </pt>
                <pt idx="358">
                  <v>54868</v>
                </pt>
                <pt idx="359">
                  <v>54662</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8520"/>
        <crosses val="autoZero"/>
        <lblOffset val="100"/>
        <baseTimeUnit val="months"/>
      </dateAx>
      <valAx>
        <axId val="1045518520"/>
        <scaling>
          <orientation val="minMax"/>
          <min val="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720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3.xml><?xml version="1.0" encoding="utf-8"?>
<chartSpace xmlns="http://schemas.openxmlformats.org/drawingml/2006/chart">
  <chart>
    <title>
      <tx>
        <strRef>
          <f>'Gas Station'!$D$6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'Gas Station'!$D$6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'Gas Station'!$A$7:$A$366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'Gas Station'!$D$7:$D$366</f>
              <numCache>
                <formatCode>General</formatCode>
                <ptCount val="360"/>
                <pt idx="12">
                  <formatCode>0.00%</formatCode>
                  <v>0.04647348277747403</v>
                </pt>
                <pt idx="13">
                  <formatCode>0.00%</formatCode>
                  <v>0.07896198714387748</v>
                </pt>
                <pt idx="14">
                  <formatCode>0.00%</formatCode>
                  <v>0.06709391565788432</v>
                </pt>
                <pt idx="15">
                  <formatCode>0.00%</formatCode>
                  <v>0.06522423288749017</v>
                </pt>
                <pt idx="16">
                  <formatCode>0.00%</formatCode>
                  <v>0.05058275058275058</v>
                </pt>
                <pt idx="17">
                  <formatCode>0.00%</formatCode>
                  <v>0.04462207046406953</v>
                </pt>
                <pt idx="18">
                  <formatCode>0.00%</formatCode>
                  <v>0.04133888631806262</v>
                </pt>
                <pt idx="19">
                  <formatCode>0.00%</formatCode>
                  <v>0.02138710663000306</v>
                </pt>
                <pt idx="20">
                  <formatCode>0.00%</formatCode>
                  <v>0.01283406311339272</v>
                </pt>
                <pt idx="21">
                  <formatCode>0.00%</formatCode>
                  <v>0.03389957907396272</v>
                </pt>
                <pt idx="22">
                  <formatCode>0.00%</formatCode>
                  <v>0.02964515646054799</v>
                </pt>
                <pt idx="23">
                  <formatCode>0.00%</formatCode>
                  <v>0.01128014842300557</v>
                </pt>
                <pt idx="24">
                  <formatCode>0.00%</formatCode>
                  <v>0.01925660546350201</v>
                </pt>
                <pt idx="25">
                  <formatCode>0.00%</formatCode>
                  <v>0.0205207413945278</v>
                </pt>
                <pt idx="26">
                  <formatCode>0.00%</formatCode>
                  <v>0.03143768072959146</v>
                </pt>
                <pt idx="27">
                  <formatCode>0.00%</formatCode>
                  <v>0.02422630918088485</v>
                </pt>
                <pt idx="28">
                  <formatCode>0.00%</formatCode>
                  <v>0.01863767472820058</v>
                </pt>
                <pt idx="29">
                  <formatCode>0.00%</formatCode>
                  <v>0.04442463412822227</v>
                </pt>
                <pt idx="30">
                  <formatCode>0.00%</formatCode>
                  <v>0.06073174344541549</v>
                </pt>
                <pt idx="31">
                  <formatCode>0.00%</formatCode>
                  <v>0.09819024827998804</v>
                </pt>
                <pt idx="32">
                  <formatCode>0.00%</formatCode>
                  <v>0.0919051878354204</v>
                </pt>
                <pt idx="33">
                  <formatCode>0.00%</formatCode>
                  <v>0.06935659760087241</v>
                </pt>
                <pt idx="34">
                  <formatCode>0.00%</formatCode>
                  <v>0.08172168096553729</v>
                </pt>
                <pt idx="35">
                  <formatCode>0.00%</formatCode>
                  <v>0.0923167241505834</v>
                </pt>
                <pt idx="36">
                  <formatCode>0.00%</formatCode>
                  <v>0.09219390743995313</v>
                </pt>
                <pt idx="37">
                  <formatCode>0.00%</formatCode>
                  <v>0.07841441441441442</v>
                </pt>
                <pt idx="38">
                  <formatCode>0.00%</formatCode>
                  <v>0.07260441377327295</v>
                </pt>
                <pt idx="39">
                  <formatCode>0.00%</formatCode>
                  <v>0.08321915338573592</v>
                </pt>
                <pt idx="40">
                  <formatCode>0.00%</formatCode>
                  <v>0.1046975967472591</v>
                </pt>
                <pt idx="41">
                  <formatCode>0.00%</formatCode>
                  <v>0.09061810939611636</v>
                </pt>
                <pt idx="42">
                  <formatCode>0.00%</formatCode>
                  <v>0.0647255969836615</v>
                </pt>
                <pt idx="43">
                  <formatCode>0.00%</formatCode>
                  <v>0.03690840994211781</v>
                </pt>
                <pt idx="44">
                  <formatCode>0.00%</formatCode>
                  <v>0.03720390470339272</v>
                </pt>
                <pt idx="45">
                  <formatCode>0.00%</formatCode>
                  <v>0.02025970494255218</v>
                </pt>
                <pt idx="46">
                  <formatCode>0.00%</formatCode>
                  <v>0.00692297351794596</v>
                </pt>
                <pt idx="47">
                  <formatCode>0.00%</formatCode>
                  <v>0.0242526032919046</v>
                </pt>
                <pt idx="48">
                  <formatCode>0.00%</formatCode>
                  <v>0.03781428092524304</v>
                </pt>
                <pt idx="49">
                  <formatCode>0.00%</formatCode>
                  <v>0.03301476976542137</v>
                </pt>
                <pt idx="50">
                  <formatCode>0.00%</formatCode>
                  <v>0.06903022585617585</v>
                </pt>
                <pt idx="51">
                  <formatCode>0.00%</formatCode>
                  <v>0.0819519339591239</v>
                </pt>
                <pt idx="52">
                  <formatCode>0.00%</formatCode>
                  <v>0.08366743345382846</v>
                </pt>
                <pt idx="53">
                  <formatCode>0.00%</formatCode>
                  <v>0.06645796647753212</v>
                </pt>
                <pt idx="54">
                  <formatCode>0.00%</formatCode>
                  <v>0.05416748639255033</v>
                </pt>
                <pt idx="55">
                  <formatCode>0.00%</formatCode>
                  <v>0.05509949431930124</v>
                </pt>
                <pt idx="56">
                  <formatCode>0.00%</formatCode>
                  <v>0.05883901540081611</v>
                </pt>
                <pt idx="57">
                  <formatCode>0.00%</formatCode>
                  <v>0.09015792630105951</v>
                </pt>
                <pt idx="58">
                  <formatCode>0.00%</formatCode>
                  <v>0.1082037247179761</v>
                </pt>
                <pt idx="59">
                  <formatCode>0.00%</formatCode>
                  <v>0.09923914469369015</v>
                </pt>
                <pt idx="60">
                  <formatCode>0.00%</formatCode>
                  <v>0.0942567349311971</v>
                </pt>
                <pt idx="61">
                  <formatCode>0.00%</formatCode>
                  <v>0.09879019214595329</v>
                </pt>
                <pt idx="62">
                  <formatCode>0.00%</formatCode>
                  <v>0.06382045012851859</v>
                </pt>
                <pt idx="63">
                  <formatCode>0.00%</formatCode>
                  <v>0.02221265075067684</v>
                </pt>
                <pt idx="64">
                  <formatCode>0.00%</formatCode>
                  <v>-0.007338670548277535</v>
                </pt>
                <pt idx="65">
                  <formatCode>0.00%</formatCode>
                  <v>0.001590019569471624</v>
                </pt>
                <pt idx="66">
                  <formatCode>0.00%</formatCode>
                  <v>0.01996889580093313</v>
                </pt>
                <pt idx="67">
                  <formatCode>0.00%</formatCode>
                  <v>0.03834183991036973</v>
                </pt>
                <pt idx="68">
                  <formatCode>0.00%</formatCode>
                  <v>0.04158378915962208</v>
                </pt>
                <pt idx="69">
                  <formatCode>0.00%</formatCode>
                  <v>0.02145476772616137</v>
                </pt>
                <pt idx="70">
                  <formatCode>0.00%</formatCode>
                  <v>0.002168413444163354</v>
                </pt>
                <pt idx="71">
                  <formatCode>0.00%</formatCode>
                  <v>-0.01330628319112119</v>
                </pt>
                <pt idx="72">
                  <formatCode>0.00%</formatCode>
                  <v>-0.04209469831148896</v>
                </pt>
                <pt idx="73">
                  <formatCode>0.00%</formatCode>
                  <v>-0.05475741874705605</v>
                </pt>
                <pt idx="74">
                  <formatCode>0.00%</formatCode>
                  <v>-0.07460663562967765</v>
                </pt>
                <pt idx="75">
                  <formatCode>0.00%</formatCode>
                  <v>-0.04905796665262144</v>
                </pt>
                <pt idx="76">
                  <formatCode>0.00%</formatCode>
                  <v>-0.01894055110893872</v>
                </pt>
                <pt idx="77">
                  <formatCode>0.00%</formatCode>
                  <v>-0.0271705947002076</v>
                </pt>
                <pt idx="78">
                  <formatCode>0.00%</formatCode>
                  <v>-0.01884606001463772</v>
                </pt>
                <pt idx="79">
                  <formatCode>0.00%</formatCode>
                  <v>-0.0498141709627143</v>
                </pt>
                <pt idx="80">
                  <formatCode>0.00%</formatCode>
                  <v>-0.0563943426627678</v>
                </pt>
                <pt idx="81">
                  <formatCode>0.00%</formatCode>
                  <v>-0.04565854826162408</v>
                </pt>
                <pt idx="82">
                  <formatCode>0.00%</formatCode>
                  <v>-0.03750450775333574</v>
                </pt>
                <pt idx="83">
                  <formatCode>0.00%</formatCode>
                  <v>-0.008284954039671021</v>
                </pt>
                <pt idx="84">
                  <formatCode>0.00%</formatCode>
                  <v>0.01041602465331279</v>
                </pt>
                <pt idx="85">
                  <formatCode>0.00%</formatCode>
                  <v>0.01588389186495577</v>
                </pt>
                <pt idx="86">
                  <formatCode>0.00%</formatCode>
                  <v>0.05260141374259696</v>
                </pt>
                <pt idx="87">
                  <formatCode>0.00%</formatCode>
                  <v>0.08336498290922902</v>
                </pt>
                <pt idx="88">
                  <formatCode>0.00%</formatCode>
                  <v>0.07031201345207698</v>
                </pt>
                <pt idx="89">
                  <formatCode>0.00%</formatCode>
                  <v>0.07136132555074375</v>
                </pt>
                <pt idx="90">
                  <formatCode>0.00%</formatCode>
                  <v>0.1005159445515012</v>
                </pt>
                <pt idx="91">
                  <formatCode>0.00%</formatCode>
                  <v>0.1440918554034446</v>
                </pt>
                <pt idx="92">
                  <formatCode>0.00%</formatCode>
                  <v>0.1598153301290159</v>
                </pt>
                <pt idx="93">
                  <formatCode>0.00%</formatCode>
                  <v>0.1682969651366943</v>
                </pt>
                <pt idx="94">
                  <formatCode>0.00%</formatCode>
                  <v>0.1859622830023729</v>
                </pt>
                <pt idx="95">
                  <formatCode>0.00%</formatCode>
                  <v>0.2253795963168486</v>
                </pt>
                <pt idx="96">
                  <formatCode>0.00%</formatCode>
                  <v>0.1807978528730023</v>
                </pt>
                <pt idx="97">
                  <formatCode>0.00%</formatCode>
                  <v>0.2394383469250107</v>
                </pt>
                <pt idx="98">
                  <formatCode>0.00%</formatCode>
                  <v>0.2595438320527558</v>
                </pt>
                <pt idx="99">
                  <formatCode>0.00%</formatCode>
                  <v>0.1631317557697926</v>
                </pt>
                <pt idx="100">
                  <formatCode>0.00%</formatCode>
                  <v>0.1778191551262656</v>
                </pt>
                <pt idx="101">
                  <formatCode>0.00%</formatCode>
                  <v>0.2234915055653193</v>
                </pt>
                <pt idx="102">
                  <formatCode>0.00%</formatCode>
                  <v>0.1808065973791234</v>
                </pt>
                <pt idx="103">
                  <formatCode>0.00%</formatCode>
                  <v>0.1344913151364764</v>
                </pt>
                <pt idx="104">
                  <formatCode>0.00%</formatCode>
                  <v>0.1629314575494847</v>
                </pt>
                <pt idx="105">
                  <formatCode>0.00%</formatCode>
                  <v>0.1492056676685273</v>
                </pt>
                <pt idx="106">
                  <formatCode>0.00%</formatCode>
                  <v>0.1534330244313395</v>
                </pt>
                <pt idx="107">
                  <formatCode>0.00%</formatCode>
                  <v>0.1009703906444389</v>
                </pt>
                <pt idx="108">
                  <formatCode>0.00%</formatCode>
                  <v>0.1329166236181424</v>
                </pt>
                <pt idx="109">
                  <formatCode>0.00%</formatCode>
                  <v>0.06930840011872959</v>
                </pt>
                <pt idx="110">
                  <formatCode>0.00%</formatCode>
                  <v>-0.008021518804937797</v>
                </pt>
                <pt idx="111">
                  <formatCode>0.00%</formatCode>
                  <v>0.08594966594665193</v>
                </pt>
                <pt idx="112">
                  <formatCode>0.00%</formatCode>
                  <v>0.1178737278925007</v>
                </pt>
                <pt idx="113">
                  <formatCode>0.00%</formatCode>
                  <v>0.04994014843188892</v>
                </pt>
                <pt idx="114">
                  <formatCode>0.00%</formatCode>
                  <v>-0.01047596268835207</v>
                </pt>
                <pt idx="115">
                  <formatCode>0.00%</formatCode>
                  <v>0.01477593078642947</v>
                </pt>
                <pt idx="116">
                  <formatCode>0.00%</formatCode>
                  <v>0.0004220002813335209</v>
                </pt>
                <pt idx="117">
                  <formatCode>0.00%</formatCode>
                  <v>-0.06440313842705025</v>
                </pt>
                <pt idx="118">
                  <formatCode>0.00%</formatCode>
                  <v>-0.1214735688852369</v>
                </pt>
                <pt idx="119">
                  <formatCode>0.00%</formatCode>
                  <v>-0.1434641113722654</v>
                </pt>
                <pt idx="120">
                  <formatCode>0.00%</formatCode>
                  <v>-0.1277187542747709</v>
                </pt>
                <pt idx="121">
                  <formatCode>0.00%</formatCode>
                  <v>-0.1178348369188064</v>
                </pt>
                <pt idx="122">
                  <formatCode>0.00%</formatCode>
                  <v>-0.04062560526825489</v>
                </pt>
                <pt idx="123">
                  <formatCode>0.00%</formatCode>
                  <v>-0.03524840410768804</v>
                </pt>
                <pt idx="124">
                  <formatCode>0.00%</formatCode>
                  <v>-0.07503977373165989</v>
                </pt>
                <pt idx="125">
                  <formatCode>0.00%</formatCode>
                  <v>-0.05449653411163809</v>
                </pt>
                <pt idx="126">
                  <formatCode>0.00%</formatCode>
                  <v>0.03635308904573141</v>
                </pt>
                <pt idx="127">
                  <formatCode>0.00%</formatCode>
                  <v>0.01456078168406936</v>
                </pt>
                <pt idx="128">
                  <formatCode>0.00%</formatCode>
                  <v>-0.002999625046869142</v>
                </pt>
                <pt idx="129">
                  <formatCode>0.00%</formatCode>
                  <v>0.08116607597464184</v>
                </pt>
                <pt idx="130">
                  <formatCode>0.00%</formatCode>
                  <v>0.1436217199272538</v>
                </pt>
                <pt idx="131">
                  <formatCode>0.00%</formatCode>
                  <v>0.1854353562005277</v>
                </pt>
                <pt idx="132">
                  <formatCode>0.00%</formatCode>
                  <v>0.2061160480920021</v>
                </pt>
                <pt idx="133">
                  <formatCode>0.00%</formatCode>
                  <v>0.2526221942521502</v>
                </pt>
                <pt idx="134">
                  <formatCode>0.00%</formatCode>
                  <v>0.2097107959420582</v>
                </pt>
                <pt idx="135">
                  <formatCode>0.00%</formatCode>
                  <v>0.08271001150747986</v>
                </pt>
                <pt idx="136">
                  <formatCode>0.00%</formatCode>
                  <v>0.042044911610129</v>
                </pt>
                <pt idx="137">
                  <formatCode>0.00%</formatCode>
                  <v>0.05035450730719143</v>
                </pt>
                <pt idx="138">
                  <formatCode>0.00%</formatCode>
                  <v>0.03535777591193209</v>
                </pt>
                <pt idx="139">
                  <formatCode>0.00%</formatCode>
                  <v>0.08927391181191578</v>
                </pt>
                <pt idx="140">
                  <formatCode>0.00%</formatCode>
                  <v>0.09129371944339977</v>
                </pt>
                <pt idx="141">
                  <formatCode>0.00%</formatCode>
                  <v>0.0487095433768872</v>
                </pt>
                <pt idx="142">
                  <formatCode>0.00%</formatCode>
                  <v>0.06647280657912671</v>
                </pt>
                <pt idx="143">
                  <formatCode>0.00%</formatCode>
                  <v>0.06810897435897435</v>
                </pt>
                <pt idx="144">
                  <formatCode>0.00%</formatCode>
                  <v>0.07870671347462402</v>
                </pt>
                <pt idx="145">
                  <formatCode>0.00%</formatCode>
                  <v>0.05740004186728072</v>
                </pt>
                <pt idx="146">
                  <formatCode>0.00%</formatCode>
                  <v>0.07138684913217623</v>
                </pt>
                <pt idx="147">
                  <formatCode>0.00%</formatCode>
                  <v>0.1300650989770161</v>
                </pt>
                <pt idx="148">
                  <formatCode>0.00%</formatCode>
                  <v>0.2384685923888125</v>
                </pt>
                <pt idx="149">
                  <formatCode>0.00%</formatCode>
                  <v>0.2421361987417918</v>
                </pt>
                <pt idx="150">
                  <formatCode>0.00%</formatCode>
                  <v>0.2049468372679762</v>
                </pt>
                <pt idx="151">
                  <formatCode>0.00%</formatCode>
                  <v>0.1507822996576084</v>
                </pt>
                <pt idx="152">
                  <formatCode>0.00%</formatCode>
                  <v>0.1700267080210218</v>
                </pt>
                <pt idx="153">
                  <formatCode>0.00%</formatCode>
                  <v>0.2616007748525139</v>
                </pt>
                <pt idx="154">
                  <formatCode>0.00%</formatCode>
                  <v>0.2503834355828221</v>
                </pt>
                <pt idx="155">
                  <formatCode>0.00%</formatCode>
                  <v>0.2105526381595399</v>
                </pt>
                <pt idx="156">
                  <formatCode>0.00%</formatCode>
                  <v>0.1400618747237735</v>
                </pt>
                <pt idx="157">
                  <formatCode>0.00%</formatCode>
                  <v>0.1488359201773836</v>
                </pt>
                <pt idx="158">
                  <formatCode>0.00%</formatCode>
                  <v>0.148720744577281</v>
                </pt>
                <pt idx="159">
                  <formatCode>0.00%</formatCode>
                  <v>0.1759934164119445</v>
                </pt>
                <pt idx="160">
                  <formatCode>0.00%</formatCode>
                  <v>0.07881974010588279</v>
                </pt>
                <pt idx="161">
                  <formatCode>0.00%</formatCode>
                  <v>0.1049537892791128</v>
                </pt>
                <pt idx="162">
                  <formatCode>0.00%</formatCode>
                  <v>0.1581977939801832</v>
                </pt>
                <pt idx="163">
                  <formatCode>0.00%</formatCode>
                  <v>0.2578713467912022</v>
                </pt>
                <pt idx="164">
                  <formatCode>0.00%</formatCode>
                  <v>0.3297006737601708</v>
                </pt>
                <pt idx="165">
                  <formatCode>0.00%</formatCode>
                  <v>0.2531756002233389</v>
                </pt>
                <pt idx="166">
                  <formatCode>0.00%</formatCode>
                  <v>0.1307029200313469</v>
                </pt>
                <pt idx="167">
                  <formatCode>0.00%</formatCode>
                  <v>0.1414308338497555</v>
                </pt>
                <pt idx="168">
                  <formatCode>0.00%</formatCode>
                  <v>0.2087400881057269</v>
                </pt>
                <pt idx="169">
                  <formatCode>0.00%</formatCode>
                  <v>0.1778045838359469</v>
                </pt>
                <pt idx="170">
                  <formatCode>0.00%</formatCode>
                  <v>0.1592311343141908</v>
                </pt>
                <pt idx="171">
                  <formatCode>0.00%</formatCode>
                  <v>0.1878436469059282</v>
                </pt>
                <pt idx="172">
                  <formatCode>0.00%</formatCode>
                  <v>0.2408716540837337</v>
                </pt>
                <pt idx="173">
                  <formatCode>0.00%</formatCode>
                  <v>0.212084713439727</v>
                </pt>
                <pt idx="174">
                  <formatCode>0.00%</formatCode>
                  <v>0.1932786673553719</v>
                </pt>
                <pt idx="175">
                  <formatCode>0.00%</formatCode>
                  <v>0.1286565466031917</v>
                </pt>
                <pt idx="176">
                  <formatCode>0.00%</formatCode>
                  <v>-0.03270018828220179</v>
                </pt>
                <pt idx="177">
                  <formatCode>0.00%</formatCode>
                  <v>-0.08351201581688063</v>
                </pt>
                <pt idx="178">
                  <formatCode>0.00%</formatCode>
                  <v>0.004128371252071719</v>
                </pt>
                <pt idx="179">
                  <formatCode>0.00%</formatCode>
                  <v>0.05251251734330699</v>
                </pt>
                <pt idx="180">
                  <formatCode>0.00%</formatCode>
                  <v>-0.001574435827161934</v>
                </pt>
                <pt idx="181">
                  <formatCode>0.00%</formatCode>
                  <v>0.02218060513840932</v>
                </pt>
                <pt idx="182">
                  <formatCode>0.00%</formatCode>
                  <v>0.0527562509138763</v>
                </pt>
                <pt idx="183">
                  <formatCode>0.00%</formatCode>
                  <v>0.01974976154407227</v>
                </pt>
                <pt idx="184">
                  <formatCode>0.00%</formatCode>
                  <v>0.05080339611161813</v>
                </pt>
                <pt idx="185">
                  <formatCode>0.00%</formatCode>
                  <v>0.02986640167825991</v>
                </pt>
                <pt idx="186">
                  <formatCode>0.00%</formatCode>
                  <v>0</v>
                </pt>
                <pt idx="187">
                  <formatCode>0.00%</formatCode>
                  <v>-0.01254775042444822</v>
                </pt>
                <pt idx="188">
                  <formatCode>0.00%</formatCode>
                  <v>0.09374552740804351</v>
                </pt>
                <pt idx="189">
                  <formatCode>0.00%</formatCode>
                  <v>0.1943060281964025</v>
                </pt>
                <pt idx="190">
                  <formatCode>0.00%</formatCode>
                  <v>0.2599783926535022</v>
                </pt>
                <pt idx="191">
                  <formatCode>0.00%</formatCode>
                  <v>0.1919472703825763</v>
                </pt>
                <pt idx="192">
                  <formatCode>0.00%</formatCode>
                  <v>0.2388447611260367</v>
                </pt>
                <pt idx="193">
                  <formatCode>0.00%</formatCode>
                  <v>0.2167639986259018</v>
                </pt>
                <pt idx="194">
                  <formatCode>0.00%</formatCode>
                  <v>0.1956998805522376</v>
                </pt>
                <pt idx="195">
                  <formatCode>0.00%</formatCode>
                  <v>0.1811004126547455</v>
                </pt>
                <pt idx="196">
                  <formatCode>0.00%</formatCode>
                  <v>0.1670702179176755</v>
                </pt>
                <pt idx="197">
                  <formatCode>0.00%</formatCode>
                  <v>0.2475743768426695</v>
                </pt>
                <pt idx="198">
                  <formatCode>0.00%</formatCode>
                  <v>0.2664826989151313</v>
                </pt>
                <pt idx="199">
                  <formatCode>0.00%</formatCode>
                  <v>0.2262579587889208</v>
                </pt>
                <pt idx="200">
                  <formatCode>0.00%</formatCode>
                  <v>0.198037163046323</v>
                </pt>
                <pt idx="201">
                  <formatCode>0.00%</formatCode>
                  <v>0.03248785203653293</v>
                </pt>
                <pt idx="202">
                  <formatCode>0.00%</formatCode>
                  <v>-0.2431582708110039</v>
                </pt>
                <pt idx="203">
                  <formatCode>0.00%</formatCode>
                  <v>-0.3268338422330681</v>
                </pt>
                <pt idx="204">
                  <formatCode>0.00%</formatCode>
                  <v>-0.3206986776041298</v>
                </pt>
                <pt idx="205">
                  <formatCode>0.00%</formatCode>
                  <v>-0.2974778844344061</v>
                </pt>
                <pt idx="206">
                  <formatCode>0.00%</formatCode>
                  <v>-0.3303363999628287</v>
                </pt>
                <pt idx="207">
                  <formatCode>0.00%</formatCode>
                  <v>-0.3304218200451867</v>
                </pt>
                <pt idx="208">
                  <formatCode>0.00%</formatCode>
                  <v>-0.3124661735522281</v>
                </pt>
                <pt idx="209">
                  <formatCode>0.00%</formatCode>
                  <v>-0.2829827915869981</v>
                </pt>
                <pt idx="210">
                  <formatCode>0.00%</formatCode>
                  <v>-0.2936577446435819</v>
                </pt>
                <pt idx="211">
                  <formatCode>0.00%</formatCode>
                  <v>-0.2407054441888487</v>
                </pt>
                <pt idx="212">
                  <formatCode>0.00%</formatCode>
                  <v>-0.2397929091028246</v>
                </pt>
                <pt idx="213">
                  <formatCode>0.00%</formatCode>
                  <v>-0.140424797949931</v>
                </pt>
                <pt idx="214">
                  <formatCode>0.00%</formatCode>
                  <v>0.1509629909365559</v>
                </pt>
                <pt idx="215">
                  <formatCode>0.00%</formatCode>
                  <v>0.3279759991428265</v>
                </pt>
                <pt idx="216">
                  <formatCode>0.00%</formatCode>
                  <v>0.2963425636754806</v>
                </pt>
                <pt idx="217">
                  <formatCode>0.00%</formatCode>
                  <v>0.2374413931681179</v>
                </pt>
                <pt idx="218">
                  <formatCode>0.00%</formatCode>
                  <v>0.2891587163920208</v>
                </pt>
                <pt idx="219">
                  <formatCode>0.00%</formatCode>
                  <v>0.2946742268758479</v>
                </pt>
                <pt idx="220">
                  <formatCode>0.00%</formatCode>
                  <v>0.2006691157176594</v>
                </pt>
                <pt idx="221">
                  <formatCode>0.00%</formatCode>
                  <v>0.0679250936329588</v>
                </pt>
                <pt idx="222">
                  <formatCode>0.00%</formatCode>
                  <v>0.08159438698360855</v>
                </pt>
                <pt idx="223">
                  <formatCode>0.00%</formatCode>
                  <v>0.04417450516475273</v>
                </pt>
                <pt idx="224">
                  <formatCode>0.00%</formatCode>
                  <v>0.07347701149425287</v>
                </pt>
                <pt idx="225">
                  <formatCode>0.00%</formatCode>
                  <v>0.1030528880607711</v>
                </pt>
                <pt idx="226">
                  <formatCode>0.00%</formatCode>
                  <v>0.07379761025893419</v>
                </pt>
                <pt idx="227">
                  <formatCode>0.00%</formatCode>
                  <v>0.1101877252433973</v>
                </pt>
                <pt idx="228">
                  <formatCode>0.00%</formatCode>
                  <v>0.1183146849403073</v>
                </pt>
                <pt idx="229">
                  <formatCode>0.00%</formatCode>
                  <v>0.1446278755074425</v>
                </pt>
                <pt idx="230">
                  <formatCode>0.00%</formatCode>
                  <v>0.1793057050592035</v>
                </pt>
                <pt idx="231">
                  <formatCode>0.00%</formatCode>
                  <v>0.1984523617604385</v>
                </pt>
                <pt idx="232">
                  <formatCode>0.00%</formatCode>
                  <v>0.2375020488444517</v>
                </pt>
                <pt idx="233">
                  <formatCode>0.00%</formatCode>
                  <v>0.2517254923966107</v>
                </pt>
                <pt idx="234">
                  <formatCode>0.00%</formatCode>
                  <v>0.2513700928307795</v>
                </pt>
                <pt idx="235">
                  <formatCode>0.00%</formatCode>
                  <v>0.2455442261460665</v>
                </pt>
                <pt idx="236">
                  <formatCode>0.00%</formatCode>
                  <v>0.2067885536847177</v>
                </pt>
                <pt idx="237">
                  <formatCode>0.00%</formatCode>
                  <v>0.1654365904365904</v>
                </pt>
                <pt idx="238">
                  <formatCode>0.00%</formatCode>
                  <v>0.1616928091260949</v>
                </pt>
                <pt idx="239">
                  <formatCode>0.00%</formatCode>
                  <v>0.09719227694469343</v>
                </pt>
                <pt idx="240">
                  <formatCode>0.00%</formatCode>
                  <v>0.09512183445832735</v>
                </pt>
                <pt idx="241">
                  <formatCode>0.00%</formatCode>
                  <v>0.1153118645670781</v>
                </pt>
                <pt idx="242">
                  <formatCode>0.00%</formatCode>
                  <v>0.0848412933847523</v>
                </pt>
                <pt idx="243">
                  <formatCode>0.00%</formatCode>
                  <v>0.05385167249574029</v>
                </pt>
                <pt idx="244">
                  <formatCode>0.00%</formatCode>
                  <v>0.01121412803532009</v>
                </pt>
                <pt idx="245">
                  <formatCode>0.00%</formatCode>
                  <v>-0.02169722508629578</v>
                </pt>
                <pt idx="246">
                  <formatCode>0.00%</formatCode>
                  <v>-0.02837735174509541</v>
                </pt>
                <pt idx="247">
                  <formatCode>0.00%</formatCode>
                  <v>0.02919578480310593</v>
                </pt>
                <pt idx="248">
                  <formatCode>0.00%</formatCode>
                  <v>0.04491814915043698</v>
                </pt>
                <pt idx="249">
                  <formatCode>0.00%</formatCode>
                  <v>0.06979440752798466</v>
                </pt>
                <pt idx="250">
                  <formatCode>0.00%</formatCode>
                  <v>0.02630309938187717</v>
                </pt>
                <pt idx="251">
                  <formatCode>0.00%</formatCode>
                  <v>0.01313726788986774</v>
                </pt>
                <pt idx="252">
                  <formatCode>0.00%</formatCode>
                  <v>0.006382234656408463</v>
                </pt>
                <pt idx="253">
                  <formatCode>0.00%</formatCode>
                  <v>0.0397489983252422</v>
                </pt>
                <pt idx="254">
                  <formatCode>0.00%</formatCode>
                  <v>0.0009675858732462506</v>
                </pt>
                <pt idx="255">
                  <formatCode>0.00%</formatCode>
                  <v>-0.01780623750159554</v>
                </pt>
                <pt idx="256">
                  <formatCode>0.00%</formatCode>
                  <v>-0.004693503318197695</v>
                </pt>
                <pt idx="257">
                  <formatCode>0.00%</formatCode>
                  <v>0.04999312651789396</v>
                </pt>
                <pt idx="258">
                  <formatCode>0.00%</formatCode>
                  <v>0.05799834421856315</v>
                </pt>
                <pt idx="259">
                  <formatCode>0.00%</formatCode>
                  <v>-0.01623159664590115</v>
                </pt>
                <pt idx="260">
                  <formatCode>0.00%</formatCode>
                  <v>-0.02876430254526928</v>
                </pt>
                <pt idx="261">
                  <formatCode>0.00%</formatCode>
                  <v>-0.06046773386693347</v>
                </pt>
                <pt idx="262">
                  <formatCode>0.00%</formatCode>
                  <v>-0.04482935372260903</v>
                </pt>
                <pt idx="263">
                  <formatCode>0.00%</formatCode>
                  <v>0.01712940766246785</v>
                </pt>
                <pt idx="264">
                  <formatCode>0.00%</formatCode>
                  <v>0.02369472678307706</v>
                </pt>
                <pt idx="265">
                  <formatCode>0.00%</formatCode>
                  <v>-0.03107287036659463</v>
                </pt>
                <pt idx="266">
                  <formatCode>0.00%</formatCode>
                  <v>-0.01510916847038057</v>
                </pt>
                <pt idx="267">
                  <formatCode>0.00%</formatCode>
                  <v>0.01990513114860621</v>
                </pt>
                <pt idx="268">
                  <formatCode>0.00%</formatCode>
                  <v>0.0261882306494418</v>
                </pt>
                <pt idx="269">
                  <formatCode>0.00%</formatCode>
                  <v>-0.0009601117220912979</v>
                </pt>
                <pt idx="270">
                  <formatCode>0.00%</formatCode>
                  <v>-0.004151632395774464</v>
                </pt>
                <pt idx="271">
                  <formatCode>0.00%</formatCode>
                  <v>0.005149217757132215</v>
                </pt>
                <pt idx="272">
                  <formatCode>0.00%</formatCode>
                  <v>-0.00681937401643644</v>
                </pt>
                <pt idx="273">
                  <formatCode>0.00%</formatCode>
                  <v>-0.01249029395452024</v>
                </pt>
                <pt idx="274">
                  <formatCode>0.00%</formatCode>
                  <v>-0.02419336806564855</v>
                </pt>
                <pt idx="275">
                  <formatCode>0.00%</formatCode>
                  <v>-0.1322634556050737</v>
                </pt>
                <pt idx="276">
                  <formatCode>0.00%</formatCode>
                  <v>-0.2239100456136629</v>
                </pt>
                <pt idx="277">
                  <formatCode>0.00%</formatCode>
                  <v>-0.2044105887799335</v>
                </pt>
                <pt idx="278">
                  <formatCode>0.00%</formatCode>
                  <v>-0.18116838781258</v>
                </pt>
                <pt idx="279">
                  <formatCode>0.00%</formatCode>
                  <v>-0.1965681277607883</v>
                </pt>
                <pt idx="280">
                  <formatCode>0.00%</formatCode>
                  <v>-0.1606856605467331</v>
                </pt>
                <pt idx="281">
                  <formatCode>0.00%</formatCode>
                  <v>-0.1288004543071815</v>
                </pt>
                <pt idx="282">
                  <formatCode>0.00%</formatCode>
                  <v>-0.1205282112845138</v>
                </pt>
                <pt idx="283">
                  <formatCode>0.00%</formatCode>
                  <v>-0.1448346521919212</v>
                </pt>
                <pt idx="284">
                  <formatCode>0.00%</formatCode>
                  <v>-0.1867737676056338</v>
                </pt>
                <pt idx="285">
                  <formatCode>0.00%</formatCode>
                  <v>-0.1785136592379583</v>
                </pt>
                <pt idx="286">
                  <formatCode>0.00%</formatCode>
                  <v>-0.1720171398455581</v>
                </pt>
                <pt idx="287">
                  <formatCode>0.00%</formatCode>
                  <v>-0.1116817699202449</v>
                </pt>
                <pt idx="288">
                  <formatCode>0.00%</formatCode>
                  <v>-0.05694212842732566</v>
                </pt>
                <pt idx="289">
                  <formatCode>0.00%</formatCode>
                  <v>-0.1307395260262378</v>
                </pt>
                <pt idx="290">
                  <formatCode>0.00%</formatCode>
                  <v>-0.1087891184824244</v>
                </pt>
                <pt idx="291">
                  <formatCode>0.00%</formatCode>
                  <v>-0.07218756608162402</v>
                </pt>
                <pt idx="292">
                  <formatCode>0.00%</formatCode>
                  <v>-0.08240596908502891</v>
                </pt>
                <pt idx="293">
                  <formatCode>0.00%</formatCode>
                  <v>-0.06568556171183594</v>
                </pt>
                <pt idx="294">
                  <formatCode>0.00%</formatCode>
                  <v>-0.08651626833445016</v>
                </pt>
                <pt idx="295">
                  <formatCode>0.00%</formatCode>
                  <v>-0.08185271100461393</v>
                </pt>
                <pt idx="296">
                  <formatCode>0.00%</formatCode>
                  <v>0.0002706140232186832</v>
                </pt>
                <pt idx="297">
                  <formatCode>0.00%</formatCode>
                  <v>0.03793141169392332</v>
                </pt>
                <pt idx="298">
                  <formatCode>0.00%</formatCode>
                  <v>0.03996236231803841</v>
                </pt>
                <pt idx="299">
                  <formatCode>0.00%</formatCode>
                  <v>0.09517456081832333</v>
                </pt>
                <pt idx="300">
                  <formatCode>0.00%</formatCode>
                  <v>0.1557481593135834</v>
                </pt>
                <pt idx="301">
                  <formatCode>0.00%</formatCode>
                  <v>0.2203255743191845</v>
                </pt>
                <pt idx="302">
                  <formatCode>0.00%</formatCode>
                  <v>0.1630606397286708</v>
                </pt>
                <pt idx="303">
                  <formatCode>0.00%</formatCode>
                  <v>0.1264351442978832</v>
                </pt>
                <pt idx="304">
                  <formatCode>0.00%</formatCode>
                  <v>0.05617073238420337</v>
                </pt>
                <pt idx="305">
                  <formatCode>0.00%</formatCode>
                  <v>0.009821021278879438</v>
                </pt>
                <pt idx="306">
                  <formatCode>0.00%</formatCode>
                  <v>0.02005053386584074</v>
                </pt>
                <pt idx="307">
                  <formatCode>0.00%</formatCode>
                  <v>0.07626742184463324</v>
                </pt>
                <pt idx="308">
                  <formatCode>0.00%</formatCode>
                  <v>0.1043475908340773</v>
                </pt>
                <pt idx="309">
                  <formatCode>0.00%</formatCode>
                  <v>0.07870260585460964</v>
                </pt>
                <pt idx="310">
                  <formatCode>0.00%</formatCode>
                  <v>0.1178082920857949</v>
                </pt>
                <pt idx="311">
                  <formatCode>0.00%</formatCode>
                  <v>0.08426395939086294</v>
                </pt>
                <pt idx="312">
                  <formatCode>0.00%</formatCode>
                  <v>0.07245867924055077</v>
                </pt>
                <pt idx="313">
                  <formatCode>0.00%</formatCode>
                  <v>0.07674662145314916</v>
                </pt>
                <pt idx="314">
                  <formatCode>0.00%</formatCode>
                  <v>0.07121848211367807</v>
                </pt>
                <pt idx="315">
                  <formatCode>0.00%</formatCode>
                  <v>0.07243481119906928</v>
                </pt>
                <pt idx="316">
                  <formatCode>0.00%</formatCode>
                  <v>0.1436792180150826</v>
                </pt>
                <pt idx="317">
                  <formatCode>0.00%</formatCode>
                  <v>0.1631546780750937</v>
                </pt>
                <pt idx="318">
                  <formatCode>0.00%</formatCode>
                  <v>0.1765614595818351</v>
                </pt>
                <pt idx="319">
                  <formatCode>0.00%</formatCode>
                  <v>0.1509351218883013</v>
                </pt>
                <pt idx="320">
                  <formatCode>0.00%</formatCode>
                  <v>0.08008329250367467</v>
                </pt>
                <pt idx="321">
                  <formatCode>0.00%</formatCode>
                  <v>0.1206155349291646</v>
                </pt>
                <pt idx="322">
                  <formatCode>0.00%</formatCode>
                  <v>0.04087608618021664</v>
                </pt>
                <pt idx="323">
                  <formatCode>0.00%</formatCode>
                  <v>-0.04115168539325843</v>
                </pt>
                <pt idx="324">
                  <formatCode>0.00%</formatCode>
                  <v>-0.06966791393826005</v>
                </pt>
                <pt idx="325">
                  <formatCode>0.00%</formatCode>
                  <v>-0.04038532789922193</v>
                </pt>
                <pt idx="326">
                  <formatCode>0.00%</formatCode>
                  <v>0.00117337839106355</v>
                </pt>
                <pt idx="327">
                  <formatCode>0.00%</formatCode>
                  <v>0.02556422894606514</v>
                </pt>
                <pt idx="328">
                  <formatCode>0.00%</formatCode>
                  <v>-0.005720850086157381</v>
                </pt>
                <pt idx="329">
                  <formatCode>0.00%</formatCode>
                  <v>-0.0264089735681813</v>
                </pt>
                <pt idx="330">
                  <formatCode>0.00%</formatCode>
                  <v>-0.01756689455335718</v>
                </pt>
                <pt idx="331">
                  <formatCode>0.00%</formatCode>
                  <v>-0.04108391608391608</v>
                </pt>
                <pt idx="332">
                  <formatCode>0.00%</formatCode>
                  <v>-0.03517884279525505</v>
                </pt>
                <pt idx="333">
                  <formatCode>0.00%</formatCode>
                  <v>-0.05693360652164436</v>
                </pt>
                <pt idx="334">
                  <formatCode>0.00%</formatCode>
                  <v>-0.01102419834408307</v>
                </pt>
                <pt idx="335">
                  <formatCode>0.00%</formatCode>
                  <v>0.07643669742688346</v>
                </pt>
                <pt idx="336">
                  <formatCode>0.00%</formatCode>
                  <v>0.08581986375405344</v>
                </pt>
                <pt idx="337">
                  <formatCode>0.00%</formatCode>
                  <v>0.004464285714285714</v>
                </pt>
                <pt idx="338">
                  <formatCode>0.00%</formatCode>
                  <v>-0.1871689090994328</v>
                </pt>
                <pt idx="339">
                  <formatCode>0.00%</formatCode>
                  <v>-0.3991077793363534</v>
                </pt>
                <pt idx="340">
                  <formatCode>0.00%</formatCode>
                  <v>-0.3156483963397726</v>
                </pt>
                <pt idx="341">
                  <formatCode>0.00%</formatCode>
                  <v>-0.1953680456155994</v>
                </pt>
                <pt idx="342">
                  <formatCode>0.00%</formatCode>
                  <v>-0.1705608553389557</v>
                </pt>
                <pt idx="343">
                  <formatCode>0.00%</formatCode>
                  <v>-0.1475819834981184</v>
                </pt>
                <pt idx="344">
                  <formatCode>0.00%</formatCode>
                  <v>-0.132563825285627</v>
                </pt>
                <pt idx="345">
                  <formatCode>0.00%</formatCode>
                  <v>-0.1478065917810752</v>
                </pt>
                <pt idx="346">
                  <formatCode>0.00%</formatCode>
                  <v>-0.1670906567992599</v>
                </pt>
                <pt idx="347">
                  <formatCode>0.00%</formatCode>
                  <v>-0.1132832875966707</v>
                </pt>
                <pt idx="348">
                  <formatCode>0.00%</formatCode>
                  <v>-0.05324690357680287</v>
                </pt>
                <pt idx="349">
                  <formatCode>0.00%</formatCode>
                  <v>0.01388588588588589</v>
                </pt>
                <pt idx="350">
                  <formatCode>0.00%</formatCode>
                  <v>0.3395910834270554</v>
                </pt>
                <pt idx="351">
                  <formatCode>0.00%</formatCode>
                  <v>0.7530136619341012</v>
                </pt>
                <pt idx="352">
                  <formatCode>0.00%</formatCode>
                  <v>0.5746893571042679</v>
                </pt>
                <pt idx="353">
                  <formatCode>0.00%</formatCode>
                  <v>0.4087661485520982</v>
                </pt>
                <pt idx="354">
                  <formatCode>0.00%</formatCode>
                  <v>0.3746249583287032</v>
                </pt>
                <pt idx="355">
                  <formatCode>0.00%</formatCode>
                  <v>0.3793632948531629</v>
                </pt>
                <pt idx="356">
                  <formatCode>0.00%</formatCode>
                  <v>0.4104176264939429</v>
                </pt>
                <pt idx="357">
                  <formatCode>0.00%</formatCode>
                  <v>0.4639147297333948</v>
                </pt>
                <pt idx="358">
                  <formatCode>0.00%</formatCode>
                  <v>0.5234763293072331</v>
                </pt>
                <pt idx="359">
                  <formatCode>0.00%</formatCode>
                  <v>0.3980766279605095</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8520"/>
        <crosses val="autoZero"/>
        <lblOffset val="100"/>
        <baseTimeUnit val="months"/>
      </dateAx>
      <valAx>
        <axId val="10455185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7208"/>
        <crosses val="autoZero"/>
        <crossBetween val="between"/>
      </valAx>
    </plotArea>
    <plotVisOnly val="1"/>
    <dispBlanksAs val="gap"/>
  </chart>
</chartSpace>
</file>

<file path=xl/charts/chart24.xml><?xml version="1.0" encoding="utf-8"?>
<chartSpace xmlns="http://schemas.openxmlformats.org/drawingml/2006/chart">
  <chart>
    <title>
      <tx>
        <strRef>
          <f>Motor!$B$6</f>
          <strCache>
            <ptCount val="1"/>
            <pt idx="0">
              <v>Motor Vehicles,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Motor!$B$6</f>
              <strCache>
                <ptCount val="1"/>
                <pt idx="0">
                  <v>Motor Vehicles,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Motor!$A$7:$A$366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Motor!$B$7:$B$366</f>
              <numCache>
                <formatCode>#,##0</formatCode>
                <ptCount val="360"/>
                <pt idx="0">
                  <v>33478</v>
                </pt>
                <pt idx="1">
                  <v>33817</v>
                </pt>
                <pt idx="2">
                  <v>33336</v>
                </pt>
                <pt idx="3">
                  <v>33776</v>
                </pt>
                <pt idx="4">
                  <v>34357</v>
                </pt>
                <pt idx="5">
                  <v>34781</v>
                </pt>
                <pt idx="6">
                  <v>35199</v>
                </pt>
                <pt idx="7">
                  <v>34585</v>
                </pt>
                <pt idx="8">
                  <v>35890</v>
                </pt>
                <pt idx="9">
                  <v>35972</v>
                </pt>
                <pt idx="10">
                  <v>35928</v>
                </pt>
                <pt idx="11">
                  <v>36272</v>
                </pt>
                <pt idx="12">
                  <v>37621</v>
                </pt>
                <pt idx="13">
                  <v>36723</v>
                </pt>
                <pt idx="14">
                  <v>35955</v>
                </pt>
                <pt idx="15">
                  <v>38521</v>
                </pt>
                <pt idx="16">
                  <v>39006</v>
                </pt>
                <pt idx="17">
                  <v>38892</v>
                </pt>
                <pt idx="18">
                  <v>40290</v>
                </pt>
                <pt idx="19">
                  <v>40504</v>
                </pt>
                <pt idx="20">
                  <v>40203</v>
                </pt>
                <pt idx="21">
                  <v>40857</v>
                </pt>
                <pt idx="22">
                  <v>42077</v>
                </pt>
                <pt idx="23">
                  <v>42796</v>
                </pt>
                <pt idx="24">
                  <v>42660</v>
                </pt>
                <pt idx="25">
                  <v>43685</v>
                </pt>
                <pt idx="26">
                  <v>44475</v>
                </pt>
                <pt idx="27">
                  <v>45072</v>
                </pt>
                <pt idx="28">
                  <v>44098</v>
                </pt>
                <pt idx="29">
                  <v>44541</v>
                </pt>
                <pt idx="30">
                  <v>44477</v>
                </pt>
                <pt idx="31">
                  <v>45232</v>
                </pt>
                <pt idx="32">
                  <v>46314</v>
                </pt>
                <pt idx="33">
                  <v>47041</v>
                </pt>
                <pt idx="34">
                  <v>47203</v>
                </pt>
                <pt idx="35">
                  <v>46941</v>
                </pt>
                <pt idx="36">
                  <v>47224</v>
                </pt>
                <pt idx="37">
                  <v>45902</v>
                </pt>
                <pt idx="38">
                  <v>46681</v>
                </pt>
                <pt idx="39">
                  <v>47056</v>
                </pt>
                <pt idx="40">
                  <v>47718</v>
                </pt>
                <pt idx="41">
                  <v>49652</v>
                </pt>
                <pt idx="42">
                  <v>48832</v>
                </pt>
                <pt idx="43">
                  <v>49748</v>
                </pt>
                <pt idx="44">
                  <v>49188</v>
                </pt>
                <pt idx="45">
                  <v>49271</v>
                </pt>
                <pt idx="46">
                  <v>49863</v>
                </pt>
                <pt idx="47">
                  <v>50163</v>
                </pt>
                <pt idx="48">
                  <v>50349</v>
                </pt>
                <pt idx="49">
                  <v>52288</v>
                </pt>
                <pt idx="50">
                  <v>52348</v>
                </pt>
                <pt idx="51">
                  <v>51531</v>
                </pt>
                <pt idx="52">
                  <v>52200</v>
                </pt>
                <pt idx="53">
                  <v>51798</v>
                </pt>
                <pt idx="54">
                  <v>52004</v>
                </pt>
                <pt idx="55">
                  <v>51472</v>
                </pt>
                <pt idx="56">
                  <v>53184</v>
                </pt>
                <pt idx="57">
                  <v>53450</v>
                </pt>
                <pt idx="58">
                  <v>52710</v>
                </pt>
                <pt idx="59">
                  <v>52835</v>
                </pt>
                <pt idx="60">
                  <v>54010</v>
                </pt>
                <pt idx="61">
                  <v>54601</v>
                </pt>
                <pt idx="62">
                  <v>54233</v>
                </pt>
                <pt idx="63">
                  <v>53861</v>
                </pt>
                <pt idx="64">
                  <v>52191</v>
                </pt>
                <pt idx="65">
                  <v>54066</v>
                </pt>
                <pt idx="66">
                  <v>55255</v>
                </pt>
                <pt idx="67">
                  <v>55488</v>
                </pt>
                <pt idx="68">
                  <v>55334</v>
                </pt>
                <pt idx="69">
                  <v>54856</v>
                </pt>
                <pt idx="70">
                  <v>55314</v>
                </pt>
                <pt idx="71">
                  <v>55763</v>
                </pt>
                <pt idx="72">
                  <v>55494</v>
                </pt>
                <pt idx="73">
                  <v>54841</v>
                </pt>
                <pt idx="74">
                  <v>56135</v>
                </pt>
                <pt idx="75">
                  <v>57464</v>
                </pt>
                <pt idx="76">
                  <v>57882</v>
                </pt>
                <pt idx="77">
                  <v>59264</v>
                </pt>
                <pt idx="78">
                  <v>56320</v>
                </pt>
                <pt idx="79">
                  <v>54997</v>
                </pt>
                <pt idx="80">
                  <v>57196</v>
                </pt>
                <pt idx="81">
                  <v>59294</v>
                </pt>
                <pt idx="82">
                  <v>59817</v>
                </pt>
                <pt idx="83">
                  <v>60473</v>
                </pt>
                <pt idx="84">
                  <v>60535</v>
                </pt>
                <pt idx="85">
                  <v>61260</v>
                </pt>
                <pt idx="86">
                  <v>61641</v>
                </pt>
                <pt idx="87">
                  <v>62150</v>
                </pt>
                <pt idx="88">
                  <v>63211</v>
                </pt>
                <pt idx="89">
                  <v>63452</v>
                </pt>
                <pt idx="90">
                  <v>64509</v>
                </pt>
                <pt idx="91">
                  <v>65713</v>
                </pt>
                <pt idx="92">
                  <v>65150</v>
                </pt>
                <pt idx="93">
                  <v>64519</v>
                </pt>
                <pt idx="94">
                  <v>66269</v>
                </pt>
                <pt idx="95">
                  <v>65909</v>
                </pt>
                <pt idx="96">
                  <v>67679</v>
                </pt>
                <pt idx="97">
                  <v>69085</v>
                </pt>
                <pt idx="98">
                  <v>68433</v>
                </pt>
                <pt idx="99">
                  <v>65812</v>
                </pt>
                <pt idx="100">
                  <v>65781</v>
                </pt>
                <pt idx="101">
                  <v>66638</v>
                </pt>
                <pt idx="102">
                  <v>65205</v>
                </pt>
                <pt idx="103">
                  <v>65311</v>
                </pt>
                <pt idx="104">
                  <v>66850</v>
                </pt>
                <pt idx="105">
                  <v>66208</v>
                </pt>
                <pt idx="106">
                  <v>64645</v>
                </pt>
                <pt idx="107">
                  <v>63524</v>
                </pt>
                <pt idx="108">
                  <v>65926</v>
                </pt>
                <pt idx="109">
                  <v>66188</v>
                </pt>
                <pt idx="110">
                  <v>65671</v>
                </pt>
                <pt idx="111">
                  <v>66933</v>
                </pt>
                <pt idx="112">
                  <v>67039</v>
                </pt>
                <pt idx="113">
                  <v>66710</v>
                </pt>
                <pt idx="114">
                  <v>66067</v>
                </pt>
                <pt idx="115">
                  <v>66350</v>
                </pt>
                <pt idx="116">
                  <v>63929</v>
                </pt>
                <pt idx="117">
                  <v>80455</v>
                </pt>
                <pt idx="118">
                  <v>72413</v>
                </pt>
                <pt idx="119">
                  <v>68220</v>
                </pt>
                <pt idx="120">
                  <v>67665</v>
                </pt>
                <pt idx="121">
                  <v>68168</v>
                </pt>
                <pt idx="122">
                  <v>66570</v>
                </pt>
                <pt idx="123">
                  <v>68251</v>
                </pt>
                <pt idx="124">
                  <v>65062</v>
                </pt>
                <pt idx="125">
                  <v>67354</v>
                </pt>
                <pt idx="126">
                  <v>69944</v>
                </pt>
                <pt idx="127">
                  <v>72204</v>
                </pt>
                <pt idx="128">
                  <v>68066</v>
                </pt>
                <pt idx="129">
                  <v>67553</v>
                </pt>
                <pt idx="130">
                  <v>67931</v>
                </pt>
                <pt idx="131">
                  <v>69794</v>
                </pt>
                <pt idx="132">
                  <v>69673</v>
                </pt>
                <pt idx="133">
                  <v>66535</v>
                </pt>
                <pt idx="134">
                  <v>68628</v>
                </pt>
                <pt idx="135">
                  <v>69580</v>
                </pt>
                <pt idx="136">
                  <v>69660</v>
                </pt>
                <pt idx="137">
                  <v>70325</v>
                </pt>
                <pt idx="138">
                  <v>71049</v>
                </pt>
                <pt idx="139">
                  <v>72919</v>
                </pt>
                <pt idx="140">
                  <v>71184</v>
                </pt>
                <pt idx="141">
                  <v>69817</v>
                </pt>
                <pt idx="142">
                  <v>71738</v>
                </pt>
                <pt idx="143">
                  <v>70103</v>
                </pt>
                <pt idx="144">
                  <v>69270</v>
                </pt>
                <pt idx="145">
                  <v>71093</v>
                </pt>
                <pt idx="146">
                  <v>72137</v>
                </pt>
                <pt idx="147">
                  <v>69960</v>
                </pt>
                <pt idx="148">
                  <v>72821</v>
                </pt>
                <pt idx="149">
                  <v>68991</v>
                </pt>
                <pt idx="150">
                  <v>71238</v>
                </pt>
                <pt idx="151">
                  <v>71365</v>
                </pt>
                <pt idx="152">
                  <v>74729</v>
                </pt>
                <pt idx="153">
                  <v>73858</v>
                </pt>
                <pt idx="154">
                  <v>73407</v>
                </pt>
                <pt idx="155">
                  <v>75387</v>
                </pt>
                <pt idx="156">
                  <v>72083</v>
                </pt>
                <pt idx="157">
                  <v>73773</v>
                </pt>
                <pt idx="158">
                  <v>74147</v>
                </pt>
                <pt idx="159">
                  <v>73649</v>
                </pt>
                <pt idx="160">
                  <v>73225</v>
                </pt>
                <pt idx="161">
                  <v>79639</v>
                </pt>
                <pt idx="162">
                  <v>81605</v>
                </pt>
                <pt idx="163">
                  <v>73787</v>
                </pt>
                <pt idx="164">
                  <v>70627</v>
                </pt>
                <pt idx="165">
                  <v>67853</v>
                </pt>
                <pt idx="166">
                  <v>73211</v>
                </pt>
                <pt idx="167">
                  <v>73332</v>
                </pt>
                <pt idx="168">
                  <v>76757</v>
                </pt>
                <pt idx="169">
                  <v>74108</v>
                </pt>
                <pt idx="170">
                  <v>74609</v>
                </pt>
                <pt idx="171">
                  <v>74898</v>
                </pt>
                <pt idx="172">
                  <v>74081</v>
                </pt>
                <pt idx="173">
                  <v>75369</v>
                </pt>
                <pt idx="174">
                  <v>75964</v>
                </pt>
                <pt idx="175">
                  <v>75187</v>
                </pt>
                <pt idx="176">
                  <v>74579</v>
                </pt>
                <pt idx="177">
                  <v>75447</v>
                </pt>
                <pt idx="178">
                  <v>76064</v>
                </pt>
                <pt idx="179">
                  <v>75438</v>
                </pt>
                <pt idx="180">
                  <v>75399</v>
                </pt>
                <pt idx="181">
                  <v>75841</v>
                </pt>
                <pt idx="182">
                  <v>75472</v>
                </pt>
                <pt idx="183">
                  <v>76205</v>
                </pt>
                <pt idx="184">
                  <v>77186</v>
                </pt>
                <pt idx="185">
                  <v>74794</v>
                </pt>
                <pt idx="186">
                  <v>74932</v>
                </pt>
                <pt idx="187">
                  <v>76549</v>
                </pt>
                <pt idx="188">
                  <v>77176</v>
                </pt>
                <pt idx="189">
                  <v>77617</v>
                </pt>
                <pt idx="190">
                  <v>75921</v>
                </pt>
                <pt idx="191">
                  <v>73345</v>
                </pt>
                <pt idx="192">
                  <v>73834</v>
                </pt>
                <pt idx="193">
                  <v>72206</v>
                </pt>
                <pt idx="194">
                  <v>71774</v>
                </pt>
                <pt idx="195">
                  <v>70052</v>
                </pt>
                <pt idx="196">
                  <v>69143</v>
                </pt>
                <pt idx="197">
                  <v>67161</v>
                </pt>
                <pt idx="198">
                  <v>64397</v>
                </pt>
                <pt idx="199">
                  <v>64985</v>
                </pt>
                <pt idx="200">
                  <v>62549</v>
                </pt>
                <pt idx="201">
                  <v>56599</v>
                </pt>
                <pt idx="202">
                  <v>54984</v>
                </pt>
                <pt idx="203">
                  <v>54123</v>
                </pt>
                <pt idx="204">
                  <v>55790</v>
                </pt>
                <pt idx="205">
                  <v>54188</v>
                </pt>
                <pt idx="206">
                  <v>53100</v>
                </pt>
                <pt idx="207">
                  <v>53557</v>
                </pt>
                <pt idx="208">
                  <v>54089</v>
                </pt>
                <pt idx="209">
                  <v>56611</v>
                </pt>
                <pt idx="210">
                  <v>57748</v>
                </pt>
                <pt idx="211">
                  <v>62263</v>
                </pt>
                <pt idx="212">
                  <v>53534</v>
                </pt>
                <pt idx="213">
                  <v>56469</v>
                </pt>
                <pt idx="214">
                  <v>57355</v>
                </pt>
                <pt idx="215">
                  <v>57079</v>
                </pt>
                <pt idx="216">
                  <v>56740</v>
                </pt>
                <pt idx="217">
                  <v>55856</v>
                </pt>
                <pt idx="218">
                  <v>60897</v>
                </pt>
                <pt idx="219">
                  <v>61829</v>
                </pt>
                <pt idx="220">
                  <v>61623</v>
                </pt>
                <pt idx="221">
                  <v>61367</v>
                </pt>
                <pt idx="222">
                  <v>62620</v>
                </pt>
                <pt idx="223">
                  <v>62651</v>
                </pt>
                <pt idx="224">
                  <v>63260</v>
                </pt>
                <pt idx="225">
                  <v>64730</v>
                </pt>
                <pt idx="226">
                  <v>65512</v>
                </pt>
                <pt idx="227">
                  <v>65237</v>
                </pt>
                <pt idx="228">
                  <v>66286</v>
                </pt>
                <pt idx="229">
                  <v>67320</v>
                </pt>
                <pt idx="230">
                  <v>67574</v>
                </pt>
                <pt idx="231">
                  <v>66717</v>
                </pt>
                <pt idx="232">
                  <v>65911</v>
                </pt>
                <pt idx="233">
                  <v>66768</v>
                </pt>
                <pt idx="234">
                  <v>66422</v>
                </pt>
                <pt idx="235">
                  <v>65859</v>
                </pt>
                <pt idx="236">
                  <v>68816</v>
                </pt>
                <pt idx="237">
                  <v>69880</v>
                </pt>
                <pt idx="238">
                  <v>70223</v>
                </pt>
                <pt idx="239">
                  <v>71485</v>
                </pt>
                <pt idx="240">
                  <v>71720</v>
                </pt>
                <pt idx="241">
                  <v>72589</v>
                </pt>
                <pt idx="242">
                  <v>72651</v>
                </pt>
                <pt idx="243">
                  <v>72944</v>
                </pt>
                <pt idx="244">
                  <v>73639</v>
                </pt>
                <pt idx="245">
                  <v>72386</v>
                </pt>
                <pt idx="246">
                  <v>73125</v>
                </pt>
                <pt idx="247">
                  <v>73920</v>
                </pt>
                <pt idx="248">
                  <v>75195</v>
                </pt>
                <pt idx="249">
                  <v>74813</v>
                </pt>
                <pt idx="250">
                  <v>75838</v>
                </pt>
                <pt idx="251">
                  <v>76867</v>
                </pt>
                <pt idx="252">
                  <v>77699</v>
                </pt>
                <pt idx="253">
                  <v>78821</v>
                </pt>
                <pt idx="254">
                  <v>77910</v>
                </pt>
                <pt idx="255">
                  <v>78389</v>
                </pt>
                <pt idx="256">
                  <v>79718</v>
                </pt>
                <pt idx="257">
                  <v>81317</v>
                </pt>
                <pt idx="258">
                  <v>81715</v>
                </pt>
                <pt idx="259">
                  <v>81372</v>
                </pt>
                <pt idx="260">
                  <v>80196</v>
                </pt>
                <pt idx="261">
                  <v>81491</v>
                </pt>
                <pt idx="262">
                  <v>81822</v>
                </pt>
                <pt idx="263">
                  <v>81464</v>
                </pt>
                <pt idx="264">
                  <v>79035</v>
                </pt>
                <pt idx="265">
                  <v>81569</v>
                </pt>
                <pt idx="266">
                  <v>84506</v>
                </pt>
                <pt idx="267">
                  <v>85816</v>
                </pt>
                <pt idx="268">
                  <v>85984</v>
                </pt>
                <pt idx="269">
                  <v>86228</v>
                </pt>
                <pt idx="270">
                  <v>86589</v>
                </pt>
                <pt idx="271">
                  <v>87217</v>
                </pt>
                <pt idx="272">
                  <v>86510</v>
                </pt>
                <pt idx="273">
                  <v>86755</v>
                </pt>
                <pt idx="274">
                  <v>87815</v>
                </pt>
                <pt idx="275">
                  <v>87466</v>
                </pt>
                <pt idx="276">
                  <v>88519</v>
                </pt>
                <pt idx="277">
                  <v>87285</v>
                </pt>
                <pt idx="278">
                  <v>91140</v>
                </pt>
                <pt idx="279">
                  <v>91692</v>
                </pt>
                <pt idx="280">
                  <v>92313</v>
                </pt>
                <pt idx="281">
                  <v>92405</v>
                </pt>
                <pt idx="282">
                  <v>92495</v>
                </pt>
                <pt idx="283">
                  <v>93201</v>
                </pt>
                <pt idx="284">
                  <v>93600</v>
                </pt>
                <pt idx="285">
                  <v>92891</v>
                </pt>
                <pt idx="286">
                  <v>93924</v>
                </pt>
                <pt idx="287">
                  <v>93472</v>
                </pt>
                <pt idx="288">
                  <v>93093</v>
                </pt>
                <pt idx="289">
                  <v>95572</v>
                </pt>
                <pt idx="290">
                  <v>93557</v>
                </pt>
                <pt idx="291">
                  <v>93739</v>
                </pt>
                <pt idx="292">
                  <v>94121</v>
                </pt>
                <pt idx="293">
                  <v>94752</v>
                </pt>
                <pt idx="294">
                  <v>95942</v>
                </pt>
                <pt idx="295">
                  <v>96336</v>
                </pt>
                <pt idx="296">
                  <v>97177</v>
                </pt>
                <pt idx="297">
                  <v>97032</v>
                </pt>
                <pt idx="298">
                  <v>96612</v>
                </pt>
                <pt idx="299">
                  <v>99444</v>
                </pt>
                <pt idx="300">
                  <v>99420</v>
                </pt>
                <pt idx="301">
                  <v>98817</v>
                </pt>
                <pt idx="302">
                  <v>96705</v>
                </pt>
                <pt idx="303">
                  <v>97453</v>
                </pt>
                <pt idx="304">
                  <v>97863</v>
                </pt>
                <pt idx="305">
                  <v>98696</v>
                </pt>
                <pt idx="306">
                  <v>98921</v>
                </pt>
                <pt idx="307">
                  <v>96659</v>
                </pt>
                <pt idx="308">
                  <v>100949</v>
                </pt>
                <pt idx="309">
                  <v>101500</v>
                </pt>
                <pt idx="310">
                  <v>100613</v>
                </pt>
                <pt idx="311">
                  <v>100380</v>
                </pt>
                <pt idx="312">
                  <v>100279</v>
                </pt>
                <pt idx="313">
                  <v>99817</v>
                </pt>
                <pt idx="314">
                  <v>100129</v>
                </pt>
                <pt idx="315">
                  <v>100463</v>
                </pt>
                <pt idx="316">
                  <v>100878</v>
                </pt>
                <pt idx="317">
                  <v>100593</v>
                </pt>
                <pt idx="318">
                  <v>101183</v>
                </pt>
                <pt idx="319">
                  <v>99709</v>
                </pt>
                <pt idx="320">
                  <v>99414</v>
                </pt>
                <pt idx="321">
                  <v>99879</v>
                </pt>
                <pt idx="322">
                  <v>100696</v>
                </pt>
                <pt idx="323">
                  <v>101771</v>
                </pt>
                <pt idx="324">
                  <v>99605</v>
                </pt>
                <pt idx="325">
                  <v>100353</v>
                </pt>
                <pt idx="326">
                  <v>103240</v>
                </pt>
                <pt idx="327">
                  <v>102189</v>
                </pt>
                <pt idx="328">
                  <v>102619</v>
                </pt>
                <pt idx="329">
                  <v>102956</v>
                </pt>
                <pt idx="330">
                  <v>103680</v>
                </pt>
                <pt idx="331">
                  <v>105600</v>
                </pt>
                <pt idx="332">
                  <v>103712</v>
                </pt>
                <pt idx="333">
                  <v>104097</v>
                </pt>
                <pt idx="334">
                  <v>106580</v>
                </pt>
                <pt idx="335">
                  <v>104823</v>
                </pt>
                <pt idx="336">
                  <v>105162</v>
                </pt>
                <pt idx="337">
                  <v>105520</v>
                </pt>
                <pt idx="338">
                  <v>78046</v>
                </pt>
                <pt idx="339">
                  <v>68198</v>
                </pt>
                <pt idx="340">
                  <v>100942</v>
                </pt>
                <pt idx="341">
                  <v>110574</v>
                </pt>
                <pt idx="342">
                  <v>109448</v>
                </pt>
                <pt idx="343">
                  <v>109812</v>
                </pt>
                <pt idx="344">
                  <v>114374</v>
                </pt>
                <pt idx="345">
                  <v>113615</v>
                </pt>
                <pt idx="346">
                  <v>111527</v>
                </pt>
                <pt idx="347">
                  <v>114447</v>
                </pt>
                <pt idx="348">
                  <v>120079</v>
                </pt>
                <pt idx="349">
                  <v>115742</v>
                </pt>
                <pt idx="350">
                  <v>135432</v>
                </pt>
                <pt idx="351">
                  <v>141387</v>
                </pt>
                <pt idx="352">
                  <v>134847</v>
                </pt>
                <pt idx="353">
                  <v>132018</v>
                </pt>
                <pt idx="354">
                  <v>126342</v>
                </pt>
                <pt idx="355">
                  <v>122944</v>
                </pt>
                <pt idx="356">
                  <v>124448</v>
                </pt>
                <pt idx="357">
                  <v>126572</v>
                </pt>
                <pt idx="358">
                  <v>126489</v>
                </pt>
                <pt idx="359">
                  <v>126267</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1320"/>
        <crosses val="autoZero"/>
        <lblOffset val="100"/>
        <baseTimeUnit val="months"/>
      </dateAx>
      <valAx>
        <axId val="1031861320"/>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5912"/>
        <crosses val="autoZero"/>
        <crossBetween val="between"/>
      </valAx>
    </plotArea>
    <plotVisOnly val="1"/>
    <dispBlanksAs val="gap"/>
  </chart>
</chartSpace>
</file>

<file path=xl/charts/chart25.xml><?xml version="1.0" encoding="utf-8"?>
<chartSpace xmlns="http://schemas.openxmlformats.org/drawingml/2006/chart">
  <chart>
    <title>
      <tx>
        <strRef>
          <f>Motor!$D$6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Motor!$D$6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Motor!$A$7:$A$366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Motor!$D$7:$D$366</f>
              <numCache>
                <formatCode>General</formatCode>
                <ptCount val="360"/>
                <pt idx="12">
                  <formatCode>0.00%</formatCode>
                  <v>0.1237529123603561</v>
                </pt>
                <pt idx="13">
                  <formatCode>0.00%</formatCode>
                  <v>0.08593311056569181</v>
                </pt>
                <pt idx="14">
                  <formatCode>0.00%</formatCode>
                  <v>0.07856371490280778</v>
                </pt>
                <pt idx="15">
                  <formatCode>0.00%</formatCode>
                  <v>0.1404843675982946</v>
                </pt>
                <pt idx="16">
                  <formatCode>0.00%</formatCode>
                  <v>0.1353144919521495</v>
                </pt>
                <pt idx="17">
                  <formatCode>0.00%</formatCode>
                  <v>0.1181967165981427</v>
                </pt>
                <pt idx="18">
                  <formatCode>0.00%</formatCode>
                  <v>0.1446347907611012</v>
                </pt>
                <pt idx="19">
                  <formatCode>0.00%</formatCode>
                  <v>0.1711435593465375</v>
                </pt>
                <pt idx="20">
                  <formatCode>0.00%</formatCode>
                  <v>0.1201727500696573</v>
                </pt>
                <pt idx="21">
                  <formatCode>0.00%</formatCode>
                  <v>0.1358000667185589</v>
                </pt>
                <pt idx="22">
                  <formatCode>0.00%</formatCode>
                  <v>0.1711478512580717</v>
                </pt>
                <pt idx="23">
                  <formatCode>0.00%</formatCode>
                  <v>0.1798632554036171</v>
                </pt>
                <pt idx="24">
                  <formatCode>0.00%</formatCode>
                  <v>0.1339411498896893</v>
                </pt>
                <pt idx="25">
                  <formatCode>0.00%</formatCode>
                  <v>0.1895814612095962</v>
                </pt>
                <pt idx="26">
                  <formatCode>0.00%</formatCode>
                  <v>0.2369628702544848</v>
                </pt>
                <pt idx="27">
                  <formatCode>0.00%</formatCode>
                  <v>0.1700630824744944</v>
                </pt>
                <pt idx="28">
                  <formatCode>0.00%</formatCode>
                  <v>0.130544018868892</v>
                </pt>
                <pt idx="29">
                  <formatCode>0.00%</formatCode>
                  <v>0.1452483801295896</v>
                </pt>
                <pt idx="30">
                  <formatCode>0.00%</formatCode>
                  <v>0.103921568627451</v>
                </pt>
                <pt idx="31">
                  <formatCode>0.00%</formatCode>
                  <v>0.116729211929686</v>
                </pt>
                <pt idx="32">
                  <formatCode>0.00%</formatCode>
                  <v>0.1520035818222521</v>
                </pt>
                <pt idx="33">
                  <formatCode>0.00%</formatCode>
                  <v>0.1513571725775265</v>
                </pt>
                <pt idx="34">
                  <formatCode>0.00%</formatCode>
                  <v>0.1218242745442878</v>
                </pt>
                <pt idx="35">
                  <formatCode>0.00%</formatCode>
                  <v>0.09685484624731283</v>
                </pt>
                <pt idx="36">
                  <formatCode>0.00%</formatCode>
                  <v>0.1069854664791374</v>
                </pt>
                <pt idx="37">
                  <formatCode>0.00%</formatCode>
                  <v>0.05074968524665217</v>
                </pt>
                <pt idx="38">
                  <formatCode>0.00%</formatCode>
                  <v>0.0496008993816751</v>
                </pt>
                <pt idx="39">
                  <formatCode>0.00%</formatCode>
                  <v>0.04401845935392261</v>
                </pt>
                <pt idx="40">
                  <formatCode>0.00%</formatCode>
                  <v>0.08208989069799084</v>
                </pt>
                <pt idx="41">
                  <formatCode>0.00%</formatCode>
                  <v>0.114748209514829</v>
                </pt>
                <pt idx="42">
                  <formatCode>0.00%</formatCode>
                  <v>0.09791577669357196</v>
                </pt>
                <pt idx="43">
                  <formatCode>0.00%</formatCode>
                  <v>0.09984082065794128</v>
                </pt>
                <pt idx="44">
                  <formatCode>0.00%</formatCode>
                  <v>0.06205467029407954</v>
                </pt>
                <pt idx="45">
                  <formatCode>0.00%</formatCode>
                  <v>0.04740545481601156</v>
                </pt>
                <pt idx="46">
                  <formatCode>0.00%</formatCode>
                  <v>0.05635235048619791</v>
                </pt>
                <pt idx="47">
                  <formatCode>0.00%</formatCode>
                  <v>0.06863935578705183</v>
                </pt>
                <pt idx="48">
                  <formatCode>0.00%</formatCode>
                  <v>0.06617397933254278</v>
                </pt>
                <pt idx="49">
                  <formatCode>0.00%</formatCode>
                  <v>0.1391224783233846</v>
                </pt>
                <pt idx="50">
                  <formatCode>0.00%</formatCode>
                  <v>0.1213984276258007</v>
                </pt>
                <pt idx="51">
                  <formatCode>0.00%</formatCode>
                  <v>0.09509945596735804</v>
                </pt>
                <pt idx="52">
                  <formatCode>0.00%</formatCode>
                  <v>0.0939268200678989</v>
                </pt>
                <pt idx="53">
                  <formatCode>0.00%</formatCode>
                  <v>0.04322081688552324</v>
                </pt>
                <pt idx="54">
                  <formatCode>0.00%</formatCode>
                  <v>0.06495740498034076</v>
                </pt>
                <pt idx="55">
                  <formatCode>0.00%</formatCode>
                  <v>0.03465465948379835</v>
                </pt>
                <pt idx="56">
                  <formatCode>0.00%</formatCode>
                  <v>0.08123932666504026</v>
                </pt>
                <pt idx="57">
                  <formatCode>0.00%</formatCode>
                  <v>0.08481662641310304</v>
                </pt>
                <pt idx="58">
                  <formatCode>0.00%</formatCode>
                  <v>0.05709644425726491</v>
                </pt>
                <pt idx="59">
                  <formatCode>0.00%</formatCode>
                  <v>0.05326635169347926</v>
                </pt>
                <pt idx="60">
                  <formatCode>0.00%</formatCode>
                  <v>0.07271246698047627</v>
                </pt>
                <pt idx="61">
                  <formatCode>0.00%</formatCode>
                  <v>0.04423577111383109</v>
                </pt>
                <pt idx="62">
                  <formatCode>0.00%</formatCode>
                  <v>0.03600901658134026</v>
                </pt>
                <pt idx="63">
                  <formatCode>0.00%</formatCode>
                  <v>0.04521550134870272</v>
                </pt>
                <pt idx="64">
                  <formatCode>0.00%</formatCode>
                  <v>-0.0001724137931034483</v>
                </pt>
                <pt idx="65">
                  <formatCode>0.00%</formatCode>
                  <v>0.04378547434263871</v>
                </pt>
                <pt idx="66">
                  <formatCode>0.00%</formatCode>
                  <v>0.06251442196754096</v>
                </pt>
                <pt idx="67">
                  <formatCode>0.00%</formatCode>
                  <v>0.07802300279763755</v>
                </pt>
                <pt idx="68">
                  <formatCode>0.00%</formatCode>
                  <v>0.04042569193742479</v>
                </pt>
                <pt idx="69">
                  <formatCode>0.00%</formatCode>
                  <v>0.02630495790458372</v>
                </pt>
                <pt idx="70">
                  <formatCode>0.00%</formatCode>
                  <v>0.04940239043824701</v>
                </pt>
                <pt idx="71">
                  <formatCode>0.00%</formatCode>
                  <v>0.05541781016371723</v>
                </pt>
                <pt idx="72">
                  <formatCode>0.00%</formatCode>
                  <v>0.02747639326050731</v>
                </pt>
                <pt idx="73">
                  <formatCode>0.00%</formatCode>
                  <v>0.004395523891503819</v>
                </pt>
                <pt idx="74">
                  <formatCode>0.00%</formatCode>
                  <v>0.03507089779285675</v>
                </pt>
                <pt idx="75">
                  <formatCode>0.00%</formatCode>
                  <v>0.06689441339744899</v>
                </pt>
                <pt idx="76">
                  <formatCode>0.00%</formatCode>
                  <v>0.1090417888141634</v>
                </pt>
                <pt idx="77">
                  <formatCode>0.00%</formatCode>
                  <v>0.09614175267265934</v>
                </pt>
                <pt idx="78">
                  <formatCode>0.00%</formatCode>
                  <v>0.01927427382137363</v>
                </pt>
                <pt idx="79">
                  <formatCode>0.00%</formatCode>
                  <v>-0.008848760092272203</v>
                </pt>
                <pt idx="80">
                  <formatCode>0.00%</formatCode>
                  <v>0.03365019698557849</v>
                </pt>
                <pt idx="81">
                  <formatCode>0.00%</formatCode>
                  <v>0.08090272714014875</v>
                </pt>
                <pt idx="82">
                  <formatCode>0.00%</formatCode>
                  <v>0.0814079618179846</v>
                </pt>
                <pt idx="83">
                  <formatCode>0.00%</formatCode>
                  <v>0.084464609149436</v>
                </pt>
                <pt idx="84">
                  <formatCode>0.00%</formatCode>
                  <v>0.09083864922333947</v>
                </pt>
                <pt idx="85">
                  <formatCode>0.00%</formatCode>
                  <v>0.1170474644882478</v>
                </pt>
                <pt idx="86">
                  <formatCode>0.00%</formatCode>
                  <v>0.09808497372405807</v>
                </pt>
                <pt idx="87">
                  <formatCode>0.00%</formatCode>
                  <v>0.08154670750382849</v>
                </pt>
                <pt idx="88">
                  <formatCode>0.00%</formatCode>
                  <v>0.09206661829238796</v>
                </pt>
                <pt idx="89">
                  <formatCode>0.00%</formatCode>
                  <v>0.07066684665226781</v>
                </pt>
                <pt idx="90">
                  <formatCode>0.00%</formatCode>
                  <v>0.1454012784090909</v>
                </pt>
                <pt idx="91">
                  <formatCode>0.00%</formatCode>
                  <v>0.1948469916540902</v>
                </pt>
                <pt idx="92">
                  <formatCode>0.00%</formatCode>
                  <v>0.1390656689278971</v>
                </pt>
                <pt idx="93">
                  <formatCode>0.00%</formatCode>
                  <v>0.08812021452423517</v>
                </pt>
                <pt idx="94">
                  <formatCode>0.00%</formatCode>
                  <v>0.1078623133891703</v>
                </pt>
                <pt idx="95">
                  <formatCode>0.00%</formatCode>
                  <v>0.08989135647313677</v>
                </pt>
                <pt idx="96">
                  <formatCode>0.00%</formatCode>
                  <v>0.1180143718509953</v>
                </pt>
                <pt idx="97">
                  <formatCode>0.00%</formatCode>
                  <v>0.1277342474698009</v>
                </pt>
                <pt idx="98">
                  <formatCode>0.00%</formatCode>
                  <v>0.1101864019078211</v>
                </pt>
                <pt idx="99">
                  <formatCode>0.00%</formatCode>
                  <v>0.05892196299275945</v>
                </pt>
                <pt idx="100">
                  <formatCode>0.00%</formatCode>
                  <v>0.04065748050181139</v>
                </pt>
                <pt idx="101">
                  <formatCode>0.00%</formatCode>
                  <v>0.05021118325663494</v>
                </pt>
                <pt idx="102">
                  <formatCode>0.00%</formatCode>
                  <v>0.01078919220573873</v>
                </pt>
                <pt idx="103">
                  <formatCode>0.00%</formatCode>
                  <v>-0.006117510994780332</v>
                </pt>
                <pt idx="104">
                  <formatCode>0.00%</formatCode>
                  <v>0.02609363008442057</v>
                </pt>
                <pt idx="105">
                  <formatCode>0.00%</formatCode>
                  <v>0.02617833506408965</v>
                </pt>
                <pt idx="106">
                  <formatCode>0.00%</formatCode>
                  <v>-0.02450617935988169</v>
                </pt>
                <pt idx="107">
                  <formatCode>0.00%</formatCode>
                  <v>-0.03618625680863008</v>
                </pt>
                <pt idx="108">
                  <formatCode>0.00%</formatCode>
                  <v>-0.02590168294448795</v>
                </pt>
                <pt idx="109">
                  <formatCode>0.00%</formatCode>
                  <v>-0.04193384960555837</v>
                </pt>
                <pt idx="110">
                  <formatCode>0.00%</formatCode>
                  <v>-0.04036064471819151</v>
                </pt>
                <pt idx="111">
                  <formatCode>0.00%</formatCode>
                  <v>0.01703336777487388</v>
                </pt>
                <pt idx="112">
                  <formatCode>0.00%</formatCode>
                  <v>0.0191240631793375</v>
                </pt>
                <pt idx="113">
                  <formatCode>0.00%</formatCode>
                  <v>0.001080464599777905</v>
                </pt>
                <pt idx="114">
                  <formatCode>0.00%</formatCode>
                  <v>0.01321984510390307</v>
                </pt>
                <pt idx="115">
                  <formatCode>0.00%</formatCode>
                  <v>0.01590849933395599</v>
                </pt>
                <pt idx="116">
                  <formatCode>0.00%</formatCode>
                  <v>-0.04369483919222139</v>
                </pt>
                <pt idx="117">
                  <formatCode>0.00%</formatCode>
                  <v>0.2151854760753988</v>
                </pt>
                <pt idx="118">
                  <formatCode>0.00%</formatCode>
                  <v>0.1201639724650012</v>
                </pt>
                <pt idx="119">
                  <formatCode>0.00%</formatCode>
                  <v>0.07392481581764372</v>
                </pt>
                <pt idx="120">
                  <formatCode>0.00%</formatCode>
                  <v>0.02637806024937051</v>
                </pt>
                <pt idx="121">
                  <formatCode>0.00%</formatCode>
                  <v>0.02991478817912612</v>
                </pt>
                <pt idx="122">
                  <formatCode>0.00%</formatCode>
                  <v>0.01368945196509875</v>
                </pt>
                <pt idx="123">
                  <formatCode>0.00%</formatCode>
                  <v>0.01969133312416894</v>
                </pt>
                <pt idx="124">
                  <formatCode>0.00%</formatCode>
                  <v>-0.02949029669296976</v>
                </pt>
                <pt idx="125">
                  <formatCode>0.00%</formatCode>
                  <v>0.009653725078698846</v>
                </pt>
                <pt idx="126">
                  <formatCode>0.00%</formatCode>
                  <v>0.05868285225604311</v>
                </pt>
                <pt idx="127">
                  <formatCode>0.00%</formatCode>
                  <v>0.0882290881688018</v>
                </pt>
                <pt idx="128">
                  <formatCode>0.00%</formatCode>
                  <v>0.06471241533576311</v>
                </pt>
                <pt idx="129">
                  <formatCode>0.00%</formatCode>
                  <v>-0.1603629358026226</v>
                </pt>
                <pt idx="130">
                  <formatCode>0.00%</formatCode>
                  <v>-0.06189496361150622</v>
                </pt>
                <pt idx="131">
                  <formatCode>0.00%</formatCode>
                  <v>0.02307241278217531</v>
                </pt>
                <pt idx="132">
                  <formatCode>0.00%</formatCode>
                  <v>0.02967560777359048</v>
                </pt>
                <pt idx="133">
                  <formatCode>0.00%</formatCode>
                  <v>-0.02395552165238822</v>
                </pt>
                <pt idx="134">
                  <formatCode>0.00%</formatCode>
                  <v>0.03091482649842271</v>
                </pt>
                <pt idx="135">
                  <formatCode>0.00%</formatCode>
                  <v>0.01947224216494996</v>
                </pt>
                <pt idx="136">
                  <formatCode>0.00%</formatCode>
                  <v>0.07067105222710646</v>
                </pt>
                <pt idx="137">
                  <formatCode>0.00%</formatCode>
                  <v>0.04411022359473825</v>
                </pt>
                <pt idx="138">
                  <formatCode>0.00%</formatCode>
                  <v>0.01579835296808876</v>
                </pt>
                <pt idx="139">
                  <formatCode>0.00%</formatCode>
                  <v>0.009902498476538697</v>
                </pt>
                <pt idx="140">
                  <formatCode>0.00%</formatCode>
                  <v>0.04580848000470132</v>
                </pt>
                <pt idx="141">
                  <formatCode>0.00%</formatCode>
                  <v>0.03351442571018311</v>
                </pt>
                <pt idx="142">
                  <formatCode>0.00%</formatCode>
                  <v>0.0560421604274926</v>
                </pt>
                <pt idx="143">
                  <formatCode>0.00%</formatCode>
                  <v>0.004427314668882712</v>
                </pt>
                <pt idx="144">
                  <formatCode>0.00%</formatCode>
                  <v>-0.005784163162200566</v>
                </pt>
                <pt idx="145">
                  <formatCode>0.00%</formatCode>
                  <v>0.06850529796347787</v>
                </pt>
                <pt idx="146">
                  <formatCode>0.00%</formatCode>
                  <v>0.05113073381127237</v>
                </pt>
                <pt idx="147">
                  <formatCode>0.00%</formatCode>
                  <v>0.00546133946536361</v>
                </pt>
                <pt idx="148">
                  <formatCode>0.00%</formatCode>
                  <v>0.04537754809072639</v>
                </pt>
                <pt idx="149">
                  <formatCode>0.00%</formatCode>
                  <v>-0.01896907216494845</v>
                </pt>
                <pt idx="150">
                  <formatCode>0.00%</formatCode>
                  <v>0.00266013596250475</v>
                </pt>
                <pt idx="151">
                  <formatCode>0.00%</formatCode>
                  <v>-0.02131131803782279</v>
                </pt>
                <pt idx="152">
                  <formatCode>0.00%</formatCode>
                  <v>0.04980051697010564</v>
                </pt>
                <pt idx="153">
                  <formatCode>0.00%</formatCode>
                  <v>0.05787988598765344</v>
                </pt>
                <pt idx="154">
                  <formatCode>0.00%</formatCode>
                  <v>0.02326521508823775</v>
                </pt>
                <pt idx="155">
                  <formatCode>0.00%</formatCode>
                  <v>0.07537480564312511</v>
                </pt>
                <pt idx="156">
                  <formatCode>0.00%</formatCode>
                  <v>0.04060921033636495</v>
                </pt>
                <pt idx="157">
                  <formatCode>0.00%</formatCode>
                  <v>0.03769710098040595</v>
                </pt>
                <pt idx="158">
                  <formatCode>0.00%</formatCode>
                  <v>0.02786364833580548</v>
                </pt>
                <pt idx="159">
                  <formatCode>0.00%</formatCode>
                  <v>0.05273013150371641</v>
                </pt>
                <pt idx="160">
                  <formatCode>0.00%</formatCode>
                  <v>0.005547850208044383</v>
                </pt>
                <pt idx="161">
                  <formatCode>0.00%</formatCode>
                  <v>0.1543389717499384</v>
                </pt>
                <pt idx="162">
                  <formatCode>0.00%</formatCode>
                  <v>0.1455262640725455</v>
                </pt>
                <pt idx="163">
                  <formatCode>0.00%</formatCode>
                  <v>0.03393820500245218</v>
                </pt>
                <pt idx="164">
                  <formatCode>0.00%</formatCode>
                  <v>-0.0548916752532484</v>
                </pt>
                <pt idx="165">
                  <formatCode>0.00%</formatCode>
                  <v>-0.08130466570987571</v>
                </pt>
                <pt idx="166">
                  <formatCode>0.00%</formatCode>
                  <v>-0.002670045091067609</v>
                </pt>
                <pt idx="167">
                  <formatCode>0.00%</formatCode>
                  <v>-0.02725934179633093</v>
                </pt>
                <pt idx="168">
                  <formatCode>0.00%</formatCode>
                  <v>0.06484191834413107</v>
                </pt>
                <pt idx="169">
                  <formatCode>0.00%</formatCode>
                  <v>0.004540956718582679</v>
                </pt>
                <pt idx="170">
                  <formatCode>0.00%</formatCode>
                  <v>0.006230865712705841</v>
                </pt>
                <pt idx="171">
                  <formatCode>0.00%</formatCode>
                  <v>0.01695881817811511</v>
                </pt>
                <pt idx="172">
                  <formatCode>0.00%</formatCode>
                  <v>0.01168999658586548</v>
                </pt>
                <pt idx="173">
                  <formatCode>0.00%</formatCode>
                  <v>-0.05361694647095016</v>
                </pt>
                <pt idx="174">
                  <formatCode>0.00%</formatCode>
                  <v>-0.06912566631946572</v>
                </pt>
                <pt idx="175">
                  <formatCode>0.00%</formatCode>
                  <v>0.01897353192296746</v>
                </pt>
                <pt idx="176">
                  <formatCode>0.00%</formatCode>
                  <v>0.05595593753097258</v>
                </pt>
                <pt idx="177">
                  <formatCode>0.00%</formatCode>
                  <v>0.1119184118609347</v>
                </pt>
                <pt idx="178">
                  <formatCode>0.00%</formatCode>
                  <v>0.03896955375558318</v>
                </pt>
                <pt idx="179">
                  <formatCode>0.00%</formatCode>
                  <v>0.02871870397643593</v>
                </pt>
                <pt idx="180">
                  <formatCode>0.00%</formatCode>
                  <v>-0.01769219745430384</v>
                </pt>
                <pt idx="181">
                  <formatCode>0.00%</formatCode>
                  <v>0.02338478976628704</v>
                </pt>
                <pt idx="182">
                  <formatCode>0.00%</formatCode>
                  <v>0.0115669691324103</v>
                </pt>
                <pt idx="183">
                  <formatCode>0.00%</formatCode>
                  <v>0.01745039920959171</v>
                </pt>
                <pt idx="184">
                  <formatCode>0.00%</formatCode>
                  <v>0.041913581080169</v>
                </pt>
                <pt idx="185">
                  <formatCode>0.00%</formatCode>
                  <v>-0.007629131340471547</v>
                </pt>
                <pt idx="186">
                  <formatCode>0.00%</formatCode>
                  <v>-0.01358538254962877</v>
                </pt>
                <pt idx="187">
                  <formatCode>0.00%</formatCode>
                  <v>0.01811483368135449</v>
                </pt>
                <pt idx="188">
                  <formatCode>0.00%</formatCode>
                  <v>0.03482213491733598</v>
                </pt>
                <pt idx="189">
                  <formatCode>0.00%</formatCode>
                  <v>0.02876191233581189</v>
                </pt>
                <pt idx="190">
                  <formatCode>0.00%</formatCode>
                  <v>-0.001879995793016407</v>
                </pt>
                <pt idx="191">
                  <formatCode>0.00%</formatCode>
                  <v>-0.02774463798085845</v>
                </pt>
                <pt idx="192">
                  <formatCode>0.00%</formatCode>
                  <v>-0.02075624345150466</v>
                </pt>
                <pt idx="193">
                  <formatCode>0.00%</formatCode>
                  <v>-0.04792922034255877</v>
                </pt>
                <pt idx="194">
                  <formatCode>0.00%</formatCode>
                  <v>-0.04899830400678398</v>
                </pt>
                <pt idx="195">
                  <formatCode>0.00%</formatCode>
                  <v>-0.08074273341644249</v>
                </pt>
                <pt idx="196">
                  <formatCode>0.00%</formatCode>
                  <v>-0.1042028347109579</v>
                </pt>
                <pt idx="197">
                  <formatCode>0.00%</formatCode>
                  <v>-0.1020536406663636</v>
                </pt>
                <pt idx="198">
                  <formatCode>0.00%</formatCode>
                  <v>-0.1405941386857417</v>
                </pt>
                <pt idx="199">
                  <formatCode>0.00%</formatCode>
                  <v>-0.1510666370560033</v>
                </pt>
                <pt idx="200">
                  <formatCode>0.00%</formatCode>
                  <v>-0.1895278324867835</v>
                </pt>
                <pt idx="201">
                  <formatCode>0.00%</formatCode>
                  <v>-0.2707911926510945</v>
                </pt>
                <pt idx="202">
                  <formatCode>0.00%</formatCode>
                  <v>-0.275773501402774</v>
                </pt>
                <pt idx="203">
                  <formatCode>0.00%</formatCode>
                  <v>-0.2620764878314814</v>
                </pt>
                <pt idx="204">
                  <formatCode>0.00%</formatCode>
                  <v>-0.2443860552049192</v>
                </pt>
                <pt idx="205">
                  <formatCode>0.00%</formatCode>
                  <v>-0.2495360496357643</v>
                </pt>
                <pt idx="206">
                  <formatCode>0.00%</formatCode>
                  <v>-0.2601777802546884</v>
                </pt>
                <pt idx="207">
                  <formatCode>0.00%</formatCode>
                  <v>-0.2354679381031234</v>
                </pt>
                <pt idx="208">
                  <formatCode>0.00%</formatCode>
                  <v>-0.2177226906555978</v>
                </pt>
                <pt idx="209">
                  <formatCode>0.00%</formatCode>
                  <v>-0.1570852131445333</v>
                </pt>
                <pt idx="210">
                  <formatCode>0.00%</formatCode>
                  <v>-0.1032501514045685</v>
                </pt>
                <pt idx="211">
                  <formatCode>0.00%</formatCode>
                  <v>-0.04188658921289529</v>
                </pt>
                <pt idx="212">
                  <formatCode>0.00%</formatCode>
                  <v>-0.144127004428528</v>
                </pt>
                <pt idx="213">
                  <formatCode>0.00%</formatCode>
                  <v>-0.002296860368557749</v>
                </pt>
                <pt idx="214">
                  <formatCode>0.00%</formatCode>
                  <v>0.04312163538483923</v>
                </pt>
                <pt idx="215">
                  <formatCode>0.00%</formatCode>
                  <v>0.0546163368623321</v>
                </pt>
                <pt idx="216">
                  <formatCode>0.00%</formatCode>
                  <v>0.01702814124395053</v>
                </pt>
                <pt idx="217">
                  <formatCode>0.00%</formatCode>
                  <v>0.0307817228906769</v>
                </pt>
                <pt idx="218">
                  <formatCode>0.00%</formatCode>
                  <v>0.1468361581920904</v>
                </pt>
                <pt idx="219">
                  <formatCode>0.00%</formatCode>
                  <v>0.1544522658102582</v>
                </pt>
                <pt idx="220">
                  <formatCode>0.00%</formatCode>
                  <v>0.1392889496940228</v>
                </pt>
                <pt idx="221">
                  <formatCode>0.00%</formatCode>
                  <v>0.08401194114218084</v>
                </pt>
                <pt idx="222">
                  <formatCode>0.00%</formatCode>
                  <v>0.08436655814919997</v>
                </pt>
                <pt idx="223">
                  <formatCode>0.00%</formatCode>
                  <v>0.006231630342257842</v>
                </pt>
                <pt idx="224">
                  <formatCode>0.00%</formatCode>
                  <v>0.1816789330145328</v>
                </pt>
                <pt idx="225">
                  <formatCode>0.00%</formatCode>
                  <v>0.1462926561476208</v>
                </pt>
                <pt idx="226">
                  <formatCode>0.00%</formatCode>
                  <v>0.1422195100688693</v>
                </pt>
                <pt idx="227">
                  <formatCode>0.00%</formatCode>
                  <v>0.1429247183727816</v>
                </pt>
                <pt idx="228">
                  <formatCode>0.00%</formatCode>
                  <v>0.1682410997532605</v>
                </pt>
                <pt idx="229">
                  <formatCode>0.00%</formatCode>
                  <v>0.2052420509882555</v>
                </pt>
                <pt idx="230">
                  <formatCode>0.00%</formatCode>
                  <v>0.1096441532423601</v>
                </pt>
                <pt idx="231">
                  <formatCode>0.00%</formatCode>
                  <v>0.07905675330346601</v>
                </pt>
                <pt idx="232">
                  <formatCode>0.00%</formatCode>
                  <v>0.06958440841893448</v>
                </pt>
                <pt idx="233">
                  <formatCode>0.00%</formatCode>
                  <v>0.08801147196375902</v>
                </pt>
                <pt idx="234">
                  <formatCode>0.00%</formatCode>
                  <v>0.06071542638134781</v>
                </pt>
                <pt idx="235">
                  <formatCode>0.00%</formatCode>
                  <v>0.0512042904343107</v>
                </pt>
                <pt idx="236">
                  <formatCode>0.00%</formatCode>
                  <v>0.08782801138159975</v>
                </pt>
                <pt idx="237">
                  <formatCode>0.00%</formatCode>
                  <v>0.07956125444152634</v>
                </pt>
                <pt idx="238">
                  <formatCode>0.00%</formatCode>
                  <v>0.07191048968127976</v>
                </pt>
                <pt idx="239">
                  <formatCode>0.00%</formatCode>
                  <v>0.0957738706562227</v>
                </pt>
                <pt idx="240">
                  <formatCode>0.00%</formatCode>
                  <v>0.08197809492200464</v>
                </pt>
                <pt idx="241">
                  <formatCode>0.00%</formatCode>
                  <v>0.07826797385620915</v>
                </pt>
                <pt idx="242">
                  <formatCode>0.00%</formatCode>
                  <v>0.07513244739100837</v>
                </pt>
                <pt idx="243">
                  <formatCode>0.00%</formatCode>
                  <v>0.09333453242801684</v>
                </pt>
                <pt idx="244">
                  <formatCode>0.00%</formatCode>
                  <v>0.1172490176146622</v>
                </pt>
                <pt idx="245">
                  <formatCode>0.00%</formatCode>
                  <v>0.08414210400191709</v>
                </pt>
                <pt idx="246">
                  <formatCode>0.00%</formatCode>
                  <v>0.1009153593688838</v>
                </pt>
                <pt idx="247">
                  <formatCode>0.00%</formatCode>
                  <v>0.1223978499521705</v>
                </pt>
                <pt idx="248">
                  <formatCode>0.00%</formatCode>
                  <v>0.09269646593815392</v>
                </pt>
                <pt idx="249">
                  <formatCode>0.00%</formatCode>
                  <v>0.07059244419004007</v>
                </pt>
                <pt idx="250">
                  <formatCode>0.00%</formatCode>
                  <v>0.0799595574099654</v>
                </pt>
                <pt idx="251">
                  <formatCode>0.00%</formatCode>
                  <v>0.07528852206756662</v>
                </pt>
                <pt idx="252">
                  <formatCode>0.00%</formatCode>
                  <v>0.08336586726157279</v>
                </pt>
                <pt idx="253">
                  <formatCode>0.00%</formatCode>
                  <v>0.08585322845059169</v>
                </pt>
                <pt idx="254">
                  <formatCode>0.00%</formatCode>
                  <v>0.07238716604038485</v>
                </pt>
                <pt idx="255">
                  <formatCode>0.00%</formatCode>
                  <v>0.07464630401403817</v>
                </pt>
                <pt idx="256">
                  <formatCode>0.00%</formatCode>
                  <v>0.08255136544494086</v>
                </pt>
                <pt idx="257">
                  <formatCode>0.00%</formatCode>
                  <v>0.1233802116431354</v>
                </pt>
                <pt idx="258">
                  <formatCode>0.00%</formatCode>
                  <v>0.1174700854700855</v>
                </pt>
                <pt idx="259">
                  <formatCode>0.00%</formatCode>
                  <v>0.1008116883116883</v>
                </pt>
                <pt idx="260">
                  <formatCode>0.00%</formatCode>
                  <v>0.06650708158787154</v>
                </pt>
                <pt idx="261">
                  <formatCode>0.00%</formatCode>
                  <v>0.08926256131955676</v>
                </pt>
                <pt idx="262">
                  <formatCode>0.00%</formatCode>
                  <v>0.07890503441546454</v>
                </pt>
                <pt idx="263">
                  <formatCode>0.00%</formatCode>
                  <v>0.05980459755161513</v>
                </pt>
                <pt idx="264">
                  <formatCode>0.00%</formatCode>
                  <v>0.01719455848852624</v>
                </pt>
                <pt idx="265">
                  <formatCode>0.00%</formatCode>
                  <v>0.0348638053310666</v>
                </pt>
                <pt idx="266">
                  <formatCode>0.00%</formatCode>
                  <v>0.08466178924399949</v>
                </pt>
                <pt idx="267">
                  <formatCode>0.00%</formatCode>
                  <v>0.09474543622191889</v>
                </pt>
                <pt idx="268">
                  <formatCode>0.00%</formatCode>
                  <v>0.07860207230487469</v>
                </pt>
                <pt idx="269">
                  <formatCode>0.00%</formatCode>
                  <v>0.06039327569880837</v>
                </pt>
                <pt idx="270">
                  <formatCode>0.00%</formatCode>
                  <v>0.05964633176283424</v>
                </pt>
                <pt idx="271">
                  <formatCode>0.00%</formatCode>
                  <v>0.07183060512215504</v>
                </pt>
                <pt idx="272">
                  <formatCode>0.00%</formatCode>
                  <v>0.0787321063394683</v>
                </pt>
                <pt idx="273">
                  <formatCode>0.00%</formatCode>
                  <v>0.06459609036580727</v>
                </pt>
                <pt idx="274">
                  <formatCode>0.00%</formatCode>
                  <v>0.07324435970765809</v>
                </pt>
                <pt idx="275">
                  <formatCode>0.00%</formatCode>
                  <v>0.0736767160954532</v>
                </pt>
                <pt idx="276">
                  <formatCode>0.00%</formatCode>
                  <v>0.1199974694755488</v>
                </pt>
                <pt idx="277">
                  <formatCode>0.00%</formatCode>
                  <v>0.07007564148144516</v>
                </pt>
                <pt idx="278">
                  <formatCode>0.00%</formatCode>
                  <v>0.07850330154071901</v>
                </pt>
                <pt idx="279">
                  <formatCode>0.00%</formatCode>
                  <v>0.06847207979863895</v>
                </pt>
                <pt idx="280">
                  <formatCode>0.00%</formatCode>
                  <v>0.07360671752884257</v>
                </pt>
                <pt idx="281">
                  <formatCode>0.00%</formatCode>
                  <v>0.07163566358955328</v>
                </pt>
                <pt idx="282">
                  <formatCode>0.00%</formatCode>
                  <v>0.06820727806072364</v>
                </pt>
                <pt idx="283">
                  <formatCode>0.00%</formatCode>
                  <v>0.06861047731520231</v>
                </pt>
                <pt idx="284">
                  <formatCode>0.00%</formatCode>
                  <v>0.08195584325511501</v>
                </pt>
                <pt idx="285">
                  <formatCode>0.00%</formatCode>
                  <v>0.07072791193591148</v>
                </pt>
                <pt idx="286">
                  <formatCode>0.00%</formatCode>
                  <v>0.06956670272732449</v>
                </pt>
                <pt idx="287">
                  <formatCode>0.00%</formatCode>
                  <v>0.0686666819106853</v>
                </pt>
                <pt idx="288">
                  <formatCode>0.00%</formatCode>
                  <v>0.0516725222833516</v>
                </pt>
                <pt idx="289">
                  <formatCode>0.00%</formatCode>
                  <v>0.09494185713467378</v>
                </pt>
                <pt idx="290">
                  <formatCode>0.00%</formatCode>
                  <v>0.02651964011411016</v>
                </pt>
                <pt idx="291">
                  <formatCode>0.00%</formatCode>
                  <v>0.0223247393447629</v>
                </pt>
                <pt idx="292">
                  <formatCode>0.00%</formatCode>
                  <v>0.01958554049808803</v>
                </pt>
                <pt idx="293">
                  <formatCode>0.00%</formatCode>
                  <v>0.02539905849250582</v>
                </pt>
                <pt idx="294">
                  <formatCode>0.00%</formatCode>
                  <v>0.03726687929077247</v>
                </pt>
                <pt idx="295">
                  <formatCode>0.00%</formatCode>
                  <v>0.03363697814401133</v>
                </pt>
                <pt idx="296">
                  <formatCode>0.00%</formatCode>
                  <v>0.03821581196581197</v>
                </pt>
                <pt idx="297">
                  <formatCode>0.00%</formatCode>
                  <v>0.0445791303786158</v>
                </pt>
                <pt idx="298">
                  <formatCode>0.00%</formatCode>
                  <v>0.02861888335249776</v>
                </pt>
                <pt idx="299">
                  <formatCode>0.00%</formatCode>
                  <v>0.06389079082505991</v>
                </pt>
                <pt idx="300">
                  <formatCode>0.00%</formatCode>
                  <v>0.06796429377074538</v>
                </pt>
                <pt idx="301">
                  <formatCode>0.00%</formatCode>
                  <v>0.03395345917214247</v>
                </pt>
                <pt idx="302">
                  <formatCode>0.00%</formatCode>
                  <v>0.03364793655204849</v>
                </pt>
                <pt idx="303">
                  <formatCode>0.00%</formatCode>
                  <v>0.03962064882279521</v>
                </pt>
                <pt idx="304">
                  <formatCode>0.00%</formatCode>
                  <v>0.03975733364498889</v>
                </pt>
                <pt idx="305">
                  <formatCode>0.00%</formatCode>
                  <v>0.04162445119891928</v>
                </pt>
                <pt idx="306">
                  <formatCode>0.00%</formatCode>
                  <v>0.03105000938066749</v>
                </pt>
                <pt idx="307">
                  <formatCode>0.00%</formatCode>
                  <v>0.003352848364059126</v>
                </pt>
                <pt idx="308">
                  <formatCode>0.00%</formatCode>
                  <v>0.03881576916348518</v>
                </pt>
                <pt idx="309">
                  <formatCode>0.00%</formatCode>
                  <v>0.04604666501772611</v>
                </pt>
                <pt idx="310">
                  <formatCode>0.00%</formatCode>
                  <v>0.0414130749803337</v>
                </pt>
                <pt idx="311">
                  <formatCode>0.00%</formatCode>
                  <v>0.009412332569084107</v>
                </pt>
                <pt idx="312">
                  <formatCode>0.00%</formatCode>
                  <v>0.00864011265338966</v>
                </pt>
                <pt idx="313">
                  <formatCode>0.00%</formatCode>
                  <v>0.01011971624315654</v>
                </pt>
                <pt idx="314">
                  <formatCode>0.00%</formatCode>
                  <v>0.03540664908743085</v>
                </pt>
                <pt idx="315">
                  <formatCode>0.00%</formatCode>
                  <v>0.03088668383733697</v>
                </pt>
                <pt idx="316">
                  <formatCode>0.00%</formatCode>
                  <v>0.03080837497317679</v>
                </pt>
                <pt idx="317">
                  <formatCode>0.00%</formatCode>
                  <v>0.01922063710788684</v>
                </pt>
                <pt idx="318">
                  <formatCode>0.00%</formatCode>
                  <v>0.02286673203869755</v>
                </pt>
                <pt idx="319">
                  <formatCode>0.00%</formatCode>
                  <v>0.03155422671453254</v>
                </pt>
                <pt idx="320">
                  <formatCode>0.00%</formatCode>
                  <v>-0.01520569792667585</v>
                </pt>
                <pt idx="321">
                  <formatCode>0.00%</formatCode>
                  <v>-0.0159704433497537</v>
                </pt>
                <pt idx="322">
                  <formatCode>0.00%</formatCode>
                  <v>0.0008249430988043295</v>
                </pt>
                <pt idx="323">
                  <formatCode>0.00%</formatCode>
                  <v>0.01385734210001992</v>
                </pt>
                <pt idx="324">
                  <formatCode>0.00%</formatCode>
                  <v>-0.006721247718864369</v>
                </pt>
                <pt idx="325">
                  <formatCode>0.00%</formatCode>
                  <v>0.005369826783012913</v>
                </pt>
                <pt idx="326">
                  <formatCode>0.00%</formatCode>
                  <v>0.03106991980345354</v>
                </pt>
                <pt idx="327">
                  <formatCode>0.00%</formatCode>
                  <v>0.01718045449568498</v>
                </pt>
                <pt idx="328">
                  <formatCode>0.00%</formatCode>
                  <v>0.01725847062788715</v>
                </pt>
                <pt idx="329">
                  <formatCode>0.00%</formatCode>
                  <v>0.02349070014812164</v>
                </pt>
                <pt idx="330">
                  <formatCode>0.00%</formatCode>
                  <v>0.02467805856715061</v>
                </pt>
                <pt idx="331">
                  <formatCode>0.00%</formatCode>
                  <v>0.05908192841167798</v>
                </pt>
                <pt idx="332">
                  <formatCode>0.00%</formatCode>
                  <v>0.04323334741585692</v>
                </pt>
                <pt idx="333">
                  <formatCode>0.00%</formatCode>
                  <v>0.04223109963055297</v>
                </pt>
                <pt idx="334">
                  <formatCode>0.00%</formatCode>
                  <v>0.05843330420274886</v>
                </pt>
                <pt idx="335">
                  <formatCode>0.00%</formatCode>
                  <v>0.0299888966404968</v>
                </pt>
                <pt idx="336">
                  <formatCode>0.00%</formatCode>
                  <v>0.05579037196927865</v>
                </pt>
                <pt idx="337">
                  <formatCode>0.00%</formatCode>
                  <v>0.05148824648989068</v>
                </pt>
                <pt idx="338">
                  <formatCode>0.00%</formatCode>
                  <v>-0.2440333204184425</v>
                </pt>
                <pt idx="339">
                  <formatCode>0.00%</formatCode>
                  <v>-0.332628756519782</v>
                </pt>
                <pt idx="340">
                  <formatCode>0.00%</formatCode>
                  <v>-0.0163420029429248</v>
                </pt>
                <pt idx="341">
                  <formatCode>0.00%</formatCode>
                  <v>0.07399277361202844</v>
                </pt>
                <pt idx="342">
                  <formatCode>0.00%</formatCode>
                  <v>0.05563271604938272</v>
                </pt>
                <pt idx="343">
                  <formatCode>0.00%</formatCode>
                  <v>0.03988636363636364</v>
                </pt>
                <pt idx="344">
                  <formatCode>0.00%</formatCode>
                  <v>0.1028039185436594</v>
                </pt>
                <pt idx="345">
                  <formatCode>0.00%</formatCode>
                  <v>0.09143395102644648</v>
                </pt>
                <pt idx="346">
                  <formatCode>0.00%</formatCode>
                  <v>0.04641583786826797</v>
                </pt>
                <pt idx="347">
                  <formatCode>0.00%</formatCode>
                  <v>0.09181191150797058</v>
                </pt>
                <pt idx="348">
                  <formatCode>0.00%</formatCode>
                  <v>0.1418478157509367</v>
                </pt>
                <pt idx="349">
                  <formatCode>0.00%</formatCode>
                  <v>0.09687263078089461</v>
                </pt>
                <pt idx="350">
                  <formatCode>0.00%</formatCode>
                  <v>0.7352843195038823</v>
                </pt>
                <pt idx="351">
                  <formatCode>0.00%</formatCode>
                  <v>1.07318396433913</v>
                </pt>
                <pt idx="352">
                  <formatCode>0.00%</formatCode>
                  <v>0.3358859543103961</v>
                </pt>
                <pt idx="353">
                  <formatCode>0.00%</formatCode>
                  <v>0.1939334744153237</v>
                </pt>
                <pt idx="354">
                  <formatCode>0.00%</formatCode>
                  <v>0.154356406695417</v>
                </pt>
                <pt idx="355">
                  <formatCode>0.00%</formatCode>
                  <v>0.1195862018722908</v>
                </pt>
                <pt idx="356">
                  <formatCode>0.00%</formatCode>
                  <v>0.08807945861821742</v>
                </pt>
                <pt idx="357">
                  <formatCode>0.00%</formatCode>
                  <v>0.1140430400915372</v>
                </pt>
                <pt idx="358">
                  <formatCode>0.00%</formatCode>
                  <v>0.1341558546360971</v>
                </pt>
                <pt idx="359">
                  <formatCode>0.00%</formatCode>
                  <v>0.103279247162442</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1320"/>
        <crosses val="autoZero"/>
        <lblOffset val="100"/>
        <baseTimeUnit val="months"/>
      </dateAx>
      <valAx>
        <axId val="1031861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5912"/>
        <crosses val="autoZero"/>
        <crossBetween val="between"/>
      </valAx>
    </plotArea>
    <plotVisOnly val="1"/>
    <dispBlanksAs val="gap"/>
  </chart>
</chartSpace>
</file>

<file path=xl/charts/chart26.xml><?xml version="1.0" encoding="utf-8"?>
<chartSpace xmlns="http://schemas.openxmlformats.org/drawingml/2006/chart">
  <chart>
    <title>
      <tx>
        <strRef>
          <f>Table6[[#Headers],[Building Materials. mil$]]</f>
          <strCache>
            <ptCount val="1"/>
            <pt idx="0">
              <v>Building Materials.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Housing!$B$6</f>
              <strCache>
                <ptCount val="1"/>
                <pt idx="0">
                  <v>Building Materials.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Housing!$A$7:$A$368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Housing!$B$7:$B$368</f>
              <numCache>
                <formatCode>#,##0</formatCode>
                <ptCount val="362"/>
                <pt idx="0">
                  <v>10845</v>
                </pt>
                <pt idx="1">
                  <v>10904</v>
                </pt>
                <pt idx="2">
                  <v>10986</v>
                </pt>
                <pt idx="3">
                  <v>10738</v>
                </pt>
                <pt idx="4">
                  <v>10777</v>
                </pt>
                <pt idx="5">
                  <v>10790</v>
                </pt>
                <pt idx="6">
                  <v>10785</v>
                </pt>
                <pt idx="7">
                  <v>10915</v>
                </pt>
                <pt idx="8">
                  <v>10980</v>
                </pt>
                <pt idx="9">
                  <v>10971</v>
                </pt>
                <pt idx="10">
                  <v>10873</v>
                </pt>
                <pt idx="11">
                  <v>11082</v>
                </pt>
                <pt idx="12">
                  <v>11333</v>
                </pt>
                <pt idx="13">
                  <v>11410</v>
                </pt>
                <pt idx="14">
                  <v>11184</v>
                </pt>
                <pt idx="15">
                  <v>11417</v>
                </pt>
                <pt idx="16">
                  <v>11720</v>
                </pt>
                <pt idx="17">
                  <v>11669</v>
                </pt>
                <pt idx="18">
                  <v>11781</v>
                </pt>
                <pt idx="19">
                  <v>11875</v>
                </pt>
                <pt idx="20">
                  <v>11786</v>
                </pt>
                <pt idx="21">
                  <v>11908</v>
                </pt>
                <pt idx="22">
                  <v>12297</v>
                </pt>
                <pt idx="23">
                  <v>12583</v>
                </pt>
                <pt idx="24">
                  <v>12316</v>
                </pt>
                <pt idx="25">
                  <v>12233</v>
                </pt>
                <pt idx="26">
                  <v>12767</v>
                </pt>
                <pt idx="27">
                  <v>13076</v>
                </pt>
                <pt idx="28">
                  <v>13033</v>
                </pt>
                <pt idx="29">
                  <v>12987</v>
                </pt>
                <pt idx="30">
                  <v>13130</v>
                </pt>
                <pt idx="31">
                  <v>13224</v>
                </pt>
                <pt idx="32">
                  <v>13375</v>
                </pt>
                <pt idx="33">
                  <v>13550</v>
                </pt>
                <pt idx="34">
                  <v>13384</v>
                </pt>
                <pt idx="35">
                  <v>13981</v>
                </pt>
                <pt idx="36">
                  <v>13738</v>
                </pt>
                <pt idx="37">
                  <v>13613</v>
                </pt>
                <pt idx="38">
                  <v>13587</v>
                </pt>
                <pt idx="39">
                  <v>13415</v>
                </pt>
                <pt idx="40">
                  <v>13370</v>
                </pt>
                <pt idx="41">
                  <v>13548</v>
                </pt>
                <pt idx="42">
                  <v>13645</v>
                </pt>
                <pt idx="43">
                  <v>13683</v>
                </pt>
                <pt idx="44">
                  <v>13837</v>
                </pt>
                <pt idx="45">
                  <v>13932</v>
                </pt>
                <pt idx="46">
                  <v>14092</v>
                </pt>
                <pt idx="47">
                  <v>14683</v>
                </pt>
                <pt idx="48">
                  <v>14023</v>
                </pt>
                <pt idx="49">
                  <v>14036</v>
                </pt>
                <pt idx="50">
                  <v>14153</v>
                </pt>
                <pt idx="51">
                  <v>14340</v>
                </pt>
                <pt idx="52">
                  <v>14450</v>
                </pt>
                <pt idx="53">
                  <v>14902</v>
                </pt>
                <pt idx="54">
                  <v>14826</v>
                </pt>
                <pt idx="55">
                  <v>14981</v>
                </pt>
                <pt idx="56">
                  <v>14989</v>
                </pt>
                <pt idx="57">
                  <v>15040</v>
                </pt>
                <pt idx="58">
                  <v>15264</v>
                </pt>
                <pt idx="59">
                  <v>14980</v>
                </pt>
                <pt idx="60">
                  <v>15197</v>
                </pt>
                <pt idx="61">
                  <v>15561</v>
                </pt>
                <pt idx="62">
                  <v>15862</v>
                </pt>
                <pt idx="63">
                  <v>15709</v>
                </pt>
                <pt idx="64">
                  <v>15805</v>
                </pt>
                <pt idx="65">
                  <v>15918</v>
                </pt>
                <pt idx="66">
                  <v>15973</v>
                </pt>
                <pt idx="67">
                  <v>16027</v>
                </pt>
                <pt idx="68">
                  <v>16283</v>
                </pt>
                <pt idx="69">
                  <v>16232</v>
                </pt>
                <pt idx="70">
                  <v>16158</v>
                </pt>
                <pt idx="71">
                  <v>16356</v>
                </pt>
                <pt idx="72">
                  <v>16436</v>
                </pt>
                <pt idx="73">
                  <v>16462</v>
                </pt>
                <pt idx="74">
                  <v>16511</v>
                </pt>
                <pt idx="75">
                  <v>16716</v>
                </pt>
                <pt idx="76">
                  <v>16741</v>
                </pt>
                <pt idx="77">
                  <v>16662</v>
                </pt>
                <pt idx="78">
                  <v>16819</v>
                </pt>
                <pt idx="79">
                  <v>16828</v>
                </pt>
                <pt idx="80">
                  <v>16972</v>
                </pt>
                <pt idx="81">
                  <v>17209</v>
                </pt>
                <pt idx="82">
                  <v>17341</v>
                </pt>
                <pt idx="83">
                  <v>17702</v>
                </pt>
                <pt idx="84">
                  <v>17732</v>
                </pt>
                <pt idx="85">
                  <v>17943</v>
                </pt>
                <pt idx="86">
                  <v>17760</v>
                </pt>
                <pt idx="87">
                  <v>17791</v>
                </pt>
                <pt idx="88">
                  <v>17914</v>
                </pt>
                <pt idx="89">
                  <v>17969</v>
                </pt>
                <pt idx="90">
                  <v>18183</v>
                </pt>
                <pt idx="91">
                  <v>18341</v>
                </pt>
                <pt idx="92">
                  <v>18175</v>
                </pt>
                <pt idx="93">
                  <v>18606</v>
                </pt>
                <pt idx="94">
                  <v>18944</v>
                </pt>
                <pt idx="95">
                  <v>19125</v>
                </pt>
                <pt idx="96">
                  <v>19613</v>
                </pt>
                <pt idx="97">
                  <v>19193</v>
                </pt>
                <pt idx="98">
                  <v>20175</v>
                </pt>
                <pt idx="99">
                  <v>18986</v>
                </pt>
                <pt idx="100">
                  <v>18941</v>
                </pt>
                <pt idx="101">
                  <v>18878</v>
                </pt>
                <pt idx="102">
                  <v>18982</v>
                </pt>
                <pt idx="103">
                  <v>18951</v>
                </pt>
                <pt idx="104">
                  <v>18926</v>
                </pt>
                <pt idx="105">
                  <v>18965</v>
                </pt>
                <pt idx="106">
                  <v>18689</v>
                </pt>
                <pt idx="107">
                  <v>19356</v>
                </pt>
                <pt idx="108">
                  <v>19248</v>
                </pt>
                <pt idx="109">
                  <v>19698</v>
                </pt>
                <pt idx="110">
                  <v>19562</v>
                </pt>
                <pt idx="111">
                  <v>20373</v>
                </pt>
                <pt idx="112">
                  <v>20147</v>
                </pt>
                <pt idx="113">
                  <v>19900</v>
                </pt>
                <pt idx="114">
                  <v>19838</v>
                </pt>
                <pt idx="115">
                  <v>19920</v>
                </pt>
                <pt idx="116">
                  <v>19664</v>
                </pt>
                <pt idx="117">
                  <v>20054</v>
                </pt>
                <pt idx="118">
                  <v>19982</v>
                </pt>
                <pt idx="119">
                  <v>20120</v>
                </pt>
                <pt idx="120">
                  <v>20359</v>
                </pt>
                <pt idx="121">
                  <v>20515</v>
                </pt>
                <pt idx="122">
                  <v>20370</v>
                </pt>
                <pt idx="123">
                  <v>21274</v>
                </pt>
                <pt idx="124">
                  <v>20874</v>
                </pt>
                <pt idx="125">
                  <v>20725</v>
                </pt>
                <pt idx="126">
                  <v>20674</v>
                </pt>
                <pt idx="127">
                  <v>20683</v>
                </pt>
                <pt idx="128">
                  <v>20732</v>
                </pt>
                <pt idx="129">
                  <v>20603</v>
                </pt>
                <pt idx="130">
                  <v>20969</v>
                </pt>
                <pt idx="131">
                  <v>20415</v>
                </pt>
                <pt idx="132">
                  <v>21270</v>
                </pt>
                <pt idx="133">
                  <v>20041</v>
                </pt>
                <pt idx="134">
                  <v>21326</v>
                </pt>
                <pt idx="135">
                  <v>21139</v>
                </pt>
                <pt idx="136">
                  <v>21328</v>
                </pt>
                <pt idx="137">
                  <v>22003</v>
                </pt>
                <pt idx="138">
                  <v>22372</v>
                </pt>
                <pt idx="139">
                  <v>22489</v>
                </pt>
                <pt idx="140">
                  <v>22630</v>
                </pt>
                <pt idx="141">
                  <v>22869</v>
                </pt>
                <pt idx="142">
                  <v>22864</v>
                </pt>
                <pt idx="143">
                  <v>22748</v>
                </pt>
                <pt idx="144">
                  <v>22637</v>
                </pt>
                <pt idx="145">
                  <v>22727</v>
                </pt>
                <pt idx="146">
                  <v>24992</v>
                </pt>
                <pt idx="147">
                  <v>24565</v>
                </pt>
                <pt idx="148">
                  <v>24420</v>
                </pt>
                <pt idx="149">
                  <v>24622</v>
                </pt>
                <pt idx="150">
                  <v>24538</v>
                </pt>
                <pt idx="151">
                  <v>24713</v>
                </pt>
                <pt idx="152">
                  <v>25045</v>
                </pt>
                <pt idx="153">
                  <v>24842</v>
                </pt>
                <pt idx="154">
                  <v>24974</v>
                </pt>
                <pt idx="155">
                  <v>25679</v>
                </pt>
                <pt idx="156">
                  <v>26126</v>
                </pt>
                <pt idx="157">
                  <v>25797</v>
                </pt>
                <pt idx="158">
                  <v>26219</v>
                </pt>
                <pt idx="159">
                  <v>26520</v>
                </pt>
                <pt idx="160">
                  <v>26510</v>
                </pt>
                <pt idx="161">
                  <v>26569</v>
                </pt>
                <pt idx="162">
                  <v>26538</v>
                </pt>
                <pt idx="163">
                  <v>26814</v>
                </pt>
                <pt idx="164">
                  <v>27111</v>
                </pt>
                <pt idx="165">
                  <v>27664</v>
                </pt>
                <pt idx="166">
                  <v>27674</v>
                </pt>
                <pt idx="167">
                  <v>27324</v>
                </pt>
                <pt idx="168">
                  <v>29686</v>
                </pt>
                <pt idx="169">
                  <v>29479</v>
                </pt>
                <pt idx="170">
                  <v>29289</v>
                </pt>
                <pt idx="171">
                  <v>28905</v>
                </pt>
                <pt idx="172">
                  <v>27864</v>
                </pt>
                <pt idx="173">
                  <v>27339</v>
                </pt>
                <pt idx="174">
                  <v>27327</v>
                </pt>
                <pt idx="175">
                  <v>27358</v>
                </pt>
                <pt idx="176">
                  <v>26994</v>
                </pt>
                <pt idx="177">
                  <v>27161</v>
                </pt>
                <pt idx="178">
                  <v>26647</v>
                </pt>
                <pt idx="179">
                  <v>27100</v>
                </pt>
                <pt idx="180">
                  <v>27533</v>
                </pt>
                <pt idx="181">
                  <v>27088</v>
                </pt>
                <pt idx="182">
                  <v>27506</v>
                </pt>
                <pt idx="183">
                  <v>26610</v>
                </pt>
                <pt idx="184">
                  <v>27144</v>
                </pt>
                <pt idx="185">
                  <v>26638</v>
                </pt>
                <pt idx="186">
                  <v>26860</v>
                </pt>
                <pt idx="187">
                  <v>26625</v>
                </pt>
                <pt idx="188">
                  <v>26412</v>
                </pt>
                <pt idx="189">
                  <v>26248</v>
                </pt>
                <pt idx="190">
                  <v>26566</v>
                </pt>
                <pt idx="191">
                  <v>25634</v>
                </pt>
                <pt idx="192">
                  <v>25721</v>
                </pt>
                <pt idx="193">
                  <v>25659</v>
                </pt>
                <pt idx="194">
                  <v>25456</v>
                </pt>
                <pt idx="195">
                  <v>25292</v>
                </pt>
                <pt idx="196">
                  <v>25650</v>
                </pt>
                <pt idx="197">
                  <v>25700</v>
                </pt>
                <pt idx="198">
                  <v>25897</v>
                </pt>
                <pt idx="199">
                  <v>25329</v>
                </pt>
                <pt idx="200">
                  <v>25217</v>
                </pt>
                <pt idx="201">
                  <v>24568</v>
                </pt>
                <pt idx="202">
                  <v>23196</v>
                </pt>
                <pt idx="203">
                  <v>22909</v>
                </pt>
                <pt idx="204">
                  <v>22758</v>
                </pt>
                <pt idx="205">
                  <v>22498</v>
                </pt>
                <pt idx="206">
                  <v>22149</v>
                </pt>
                <pt idx="207">
                  <v>22092</v>
                </pt>
                <pt idx="208">
                  <v>22310</v>
                </pt>
                <pt idx="209">
                  <v>22332</v>
                </pt>
                <pt idx="210">
                  <v>21883</v>
                </pt>
                <pt idx="211">
                  <v>21474</v>
                </pt>
                <pt idx="212">
                  <v>21363</v>
                </pt>
                <pt idx="213">
                  <v>20661</v>
                </pt>
                <pt idx="214">
                  <v>20931</v>
                </pt>
                <pt idx="215">
                  <v>20849</v>
                </pt>
                <pt idx="216">
                  <v>20562</v>
                </pt>
                <pt idx="217">
                  <v>20448</v>
                </pt>
                <pt idx="218">
                  <v>21872</v>
                </pt>
                <pt idx="219">
                  <v>23542</v>
                </pt>
                <pt idx="220">
                  <v>21737</v>
                </pt>
                <pt idx="221">
                  <v>21522</v>
                </pt>
                <pt idx="222">
                  <v>21493</v>
                </pt>
                <pt idx="223">
                  <v>21296</v>
                </pt>
                <pt idx="224">
                  <v>21336</v>
                </pt>
                <pt idx="225">
                  <v>22040</v>
                </pt>
                <pt idx="226">
                  <v>21977</v>
                </pt>
                <pt idx="227">
                  <v>22112</v>
                </pt>
                <pt idx="228">
                  <v>21498</v>
                </pt>
                <pt idx="229">
                  <v>21202</v>
                </pt>
                <pt idx="230">
                  <v>21865</v>
                </pt>
                <pt idx="231">
                  <v>22053</v>
                </pt>
                <pt idx="232">
                  <v>22326</v>
                </pt>
                <pt idx="233">
                  <v>22709</v>
                </pt>
                <pt idx="234">
                  <v>22744</v>
                </pt>
                <pt idx="235">
                  <v>22775</v>
                </pt>
                <pt idx="236">
                  <v>22644</v>
                </pt>
                <pt idx="237">
                  <v>23253</v>
                </pt>
                <pt idx="238">
                  <v>22908</v>
                </pt>
                <pt idx="239">
                  <v>23443</v>
                </pt>
                <pt idx="240">
                  <v>23657</v>
                </pt>
                <pt idx="241">
                  <v>23588</v>
                </pt>
                <pt idx="242">
                  <v>24587</v>
                </pt>
                <pt idx="243">
                  <v>23423</v>
                </pt>
                <pt idx="244">
                  <v>22721</v>
                </pt>
                <pt idx="245">
                  <v>22516</v>
                </pt>
                <pt idx="246">
                  <v>22700</v>
                </pt>
                <pt idx="247">
                  <v>23071</v>
                </pt>
                <pt idx="248">
                  <v>23652</v>
                </pt>
                <pt idx="249">
                  <v>23831</v>
                </pt>
                <pt idx="250">
                  <v>24146</v>
                </pt>
                <pt idx="251">
                  <v>24126</v>
                </pt>
                <pt idx="252">
                  <v>24376</v>
                </pt>
                <pt idx="253">
                  <v>24759</v>
                </pt>
                <pt idx="254">
                  <v>24692</v>
                </pt>
                <pt idx="255">
                  <v>24815</v>
                </pt>
                <pt idx="256">
                  <v>25320</v>
                </pt>
                <pt idx="257">
                  <v>24799</v>
                </pt>
                <pt idx="258">
                  <v>25347</v>
                </pt>
                <pt idx="259">
                  <v>25284</v>
                </pt>
                <pt idx="260">
                  <v>25259</v>
                </pt>
                <pt idx="261">
                  <v>24917</v>
                </pt>
                <pt idx="262">
                  <v>24828</v>
                </pt>
                <pt idx="263">
                  <v>24956</v>
                </pt>
                <pt idx="264">
                  <v>24872</v>
                </pt>
                <pt idx="265">
                  <v>24817</v>
                </pt>
                <pt idx="266">
                  <v>25282</v>
                </pt>
                <pt idx="267">
                  <v>26122</v>
                </pt>
                <pt idx="268">
                  <v>26465</v>
                </pt>
                <pt idx="269">
                  <v>26620</v>
                </pt>
                <pt idx="270">
                  <v>26084</v>
                </pt>
                <pt idx="271">
                  <v>26569</v>
                </pt>
                <pt idx="272">
                  <v>26494</v>
                </pt>
                <pt idx="273">
                  <v>26463</v>
                </pt>
                <pt idx="274">
                  <v>26602</v>
                </pt>
                <pt idx="275">
                  <v>26268</v>
                </pt>
                <pt idx="276">
                  <v>26517</v>
                </pt>
                <pt idx="277">
                  <v>25555</v>
                </pt>
                <pt idx="278">
                  <v>26534</v>
                </pt>
                <pt idx="279">
                  <v>26690</v>
                </pt>
                <pt idx="280">
                  <v>26826</v>
                </pt>
                <pt idx="281">
                  <v>26570</v>
                </pt>
                <pt idx="282">
                  <v>27326</v>
                </pt>
                <pt idx="283">
                  <v>27385</v>
                </pt>
                <pt idx="284">
                  <v>27138</v>
                </pt>
                <pt idx="285">
                  <v>27331</v>
                </pt>
                <pt idx="286">
                  <v>27638</v>
                </pt>
                <pt idx="287">
                  <v>28165</v>
                </pt>
                <pt idx="288">
                  <v>28215</v>
                </pt>
                <pt idx="289">
                  <v>28260</v>
                </pt>
                <pt idx="290">
                  <v>28956</v>
                </pt>
                <pt idx="291">
                  <v>27956</v>
                </pt>
                <pt idx="292">
                  <v>27608</v>
                </pt>
                <pt idx="293">
                  <v>28271</v>
                </pt>
                <pt idx="294">
                  <v>27969</v>
                </pt>
                <pt idx="295">
                  <v>27846</v>
                </pt>
                <pt idx="296">
                  <v>27876</v>
                </pt>
                <pt idx="297">
                  <v>28050</v>
                </pt>
                <pt idx="298">
                  <v>28206</v>
                </pt>
                <pt idx="299">
                  <v>28155</v>
                </pt>
                <pt idx="300">
                  <v>28685</v>
                </pt>
                <pt idx="301">
                  <v>28943</v>
                </pt>
                <pt idx="302">
                  <v>28755</v>
                </pt>
                <pt idx="303">
                  <v>29063</v>
                </pt>
                <pt idx="304">
                  <v>28764</v>
                </pt>
                <pt idx="305">
                  <v>28720</v>
                </pt>
                <pt idx="306">
                  <v>28838</v>
                </pt>
                <pt idx="307">
                  <v>28843</v>
                </pt>
                <pt idx="308">
                  <v>29763</v>
                </pt>
                <pt idx="309">
                  <v>29561</v>
                </pt>
                <pt idx="310">
                  <v>29948</v>
                </pt>
                <pt idx="311">
                  <v>30044</v>
                </pt>
                <pt idx="312">
                  <v>29261</v>
                </pt>
                <pt idx="313">
                  <v>30076</v>
                </pt>
                <pt idx="314">
                  <v>29792</v>
                </pt>
                <pt idx="315">
                  <v>29807</v>
                </pt>
                <pt idx="316">
                  <v>30546</v>
                </pt>
                <pt idx="317">
                  <v>30974</v>
                </pt>
                <pt idx="318">
                  <v>30991</v>
                </pt>
                <pt idx="319">
                  <v>30601</v>
                </pt>
                <pt idx="320">
                  <v>30735</v>
                </pt>
                <pt idx="321">
                  <v>31505</v>
                </pt>
                <pt idx="322">
                  <v>30855</v>
                </pt>
                <pt idx="323">
                  <v>30971</v>
                </pt>
                <pt idx="324">
                  <v>32451</v>
                </pt>
                <pt idx="325">
                  <v>30745</v>
                </pt>
                <pt idx="326">
                  <v>31106</v>
                </pt>
                <pt idx="327">
                  <v>30959</v>
                </pt>
                <pt idx="328">
                  <v>30338</v>
                </pt>
                <pt idx="329">
                  <v>30385</v>
                </pt>
                <pt idx="330">
                  <v>30679</v>
                </pt>
                <pt idx="331">
                  <v>31270</v>
                </pt>
                <pt idx="332">
                  <v>30806</v>
                </pt>
                <pt idx="333">
                  <v>31118</v>
                </pt>
                <pt idx="334">
                  <v>31312</v>
                </pt>
                <pt idx="335">
                  <v>31952</v>
                </pt>
                <pt idx="336">
                  <v>32920</v>
                </pt>
                <pt idx="337">
                  <v>32904</v>
                </pt>
                <pt idx="338">
                  <v>32810</v>
                </pt>
                <pt idx="339">
                  <v>32184</v>
                </pt>
                <pt idx="340">
                  <v>35951</v>
                </pt>
                <pt idx="341">
                  <v>36366</v>
                </pt>
                <pt idx="342">
                  <v>35906</v>
                </pt>
                <pt idx="343">
                  <v>36692</v>
                </pt>
                <pt idx="344">
                  <v>37035</v>
                </pt>
                <pt idx="345">
                  <v>36752</v>
                </pt>
                <pt idx="346">
                  <v>37121</v>
                </pt>
                <pt idx="347">
                  <v>37099</v>
                </pt>
                <pt idx="348">
                  <v>39996</v>
                </pt>
                <pt idx="349">
                  <v>38082</v>
                </pt>
                <pt idx="350">
                  <v>43458</v>
                </pt>
                <pt idx="351">
                  <v>42042</v>
                </pt>
                <pt idx="352">
                  <v>39648</v>
                </pt>
                <pt idx="353">
                  <v>39095</v>
                </pt>
                <pt idx="354">
                  <v>38657</v>
                </pt>
                <pt idx="355">
                  <v>39275</v>
                </pt>
                <pt idx="356">
                  <v>39299</v>
                </pt>
                <pt idx="357">
                  <v>40279</v>
                </pt>
                <pt idx="358">
                  <v>40579</v>
                </pt>
                <pt idx="359">
                  <v>41740</v>
                </pt>
                <pt idx="360">
                  <v>44072</v>
                </pt>
                <pt idx="361">
                  <v>43615</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656"/>
        <crosses val="autoZero"/>
        <crossBetween val="between"/>
      </valAx>
    </plotArea>
    <plotVisOnly val="1"/>
    <dispBlanksAs val="gap"/>
  </chart>
</chartSpace>
</file>

<file path=xl/charts/chart27.xml><?xml version="1.0" encoding="utf-8"?>
<chartSpace xmlns="http://schemas.openxmlformats.org/drawingml/2006/chart">
  <chart>
    <title>
      <tx>
        <strRef>
          <f>Table6[[#Headers],[Change y/y ]]</f>
          <strCache>
            <ptCount val="1"/>
            <pt idx="0">
              <v xml:space="preserve">Change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Housing!$D$6</f>
              <strCache>
                <ptCount val="1"/>
                <pt idx="0">
                  <v xml:space="preserve">Change y/y </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Housing!$A$7:$A$368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Housing!$D$7:$D$368</f>
              <numCache>
                <formatCode>General</formatCode>
                <ptCount val="362"/>
                <pt idx="12">
                  <formatCode>0.00%</formatCode>
                  <v>0.04499769479022591</v>
                </pt>
                <pt idx="13">
                  <formatCode>0.00%</formatCode>
                  <v>0.04640498899486427</v>
                </pt>
                <pt idx="14">
                  <formatCode>0.00%</formatCode>
                  <v>0.01802293828509011</v>
                </pt>
                <pt idx="15">
                  <formatCode>0.00%</formatCode>
                  <v>0.06323337679269883</v>
                </pt>
                <pt idx="16">
                  <formatCode>0.00%</formatCode>
                  <v>0.08750115987751693</v>
                </pt>
                <pt idx="17">
                  <formatCode>0.00%</formatCode>
                  <v>0.08146431881371641</v>
                </pt>
                <pt idx="18">
                  <formatCode>0.00%</formatCode>
                  <v>0.09235048678720445</v>
                </pt>
                <pt idx="19">
                  <formatCode>0.00%</formatCode>
                  <v>0.08795235913879981</v>
                </pt>
                <pt idx="20">
                  <formatCode>0.00%</formatCode>
                  <v>0.07340619307832423</v>
                </pt>
                <pt idx="21">
                  <formatCode>0.00%</formatCode>
                  <v>0.0854069820435694</v>
                </pt>
                <pt idx="22">
                  <formatCode>0.00%</formatCode>
                  <v>0.1309666145498023</v>
                </pt>
                <pt idx="23">
                  <formatCode>0.00%</formatCode>
                  <v>0.1354448655477351</v>
                </pt>
                <pt idx="24">
                  <formatCode>0.00%</formatCode>
                  <v>0.08673784523074209</v>
                </pt>
                <pt idx="25">
                  <formatCode>0.00%</formatCode>
                  <v>0.07212971078001752</v>
                </pt>
                <pt idx="26">
                  <formatCode>0.00%</formatCode>
                  <v>0.1415414878397711</v>
                </pt>
                <pt idx="27">
                  <formatCode>0.00%</formatCode>
                  <v>0.1453096259963213</v>
                </pt>
                <pt idx="28">
                  <formatCode>0.00%</formatCode>
                  <v>0.1120307167235495</v>
                </pt>
                <pt idx="29">
                  <formatCode>0.00%</formatCode>
                  <v>0.1129488388036678</v>
                </pt>
                <pt idx="30">
                  <formatCode>0.00%</formatCode>
                  <v>0.1145064086240557</v>
                </pt>
                <pt idx="31">
                  <formatCode>0.00%</formatCode>
                  <v>0.1136</v>
                </pt>
                <pt idx="32">
                  <formatCode>0.00%</formatCode>
                  <v>0.134820974036993</v>
                </pt>
                <pt idx="33">
                  <formatCode>0.00%</formatCode>
                  <v>0.1378904937856903</v>
                </pt>
                <pt idx="34">
                  <formatCode>0.00%</formatCode>
                  <v>0.08839554362852728</v>
                </pt>
                <pt idx="35">
                  <formatCode>0.00%</formatCode>
                  <v>0.111102280855122</v>
                </pt>
                <pt idx="36">
                  <formatCode>0.00%</formatCode>
                  <v>0.1154595647937642</v>
                </pt>
                <pt idx="37">
                  <formatCode>0.00%</formatCode>
                  <v>0.112809613340963</v>
                </pt>
                <pt idx="38">
                  <formatCode>0.00%</formatCode>
                  <v>0.06422808803947677</v>
                </pt>
                <pt idx="39">
                  <formatCode>0.00%</formatCode>
                  <v>0.02592535943713674</v>
                </pt>
                <pt idx="40">
                  <formatCode>0.00%</formatCode>
                  <v>0.0258574388091767</v>
                </pt>
                <pt idx="41">
                  <formatCode>0.00%</formatCode>
                  <v>0.0431970431970432</v>
                </pt>
                <pt idx="42">
                  <formatCode>0.00%</formatCode>
                  <v>0.03922315308453923</v>
                </pt>
                <pt idx="43">
                  <formatCode>0.00%</formatCode>
                  <v>0.03470961887477314</v>
                </pt>
                <pt idx="44">
                  <formatCode>0.00%</formatCode>
                  <v>0.03454205607476635</v>
                </pt>
                <pt idx="45">
                  <formatCode>0.00%</formatCode>
                  <v>0.02819188191881919</v>
                </pt>
                <pt idx="46">
                  <formatCode>0.00%</formatCode>
                  <v>0.05289898386132696</v>
                </pt>
                <pt idx="47">
                  <formatCode>0.00%</formatCode>
                  <v>0.05021100064373078</v>
                </pt>
                <pt idx="48">
                  <formatCode>0.00%</formatCode>
                  <v>0.02074537778424807</v>
                </pt>
                <pt idx="49">
                  <formatCode>0.00%</formatCode>
                  <v>0.0310732388158378</v>
                </pt>
                <pt idx="50">
                  <formatCode>0.00%</formatCode>
                  <v>0.04165746669610657</v>
                </pt>
                <pt idx="51">
                  <formatCode>0.00%</formatCode>
                  <v>0.06895266492732016</v>
                </pt>
                <pt idx="52">
                  <formatCode>0.00%</formatCode>
                  <v>0.08077786088257292</v>
                </pt>
                <pt idx="53">
                  <formatCode>0.00%</formatCode>
                  <v>0.09994095069382934</v>
                </pt>
                <pt idx="54">
                  <formatCode>0.00%</formatCode>
                  <v>0.08655185049468669</v>
                </pt>
                <pt idx="55">
                  <formatCode>0.00%</formatCode>
                  <v>0.09486223781334503</v>
                </pt>
                <pt idx="56">
                  <formatCode>0.00%</formatCode>
                  <v>0.08325504083255041</v>
                </pt>
                <pt idx="57">
                  <formatCode>0.00%</formatCode>
                  <v>0.07952914154464542</v>
                </pt>
                <pt idx="58">
                  <formatCode>0.00%</formatCode>
                  <v>0.08316775475447062</v>
                </pt>
                <pt idx="59">
                  <formatCode>0.00%</formatCode>
                  <v>0.02022747394946537</v>
                </pt>
                <pt idx="60">
                  <formatCode>0.00%</formatCode>
                  <v>0.08371960350852171</v>
                </pt>
                <pt idx="61">
                  <formatCode>0.00%</formatCode>
                  <v>0.1086491878027928</v>
                </pt>
                <pt idx="62">
                  <formatCode>0.00%</formatCode>
                  <v>0.1207517840740479</v>
                </pt>
                <pt idx="63">
                  <formatCode>0.00%</formatCode>
                  <v>0.09546722454672245</v>
                </pt>
                <pt idx="64">
                  <formatCode>0.00%</formatCode>
                  <v>0.09377162629757785</v>
                </pt>
                <pt idx="65">
                  <formatCode>0.00%</formatCode>
                  <v>0.06817876795061066</v>
                </pt>
                <pt idx="66">
                  <formatCode>0.00%</formatCode>
                  <v>0.07736409011196546</v>
                </pt>
                <pt idx="67">
                  <formatCode>0.00%</formatCode>
                  <v>0.06982177424738001</v>
                </pt>
                <pt idx="68">
                  <formatCode>0.00%</formatCode>
                  <v>0.08632997531523116</v>
                </pt>
                <pt idx="69">
                  <formatCode>0.00%</formatCode>
                  <v>0.07925531914893617</v>
                </pt>
                <pt idx="70">
                  <formatCode>0.00%</formatCode>
                  <v>0.05856918238993711</v>
                </pt>
                <pt idx="71">
                  <formatCode>0.00%</formatCode>
                  <v>0.09185580774365822</v>
                </pt>
                <pt idx="72">
                  <formatCode>0.00%</formatCode>
                  <v>0.08152924919391985</v>
                </pt>
                <pt idx="73">
                  <formatCode>0.00%</formatCode>
                  <v>0.05790116316432106</v>
                </pt>
                <pt idx="74">
                  <formatCode>0.00%</formatCode>
                  <v>0.04091539528432733</v>
                </pt>
                <pt idx="75">
                  <formatCode>0.00%</formatCode>
                  <v>0.06410338022789484</v>
                </pt>
                <pt idx="76">
                  <formatCode>0.00%</formatCode>
                  <v>0.05922176526415691</v>
                </pt>
                <pt idx="77">
                  <formatCode>0.00%</formatCode>
                  <v>0.04673954014323407</v>
                </pt>
                <pt idx="78">
                  <formatCode>0.00%</formatCode>
                  <v>0.0529643773868403</v>
                </pt>
                <pt idx="79">
                  <formatCode>0.00%</formatCode>
                  <v>0.04997816185187496</v>
                </pt>
                <pt idx="80">
                  <formatCode>0.00%</formatCode>
                  <v>0.04231406988884112</v>
                </pt>
                <pt idx="81">
                  <formatCode>0.00%</formatCode>
                  <v>0.06018974864465254</v>
                </pt>
                <pt idx="82">
                  <formatCode>0.00%</formatCode>
                  <v>0.07321450674588439</v>
                </pt>
                <pt idx="83">
                  <formatCode>0.00%</formatCode>
                  <v>0.08229395940327708</v>
                </pt>
                <pt idx="84">
                  <formatCode>0.00%</formatCode>
                  <v>0.07885130201995619</v>
                </pt>
                <pt idx="85">
                  <formatCode>0.00%</formatCode>
                  <v>0.08996476734297169</v>
                </pt>
                <pt idx="86">
                  <formatCode>0.00%</formatCode>
                  <v>0.07564653867118891</v>
                </pt>
                <pt idx="87">
                  <formatCode>0.00%</formatCode>
                  <v>0.0643096434553721</v>
                </pt>
                <pt idx="88">
                  <formatCode>0.00%</formatCode>
                  <v>0.0700674989546622</v>
                </pt>
                <pt idx="89">
                  <formatCode>0.00%</formatCode>
                  <v>0.07844196374984996</v>
                </pt>
                <pt idx="90">
                  <formatCode>0.00%</formatCode>
                  <v>0.08109875735775017</v>
                </pt>
                <pt idx="91">
                  <formatCode>0.00%</formatCode>
                  <v>0.08990967435227003</v>
                </pt>
                <pt idx="92">
                  <formatCode>0.00%</formatCode>
                  <v>0.07088145180296959</v>
                </pt>
                <pt idx="93">
                  <formatCode>0.00%</formatCode>
                  <v>0.0811784531349875</v>
                </pt>
                <pt idx="94">
                  <formatCode>0.00%</formatCode>
                  <v>0.0924398823597255</v>
                </pt>
                <pt idx="95">
                  <formatCode>0.00%</formatCode>
                  <v>0.08038639701728618</v>
                </pt>
                <pt idx="96">
                  <formatCode>0.00%</formatCode>
                  <v>0.1060794044665012</v>
                </pt>
                <pt idx="97">
                  <formatCode>0.00%</formatCode>
                  <v>0.06966505043749652</v>
                </pt>
                <pt idx="98">
                  <formatCode>0.00%</formatCode>
                  <v>0.1359797297297297</v>
                </pt>
                <pt idx="99">
                  <formatCode>0.00%</formatCode>
                  <v>0.06716879321005002</v>
                </pt>
                <pt idx="100">
                  <formatCode>0.00%</formatCode>
                  <v>0.05732946298984035</v>
                </pt>
                <pt idx="101">
                  <formatCode>0.00%</formatCode>
                  <v>0.050587122266125</v>
                </pt>
                <pt idx="102">
                  <formatCode>0.00%</formatCode>
                  <v>0.04394214376065556</v>
                </pt>
                <pt idx="103">
                  <formatCode>0.00%</formatCode>
                  <v>0.03325881903931083</v>
                </pt>
                <pt idx="104">
                  <formatCode>0.00%</formatCode>
                  <v>0.04132049518569463</v>
                </pt>
                <pt idx="105">
                  <formatCode>0.00%</formatCode>
                  <v>0.01929485112329356</v>
                </pt>
                <pt idx="106">
                  <formatCode>0.00%</formatCode>
                  <v>-0.01346072635135135</v>
                </pt>
                <pt idx="107">
                  <formatCode>0.00%</formatCode>
                  <v>0.01207843137254902</v>
                </pt>
                <pt idx="108">
                  <formatCode>0.00%</formatCode>
                  <v>-0.01861010554224239</v>
                </pt>
                <pt idx="109">
                  <formatCode>0.00%</formatCode>
                  <v>0.0263116761319231</v>
                </pt>
                <pt idx="110">
                  <formatCode>0.00%</formatCode>
                  <v>-0.03038413878562577</v>
                </pt>
                <pt idx="111">
                  <formatCode>0.00%</formatCode>
                  <v>0.07305382913725904</v>
                </pt>
                <pt idx="112">
                  <formatCode>0.00%</formatCode>
                  <v>0.06367140066522359</v>
                </pt>
                <pt idx="113">
                  <formatCode>0.00%</formatCode>
                  <v>0.05413709079351627</v>
                </pt>
                <pt idx="114">
                  <formatCode>0.00%</formatCode>
                  <v>0.04509535349278264</v>
                </pt>
                <pt idx="115">
                  <formatCode>0.00%</formatCode>
                  <v>0.05113186639227481</v>
                </pt>
                <pt idx="116">
                  <formatCode>0.00%</formatCode>
                  <v>0.03899397654020924</v>
                </pt>
                <pt idx="117">
                  <formatCode>0.00%</formatCode>
                  <v>0.05742156604271025</v>
                </pt>
                <pt idx="118">
                  <formatCode>0.00%</formatCode>
                  <v>0.06918508213387554</v>
                </pt>
                <pt idx="119">
                  <formatCode>0.00%</formatCode>
                  <v>0.03947096507542881</v>
                </pt>
                <pt idx="120">
                  <formatCode>0.00%</formatCode>
                  <v>0.05772028262676641</v>
                </pt>
                <pt idx="121">
                  <formatCode>0.00%</formatCode>
                  <v>0.04147629200934105</v>
                </pt>
                <pt idx="122">
                  <formatCode>0.00%</formatCode>
                  <v>0.0413045700848584</v>
                </pt>
                <pt idx="123">
                  <formatCode>0.00%</formatCode>
                  <v>0.04422520001963383</v>
                </pt>
                <pt idx="124">
                  <formatCode>0.00%</formatCode>
                  <v>0.03608477688985953</v>
                </pt>
                <pt idx="125">
                  <formatCode>0.00%</formatCode>
                  <v>0.0414572864321608</v>
                </pt>
                <pt idx="126">
                  <formatCode>0.00%</formatCode>
                  <v>0.04214134489363847</v>
                </pt>
                <pt idx="127">
                  <formatCode>0.00%</formatCode>
                  <v>0.03830321285140562</v>
                </pt>
                <pt idx="128">
                  <formatCode>0.00%</formatCode>
                  <v>0.05431244914564687</v>
                </pt>
                <pt idx="129">
                  <formatCode>0.00%</formatCode>
                  <v>0.02737608457165653</v>
                </pt>
                <pt idx="130">
                  <formatCode>0.00%</formatCode>
                  <v>0.04939445500950856</v>
                </pt>
                <pt idx="131">
                  <formatCode>0.00%</formatCode>
                  <v>0.01466202783300199</v>
                </pt>
                <pt idx="132">
                  <formatCode>0.00%</formatCode>
                  <v>0.04474679502922541</v>
                </pt>
                <pt idx="133">
                  <formatCode>0.00%</formatCode>
                  <v>-0.0231050450889593</v>
                </pt>
                <pt idx="134">
                  <formatCode>0.00%</formatCode>
                  <v>0.04693176239567992</v>
                </pt>
                <pt idx="135">
                  <formatCode>0.00%</formatCode>
                  <v>-0.006345774184450503</v>
                </pt>
                <pt idx="136">
                  <formatCode>0.00%</formatCode>
                  <v>0.02174954488837789</v>
                </pt>
                <pt idx="137">
                  <formatCode>0.00%</formatCode>
                  <v>0.06166465621230398</v>
                </pt>
                <pt idx="138">
                  <formatCode>0.00%</formatCode>
                  <v>0.08213214665763761</v>
                </pt>
                <pt idx="139">
                  <formatCode>0.00%</formatCode>
                  <v>0.08731808731808732</v>
                </pt>
                <pt idx="140">
                  <formatCode>0.00%</formatCode>
                  <v>0.09154929577464789</v>
                </pt>
                <pt idx="141">
                  <formatCode>0.00%</formatCode>
                  <v>0.1099839829151095</v>
                </pt>
                <pt idx="142">
                  <formatCode>0.00%</formatCode>
                  <v>0.09037150078687586</v>
                </pt>
                <pt idx="143">
                  <formatCode>0.00%</formatCode>
                  <v>0.114278716629929</v>
                </pt>
                <pt idx="144">
                  <formatCode>0.00%</formatCode>
                  <v>0.06426892336624354</v>
                </pt>
                <pt idx="145">
                  <formatCode>0.00%</formatCode>
                  <v>0.1340252482411057</v>
                </pt>
                <pt idx="146">
                  <formatCode>0.00%</formatCode>
                  <v>0.1719028416018006</v>
                </pt>
                <pt idx="147">
                  <formatCode>0.00%</formatCode>
                  <v>0.1620701073844553</v>
                </pt>
                <pt idx="148">
                  <formatCode>0.00%</formatCode>
                  <v>0.144973743435859</v>
                </pt>
                <pt idx="149">
                  <formatCode>0.00%</formatCode>
                  <v>0.1190292232877335</v>
                </pt>
                <pt idx="150">
                  <formatCode>0.00%</formatCode>
                  <v>0.09681745038440909</v>
                </pt>
                <pt idx="151">
                  <formatCode>0.00%</formatCode>
                  <v>0.09889279203165992</v>
                </pt>
                <pt idx="152">
                  <formatCode>0.00%</formatCode>
                  <v>0.1067167476800707</v>
                </pt>
                <pt idx="153">
                  <formatCode>0.00%</formatCode>
                  <v>0.08627399536490446</v>
                </pt>
                <pt idx="154">
                  <formatCode>0.00%</formatCode>
                  <v>0.09228481455563331</v>
                </pt>
                <pt idx="155">
                  <formatCode>0.00%</formatCode>
                  <v>0.1288464919992967</v>
                </pt>
                <pt idx="156">
                  <formatCode>0.00%</formatCode>
                  <v>0.1541281971992755</v>
                </pt>
                <pt idx="157">
                  <formatCode>0.00%</formatCode>
                  <v>0.1350816209794518</v>
                </pt>
                <pt idx="158">
                  <formatCode>0.00%</formatCode>
                  <v>0.04909571062740077</v>
                </pt>
                <pt idx="159">
                  <formatCode>0.00%</formatCode>
                  <v>0.07958477508650519</v>
                </pt>
                <pt idx="160">
                  <formatCode>0.00%</formatCode>
                  <v>0.08558558558558559</v>
                </pt>
                <pt idx="161">
                  <formatCode>0.00%</formatCode>
                  <v>0.07907562342620421</v>
                </pt>
                <pt idx="162">
                  <formatCode>0.00%</formatCode>
                  <v>0.08150623522699486</v>
                </pt>
                <pt idx="163">
                  <formatCode>0.00%</formatCode>
                  <v>0.0850159834904706</v>
                </pt>
                <pt idx="164">
                  <formatCode>0.00%</formatCode>
                  <v>0.08249151527250949</v>
                </pt>
                <pt idx="165">
                  <formatCode>0.00%</formatCode>
                  <v>0.1135979389743177</v>
                </pt>
                <pt idx="166">
                  <formatCode>0.00%</formatCode>
                  <v>0.1081124369344118</v>
                </pt>
                <pt idx="167">
                  <formatCode>0.00%</formatCode>
                  <v>0.06406012695198411</v>
                </pt>
                <pt idx="168">
                  <formatCode>0.00%</formatCode>
                  <v>0.1362627267855776</v>
                </pt>
                <pt idx="169">
                  <formatCode>0.00%</formatCode>
                  <v>0.1427297747800132</v>
                </pt>
                <pt idx="170">
                  <formatCode>0.00%</formatCode>
                  <v>0.1170906594454403</v>
                </pt>
                <pt idx="171">
                  <formatCode>0.00%</formatCode>
                  <v>0.08993212669683258</v>
                </pt>
                <pt idx="172">
                  <formatCode>0.00%</formatCode>
                  <v>0.05107506601282535</v>
                </pt>
                <pt idx="173">
                  <formatCode>0.00%</formatCode>
                  <v>0.02898114343784109</v>
                </pt>
                <pt idx="174">
                  <formatCode>0.00%</formatCode>
                  <v>0.02973095184264074</v>
                </pt>
                <pt idx="175">
                  <formatCode>0.00%</formatCode>
                  <v>0.02028790930111136</v>
                </pt>
                <pt idx="176">
                  <formatCode>0.00%</formatCode>
                  <v>-0.004315591457342038</v>
                </pt>
                <pt idx="177">
                  <formatCode>0.00%</formatCode>
                  <v>-0.01818247541931753</v>
                </pt>
                <pt idx="178">
                  <formatCode>0.00%</formatCode>
                  <v>-0.03711064537110646</v>
                </pt>
                <pt idx="179">
                  <formatCode>0.00%</formatCode>
                  <v>-0.008197921241399501</v>
                </pt>
                <pt idx="180">
                  <formatCode>0.00%</formatCode>
                  <v>-0.0725257697231018</v>
                </pt>
                <pt idx="181">
                  <formatCode>0.00%</formatCode>
                  <v>-0.0811085857729231</v>
                </pt>
                <pt idx="182">
                  <formatCode>0.00%</formatCode>
                  <v>-0.06087609682816075</v>
                </pt>
                <pt idx="183">
                  <formatCode>0.00%</formatCode>
                  <v>-0.07939802802283343</v>
                </pt>
                <pt idx="184">
                  <formatCode>0.00%</formatCode>
                  <v>-0.02583979328165375</v>
                </pt>
                <pt idx="185">
                  <formatCode>0.00%</formatCode>
                  <v>-0.02564102564102564</v>
                </pt>
                <pt idx="186">
                  <formatCode>0.00%</formatCode>
                  <v>-0.01708932557543821</v>
                </pt>
                <pt idx="187">
                  <formatCode>0.00%</formatCode>
                  <v>-0.02679289421741355</v>
                </pt>
                <pt idx="188">
                  <formatCode>0.00%</formatCode>
                  <v>-0.02156034674372083</v>
                </pt>
                <pt idx="189">
                  <formatCode>0.00%</formatCode>
                  <v>-0.03361437355031111</v>
                </pt>
                <pt idx="190">
                  <formatCode>0.00%</formatCode>
                  <v>-0.003039741809584569</v>
                </pt>
                <pt idx="191">
                  <formatCode>0.00%</formatCode>
                  <v>-0.0540959409594096</v>
                </pt>
                <pt idx="192">
                  <formatCode>0.00%</formatCode>
                  <v>-0.06581193476918606</v>
                </pt>
                <pt idx="193">
                  <formatCode>0.00%</formatCode>
                  <v>-0.05275398700531601</v>
                </pt>
                <pt idx="194">
                  <formatCode>0.00%</formatCode>
                  <v>-0.07452919363048062</v>
                </pt>
                <pt idx="195">
                  <formatCode>0.00%</formatCode>
                  <v>-0.04953025178504322</v>
                </pt>
                <pt idx="196">
                  <formatCode>0.00%</formatCode>
                  <v>-0.05503978779840848</v>
                </pt>
                <pt idx="197">
                  <formatCode>0.00%</formatCode>
                  <v>-0.0352128538178542</v>
                </pt>
                <pt idx="198">
                  <formatCode>0.00%</formatCode>
                  <v>-0.03585256887565152</v>
                </pt>
                <pt idx="199">
                  <formatCode>0.00%</formatCode>
                  <v>-0.04867605633802817</v>
                </pt>
                <pt idx="200">
                  <formatCode>0.00%</formatCode>
                  <v>-0.04524458579433591</v>
                </pt>
                <pt idx="201">
                  <formatCode>0.00%</formatCode>
                  <v>-0.06400487656202378</v>
                </pt>
                <pt idx="202">
                  <formatCode>0.00%</formatCode>
                  <v>-0.1268538733719792</v>
                </pt>
                <pt idx="203">
                  <formatCode>0.00%</formatCode>
                  <v>-0.1063041273308887</v>
                </pt>
                <pt idx="204">
                  <formatCode>0.00%</formatCode>
                  <v>-0.1151976983787567</v>
                </pt>
                <pt idx="205">
                  <formatCode>0.00%</formatCode>
                  <v>-0.1231926419579874</v>
                </pt>
                <pt idx="206">
                  <formatCode>0.00%</formatCode>
                  <v>-0.1299104336895034</v>
                </pt>
                <pt idx="207">
                  <formatCode>0.00%</formatCode>
                  <v>-0.1265222204649692</v>
                </pt>
                <pt idx="208">
                  <formatCode>0.00%</formatCode>
                  <v>-0.1302144249512671</v>
                </pt>
                <pt idx="209">
                  <formatCode>0.00%</formatCode>
                  <v>-0.1310505836575875</v>
                </pt>
                <pt idx="210">
                  <formatCode>0.00%</formatCode>
                  <v>-0.1549986484921033</v>
                </pt>
                <pt idx="211">
                  <formatCode>0.00%</formatCode>
                  <v>-0.1521970863437167</v>
                </pt>
                <pt idx="212">
                  <formatCode>0.00%</formatCode>
                  <v>-0.1528334060356109</v>
                </pt>
                <pt idx="213">
                  <formatCode>0.00%</formatCode>
                  <v>-0.159028003907522</v>
                </pt>
                <pt idx="214">
                  <formatCode>0.00%</formatCode>
                  <v>-0.09764614588722194</v>
                </pt>
                <pt idx="215">
                  <formatCode>0.00%</formatCode>
                  <v>-0.08992099174996726</v>
                </pt>
                <pt idx="216">
                  <formatCode>0.00%</formatCode>
                  <v>-0.09649354073292908</v>
                </pt>
                <pt idx="217">
                  <formatCode>0.00%</formatCode>
                  <v>-0.09111921059649747</v>
                </pt>
                <pt idx="218">
                  <formatCode>0.00%</formatCode>
                  <v>-0.01250620795521242</v>
                </pt>
                <pt idx="219">
                  <formatCode>0.00%</formatCode>
                  <v>0.06563461886655803</v>
                </pt>
                <pt idx="220">
                  <formatCode>0.00%</formatCode>
                  <v>-0.02568354997758852</v>
                </pt>
                <pt idx="221">
                  <formatCode>0.00%</formatCode>
                  <v>-0.03627082213863514</v>
                </pt>
                <pt idx="222">
                  <formatCode>0.00%</formatCode>
                  <v>-0.01782205364895124</v>
                </pt>
                <pt idx="223">
                  <formatCode>0.00%</formatCode>
                  <v>-0.008289093787836453</v>
                </pt>
                <pt idx="224">
                  <formatCode>0.00%</formatCode>
                  <v>-0.001263867434349108</v>
                </pt>
                <pt idx="225">
                  <formatCode>0.00%</formatCode>
                  <v>0.06674410725521514</v>
                </pt>
                <pt idx="226">
                  <formatCode>0.00%</formatCode>
                  <v>0.04997372318570541</v>
                </pt>
                <pt idx="227">
                  <formatCode>0.00%</formatCode>
                  <v>0.06057844500935296</v>
                </pt>
                <pt idx="228">
                  <formatCode>0.00%</formatCode>
                  <v>0.04552086372920922</v>
                </pt>
                <pt idx="229">
                  <formatCode>0.00%</formatCode>
                  <v>0.03687402190923317</v>
                </pt>
                <pt idx="230">
                  <formatCode>0.00%</formatCode>
                  <v>-0.0003200438917337235</v>
                </pt>
                <pt idx="231">
                  <formatCode>0.00%</formatCode>
                  <v>-0.06324866196584827</v>
                </pt>
                <pt idx="232">
                  <formatCode>0.00%</formatCode>
                  <v>0.02709665547223628</v>
                </pt>
                <pt idx="233">
                  <formatCode>0.00%</formatCode>
                  <v>0.05515286683393737</v>
                </pt>
                <pt idx="234">
                  <formatCode>0.00%</formatCode>
                  <v>0.05820499697575955</v>
                </pt>
                <pt idx="235">
                  <formatCode>0.00%</formatCode>
                  <v>0.06944966190833959</v>
                </pt>
                <pt idx="236">
                  <formatCode>0.00%</formatCode>
                  <v>0.06130483689538808</v>
                </pt>
                <pt idx="237">
                  <formatCode>0.00%</formatCode>
                  <v>0.05503629764065335</v>
                </pt>
                <pt idx="238">
                  <formatCode>0.00%</formatCode>
                  <v>0.04236246985484825</v>
                </pt>
                <pt idx="239">
                  <formatCode>0.00%</formatCode>
                  <v>0.06019356005788712</v>
                </pt>
                <pt idx="240">
                  <formatCode>0.00%</formatCode>
                  <v>0.1004279467857475</v>
                </pt>
                <pt idx="241">
                  <formatCode>0.00%</formatCode>
                  <v>0.1125365531553627</v>
                </pt>
                <pt idx="242">
                  <formatCode>0.00%</formatCode>
                  <v>0.124491195975303</v>
                </pt>
                <pt idx="243">
                  <formatCode>0.00%</formatCode>
                  <v>0.06212306715639596</v>
                </pt>
                <pt idx="244">
                  <formatCode>0.00%</formatCode>
                  <v>0.01769237660127206</v>
                </pt>
                <pt idx="245">
                  <formatCode>0.00%</formatCode>
                  <v>-0.008498833061781673</v>
                </pt>
                <pt idx="246">
                  <formatCode>0.00%</formatCode>
                  <v>-0.001934576151952163</v>
                </pt>
                <pt idx="247">
                  <formatCode>0.00%</formatCode>
                  <v>0.0129967069154775</v>
                </pt>
                <pt idx="248">
                  <formatCode>0.00%</formatCode>
                  <v>0.04451510333863275</v>
                </pt>
                <pt idx="249">
                  <formatCode>0.00%</formatCode>
                  <v>0.02485700769793145</v>
                </pt>
                <pt idx="250">
                  <formatCode>0.00%</formatCode>
                  <v>0.05404225598044352</v>
                </pt>
                <pt idx="251">
                  <formatCode>0.00%</formatCode>
                  <v>0.02913449643816918</v>
                </pt>
                <pt idx="252">
                  <formatCode>0.00%</formatCode>
                  <v>0.03039269560806527</v>
                </pt>
                <pt idx="253">
                  <formatCode>0.00%</formatCode>
                  <v>0.04964388672206207</v>
                </pt>
                <pt idx="254">
                  <formatCode>0.00%</formatCode>
                  <v>0.004270549477366088</v>
                </pt>
                <pt idx="255">
                  <formatCode>0.00%</formatCode>
                  <v>0.05942876659693463</v>
                </pt>
                <pt idx="256">
                  <formatCode>0.00%</formatCode>
                  <v>0.1143875709695876</v>
                </pt>
                <pt idx="257">
                  <formatCode>0.00%</formatCode>
                  <v>0.1013945638656955</v>
                </pt>
                <pt idx="258">
                  <formatCode>0.00%</formatCode>
                  <v>0.1166079295154185</v>
                </pt>
                <pt idx="259">
                  <formatCode>0.00%</formatCode>
                  <v>0.09592128646352564</v>
                </pt>
                <pt idx="260">
                  <formatCode>0.00%</formatCode>
                  <v>0.06794351429054625</v>
                </pt>
                <pt idx="261">
                  <formatCode>0.00%</formatCode>
                  <v>0.0455708950526625</v>
                </pt>
                <pt idx="262">
                  <formatCode>0.00%</formatCode>
                  <v>0.02824484386647892</v>
                </pt>
                <pt idx="263">
                  <formatCode>0.00%</formatCode>
                  <v>0.03440271905827737</v>
                </pt>
                <pt idx="264">
                  <formatCode>0.00%</formatCode>
                  <v>0.02034788316376764</v>
                </pt>
                <pt idx="265">
                  <formatCode>0.00%</formatCode>
                  <v>0.002342582495254251</v>
                </pt>
                <pt idx="266">
                  <formatCode>0.00%</formatCode>
                  <v>0.0238943787461526</v>
                </pt>
                <pt idx="267">
                  <formatCode>0.00%</formatCode>
                  <v>0.05266975619584929</v>
                </pt>
                <pt idx="268">
                  <formatCode>0.00%</formatCode>
                  <v>0.04522116903633491</v>
                </pt>
                <pt idx="269">
                  <formatCode>0.00%</formatCode>
                  <v>0.07343038025726843</v>
                </pt>
                <pt idx="270">
                  <formatCode>0.00%</formatCode>
                  <v>0.02907641930011441</v>
                </pt>
                <pt idx="271">
                  <formatCode>0.00%</formatCode>
                  <v>0.05082265464325265</v>
                </pt>
                <pt idx="272">
                  <formatCode>0.00%</formatCode>
                  <v>0.04889346371590324</v>
                </pt>
                <pt idx="273">
                  <formatCode>0.00%</formatCode>
                  <v>0.06204599269574989</v>
                </pt>
                <pt idx="274">
                  <formatCode>0.00%</formatCode>
                  <v>0.07145158691799582</v>
                </pt>
                <pt idx="275">
                  <formatCode>0.00%</formatCode>
                  <v>0.05257252764866165</v>
                </pt>
                <pt idx="276">
                  <formatCode>0.00%</formatCode>
                  <v>0.06613862978449662</v>
                </pt>
                <pt idx="277">
                  <formatCode>0.00%</formatCode>
                  <v>0.02973767981625499</v>
                </pt>
                <pt idx="278">
                  <formatCode>0.00%</formatCode>
                  <v>0.04952139862352662</v>
                </pt>
                <pt idx="279">
                  <formatCode>0.00%</formatCode>
                  <v>0.02174412372712656</v>
                </pt>
                <pt idx="280">
                  <formatCode>0.00%</formatCode>
                  <v>0.01364065747213301</v>
                </pt>
                <pt idx="281">
                  <formatCode>0.00%</formatCode>
                  <v>-0.001878287002253944</v>
                </pt>
                <pt idx="282">
                  <formatCode>0.00%</formatCode>
                  <v>0.04761539641159331</v>
                </pt>
                <pt idx="283">
                  <formatCode>0.00%</formatCode>
                  <v>0.03071248447438744</v>
                </pt>
                <pt idx="284">
                  <formatCode>0.00%</formatCode>
                  <v>0.02430739035253265</v>
                </pt>
                <pt idx="285">
                  <formatCode>0.00%</formatCode>
                  <v>0.03280051392510298</v>
                </pt>
                <pt idx="286">
                  <formatCode>0.00%</formatCode>
                  <v>0.03894444026764905</v>
                </pt>
                <pt idx="287">
                  <formatCode>0.00%</formatCode>
                  <v>0.07221714633774935</v>
                </pt>
                <pt idx="288">
                  <formatCode>0.00%</formatCode>
                  <v>0.06403439303088584</v>
                </pt>
                <pt idx="289">
                  <formatCode>0.00%</formatCode>
                  <v>0.1058501271766778</v>
                </pt>
                <pt idx="290">
                  <formatCode>0.00%</formatCode>
                  <v>0.0912791135901108</v>
                </pt>
                <pt idx="291">
                  <formatCode>0.00%</formatCode>
                  <v>0.04743349569127014</v>
                </pt>
                <pt idx="292">
                  <formatCode>0.00%</formatCode>
                  <v>0.02915082382762991</v>
                </pt>
                <pt idx="293">
                  <formatCode>0.00%</formatCode>
                  <v>0.06401957094467445</v>
                </pt>
                <pt idx="294">
                  <formatCode>0.00%</formatCode>
                  <v>0.0235307033594379</v>
                </pt>
                <pt idx="295">
                  <formatCode>0.00%</formatCode>
                  <v>0.01683403322987037</v>
                </pt>
                <pt idx="296">
                  <formatCode>0.00%</formatCode>
                  <v>0.02719434003979659</v>
                </pt>
                <pt idx="297">
                  <formatCode>0.00%</formatCode>
                  <v>0.02630712377885917</v>
                </pt>
                <pt idx="298">
                  <formatCode>0.00%</formatCode>
                  <v>0.02055141471886533</v>
                </pt>
                <pt idx="299">
                  <formatCode>0.00%</formatCode>
                  <v>-0.0003550505947097461</v>
                </pt>
                <pt idx="300">
                  <formatCode>0.00%</formatCode>
                  <v>0.01665780613149034</v>
                </pt>
                <pt idx="301">
                  <formatCode>0.00%</formatCode>
                  <v>0.02416843595187544</v>
                </pt>
                <pt idx="302">
                  <formatCode>0.00%</formatCode>
                  <v>-0.006941566514711977</v>
                </pt>
                <pt idx="303">
                  <formatCode>0.00%</formatCode>
                  <v>0.03959793961940192</v>
                </pt>
                <pt idx="304">
                  <formatCode>0.00%</formatCode>
                  <v>0.04187192118226601</v>
                </pt>
                <pt idx="305">
                  <formatCode>0.00%</formatCode>
                  <v>0.01588199922181741</v>
                </pt>
                <pt idx="306">
                  <formatCode>0.00%</formatCode>
                  <v>0.03107011333976903</v>
                </pt>
                <pt idx="307">
                  <formatCode>0.00%</formatCode>
                  <v>0.03580406521582992</v>
                </pt>
                <pt idx="308">
                  <formatCode>0.00%</formatCode>
                  <v>0.0676926388291003</v>
                </pt>
                <pt idx="309">
                  <formatCode>0.00%</formatCode>
                  <v>0.05386809269162211</v>
                </pt>
                <pt idx="310">
                  <formatCode>0.00%</formatCode>
                  <v>0.06175990923916897</v>
                </pt>
                <pt idx="311">
                  <formatCode>0.00%</formatCode>
                  <v>0.06709287870715681</v>
                </pt>
                <pt idx="312">
                  <formatCode>0.00%</formatCode>
                  <v>0.02008018127941433</v>
                </pt>
                <pt idx="313">
                  <formatCode>0.00%</formatCode>
                  <v>0.03914590747330961</v>
                </pt>
                <pt idx="314">
                  <formatCode>0.00%</formatCode>
                  <v>0.03606329334028865</v>
                </pt>
                <pt idx="315">
                  <formatCode>0.00%</formatCode>
                  <v>0.02559955957746964</v>
                </pt>
                <pt idx="316">
                  <formatCode>0.00%</formatCode>
                  <v>0.06195244055068836</v>
                </pt>
                <pt idx="317">
                  <formatCode>0.00%</formatCode>
                  <v>0.07848189415041783</v>
                </pt>
                <pt idx="318">
                  <formatCode>0.00%</formatCode>
                  <v>0.07465843678479783</v>
                </pt>
                <pt idx="319">
                  <formatCode>0.00%</formatCode>
                  <v>0.06095066393925736</v>
                </pt>
                <pt idx="320">
                  <formatCode>0.00%</formatCode>
                  <v>0.03265799818566677</v>
                </pt>
                <pt idx="321">
                  <formatCode>0.00%</formatCode>
                  <v>0.06576232197828219</v>
                </pt>
                <pt idx="322">
                  <formatCode>0.00%</formatCode>
                  <v>0.03028582876986777</v>
                </pt>
                <pt idx="323">
                  <formatCode>0.00%</formatCode>
                  <v>0.03085474637198775</v>
                </pt>
                <pt idx="324">
                  <formatCode>0.00%</formatCode>
                  <v>0.1090188305252725</v>
                </pt>
                <pt idx="325">
                  <formatCode>0.00%</formatCode>
                  <v>0.02224364942146562</v>
                </pt>
                <pt idx="326">
                  <formatCode>0.00%</formatCode>
                  <v>0.04410580021482277</v>
                </pt>
                <pt idx="327">
                  <formatCode>0.00%</formatCode>
                  <v>0.0386486395813064</v>
                </pt>
                <pt idx="328">
                  <formatCode>0.00%</formatCode>
                  <v>-0.006809402213055719</v>
                </pt>
                <pt idx="329">
                  <formatCode>0.00%</formatCode>
                  <v>-0.01901594886033448</v>
                </pt>
                <pt idx="330">
                  <formatCode>0.00%</formatCode>
                  <v>-0.01006743893388403</v>
                </pt>
                <pt idx="331">
                  <formatCode>0.00%</formatCode>
                  <v>0.02186203065259305</v>
                </pt>
                <pt idx="332">
                  <formatCode>0.00%</formatCode>
                  <v>0.002310069952822515</v>
                </pt>
                <pt idx="333">
                  <formatCode>0.00%</formatCode>
                  <v>-0.01228376448182828</v>
                </pt>
                <pt idx="334">
                  <formatCode>0.00%</formatCode>
                  <v>0.01481121374169502</v>
                </pt>
                <pt idx="335">
                  <formatCode>0.00%</formatCode>
                  <v>0.03167479254786736</v>
                </pt>
                <pt idx="336">
                  <formatCode>0.00%</formatCode>
                  <v>0.01445255924316662</v>
                </pt>
                <pt idx="337">
                  <formatCode>0.00%</formatCode>
                  <v>0.0702228004553586</v>
                </pt>
                <pt idx="338">
                  <formatCode>0.00%</formatCode>
                  <v>0.05478042821320646</v>
                </pt>
                <pt idx="339">
                  <formatCode>0.00%</formatCode>
                  <v>0.03956846151361478</v>
                </pt>
                <pt idx="340">
                  <formatCode>0.00%</formatCode>
                  <v>0.1850154921220911</v>
                </pt>
                <pt idx="341">
                  <formatCode>0.00%</formatCode>
                  <v>0.1968405463221984</v>
                </pt>
                <pt idx="342">
                  <formatCode>0.00%</formatCode>
                  <v>0.1703771309364712</v>
                </pt>
                <pt idx="343">
                  <formatCode>0.00%</formatCode>
                  <v>0.1733930284617844</v>
                </pt>
                <pt idx="344">
                  <formatCode>0.00%</formatCode>
                  <v>0.2022008699603973</v>
                </pt>
                <pt idx="345">
                  <formatCode>0.00%</formatCode>
                  <v>0.1810527668873321</v>
                </pt>
                <pt idx="346">
                  <formatCode>0.00%</formatCode>
                  <v>0.1855199284619315</v>
                </pt>
                <pt idx="347">
                  <formatCode>0.00%</formatCode>
                  <v>0.1610853780671007</v>
                </pt>
                <pt idx="348">
                  <formatCode>0.00%</formatCode>
                  <v>0.2149453219927096</v>
                </pt>
                <pt idx="349">
                  <formatCode>0.00%</formatCode>
                  <v>0.1573668854850474</v>
                </pt>
                <pt idx="350">
                  <formatCode>0.00%</formatCode>
                  <v>0.3245352026821091</v>
                </pt>
                <pt idx="351">
                  <formatCode>0.00%</formatCode>
                  <v>0.3063012677106637</v>
                </pt>
                <pt idx="352">
                  <formatCode>0.00%</formatCode>
                  <v>0.1028344135072738</v>
                </pt>
                <pt idx="353">
                  <formatCode>0.00%</formatCode>
                  <v>0.07504262222955507</v>
                </pt>
                <pt idx="354">
                  <formatCode>0.00%</formatCode>
                  <v>0.07661672143931376</v>
                </pt>
                <pt idx="355">
                  <formatCode>0.00%</formatCode>
                  <v>0.0703968167447945</v>
                </pt>
                <pt idx="356">
                  <formatCode>0.00%</formatCode>
                  <v>0.06113136222492237</v>
                </pt>
                <pt idx="357">
                  <formatCode>0.00%</formatCode>
                  <v>0.09596756639094471</v>
                </pt>
                <pt idx="358">
                  <formatCode>0.00%</formatCode>
                  <v>0.09315481802753159</v>
                </pt>
                <pt idx="359">
                  <formatCode>0.00%</formatCode>
                  <v>0.1250977115286126</v>
                </pt>
                <pt idx="360">
                  <formatCode>0.00%</formatCode>
                  <v>0.1019101910191019</v>
                </pt>
                <pt idx="361">
                  <formatCode>0.00%</formatCode>
                  <v>0.1452917388792606</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656"/>
        <crosses val="autoZero"/>
        <crossBetween val="between"/>
      </valAx>
    </plotArea>
    <plotVisOnly val="1"/>
    <dispBlanksAs val="gap"/>
  </chart>
</chartSpace>
</file>

<file path=xl/charts/chart2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'Furniture Home'!$B$6</f>
              <strCache>
                <ptCount val="1"/>
                <pt idx="0">
                  <v>Retail Sales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'Furniture Home'!$A$7:$A$368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'Furniture Home'!$B$7:$B$368</f>
              <numCache>
                <formatCode>#,##0</formatCode>
                <ptCount val="362"/>
                <pt idx="0">
                  <v>8128</v>
                </pt>
                <pt idx="1">
                  <v>8246</v>
                </pt>
                <pt idx="2">
                  <v>8246</v>
                </pt>
                <pt idx="3">
                  <v>8317</v>
                </pt>
                <pt idx="4">
                  <v>8312</v>
                </pt>
                <pt idx="5">
                  <v>8393</v>
                </pt>
                <pt idx="6">
                  <v>8449</v>
                </pt>
                <pt idx="7">
                  <v>8420</v>
                </pt>
                <pt idx="8">
                  <v>8443</v>
                </pt>
                <pt idx="9">
                  <v>8485</v>
                </pt>
                <pt idx="10">
                  <v>8486</v>
                </pt>
                <pt idx="11">
                  <v>8676</v>
                </pt>
                <pt idx="12">
                  <v>9032</v>
                </pt>
                <pt idx="13">
                  <v>8850</v>
                </pt>
                <pt idx="14">
                  <v>8846</v>
                </pt>
                <pt idx="15">
                  <v>9024</v>
                </pt>
                <pt idx="16">
                  <v>9127</v>
                </pt>
                <pt idx="17">
                  <v>9176</v>
                </pt>
                <pt idx="18">
                  <v>9282</v>
                </pt>
                <pt idx="19">
                  <v>9312</v>
                </pt>
                <pt idx="20">
                  <v>9369</v>
                </pt>
                <pt idx="21">
                  <v>9373</v>
                </pt>
                <pt idx="22">
                  <v>9434</v>
                </pt>
                <pt idx="23">
                  <v>9487</v>
                </pt>
                <pt idx="24">
                  <v>9408</v>
                </pt>
                <pt idx="25">
                  <v>9724</v>
                </pt>
                <pt idx="26">
                  <v>9962</v>
                </pt>
                <pt idx="27">
                  <v>10006</v>
                </pt>
                <pt idx="28">
                  <v>10156</v>
                </pt>
                <pt idx="29">
                  <v>10331</v>
                </pt>
                <pt idx="30">
                  <v>10376</v>
                </pt>
                <pt idx="31">
                  <v>10576</v>
                </pt>
                <pt idx="32">
                  <v>10685</v>
                </pt>
                <pt idx="33">
                  <v>10895</v>
                </pt>
                <pt idx="34">
                  <v>10952</v>
                </pt>
                <pt idx="35">
                  <v>11088</v>
                </pt>
                <pt idx="36">
                  <v>11157</v>
                </pt>
                <pt idx="37">
                  <v>10908</v>
                </pt>
                <pt idx="38">
                  <v>10979</v>
                </pt>
                <pt idx="39">
                  <v>10914</v>
                </pt>
                <pt idx="40">
                  <v>11172</v>
                </pt>
                <pt idx="41">
                  <v>11217</v>
                </pt>
                <pt idx="42">
                  <v>11283</v>
                </pt>
                <pt idx="43">
                  <v>11463</v>
                </pt>
                <pt idx="44">
                  <v>11548</v>
                </pt>
                <pt idx="45">
                  <v>11641</v>
                </pt>
                <pt idx="46">
                  <v>11779</v>
                </pt>
                <pt idx="47">
                  <v>11726</v>
                </pt>
                <pt idx="48">
                  <v>11493</v>
                </pt>
                <pt idx="49">
                  <v>11594</v>
                </pt>
                <pt idx="50">
                  <v>11931</v>
                </pt>
                <pt idx="51">
                  <v>11968</v>
                </pt>
                <pt idx="52">
                  <v>12014</v>
                </pt>
                <pt idx="53">
                  <v>12012</v>
                </pt>
                <pt idx="54">
                  <v>11930</v>
                </pt>
                <pt idx="55">
                  <v>11995</v>
                </pt>
                <pt idx="56">
                  <v>12200</v>
                </pt>
                <pt idx="57">
                  <v>12207</v>
                </pt>
                <pt idx="58">
                  <v>12124</v>
                </pt>
                <pt idx="59">
                  <v>12051</v>
                </pt>
                <pt idx="60">
                  <v>11951</v>
                </pt>
                <pt idx="61">
                  <v>12217</v>
                </pt>
                <pt idx="62">
                  <v>12276</v>
                </pt>
                <pt idx="63">
                  <v>12424</v>
                </pt>
                <pt idx="64">
                  <v>12404</v>
                </pt>
                <pt idx="65">
                  <v>12474</v>
                </pt>
                <pt idx="66">
                  <v>12564</v>
                </pt>
                <pt idx="67">
                  <v>12687</v>
                </pt>
                <pt idx="68">
                  <v>12721</v>
                </pt>
                <pt idx="69">
                  <v>12726</v>
                </pt>
                <pt idx="70">
                  <v>12895</v>
                </pt>
                <pt idx="71">
                  <v>12949</v>
                </pt>
                <pt idx="72">
                  <v>13153</v>
                </pt>
                <pt idx="73">
                  <v>13139</v>
                </pt>
                <pt idx="74">
                  <v>13128</v>
                </pt>
                <pt idx="75">
                  <v>13135</v>
                </pt>
                <pt idx="76">
                  <v>13188</v>
                </pt>
                <pt idx="77">
                  <v>13347</v>
                </pt>
                <pt idx="78">
                  <v>13407</v>
                </pt>
                <pt idx="79">
                  <v>13491</v>
                </pt>
                <pt idx="80">
                  <v>13373</v>
                </pt>
                <pt idx="81">
                  <v>13444</v>
                </pt>
                <pt idx="82">
                  <v>13666</v>
                </pt>
                <pt idx="83">
                  <v>13651</v>
                </pt>
                <pt idx="84">
                  <v>13617</v>
                </pt>
                <pt idx="85">
                  <v>13791</v>
                </pt>
                <pt idx="86">
                  <v>13947</v>
                </pt>
                <pt idx="87">
                  <v>13989</v>
                </pt>
                <pt idx="88">
                  <v>14114</v>
                </pt>
                <pt idx="89">
                  <v>14272</v>
                </pt>
                <pt idx="90">
                  <v>14332</v>
                </pt>
                <pt idx="91">
                  <v>14428</v>
                </pt>
                <pt idx="92">
                  <v>14702</v>
                </pt>
                <pt idx="93">
                  <v>14724</v>
                </pt>
                <pt idx="94">
                  <v>14622</v>
                </pt>
                <pt idx="95">
                  <v>14744</v>
                </pt>
                <pt idx="96">
                  <v>15089</v>
                </pt>
                <pt idx="97">
                  <v>15222</v>
                </pt>
                <pt idx="98">
                  <v>15251</v>
                </pt>
                <pt idx="99">
                  <v>15542</v>
                </pt>
                <pt idx="100">
                  <v>15284</v>
                </pt>
                <pt idx="101">
                  <v>15028</v>
                </pt>
                <pt idx="102">
                  <v>15145</v>
                </pt>
                <pt idx="103">
                  <v>15122</v>
                </pt>
                <pt idx="104">
                  <v>15253</v>
                </pt>
                <pt idx="105">
                  <v>15153</v>
                </pt>
                <pt idx="106">
                  <v>14972</v>
                </pt>
                <pt idx="107">
                  <v>14506</v>
                </pt>
                <pt idx="108">
                  <v>15140</v>
                </pt>
                <pt idx="109">
                  <v>14945</v>
                </pt>
                <pt idx="110">
                  <v>14816</v>
                </pt>
                <pt idx="111">
                  <v>14772</v>
                </pt>
                <pt idx="112">
                  <v>14694</v>
                </pt>
                <pt idx="113">
                  <v>14859</v>
                </pt>
                <pt idx="114">
                  <v>14969</v>
                </pt>
                <pt idx="115">
                  <v>14904</v>
                </pt>
                <pt idx="116">
                  <v>14560</v>
                </pt>
                <pt idx="117">
                  <v>14780</v>
                </pt>
                <pt idx="118">
                  <v>15356</v>
                </pt>
                <pt idx="119">
                  <v>15694</v>
                </pt>
                <pt idx="120">
                  <v>15451</v>
                </pt>
                <pt idx="121">
                  <v>15575</v>
                </pt>
                <pt idx="122">
                  <v>15626</v>
                </pt>
                <pt idx="123">
                  <v>15490</v>
                </pt>
                <pt idx="124">
                  <v>15637</v>
                </pt>
                <pt idx="125">
                  <v>15487</v>
                </pt>
                <pt idx="126">
                  <v>15284</v>
                </pt>
                <pt idx="127">
                  <v>15357</v>
                </pt>
                <pt idx="128">
                  <v>15343</v>
                </pt>
                <pt idx="129">
                  <v>15311</v>
                </pt>
                <pt idx="130">
                  <v>15508</v>
                </pt>
                <pt idx="131">
                  <v>15587</v>
                </pt>
                <pt idx="132">
                  <v>15263</v>
                </pt>
                <pt idx="133">
                  <v>14855</v>
                </pt>
                <pt idx="134">
                  <v>15218</v>
                </pt>
                <pt idx="135">
                  <v>15335</v>
                </pt>
                <pt idx="136">
                  <v>15625</v>
                </pt>
                <pt idx="137">
                  <v>15734</v>
                </pt>
                <pt idx="138">
                  <v>15846</v>
                </pt>
                <pt idx="139">
                  <v>16070</v>
                </pt>
                <pt idx="140">
                  <v>16123</v>
                </pt>
                <pt idx="141">
                  <v>16228</v>
                </pt>
                <pt idx="142">
                  <v>16388</v>
                </pt>
                <pt idx="143">
                  <v>16439</v>
                </pt>
                <pt idx="144">
                  <v>16411</v>
                </pt>
                <pt idx="145">
                  <v>16455</v>
                </pt>
                <pt idx="146">
                  <v>16702</v>
                </pt>
                <pt idx="147">
                  <v>16737</v>
                </pt>
                <pt idx="148">
                  <v>16630</v>
                </pt>
                <pt idx="149">
                  <v>16869</v>
                </pt>
                <pt idx="150">
                  <v>17205</v>
                </pt>
                <pt idx="151">
                  <v>17010</v>
                </pt>
                <pt idx="152">
                  <v>17026</v>
                </pt>
                <pt idx="153">
                  <v>17300</v>
                </pt>
                <pt idx="154">
                  <v>17201</v>
                </pt>
                <pt idx="155">
                  <v>17418</v>
                </pt>
                <pt idx="156">
                  <v>17411</v>
                </pt>
                <pt idx="157">
                  <v>17673</v>
                </pt>
                <pt idx="158">
                  <v>17624</v>
                </pt>
                <pt idx="159">
                  <v>17814</v>
                </pt>
                <pt idx="160">
                  <v>17738</v>
                </pt>
                <pt idx="161">
                  <v>17921</v>
                </pt>
                <pt idx="162">
                  <v>17961</v>
                </pt>
                <pt idx="163">
                  <v>18061</v>
                </pt>
                <pt idx="164">
                  <v>18199</v>
                </pt>
                <pt idx="165">
                  <v>18362</v>
                </pt>
                <pt idx="166">
                  <v>18284</v>
                </pt>
                <pt idx="167">
                  <v>18149</v>
                </pt>
                <pt idx="168">
                  <v>18956</v>
                </pt>
                <pt idx="169">
                  <v>18540</v>
                </pt>
                <pt idx="170">
                  <v>18616</v>
                </pt>
                <pt idx="171">
                  <v>18567</v>
                </pt>
                <pt idx="172">
                  <v>18500</v>
                </pt>
                <pt idx="173">
                  <v>18615</v>
                </pt>
                <pt idx="174">
                  <v>18568</v>
                </pt>
                <pt idx="175">
                  <v>18546</v>
                </pt>
                <pt idx="176">
                  <v>18707</v>
                </pt>
                <pt idx="177">
                  <v>18328</v>
                </pt>
                <pt idx="178">
                  <v>18469</v>
                </pt>
                <pt idx="179">
                  <v>18812</v>
                </pt>
                <pt idx="180">
                  <v>18838</v>
                </pt>
                <pt idx="181">
                  <v>18492</v>
                </pt>
                <pt idx="182">
                  <v>18432</v>
                </pt>
                <pt idx="183">
                  <v>18438</v>
                </pt>
                <pt idx="184">
                  <v>18421</v>
                </pt>
                <pt idx="185">
                  <v>18287</v>
                </pt>
                <pt idx="186">
                  <v>18403</v>
                </pt>
                <pt idx="187">
                  <v>18574</v>
                </pt>
                <pt idx="188">
                  <v>18315</v>
                </pt>
                <pt idx="189">
                  <v>18435</v>
                </pt>
                <pt idx="190">
                  <v>18656</v>
                </pt>
                <pt idx="191">
                  <v>18377</v>
                </pt>
                <pt idx="192">
                  <v>18048</v>
                </pt>
                <pt idx="193">
                  <v>17790</v>
                </pt>
                <pt idx="194">
                  <v>17802</v>
                </pt>
                <pt idx="195">
                  <v>17892</v>
                </pt>
                <pt idx="196">
                  <v>18117</v>
                </pt>
                <pt idx="197">
                  <v>17778</v>
                </pt>
                <pt idx="198">
                  <v>17698</v>
                </pt>
                <pt idx="199">
                  <v>17355</v>
                </pt>
                <pt idx="200">
                  <v>16536</v>
                </pt>
                <pt idx="201">
                  <v>16467</v>
                </pt>
                <pt idx="202">
                  <v>16377</v>
                </pt>
                <pt idx="203">
                  <v>15811</v>
                </pt>
                <pt idx="204">
                  <v>16247</v>
                </pt>
                <pt idx="205">
                  <v>16129</v>
                </pt>
                <pt idx="206">
                  <v>15140</v>
                </pt>
                <pt idx="207">
                  <v>15116</v>
                </pt>
                <pt idx="208">
                  <v>15113</v>
                </pt>
                <pt idx="209">
                  <v>15131</v>
                </pt>
                <pt idx="210">
                  <v>15004</v>
                </pt>
                <pt idx="211">
                  <v>14991</v>
                </pt>
                <pt idx="212">
                  <v>14946</v>
                </pt>
                <pt idx="213">
                  <v>14835</v>
                </pt>
                <pt idx="214">
                  <v>15199</v>
                </pt>
                <pt idx="215">
                  <v>15092</v>
                </pt>
                <pt idx="216">
                  <v>15234</v>
                </pt>
                <pt idx="217">
                  <v>15622</v>
                </pt>
                <pt idx="218">
                  <v>15376</v>
                </pt>
                <pt idx="219">
                  <v>15410</v>
                </pt>
                <pt idx="220">
                  <v>15483</v>
                </pt>
                <pt idx="221">
                  <v>15573</v>
                </pt>
                <pt idx="222">
                  <v>15455</v>
                </pt>
                <pt idx="223">
                  <v>15467</v>
                </pt>
                <pt idx="224">
                  <v>15501</v>
                </pt>
                <pt idx="225">
                  <v>15249</v>
                </pt>
                <pt idx="226">
                  <v>15219</v>
                </pt>
                <pt idx="227">
                  <v>15342</v>
                </pt>
                <pt idx="228">
                  <v>15210</v>
                </pt>
                <pt idx="229">
                  <v>15501</v>
                </pt>
                <pt idx="230">
                  <v>15881</v>
                </pt>
                <pt idx="231">
                  <v>15842</v>
                </pt>
                <pt idx="232">
                  <v>15670</v>
                </pt>
                <pt idx="233">
                  <v>15666</v>
                </pt>
                <pt idx="234">
                  <v>15820</v>
                </pt>
                <pt idx="235">
                  <v>15948</v>
                </pt>
                <pt idx="236">
                  <v>15877</v>
                </pt>
                <pt idx="237">
                  <v>16040</v>
                </pt>
                <pt idx="238">
                  <v>16031</v>
                </pt>
                <pt idx="239">
                  <v>15993</v>
                </pt>
                <pt idx="240">
                  <v>16168</v>
                </pt>
                <pt idx="241">
                  <v>16165</v>
                </pt>
                <pt idx="242">
                  <v>16294</v>
                </pt>
                <pt idx="243">
                  <v>16071</v>
                </pt>
                <pt idx="244">
                  <v>16375</v>
                </pt>
                <pt idx="245">
                  <v>16202</v>
                </pt>
                <pt idx="246">
                  <v>16409</v>
                </pt>
                <pt idx="247">
                  <v>16240</v>
                </pt>
                <pt idx="248">
                  <v>16242</v>
                </pt>
                <pt idx="249">
                  <v>15730</v>
                </pt>
                <pt idx="250">
                  <v>16273</v>
                </pt>
                <pt idx="251">
                  <v>16772</v>
                </pt>
                <pt idx="252">
                  <v>16723</v>
                </pt>
                <pt idx="253">
                  <v>16727</v>
                </pt>
                <pt idx="254">
                  <v>16509</v>
                </pt>
                <pt idx="255">
                  <v>16502</v>
                </pt>
                <pt idx="256">
                  <v>16422</v>
                </pt>
                <pt idx="257">
                  <v>16644</v>
                </pt>
                <pt idx="258">
                  <v>16571</v>
                </pt>
                <pt idx="259">
                  <v>16614</v>
                </pt>
                <pt idx="260">
                  <v>16612</v>
                </pt>
                <pt idx="261">
                  <v>16807</v>
                </pt>
                <pt idx="262">
                  <v>16747</v>
                </pt>
                <pt idx="263">
                  <v>16461</v>
                </pt>
                <pt idx="264">
                  <v>16309</v>
                </pt>
                <pt idx="265">
                  <v>16636</v>
                </pt>
                <pt idx="266">
                  <v>16851</v>
                </pt>
                <pt idx="267">
                  <v>16915</v>
                </pt>
                <pt idx="268">
                  <v>16760</v>
                </pt>
                <pt idx="269">
                  <v>16697</v>
                </pt>
                <pt idx="270">
                  <v>16799</v>
                </pt>
                <pt idx="271">
                  <v>17004</v>
                </pt>
                <pt idx="272">
                  <v>17101</v>
                </pt>
                <pt idx="273">
                  <v>17094</v>
                </pt>
                <pt idx="274">
                  <v>17385</v>
                </pt>
                <pt idx="275">
                  <v>17517</v>
                </pt>
                <pt idx="276">
                  <v>17315</v>
                </pt>
                <pt idx="277">
                  <v>16998</v>
                </pt>
                <pt idx="278">
                  <v>17114</v>
                </pt>
                <pt idx="279">
                  <v>17264</v>
                </pt>
                <pt idx="280">
                  <v>17509</v>
                </pt>
                <pt idx="281">
                  <v>17440</v>
                </pt>
                <pt idx="282">
                  <v>17435</v>
                </pt>
                <pt idx="283">
                  <v>17442</v>
                </pt>
                <pt idx="284">
                  <v>17432</v>
                </pt>
                <pt idx="285">
                  <v>17455</v>
                </pt>
                <pt idx="286">
                  <v>17286</v>
                </pt>
                <pt idx="287">
                  <v>17503</v>
                </pt>
                <pt idx="288">
                  <v>17206</v>
                </pt>
                <pt idx="289">
                  <v>17336</v>
                </pt>
                <pt idx="290">
                  <v>17174</v>
                </pt>
                <pt idx="291">
                  <v>17084</v>
                </pt>
                <pt idx="292">
                  <v>17202</v>
                </pt>
                <pt idx="293">
                  <v>17300</v>
                </pt>
                <pt idx="294">
                  <v>17295</v>
                </pt>
                <pt idx="295">
                  <v>17372</v>
                </pt>
                <pt idx="296">
                  <v>17219</v>
                </pt>
                <pt idx="297">
                  <v>17003</v>
                </pt>
                <pt idx="298">
                  <v>16822</v>
                </pt>
                <pt idx="299">
                  <v>16897</v>
                </pt>
                <pt idx="300">
                  <v>17195</v>
                </pt>
                <pt idx="301">
                  <v>17107</v>
                </pt>
                <pt idx="302">
                  <v>17400</v>
                </pt>
                <pt idx="303">
                  <v>17285</v>
                </pt>
                <pt idx="304">
                  <v>17251</v>
                </pt>
                <pt idx="305">
                  <v>17242</v>
                </pt>
                <pt idx="306">
                  <v>17108</v>
                </pt>
                <pt idx="307">
                  <v>17198</v>
                </pt>
                <pt idx="308">
                  <v>17158</v>
                </pt>
                <pt idx="309">
                  <v>17512</v>
                </pt>
                <pt idx="310">
                  <v>17775</v>
                </pt>
                <pt idx="311">
                  <v>17758</v>
                </pt>
                <pt idx="312">
                  <v>17722</v>
                </pt>
                <pt idx="313">
                  <v>17851</v>
                </pt>
                <pt idx="314">
                  <v>17817</v>
                </pt>
                <pt idx="315">
                  <v>18107</v>
                </pt>
                <pt idx="316">
                  <v>17919</v>
                </pt>
                <pt idx="317">
                  <v>17962</v>
                </pt>
                <pt idx="318">
                  <v>17922</v>
                </pt>
                <pt idx="319">
                  <v>17825</v>
                </pt>
                <pt idx="320">
                  <v>17596</v>
                </pt>
                <pt idx="321">
                  <v>17677</v>
                </pt>
                <pt idx="322">
                  <v>17631</v>
                </pt>
                <pt idx="323">
                  <v>17463</v>
                </pt>
                <pt idx="324">
                  <v>17406</v>
                </pt>
                <pt idx="325">
                  <v>17370</v>
                </pt>
                <pt idx="326">
                  <v>17579</v>
                </pt>
                <pt idx="327">
                  <v>17592</v>
                </pt>
                <pt idx="328">
                  <v>17664</v>
                </pt>
                <pt idx="329">
                  <v>17620</v>
                </pt>
                <pt idx="330">
                  <v>17719</v>
                </pt>
                <pt idx="331">
                  <v>17654</v>
                </pt>
                <pt idx="332">
                  <v>17795</v>
                </pt>
                <pt idx="333">
                  <v>17566</v>
                </pt>
                <pt idx="334">
                  <v>17733</v>
                </pt>
                <pt idx="335">
                  <v>17487</v>
                </pt>
                <pt idx="336">
                  <v>17942</v>
                </pt>
                <pt idx="337">
                  <v>17837</v>
                </pt>
                <pt idx="338">
                  <v>14360</v>
                </pt>
                <pt idx="339">
                  <v>7687</v>
                </pt>
                <pt idx="340">
                  <v>11621</v>
                </pt>
                <pt idx="341">
                  <v>16108</v>
                </pt>
                <pt idx="342">
                  <v>17327</v>
                </pt>
                <pt idx="343">
                  <v>17798</v>
                </pt>
                <pt idx="344">
                  <v>17722</v>
                </pt>
                <pt idx="345">
                  <v>17978</v>
                </pt>
                <pt idx="346">
                  <v>17556</v>
                </pt>
                <pt idx="347">
                  <v>17077</v>
                </pt>
                <pt idx="348">
                  <v>19623</v>
                </pt>
                <pt idx="349">
                  <v>18560</v>
                </pt>
                <pt idx="350">
                  <v>20753</v>
                </pt>
                <pt idx="351">
                  <v>20997</v>
                </pt>
                <pt idx="352">
                  <v>20514</v>
                </pt>
                <pt idx="353">
                  <v>20686</v>
                </pt>
                <pt idx="354">
                  <v>20551</v>
                </pt>
                <pt idx="355">
                  <v>20378</v>
                </pt>
                <pt idx="356">
                  <v>20242</v>
                </pt>
                <pt idx="357">
                  <v>20829</v>
                </pt>
                <pt idx="358">
                  <v>20446</v>
                </pt>
                <pt idx="359">
                  <v>19193</v>
                </pt>
                <pt idx="360">
                  <v>19741</v>
                </pt>
                <pt idx="361">
                  <v>19593</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89136"/>
        <crosses val="autoZero"/>
        <lblOffset val="100"/>
        <baseTimeUnit val="months"/>
      </dateAx>
      <valAx>
        <axId val="1568389136"/>
        <scaling>
          <orientation val="minMax"/>
          <min val="8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90776"/>
        <crosses val="autoZero"/>
        <crossBetween val="between"/>
      </valAx>
    </plotArea>
    <plotVisOnly val="1"/>
    <dispBlanksAs val="gap"/>
  </chart>
</chartSpace>
</file>

<file path=xl/charts/chart29.xml><?xml version="1.0" encoding="utf-8"?>
<chartSpace xmlns="http://schemas.openxmlformats.org/drawingml/2006/chart">
  <chart>
    <title>
      <tx>
        <strRef>
          <f>Table1[[#Headers],[yoy]]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'Furniture Home'!$D$6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'Furniture Home'!$A$7:$A$368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'Furniture Home'!$D$7:$D$368</f>
              <numCache>
                <formatCode>General</formatCode>
                <ptCount val="362"/>
                <pt idx="12">
                  <formatCode>0.00%</formatCode>
                  <v>0.1112204724409449</v>
                </pt>
                <pt idx="13">
                  <formatCode>0.00%</formatCode>
                  <v>0.07324763521707495</v>
                </pt>
                <pt idx="14">
                  <formatCode>0.00%</formatCode>
                  <v>0.07276255154014068</v>
                </pt>
                <pt idx="15">
                  <formatCode>0.00%</formatCode>
                  <v>0.08500661296140435</v>
                </pt>
                <pt idx="16">
                  <formatCode>0.00%</formatCode>
                  <v>0.09805101058710299</v>
                </pt>
                <pt idx="17">
                  <formatCode>0.00%</formatCode>
                  <v>0.09329202907184558</v>
                </pt>
                <pt idx="18">
                  <formatCode>0.00%</formatCode>
                  <v>0.09859154929577464</v>
                </pt>
                <pt idx="19">
                  <formatCode>0.00%</formatCode>
                  <v>0.105938242280285</v>
                </pt>
                <pt idx="20">
                  <formatCode>0.00%</formatCode>
                  <v>0.1096766552173398</v>
                </pt>
                <pt idx="21">
                  <formatCode>0.00%</formatCode>
                  <v>0.1046552740129641</v>
                </pt>
                <pt idx="22">
                  <formatCode>0.00%</formatCode>
                  <v>0.1117134103228847</v>
                </pt>
                <pt idx="23">
                  <formatCode>0.00%</formatCode>
                  <v>0.09347625633932688</v>
                </pt>
                <pt idx="24">
                  <formatCode>0.00%</formatCode>
                  <v>0.04162976085031001</v>
                </pt>
                <pt idx="25">
                  <formatCode>0.00%</formatCode>
                  <v>0.09875706214689266</v>
                </pt>
                <pt idx="26">
                  <formatCode>0.00%</formatCode>
                  <v>0.1261587158037531</v>
                </pt>
                <pt idx="27">
                  <formatCode>0.00%</formatCode>
                  <v>0.1088209219858156</v>
                </pt>
                <pt idx="28">
                  <formatCode>0.00%</formatCode>
                  <v>0.1127424126218911</v>
                </pt>
                <pt idx="29">
                  <formatCode>0.00%</formatCode>
                  <v>0.125871839581517</v>
                </pt>
                <pt idx="30">
                  <formatCode>0.00%</formatCode>
                  <v>0.1178625296272355</v>
                </pt>
                <pt idx="31">
                  <formatCode>0.00%</formatCode>
                  <v>0.1357388316151203</v>
                </pt>
                <pt idx="32">
                  <formatCode>0.00%</formatCode>
                  <v>0.1404632298004056</v>
                </pt>
                <pt idx="33">
                  <formatCode>0.00%</formatCode>
                  <v>0.162381308012376</v>
                </pt>
                <pt idx="34">
                  <formatCode>0.00%</formatCode>
                  <v>0.1609073563705745</v>
                </pt>
                <pt idx="35">
                  <formatCode>0.00%</formatCode>
                  <v>0.1687572467587225</v>
                </pt>
                <pt idx="36">
                  <formatCode>0.00%</formatCode>
                  <v>0.185905612244898</v>
                </pt>
                <pt idx="37">
                  <formatCode>0.00%</formatCode>
                  <v>0.1217605923488276</v>
                </pt>
                <pt idx="38">
                  <formatCode>0.00%</formatCode>
                  <v>0.1020879341497691</v>
                </pt>
                <pt idx="39">
                  <formatCode>0.00%</formatCode>
                  <v>0.09074555266839895</v>
                </pt>
                <pt idx="40">
                  <formatCode>0.00%</formatCode>
                  <v>0.1000393855848759</v>
                </pt>
                <pt idx="41">
                  <formatCode>0.00%</formatCode>
                  <v>0.08576130093892169</v>
                </pt>
                <pt idx="42">
                  <formatCode>0.00%</formatCode>
                  <v>0.08741326137239784</v>
                </pt>
                <pt idx="43">
                  <formatCode>0.00%</formatCode>
                  <v>0.08386913767019667</v>
                </pt>
                <pt idx="44">
                  <formatCode>0.00%</formatCode>
                  <v>0.08076743097800655</v>
                </pt>
                <pt idx="45">
                  <formatCode>0.00%</formatCode>
                  <v>0.06847177604405691</v>
                </pt>
                <pt idx="46">
                  <formatCode>0.00%</formatCode>
                  <v>0.07551132213294376</v>
                </pt>
                <pt idx="47">
                  <formatCode>0.00%</formatCode>
                  <v>0.05753968253968254</v>
                </pt>
                <pt idx="48">
                  <formatCode>0.00%</formatCode>
                  <v>0.03011562247916106</v>
                </pt>
                <pt idx="49">
                  <formatCode>0.00%</formatCode>
                  <v>0.06288962229556289</v>
                </pt>
                <pt idx="50">
                  <formatCode>0.00%</formatCode>
                  <v>0.08671099371527462</v>
                </pt>
                <pt idx="51">
                  <formatCode>0.00%</formatCode>
                  <v>0.09657320872274143</v>
                </pt>
                <pt idx="52">
                  <formatCode>0.00%</formatCode>
                  <v>0.07536698890082348</v>
                </pt>
                <pt idx="53">
                  <formatCode>0.00%</formatCode>
                  <v>0.070874565391816</v>
                </pt>
                <pt idx="54">
                  <formatCode>0.00%</formatCode>
                  <v>0.05734290525569441</v>
                </pt>
                <pt idx="55">
                  <formatCode>0.00%</formatCode>
                  <v>0.04641018930471953</v>
                </pt>
                <pt idx="56">
                  <formatCode>0.00%</formatCode>
                  <v>0.05645999307239349</v>
                </pt>
                <pt idx="57">
                  <formatCode>0.00%</formatCode>
                  <v>0.04862125246971909</v>
                </pt>
                <pt idx="58">
                  <formatCode>0.00%</formatCode>
                  <v>0.02928941336276424</v>
                </pt>
                <pt idx="59">
                  <formatCode>0.00%</formatCode>
                  <v>0.02771618625277162</v>
                </pt>
                <pt idx="60">
                  <formatCode>0.00%</formatCode>
                  <v>0.03985034368746193</v>
                </pt>
                <pt idx="61">
                  <formatCode>0.00%</formatCode>
                  <v>0.05373469035708125</v>
                </pt>
                <pt idx="62">
                  <formatCode>0.00%</formatCode>
                  <v>0.02891626854412874</v>
                </pt>
                <pt idx="63">
                  <formatCode>0.00%</formatCode>
                  <v>0.03810160427807487</v>
                </pt>
                <pt idx="64">
                  <formatCode>0.00%</formatCode>
                  <v>0.03246212751789579</v>
                </pt>
                <pt idx="65">
                  <formatCode>0.00%</formatCode>
                  <v>0.03846153846153846</v>
                </pt>
                <pt idx="66">
                  <formatCode>0.00%</formatCode>
                  <v>0.05314333612740989</v>
                </pt>
                <pt idx="67">
                  <formatCode>0.00%</formatCode>
                  <v>0.05769070446019175</v>
                </pt>
                <pt idx="68">
                  <formatCode>0.00%</formatCode>
                  <v>0.04270491803278689</v>
                </pt>
                <pt idx="69">
                  <formatCode>0.00%</formatCode>
                  <v>0.04251658884246744</v>
                </pt>
                <pt idx="70">
                  <formatCode>0.00%</formatCode>
                  <v>0.06359287363906302</v>
                </pt>
                <pt idx="71">
                  <formatCode>0.00%</formatCode>
                  <v>0.07451663762343375</v>
                </pt>
                <pt idx="72">
                  <formatCode>0.00%</formatCode>
                  <v>0.1005773575433018</v>
                </pt>
                <pt idx="73">
                  <formatCode>0.00%</formatCode>
                  <v>0.07546860931488909</v>
                </pt>
                <pt idx="74">
                  <formatCode>0.00%</formatCode>
                  <v>0.06940371456500488</v>
                </pt>
                <pt idx="75">
                  <formatCode>0.00%</formatCode>
                  <v>0.05722794591113973</v>
                </pt>
                <pt idx="76">
                  <formatCode>0.00%</formatCode>
                  <v>0.06320541760722348</v>
                </pt>
                <pt idx="77">
                  <formatCode>0.00%</formatCode>
                  <v>0.06998556998556998</v>
                </pt>
                <pt idx="78">
                  <formatCode>0.00%</formatCode>
                  <v>0.06709646609360076</v>
                </pt>
                <pt idx="79">
                  <formatCode>0.00%</formatCode>
                  <v>0.06337195554504611</v>
                </pt>
                <pt idx="80">
                  <formatCode>0.00%</formatCode>
                  <v>0.05125383224589262</v>
                </pt>
                <pt idx="81">
                  <formatCode>0.00%</formatCode>
                  <v>0.05641992770705642</v>
                </pt>
                <pt idx="82">
                  <formatCode>0.00%</formatCode>
                  <v>0.05979061651803024</v>
                </pt>
                <pt idx="83">
                  <formatCode>0.00%</formatCode>
                  <v>0.05421268051586995</v>
                </pt>
                <pt idx="84">
                  <formatCode>0.00%</formatCode>
                  <v>0.0352771230897894</v>
                </pt>
                <pt idx="85">
                  <formatCode>0.00%</formatCode>
                  <v>0.04962325899992389</v>
                </pt>
                <pt idx="86">
                  <formatCode>0.00%</formatCode>
                  <v>0.06238574040219379</v>
                </pt>
                <pt idx="87">
                  <formatCode>0.00%</formatCode>
                  <v>0.0650171298058622</v>
                </pt>
                <pt idx="88">
                  <formatCode>0.00%</formatCode>
                  <v>0.07021534728541098</v>
                </pt>
                <pt idx="89">
                  <formatCode>0.00%</formatCode>
                  <v>0.06930396343747659</v>
                </pt>
                <pt idx="90">
                  <formatCode>0.00%</formatCode>
                  <v>0.06899380920414709</v>
                </pt>
                <pt idx="91">
                  <formatCode>0.00%</formatCode>
                  <v>0.06945370988066119</v>
                </pt>
                <pt idx="92">
                  <formatCode>0.00%</formatCode>
                  <v>0.09937934644432812</v>
                </pt>
                <pt idx="93">
                  <formatCode>0.00%</formatCode>
                  <v>0.09520975900029753</v>
                </pt>
                <pt idx="94">
                  <formatCode>0.00%</formatCode>
                  <v>0.06995463193326504</v>
                </pt>
                <pt idx="95">
                  <formatCode>0.00%</formatCode>
                  <v>0.08006739433008571</v>
                </pt>
                <pt idx="96">
                  <formatCode>0.00%</formatCode>
                  <v>0.1081001689065139</v>
                </pt>
                <pt idx="97">
                  <formatCode>0.00%</formatCode>
                  <v>0.1037633239068958</v>
                </pt>
                <pt idx="98">
                  <formatCode>0.00%</formatCode>
                  <v>0.09349680934968094</v>
                </pt>
                <pt idx="99">
                  <formatCode>0.00%</formatCode>
                  <v>0.1110157981270999</v>
                </pt>
                <pt idx="100">
                  <formatCode>0.00%</formatCode>
                  <v>0.08289641490718436</v>
                </pt>
                <pt idx="101">
                  <formatCode>0.00%</formatCode>
                  <v>0.05297085201793722</v>
                </pt>
                <pt idx="102">
                  <formatCode>0.00%</formatCode>
                  <v>0.05672620708903154</v>
                </pt>
                <pt idx="103">
                  <formatCode>0.00%</formatCode>
                  <v>0.04810091488771832</v>
                </pt>
                <pt idx="104">
                  <formatCode>0.00%</formatCode>
                  <v>0.03747789416405931</v>
                </pt>
                <pt idx="105">
                  <formatCode>0.00%</formatCode>
                  <v>0.0291361043194784</v>
                </pt>
                <pt idx="106">
                  <formatCode>0.00%</formatCode>
                  <v>0.02393653398987827</v>
                </pt>
                <pt idx="107">
                  <formatCode>0.00%</formatCode>
                  <v>-0.01614215952251763</v>
                </pt>
                <pt idx="108">
                  <formatCode>0.00%</formatCode>
                  <v>0.003379945655775731</v>
                </pt>
                <pt idx="109">
                  <formatCode>0.00%</formatCode>
                  <v>-0.01819734594665616</v>
                </pt>
                <pt idx="110">
                  <formatCode>0.00%</formatCode>
                  <v>-0.02852271982165104</v>
                </pt>
                <pt idx="111">
                  <formatCode>0.00%</formatCode>
                  <v>-0.0495431733367649</v>
                </pt>
                <pt idx="112">
                  <formatCode>0.00%</formatCode>
                  <v>-0.03860246008898194</v>
                </pt>
                <pt idx="113">
                  <formatCode>0.00%</formatCode>
                  <v>-0.01124567474048443</v>
                </pt>
                <pt idx="114">
                  <formatCode>0.00%</formatCode>
                  <v>-0.01162099702872235</v>
                </pt>
                <pt idx="115">
                  <formatCode>0.00%</formatCode>
                  <v>-0.01441608252876604</v>
                </pt>
                <pt idx="116">
                  <formatCode>0.00%</formatCode>
                  <v>-0.04543368517668656</v>
                </pt>
                <pt idx="117">
                  <formatCode>0.00%</formatCode>
                  <v>-0.0246155876724081</v>
                </pt>
                <pt idx="118">
                  <formatCode>0.00%</formatCode>
                  <v>0.02564787603526583</v>
                </pt>
                <pt idx="119">
                  <formatCode>0.00%</formatCode>
                  <v>0.08189714600854818</v>
                </pt>
                <pt idx="120">
                  <formatCode>0.00%</formatCode>
                  <v>0.02054161162483488</v>
                </pt>
                <pt idx="121">
                  <formatCode>0.00%</formatCode>
                  <v>0.04215456674473068</v>
                </pt>
                <pt idx="122">
                  <formatCode>0.00%</formatCode>
                  <v>0.05467062634989201</v>
                </pt>
                <pt idx="123">
                  <formatCode>0.00%</formatCode>
                  <v>0.04860546980774438</v>
                </pt>
                <pt idx="124">
                  <formatCode>0.00%</formatCode>
                  <v>0.0641758540901048</v>
                </pt>
                <pt idx="125">
                  <formatCode>0.00%</formatCode>
                  <v>0.0422639477757588</v>
                </pt>
                <pt idx="126">
                  <formatCode>0.00%</formatCode>
                  <v>0.02104348987908344</v>
                </pt>
                <pt idx="127">
                  <formatCode>0.00%</formatCode>
                  <v>0.03039452495974235</v>
                </pt>
                <pt idx="128">
                  <formatCode>0.00%</formatCode>
                  <v>0.05377747252747253</v>
                </pt>
                <pt idx="129">
                  <formatCode>0.00%</formatCode>
                  <v>0.03592692828146143</v>
                </pt>
                <pt idx="130">
                  <formatCode>0.00%</formatCode>
                  <v>0.00989841104454285</v>
                </pt>
                <pt idx="131">
                  <formatCode>0.00%</formatCode>
                  <v>-0.006817892188097362</v>
                </pt>
                <pt idx="132">
                  <formatCode>0.00%</formatCode>
                  <v>-0.01216749724936897</v>
                </pt>
                <pt idx="133">
                  <formatCode>0.00%</formatCode>
                  <v>-0.04622792937399679</v>
                </pt>
                <pt idx="134">
                  <formatCode>0.00%</formatCode>
                  <v>-0.02611032893894791</v>
                </pt>
                <pt idx="135">
                  <formatCode>0.00%</formatCode>
                  <v>-0.01000645577792124</v>
                </pt>
                <pt idx="136">
                  <formatCode>0.00%</formatCode>
                  <v>-0.0007674106286372066</v>
                </pt>
                <pt idx="137">
                  <formatCode>0.00%</formatCode>
                  <v>0.01594886033447408</v>
                </pt>
                <pt idx="138">
                  <formatCode>0.00%</formatCode>
                  <v>0.0367704789322167</v>
                </pt>
                <pt idx="139">
                  <formatCode>0.00%</formatCode>
                  <v>0.04642833886826854</v>
                </pt>
                <pt idx="140">
                  <formatCode>0.00%</formatCode>
                  <v>0.0508375154793717</v>
                </pt>
                <pt idx="141">
                  <formatCode>0.00%</formatCode>
                  <v>0.05989158121611913</v>
                </pt>
                <pt idx="142">
                  <formatCode>0.00%</formatCode>
                  <v>0.05674490585504256</v>
                </pt>
                <pt idx="143">
                  <formatCode>0.00%</formatCode>
                  <v>0.05466093539488035</v>
                </pt>
                <pt idx="144">
                  <formatCode>0.00%</formatCode>
                  <v>0.07521457118521915</v>
                </pt>
                <pt idx="145">
                  <formatCode>0.00%</formatCode>
                  <v>0.1077078424772804</v>
                </pt>
                <pt idx="146">
                  <formatCode>0.00%</formatCode>
                  <v>0.09751609935602576</v>
                </pt>
                <pt idx="147">
                  <formatCode>0.00%</formatCode>
                  <v>0.09142484512552983</v>
                </pt>
                <pt idx="148">
                  <formatCode>0.00%</formatCode>
                  <v>0.06432</v>
                </pt>
                <pt idx="149">
                  <formatCode>0.00%</formatCode>
                  <v>0.07213677386551418</v>
                </pt>
                <pt idx="150">
                  <formatCode>0.00%</formatCode>
                  <v>0.08576296857251041</v>
                </pt>
                <pt idx="151">
                  <formatCode>0.00%</formatCode>
                  <v>0.05849408836341008</v>
                </pt>
                <pt idx="152">
                  <formatCode>0.00%</formatCode>
                  <v>0.05600694659802766</v>
                </pt>
                <pt idx="153">
                  <formatCode>0.00%</formatCode>
                  <v>0.0660586640374661</v>
                </pt>
                <pt idx="154">
                  <formatCode>0.00%</formatCode>
                  <v>0.04960947034415426</v>
                </pt>
                <pt idx="155">
                  <formatCode>0.00%</formatCode>
                  <v>0.05955350082121784</v>
                </pt>
                <pt idx="156">
                  <formatCode>0.00%</formatCode>
                  <v>0.06093473889464383</v>
                </pt>
                <pt idx="157">
                  <formatCode>0.00%</formatCode>
                  <v>0.0740200546946217</v>
                </pt>
                <pt idx="158">
                  <formatCode>0.00%</formatCode>
                  <v>0.05520296970422704</v>
                </pt>
                <pt idx="159">
                  <formatCode>0.00%</formatCode>
                  <v>0.06434844954292884</v>
                </pt>
                <pt idx="160">
                  <formatCode>0.00%</formatCode>
                  <v>0.06662657847263981</v>
                </pt>
                <pt idx="161">
                  <formatCode>0.00%</formatCode>
                  <v>0.06236291422135277</v>
                </pt>
                <pt idx="162">
                  <formatCode>0.00%</formatCode>
                  <v>0.04394071490845684</v>
                </pt>
                <pt idx="163">
                  <formatCode>0.00%</formatCode>
                  <v>0.06178718400940623</v>
                </pt>
                <pt idx="164">
                  <formatCode>0.00%</formatCode>
                  <v>0.06889463173969224</v>
                </pt>
                <pt idx="165">
                  <formatCode>0.00%</formatCode>
                  <v>0.06138728323699422</v>
                </pt>
                <pt idx="166">
                  <formatCode>0.00%</formatCode>
                  <v>0.06296145572931806</v>
                </pt>
                <pt idx="167">
                  <formatCode>0.00%</formatCode>
                  <v>0.04196807899873694</v>
                </pt>
                <pt idx="168">
                  <formatCode>0.00%</formatCode>
                  <v>0.08873700534145081</v>
                </pt>
                <pt idx="169">
                  <formatCode>0.00%</formatCode>
                  <v>0.0490578849091835</v>
                </pt>
                <pt idx="170">
                  <formatCode>0.00%</formatCode>
                  <v>0.05628688152519292</v>
                </pt>
                <pt idx="171">
                  <formatCode>0.00%</formatCode>
                  <v>0.04227012462108454</v>
                </pt>
                <pt idx="172">
                  <formatCode>0.00%</formatCode>
                  <v>0.04295861991205322</v>
                </pt>
                <pt idx="173">
                  <formatCode>0.00%</formatCode>
                  <v>0.0387255175492439</v>
                </pt>
                <pt idx="174">
                  <formatCode>0.00%</formatCode>
                  <v>0.0337954456878793</v>
                </pt>
                <pt idx="175">
                  <formatCode>0.00%</formatCode>
                  <v>0.02685344111621726</v>
                </pt>
                <pt idx="176">
                  <formatCode>0.00%</formatCode>
                  <v>0.02791362162756195</v>
                </pt>
                <pt idx="177">
                  <formatCode>0.00%</formatCode>
                  <v>-0.001851650147042806</v>
                </pt>
                <pt idx="178">
                  <formatCode>0.00%</formatCode>
                  <v>0.01011813607525706</v>
                </pt>
                <pt idx="179">
                  <formatCode>0.00%</formatCode>
                  <v>0.0365309383437104</v>
                </pt>
                <pt idx="180">
                  <formatCode>0.00%</formatCode>
                  <v>-0.006224941970879932</v>
                </pt>
                <pt idx="181">
                  <formatCode>0.00%</formatCode>
                  <v>-0.002588996763754045</v>
                </pt>
                <pt idx="182">
                  <formatCode>0.00%</formatCode>
                  <v>-0.009883970777825527</v>
                </pt>
                <pt idx="183">
                  <formatCode>0.00%</formatCode>
                  <v>-0.006947810631766037</v>
                </pt>
                <pt idx="184">
                  <formatCode>0.00%</formatCode>
                  <v>-0.00427027027027027</v>
                </pt>
                <pt idx="185">
                  <formatCode>0.00%</formatCode>
                  <v>-0.01762019876443728</v>
                </pt>
                <pt idx="186">
                  <formatCode>0.00%</formatCode>
                  <v>-0.008886255924170616</v>
                </pt>
                <pt idx="187">
                  <formatCode>0.00%</formatCode>
                  <v>0.001509759516876955</v>
                </pt>
                <pt idx="188">
                  <formatCode>0.00%</formatCode>
                  <v>-0.02095472283102582</v>
                </pt>
                <pt idx="189">
                  <formatCode>0.00%</formatCode>
                  <v>0.005838061981667394</v>
                </pt>
                <pt idx="190">
                  <formatCode>0.00%</formatCode>
                  <v>0.01012507444907683</v>
                </pt>
                <pt idx="191">
                  <formatCode>0.00%</formatCode>
                  <v>-0.02312353816712737</v>
                </pt>
                <pt idx="192">
                  <formatCode>0.00%</formatCode>
                  <v>-0.04193651130693279</v>
                </pt>
                <pt idx="193">
                  <formatCode>0.00%</formatCode>
                  <v>-0.03796236210253082</v>
                </pt>
                <pt idx="194">
                  <formatCode>0.00%</formatCode>
                  <v>-0.0341796875</v>
                </pt>
                <pt idx="195">
                  <formatCode>0.00%</formatCode>
                  <v>-0.0296127562642369</v>
                </pt>
                <pt idx="196">
                  <formatCode>0.00%</formatCode>
                  <v>-0.01650290429401227</v>
                </pt>
                <pt idx="197">
                  <formatCode>0.00%</formatCode>
                  <v>-0.02783398042325149</v>
                </pt>
                <pt idx="198">
                  <formatCode>0.00%</formatCode>
                  <v>-0.03830897136336467</v>
                </pt>
                <pt idx="199">
                  <formatCode>0.00%</formatCode>
                  <v>-0.06562937439431463</v>
                </pt>
                <pt idx="200">
                  <formatCode>0.00%</formatCode>
                  <v>-0.09713349713349713</v>
                </pt>
                <pt idx="201">
                  <formatCode>0.00%</formatCode>
                  <v>-0.106753458096013</v>
                </pt>
                <pt idx="202">
                  <formatCode>0.00%</formatCode>
                  <v>-0.1221590909090909</v>
                </pt>
                <pt idx="203">
                  <formatCode>0.00%</formatCode>
                  <v>-0.1396310605648365</v>
                </pt>
                <pt idx="204">
                  <formatCode>0.00%</formatCode>
                  <v>-0.09978945035460993</v>
                </pt>
                <pt idx="205">
                  <formatCode>0.00%</formatCode>
                  <v>-0.09336706014614952</v>
                </pt>
                <pt idx="206">
                  <formatCode>0.00%</formatCode>
                  <v>-0.1495337602516571</v>
                </pt>
                <pt idx="207">
                  <formatCode>0.00%</formatCode>
                  <v>-0.155153141068634</v>
                </pt>
                <pt idx="208">
                  <formatCode>0.00%</formatCode>
                  <v>-0.1658111166307888</v>
                </pt>
                <pt idx="209">
                  <formatCode>0.00%</formatCode>
                  <v>-0.1488918888513893</v>
                </pt>
                <pt idx="210">
                  <formatCode>0.00%</formatCode>
                  <v>-0.1522205898971635</v>
                </pt>
                <pt idx="211">
                  <formatCode>0.00%</formatCode>
                  <v>-0.1362143474503025</v>
                </pt>
                <pt idx="212">
                  <formatCode>0.00%</formatCode>
                  <v>-0.09615384615384616</v>
                </pt>
                <pt idx="213">
                  <formatCode>0.00%</formatCode>
                  <v>-0.09910730552013117</v>
                </pt>
                <pt idx="214">
                  <formatCode>0.00%</formatCode>
                  <v>-0.07193014593637419</v>
                </pt>
                <pt idx="215">
                  <formatCode>0.00%</formatCode>
                  <v>-0.04547466953386883</v>
                </pt>
                <pt idx="216">
                  <formatCode>0.00%</formatCode>
                  <v>-0.06234997230257894</v>
                </pt>
                <pt idx="217">
                  <formatCode>0.00%</formatCode>
                  <v>-0.03143406286812574</v>
                </pt>
                <pt idx="218">
                  <formatCode>0.00%</formatCode>
                  <v>0.01558784676354029</v>
                </pt>
                <pt idx="219">
                  <formatCode>0.00%</formatCode>
                  <v>0.01944958983858163</v>
                </pt>
                <pt idx="220">
                  <formatCode>0.00%</formatCode>
                  <v>0.02448223383841726</v>
                </pt>
                <pt idx="221">
                  <formatCode>0.00%</formatCode>
                  <v>0.02921155244200648</v>
                </pt>
                <pt idx="222">
                  <formatCode>0.00%</formatCode>
                  <v>0.03005865102639296</v>
                </pt>
                <pt idx="223">
                  <formatCode>0.00%</formatCode>
                  <v>0.03175238476419185</v>
                </pt>
                <pt idx="224">
                  <formatCode>0.00%</formatCode>
                  <v>0.03713368125250903</v>
                </pt>
                <pt idx="225">
                  <formatCode>0.00%</formatCode>
                  <v>0.02790697674418605</v>
                </pt>
                <pt idx="226">
                  <formatCode>0.00%</formatCode>
                  <v>0.00131587604447661</v>
                </pt>
                <pt idx="227">
                  <formatCode>0.00%</formatCode>
                  <v>0.01656506758547575</v>
                </pt>
                <pt idx="228">
                  <formatCode>0.00%</formatCode>
                  <v>-0.001575423395037416</v>
                </pt>
                <pt idx="229">
                  <formatCode>0.00%</formatCode>
                  <v>-0.007745487133529638</v>
                </pt>
                <pt idx="230">
                  <formatCode>0.00%</formatCode>
                  <v>0.03284339229968782</v>
                </pt>
                <pt idx="231">
                  <formatCode>0.00%</formatCode>
                  <v>0.02803374432186892</v>
                </pt>
                <pt idx="232">
                  <formatCode>0.00%</formatCode>
                  <v>0.01207776270748563</v>
                </pt>
                <pt idx="233">
                  <formatCode>0.00%</formatCode>
                  <v>0.005971874397996533</v>
                </pt>
                <pt idx="234">
                  <formatCode>0.00%</formatCode>
                  <v>0.02361695244257522</v>
                </pt>
                <pt idx="235">
                  <formatCode>0.00%</formatCode>
                  <v>0.03109846770543738</v>
                </pt>
                <pt idx="236">
                  <formatCode>0.00%</formatCode>
                  <v>0.02425649958067222</v>
                </pt>
                <pt idx="237">
                  <formatCode>0.00%</formatCode>
                  <v>0.05187225391828972</v>
                </pt>
                <pt idx="238">
                  <formatCode>0.00%</formatCode>
                  <v>0.05335435968197648</v>
                </pt>
                <pt idx="239">
                  <formatCode>0.00%</formatCode>
                  <v>0.04243253813062182</v>
                </pt>
                <pt idx="240">
                  <formatCode>0.00%</formatCode>
                  <v>0.06298487836949375</v>
                </pt>
                <pt idx="241">
                  <formatCode>0.00%</formatCode>
                  <v>0.04283594606799562</v>
                </pt>
                <pt idx="242">
                  <formatCode>0.00%</formatCode>
                  <v>0.02600591902273157</v>
                </pt>
                <pt idx="243">
                  <formatCode>0.00%</formatCode>
                  <v>0.01445524554980432</v>
                </pt>
                <pt idx="244">
                  <formatCode>0.00%</formatCode>
                  <v>0.04499042756860242</v>
                </pt>
                <pt idx="245">
                  <formatCode>0.00%</formatCode>
                  <v>0.03421422188178221</v>
                </pt>
                <pt idx="246">
                  <formatCode>0.00%</formatCode>
                  <v>0.03723135271807838</v>
                </pt>
                <pt idx="247">
                  <formatCode>0.00%</formatCode>
                  <v>0.01830950589415601</v>
                </pt>
                <pt idx="248">
                  <formatCode>0.00%</formatCode>
                  <v>0.02298922970334446</v>
                </pt>
                <pt idx="249">
                  <formatCode>0.00%</formatCode>
                  <v>-0.01932668329177057</v>
                </pt>
                <pt idx="250">
                  <formatCode>0.00%</formatCode>
                  <v>0.01509575198053771</v>
                </pt>
                <pt idx="251">
                  <formatCode>0.00%</formatCode>
                  <v>0.04870881010442069</v>
                </pt>
                <pt idx="252">
                  <formatCode>0.00%</formatCode>
                  <v>0.03432706580900544</v>
                </pt>
                <pt idx="253">
                  <formatCode>0.00%</formatCode>
                  <v>0.03476647077018249</v>
                </pt>
                <pt idx="254">
                  <formatCode>0.00%</formatCode>
                  <v>0.01319504111943046</v>
                </pt>
                <pt idx="255">
                  <formatCode>0.00%</formatCode>
                  <v>0.02681849293758945</v>
                </pt>
                <pt idx="256">
                  <formatCode>0.00%</formatCode>
                  <v>0.002870229007633588</v>
                </pt>
                <pt idx="257">
                  <formatCode>0.00%</formatCode>
                  <v>0.02728058264411801</v>
                </pt>
                <pt idx="258">
                  <formatCode>0.00%</formatCode>
                  <v>0.009872630873301237</v>
                </pt>
                <pt idx="259">
                  <formatCode>0.00%</formatCode>
                  <v>0.0230295566502463</v>
                </pt>
                <pt idx="260">
                  <formatCode>0.00%</formatCode>
                  <v>0.02278044575791159</v>
                </pt>
                <pt idx="261">
                  <formatCode>0.00%</formatCode>
                  <v>0.06846789574062301</v>
                </pt>
                <pt idx="262">
                  <formatCode>0.00%</formatCode>
                  <v>0.02912800344128311</v>
                </pt>
                <pt idx="263">
                  <formatCode>0.00%</formatCode>
                  <v>-0.01854280944431195</v>
                </pt>
                <pt idx="264">
                  <formatCode>0.00%</formatCode>
                  <v>-0.02475632362614363</v>
                </pt>
                <pt idx="265">
                  <formatCode>0.00%</formatCode>
                  <v>-0.005440306091947151</v>
                </pt>
                <pt idx="266">
                  <formatCode>0.00%</formatCode>
                  <v>0.02071597310557877</v>
                </pt>
                <pt idx="267">
                  <formatCode>0.00%</formatCode>
                  <v>0.02502726942188825</v>
                </pt>
                <pt idx="268">
                  <formatCode>0.00%</formatCode>
                  <v>0.020582145901839</v>
                </pt>
                <pt idx="269">
                  <formatCode>0.00%</formatCode>
                  <v>0.003184330689738044</v>
                </pt>
                <pt idx="270">
                  <formatCode>0.00%</formatCode>
                  <v>0.01375897652525496</v>
                </pt>
                <pt idx="271">
                  <formatCode>0.00%</formatCode>
                  <v>0.02347417840375587</v>
                </pt>
                <pt idx="272">
                  <formatCode>0.00%</formatCode>
                  <v>0.02943655189019986</v>
                </pt>
                <pt idx="273">
                  <formatCode>0.00%</formatCode>
                  <v>0.017076218242399</v>
                </pt>
                <pt idx="274">
                  <formatCode>0.00%</formatCode>
                  <v>0.03809637547023347</v>
                </pt>
                <pt idx="275">
                  <formatCode>0.00%</formatCode>
                  <v>0.06415163112812101</v>
                </pt>
                <pt idx="276">
                  <formatCode>0.00%</formatCode>
                  <v>0.06168373290821019</v>
                </pt>
                <pt idx="277">
                  <formatCode>0.00%</formatCode>
                  <v>0.02176003847078625</v>
                </pt>
                <pt idx="278">
                  <formatCode>0.00%</formatCode>
                  <v>0.01560738235119578</v>
                </pt>
                <pt idx="279">
                  <formatCode>0.00%</formatCode>
                  <v>0.02063257463789536</v>
                </pt>
                <pt idx="280">
                  <formatCode>0.00%</formatCode>
                  <v>0.04468973747016707</v>
                </pt>
                <pt idx="281">
                  <formatCode>0.00%</formatCode>
                  <v>0.04449901179852668</v>
                </pt>
                <pt idx="282">
                  <formatCode>0.00%</formatCode>
                  <v>0.03785939639264242</v>
                </pt>
                <pt idx="283">
                  <formatCode>0.00%</formatCode>
                  <v>0.02575864502470007</v>
                </pt>
                <pt idx="284">
                  <formatCode>0.00%</formatCode>
                  <v>0.0193555932401614</v>
                </pt>
                <pt idx="285">
                  <formatCode>0.00%</formatCode>
                  <v>0.02111852111852112</v>
                </pt>
                <pt idx="286">
                  <formatCode>0.00%</formatCode>
                  <v>-0.005694564279551337</v>
                </pt>
                <pt idx="287">
                  <formatCode>0.00%</formatCode>
                  <v>-0.0007992236113489753</v>
                </pt>
                <pt idx="288">
                  <formatCode>0.00%</formatCode>
                  <v>-0.0062951198382905</v>
                </pt>
                <pt idx="289">
                  <formatCode>0.00%</formatCode>
                  <v>0.01988469231674314</v>
                </pt>
                <pt idx="290">
                  <formatCode>0.00%</formatCode>
                  <v>0.003505901601028398</v>
                </pt>
                <pt idx="291">
                  <formatCode>0.00%</formatCode>
                  <v>-0.01042632066728452</v>
                </pt>
                <pt idx="292">
                  <formatCode>0.00%</formatCode>
                  <v>-0.01753383973956251</v>
                </pt>
                <pt idx="293">
                  <formatCode>0.00%</formatCode>
                  <v>-0.008027522935779817</v>
                </pt>
                <pt idx="294">
                  <formatCode>0.00%</formatCode>
                  <v>-0.008029825064525381</v>
                </pt>
                <pt idx="295">
                  <formatCode>0.00%</formatCode>
                  <v>-0.004013301226923518</v>
                </pt>
                <pt idx="296">
                  <formatCode>0.00%</formatCode>
                  <v>-0.01221890775585131</v>
                </pt>
                <pt idx="297">
                  <formatCode>0.00%</formatCode>
                  <v>-0.02589515898023489</v>
                </pt>
                <pt idx="298">
                  <formatCode>0.00%</formatCode>
                  <v>-0.02684253152840449</v>
                </pt>
                <pt idx="299">
                  <formatCode>0.00%</formatCode>
                  <v>-0.03462263611952237</v>
                </pt>
                <pt idx="300">
                  <formatCode>0.00%</formatCode>
                  <v>-0.0006393118679530397</v>
                </pt>
                <pt idx="301">
                  <formatCode>0.00%</formatCode>
                  <v>-0.0132095062298108</v>
                </pt>
                <pt idx="302">
                  <formatCode>0.00%</formatCode>
                  <v>0.01315942704087574</v>
                </pt>
                <pt idx="303">
                  <formatCode>0.00%</formatCode>
                  <v>0.01176539452118942</v>
                </pt>
                <pt idx="304">
                  <formatCode>0.00%</formatCode>
                  <v>0.002848505987675852</v>
                </pt>
                <pt idx="305">
                  <formatCode>0.00%</formatCode>
                  <v>-0.003352601156069364</v>
                </pt>
                <pt idx="306">
                  <formatCode>0.00%</formatCode>
                  <v>-0.01081237351835791</v>
                </pt>
                <pt idx="307">
                  <formatCode>0.00%</formatCode>
                  <v>-0.01001611789085885</v>
                </pt>
                <pt idx="308">
                  <formatCode>0.00%</formatCode>
                  <v>-0.003542598292583774</v>
                </pt>
                <pt idx="309">
                  <formatCode>0.00%</formatCode>
                  <v>0.02993589366582368</v>
                </pt>
                <pt idx="310">
                  <formatCode>0.00%</formatCode>
                  <v>0.05665200332897397</v>
                </pt>
                <pt idx="311">
                  <formatCode>0.00%</formatCode>
                  <v>0.05095579096881103</v>
                </pt>
                <pt idx="312">
                  <formatCode>0.00%</formatCode>
                  <v>0.03064844431520791</v>
                </pt>
                <pt idx="313">
                  <formatCode>0.00%</formatCode>
                  <v>0.04349096860934121</v>
                </pt>
                <pt idx="314">
                  <formatCode>0.00%</formatCode>
                  <v>0.02396551724137931</v>
                </pt>
                <pt idx="315">
                  <formatCode>0.00%</formatCode>
                  <v>0.04755568411917848</v>
                </pt>
                <pt idx="316">
                  <formatCode>0.00%</formatCode>
                  <v>0.03872239290475914</v>
                </pt>
                <pt idx="317">
                  <formatCode>0.00%</formatCode>
                  <v>0.04175849669411901</v>
                </pt>
                <pt idx="318">
                  <formatCode>0.00%</formatCode>
                  <v>0.04758007949497312</v>
                </pt>
                <pt idx="319">
                  <formatCode>0.00%</formatCode>
                  <v>0.03645772764274915</v>
                </pt>
                <pt idx="320">
                  <formatCode>0.00%</formatCode>
                  <v>0.02552745075183588</v>
                </pt>
                <pt idx="321">
                  <formatCode>0.00%</formatCode>
                  <v>0.009422110552763818</v>
                </pt>
                <pt idx="322">
                  <formatCode>0.00%</formatCode>
                  <v>-0.008101265822784811</v>
                </pt>
                <pt idx="323">
                  <formatCode>0.00%</formatCode>
                  <v>-0.01661223110710666</v>
                </pt>
                <pt idx="324">
                  <formatCode>0.00%</formatCode>
                  <v>-0.01783094458864688</v>
                </pt>
                <pt idx="325">
                  <formatCode>0.00%</formatCode>
                  <v>-0.02694526917259537</v>
                </pt>
                <pt idx="326">
                  <formatCode>0.00%</formatCode>
                  <v>-0.01335802884885222</v>
                </pt>
                <pt idx="327">
                  <formatCode>0.00%</formatCode>
                  <v>-0.02844203899044568</v>
                </pt>
                <pt idx="328">
                  <formatCode>0.00%</formatCode>
                  <v>-0.01423070483843964</v>
                </pt>
                <pt idx="329">
                  <formatCode>0.00%</formatCode>
                  <v>-0.01904019596926846</v>
                </pt>
                <pt idx="330">
                  <formatCode>0.00%</formatCode>
                  <v>-0.01132686084142395</v>
                </pt>
                <pt idx="331">
                  <formatCode>0.00%</formatCode>
                  <v>-0.009593267882187938</v>
                </pt>
                <pt idx="332">
                  <formatCode>0.00%</formatCode>
                  <v>0.01130938849738577</v>
                </pt>
                <pt idx="333">
                  <formatCode>0.00%</formatCode>
                  <v>-0.006279346042880579</v>
                </pt>
                <pt idx="334">
                  <formatCode>0.00%</formatCode>
                  <v>0.005785264590777607</v>
                </pt>
                <pt idx="335">
                  <formatCode>0.00%</formatCode>
                  <v>0.001374334306820134</v>
                </pt>
                <pt idx="336">
                  <formatCode>0.00%</formatCode>
                  <v>0.03079397908767092</v>
                </pt>
                <pt idx="337">
                  <formatCode>0.00%</formatCode>
                  <v>0.02688543465745538</v>
                </pt>
                <pt idx="338">
                  <formatCode>0.00%</formatCode>
                  <v>-0.1831162182149155</v>
                </pt>
                <pt idx="339">
                  <formatCode>0.00%</formatCode>
                  <v>-0.5630400181900864</v>
                </pt>
                <pt idx="340">
                  <formatCode>0.00%</formatCode>
                  <v>-0.3421082427536232</v>
                </pt>
                <pt idx="341">
                  <formatCode>0.00%</formatCode>
                  <v>-0.08581157775255392</v>
                </pt>
                <pt idx="342">
                  <formatCode>0.00%</formatCode>
                  <v>-0.02212314464698911</v>
                </pt>
                <pt idx="343">
                  <formatCode>0.00%</formatCode>
                  <v>0.008156791661946302</v>
                </pt>
                <pt idx="344">
                  <formatCode>0.00%</formatCode>
                  <v>-0.004102275920202304</v>
                </pt>
                <pt idx="345">
                  <formatCode>0.00%</formatCode>
                  <v>0.0234544005465103</v>
                </pt>
                <pt idx="346">
                  <formatCode>0.00%</formatCode>
                  <v>-0.009981390627643376</v>
                </pt>
                <pt idx="347">
                  <formatCode>0.00%</formatCode>
                  <v>-0.02344598844856179</v>
                </pt>
                <pt idx="348">
                  <formatCode>0.00%</formatCode>
                  <v>0.0936907814067551</v>
                </pt>
                <pt idx="349">
                  <formatCode>0.00%</formatCode>
                  <v>0.04053372203845938</v>
                </pt>
                <pt idx="350">
                  <formatCode>0.00%</formatCode>
                  <v>0.4451949860724234</v>
                </pt>
                <pt idx="351">
                  <formatCode>0.00%</formatCode>
                  <v>1.731494731364642</v>
                </pt>
                <pt idx="352">
                  <formatCode>0.00%</formatCode>
                  <v>0.7652525600206522</v>
                </pt>
                <pt idx="353">
                  <formatCode>0.00%</formatCode>
                  <v>0.2842066054134592</v>
                </pt>
                <pt idx="354">
                  <formatCode>0.00%</formatCode>
                  <v>0.1860679863796387</v>
                </pt>
                <pt idx="355">
                  <formatCode>0.00%</formatCode>
                  <v>0.1449601078772896</v>
                </pt>
                <pt idx="356">
                  <formatCode>0.00%</formatCode>
                  <v>0.1421961403904751</v>
                </pt>
                <pt idx="357">
                  <formatCode>0.00%</formatCode>
                  <v>0.1585827122038047</v>
                </pt>
                <pt idx="358">
                  <formatCode>0.00%</formatCode>
                  <v>0.1646160856687172</v>
                </pt>
                <pt idx="359">
                  <formatCode>0.00%</formatCode>
                  <v>0.1239093517596768</v>
                </pt>
                <pt idx="360">
                  <formatCode>0.00%</formatCode>
                  <v>0.006013351679152015</v>
                </pt>
                <pt idx="361">
                  <formatCode>0.00%</formatCode>
                  <v>0.0556573275862069</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89136"/>
        <crosses val="autoZero"/>
        <lblOffset val="100"/>
        <baseTimeUnit val="months"/>
      </dateAx>
      <valAx>
        <axId val="156838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907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0.xml><?xml version="1.0" encoding="utf-8"?>
<chartSpace xmlns="http://schemas.openxmlformats.org/drawingml/2006/chart">
  <chart>
    <title>
      <tx>
        <strRef>
          <f>Table3[[#Headers],[ Miscellaneous stores retailers, mil$]]</f>
          <strCache>
            <ptCount val="1"/>
            <pt idx="0">
              <v xml:space="preserve"> Miscellaneous stores retailers,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'Miscellaneous stores retailers'!$B$6</f>
              <strCache>
                <ptCount val="1"/>
                <pt idx="0">
                  <v xml:space="preserve"> Miscellaneous stores retailers,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'Miscellaneous stores retailers'!$A$7:$A$368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'Miscellaneous stores retailers'!$B$7:$B$368</f>
              <numCache>
                <formatCode>#,##0</formatCode>
                <ptCount val="362"/>
                <pt idx="0">
                  <v>4318</v>
                </pt>
                <pt idx="1">
                  <v>4308</v>
                </pt>
                <pt idx="2">
                  <v>4292</v>
                </pt>
                <pt idx="3">
                  <v>4391</v>
                </pt>
                <pt idx="4">
                  <v>4356</v>
                </pt>
                <pt idx="5">
                  <v>4357</v>
                </pt>
                <pt idx="6">
                  <v>4468</v>
                </pt>
                <pt idx="7">
                  <v>4494</v>
                </pt>
                <pt idx="8">
                  <v>4549</v>
                </pt>
                <pt idx="9">
                  <v>4809</v>
                </pt>
                <pt idx="10">
                  <v>5059</v>
                </pt>
                <pt idx="11">
                  <v>5059</v>
                </pt>
                <pt idx="12">
                  <v>5352</v>
                </pt>
                <pt idx="13">
                  <v>4896</v>
                </pt>
                <pt idx="14">
                  <v>4811</v>
                </pt>
                <pt idx="15">
                  <v>5033</v>
                </pt>
                <pt idx="16">
                  <v>4967</v>
                </pt>
                <pt idx="17">
                  <v>5153</v>
                </pt>
                <pt idx="18">
                  <v>5064</v>
                </pt>
                <pt idx="19">
                  <v>5115</v>
                </pt>
                <pt idx="20">
                  <v>5222</v>
                </pt>
                <pt idx="21">
                  <v>5432</v>
                </pt>
                <pt idx="22">
                  <v>5159</v>
                </pt>
                <pt idx="23">
                  <v>5377</v>
                </pt>
                <pt idx="24">
                  <v>5288</v>
                </pt>
                <pt idx="25">
                  <v>5282</v>
                </pt>
                <pt idx="26">
                  <v>5593</v>
                </pt>
                <pt idx="27">
                  <v>5464</v>
                </pt>
                <pt idx="28">
                  <v>5756</v>
                </pt>
                <pt idx="29">
                  <v>5739</v>
                </pt>
                <pt idx="30">
                  <v>5933</v>
                </pt>
                <pt idx="31">
                  <v>6012</v>
                </pt>
                <pt idx="32">
                  <v>6092</v>
                </pt>
                <pt idx="33">
                  <v>6048</v>
                </pt>
                <pt idx="34">
                  <v>6074</v>
                </pt>
                <pt idx="35">
                  <v>6021</v>
                </pt>
                <pt idx="36">
                  <v>5955</v>
                </pt>
                <pt idx="37">
                  <v>6097</v>
                </pt>
                <pt idx="38">
                  <v>6134</v>
                </pt>
                <pt idx="39">
                  <v>6265</v>
                </pt>
                <pt idx="40">
                  <v>6372</v>
                </pt>
                <pt idx="41">
                  <v>6288</v>
                </pt>
                <pt idx="42">
                  <v>6398</v>
                </pt>
                <pt idx="43">
                  <v>6502</v>
                </pt>
                <pt idx="44">
                  <v>6413</v>
                </pt>
                <pt idx="45">
                  <v>6419</v>
                </pt>
                <pt idx="46">
                  <v>6520</v>
                </pt>
                <pt idx="47">
                  <v>6566</v>
                </pt>
                <pt idx="48">
                  <v>6202</v>
                </pt>
                <pt idx="49">
                  <v>6339</v>
                </pt>
                <pt idx="50">
                  <v>6473</v>
                </pt>
                <pt idx="51">
                  <v>6772</v>
                </pt>
                <pt idx="52">
                  <v>7128</v>
                </pt>
                <pt idx="53">
                  <v>7050</v>
                </pt>
                <pt idx="54">
                  <v>7018</v>
                </pt>
                <pt idx="55">
                  <v>6918</v>
                </pt>
                <pt idx="56">
                  <v>7011</v>
                </pt>
                <pt idx="57">
                  <v>7110</v>
                </pt>
                <pt idx="58">
                  <v>7154</v>
                </pt>
                <pt idx="59">
                  <v>7144</v>
                </pt>
                <pt idx="60">
                  <v>7295</v>
                </pt>
                <pt idx="61">
                  <v>7539</v>
                </pt>
                <pt idx="62">
                  <v>7459</v>
                </pt>
                <pt idx="63">
                  <v>7417</v>
                </pt>
                <pt idx="64">
                  <v>7181</v>
                </pt>
                <pt idx="65">
                  <v>7474</v>
                </pt>
                <pt idx="66">
                  <v>7464</v>
                </pt>
                <pt idx="67">
                  <v>7562</v>
                </pt>
                <pt idx="68">
                  <v>7664</v>
                </pt>
                <pt idx="69">
                  <v>7704</v>
                </pt>
                <pt idx="70">
                  <v>7707</v>
                </pt>
                <pt idx="71">
                  <v>7845</v>
                </pt>
                <pt idx="72">
                  <v>8070</v>
                </pt>
                <pt idx="73">
                  <v>7948</v>
                </pt>
                <pt idx="74">
                  <v>7957</v>
                </pt>
                <pt idx="75">
                  <v>7916</v>
                </pt>
                <pt idx="76">
                  <v>8037</v>
                </pt>
                <pt idx="77">
                  <v>8064</v>
                </pt>
                <pt idx="78">
                  <v>8240</v>
                </pt>
                <pt idx="79">
                  <v>8334</v>
                </pt>
                <pt idx="80">
                  <v>8378</v>
                </pt>
                <pt idx="81">
                  <v>8444</v>
                </pt>
                <pt idx="82">
                  <v>8448</v>
                </pt>
                <pt idx="83">
                  <v>8622</v>
                </pt>
                <pt idx="84">
                  <v>8454</v>
                </pt>
                <pt idx="85">
                  <v>8615</v>
                </pt>
                <pt idx="86">
                  <v>8503</v>
                </pt>
                <pt idx="87">
                  <v>8590</v>
                </pt>
                <pt idx="88">
                  <v>8585</v>
                </pt>
                <pt idx="89">
                  <v>8481</v>
                </pt>
                <pt idx="90">
                  <v>8350</v>
                </pt>
                <pt idx="91">
                  <v>8519</v>
                </pt>
                <pt idx="92">
                  <v>8597</v>
                </pt>
                <pt idx="93">
                  <v>8661</v>
                </pt>
                <pt idx="94">
                  <v>9058</v>
                </pt>
                <pt idx="95">
                  <v>9489</v>
                </pt>
                <pt idx="96">
                  <v>9136</v>
                </pt>
                <pt idx="97">
                  <v>9163</v>
                </pt>
                <pt idx="98">
                  <v>9189</v>
                </pt>
                <pt idx="99">
                  <v>9056</v>
                </pt>
                <pt idx="100">
                  <v>8760</v>
                </pt>
                <pt idx="101">
                  <v>8785</v>
                </pt>
                <pt idx="102">
                  <v>8789</v>
                </pt>
                <pt idx="103">
                  <v>8666</v>
                </pt>
                <pt idx="104">
                  <v>8925</v>
                </pt>
                <pt idx="105">
                  <v>8870</v>
                </pt>
                <pt idx="106">
                  <v>8829</v>
                </pt>
                <pt idx="107">
                  <v>8631</v>
                </pt>
                <pt idx="108">
                  <v>8466</v>
                </pt>
                <pt idx="109">
                  <v>8665</v>
                </pt>
                <pt idx="110">
                  <v>8897</v>
                </pt>
                <pt idx="111">
                  <v>8527</v>
                </pt>
                <pt idx="112">
                  <v>8752</v>
                </pt>
                <pt idx="113">
                  <v>8693</v>
                </pt>
                <pt idx="114">
                  <v>8671</v>
                </pt>
                <pt idx="115">
                  <v>8691</v>
                </pt>
                <pt idx="116">
                  <v>8377</v>
                </pt>
                <pt idx="117">
                  <v>8456</v>
                </pt>
                <pt idx="118">
                  <v>8548</v>
                </pt>
                <pt idx="119">
                  <v>8432</v>
                </pt>
                <pt idx="120">
                  <v>8447</v>
                </pt>
                <pt idx="121">
                  <v>8616</v>
                </pt>
                <pt idx="122">
                  <v>8380</v>
                </pt>
                <pt idx="123">
                  <v>8579</v>
                </pt>
                <pt idx="124">
                  <v>8539</v>
                </pt>
                <pt idx="125">
                  <v>8639</v>
                </pt>
                <pt idx="126">
                  <v>8575</v>
                </pt>
                <pt idx="127">
                  <v>8740</v>
                </pt>
                <pt idx="128">
                  <v>8724</v>
                </pt>
                <pt idx="129">
                  <v>8579</v>
                </pt>
                <pt idx="130">
                  <v>8362</v>
                </pt>
                <pt idx="131">
                  <v>8569</v>
                </pt>
                <pt idx="132">
                  <v>8565</v>
                </pt>
                <pt idx="133">
                  <v>8372</v>
                </pt>
                <pt idx="134">
                  <v>8405</v>
                </pt>
                <pt idx="135">
                  <v>8359</v>
                </pt>
                <pt idx="136">
                  <v>8525</v>
                </pt>
                <pt idx="137">
                  <v>8537</v>
                </pt>
                <pt idx="138">
                  <v>8497</v>
                </pt>
                <pt idx="139">
                  <v>8618</v>
                </pt>
                <pt idx="140">
                  <v>8442</v>
                </pt>
                <pt idx="141">
                  <v>8591</v>
                </pt>
                <pt idx="142">
                  <v>8530</v>
                </pt>
                <pt idx="143">
                  <v>8576</v>
                </pt>
                <pt idx="144">
                  <v>8665</v>
                </pt>
                <pt idx="145">
                  <v>8481</v>
                </pt>
                <pt idx="146">
                  <v>8552</v>
                </pt>
                <pt idx="147">
                  <v>8685</v>
                </pt>
                <pt idx="148">
                  <v>8869</v>
                </pt>
                <pt idx="149">
                  <v>8446</v>
                </pt>
                <pt idx="150">
                  <v>8554</v>
                </pt>
                <pt idx="151">
                  <v>8567</v>
                </pt>
                <pt idx="152">
                  <v>8596</v>
                </pt>
                <pt idx="153">
                  <v>8677</v>
                </pt>
                <pt idx="154">
                  <v>8877</v>
                </pt>
                <pt idx="155">
                  <v>8914</v>
                </pt>
                <pt idx="156">
                  <v>8784</v>
                </pt>
                <pt idx="157">
                  <v>8949</v>
                </pt>
                <pt idx="158">
                  <v>8890</v>
                </pt>
                <pt idx="159">
                  <v>8839</v>
                </pt>
                <pt idx="160">
                  <v>8932</v>
                </pt>
                <pt idx="161">
                  <v>8879</v>
                </pt>
                <pt idx="162">
                  <v>8927</v>
                </pt>
                <pt idx="163">
                  <v>8881</v>
                </pt>
                <pt idx="164">
                  <v>9010</v>
                </pt>
                <pt idx="165">
                  <v>9086</v>
                </pt>
                <pt idx="166">
                  <v>9151</v>
                </pt>
                <pt idx="167">
                  <v>9044</v>
                </pt>
                <pt idx="168">
                  <v>9620</v>
                </pt>
                <pt idx="169">
                  <v>9512</v>
                </pt>
                <pt idx="170">
                  <v>9398</v>
                </pt>
                <pt idx="171">
                  <v>9507</v>
                </pt>
                <pt idx="172">
                  <v>9475</v>
                </pt>
                <pt idx="173">
                  <v>9324</v>
                </pt>
                <pt idx="174">
                  <v>9287</v>
                </pt>
                <pt idx="175">
                  <v>9305</v>
                </pt>
                <pt idx="176">
                  <v>9378</v>
                </pt>
                <pt idx="177">
                  <v>9501</v>
                </pt>
                <pt idx="178">
                  <v>9563</v>
                </pt>
                <pt idx="179">
                  <v>9876</v>
                </pt>
                <pt idx="180">
                  <v>9629</v>
                </pt>
                <pt idx="181">
                  <v>9489</v>
                </pt>
                <pt idx="182">
                  <v>9771</v>
                </pt>
                <pt idx="183">
                  <v>9586</v>
                </pt>
                <pt idx="184">
                  <v>9843</v>
                </pt>
                <pt idx="185">
                  <v>9988</v>
                </pt>
                <pt idx="186">
                  <v>9759</v>
                </pt>
                <pt idx="187">
                  <v>9740</v>
                </pt>
                <pt idx="188">
                  <v>9783</v>
                </pt>
                <pt idx="189">
                  <v>9620</v>
                </pt>
                <pt idx="190">
                  <v>9632</v>
                </pt>
                <pt idx="191">
                  <v>9688</v>
                </pt>
                <pt idx="192">
                  <v>10074</v>
                </pt>
                <pt idx="193">
                  <v>9380</v>
                </pt>
                <pt idx="194">
                  <v>9355</v>
                </pt>
                <pt idx="195">
                  <v>9277</v>
                </pt>
                <pt idx="196">
                  <v>9310</v>
                </pt>
                <pt idx="197">
                  <v>9308</v>
                </pt>
                <pt idx="198">
                  <v>9583</v>
                </pt>
                <pt idx="199">
                  <v>9163</v>
                </pt>
                <pt idx="200">
                  <v>9080</v>
                </pt>
                <pt idx="201">
                  <v>8914</v>
                </pt>
                <pt idx="202">
                  <v>8630</v>
                </pt>
                <pt idx="203">
                  <v>8564</v>
                </pt>
                <pt idx="204">
                  <v>8511</v>
                </pt>
                <pt idx="205">
                  <v>8746</v>
                </pt>
                <pt idx="206">
                  <v>8615</v>
                </pt>
                <pt idx="207">
                  <v>8677</v>
                </pt>
                <pt idx="208">
                  <v>8426</v>
                </pt>
                <pt idx="209">
                  <v>8465</v>
                </pt>
                <pt idx="210">
                  <v>8352</v>
                </pt>
                <pt idx="211">
                  <v>8313</v>
                </pt>
                <pt idx="212">
                  <v>8385</v>
                </pt>
                <pt idx="213">
                  <v>8360</v>
                </pt>
                <pt idx="214">
                  <v>8406</v>
                </pt>
                <pt idx="215">
                  <v>8591</v>
                </pt>
                <pt idx="216">
                  <v>8365</v>
                </pt>
                <pt idx="217">
                  <v>8247</v>
                </pt>
                <pt idx="218">
                  <v>8704</v>
                </pt>
                <pt idx="219">
                  <v>8568</v>
                </pt>
                <pt idx="220">
                  <v>8628</v>
                </pt>
                <pt idx="221">
                  <v>8795</v>
                </pt>
                <pt idx="222">
                  <v>8610</v>
                </pt>
                <pt idx="223">
                  <v>8655</v>
                </pt>
                <pt idx="224">
                  <v>8766</v>
                </pt>
                <pt idx="225">
                  <v>8929</v>
                </pt>
                <pt idx="226">
                  <v>8905</v>
                </pt>
                <pt idx="227">
                  <v>8881</v>
                </pt>
                <pt idx="228">
                  <v>8823</v>
                </pt>
                <pt idx="229">
                  <v>9116</v>
                </pt>
                <pt idx="230">
                  <v>8846</v>
                </pt>
                <pt idx="231">
                  <v>9056</v>
                </pt>
                <pt idx="232">
                  <v>8975</v>
                </pt>
                <pt idx="233">
                  <v>9061</v>
                </pt>
                <pt idx="234">
                  <v>9171</v>
                </pt>
                <pt idx="235">
                  <v>9229</v>
                </pt>
                <pt idx="236">
                  <v>9159</v>
                </pt>
                <pt idx="237">
                  <v>9072</v>
                </pt>
                <pt idx="238">
                  <v>9045</v>
                </pt>
                <pt idx="239">
                  <v>8867</v>
                </pt>
                <pt idx="240">
                  <v>9307</v>
                </pt>
                <pt idx="241">
                  <v>9411</v>
                </pt>
                <pt idx="242">
                  <v>9186</v>
                </pt>
                <pt idx="243">
                  <v>9196</v>
                </pt>
                <pt idx="244">
                  <v>8890</v>
                </pt>
                <pt idx="245">
                  <v>9080</v>
                </pt>
                <pt idx="246">
                  <v>9182</v>
                </pt>
                <pt idx="247">
                  <v>9086</v>
                </pt>
                <pt idx="248">
                  <v>9107</v>
                </pt>
                <pt idx="249">
                  <v>9157</v>
                </pt>
                <pt idx="250">
                  <v>9088</v>
                </pt>
                <pt idx="251">
                  <v>9326</v>
                </pt>
                <pt idx="252">
                  <v>9223</v>
                </pt>
                <pt idx="253">
                  <v>9276</v>
                </pt>
                <pt idx="254">
                  <v>9367</v>
                </pt>
                <pt idx="255">
                  <v>9322</v>
                </pt>
                <pt idx="256">
                  <v>9319</v>
                </pt>
                <pt idx="257">
                  <v>9169</v>
                </pt>
                <pt idx="258">
                  <v>9209</v>
                </pt>
                <pt idx="259">
                  <v>9304</v>
                </pt>
                <pt idx="260">
                  <v>9502</v>
                </pt>
                <pt idx="261">
                  <v>9488</v>
                </pt>
                <pt idx="262">
                  <v>9555</v>
                </pt>
                <pt idx="263">
                  <v>9393</v>
                </pt>
                <pt idx="264">
                  <v>9251</v>
                </pt>
                <pt idx="265">
                  <v>9387</v>
                </pt>
                <pt idx="266">
                  <v>9473</v>
                </pt>
                <pt idx="267">
                  <v>9344</v>
                </pt>
                <pt idx="268">
                  <v>9535</v>
                </pt>
                <pt idx="269">
                  <v>9599</v>
                </pt>
                <pt idx="270">
                  <v>9623</v>
                </pt>
                <pt idx="271">
                  <v>9743</v>
                </pt>
                <pt idx="272">
                  <v>9719</v>
                </pt>
                <pt idx="273">
                  <v>9904</v>
                </pt>
                <pt idx="274">
                  <v>9828</v>
                </pt>
                <pt idx="275">
                  <v>9800</v>
                </pt>
                <pt idx="276">
                  <v>9847</v>
                </pt>
                <pt idx="277">
                  <v>9760</v>
                </pt>
                <pt idx="278">
                  <v>9788</v>
                </pt>
                <pt idx="279">
                  <v>9725</v>
                </pt>
                <pt idx="280">
                  <v>9997</v>
                </pt>
                <pt idx="281">
                  <v>10040</v>
                </pt>
                <pt idx="282">
                  <v>10059</v>
                </pt>
                <pt idx="283">
                  <v>10158</v>
                </pt>
                <pt idx="284">
                  <v>9714</v>
                </pt>
                <pt idx="285">
                  <v>9726</v>
                </pt>
                <pt idx="286">
                  <v>9863</v>
                </pt>
                <pt idx="287">
                  <v>9763</v>
                </pt>
                <pt idx="288">
                  <v>9786</v>
                </pt>
                <pt idx="289">
                  <v>9770</v>
                </pt>
                <pt idx="290">
                  <v>10009</v>
                </pt>
                <pt idx="291">
                  <v>10126</v>
                </pt>
                <pt idx="292">
                  <v>9996</v>
                </pt>
                <pt idx="293">
                  <v>10063</v>
                </pt>
                <pt idx="294">
                  <v>9997</v>
                </pt>
                <pt idx="295">
                  <v>9933</v>
                </pt>
                <pt idx="296">
                  <v>10196</v>
                </pt>
                <pt idx="297">
                  <v>10368</v>
                </pt>
                <pt idx="298">
                  <v>9962</v>
                </pt>
                <pt idx="299">
                  <v>10130</v>
                </pt>
                <pt idx="300">
                  <v>10110</v>
                </pt>
                <pt idx="301">
                  <v>10280</v>
                </pt>
                <pt idx="302">
                  <v>10189</v>
                </pt>
                <pt idx="303">
                  <v>10249</v>
                </pt>
                <pt idx="304">
                  <v>10043</v>
                </pt>
                <pt idx="305">
                  <v>10048</v>
                </pt>
                <pt idx="306">
                  <v>10258</v>
                </pt>
                <pt idx="307">
                  <v>10235</v>
                </pt>
                <pt idx="308">
                  <v>10354</v>
                </pt>
                <pt idx="309">
                  <v>10392</v>
                </pt>
                <pt idx="310">
                  <v>10590</v>
                </pt>
                <pt idx="311">
                  <v>10656</v>
                </pt>
                <pt idx="312">
                  <v>10855</v>
                </pt>
                <pt idx="313">
                  <v>10807</v>
                </pt>
                <pt idx="314">
                  <v>10711</v>
                </pt>
                <pt idx="315">
                  <v>10651</v>
                </pt>
                <pt idx="316">
                  <v>10810</v>
                </pt>
                <pt idx="317">
                  <v>10763</v>
                </pt>
                <pt idx="318">
                  <v>10411</v>
                </pt>
                <pt idx="319">
                  <v>10625</v>
                </pt>
                <pt idx="320">
                  <v>10659</v>
                </pt>
                <pt idx="321">
                  <v>10907</v>
                </pt>
                <pt idx="322">
                  <v>10779</v>
                </pt>
                <pt idx="323">
                  <v>10558</v>
                </pt>
                <pt idx="324">
                  <v>10346</v>
                </pt>
                <pt idx="325">
                  <v>10455</v>
                </pt>
                <pt idx="326">
                  <v>10601</v>
                </pt>
                <pt idx="327">
                  <v>10829</v>
                </pt>
                <pt idx="328">
                  <v>10885</v>
                </pt>
                <pt idx="329">
                  <v>11001</v>
                </pt>
                <pt idx="330">
                  <v>10900</v>
                </pt>
                <pt idx="331">
                  <v>11199</v>
                </pt>
                <pt idx="332">
                  <v>11208</v>
                </pt>
                <pt idx="333">
                  <v>11397</v>
                </pt>
                <pt idx="334">
                  <v>11445</v>
                </pt>
                <pt idx="335">
                  <v>11211</v>
                </pt>
                <pt idx="336">
                  <v>11667</v>
                </pt>
                <pt idx="337">
                  <v>11706</v>
                </pt>
                <pt idx="338">
                  <v>9874</v>
                </pt>
                <pt idx="339">
                  <v>7361</v>
                </pt>
                <pt idx="340">
                  <v>8897</v>
                </pt>
                <pt idx="341">
                  <v>11000</v>
                </pt>
                <pt idx="342">
                  <v>11505</v>
                </pt>
                <pt idx="343">
                  <v>11669</v>
                </pt>
                <pt idx="344">
                  <v>11733</v>
                </pt>
                <pt idx="345">
                  <v>11797</v>
                </pt>
                <pt idx="346">
                  <v>12028</v>
                </pt>
                <pt idx="347">
                  <v>12667</v>
                </pt>
                <pt idx="348">
                  <v>12744</v>
                </pt>
                <pt idx="349">
                  <v>12394</v>
                </pt>
                <pt idx="350">
                  <v>13746</v>
                </pt>
                <pt idx="351">
                  <v>13609</v>
                </pt>
                <pt idx="352">
                  <v>13169</v>
                </pt>
                <pt idx="353">
                  <v>13734</v>
                </pt>
                <pt idx="354">
                  <v>13902</v>
                </pt>
                <pt idx="355">
                  <v>14226</v>
                </pt>
                <pt idx="356">
                  <v>14675</v>
                </pt>
                <pt idx="357">
                  <v>14929</v>
                </pt>
                <pt idx="358">
                  <v>14886</v>
                </pt>
                <pt idx="359">
                  <v>15280</v>
                </pt>
                <pt idx="360">
                  <v>14816</v>
                </pt>
                <pt idx="361">
                  <v>15536</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0552"/>
        <crosses val="autoZero"/>
        <lblOffset val="100"/>
        <baseTimeUnit val="months"/>
      </dateAx>
      <valAx>
        <axId val="711780552"/>
        <scaling>
          <orientation val="minMax"/>
          <min val="4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5144"/>
        <crosses val="autoZero"/>
        <crossBetween val="between"/>
      </valAx>
    </plotArea>
    <plotVisOnly val="1"/>
    <dispBlanksAs val="gap"/>
  </chart>
</chartSpace>
</file>

<file path=xl/charts/chart31.xml><?xml version="1.0" encoding="utf-8"?>
<chartSpace xmlns="http://schemas.openxmlformats.org/drawingml/2006/chart">
  <chart>
    <title>
      <tx>
        <strRef>
          <f>Table3[[#Headers],[yoy]]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'Miscellaneous stores retailers'!$D$6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'Miscellaneous stores retailers'!$A$7:$A$368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'Miscellaneous stores retailers'!$D$7:$D$368</f>
              <numCache>
                <formatCode>General</formatCode>
                <ptCount val="362"/>
                <pt idx="12">
                  <formatCode>0.00%</formatCode>
                  <v>0.2394627142195461</v>
                </pt>
                <pt idx="13">
                  <formatCode>0.00%</formatCode>
                  <v>0.1364902506963788</v>
                </pt>
                <pt idx="14">
                  <formatCode>0.00%</formatCode>
                  <v>0.1209226467847157</v>
                </pt>
                <pt idx="15">
                  <formatCode>0.00%</formatCode>
                  <v>0.1462081530403097</v>
                </pt>
                <pt idx="16">
                  <formatCode>0.00%</formatCode>
                  <v>0.1402662993572084</v>
                </pt>
                <pt idx="17">
                  <formatCode>0.00%</formatCode>
                  <v>0.1826945145742483</v>
                </pt>
                <pt idx="18">
                  <formatCode>0.00%</formatCode>
                  <v>0.1333930170098478</v>
                </pt>
                <pt idx="19">
                  <formatCode>0.00%</formatCode>
                  <v>0.1381842456608812</v>
                </pt>
                <pt idx="20">
                  <formatCode>0.00%</formatCode>
                  <v>0.1479446032094966</v>
                </pt>
                <pt idx="21">
                  <formatCode>0.00%</formatCode>
                  <v>0.1295487627365356</v>
                </pt>
                <pt idx="22">
                  <formatCode>0.00%</formatCode>
                  <v>0.0197667523225934</v>
                </pt>
                <pt idx="23">
                  <formatCode>0.00%</formatCode>
                  <v>0.062858272385847</v>
                </pt>
                <pt idx="24">
                  <formatCode>0.00%</formatCode>
                  <v>-0.01195814648729447</v>
                </pt>
                <pt idx="25">
                  <formatCode>0.00%</formatCode>
                  <v>0.07883986928104575</v>
                </pt>
                <pt idx="26">
                  <formatCode>0.00%</formatCode>
                  <v>0.1625441696113074</v>
                </pt>
                <pt idx="27">
                  <formatCode>0.00%</formatCode>
                  <v>0.08563481025233459</v>
                </pt>
                <pt idx="28">
                  <formatCode>0.00%</formatCode>
                  <v>0.1588483994362794</v>
                </pt>
                <pt idx="29">
                  <formatCode>0.00%</formatCode>
                  <v>0.1137201630118378</v>
                </pt>
                <pt idx="30">
                  <formatCode>0.00%</formatCode>
                  <v>0.1716034755134281</v>
                </pt>
                <pt idx="31">
                  <formatCode>0.00%</formatCode>
                  <v>0.175366568914956</v>
                </pt>
                <pt idx="32">
                  <formatCode>0.00%</formatCode>
                  <v>0.1666028341631559</v>
                </pt>
                <pt idx="33">
                  <formatCode>0.00%</formatCode>
                  <v>0.1134020618556701</v>
                </pt>
                <pt idx="34">
                  <formatCode>0.00%</formatCode>
                  <v>0.1773599534793565</v>
                </pt>
                <pt idx="35">
                  <formatCode>0.00%</formatCode>
                  <v>0.1197693881346476</v>
                </pt>
                <pt idx="36">
                  <formatCode>0.00%</formatCode>
                  <v>0.1261346444780636</v>
                </pt>
                <pt idx="37">
                  <formatCode>0.00%</formatCode>
                  <v>0.154297614539947</v>
                </pt>
                <pt idx="38">
                  <formatCode>0.00%</formatCode>
                  <v>0.09672805292329698</v>
                </pt>
                <pt idx="39">
                  <formatCode>0.00%</formatCode>
                  <v>0.1465959004392386</v>
                </pt>
                <pt idx="40">
                  <formatCode>0.00%</formatCode>
                  <v>0.1070187630298819</v>
                </pt>
                <pt idx="41">
                  <formatCode>0.00%</formatCode>
                  <v>0.09566126502875065</v>
                </pt>
                <pt idx="42">
                  <formatCode>0.00%</formatCode>
                  <v>0.07837518961739423</v>
                </pt>
                <pt idx="43">
                  <formatCode>0.00%</formatCode>
                  <v>0.08150365934797073</v>
                </pt>
                <pt idx="44">
                  <formatCode>0.00%</formatCode>
                  <v>0.05269205515430072</v>
                </pt>
                <pt idx="45">
                  <formatCode>0.00%</formatCode>
                  <v>0.06134259259259259</v>
                </pt>
                <pt idx="46">
                  <formatCode>0.00%</formatCode>
                  <v>0.07342772472835035</v>
                </pt>
                <pt idx="47">
                  <formatCode>0.00%</formatCode>
                  <v>0.09051652549410397</v>
                </pt>
                <pt idx="48">
                  <formatCode>0.00%</formatCode>
                  <v>0.04147774979009236</v>
                </pt>
                <pt idx="49">
                  <formatCode>0.00%</formatCode>
                  <v>0.03969165163195014</v>
                </pt>
                <pt idx="50">
                  <formatCode>0.00%</formatCode>
                  <v>0.05526573198565373</v>
                </pt>
                <pt idx="51">
                  <formatCode>0.00%</formatCode>
                  <v>0.08092577813248204</v>
                </pt>
                <pt idx="52">
                  <formatCode>0.00%</formatCode>
                  <v>0.1186440677966102</v>
                </pt>
                <pt idx="53">
                  <formatCode>0.00%</formatCode>
                  <v>0.1211832061068702</v>
                </pt>
                <pt idx="54">
                  <formatCode>0.00%</formatCode>
                  <v>0.09690528290090654</v>
                </pt>
                <pt idx="55">
                  <formatCode>0.00%</formatCode>
                  <v>0.06398031374961551</v>
                </pt>
                <pt idx="56">
                  <formatCode>0.00%</formatCode>
                  <v>0.09324808981755808</v>
                </pt>
                <pt idx="57">
                  <formatCode>0.00%</formatCode>
                  <v>0.1076491665368437</v>
                </pt>
                <pt idx="58">
                  <formatCode>0.00%</formatCode>
                  <v>0.09723926380368098</v>
                </pt>
                <pt idx="59">
                  <formatCode>0.00%</formatCode>
                  <v>0.08802924154736522</v>
                </pt>
                <pt idx="60">
                  <formatCode>0.00%</formatCode>
                  <v>0.1762334730732022</v>
                </pt>
                <pt idx="61">
                  <formatCode>0.00%</formatCode>
                  <v>0.1893043066729768</v>
                </pt>
                <pt idx="62">
                  <formatCode>0.00%</formatCode>
                  <v>0.152325042484165</v>
                </pt>
                <pt idx="63">
                  <formatCode>0.00%</formatCode>
                  <v>0.09524512699350265</v>
                </pt>
                <pt idx="64">
                  <formatCode>0.00%</formatCode>
                  <v>0.007435465768799102</v>
                </pt>
                <pt idx="65">
                  <formatCode>0.00%</formatCode>
                  <v>0.06014184397163121</v>
                </pt>
                <pt idx="66">
                  <formatCode>0.00%</formatCode>
                  <v>0.06355086919350242</v>
                </pt>
                <pt idx="67">
                  <formatCode>0.00%</formatCode>
                  <v>0.09309048858051459</v>
                </pt>
                <pt idx="68">
                  <formatCode>0.00%</formatCode>
                  <v>0.09313935244615604</v>
                </pt>
                <pt idx="69">
                  <formatCode>0.00%</formatCode>
                  <v>0.08354430379746836</v>
                </pt>
                <pt idx="70">
                  <formatCode>0.00%</formatCode>
                  <v>0.07729941291585127</v>
                </pt>
                <pt idx="71">
                  <formatCode>0.00%</formatCode>
                  <v>0.09812430011198209</v>
                </pt>
                <pt idx="72">
                  <formatCode>0.00%</formatCode>
                  <v>0.1062371487320082</v>
                </pt>
                <pt idx="73">
                  <formatCode>0.00%</formatCode>
                  <v>0.05425122695317681</v>
                </pt>
                <pt idx="74">
                  <formatCode>0.00%</formatCode>
                  <v>0.06676498190105912</v>
                </pt>
                <pt idx="75">
                  <formatCode>0.00%</formatCode>
                  <v>0.06727787515167857</v>
                </pt>
                <pt idx="76">
                  <formatCode>0.00%</formatCode>
                  <v>0.1192034535580003</v>
                </pt>
                <pt idx="77">
                  <formatCode>0.00%</formatCode>
                  <v>0.07894032646507894</v>
                </pt>
                <pt idx="78">
                  <formatCode>0.00%</formatCode>
                  <v>0.1039657020364416</v>
                </pt>
                <pt idx="79">
                  <formatCode>0.00%</formatCode>
                  <v>0.1020893943401217</v>
                </pt>
                <pt idx="80">
                  <formatCode>0.00%</formatCode>
                  <v>0.09316283924843424</v>
                </pt>
                <pt idx="81">
                  <formatCode>0.00%</formatCode>
                  <v>0.0960539979231568</v>
                </pt>
                <pt idx="82">
                  <formatCode>0.00%</formatCode>
                  <v>0.09614636045153756</v>
                </pt>
                <pt idx="83">
                  <formatCode>0.00%</formatCode>
                  <v>0.09904397705544933</v>
                </pt>
                <pt idx="84">
                  <formatCode>0.00%</formatCode>
                  <v>0.04758364312267658</v>
                </pt>
                <pt idx="85">
                  <formatCode>0.00%</formatCode>
                  <v>0.08392048314041269</v>
                </pt>
                <pt idx="86">
                  <formatCode>0.00%</formatCode>
                  <v>0.06861882619077542</v>
                </pt>
                <pt idx="87">
                  <formatCode>0.00%</formatCode>
                  <v>0.08514401212733703</v>
                </pt>
                <pt idx="88">
                  <formatCode>0.00%</formatCode>
                  <v>0.06818464601219361</v>
                </pt>
                <pt idx="89">
                  <formatCode>0.00%</formatCode>
                  <v>0.05171130952380952</v>
                </pt>
                <pt idx="90">
                  <formatCode>0.00%</formatCode>
                  <v>0.0133495145631068</v>
                </pt>
                <pt idx="91">
                  <formatCode>0.00%</formatCode>
                  <v>0.02219822414206863</v>
                </pt>
                <pt idx="92">
                  <formatCode>0.00%</formatCode>
                  <v>0.02613989018858916</v>
                </pt>
                <pt idx="93">
                  <formatCode>0.00%</formatCode>
                  <v>0.02569872098531501</v>
                </pt>
                <pt idx="94">
                  <formatCode>0.00%</formatCode>
                  <v>0.07220643939393939</v>
                </pt>
                <pt idx="95">
                  <formatCode>0.00%</formatCode>
                  <v>0.1005567153792623</v>
                </pt>
                <pt idx="96">
                  <formatCode>0.00%</formatCode>
                  <v>0.08067187130352496</v>
                </pt>
                <pt idx="97">
                  <formatCode>0.00%</formatCode>
                  <v>0.06360998258850842</v>
                </pt>
                <pt idx="98">
                  <formatCode>0.00%</formatCode>
                  <v>0.08067740797365636</v>
                </pt>
                <pt idx="99">
                  <formatCode>0.00%</formatCode>
                  <v>0.05424912689173458</v>
                </pt>
                <pt idx="100">
                  <formatCode>0.00%</formatCode>
                  <v>0.0203843913803145</v>
                </pt>
                <pt idx="101">
                  <formatCode>0.00%</formatCode>
                  <v>0.03584482961914869</v>
                </pt>
                <pt idx="102">
                  <formatCode>0.00%</formatCode>
                  <v>0.0525748502994012</v>
                </pt>
                <pt idx="103">
                  <formatCode>0.00%</formatCode>
                  <v>0.01725554642563681</v>
                </pt>
                <pt idx="104">
                  <formatCode>0.00%</formatCode>
                  <v>0.0381528440153542</v>
                </pt>
                <pt idx="105">
                  <formatCode>0.00%</formatCode>
                  <v>0.02413116268329292</v>
                </pt>
                <pt idx="106">
                  <formatCode>0.00%</formatCode>
                  <v>-0.02528151909913888</v>
                </pt>
                <pt idx="107">
                  <formatCode>0.00%</formatCode>
                  <v>-0.09042048687954474</v>
                </pt>
                <pt idx="108">
                  <formatCode>0.00%</formatCode>
                  <v>-0.07333625218914186</v>
                </pt>
                <pt idx="109">
                  <formatCode>0.00%</formatCode>
                  <v>-0.05434901233220561</v>
                </pt>
                <pt idx="110">
                  <formatCode>0.00%</formatCode>
                  <v>-0.03177712482315812</v>
                </pt>
                <pt idx="111">
                  <formatCode>0.00%</formatCode>
                  <v>-0.0584143109540636</v>
                </pt>
                <pt idx="112">
                  <formatCode>0.00%</formatCode>
                  <v>-0.0009132420091324201</v>
                </pt>
                <pt idx="113">
                  <formatCode>0.00%</formatCode>
                  <v>-0.01047239612976665</v>
                </pt>
                <pt idx="114">
                  <formatCode>0.00%</formatCode>
                  <v>-0.01342587325065423</v>
                </pt>
                <pt idx="115">
                  <formatCode>0.00%</formatCode>
                  <v>0.002884837295176552</v>
                </pt>
                <pt idx="116">
                  <formatCode>0.00%</formatCode>
                  <v>-0.06140056022408964</v>
                </pt>
                <pt idx="117">
                  <formatCode>0.00%</formatCode>
                  <v>-0.04667418263810597</v>
                </pt>
                <pt idx="118">
                  <formatCode>0.00%</formatCode>
                  <v>-0.03182693396760675</v>
                </pt>
                <pt idx="119">
                  <formatCode>0.00%</formatCode>
                  <v>-0.02305642451627853</v>
                </pt>
                <pt idx="120">
                  <formatCode>0.00%</formatCode>
                  <v>-0.002244271202456886</v>
                </pt>
                <pt idx="121">
                  <formatCode>0.00%</formatCode>
                  <v>-0.005654933641084824</v>
                </pt>
                <pt idx="122">
                  <formatCode>0.00%</formatCode>
                  <v>-0.05810947510396763</v>
                </pt>
                <pt idx="123">
                  <formatCode>0.00%</formatCode>
                  <v>0.006098276064266448</v>
                </pt>
                <pt idx="124">
                  <formatCode>0.00%</formatCode>
                  <v>-0.02433729433272395</v>
                </pt>
                <pt idx="125">
                  <formatCode>0.00%</formatCode>
                  <v>-0.006211894627861498</v>
                </pt>
                <pt idx="126">
                  <formatCode>0.00%</formatCode>
                  <v>-0.01107138738323146</v>
                </pt>
                <pt idx="127">
                  <formatCode>0.00%</formatCode>
                  <v>0.005638016338741227</v>
                </pt>
                <pt idx="128">
                  <formatCode>0.00%</formatCode>
                  <v>0.04142294377462099</v>
                </pt>
                <pt idx="129">
                  <formatCode>0.00%</formatCode>
                  <v>0.01454588457899716</v>
                </pt>
                <pt idx="130">
                  <formatCode>0.00%</formatCode>
                  <v>-0.02175947590079551</v>
                </pt>
                <pt idx="131">
                  <formatCode>0.00%</formatCode>
                  <v>0.01624762808349146</v>
                </pt>
                <pt idx="132">
                  <formatCode>0.00%</formatCode>
                  <v>0.01396945661181485</v>
                </pt>
                <pt idx="133">
                  <formatCode>0.00%</formatCode>
                  <v>-0.02831940575673166</v>
                </pt>
                <pt idx="134">
                  <formatCode>0.00%</formatCode>
                  <v>0.002983293556085919</v>
                </pt>
                <pt idx="135">
                  <formatCode>0.00%</formatCode>
                  <v>-0.02564401445389906</v>
                </pt>
                <pt idx="136">
                  <formatCode>0.00%</formatCode>
                  <v>-0.001639536245461998</v>
                </pt>
                <pt idx="137">
                  <formatCode>0.00%</formatCode>
                  <v>-0.01180692209746498</v>
                </pt>
                <pt idx="138">
                  <formatCode>0.00%</formatCode>
                  <v>-0.009096209912536443</v>
                </pt>
                <pt idx="139">
                  <formatCode>0.00%</formatCode>
                  <v>-0.01395881006864989</v>
                </pt>
                <pt idx="140">
                  <formatCode>0.00%</formatCode>
                  <v>-0.03232462173314993</v>
                </pt>
                <pt idx="141">
                  <formatCode>0.00%</formatCode>
                  <v>0.00139876442475813</v>
                </pt>
                <pt idx="142">
                  <formatCode>0.00%</formatCode>
                  <v>0.02009088734752451</v>
                </pt>
                <pt idx="143">
                  <formatCode>0.00%</formatCode>
                  <v>0.0008168981211343214</v>
                </pt>
                <pt idx="144">
                  <formatCode>0.00%</formatCode>
                  <v>0.01167542323409224</v>
                </pt>
                <pt idx="145">
                  <formatCode>0.00%</formatCode>
                  <v>0.01301958910654563</v>
                </pt>
                <pt idx="146">
                  <formatCode>0.00%</formatCode>
                  <v>0.01748958953004164</v>
                </pt>
                <pt idx="147">
                  <formatCode>0.00%</formatCode>
                  <v>0.03899988036846513</v>
                </pt>
                <pt idx="148">
                  <formatCode>0.00%</formatCode>
                  <v>0.04035190615835777</v>
                </pt>
                <pt idx="149">
                  <formatCode>0.00%</formatCode>
                  <v>-0.0106594822537191</v>
                </pt>
                <pt idx="150">
                  <formatCode>0.00%</formatCode>
                  <v>0.006708249970577851</v>
                </pt>
                <pt idx="151">
                  <formatCode>0.00%</formatCode>
                  <v>-0.005917846368066837</v>
                </pt>
                <pt idx="152">
                  <formatCode>0.00%</formatCode>
                  <v>0.01824212271973466</v>
                </pt>
                <pt idx="153">
                  <formatCode>0.00%</formatCode>
                  <v>0.01001047607961821</v>
                </pt>
                <pt idx="154">
                  <formatCode>0.00%</formatCode>
                  <v>0.0406799531066823</v>
                </pt>
                <pt idx="155">
                  <formatCode>0.00%</formatCode>
                  <v>0.03941231343283582</v>
                </pt>
                <pt idx="156">
                  <formatCode>0.00%</formatCode>
                  <v>0.013733410271206</v>
                </pt>
                <pt idx="157">
                  <formatCode>0.00%</formatCode>
                  <v>0.05518217191368942</v>
                </pt>
                <pt idx="158">
                  <formatCode>0.00%</formatCode>
                  <v>0.03952291861552853</v>
                </pt>
                <pt idx="159">
                  <formatCode>0.00%</formatCode>
                  <v>0.01773172135866436</v>
                </pt>
                <pt idx="160">
                  <formatCode>0.00%</formatCode>
                  <v>0.007103393843725336</v>
                </pt>
                <pt idx="161">
                  <formatCode>0.00%</formatCode>
                  <v>0.05126687189201989</v>
                </pt>
                <pt idx="162">
                  <formatCode>0.00%</formatCode>
                  <v>0.04360533083937339</v>
                </pt>
                <pt idx="163">
                  <formatCode>0.00%</formatCode>
                  <v>0.0366522703396755</v>
                </pt>
                <pt idx="164">
                  <formatCode>0.00%</formatCode>
                  <v>0.04816193578408562</v>
                </pt>
                <pt idx="165">
                  <formatCode>0.00%</formatCode>
                  <v>0.04713610694940647</v>
                </pt>
                <pt idx="166">
                  <formatCode>0.00%</formatCode>
                  <v>0.03086628365438774</v>
                </pt>
                <pt idx="167">
                  <formatCode>0.00%</formatCode>
                  <v>0.01458380076284496</v>
                </pt>
                <pt idx="168">
                  <formatCode>0.00%</formatCode>
                  <v>0.09517304189435337</v>
                </pt>
                <pt idx="169">
                  <formatCode>0.00%</formatCode>
                  <v>0.06291205721309644</v>
                </pt>
                <pt idx="170">
                  <formatCode>0.00%</formatCode>
                  <v>0.05714285714285714</v>
                </pt>
                <pt idx="171">
                  <formatCode>0.00%</formatCode>
                  <v>0.07557415997284761</v>
                </pt>
                <pt idx="172">
                  <formatCode>0.00%</formatCode>
                  <v>0.06079265562024182</v>
                </pt>
                <pt idx="173">
                  <formatCode>0.00%</formatCode>
                  <v>0.05011825656042347</v>
                </pt>
                <pt idx="174">
                  <formatCode>0.00%</formatCode>
                  <v>0.04032709756917217</v>
                </pt>
                <pt idx="175">
                  <formatCode>0.00%</formatCode>
                  <v>0.04774237135457719</v>
                </pt>
                <pt idx="176">
                  <formatCode>0.00%</formatCode>
                  <v>0.04084350721420644</v>
                </pt>
                <pt idx="177">
                  <formatCode>0.00%</formatCode>
                  <v>0.04567466431873211</v>
                </pt>
                <pt idx="178">
                  <formatCode>0.00%</formatCode>
                  <v>0.04502240192328708</v>
                </pt>
                <pt idx="179">
                  <formatCode>0.00%</formatCode>
                  <v>0.09199469261388767</v>
                </pt>
                <pt idx="180">
                  <formatCode>0.00%</formatCode>
                  <v>0.0009355509355509356</v>
                </pt>
                <pt idx="181">
                  <formatCode>0.00%</formatCode>
                  <v>-0.002417998317914214</v>
                </pt>
                <pt idx="182">
                  <formatCode>0.00%</formatCode>
                  <v>0.0396892955948074</v>
                </pt>
                <pt idx="183">
                  <formatCode>0.00%</formatCode>
                  <v>0.008309666561481015</v>
                </pt>
                <pt idx="184">
                  <formatCode>0.00%</formatCode>
                  <v>0.03883905013192612</v>
                </pt>
                <pt idx="185">
                  <formatCode>0.00%</formatCode>
                  <v>0.07121407121407121</v>
                </pt>
                <pt idx="186">
                  <formatCode>0.00%</formatCode>
                  <v>0.05082373209863249</v>
                </pt>
                <pt idx="187">
                  <formatCode>0.00%</formatCode>
                  <v>0.04674905964535196</v>
                </pt>
                <pt idx="188">
                  <formatCode>0.00%</formatCode>
                  <v>0.04318618042226487</v>
                </pt>
                <pt idx="189">
                  <formatCode>0.00%</formatCode>
                  <v>0.01252499736869803</v>
                </pt>
                <pt idx="190">
                  <formatCode>0.00%</formatCode>
                  <v>0.0072153090034508</v>
                </pt>
                <pt idx="191">
                  <formatCode>0.00%</formatCode>
                  <v>-0.01903604698258404</v>
                </pt>
                <pt idx="192">
                  <formatCode>0.00%</formatCode>
                  <v>0.04621456018278118</v>
                </pt>
                <pt idx="193">
                  <formatCode>0.00%</formatCode>
                  <v>-0.01148698492991885</v>
                </pt>
                <pt idx="194">
                  <formatCode>0.00%</formatCode>
                  <v>-0.04257496673830723</v>
                </pt>
                <pt idx="195">
                  <formatCode>0.00%</formatCode>
                  <v>-0.03223450865846025</v>
                </pt>
                <pt idx="196">
                  <formatCode>0.00%</formatCode>
                  <v>-0.05415015747231535</v>
                </pt>
                <pt idx="197">
                  <formatCode>0.00%</formatCode>
                  <v>-0.06808169803764517</v>
                </pt>
                <pt idx="198">
                  <formatCode>0.00%</formatCode>
                  <v>-0.01803463469617789</v>
                </pt>
                <pt idx="199">
                  <formatCode>0.00%</formatCode>
                  <v>-0.05924024640657084</v>
                </pt>
                <pt idx="200">
                  <formatCode>0.00%</formatCode>
                  <v>-0.07185934784830829</v>
                </pt>
                <pt idx="201">
                  <formatCode>0.00%</formatCode>
                  <v>-0.07338877338877339</v>
                </pt>
                <pt idx="202">
                  <formatCode>0.00%</formatCode>
                  <v>-0.1040282392026578</v>
                </pt>
                <pt idx="203">
                  <formatCode>0.00%</formatCode>
                  <v>-0.1160198183319571</v>
                </pt>
                <pt idx="204">
                  <formatCode>0.00%</formatCode>
                  <v>-0.1551518761167361</v>
                </pt>
                <pt idx="205">
                  <formatCode>0.00%</formatCode>
                  <v>-0.067590618336887</v>
                </pt>
                <pt idx="206">
                  <formatCode>0.00%</formatCode>
                  <v>-0.07910208444681988</v>
                </pt>
                <pt idx="207">
                  <formatCode>0.00%</formatCode>
                  <v>-0.06467608062951385</v>
                </pt>
                <pt idx="208">
                  <formatCode>0.00%</formatCode>
                  <v>-0.09495166487647691</v>
                </pt>
                <pt idx="209">
                  <formatCode>0.00%</formatCode>
                  <v>-0.0905672539750752</v>
                </pt>
                <pt idx="210">
                  <formatCode>0.00%</formatCode>
                  <v>-0.1284566419701555</v>
                </pt>
                <pt idx="211">
                  <formatCode>0.00%</formatCode>
                  <v>-0.09276437847866419</v>
                </pt>
                <pt idx="212">
                  <formatCode>0.00%</formatCode>
                  <v>-0.07654185022026432</v>
                </pt>
                <pt idx="213">
                  <formatCode>0.00%</formatCode>
                  <v>-0.06214942786627776</v>
                </pt>
                <pt idx="214">
                  <formatCode>0.00%</formatCode>
                  <v>-0.02595596755504056</v>
                </pt>
                <pt idx="215">
                  <formatCode>0.00%</formatCode>
                  <v>0.003152732368052312</v>
                </pt>
                <pt idx="216">
                  <formatCode>0.00%</formatCode>
                  <v>-0.0171542709434849</v>
                </pt>
                <pt idx="217">
                  <formatCode>0.00%</formatCode>
                  <v>-0.05705465355591127</v>
                </pt>
                <pt idx="218">
                  <formatCode>0.00%</formatCode>
                  <v>0.01033081834010447</v>
                </pt>
                <pt idx="219">
                  <formatCode>0.00%</formatCode>
                  <v>-0.01256194537282471</v>
                </pt>
                <pt idx="220">
                  <formatCode>0.00%</formatCode>
                  <v>0.02397341561832423</v>
                </pt>
                <pt idx="221">
                  <formatCode>0.00%</formatCode>
                  <v>0.03898405197873597</v>
                </pt>
                <pt idx="222">
                  <formatCode>0.00%</formatCode>
                  <v>0.03089080459770115</v>
                </pt>
                <pt idx="223">
                  <formatCode>0.00%</formatCode>
                  <v>0.04114038253338145</v>
                </pt>
                <pt idx="224">
                  <formatCode>0.00%</formatCode>
                  <v>0.04543828264758498</v>
                </pt>
                <pt idx="225">
                  <formatCode>0.00%</formatCode>
                  <v>0.0680622009569378</v>
                </pt>
                <pt idx="226">
                  <formatCode>0.00%</formatCode>
                  <v>0.05936236021889127</v>
                </pt>
                <pt idx="227">
                  <formatCode>0.00%</formatCode>
                  <v>0.03375625654754976</v>
                </pt>
                <pt idx="228">
                  <formatCode>0.00%</formatCode>
                  <v>0.05475194261805141</v>
                </pt>
                <pt idx="229">
                  <formatCode>0.00%</formatCode>
                  <v>0.1053716502970777</v>
                </pt>
                <pt idx="230">
                  <formatCode>0.00%</formatCode>
                  <v>0.01631433823529412</v>
                </pt>
                <pt idx="231">
                  <formatCode>0.00%</formatCode>
                  <v>0.05695611577964519</v>
                </pt>
                <pt idx="232">
                  <formatCode>0.00%</formatCode>
                  <v>0.04021789522484933</v>
                </pt>
                <pt idx="233">
                  <formatCode>0.00%</formatCode>
                  <v>0.03024445707788516</v>
                </pt>
                <pt idx="234">
                  <formatCode>0.00%</formatCode>
                  <v>0.06515679442508711</v>
                </pt>
                <pt idx="235">
                  <formatCode>0.00%</formatCode>
                  <v>0.06632004621606008</v>
                </pt>
                <pt idx="236">
                  <formatCode>0.00%</formatCode>
                  <v>0.04483230663928816</v>
                </pt>
                <pt idx="237">
                  <formatCode>0.00%</formatCode>
                  <v>0.01601523126889909</v>
                </pt>
                <pt idx="238">
                  <formatCode>0.00%</formatCode>
                  <v>0.01572150477259966</v>
                </pt>
                <pt idx="239">
                  <formatCode>0.00%</formatCode>
                  <v>-0.001576399054160568</v>
                </pt>
                <pt idx="240">
                  <formatCode>0.00%</formatCode>
                  <v>0.05485662473081718</v>
                </pt>
                <pt idx="241">
                  <formatCode>0.00%</formatCode>
                  <v>0.03236068451075033</v>
                </pt>
                <pt idx="242">
                  <formatCode>0.00%</formatCode>
                  <v>0.03843545105132263</v>
                </pt>
                <pt idx="243">
                  <formatCode>0.00%</formatCode>
                  <v>0.01545936395759717</v>
                </pt>
                <pt idx="244">
                  <formatCode>0.00%</formatCode>
                  <v>-0.009470752089136491</v>
                </pt>
                <pt idx="245">
                  <formatCode>0.00%</formatCode>
                  <v>0.002096898797042269</v>
                </pt>
                <pt idx="246">
                  <formatCode>0.00%</formatCode>
                  <v>0.001199432995311307</v>
                </pt>
                <pt idx="247">
                  <formatCode>0.00%</formatCode>
                  <v>-0.01549463647199046</v>
                </pt>
                <pt idx="248">
                  <formatCode>0.00%</formatCode>
                  <v>-0.005677475706954907</v>
                </pt>
                <pt idx="249">
                  <formatCode>0.00%</formatCode>
                  <v>0.009369488536155202</v>
                </pt>
                <pt idx="250">
                  <formatCode>0.00%</formatCode>
                  <v>0.004754007739082366</v>
                </pt>
                <pt idx="251">
                  <formatCode>0.00%</formatCode>
                  <v>0.05176497124168265</v>
                </pt>
                <pt idx="252">
                  <formatCode>0.00%</formatCode>
                  <v>-0.009025464703986246</v>
                </pt>
                <pt idx="253">
                  <formatCode>0.00%</formatCode>
                  <v>-0.01434491552438636</v>
                </pt>
                <pt idx="254">
                  <formatCode>0.00%</formatCode>
                  <v>0.01970389723492271</v>
                </pt>
                <pt idx="255">
                  <formatCode>0.00%</formatCode>
                  <v>0.0137016093953893</v>
                </pt>
                <pt idx="256">
                  <formatCode>0.00%</formatCode>
                  <v>0.04825646794150731</v>
                </pt>
                <pt idx="257">
                  <formatCode>0.00%</formatCode>
                  <v>0.009801762114537444</v>
                </pt>
                <pt idx="258">
                  <formatCode>0.00%</formatCode>
                  <v>0.002940535830973644</v>
                </pt>
                <pt idx="259">
                  <formatCode>0.00%</formatCode>
                  <v>0.02399295619634603</v>
                </pt>
                <pt idx="260">
                  <formatCode>0.00%</formatCode>
                  <v>0.04337322938399034</v>
                </pt>
                <pt idx="261">
                  <formatCode>0.00%</formatCode>
                  <v>0.03614720978486404</v>
                </pt>
                <pt idx="262">
                  <formatCode>0.00%</formatCode>
                  <v>0.05138644366197183</v>
                </pt>
                <pt idx="263">
                  <formatCode>0.00%</formatCode>
                  <v>0.007184216169847738</v>
                </pt>
                <pt idx="264">
                  <formatCode>0.00%</formatCode>
                  <v>0.003035888539520763</v>
                </pt>
                <pt idx="265">
                  <formatCode>0.00%</formatCode>
                  <v>0.01196636481241915</v>
                </pt>
                <pt idx="266">
                  <formatCode>0.00%</formatCode>
                  <v>0.01131632326251735</v>
                </pt>
                <pt idx="267">
                  <formatCode>0.00%</formatCode>
                  <v>0.002360008581849388</v>
                </pt>
                <pt idx="268">
                  <formatCode>0.00%</formatCode>
                  <v>0.02317845262367207</v>
                </pt>
                <pt idx="269">
                  <formatCode>0.00%</formatCode>
                  <v>0.04689715345184862</v>
                </pt>
                <pt idx="270">
                  <formatCode>0.00%</formatCode>
                  <v>0.04495602128352699</v>
                </pt>
                <pt idx="271">
                  <formatCode>0.00%</formatCode>
                  <v>0.04718400687876182</v>
                </pt>
                <pt idx="272">
                  <formatCode>0.00%</formatCode>
                  <v>0.02283729741107135</v>
                </pt>
                <pt idx="273">
                  <formatCode>0.00%</formatCode>
                  <v>0.04384485666104553</v>
                </pt>
                <pt idx="274">
                  <formatCode>0.00%</formatCode>
                  <v>0.02857142857142857</v>
                </pt>
                <pt idx="275">
                  <formatCode>0.00%</formatCode>
                  <v>0.04333013946555946</v>
                </pt>
                <pt idx="276">
                  <formatCode>0.00%</formatCode>
                  <v>0.06442546751702519</v>
                </pt>
                <pt idx="277">
                  <formatCode>0.00%</formatCode>
                  <v>0.03973580483647598</v>
                </pt>
                <pt idx="278">
                  <formatCode>0.00%</formatCode>
                  <v>0.03325240156233505</v>
                </pt>
                <pt idx="279">
                  <formatCode>0.00%</formatCode>
                  <v>0.04077482876712329</v>
                </pt>
                <pt idx="280">
                  <formatCode>0.00%</formatCode>
                  <v>0.04845306764551652</v>
                </pt>
                <pt idx="281">
                  <formatCode>0.00%</formatCode>
                  <v>0.0459422856547557</v>
                </pt>
                <pt idx="282">
                  <formatCode>0.00%</formatCode>
                  <v>0.04530811597215006</v>
                </pt>
                <pt idx="283">
                  <formatCode>0.00%</formatCode>
                  <v>0.04259468336241404</v>
                </pt>
                <pt idx="284">
                  <formatCode>0.00%</formatCode>
                  <v>-0.000514456219775697</v>
                </pt>
                <pt idx="285">
                  <formatCode>0.00%</formatCode>
                  <v>-0.01797253634894992</v>
                </pt>
                <pt idx="286">
                  <formatCode>0.00%</formatCode>
                  <v>0.003561253561253561</v>
                </pt>
                <pt idx="287">
                  <formatCode>0.00%</formatCode>
                  <v>-0.003775510204081633</v>
                </pt>
                <pt idx="288">
                  <formatCode>0.00%</formatCode>
                  <v>-0.006194780136082056</v>
                </pt>
                <pt idx="289">
                  <formatCode>0.00%</formatCode>
                  <v>0.001024590163934426</v>
                </pt>
                <pt idx="290">
                  <formatCode>0.00%</formatCode>
                  <v>0.02257866775643645</v>
                </pt>
                <pt idx="291">
                  <formatCode>0.00%</formatCode>
                  <v>0.04123393316195373</v>
                </pt>
                <pt idx="292">
                  <formatCode>0.00%</formatCode>
                  <v>-0.0001000300090027008</v>
                </pt>
                <pt idx="293">
                  <formatCode>0.00%</formatCode>
                  <v>0.002290836653386454</v>
                </pt>
                <pt idx="294">
                  <formatCode>0.00%</formatCode>
                  <v>-0.006163634556118899</v>
                </pt>
                <pt idx="295">
                  <formatCode>0.00%</formatCode>
                  <v>-0.02215002953337271</v>
                </pt>
                <pt idx="296">
                  <formatCode>0.00%</formatCode>
                  <v>0.04961910644430718</v>
                </pt>
                <pt idx="297">
                  <formatCode>0.00%</formatCode>
                  <v>0.06600863664404688</v>
                </pt>
                <pt idx="298">
                  <formatCode>0.00%</formatCode>
                  <v>0.01003751394099158</v>
                </pt>
                <pt idx="299">
                  <formatCode>0.00%</formatCode>
                  <v>0.03759090443511216</v>
                </pt>
                <pt idx="300">
                  <formatCode>0.00%</formatCode>
                  <v>0.03310852237890864</v>
                </pt>
                <pt idx="301">
                  <formatCode>0.00%</formatCode>
                  <v>0.05220061412487206</v>
                </pt>
                <pt idx="302">
                  <formatCode>0.00%</formatCode>
                  <v>0.0179838145668898</v>
                </pt>
                <pt idx="303">
                  <formatCode>0.00%</formatCode>
                  <v>0.01214694844953585</v>
                </pt>
                <pt idx="304">
                  <formatCode>0.00%</formatCode>
                  <v>0.004701880752300921</v>
                </pt>
                <pt idx="305">
                  <formatCode>0.00%</formatCode>
                  <v>-0.001490609162277651</v>
                </pt>
                <pt idx="306">
                  <formatCode>0.00%</formatCode>
                  <v>0.02610783234970491</v>
                </pt>
                <pt idx="307">
                  <formatCode>0.00%</formatCode>
                  <v>0.03040370482230947</v>
                </pt>
                <pt idx="308">
                  <formatCode>0.00%</formatCode>
                  <v>0.01549627304825422</v>
                </pt>
                <pt idx="309">
                  <formatCode>0.00%</formatCode>
                  <v>0.002314814814814815</v>
                </pt>
                <pt idx="310">
                  <formatCode>0.00%</formatCode>
                  <v>0.06303955029110621</v>
                </pt>
                <pt idx="311">
                  <formatCode>0.00%</formatCode>
                  <v>0.05192497532082922</v>
                </pt>
                <pt idx="312">
                  <formatCode>0.00%</formatCode>
                  <v>0.07368941641938674</v>
                </pt>
                <pt idx="313">
                  <formatCode>0.00%</formatCode>
                  <v>0.05126459143968871</v>
                </pt>
                <pt idx="314">
                  <formatCode>0.00%</formatCode>
                  <v>0.05123172048287369</v>
                </pt>
                <pt idx="315">
                  <formatCode>0.00%</formatCode>
                  <v>0.03922333886232803</v>
                </pt>
                <pt idx="316">
                  <formatCode>0.00%</formatCode>
                  <v>0.07637160211092303</v>
                </pt>
                <pt idx="317">
                  <formatCode>0.00%</formatCode>
                  <v>0.07115843949044585</v>
                </pt>
                <pt idx="318">
                  <formatCode>0.00%</formatCode>
                  <v>0.0149151881458374</v>
                </pt>
                <pt idx="319">
                  <formatCode>0.00%</formatCode>
                  <v>0.03810454323400098</v>
                </pt>
                <pt idx="320">
                  <formatCode>0.00%</formatCode>
                  <v>0.02945721460305196</v>
                </pt>
                <pt idx="321">
                  <formatCode>0.00%</formatCode>
                  <v>0.04955735180908391</v>
                </pt>
                <pt idx="322">
                  <formatCode>0.00%</formatCode>
                  <v>0.01784702549575071</v>
                </pt>
                <pt idx="323">
                  <formatCode>0.00%</formatCode>
                  <v>-0.009196696696696696</v>
                </pt>
                <pt idx="324">
                  <formatCode>0.00%</formatCode>
                  <v>-0.04689083371718102</v>
                </pt>
                <pt idx="325">
                  <formatCode>0.00%</formatCode>
                  <v>-0.03257148144721014</v>
                </pt>
                <pt idx="326">
                  <formatCode>0.00%</formatCode>
                  <v>-0.01026981607693026</v>
                </pt>
                <pt idx="327">
                  <formatCode>0.00%</formatCode>
                  <v>0.01671204581729415</v>
                </pt>
                <pt idx="328">
                  <formatCode>0.00%</formatCode>
                  <v>0.006938020351526364</v>
                </pt>
                <pt idx="329">
                  <formatCode>0.00%</formatCode>
                  <v>0.02211279383071634</v>
                </pt>
                <pt idx="330">
                  <formatCode>0.00%</formatCode>
                  <v>0.04696955143598117</v>
                </pt>
                <pt idx="331">
                  <formatCode>0.00%</formatCode>
                  <v>0.05402352941176471</v>
                </pt>
                <pt idx="332">
                  <formatCode>0.00%</formatCode>
                  <v>0.05150576977202364</v>
                </pt>
                <pt idx="333">
                  <formatCode>0.00%</formatCode>
                  <v>0.04492527734482443</v>
                </pt>
                <pt idx="334">
                  <formatCode>0.00%</formatCode>
                  <v>0.06178680768160312</v>
                </pt>
                <pt idx="335">
                  <formatCode>0.00%</formatCode>
                  <v>0.06184883500663004</v>
                </pt>
                <pt idx="336">
                  <formatCode>0.00%</formatCode>
                  <v>0.1276821960177847</v>
                </pt>
                <pt idx="337">
                  <formatCode>0.00%</formatCode>
                  <v>0.1196556671449067</v>
                </pt>
                <pt idx="338">
                  <formatCode>0.00%</formatCode>
                  <v>-0.0685784359966041</v>
                </pt>
                <pt idx="339">
                  <formatCode>0.00%</formatCode>
                  <v>-0.3202511773940345</v>
                </pt>
                <pt idx="340">
                  <formatCode>0.00%</formatCode>
                  <v>-0.1826366559485531</v>
                </pt>
                <pt idx="341">
                  <formatCode>0.00%</formatCode>
                  <v>-9.09008271975275e-05</v>
                </pt>
                <pt idx="342">
                  <formatCode>0.00%</formatCode>
                  <v>0.05550458715596331</v>
                </pt>
                <pt idx="343">
                  <formatCode>0.00%</formatCode>
                  <v>0.04196803286007679</v>
                </pt>
                <pt idx="344">
                  <formatCode>0.00%</formatCode>
                  <v>0.04684154175588865</v>
                </pt>
                <pt idx="345">
                  <formatCode>0.00%</formatCode>
                  <v>0.03509695533912433</v>
                </pt>
                <pt idx="346">
                  <formatCode>0.00%</formatCode>
                  <v>0.0509392747924858</v>
                </pt>
                <pt idx="347">
                  <formatCode>0.00%</formatCode>
                  <v>0.1298724467041299</v>
                </pt>
                <pt idx="348">
                  <formatCode>0.00%</formatCode>
                  <v>0.09231164823862176</v>
                </pt>
                <pt idx="349">
                  <formatCode>0.00%</formatCode>
                  <v>0.05877327866051597</v>
                </pt>
                <pt idx="350">
                  <formatCode>0.00%</formatCode>
                  <v>0.3921409763013976</v>
                </pt>
                <pt idx="351">
                  <formatCode>0.00%</formatCode>
                  <v>0.8487977177013992</v>
                </pt>
                <pt idx="352">
                  <formatCode>0.00%</formatCode>
                  <v>0.4801618523097673</v>
                </pt>
                <pt idx="353">
                  <formatCode>0.00%</formatCode>
                  <v>0.2485454545454545</v>
                </pt>
                <pt idx="354">
                  <formatCode>0.00%</formatCode>
                  <v>0.2083441981747066</v>
                </pt>
                <pt idx="355">
                  <formatCode>0.00%</formatCode>
                  <v>0.2191276030508184</v>
                </pt>
                <pt idx="356">
                  <formatCode>0.00%</formatCode>
                  <v>0.2507457598227222</v>
                </pt>
                <pt idx="357">
                  <formatCode>0.00%</formatCode>
                  <v>0.2654912265830296</v>
                </pt>
                <pt idx="358">
                  <formatCode>0.00%</formatCode>
                  <v>0.2376122381110742</v>
                </pt>
                <pt idx="359">
                  <formatCode>0.00%</formatCode>
                  <v>0.2062840451567064</v>
                </pt>
                <pt idx="360">
                  <formatCode>0.00%</formatCode>
                  <v>0.162586315128688</v>
                </pt>
                <pt idx="361">
                  <formatCode>0.00%</formatCode>
                  <v>0.253509762788446</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0552"/>
        <crosses val="autoZero"/>
        <lblOffset val="100"/>
        <baseTimeUnit val="months"/>
      </dateAx>
      <valAx>
        <axId val="7117805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5144"/>
        <crosses val="autoZero"/>
        <crossBetween val="between"/>
      </valAx>
    </plotArea>
    <plotVisOnly val="1"/>
    <dispBlanksAs val="gap"/>
  </chart>
</chartSpace>
</file>

<file path=xl/charts/chart32.xml><?xml version="1.0" encoding="utf-8"?>
<chartSpace xmlns="http://schemas.openxmlformats.org/drawingml/2006/chart">
  <chart>
    <title>
      <tx>
        <strRef>
          <f>Table35[[#Headers],[Clothing and clothing access. Stores, mil$]]</f>
          <strCache>
            <ptCount val="1"/>
            <pt idx="0">
              <v>Clothing and clothing access. Stores,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'Clothing and clothing access'!$B$6</f>
              <strCache>
                <ptCount val="1"/>
                <pt idx="0">
                  <v>Clothing and clothing access. Stores,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'Clothing and clothing access'!$A$7:$A$368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'Clothing and clothing access'!$B$7:$B$368</f>
              <numCache>
                <formatCode>#,##0</formatCode>
                <ptCount val="362"/>
                <pt idx="0">
                  <v>9716</v>
                </pt>
                <pt idx="1">
                  <v>9712</v>
                </pt>
                <pt idx="2">
                  <v>9669</v>
                </pt>
                <pt idx="3">
                  <v>9862</v>
                </pt>
                <pt idx="4">
                  <v>9755</v>
                </pt>
                <pt idx="5">
                  <v>9915</v>
                </pt>
                <pt idx="6">
                  <v>9957</v>
                </pt>
                <pt idx="7">
                  <v>10141</v>
                </pt>
                <pt idx="8">
                  <v>10154</v>
                </pt>
                <pt idx="9">
                  <v>10174</v>
                </pt>
                <pt idx="10">
                  <v>10076</v>
                </pt>
                <pt idx="11">
                  <v>10318</v>
                </pt>
                <pt idx="12">
                  <v>10581</v>
                </pt>
                <pt idx="13">
                  <v>10150</v>
                </pt>
                <pt idx="14">
                  <v>9916</v>
                </pt>
                <pt idx="15">
                  <v>10257</v>
                </pt>
                <pt idx="16">
                  <v>10386</v>
                </pt>
                <pt idx="17">
                  <v>10411</v>
                </pt>
                <pt idx="18">
                  <v>10593</v>
                </pt>
                <pt idx="19">
                  <v>10406</v>
                </pt>
                <pt idx="20">
                  <v>10549</v>
                </pt>
                <pt idx="21">
                  <v>10449</v>
                </pt>
                <pt idx="22">
                  <v>10475</v>
                </pt>
                <pt idx="23">
                  <v>10442</v>
                </pt>
                <pt idx="24">
                  <v>10450</v>
                </pt>
                <pt idx="25">
                  <v>10587</v>
                </pt>
                <pt idx="26">
                  <v>10806</v>
                </pt>
                <pt idx="27">
                  <v>10554</v>
                </pt>
                <pt idx="28">
                  <v>10451</v>
                </pt>
                <pt idx="29">
                  <v>10612</v>
                </pt>
                <pt idx="30">
                  <v>10672</v>
                </pt>
                <pt idx="31">
                  <v>10839</v>
                </pt>
                <pt idx="32">
                  <v>10674</v>
                </pt>
                <pt idx="33">
                  <v>11000</v>
                </pt>
                <pt idx="34">
                  <v>10983</v>
                </pt>
                <pt idx="35">
                  <v>10952</v>
                </pt>
                <pt idx="36">
                  <v>10939</v>
                </pt>
                <pt idx="37">
                  <v>10582</v>
                </pt>
                <pt idx="38">
                  <v>10850</v>
                </pt>
                <pt idx="39">
                  <v>10796</v>
                </pt>
                <pt idx="40">
                  <v>10976</v>
                </pt>
                <pt idx="41">
                  <v>10948</v>
                </pt>
                <pt idx="42">
                  <v>10824</v>
                </pt>
                <pt idx="43">
                  <v>10813</v>
                </pt>
                <pt idx="44">
                  <v>11198</v>
                </pt>
                <pt idx="45">
                  <v>10882</v>
                </pt>
                <pt idx="46">
                  <v>11269</v>
                </pt>
                <pt idx="47">
                  <v>11124</v>
                </pt>
                <pt idx="48">
                  <v>11105</v>
                </pt>
                <pt idx="49">
                  <v>11341</v>
                </pt>
                <pt idx="50">
                  <v>11376</v>
                </pt>
                <pt idx="51">
                  <v>11422</v>
                </pt>
                <pt idx="52">
                  <v>11504</v>
                </pt>
                <pt idx="53">
                  <v>11365</v>
                </pt>
                <pt idx="54">
                  <v>11316</v>
                </pt>
                <pt idx="55">
                  <v>11360</v>
                </pt>
                <pt idx="56">
                  <v>11534</v>
                </pt>
                <pt idx="57">
                  <v>11577</v>
                </pt>
                <pt idx="58">
                  <v>11318</v>
                </pt>
                <pt idx="59">
                  <v>11435</v>
                </pt>
                <pt idx="60">
                  <v>11513</v>
                </pt>
                <pt idx="61">
                  <v>11468</v>
                </pt>
                <pt idx="62">
                  <v>11623</v>
                </pt>
                <pt idx="63">
                  <v>11195</v>
                </pt>
                <pt idx="64">
                  <v>11413</v>
                </pt>
                <pt idx="65">
                  <v>11643</v>
                </pt>
                <pt idx="66">
                  <v>11735</v>
                </pt>
                <pt idx="67">
                  <v>11828</v>
                </pt>
                <pt idx="68">
                  <v>11845</v>
                </pt>
                <pt idx="69">
                  <v>11881</v>
                </pt>
                <pt idx="70">
                  <v>11936</v>
                </pt>
                <pt idx="71">
                  <v>12110</v>
                </pt>
                <pt idx="72">
                  <v>12154</v>
                </pt>
                <pt idx="73">
                  <v>12199</v>
                </pt>
                <pt idx="74">
                  <v>12164</v>
                </pt>
                <pt idx="75">
                  <v>12459</v>
                </pt>
                <pt idx="76">
                  <v>12304</v>
                </pt>
                <pt idx="77">
                  <v>12447</v>
                </pt>
                <pt idx="78">
                  <v>12559</v>
                </pt>
                <pt idx="79">
                  <v>12460</v>
                </pt>
                <pt idx="80">
                  <v>12180</v>
                </pt>
                <pt idx="81">
                  <v>12540</v>
                </pt>
                <pt idx="82">
                  <v>12736</v>
                </pt>
                <pt idx="83">
                  <v>12746</v>
                </pt>
                <pt idx="84">
                  <v>12897</v>
                </pt>
                <pt idx="85">
                  <v>12920</v>
                </pt>
                <pt idx="86">
                  <v>13075</v>
                </pt>
                <pt idx="87">
                  <v>13139</v>
                </pt>
                <pt idx="88">
                  <v>13373</v>
                </pt>
                <pt idx="89">
                  <v>13373</v>
                </pt>
                <pt idx="90">
                  <v>13270</v>
                </pt>
                <pt idx="91">
                  <v>13404</v>
                </pt>
                <pt idx="92">
                  <v>13381</v>
                </pt>
                <pt idx="93">
                  <v>13400</v>
                </pt>
                <pt idx="94">
                  <v>13416</v>
                </pt>
                <pt idx="95">
                  <v>13573</v>
                </pt>
                <pt idx="96">
                  <v>13301</v>
                </pt>
                <pt idx="97">
                  <v>13532</v>
                </pt>
                <pt idx="98">
                  <v>13818</v>
                </pt>
                <pt idx="99">
                  <v>13801</v>
                </pt>
                <pt idx="100">
                  <v>14027</v>
                </pt>
                <pt idx="101">
                  <v>13864</v>
                </pt>
                <pt idx="102">
                  <v>13722</v>
                </pt>
                <pt idx="103">
                  <v>14072</v>
                </pt>
                <pt idx="104">
                  <v>14366</v>
                </pt>
                <pt idx="105">
                  <v>14231</v>
                </pt>
                <pt idx="106">
                  <v>14294</v>
                </pt>
                <pt idx="107">
                  <v>14084</v>
                </pt>
                <pt idx="108">
                  <v>14135</v>
                </pt>
                <pt idx="109">
                  <v>14166</v>
                </pt>
                <pt idx="110">
                  <v>13801</v>
                </pt>
                <pt idx="111">
                  <v>14217</v>
                </pt>
                <pt idx="112">
                  <v>13950</v>
                </pt>
                <pt idx="113">
                  <v>13804</v>
                </pt>
                <pt idx="114">
                  <v>13994</v>
                </pt>
                <pt idx="115">
                  <v>14171</v>
                </pt>
                <pt idx="116">
                  <v>13286</v>
                </pt>
                <pt idx="117">
                  <v>13973</v>
                </pt>
                <pt idx="118">
                  <v>13970</v>
                </pt>
                <pt idx="119">
                  <v>14126</v>
                </pt>
                <pt idx="120">
                  <v>14220</v>
                </pt>
                <pt idx="121">
                  <v>14357</v>
                </pt>
                <pt idx="122">
                  <v>14436</v>
                </pt>
                <pt idx="123">
                  <v>14410</v>
                </pt>
                <pt idx="124">
                  <v>14220</v>
                </pt>
                <pt idx="125">
                  <v>14366</v>
                </pt>
                <pt idx="126">
                  <v>14200</v>
                </pt>
                <pt idx="127">
                  <v>14338</v>
                </pt>
                <pt idx="128">
                  <v>13966</v>
                </pt>
                <pt idx="129">
                  <v>14625</v>
                </pt>
                <pt idx="130">
                  <v>14456</v>
                </pt>
                <pt idx="131">
                  <v>14714</v>
                </pt>
                <pt idx="132">
                  <v>14565</v>
                </pt>
                <pt idx="133">
                  <v>14142</v>
                </pt>
                <pt idx="134">
                  <v>14465</v>
                </pt>
                <pt idx="135">
                  <v>14434</v>
                </pt>
                <pt idx="136">
                  <v>14651</v>
                </pt>
                <pt idx="137">
                  <v>14894</v>
                </pt>
                <pt idx="138">
                  <v>15141</v>
                </pt>
                <pt idx="139">
                  <v>15089</v>
                </pt>
                <pt idx="140">
                  <v>15175</v>
                </pt>
                <pt idx="141">
                  <v>15067</v>
                </pt>
                <pt idx="142">
                  <v>15338</v>
                </pt>
                <pt idx="143">
                  <v>15456</v>
                </pt>
                <pt idx="144">
                  <v>15513</v>
                </pt>
                <pt idx="145">
                  <v>15687</v>
                </pt>
                <pt idx="146">
                  <v>15984</v>
                </pt>
                <pt idx="147">
                  <v>15567</v>
                </pt>
                <pt idx="148">
                  <v>15736</v>
                </pt>
                <pt idx="149">
                  <v>15555</v>
                </pt>
                <pt idx="150">
                  <v>15645</v>
                </pt>
                <pt idx="151">
                  <v>15660</v>
                </pt>
                <pt idx="152">
                  <v>15764</v>
                </pt>
                <pt idx="153">
                  <v>16055</v>
                </pt>
                <pt idx="154">
                  <v>16044</v>
                </pt>
                <pt idx="155">
                  <v>16183</v>
                </pt>
                <pt idx="156">
                  <v>16125</v>
                </pt>
                <pt idx="157">
                  <v>16674</v>
                </pt>
                <pt idx="158">
                  <v>16293</v>
                </pt>
                <pt idx="159">
                  <v>16636</v>
                </pt>
                <pt idx="160">
                  <v>16514</v>
                </pt>
                <pt idx="161">
                  <v>16824</v>
                </pt>
                <pt idx="162">
                  <v>16450</v>
                </pt>
                <pt idx="163">
                  <v>16759</v>
                </pt>
                <pt idx="164">
                  <v>16450</v>
                </pt>
                <pt idx="165">
                  <v>17120</v>
                </pt>
                <pt idx="166">
                  <v>17142</v>
                </pt>
                <pt idx="167">
                  <v>17207</v>
                </pt>
                <pt idx="168">
                  <v>17331</v>
                </pt>
                <pt idx="169">
                  <v>17384</v>
                </pt>
                <pt idx="170">
                  <v>17385</v>
                </pt>
                <pt idx="171">
                  <v>17542</v>
                </pt>
                <pt idx="172">
                  <v>17492</v>
                </pt>
                <pt idx="173">
                  <v>17701</v>
                </pt>
                <pt idx="174">
                  <v>17691</v>
                </pt>
                <pt idx="175">
                  <v>17635</v>
                </pt>
                <pt idx="176">
                  <v>18256</v>
                </pt>
                <pt idx="177">
                  <v>18126</v>
                </pt>
                <pt idx="178">
                  <v>17910</v>
                </pt>
                <pt idx="179">
                  <v>18497</v>
                </pt>
                <pt idx="180">
                  <v>18493</v>
                </pt>
                <pt idx="181">
                  <v>18144</v>
                </pt>
                <pt idx="182">
                  <v>18643</v>
                </pt>
                <pt idx="183">
                  <v>18189</v>
                </pt>
                <pt idx="184">
                  <v>18545</v>
                </pt>
                <pt idx="185">
                  <v>18388</v>
                </pt>
                <pt idx="186">
                  <v>18522</v>
                </pt>
                <pt idx="187">
                  <v>18491</v>
                </pt>
                <pt idx="188">
                  <v>18412</v>
                </pt>
                <pt idx="189">
                  <v>18431</v>
                </pt>
                <pt idx="190">
                  <v>18759</v>
                </pt>
                <pt idx="191">
                  <v>18570</v>
                </pt>
                <pt idx="192">
                  <v>18542</v>
                </pt>
                <pt idx="193">
                  <v>18280</v>
                </pt>
                <pt idx="194">
                  <v>18338</v>
                </pt>
                <pt idx="195">
                  <v>18384</v>
                </pt>
                <pt idx="196">
                  <v>18642</v>
                </pt>
                <pt idx="197">
                  <v>18708</v>
                </pt>
                <pt idx="198">
                  <v>18635</v>
                </pt>
                <pt idx="199">
                  <v>18524</v>
                </pt>
                <pt idx="200">
                  <v>17560</v>
                </pt>
                <pt idx="201">
                  <v>17317</v>
                </pt>
                <pt idx="202">
                  <v>17173</v>
                </pt>
                <pt idx="203">
                  <v>16868</v>
                </pt>
                <pt idx="204">
                  <v>17159</v>
                </pt>
                <pt idx="205">
                  <v>17401</v>
                </pt>
                <pt idx="206">
                  <v>16510</v>
                </pt>
                <pt idx="207">
                  <v>16900</v>
                </pt>
                <pt idx="208">
                  <v>17038</v>
                </pt>
                <pt idx="209">
                  <v>16817</v>
                </pt>
                <pt idx="210">
                  <v>17015</v>
                </pt>
                <pt idx="211">
                  <v>17233</v>
                </pt>
                <pt idx="212">
                  <v>17172</v>
                </pt>
                <pt idx="213">
                  <v>17296</v>
                </pt>
                <pt idx="214">
                  <v>17105</v>
                </pt>
                <pt idx="215">
                  <v>17127</v>
                </pt>
                <pt idx="216">
                  <v>17346</v>
                </pt>
                <pt idx="217">
                  <v>17404</v>
                </pt>
                <pt idx="218">
                  <v>17918</v>
                </pt>
                <pt idx="219">
                  <v>17705</v>
                </pt>
                <pt idx="220">
                  <v>17653</v>
                </pt>
                <pt idx="221">
                  <v>17522</v>
                </pt>
                <pt idx="222">
                  <v>17578</v>
                </pt>
                <pt idx="223">
                  <v>17662</v>
                </pt>
                <pt idx="224">
                  <v>17687</v>
                </pt>
                <pt idx="225">
                  <v>18000</v>
                </pt>
                <pt idx="226">
                  <v>18435</v>
                </pt>
                <pt idx="227">
                  <v>18178</v>
                </pt>
                <pt idx="228">
                  <v>18363</v>
                </pt>
                <pt idx="229">
                  <v>18592</v>
                </pt>
                <pt idx="230">
                  <v>18718</v>
                </pt>
                <pt idx="231">
                  <v>18957</v>
                </pt>
                <pt idx="232">
                  <v>18846</v>
                </pt>
                <pt idx="233">
                  <v>19182</v>
                </pt>
                <pt idx="234">
                  <v>18998</v>
                </pt>
                <pt idx="235">
                  <v>18922</v>
                </pt>
                <pt idx="236">
                  <v>19489</v>
                </pt>
                <pt idx="237">
                  <v>19136</v>
                </pt>
                <pt idx="238">
                  <v>19311</v>
                </pt>
                <pt idx="239">
                  <v>19494</v>
                </pt>
                <pt idx="240">
                  <v>19588</v>
                </pt>
                <pt idx="241">
                  <v>20269</v>
                </pt>
                <pt idx="242">
                  <v>20058</v>
                </pt>
                <pt idx="243">
                  <v>19533</v>
                </pt>
                <pt idx="244">
                  <v>19657</v>
                </pt>
                <pt idx="245">
                  <v>19878</v>
                </pt>
                <pt idx="246">
                  <v>19724</v>
                </pt>
                <pt idx="247">
                  <v>19931</v>
                </pt>
                <pt idx="248">
                  <v>20119</v>
                </pt>
                <pt idx="249">
                  <v>19939</v>
                </pt>
                <pt idx="250">
                  <v>19972</v>
                </pt>
                <pt idx="251">
                  <v>20162</v>
                </pt>
                <pt idx="252">
                  <v>20434</v>
                </pt>
                <pt idx="253">
                  <v>20305</v>
                </pt>
                <pt idx="254">
                  <v>20316</v>
                </pt>
                <pt idx="255">
                  <v>20498</v>
                </pt>
                <pt idx="256">
                  <v>20376</v>
                </pt>
                <pt idx="257">
                  <v>20368</v>
                </pt>
                <pt idx="258">
                  <v>20578</v>
                </pt>
                <pt idx="259">
                  <v>20315</v>
                </pt>
                <pt idx="260">
                  <v>20305</v>
                </pt>
                <pt idx="261">
                  <v>20790</v>
                </pt>
                <pt idx="262">
                  <v>20279</v>
                </pt>
                <pt idx="263">
                  <v>20565</v>
                </pt>
                <pt idx="264">
                  <v>20517</v>
                </pt>
                <pt idx="265">
                  <v>20543</v>
                </pt>
                <pt idx="266">
                  <v>20667</v>
                </pt>
                <pt idx="267">
                  <v>21161</v>
                </pt>
                <pt idx="268">
                  <v>20765</v>
                </pt>
                <pt idx="269">
                  <v>20799</v>
                </pt>
                <pt idx="270">
                  <v>20918</v>
                </pt>
                <pt idx="271">
                  <v>21035</v>
                </pt>
                <pt idx="272">
                  <v>20830</v>
                </pt>
                <pt idx="273">
                  <v>21121</v>
                </pt>
                <pt idx="274">
                  <v>21394</v>
                </pt>
                <pt idx="275">
                  <v>21296</v>
                </pt>
                <pt idx="276">
                  <v>21039</v>
                </pt>
                <pt idx="277">
                  <v>21326</v>
                </pt>
                <pt idx="278">
                  <v>21381</v>
                </pt>
                <pt idx="279">
                  <v>21444</v>
                </pt>
                <pt idx="280">
                  <v>21626</v>
                </pt>
                <pt idx="281">
                  <v>21391</v>
                </pt>
                <pt idx="282">
                  <v>21548</v>
                </pt>
                <pt idx="283">
                  <v>21587</v>
                </pt>
                <pt idx="284">
                  <v>21446</v>
                </pt>
                <pt idx="285">
                  <v>21239</v>
                </pt>
                <pt idx="286">
                  <v>21348</v>
                </pt>
                <pt idx="287">
                  <v>21506</v>
                </pt>
                <pt idx="288">
                  <v>21289</v>
                </pt>
                <pt idx="289">
                  <v>21962</v>
                </pt>
                <pt idx="290">
                  <v>21491</v>
                </pt>
                <pt idx="291">
                  <v>21407</v>
                </pt>
                <pt idx="292">
                  <v>21579</v>
                </pt>
                <pt idx="293">
                  <v>21673</v>
                </pt>
                <pt idx="294">
                  <v>21431</v>
                </pt>
                <pt idx="295">
                  <v>21787</v>
                </pt>
                <pt idx="296">
                  <v>21906</v>
                </pt>
                <pt idx="297">
                  <v>21696</v>
                </pt>
                <pt idx="298">
                  <v>21629</v>
                </pt>
                <pt idx="299">
                  <v>21951</v>
                </pt>
                <pt idx="300">
                  <v>22025</v>
                </pt>
                <pt idx="301">
                  <v>21654</v>
                </pt>
                <pt idx="302">
                  <v>21760</v>
                </pt>
                <pt idx="303">
                  <v>21777</v>
                </pt>
                <pt idx="304">
                  <v>21648</v>
                </pt>
                <pt idx="305">
                  <v>21791</v>
                </pt>
                <pt idx="306">
                  <v>21619</v>
                </pt>
                <pt idx="307">
                  <v>21779</v>
                </pt>
                <pt idx="308">
                  <v>21897</v>
                </pt>
                <pt idx="309">
                  <v>21796</v>
                </pt>
                <pt idx="310">
                  <v>22068</v>
                </pt>
                <pt idx="311">
                  <v>21760</v>
                </pt>
                <pt idx="312">
                  <v>21848</v>
                </pt>
                <pt idx="313">
                  <v>22365</v>
                </pt>
                <pt idx="314">
                  <v>21697</v>
                </pt>
                <pt idx="315">
                  <v>22045</v>
                </pt>
                <pt idx="316">
                  <v>22855</v>
                </pt>
                <pt idx="317">
                  <v>22343</v>
                </pt>
                <pt idx="318">
                  <v>22698</v>
                </pt>
                <pt idx="319">
                  <v>22101</v>
                </pt>
                <pt idx="320">
                  <v>22112</v>
                </pt>
                <pt idx="321">
                  <v>22506</v>
                </pt>
                <pt idx="322">
                  <v>22535</v>
                </pt>
                <pt idx="323">
                  <v>22028</v>
                </pt>
                <pt idx="324">
                  <v>22040</v>
                </pt>
                <pt idx="325">
                  <v>22012</v>
                </pt>
                <pt idx="326">
                  <v>22431</v>
                </pt>
                <pt idx="327">
                  <v>22360</v>
                </pt>
                <pt idx="328">
                  <v>22246</v>
                </pt>
                <pt idx="329">
                  <v>22374</v>
                </pt>
                <pt idx="330">
                  <v>22548</v>
                </pt>
                <pt idx="331">
                  <v>22432</v>
                </pt>
                <pt idx="332">
                  <v>22415</v>
                </pt>
                <pt idx="333">
                  <v>22400</v>
                </pt>
                <pt idx="334">
                  <v>22272</v>
                </pt>
                <pt idx="335">
                  <v>22941</v>
                </pt>
                <pt idx="336">
                  <v>22914</v>
                </pt>
                <pt idx="337">
                  <v>22560</v>
                </pt>
                <pt idx="338">
                  <v>11494</v>
                </pt>
                <pt idx="339">
                  <v>2836</v>
                </pt>
                <pt idx="340">
                  <v>8394</v>
                </pt>
                <pt idx="341">
                  <v>17361</v>
                </pt>
                <pt idx="342">
                  <v>18067</v>
                </pt>
                <pt idx="343">
                  <v>18679</v>
                </pt>
                <pt idx="344">
                  <v>21334</v>
                </pt>
                <pt idx="345">
                  <v>20797</v>
                </pt>
                <pt idx="346">
                  <v>19657</v>
                </pt>
                <pt idx="347">
                  <v>20095</v>
                </pt>
                <pt idx="348">
                  <v>21351</v>
                </pt>
                <pt idx="349">
                  <v>20180</v>
                </pt>
                <pt idx="350">
                  <v>25012</v>
                </pt>
                <pt idx="351">
                  <v>24660</v>
                </pt>
                <pt idx="352">
                  <v>25586</v>
                </pt>
                <pt idx="353">
                  <v>26464</v>
                </pt>
                <pt idx="354">
                  <v>25776</v>
                </pt>
                <pt idx="355">
                  <v>25776</v>
                </pt>
                <pt idx="356">
                  <v>26293</v>
                </pt>
                <pt idx="357">
                  <v>26349</v>
                </pt>
                <pt idx="358">
                  <v>26491</v>
                </pt>
                <pt idx="359">
                  <v>26061</v>
                </pt>
                <pt idx="360">
                  <v>26120</v>
                </pt>
                <pt idx="361">
                  <v>26463</v>
                </pt>
              </numCache>
            </numRef>
          </val>
          <smooth val="0"/>
        </ser>
        <dLbls>
          <showLegendKey val="0"/>
          <showVal val="0"/>
          <showCatName val="0"/>
          <showSerName val="0"/>
          <showPercent val="0"/>
          <showBubbleSize val="0"/>
        </dLbls>
        <smooth val="0"/>
        <axId val="1153239463"/>
        <axId val="1153239135"/>
      </lineChart>
      <dateAx>
        <axId val="1153239463"/>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3239135"/>
        <crosses val="autoZero"/>
        <lblOffset val="100"/>
        <baseTimeUnit val="months"/>
      </dateAx>
      <valAx>
        <axId val="1153239135"/>
        <scaling>
          <orientation val="minMax"/>
          <min val="9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3239463"/>
        <crosses val="autoZero"/>
        <crossBetween val="between"/>
      </valAx>
    </plotArea>
    <plotVisOnly val="1"/>
    <dispBlanksAs val="gap"/>
  </chart>
</chartSpace>
</file>

<file path=xl/charts/chart33.xml><?xml version="1.0" encoding="utf-8"?>
<chartSpace xmlns="http://schemas.openxmlformats.org/drawingml/2006/chart">
  <chart>
    <title>
      <tx>
        <strRef>
          <f>Table35[[#Headers],[yoy]]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'Clothing and clothing access'!$D$6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'Clothing and clothing access'!$A$7:$A$368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'Clothing and clothing access'!$D$7:$D$368</f>
              <numCache>
                <formatCode>General</formatCode>
                <ptCount val="362"/>
                <pt idx="12">
                  <formatCode>0.00%</formatCode>
                  <v>0.08902840675174969</v>
                </pt>
                <pt idx="13">
                  <formatCode>0.00%</formatCode>
                  <v>0.04509884678747941</v>
                </pt>
                <pt idx="14">
                  <formatCode>0.00%</formatCode>
                  <v>0.02554555796876616</v>
                </pt>
                <pt idx="15">
                  <formatCode>0.00%</formatCode>
                  <v>0.04005272764145204</v>
                </pt>
                <pt idx="16">
                  <formatCode>0.00%</formatCode>
                  <v>0.06468477703741671</v>
                </pt>
                <pt idx="17">
                  <formatCode>0.00%</formatCode>
                  <v>0.05002521432173475</v>
                </pt>
                <pt idx="18">
                  <formatCode>0.00%</formatCode>
                  <v>0.06387466104248267</v>
                </pt>
                <pt idx="19">
                  <formatCode>0.00%</formatCode>
                  <v>0.0261315452125037</v>
                </pt>
                <pt idx="20">
                  <formatCode>0.00%</formatCode>
                  <v>0.03890092574354934</v>
                </pt>
                <pt idx="21">
                  <formatCode>0.00%</formatCode>
                  <v>0.02702968350697857</v>
                </pt>
                <pt idx="22">
                  <formatCode>0.00%</formatCode>
                  <v>0.03959904724096864</v>
                </pt>
                <pt idx="23">
                  <formatCode>0.00%</formatCode>
                  <v>0.0120178329133553</v>
                </pt>
                <pt idx="24">
                  <formatCode>0.00%</formatCode>
                  <v>-0.01238068235516492</v>
                </pt>
                <pt idx="25">
                  <formatCode>0.00%</formatCode>
                  <v>0.04305418719211822</v>
                </pt>
                <pt idx="26">
                  <formatCode>0.00%</formatCode>
                  <v>0.08975393303751512</v>
                </pt>
                <pt idx="27">
                  <formatCode>0.00%</formatCode>
                  <v>0.02895583503948523</v>
                </pt>
                <pt idx="28">
                  <formatCode>0.00%</formatCode>
                  <v>0.00625842480261891</v>
                </pt>
                <pt idx="29">
                  <formatCode>0.00%</formatCode>
                  <v>0.01930650273748919</v>
                </pt>
                <pt idx="30">
                  <formatCode>0.00%</formatCode>
                  <v>0.007457755121306523</v>
                </pt>
                <pt idx="31">
                  <formatCode>0.00%</formatCode>
                  <v>0.04161060926388622</v>
                </pt>
                <pt idx="32">
                  <formatCode>0.00%</formatCode>
                  <v>0.01184946440420893</v>
                </pt>
                <pt idx="33">
                  <formatCode>0.00%</formatCode>
                  <v>0.05273231888218968</v>
                </pt>
                <pt idx="34">
                  <formatCode>0.00%</formatCode>
                  <v>0.0484964200477327</v>
                </pt>
                <pt idx="35">
                  <formatCode>0.00%</formatCode>
                  <v>0.0488412181574411</v>
                </pt>
                <pt idx="36">
                  <formatCode>0.00%</formatCode>
                  <v>0.04679425837320574</v>
                </pt>
                <pt idx="37">
                  <formatCode>0.00%</formatCode>
                  <v>-0.0004722773212430339</v>
                </pt>
                <pt idx="38">
                  <formatCode>0.00%</formatCode>
                  <v>0.004071811956320563</v>
                </pt>
                <pt idx="39">
                  <formatCode>0.00%</formatCode>
                  <v>0.02292969490240667</v>
                </pt>
                <pt idx="40">
                  <formatCode>0.00%</formatCode>
                  <v>0.05023442732752847</v>
                </pt>
                <pt idx="41">
                  <formatCode>0.00%</formatCode>
                  <v>0.0316622691292876</v>
                </pt>
                <pt idx="42">
                  <formatCode>0.00%</formatCode>
                  <v>0.01424287856071964</v>
                </pt>
                <pt idx="43">
                  <formatCode>0.00%</formatCode>
                  <v>-0.002398745271704032</v>
                </pt>
                <pt idx="44">
                  <formatCode>0.00%</formatCode>
                  <v>0.04909124976578602</v>
                </pt>
                <pt idx="45">
                  <formatCode>0.00%</formatCode>
                  <v>-0.01072727272727273</v>
                </pt>
                <pt idx="46">
                  <formatCode>0.00%</formatCode>
                  <v>0.02604024401347537</v>
                </pt>
                <pt idx="47">
                  <formatCode>0.00%</formatCode>
                  <v>0.01570489408327246</v>
                </pt>
                <pt idx="48">
                  <formatCode>0.00%</formatCode>
                  <v>0.0151750617058232</v>
                </pt>
                <pt idx="49">
                  <formatCode>0.00%</formatCode>
                  <v>0.07172557172557173</v>
                </pt>
                <pt idx="50">
                  <formatCode>0.00%</formatCode>
                  <v>0.04847926267281106</v>
                </pt>
                <pt idx="51">
                  <formatCode>0.00%</formatCode>
                  <v>0.05798443868099296</v>
                </pt>
                <pt idx="52">
                  <formatCode>0.00%</formatCode>
                  <v>0.04810495626822157</v>
                </pt>
                <pt idx="53">
                  <formatCode>0.00%</formatCode>
                  <v>0.03808914870295944</v>
                </pt>
                <pt idx="54">
                  <formatCode>0.00%</formatCode>
                  <v>0.04545454545454546</v>
                </pt>
                <pt idx="55">
                  <formatCode>0.00%</formatCode>
                  <v>0.05058725608064367</v>
                </pt>
                <pt idx="56">
                  <formatCode>0.00%</formatCode>
                  <v>0.03000535809966065</v>
                </pt>
                <pt idx="57">
                  <formatCode>0.00%</formatCode>
                  <v>0.06386693622495865</v>
                </pt>
                <pt idx="58">
                  <formatCode>0.00%</formatCode>
                  <v>0.004348211908776289</v>
                </pt>
                <pt idx="59">
                  <formatCode>0.00%</formatCode>
                  <v>0.02795756921970514</v>
                </pt>
                <pt idx="60">
                  <formatCode>0.00%</formatCode>
                  <v>0.03674020711391265</v>
                </pt>
                <pt idx="61">
                  <formatCode>0.00%</formatCode>
                  <v>0.01119830702759898</v>
                </pt>
                <pt idx="62">
                  <formatCode>0.00%</formatCode>
                  <v>0.02171237693389592</v>
                </pt>
                <pt idx="63">
                  <formatCode>0.00%</formatCode>
                  <v>-0.01987392750831728</v>
                </pt>
                <pt idx="64">
                  <formatCode>0.00%</formatCode>
                  <v>-0.00791029207232267</v>
                </pt>
                <pt idx="65">
                  <formatCode>0.00%</formatCode>
                  <v>0.02446106467223933</v>
                </pt>
                <pt idx="66">
                  <formatCode>0.00%</formatCode>
                  <v>0.03702721809826794</v>
                </pt>
                <pt idx="67">
                  <formatCode>0.00%</formatCode>
                  <v>0.04119718309859155</v>
                </pt>
                <pt idx="68">
                  <formatCode>0.00%</formatCode>
                  <v>0.0269637593202705</v>
                </pt>
                <pt idx="69">
                  <formatCode>0.00%</formatCode>
                  <v>0.02625896173447352</v>
                </pt>
                <pt idx="70">
                  <formatCode>0.00%</formatCode>
                  <v>0.05460328679978795</v>
                </pt>
                <pt idx="71">
                  <formatCode>0.00%</formatCode>
                  <v>0.05902929602098819</v>
                </pt>
                <pt idx="72">
                  <formatCode>0.00%</formatCode>
                  <v>0.05567619213063493</v>
                </pt>
                <pt idx="73">
                  <formatCode>0.00%</formatCode>
                  <v>0.06374258807115452</v>
                </pt>
                <pt idx="74">
                  <formatCode>0.00%</formatCode>
                  <v>0.04654564226103416</v>
                </pt>
                <pt idx="75">
                  <formatCode>0.00%</formatCode>
                  <v>0.1129075480125056</v>
                </pt>
                <pt idx="76">
                  <formatCode>0.00%</formatCode>
                  <v>0.07806886883378604</v>
                </pt>
                <pt idx="77">
                  <formatCode>0.00%</formatCode>
                  <v>0.06905436743107446</v>
                </pt>
                <pt idx="78">
                  <formatCode>0.00%</formatCode>
                  <v>0.07021729867916489</v>
                </pt>
                <pt idx="79">
                  <formatCode>0.00%</formatCode>
                  <v>0.05343253297260737</v>
                </pt>
                <pt idx="80">
                  <formatCode>0.00%</formatCode>
                  <v>0.02828197551709582</v>
                </pt>
                <pt idx="81">
                  <formatCode>0.00%</formatCode>
                  <v>0.05546671155626631</v>
                </pt>
                <pt idx="82">
                  <formatCode>0.00%</formatCode>
                  <v>0.06702412868632708</v>
                </pt>
                <pt idx="83">
                  <formatCode>0.00%</formatCode>
                  <v>0.05251857968620974</v>
                </pt>
                <pt idx="84">
                  <formatCode>0.00%</formatCode>
                  <v>0.06113213756787889</v>
                </pt>
                <pt idx="85">
                  <formatCode>0.00%</formatCode>
                  <v>0.05910320518075252</v>
                </pt>
                <pt idx="86">
                  <formatCode>0.00%</formatCode>
                  <v>0.07489312726076948</v>
                </pt>
                <pt idx="87">
                  <formatCode>0.00%</formatCode>
                  <v>0.05457901918291998</v>
                </pt>
                <pt idx="88">
                  <formatCode>0.00%</formatCode>
                  <v>0.08688231469440832</v>
                </pt>
                <pt idx="89">
                  <formatCode>0.00%</formatCode>
                  <v>0.07439543665140194</v>
                </pt>
                <pt idx="90">
                  <formatCode>0.00%</formatCode>
                  <v>0.05661278764232821</v>
                </pt>
                <pt idx="91">
                  <formatCode>0.00%</formatCode>
                  <v>0.07576243980738363</v>
                </pt>
                <pt idx="92">
                  <formatCode>0.00%</formatCode>
                  <v>0.09860426929392446</v>
                </pt>
                <pt idx="93">
                  <formatCode>0.00%</formatCode>
                  <v>0.0685805422647528</v>
                </pt>
                <pt idx="94">
                  <formatCode>0.00%</formatCode>
                  <v>0.05339195979899498</v>
                </pt>
                <pt idx="95">
                  <formatCode>0.00%</formatCode>
                  <v>0.0648831005805743</v>
                </pt>
                <pt idx="96">
                  <formatCode>0.00%</formatCode>
                  <v>0.03132511436768241</v>
                </pt>
                <pt idx="97">
                  <formatCode>0.00%</formatCode>
                  <v>0.04736842105263158</v>
                </pt>
                <pt idx="98">
                  <formatCode>0.00%</formatCode>
                  <v>0.05682600382409178</v>
                </pt>
                <pt idx="99">
                  <formatCode>0.00%</formatCode>
                  <v>0.05038435192937057</v>
                </pt>
                <pt idx="100">
                  <formatCode>0.00%</formatCode>
                  <v>0.04890450908547073</v>
                </pt>
                <pt idx="101">
                  <formatCode>0.00%</formatCode>
                  <v>0.03671577058251701</v>
                </pt>
                <pt idx="102">
                  <formatCode>0.00%</formatCode>
                  <v>0.03406179351921627</v>
                </pt>
                <pt idx="103">
                  <formatCode>0.00%</formatCode>
                  <v>0.0498358698895852</v>
                </pt>
                <pt idx="104">
                  <formatCode>0.00%</formatCode>
                  <v>0.07361183768029295</v>
                </pt>
                <pt idx="105">
                  <formatCode>0.00%</formatCode>
                  <v>0.06201492537313433</v>
                </pt>
                <pt idx="106">
                  <formatCode>0.00%</formatCode>
                  <v>0.06544424567680382</v>
                </pt>
                <pt idx="107">
                  <formatCode>0.00%</formatCode>
                  <v>0.03764827230531202</v>
                </pt>
                <pt idx="108">
                  <formatCode>0.00%</formatCode>
                  <v>0.06270205247725735</v>
                </pt>
                <pt idx="109">
                  <formatCode>0.00%</formatCode>
                  <v>0.04685190659178244</v>
                </pt>
                <pt idx="110">
                  <formatCode>0.00%</formatCode>
                  <v>-0.001230279345780865</v>
                </pt>
                <pt idx="111">
                  <formatCode>0.00%</formatCode>
                  <v>0.0301427432794725</v>
                </pt>
                <pt idx="112">
                  <formatCode>0.00%</formatCode>
                  <v>-0.005489413274399372</v>
                </pt>
                <pt idx="113">
                  <formatCode>0.00%</formatCode>
                  <v>-0.004327755337564916</v>
                </pt>
                <pt idx="114">
                  <formatCode>0.00%</formatCode>
                  <v>0.01982218335519604</v>
                </pt>
                <pt idx="115">
                  <formatCode>0.00%</formatCode>
                  <v>0.007035247299602047</v>
                </pt>
                <pt idx="116">
                  <formatCode>0.00%</formatCode>
                  <v>-0.07517750243630796</v>
                </pt>
                <pt idx="117">
                  <formatCode>0.00%</formatCode>
                  <v>-0.01812943573887991</v>
                </pt>
                <pt idx="118">
                  <formatCode>0.00%</formatCode>
                  <v>-0.02266685322512943</v>
                </pt>
                <pt idx="119">
                  <formatCode>0.00%</formatCode>
                  <v>0.002982107355864811</v>
                </pt>
                <pt idx="120">
                  <formatCode>0.00%</formatCode>
                  <v>0.006013441811107181</v>
                </pt>
                <pt idx="121">
                  <formatCode>0.00%</formatCode>
                  <v>0.01348298743470281</v>
                </pt>
                <pt idx="122">
                  <formatCode>0.00%</formatCode>
                  <v>0.0460111586116948</v>
                </pt>
                <pt idx="123">
                  <formatCode>0.00%</formatCode>
                  <v>0.01357529717943307</v>
                </pt>
                <pt idx="124">
                  <formatCode>0.00%</formatCode>
                  <v>0.01935483870967742</v>
                </pt>
                <pt idx="125">
                  <formatCode>0.00%</formatCode>
                  <v>0.04071283685888148</v>
                </pt>
                <pt idx="126">
                  <formatCode>0.00%</formatCode>
                  <v>0.01472059454051737</v>
                </pt>
                <pt idx="127">
                  <formatCode>0.00%</formatCode>
                  <v>0.0117846305835862</v>
                </pt>
                <pt idx="128">
                  <formatCode>0.00%</formatCode>
                  <v>0.05118169501731146</v>
                </pt>
                <pt idx="129">
                  <formatCode>0.00%</formatCode>
                  <v>0.0466614184498676</v>
                </pt>
                <pt idx="130">
                  <formatCode>0.00%</formatCode>
                  <v>0.03478883321403006</v>
                </pt>
                <pt idx="131">
                  <formatCode>0.00%</formatCode>
                  <v>0.04162537165510406</v>
                </pt>
                <pt idx="132">
                  <formatCode>0.00%</formatCode>
                  <v>0.02426160337552742</v>
                </pt>
                <pt idx="133">
                  <formatCode>0.00%</formatCode>
                  <v>-0.01497527338580483</v>
                </pt>
                <pt idx="134">
                  <formatCode>0.00%</formatCode>
                  <v>0.00200886672208368</v>
                </pt>
                <pt idx="135">
                  <formatCode>0.00%</formatCode>
                  <v>0.001665510062456627</v>
                </pt>
                <pt idx="136">
                  <formatCode>0.00%</formatCode>
                  <v>0.03030942334739803</v>
                </pt>
                <pt idx="137">
                  <formatCode>0.00%</formatCode>
                  <v>0.03675344563552833</v>
                </pt>
                <pt idx="138">
                  <formatCode>0.00%</formatCode>
                  <v>0.06626760563380282</v>
                </pt>
                <pt idx="139">
                  <formatCode>0.00%</formatCode>
                  <v>0.05237829543869438</v>
                </pt>
                <pt idx="140">
                  <formatCode>0.00%</formatCode>
                  <v>0.08656737791780038</v>
                </pt>
                <pt idx="141">
                  <formatCode>0.00%</formatCode>
                  <v>0.03022222222222222</v>
                </pt>
                <pt idx="142">
                  <formatCode>0.00%</formatCode>
                  <v>0.06101272827891533</v>
                </pt>
                <pt idx="143">
                  <formatCode>0.00%</formatCode>
                  <v>0.05042816365366318</v>
                </pt>
                <pt idx="144">
                  <formatCode>0.00%</formatCode>
                  <v>0.0650875386199794</v>
                </pt>
                <pt idx="145">
                  <formatCode>0.00%</formatCode>
                  <v>0.1092490453966907</v>
                </pt>
                <pt idx="146">
                  <formatCode>0.00%</formatCode>
                  <v>0.1050120981679917</v>
                </pt>
                <pt idx="147">
                  <formatCode>0.00%</formatCode>
                  <v>0.07849521962034087</v>
                </pt>
                <pt idx="148">
                  <formatCode>0.00%</formatCode>
                  <v>0.0740563784042045</v>
                </pt>
                <pt idx="149">
                  <formatCode>0.00%</formatCode>
                  <v>0.04438028736403921</v>
                </pt>
                <pt idx="150">
                  <formatCode>0.00%</formatCode>
                  <v>0.0332871012482663</v>
                </pt>
                <pt idx="151">
                  <formatCode>0.00%</formatCode>
                  <v>0.037842136655842</v>
                </pt>
                <pt idx="152">
                  <formatCode>0.00%</formatCode>
                  <v>0.03881383855024712</v>
                </pt>
                <pt idx="153">
                  <formatCode>0.00%</formatCode>
                  <v>0.06557377049180328</v>
                </pt>
                <pt idx="154">
                  <formatCode>0.00%</formatCode>
                  <v>0.04602946929195462</v>
                </pt>
                <pt idx="155">
                  <formatCode>0.00%</formatCode>
                  <v>0.04703674948240166</v>
                </pt>
                <pt idx="156">
                  <formatCode>0.00%</formatCode>
                  <v>0.03945078321407852</v>
                </pt>
                <pt idx="157">
                  <formatCode>0.00%</formatCode>
                  <v>0.06291834002677377</v>
                </pt>
                <pt idx="158">
                  <formatCode>0.00%</formatCode>
                  <v>0.01933183183183183</v>
                </pt>
                <pt idx="159">
                  <formatCode>0.00%</formatCode>
                  <v>0.06867090640457378</v>
                </pt>
                <pt idx="160">
                  <formatCode>0.00%</formatCode>
                  <v>0.04944077275038129</v>
                </pt>
                <pt idx="161">
                  <formatCode>0.00%</formatCode>
                  <v>0.08158148505303761</v>
                </pt>
                <pt idx="162">
                  <formatCode>0.00%</formatCode>
                  <v>0.05145413870246085</v>
                </pt>
                <pt idx="163">
                  <formatCode>0.00%</formatCode>
                  <v>0.07017879948914432</v>
                </pt>
                <pt idx="164">
                  <formatCode>0.00%</formatCode>
                  <v>0.04351687388987566</v>
                </pt>
                <pt idx="165">
                  <formatCode>0.00%</formatCode>
                  <v>0.06633447524135783</v>
                </pt>
                <pt idx="166">
                  <formatCode>0.00%</formatCode>
                  <v>0.06843679880329095</v>
                </pt>
                <pt idx="167">
                  <formatCode>0.00%</formatCode>
                  <v>0.06327627757523327</v>
                </pt>
                <pt idx="168">
                  <formatCode>0.00%</formatCode>
                  <v>0.07479069767441861</v>
                </pt>
                <pt idx="169">
                  <formatCode>0.00%</formatCode>
                  <v>0.04258126424373276</v>
                </pt>
                <pt idx="170">
                  <formatCode>0.00%</formatCode>
                  <v>0.06702264776284293</v>
                </pt>
                <pt idx="171">
                  <formatCode>0.00%</formatCode>
                  <v>0.05446020678047608</v>
                </pt>
                <pt idx="172">
                  <formatCode>0.00%</formatCode>
                  <v>0.05922247789754148</v>
                </pt>
                <pt idx="173">
                  <formatCode>0.00%</formatCode>
                  <v>0.05212791250594389</v>
                </pt>
                <pt idx="174">
                  <formatCode>0.00%</formatCode>
                  <v>0.07544072948328268</v>
                </pt>
                <pt idx="175">
                  <formatCode>0.00%</formatCode>
                  <v>0.05227042186287965</v>
                </pt>
                <pt idx="176">
                  <formatCode>0.00%</formatCode>
                  <v>0.1097872340425532</v>
                </pt>
                <pt idx="177">
                  <formatCode>0.00%</formatCode>
                  <v>0.05876168224299065</v>
                </pt>
                <pt idx="178">
                  <formatCode>0.00%</formatCode>
                  <v>0.0448022401120056</v>
                </pt>
                <pt idx="179">
                  <formatCode>0.00%</formatCode>
                  <v>0.07496948916138781</v>
                </pt>
                <pt idx="180">
                  <formatCode>0.00%</formatCode>
                  <v>0.06704748716173331</v>
                </pt>
                <pt idx="181">
                  <formatCode>0.00%</formatCode>
                  <v>0.04371836171191901</v>
                </pt>
                <pt idx="182">
                  <formatCode>0.00%</formatCode>
                  <v>0.07236123094621801</v>
                </pt>
                <pt idx="183">
                  <formatCode>0.00%</formatCode>
                  <v>0.03688290958841637</v>
                </pt>
                <pt idx="184">
                  <formatCode>0.00%</formatCode>
                  <v>0.06019894809055568</v>
                </pt>
                <pt idx="185">
                  <formatCode>0.00%</formatCode>
                  <v>0.03881136658945823</v>
                </pt>
                <pt idx="186">
                  <formatCode>0.00%</formatCode>
                  <v>0.04697303713752755</v>
                </pt>
                <pt idx="187">
                  <formatCode>0.00%</formatCode>
                  <v>0.04853983555429543</v>
                </pt>
                <pt idx="188">
                  <formatCode>0.00%</formatCode>
                  <v>0.008545135845749343</v>
                </pt>
                <pt idx="189">
                  <formatCode>0.00%</formatCode>
                  <v>0.01682665783956747</v>
                </pt>
                <pt idx="190">
                  <formatCode>0.00%</formatCode>
                  <v>0.0474036850921273</v>
                </pt>
                <pt idx="191">
                  <formatCode>0.00%</formatCode>
                  <v>0.003946585932853976</v>
                </pt>
                <pt idx="192">
                  <formatCode>0.00%</formatCode>
                  <v>0.002649651219380306</v>
                </pt>
                <pt idx="193">
                  <formatCode>0.00%</formatCode>
                  <v>0.007495590828924162</v>
                </pt>
                <pt idx="194">
                  <formatCode>0.00%</formatCode>
                  <v>-0.01636002789250657</v>
                </pt>
                <pt idx="195">
                  <formatCode>0.00%</formatCode>
                  <v>0.01072076529770741</v>
                </pt>
                <pt idx="196">
                  <formatCode>0.00%</formatCode>
                  <v>0.005230520355891076</v>
                </pt>
                <pt idx="197">
                  <formatCode>0.00%</formatCode>
                  <v>0.01740265390472047</v>
                </pt>
                <pt idx="198">
                  <formatCode>0.00%</formatCode>
                  <v>0.006100853039628549</v>
                </pt>
                <pt idx="199">
                  <formatCode>0.00%</formatCode>
                  <v>0.001784651992861392</v>
                </pt>
                <pt idx="200">
                  <formatCode>0.00%</formatCode>
                  <v>-0.04627416902020422</v>
                </pt>
                <pt idx="201">
                  <formatCode>0.00%</formatCode>
                  <v>-0.06044164722478433</v>
                </pt>
                <pt idx="202">
                  <formatCode>0.00%</formatCode>
                  <v>-0.08454608454608455</v>
                </pt>
                <pt idx="203">
                  <formatCode>0.00%</formatCode>
                  <v>-0.09165320409262251</v>
                </pt>
                <pt idx="204">
                  <formatCode>0.00%</formatCode>
                  <v>-0.07458742314744904</v>
                </pt>
                <pt idx="205">
                  <formatCode>0.00%</formatCode>
                  <v>-0.04808533916849015</v>
                </pt>
                <pt idx="206">
                  <formatCode>0.00%</formatCode>
                  <v>-0.09968371687206892</v>
                </pt>
                <pt idx="207">
                  <formatCode>0.00%</formatCode>
                  <v>-0.08072236727589208</v>
                </pt>
                <pt idx="208">
                  <formatCode>0.00%</formatCode>
                  <v>-0.08604227014268856</v>
                </pt>
                <pt idx="209">
                  <formatCode>0.00%</formatCode>
                  <v>-0.1010797519777635</v>
                </pt>
                <pt idx="210">
                  <formatCode>0.00%</formatCode>
                  <v>-0.08693319023343171</v>
                </pt>
                <pt idx="211">
                  <formatCode>0.00%</formatCode>
                  <v>-0.06969337076225438</v>
                </pt>
                <pt idx="212">
                  <formatCode>0.00%</formatCode>
                  <v>-0.02209567198177676</v>
                </pt>
                <pt idx="213">
                  <formatCode>0.00%</formatCode>
                  <v>-0.001212681180343015</v>
                </pt>
                <pt idx="214">
                  <formatCode>0.00%</formatCode>
                  <v>-0.003959704186804868</v>
                </pt>
                <pt idx="215">
                  <formatCode>0.00%</formatCode>
                  <v>0.01535451742945222</v>
                </pt>
                <pt idx="216">
                  <formatCode>0.00%</formatCode>
                  <v>0.01089807098315753</v>
                </pt>
                <pt idx="217">
                  <formatCode>0.00%</formatCode>
                  <v>0.0001724038848342049</v>
                </pt>
                <pt idx="218">
                  <formatCode>0.00%</formatCode>
                  <v>0.08528164748637189</v>
                </pt>
                <pt idx="219">
                  <formatCode>0.00%</formatCode>
                  <v>0.04763313609467456</v>
                </pt>
                <pt idx="220">
                  <formatCode>0.00%</formatCode>
                  <v>0.03609578589036272</v>
                </pt>
                <pt idx="221">
                  <formatCode>0.00%</formatCode>
                  <v>0.04192186477968722</v>
                </pt>
                <pt idx="222">
                  <formatCode>0.00%</formatCode>
                  <v>0.03308845136644138</v>
                </pt>
                <pt idx="223">
                  <formatCode>0.00%</formatCode>
                  <v>0.0248940985318865</v>
                </pt>
                <pt idx="224">
                  <formatCode>0.00%</formatCode>
                  <v>0.02999068250640578</v>
                </pt>
                <pt idx="225">
                  <formatCode>0.00%</formatCode>
                  <v>0.04070305272895467</v>
                </pt>
                <pt idx="226">
                  <formatCode>0.00%</formatCode>
                  <v>0.07775504238526747</v>
                </pt>
                <pt idx="227">
                  <formatCode>0.00%</formatCode>
                  <v>0.06136509604717697</v>
                </pt>
                <pt idx="228">
                  <formatCode>0.00%</formatCode>
                  <v>0.05863023175371844</v>
                </pt>
                <pt idx="229">
                  <formatCode>0.00%</formatCode>
                  <v>0.06826017007584463</v>
                </pt>
                <pt idx="230">
                  <formatCode>0.00%</formatCode>
                  <v>0.04464784016073223</v>
                </pt>
                <pt idx="231">
                  <formatCode>0.00%</formatCode>
                  <v>0.07071448743292855</v>
                </pt>
                <pt idx="232">
                  <formatCode>0.00%</formatCode>
                  <v>0.06758058120432787</v>
                </pt>
                <pt idx="233">
                  <formatCode>0.00%</formatCode>
                  <v>0.0947380436023285</v>
                </pt>
                <pt idx="234">
                  <formatCode>0.00%</formatCode>
                  <v>0.08078279667766526</v>
                </pt>
                <pt idx="235">
                  <formatCode>0.00%</formatCode>
                  <v>0.07133959913939532</v>
                </pt>
                <pt idx="236">
                  <formatCode>0.00%</formatCode>
                  <v>0.1018827387346639</v>
                </pt>
                <pt idx="237">
                  <formatCode>0.00%</formatCode>
                  <v>0.06311111111111112</v>
                </pt>
                <pt idx="238">
                  <formatCode>0.00%</formatCode>
                  <v>0.04751830756712774</v>
                </pt>
                <pt idx="239">
                  <formatCode>0.00%</formatCode>
                  <v>0.07239520299262846</v>
                </pt>
                <pt idx="240">
                  <formatCode>0.00%</formatCode>
                  <v>0.06671023253281054</v>
                </pt>
                <pt idx="241">
                  <formatCode>0.00%</formatCode>
                  <v>0.0902000860585198</v>
                </pt>
                <pt idx="242">
                  <formatCode>0.00%</formatCode>
                  <v>0.07158884496206859</v>
                </pt>
                <pt idx="243">
                  <formatCode>0.00%</formatCode>
                  <v>0.03038455451811995</v>
                </pt>
                <pt idx="244">
                  <formatCode>0.00%</formatCode>
                  <v>0.04303300435105593</v>
                </pt>
                <pt idx="245">
                  <formatCode>0.00%</formatCode>
                  <v>0.03628401626524867</v>
                </pt>
                <pt idx="246">
                  <formatCode>0.00%</formatCode>
                  <v>0.0382145488998842</v>
                </pt>
                <pt idx="247">
                  <formatCode>0.00%</formatCode>
                  <v>0.05332417292041011</v>
                </pt>
                <pt idx="248">
                  <formatCode>0.00%</formatCode>
                  <v>0.03232592744625173</v>
                </pt>
                <pt idx="249">
                  <formatCode>0.00%</formatCode>
                  <v>0.04196279264214047</v>
                </pt>
                <pt idx="250">
                  <formatCode>0.00%</formatCode>
                  <v>0.03422919579514266</v>
                </pt>
                <pt idx="251">
                  <formatCode>0.00%</formatCode>
                  <v>0.03426695393454396</v>
                </pt>
                <pt idx="252">
                  <formatCode>0.00%</formatCode>
                  <v>0.0431897079844803</v>
                </pt>
                <pt idx="253">
                  <formatCode>0.00%</formatCode>
                  <v>0.001776111302974986</v>
                </pt>
                <pt idx="254">
                  <formatCode>0.00%</formatCode>
                  <v>0.01286269817529165</v>
                </pt>
                <pt idx="255">
                  <formatCode>0.00%</formatCode>
                  <v>0.04940357343981979</v>
                </pt>
                <pt idx="256">
                  <formatCode>0.00%</formatCode>
                  <v>0.03657730070712723</v>
                </pt>
                <pt idx="257">
                  <formatCode>0.00%</formatCode>
                  <v>0.02465036724016501</v>
                </pt>
                <pt idx="258">
                  <formatCode>0.00%</formatCode>
                  <v>0.04329750557696208</v>
                </pt>
                <pt idx="259">
                  <formatCode>0.00%</formatCode>
                  <v>0.01926646931915107</v>
                </pt>
                <pt idx="260">
                  <formatCode>0.00%</formatCode>
                  <v>0.009244992295839754</v>
                </pt>
                <pt idx="261">
                  <formatCode>0.00%</formatCode>
                  <v>0.04268017453232359</v>
                </pt>
                <pt idx="262">
                  <formatCode>0.00%</formatCode>
                  <v>0.01537152012817945</v>
                </pt>
                <pt idx="263">
                  <formatCode>0.00%</formatCode>
                  <v>0.01998809641900605</v>
                </pt>
                <pt idx="264">
                  <formatCode>0.00%</formatCode>
                  <v>0.004061857688166781</v>
                </pt>
                <pt idx="265">
                  <formatCode>0.00%</formatCode>
                  <v>0.01172125092341788</v>
                </pt>
                <pt idx="266">
                  <formatCode>0.00%</formatCode>
                  <v>0.01727702303603072</v>
                </pt>
                <pt idx="267">
                  <formatCode>0.00%</formatCode>
                  <v>0.03234461898721826</v>
                </pt>
                <pt idx="268">
                  <formatCode>0.00%</formatCode>
                  <v>0.01909108755398508</v>
                </pt>
                <pt idx="269">
                  <formatCode>0.00%</formatCode>
                  <v>0.02116064414768264</v>
                </pt>
                <pt idx="270">
                  <formatCode>0.00%</formatCode>
                  <v>0.01652249975702206</v>
                </pt>
                <pt idx="271">
                  <formatCode>0.00%</formatCode>
                  <v>0.0354417917794733</v>
                </pt>
                <pt idx="272">
                  <formatCode>0.00%</formatCode>
                  <v>0.02585570056636297</v>
                </pt>
                <pt idx="273">
                  <formatCode>0.00%</formatCode>
                  <v>0.01592111592111592</v>
                </pt>
                <pt idx="274">
                  <formatCode>0.00%</formatCode>
                  <v>0.05498298732679126</v>
                </pt>
                <pt idx="275">
                  <formatCode>0.00%</formatCode>
                  <v>0.03554583029418916</v>
                </pt>
                <pt idx="276">
                  <formatCode>0.00%</formatCode>
                  <v>0.0254423161280889</v>
                </pt>
                <pt idx="277">
                  <formatCode>0.00%</formatCode>
                  <v>0.03811517305164776</v>
                </pt>
                <pt idx="278">
                  <formatCode>0.00%</formatCode>
                  <v>0.03454782987371172</v>
                </pt>
                <pt idx="279">
                  <formatCode>0.00%</formatCode>
                  <v>0.01337365908983507</v>
                </pt>
                <pt idx="280">
                  <formatCode>0.00%</formatCode>
                  <v>0.04146400192631832</v>
                </pt>
                <pt idx="281">
                  <formatCode>0.00%</formatCode>
                  <v>0.02846290687052262</v>
                </pt>
                <pt idx="282">
                  <formatCode>0.00%</formatCode>
                  <v>0.030117602065207</v>
                </pt>
                <pt idx="283">
                  <formatCode>0.00%</formatCode>
                  <v>0.02624197765628714</v>
                </pt>
                <pt idx="284">
                  <formatCode>0.00%</formatCode>
                  <v>0.02957273163706193</v>
                </pt>
                <pt idx="285">
                  <formatCode>0.00%</formatCode>
                  <v>0.00558685668292221</v>
                </pt>
                <pt idx="286">
                  <formatCode>0.00%</formatCode>
                  <v>-0.002150135552023932</v>
                </pt>
                <pt idx="287">
                  <formatCode>0.00%</formatCode>
                  <v>0.009861006761833208</v>
                </pt>
                <pt idx="288">
                  <formatCode>0.00%</formatCode>
                  <v>0.01188269404439374</v>
                </pt>
                <pt idx="289">
                  <formatCode>0.00%</formatCode>
                  <v>0.02982275157085248</v>
                </pt>
                <pt idx="290">
                  <formatCode>0.00%</formatCode>
                  <v>0.005144754688742341</v>
                </pt>
                <pt idx="291">
                  <formatCode>0.00%</formatCode>
                  <v>-0.001725424361126655</v>
                </pt>
                <pt idx="292">
                  <formatCode>0.00%</formatCode>
                  <v>-0.002173309904744289</v>
                </pt>
                <pt idx="293">
                  <formatCode>0.00%</formatCode>
                  <v>0.01318311439390398</v>
                </pt>
                <pt idx="294">
                  <formatCode>0.00%</formatCode>
                  <v>-0.005429738258771116</v>
                </pt>
                <pt idx="295">
                  <formatCode>0.00%</formatCode>
                  <v>0.00926483531755223</v>
                </pt>
                <pt idx="296">
                  <formatCode>0.00%</formatCode>
                  <v>0.02144922130000933</v>
                </pt>
                <pt idx="297">
                  <formatCode>0.00%</formatCode>
                  <v>0.02151702057535666</v>
                </pt>
                <pt idx="298">
                  <formatCode>0.00%</formatCode>
                  <v>0.01316282555742927</v>
                </pt>
                <pt idx="299">
                  <formatCode>0.00%</formatCode>
                  <v>0.02069189993490189</v>
                </pt>
                <pt idx="300">
                  <formatCode>0.00%</formatCode>
                  <v>0.0345718446145897</v>
                </pt>
                <pt idx="301">
                  <formatCode>0.00%</formatCode>
                  <v>-0.01402422365904745</v>
                </pt>
                <pt idx="302">
                  <formatCode>0.00%</formatCode>
                  <v>0.01251686752594109</v>
                </pt>
                <pt idx="303">
                  <formatCode>0.00%</formatCode>
                  <v>0.0172840659597328</v>
                </pt>
                <pt idx="304">
                  <formatCode>0.00%</formatCode>
                  <v>0.003197553176699569</v>
                </pt>
                <pt idx="305">
                  <formatCode>0.00%</formatCode>
                  <v>0.005444562358695151</v>
                </pt>
                <pt idx="306">
                  <formatCode>0.00%</formatCode>
                  <v>0.008772339134898045</v>
                </pt>
                <pt idx="307">
                  <formatCode>0.00%</formatCode>
                  <v>-0.0003671914444393445</v>
                </pt>
                <pt idx="308">
                  <formatCode>0.00%</formatCode>
                  <v>-0.0004108463434675431</v>
                </pt>
                <pt idx="309">
                  <formatCode>0.00%</formatCode>
                  <v>0.004609144542772861</v>
                </pt>
                <pt idx="310">
                  <formatCode>0.00%</formatCode>
                  <v>0.02029682370890934</v>
                </pt>
                <pt idx="311">
                  <formatCode>0.00%</formatCode>
                  <v>-0.008701198123092342</v>
                </pt>
                <pt idx="312">
                  <formatCode>0.00%</formatCode>
                  <v>-0.008036322360953462</v>
                </pt>
                <pt idx="313">
                  <formatCode>0.00%</formatCode>
                  <v>0.03283458021612635</v>
                </pt>
                <pt idx="314">
                  <formatCode>0.00%</formatCode>
                  <v>-0.002895220588235294</v>
                </pt>
                <pt idx="315">
                  <formatCode>0.00%</formatCode>
                  <v>0.01230656196904992</v>
                </pt>
                <pt idx="316">
                  <formatCode>0.00%</formatCode>
                  <v>0.05575572801182557</v>
                </pt>
                <pt idx="317">
                  <formatCode>0.00%</formatCode>
                  <v>0.02533155890046349</v>
                </pt>
                <pt idx="318">
                  <formatCode>0.00%</formatCode>
                  <v>0.04990980156343957</v>
                </pt>
                <pt idx="319">
                  <formatCode>0.00%</formatCode>
                  <v>0.01478488452178704</v>
                </pt>
                <pt idx="320">
                  <formatCode>0.00%</formatCode>
                  <v>0.009818696625108462</v>
                </pt>
                <pt idx="321">
                  <formatCode>0.00%</formatCode>
                  <v>0.03257478436410351</v>
                </pt>
                <pt idx="322">
                  <formatCode>0.00%</formatCode>
                  <v>0.02116186333152075</v>
                </pt>
                <pt idx="323">
                  <formatCode>0.00%</formatCode>
                  <v>0.01231617647058823</v>
                </pt>
                <pt idx="324">
                  <formatCode>0.00%</formatCode>
                  <v>0.008787989747345295</v>
                </pt>
                <pt idx="325">
                  <formatCode>0.00%</formatCode>
                  <v>-0.01578359043147776</v>
                </pt>
                <pt idx="326">
                  <formatCode>0.00%</formatCode>
                  <v>0.0338295616905563</v>
                </pt>
                <pt idx="327">
                  <formatCode>0.00%</formatCode>
                  <v>0.01428895441143116</v>
                </pt>
                <pt idx="328">
                  <formatCode>0.00%</formatCode>
                  <v>-0.02664624808575804</v>
                </pt>
                <pt idx="329">
                  <formatCode>0.00%</formatCode>
                  <v>0.00138745915946829</v>
                </pt>
                <pt idx="330">
                  <formatCode>0.00%</formatCode>
                  <v>-0.006608511763150938</v>
                </pt>
                <pt idx="331">
                  <formatCode>0.00%</formatCode>
                  <v>0.01497669788697344</v>
                </pt>
                <pt idx="332">
                  <formatCode>0.00%</formatCode>
                  <v>0.01370296671490593</v>
                </pt>
                <pt idx="333">
                  <formatCode>0.00%</formatCode>
                  <v>-0.004709855149737848</v>
                </pt>
                <pt idx="334">
                  <formatCode>0.00%</formatCode>
                  <v>-0.01167073441313512</v>
                </pt>
                <pt idx="335">
                  <formatCode>0.00%</formatCode>
                  <v>0.04144724895587434</v>
                </pt>
                <pt idx="336">
                  <formatCode>0.00%</formatCode>
                  <v>0.03965517241379311</v>
                </pt>
                <pt idx="337">
                  <formatCode>0.00%</formatCode>
                  <v>0.02489551153916046</v>
                </pt>
                <pt idx="338">
                  <formatCode>0.00%</formatCode>
                  <v>-0.4875841469395034</v>
                </pt>
                <pt idx="339">
                  <formatCode>0.00%</formatCode>
                  <v>-0.8731663685152057</v>
                </pt>
                <pt idx="340">
                  <formatCode>0.00%</formatCode>
                  <v>-0.6226737390991639</v>
                </pt>
                <pt idx="341">
                  <formatCode>0.00%</formatCode>
                  <v>-0.2240547063555913</v>
                </pt>
                <pt idx="342">
                  <formatCode>0.00%</formatCode>
                  <v>-0.1987315948199397</v>
                </pt>
                <pt idx="343">
                  <formatCode>0.00%</formatCode>
                  <v>-0.167305634807418</v>
                </pt>
                <pt idx="344">
                  <formatCode>0.00%</formatCode>
                  <v>-0.04822663395047959</v>
                </pt>
                <pt idx="345">
                  <formatCode>0.00%</formatCode>
                  <v>-0.0715625</v>
                </pt>
                <pt idx="346">
                  <formatCode>0.00%</formatCode>
                  <v>-0.1174119971264368</v>
                </pt>
                <pt idx="347">
                  <formatCode>0.00%</formatCode>
                  <v>-0.1240573645438298</v>
                </pt>
                <pt idx="348">
                  <formatCode>0.00%</formatCode>
                  <v>-0.06821157371039539</v>
                </pt>
                <pt idx="349">
                  <formatCode>0.00%</formatCode>
                  <v>-0.1054964539007092</v>
                </pt>
                <pt idx="350">
                  <formatCode>0.00%</formatCode>
                  <v>1.176091874021229</v>
                </pt>
                <pt idx="351">
                  <formatCode>0.00%</formatCode>
                  <v>7.695345557122708</v>
                </pt>
                <pt idx="352">
                  <formatCode>0.00%</formatCode>
                  <v>2.048129616392661</v>
                </pt>
                <pt idx="353">
                  <formatCode>0.00%</formatCode>
                  <v>0.5243361557513968</v>
                </pt>
                <pt idx="354">
                  <formatCode>0.00%</formatCode>
                  <v>0.4266895444733492</v>
                </pt>
                <pt idx="355">
                  <formatCode>0.00%</formatCode>
                  <v>0.3799453932223352</v>
                </pt>
                <pt idx="356">
                  <formatCode>0.00%</formatCode>
                  <v>0.2324458610668417</v>
                </pt>
                <pt idx="357">
                  <formatCode>0.00%</formatCode>
                  <v>0.2669615809972592</v>
                </pt>
                <pt idx="358">
                  <formatCode>0.00%</formatCode>
                  <v>0.3476624103372845</v>
                </pt>
                <pt idx="359">
                  <formatCode>0.00%</formatCode>
                  <v>0.2968897735755163</v>
                </pt>
                <pt idx="360">
                  <formatCode>0.00%</formatCode>
                  <v>0.2233619034237272</v>
                </pt>
                <pt idx="361">
                  <formatCode>0.00%</formatCode>
                  <v>0.3113478691774034</v>
                </pt>
              </numCache>
            </numRef>
          </val>
          <smooth val="0"/>
        </ser>
        <dLbls>
          <showLegendKey val="0"/>
          <showVal val="0"/>
          <showCatName val="0"/>
          <showSerName val="0"/>
          <showPercent val="0"/>
          <showBubbleSize val="0"/>
        </dLbls>
        <smooth val="0"/>
        <axId val="1153239463"/>
        <axId val="1153239135"/>
      </lineChart>
      <dateAx>
        <axId val="1153239463"/>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3239135"/>
        <crosses val="autoZero"/>
        <lblOffset val="100"/>
        <baseTimeUnit val="months"/>
      </dateAx>
      <valAx>
        <axId val="115323913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323946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s>
</file>

<file path=xl/drawings/_rels/drawing3.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s>
</file>

<file path=xl/drawings/_rels/drawing6.xml.rels><Relationships xmlns="http://schemas.openxmlformats.org/package/2006/relationships"><Relationship Type="http://schemas.openxmlformats.org/officeDocument/2006/relationships/chart" Target="/xl/charts/chart12.xml" Id="rId1"/><Relationship Type="http://schemas.openxmlformats.org/officeDocument/2006/relationships/chart" Target="/xl/charts/chart13.xml" Id="rId2"/></Relationships>
</file>

<file path=xl/drawings/_rels/drawing7.xml.rels><Relationships xmlns="http://schemas.openxmlformats.org/package/2006/relationships"><Relationship Type="http://schemas.openxmlformats.org/officeDocument/2006/relationships/chart" Target="/xl/charts/chart14.xml" Id="rId1"/><Relationship Type="http://schemas.openxmlformats.org/officeDocument/2006/relationships/chart" Target="/xl/charts/chart15.xml" Id="rId2"/></Relationships>
</file>

<file path=xl/drawings/_rels/drawing8.xml.rels><Relationships xmlns="http://schemas.openxmlformats.org/package/2006/relationships"><Relationship Type="http://schemas.openxmlformats.org/officeDocument/2006/relationships/chart" Target="/xl/charts/chart16.xml" Id="rId1"/><Relationship Type="http://schemas.openxmlformats.org/officeDocument/2006/relationships/chart" Target="/xl/charts/chart17.xml" Id="rId2"/></Relationships>
</file>

<file path=xl/drawings/_rels/drawing9.xml.rels><Relationships xmlns="http://schemas.openxmlformats.org/package/2006/relationships"><Relationship Type="http://schemas.openxmlformats.org/officeDocument/2006/relationships/chart" Target="/xl/charts/chart18.xml" Id="rId1"/><Relationship Type="http://schemas.openxmlformats.org/officeDocument/2006/relationships/chart" Target="/xl/charts/chart19.xml" Id="rId2"/></Relationships>
</file>

<file path=xl/drawings/_rels/drawing10.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_rels/drawing11.xml.rels><Relationships xmlns="http://schemas.openxmlformats.org/package/2006/relationships"><Relationship Type="http://schemas.openxmlformats.org/officeDocument/2006/relationships/chart" Target="/xl/charts/chart22.xml" Id="rId1"/><Relationship Type="http://schemas.openxmlformats.org/officeDocument/2006/relationships/chart" Target="/xl/charts/chart23.xml" Id="rId2"/></Relationships>
</file>

<file path=xl/drawings/_rels/drawing12.xml.rels><Relationships xmlns="http://schemas.openxmlformats.org/package/2006/relationships"><Relationship Type="http://schemas.openxmlformats.org/officeDocument/2006/relationships/chart" Target="/xl/charts/chart24.xml" Id="rId1"/><Relationship Type="http://schemas.openxmlformats.org/officeDocument/2006/relationships/chart" Target="/xl/charts/chart25.xml" Id="rId2"/></Relationships>
</file>

<file path=xl/drawings/_rels/drawing13.xml.rels><Relationships xmlns="http://schemas.openxmlformats.org/package/2006/relationships"><Relationship Type="http://schemas.openxmlformats.org/officeDocument/2006/relationships/chart" Target="/xl/charts/chart26.xml" Id="rId1"/><Relationship Type="http://schemas.openxmlformats.org/officeDocument/2006/relationships/chart" Target="/xl/charts/chart27.xml" Id="rId2"/></Relationships>
</file>

<file path=xl/drawings/_rels/drawing14.xml.rels><Relationships xmlns="http://schemas.openxmlformats.org/package/2006/relationships"><Relationship Type="http://schemas.openxmlformats.org/officeDocument/2006/relationships/chart" Target="/xl/charts/chart28.xml" Id="rId1"/><Relationship Type="http://schemas.openxmlformats.org/officeDocument/2006/relationships/chart" Target="/xl/charts/chart29.xml" Id="rId2"/></Relationships>
</file>

<file path=xl/drawings/_rels/drawing15.xml.rels><Relationships xmlns="http://schemas.openxmlformats.org/package/2006/relationships"><Relationship Type="http://schemas.openxmlformats.org/officeDocument/2006/relationships/chart" Target="/xl/charts/chart30.xml" Id="rId1"/><Relationship Type="http://schemas.openxmlformats.org/officeDocument/2006/relationships/chart" Target="/xl/charts/chart31.xml" Id="rId2"/></Relationships>
</file>

<file path=xl/drawings/_rels/drawing16.xml.rels><Relationships xmlns="http://schemas.openxmlformats.org/package/2006/relationships"><Relationship Type="http://schemas.openxmlformats.org/officeDocument/2006/relationships/chart" Target="/xl/charts/chart32.xml" Id="rId1"/><Relationship Type="http://schemas.openxmlformats.org/officeDocument/2006/relationships/chart" Target="/xl/charts/chart33.xml" Id="rId2"/></Relationships>
</file>

<file path=xl/drawings/drawing1.xml><?xml version="1.0" encoding="utf-8"?>
<wsDr xmlns="http://schemas.openxmlformats.org/drawingml/2006/spreadsheetDrawing">
  <twoCellAnchor>
    <from>
      <col>13</col>
      <colOff>19050</colOff>
      <row>1</row>
      <rowOff>66675</rowOff>
    </from>
    <to>
      <col>16</col>
      <colOff>790575</colOff>
      <row>8</row>
      <rowOff>9525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307040</colOff>
      <row>331</row>
      <rowOff>91327</rowOff>
    </from>
    <to>
      <col>11</col>
      <colOff>564217</colOff>
      <row>348</row>
      <rowOff>72277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302277</colOff>
      <row>348</row>
      <rowOff>91327</rowOff>
    </from>
    <to>
      <col>11</col>
      <colOff>573741</colOff>
      <row>364</row>
      <rowOff>180787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640416</colOff>
      <row>338</row>
      <rowOff>180788</rowOff>
    </from>
    <to>
      <col>19</col>
      <colOff>335615</colOff>
      <row>353</row>
      <rowOff>62752</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3.xml><?xml version="1.0" encoding="utf-8"?>
<wsDr xmlns="http://schemas.openxmlformats.org/drawingml/2006/spreadsheetDrawing">
  <twoCellAnchor>
    <from>
      <col>4</col>
      <colOff>457201</colOff>
      <row>343</row>
      <rowOff>80961</rowOff>
    </from>
    <to>
      <col>14</col>
      <colOff>508000</colOff>
      <row>366</row>
      <rowOff>182562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409575</colOff>
      <row>325</row>
      <rowOff>14286</rowOff>
    </from>
    <to>
      <col>14</col>
      <colOff>484187</colOff>
      <row>342</row>
      <rowOff>150811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11</col>
      <colOff>388937</colOff>
      <row>340</row>
      <rowOff>165100</rowOff>
    </from>
    <to>
      <col>20</col>
      <colOff>66675</colOff>
      <row>356</row>
      <rowOff>165101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279400</colOff>
      <row>340</row>
      <rowOff>166688</rowOff>
    </from>
    <to>
      <col>11</col>
      <colOff>250825</colOff>
      <row>355</row>
      <rowOff>52388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327025</colOff>
      <row>355</row>
      <rowOff>138113</rowOff>
    </from>
    <to>
      <col>11</col>
      <colOff>387350</colOff>
      <row>370</row>
      <rowOff>23813</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4</col>
      <colOff>155574</colOff>
      <row>348</row>
      <rowOff>39687</rowOff>
    </from>
    <to>
      <col>13</col>
      <colOff>7937</colOff>
      <row>366</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138905</colOff>
      <row>328</row>
      <rowOff>79375</rowOff>
    </from>
    <to>
      <col>13</col>
      <colOff>23813</colOff>
      <row>347</row>
      <rowOff>76204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6.xml><?xml version="1.0" encoding="utf-8"?>
<wsDr xmlns="http://schemas.openxmlformats.org/drawingml/2006/spreadsheetDrawing">
  <twoCellAnchor>
    <from>
      <col>4</col>
      <colOff>439737</colOff>
      <row>328</row>
      <rowOff>138113</rowOff>
    </from>
    <to>
      <col>12</col>
      <colOff>277812</colOff>
      <row>345</row>
      <rowOff>185738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127000</colOff>
      <row>348</row>
      <rowOff>139699</rowOff>
    </from>
    <to>
      <col>12</col>
      <colOff>361949</colOff>
      <row>365</row>
      <rowOff>174624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4</col>
      <colOff>160337</colOff>
      <row>336</row>
      <rowOff>166688</rowOff>
    </from>
    <to>
      <col>11</col>
      <colOff>465137</colOff>
      <row>351</row>
      <rowOff>52388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149225</colOff>
      <row>351</row>
      <rowOff>155576</rowOff>
    </from>
    <to>
      <col>11</col>
      <colOff>454025</colOff>
      <row>366</row>
      <rowOff>41276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4</col>
      <colOff>180975</colOff>
      <row>334</row>
      <rowOff>66675</rowOff>
    </from>
    <to>
      <col>12</col>
      <colOff>257175</colOff>
      <row>350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176212</colOff>
      <row>351</row>
      <rowOff>3173</rowOff>
    </from>
    <to>
      <col>12</col>
      <colOff>539749</colOff>
      <row>367</row>
      <rowOff>15874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4</col>
      <colOff>240770</colOff>
      <row>334</row>
      <rowOff>169334</rowOff>
    </from>
    <to>
      <col>11</col>
      <colOff>545570</colOff>
      <row>349</row>
      <rowOff>49742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206376</colOff>
      <row>351</row>
      <rowOff>111125</rowOff>
    </from>
    <to>
      <col>11</col>
      <colOff>511176</colOff>
      <row>365</row>
      <rowOff>187325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0.xml><?xml version="1.0" encoding="utf-8"?>
<wsDr xmlns="http://schemas.openxmlformats.org/drawingml/2006/spreadsheetDrawing">
  <twoCellAnchor>
    <from>
      <col>4</col>
      <colOff>113632</colOff>
      <row>333</row>
      <rowOff>60158</rowOff>
    </from>
    <to>
      <col>11</col>
      <colOff>418432</colOff>
      <row>347</row>
      <rowOff>136358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106948</colOff>
      <row>348</row>
      <rowOff>131511</rowOff>
    </from>
    <to>
      <col>11</col>
      <colOff>411748</colOff>
      <row>363</row>
      <rowOff>13868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1.xml><?xml version="1.0" encoding="utf-8"?>
<wsDr xmlns="http://schemas.openxmlformats.org/drawingml/2006/spreadsheetDrawing">
  <twoCellAnchor>
    <from>
      <col>4</col>
      <colOff>92074</colOff>
      <row>334</row>
      <rowOff>36930</rowOff>
    </from>
    <to>
      <col>11</col>
      <colOff>396874</colOff>
      <row>348</row>
      <rowOff>116473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88230</colOff>
      <row>349</row>
      <rowOff>55145</rowOff>
    </from>
    <to>
      <col>11</col>
      <colOff>393030</colOff>
      <row>363</row>
      <rowOff>131345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2.xml><?xml version="1.0" encoding="utf-8"?>
<wsDr xmlns="http://schemas.openxmlformats.org/drawingml/2006/spreadsheetDrawing">
  <twoCellAnchor>
    <from>
      <col>4</col>
      <colOff>98425</colOff>
      <row>335</row>
      <rowOff>85725</rowOff>
    </from>
    <to>
      <col>11</col>
      <colOff>403225</colOff>
      <row>349</row>
      <rowOff>161925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107950</colOff>
      <row>350</row>
      <rowOff>85725</rowOff>
    </from>
    <to>
      <col>11</col>
      <colOff>412750</colOff>
      <row>364</row>
      <rowOff>161925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3.xml><?xml version="1.0" encoding="utf-8"?>
<wsDr xmlns="http://schemas.openxmlformats.org/drawingml/2006/spreadsheetDrawing">
  <twoCellAnchor>
    <from>
      <col>4</col>
      <colOff>101600</colOff>
      <row>335</row>
      <rowOff>82550</rowOff>
    </from>
    <to>
      <col>11</col>
      <colOff>406400</colOff>
      <row>349</row>
      <rowOff>158750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114300</colOff>
      <row>350</row>
      <rowOff>88900</rowOff>
    </from>
    <to>
      <col>11</col>
      <colOff>419100</colOff>
      <row>364</row>
      <rowOff>165100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4.xml><?xml version="1.0" encoding="utf-8"?>
<wsDr xmlns="http://schemas.openxmlformats.org/drawingml/2006/spreadsheetDrawing">
  <twoCellAnchor>
    <from>
      <col>4</col>
      <colOff>135391</colOff>
      <row>334</row>
      <rowOff>45207</rowOff>
    </from>
    <to>
      <col>11</col>
      <colOff>532115</colOff>
      <row>348</row>
      <rowOff>124432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139247</colOff>
      <row>349</row>
      <rowOff>42636</rowOff>
    </from>
    <to>
      <col>11</col>
      <colOff>535971</colOff>
      <row>363</row>
      <rowOff>121861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5.xml><?xml version="1.0" encoding="utf-8"?>
<wsDr xmlns="http://schemas.openxmlformats.org/drawingml/2006/spreadsheetDrawing">
  <twoCellAnchor>
    <from>
      <col>4</col>
      <colOff>144929</colOff>
      <row>335</row>
      <rowOff>6350</rowOff>
    </from>
    <to>
      <col>11</col>
      <colOff>542364</colOff>
      <row>349</row>
      <rowOff>86285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141568</colOff>
      <row>350</row>
      <rowOff>45757</rowOff>
    </from>
    <to>
      <col>11</col>
      <colOff>539003</colOff>
      <row>364</row>
      <rowOff>125693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6.xml><?xml version="1.0" encoding="utf-8"?>
<wsDr xmlns="http://schemas.openxmlformats.org/drawingml/2006/spreadsheetDrawing">
  <twoCellAnchor>
    <from>
      <col>4</col>
      <colOff>182896</colOff>
      <row>335</row>
      <rowOff>69347</rowOff>
    </from>
    <to>
      <col>11</col>
      <colOff>579938</colOff>
      <row>349</row>
      <rowOff>148889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153737</colOff>
      <row>350</row>
      <rowOff>113630</rowOff>
    </from>
    <to>
      <col>11</col>
      <colOff>594895</colOff>
      <row>365</row>
      <rowOff>147053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6:D367" headerRowCount="1" totalsRowShown="0" headerRowDxfId="64" dataDxfId="62" headerRowBorderDxfId="63" tableBorderDxfId="61">
  <autoFilter ref="A6:D367"/>
  <tableColumns count="4">
    <tableColumn id="1" name="Date" dataDxfId="60"/>
    <tableColumn id="2" name="Retail Sales mil$" dataDxfId="59" dataCellStyle="Normal 2">
      <calculatedColumnFormula>VLOOKUP(A7,Database!A:M,MATCH($A$1,Database!$A$1:$M$1,),)</calculatedColumnFormula>
    </tableColumn>
    <tableColumn id="3" name="mom" dataDxfId="58">
      <calculatedColumnFormula>(B7-B6)/B6</calculatedColumnFormula>
    </tableColumn>
    <tableColumn id="4" name="yoy" dataDxfId="57"/>
  </tableColumns>
  <tableStyleInfo name="TableStyleMedium2" showFirstColumn="0" showLastColumn="0" showRowStripes="1" showColumnStripes="0"/>
</table>
</file>

<file path=xl/tables/table2.xml><?xml version="1.0" encoding="utf-8"?>
<table xmlns="http://schemas.openxmlformats.org/spreadsheetml/2006/main" id="2" name="Table5" displayName="Table5" ref="A6:D368" headerRowCount="1" totalsRowShown="0" headerRowDxfId="56" dataDxfId="54" headerRowBorderDxfId="55" tableBorderDxfId="53">
  <autoFilter ref="A6:D368"/>
  <tableColumns count="4">
    <tableColumn id="1" name="Date" dataDxfId="52"/>
    <tableColumn id="2" name="Retail Sales (RSAFS), Millions of Dollars" dataDxfId="51" dataCellStyle="Normal 2">
      <calculatedColumnFormula>VLOOKUP(A7,Database!A:K,MATCH('Retail Sales'!$A$1,Database!$A$1:$K$1,),)</calculatedColumnFormula>
    </tableColumn>
    <tableColumn id="3" name="mom %" dataDxfId="50">
      <calculatedColumnFormula>(B7-B6)/B6</calculatedColumnFormula>
    </tableColumn>
    <tableColumn id="4" name="yoy %" dataDxfId="49"/>
  </tableColumns>
  <tableStyleInfo name="TableStyleMedium2" showFirstColumn="0" showLastColumn="0" showRowStripes="1" showColumnStripes="0"/>
</table>
</file>

<file path=xl/tables/table3.xml><?xml version="1.0" encoding="utf-8"?>
<table xmlns="http://schemas.openxmlformats.org/spreadsheetml/2006/main" id="3" name="Table7" displayName="Table7" ref="A6:D368" headerRowCount="1" totalsRowShown="0" headerRowDxfId="48" dataDxfId="46" headerRowBorderDxfId="47" tableBorderDxfId="45">
  <autoFilter ref="A6:D368"/>
  <tableColumns count="4">
    <tableColumn id="1" name="Date" dataDxfId="44"/>
    <tableColumn id="2" name="Retail and Food Services Excluding Motor Vehicles and Parts Dealers, Retail Sales mil$" dataDxfId="43" dataCellStyle="Normal 2">
      <calculatedColumnFormula>VLOOKUP(A7,Database!A:M,MATCH($A$1,Database!$A$1:$M$1,),)</calculatedColumnFormula>
    </tableColumn>
    <tableColumn id="3" name="mom %" dataDxfId="42">
      <calculatedColumnFormula>(B7-B6)/B6</calculatedColumnFormula>
    </tableColumn>
    <tableColumn id="4" name="yoy %" dataDxfId="41"/>
  </tableColumns>
  <tableStyleInfo name="TableStyleMedium2" showFirstColumn="0" showLastColumn="0" showRowStripes="1" showColumnStripes="0"/>
</table>
</file>

<file path=xl/tables/table4.xml><?xml version="1.0" encoding="utf-8"?>
<table xmlns="http://schemas.openxmlformats.org/spreadsheetml/2006/main" id="4" name="Table6" displayName="Table6" ref="A6:D368" headerRowCount="1" totalsRowShown="0" headerRowDxfId="40" headerRowBorderDxfId="39" tableBorderDxfId="38">
  <autoFilter ref="A6:D368"/>
  <tableColumns count="4">
    <tableColumn id="1" name="Date" dataDxfId="37"/>
    <tableColumn id="2" name="Building Materials. mil$" dataDxfId="36" dataCellStyle="Normal 2">
      <calculatedColumnFormula>VLOOKUP(A7,Database!A:K,MATCH($A$1,Database!$A$1:$K$1,),)</calculatedColumnFormula>
    </tableColumn>
    <tableColumn id="3" name="Change m/m" dataDxfId="35">
      <calculatedColumnFormula>(B7-B6)/B6</calculatedColumnFormula>
    </tableColumn>
    <tableColumn id="4" name="Change y/y " dataDxfId="34"/>
  </tableColumns>
  <tableStyleInfo name="TableStyleMedium2" showFirstColumn="0" showLastColumn="0" showRowStripes="1" showColumnStripes="0"/>
</table>
</file>

<file path=xl/tables/table5.xml><?xml version="1.0" encoding="utf-8"?>
<table xmlns="http://schemas.openxmlformats.org/spreadsheetml/2006/main" id="5" name="Table1" displayName="Table1" ref="A6:D368" headerRowCount="1" totalsRowShown="0" headerRowDxfId="33" tableBorderDxfId="32">
  <autoFilter ref="A6:D368"/>
  <tableColumns count="4">
    <tableColumn id="1" name="Date" dataDxfId="31"/>
    <tableColumn id="2" name="Retail Sales mil$" dataDxfId="30" dataCellStyle="Normal 2">
      <calculatedColumnFormula>VLOOKUP(A7,Database!A:K,MATCH($A$1,Database!$A$1:$K$1,),)+VLOOKUP(A7,Database!A:K,MATCH($B$1,Database!$A$1:$K$1,),)</calculatedColumnFormula>
    </tableColumn>
    <tableColumn id="3" name="mom" dataDxfId="29">
      <calculatedColumnFormula>(B7-B6)/B6</calculatedColumnFormula>
    </tableColumn>
    <tableColumn id="4" name="yoy" dataDxfId="28"/>
  </tableColumns>
  <tableStyleInfo name="TableStyleMedium2" showFirstColumn="0" showLastColumn="0" showRowStripes="1" showColumnStripes="0"/>
</table>
</file>

<file path=xl/tables/table6.xml><?xml version="1.0" encoding="utf-8"?>
<table xmlns="http://schemas.openxmlformats.org/spreadsheetml/2006/main" id="6" name="Table3" displayName="Table3" ref="A6:D368" headerRowCount="1" totalsRowShown="0" headerRowDxfId="27" headerRowBorderDxfId="26" tableBorderDxfId="25">
  <autoFilter ref="A6:D368"/>
  <tableColumns count="4">
    <tableColumn id="1" name="Date" dataDxfId="24"/>
    <tableColumn id="2" name=" Miscellaneous stores retailers, mil$" dataDxfId="23" dataCellStyle="Normal 2">
      <calculatedColumnFormula>VLOOKUP(A7,Database!A:Q,MATCH($A$1,Database!$A$1:$Q$1,),)</calculatedColumnFormula>
    </tableColumn>
    <tableColumn id="3" name="mom" dataDxfId="22">
      <calculatedColumnFormula>(B7-B6)/B6</calculatedColumnFormula>
    </tableColumn>
    <tableColumn id="4" name="yoy" dataDxfId="21"/>
  </tableColumns>
  <tableStyleInfo name="TableStyleMedium2" showFirstColumn="0" showLastColumn="0" showRowStripes="1" showColumnStripes="0"/>
</table>
</file>

<file path=xl/tables/table7.xml><?xml version="1.0" encoding="utf-8"?>
<table xmlns="http://schemas.openxmlformats.org/spreadsheetml/2006/main" id="7" name="Table35" displayName="Table35" ref="A6:D368" headerRowCount="1" totalsRowShown="0" headerRowDxfId="20" headerRowBorderDxfId="19" tableBorderDxfId="18">
  <autoFilter ref="A6:D368"/>
  <tableColumns count="4">
    <tableColumn id="1" name="Date" dataDxfId="17"/>
    <tableColumn id="2" name="Clothing and clothing access. Stores, mil$" dataDxfId="16" dataCellStyle="Normal 2">
      <calculatedColumnFormula>VLOOKUP(A7,Database!A:Q,MATCH($A$1,Database!$A$1:$Q$1,),)</calculatedColumnFormula>
    </tableColumn>
    <tableColumn id="3" name="mom" dataDxfId="15">
      <calculatedColumnFormula>(B7-B6)/B6</calculatedColumnFormula>
    </tableColumn>
    <tableColumn id="4" name="yoy" dataDxfId="1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retail/index.html" TargetMode="External" Id="rId1"/><Relationship Type="http://schemas.openxmlformats.org/officeDocument/2006/relationships/hyperlink" Target="http://www.duponttrading.com/" TargetMode="External" Id="rId2"/><Relationship Type="http://schemas.openxmlformats.org/officeDocument/2006/relationships/drawing" Target="/xl/drawings/drawing1.xml" Id="rId3"/></Relationships>
</file>

<file path=xl/worksheets/_rels/sheet3.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hyperlink" Target="https://fred.stlouisfed.org/series/RSFSXMV" TargetMode="External" Id="rId2"/><Relationship Type="http://schemas.openxmlformats.org/officeDocument/2006/relationships/hyperlink" Target="https://fred.stlouisfed.org/series/MARTSSM44W72USS" TargetMode="External" Id="rId3"/><Relationship Type="http://schemas.openxmlformats.org/officeDocument/2006/relationships/hyperlink" Target="https://fred.stlouisfed.org/series/RSMVPd" TargetMode="External" Id="rId4"/><Relationship Type="http://schemas.openxmlformats.org/officeDocument/2006/relationships/hyperlink" Target="https://fred.stlouisfed.org/series/RSNSr" TargetMode="External" Id="rId5"/><Relationship Type="http://schemas.openxmlformats.org/officeDocument/2006/relationships/hyperlink" Target="https://fred.stlouisfed.org/series/RSDBs" TargetMode="External" Id="rId6"/><Relationship Type="http://schemas.openxmlformats.org/officeDocument/2006/relationships/hyperlink" Target="https://fred.stlouisfed.org/series/RSFSDp" TargetMode="External" Id="rId7"/><Relationship Type="http://schemas.openxmlformats.org/officeDocument/2006/relationships/hyperlink" Target="https://fred.stlouisfed.org/series/RSGMs" TargetMode="External" Id="rId8"/><Relationship Type="http://schemas.openxmlformats.org/officeDocument/2006/relationships/hyperlink" Target="https://fred.stlouisfed.org/series/RSGASs" TargetMode="External" Id="rId9"/><Relationship Type="http://schemas.openxmlformats.org/officeDocument/2006/relationships/hyperlink" Target="https://fred.stlouisfed.org/series/RSBMGESD" TargetMode="External" Id="rId10"/><Relationship Type="http://schemas.openxmlformats.org/officeDocument/2006/relationships/hyperlink" Target="https://fred.stlouisfed.org/series/RSHPCs" TargetMode="External" Id="rId11"/><Relationship Type="http://schemas.openxmlformats.org/officeDocument/2006/relationships/hyperlink" Target="https://fred.stlouisfed.org/series/RSCCAS" TargetMode="External" Id="rId12"/><Relationship Type="http://schemas.openxmlformats.org/officeDocument/2006/relationships/hyperlink" Target="https://fred.stlouisfed.org/series/RSFHFS" TargetMode="External" Id="rId13"/><Relationship Type="http://schemas.openxmlformats.org/officeDocument/2006/relationships/hyperlink" Target="https://fred.stlouisfed.org/series/RSMSR" TargetMode="External" Id="rId14"/><Relationship Type="http://schemas.openxmlformats.org/officeDocument/2006/relationships/hyperlink" Target="https://fred.stlouisfed.org/series/RSSGHBMs" TargetMode="External" Id="rId15"/></Relationships>
</file>

<file path=xl/worksheets/_rels/sheet5.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drawing" Target="/xl/drawings/drawing3.xml" Id="rId2"/><Relationship Type="http://schemas.openxmlformats.org/officeDocument/2006/relationships/table" Target="/xl/tables/table2.xml" Id="rId3"/></Relationships>
</file>

<file path=xl/worksheets/_rels/sheet7.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hyperlink" Target="https://fred.stlouisfed.org/series/RSDBS" TargetMode="External" Id="rId1"/><Relationship Type="http://schemas.openxmlformats.org/officeDocument/2006/relationships/drawing" Target="/xl/drawings/drawing5.xml" Id="rId2"/></Relationships>
</file>

<file path=xl/worksheets/_rels/sheet9.xml.rels><Relationships xmlns="http://schemas.openxmlformats.org/package/2006/relationships"><Relationship Type="http://schemas.openxmlformats.org/officeDocument/2006/relationships/hyperlink" Target="https://fred.stlouisfed.org/series/RSNSR" TargetMode="External" Id="rId1"/><Relationship Type="http://schemas.openxmlformats.org/officeDocument/2006/relationships/drawing" Target="/xl/drawings/drawing6.xml" Id="rId2"/></Relationships>
</file>

<file path=xl/worksheets/_rels/sheet10.xml.rels><Relationships xmlns="http://schemas.openxmlformats.org/package/2006/relationships"><Relationship Type="http://schemas.openxmlformats.org/officeDocument/2006/relationships/hyperlink" Target="https://fred.stlouisfed.org/series/RSHPCS" TargetMode="External" Id="rId1"/><Relationship Type="http://schemas.openxmlformats.org/officeDocument/2006/relationships/drawing" Target="/xl/drawings/drawing7.xml" Id="rId2"/></Relationships>
</file>

<file path=xl/worksheets/_rels/sheet11.xml.rels><Relationships xmlns="http://schemas.openxmlformats.org/package/2006/relationships"><Relationship Type="http://schemas.openxmlformats.org/officeDocument/2006/relationships/hyperlink" Target="https://fred.stlouisfed.org/series/RSSGHBMS" TargetMode="External" Id="rId1"/><Relationship Type="http://schemas.openxmlformats.org/officeDocument/2006/relationships/drawing" Target="/xl/drawings/drawing8.xml" Id="rId2"/></Relationships>
</file>

<file path=xl/worksheets/_rels/sheet12.xml.rels><Relationships xmlns="http://schemas.openxmlformats.org/package/2006/relationships"><Relationship Type="http://schemas.openxmlformats.org/officeDocument/2006/relationships/hyperlink" Target="https://fred.stlouisfed.org/series/RSGMS" TargetMode="External" Id="rId1"/><Relationship Type="http://schemas.openxmlformats.org/officeDocument/2006/relationships/drawing" Target="/xl/drawings/drawing9.xml" Id="rId2"/></Relationships>
</file>

<file path=xl/worksheets/_rels/sheet13.xml.rels><Relationships xmlns="http://schemas.openxmlformats.org/package/2006/relationships"><Relationship Type="http://schemas.openxmlformats.org/officeDocument/2006/relationships/drawing" Target="/xl/drawings/drawing10.xml" Id="rId1"/></Relationships>
</file>

<file path=xl/worksheets/_rels/sheet14.xml.rels><Relationships xmlns="http://schemas.openxmlformats.org/package/2006/relationships"><Relationship Type="http://schemas.openxmlformats.org/officeDocument/2006/relationships/hyperlink" Target="https://fred.stlouisfed.org/series/RSGASS" TargetMode="External" Id="rId1"/><Relationship Type="http://schemas.openxmlformats.org/officeDocument/2006/relationships/drawing" Target="/xl/drawings/drawing11.xml" Id="rId2"/></Relationships>
</file>

<file path=xl/worksheets/_rels/sheet15.xml.rels><Relationships xmlns="http://schemas.openxmlformats.org/package/2006/relationships"><Relationship Type="http://schemas.openxmlformats.org/officeDocument/2006/relationships/hyperlink" Target="https://fred.stlouisfed.org/series/RSMVPD" TargetMode="External" Id="rId1"/><Relationship Type="http://schemas.openxmlformats.org/officeDocument/2006/relationships/drawing" Target="/xl/drawings/drawing12.xml" Id="rId2"/></Relationships>
</file>

<file path=xl/worksheets/_rels/sheet16.xml.rels><Relationships xmlns="http://schemas.openxmlformats.org/package/2006/relationships"><Relationship Type="http://schemas.openxmlformats.org/officeDocument/2006/relationships/hyperlink" Target="https://fred.stlouisfed.org/series/RSBMGESD" TargetMode="External" Id="rId1"/><Relationship Type="http://schemas.openxmlformats.org/officeDocument/2006/relationships/drawing" Target="/xl/drawings/drawing13.xml" Id="rId2"/><Relationship Type="http://schemas.openxmlformats.org/officeDocument/2006/relationships/table" Target="/xl/tables/table4.xml" Id="rId3"/></Relationships>
</file>

<file path=xl/worksheets/_rels/sheet17.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5.xml" Id="rId2"/></Relationships>
</file>

<file path=xl/worksheets/_rels/sheet18.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6.xml" Id="rId2"/></Relationships>
</file>

<file path=xl/worksheets/_rels/sheet19.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7.xml" Id="rId2"/></Relationships>
</file>

<file path=xl/worksheets/sheet1.xml><?xml version="1.0" encoding="utf-8"?>
<worksheet xmlns="http://schemas.openxmlformats.org/spreadsheetml/2006/main">
  <sheetPr>
    <tabColor rgb="FFFFFF00"/>
    <outlinePr summaryBelow="1" summaryRight="1"/>
    <pageSetUpPr/>
  </sheetPr>
  <dimension ref="B1:S36"/>
  <sheetViews>
    <sheetView tabSelected="1" zoomScale="140" zoomScaleNormal="140" workbookViewId="0">
      <selection activeCell="V55" sqref="V55"/>
    </sheetView>
  </sheetViews>
  <sheetFormatPr baseColWidth="10" defaultColWidth="9.1640625" defaultRowHeight="15"/>
  <cols>
    <col width="9.1640625" customWidth="1" style="122" min="1" max="1"/>
    <col width="12.83203125" customWidth="1" style="122" min="2" max="10"/>
    <col width="3.33203125" customWidth="1" style="122" min="11" max="13"/>
    <col width="18.6640625" customWidth="1" style="122" min="14" max="14"/>
    <col width="30.33203125" customWidth="1" style="122" min="15" max="15"/>
    <col width="12.33203125" customWidth="1" style="122" min="16" max="19"/>
    <col width="9.1640625" customWidth="1" style="122" min="20" max="25"/>
    <col width="9.1640625" customWidth="1" style="122" min="26" max="16384"/>
  </cols>
  <sheetData>
    <row r="1">
      <c r="B1" s="121" t="n"/>
    </row>
    <row r="2" ht="16" customHeight="1" s="95" thickBot="1">
      <c r="B2" s="123" t="n"/>
      <c r="C2" s="123" t="n"/>
      <c r="D2" s="123" t="n"/>
      <c r="E2" s="123" t="n"/>
      <c r="F2" s="123" t="n"/>
      <c r="G2" s="123" t="n"/>
      <c r="H2" s="123" t="n"/>
      <c r="I2" s="123" t="n"/>
      <c r="J2" s="123" t="n"/>
    </row>
    <row r="3" ht="16" customHeight="1" s="95" thickBot="1">
      <c r="B3" s="124" t="inlineStr">
        <is>
          <t>Retail Sales</t>
        </is>
      </c>
      <c r="C3" s="125" t="n"/>
      <c r="D3" s="125" t="n"/>
      <c r="E3" s="125" t="n"/>
      <c r="F3" s="125" t="n"/>
      <c r="G3" s="125" t="n"/>
      <c r="H3" s="125" t="n"/>
      <c r="I3" s="125" t="n"/>
      <c r="J3" s="126" t="n"/>
    </row>
    <row r="5">
      <c r="B5" s="117" t="inlineStr">
        <is>
          <t>Definition</t>
        </is>
      </c>
      <c r="C5" s="118" t="n"/>
      <c r="D5" s="118" t="n"/>
      <c r="E5" s="118" t="n"/>
      <c r="F5" s="118" t="n"/>
      <c r="G5" s="118" t="n"/>
      <c r="H5" s="118" t="n"/>
      <c r="I5" s="118" t="n"/>
      <c r="J5" s="114" t="n"/>
    </row>
    <row r="7" ht="147.75" customHeight="1" s="95">
      <c r="B7" s="127" t="inlineStr">
        <is>
          <t>Sales include merchandise sold (for cash or credit at retail or wholesale) by establishments primarily engaged in retail trade. Services that are incidental to the sale of merchandise, and excise taxes that are paid by the manufacturer or wholesaler and passed along to the retailer are also included. Sales are net, after deductions, of refunds and allowances for merchandise returned by customers. Sales exclude sales taxes collected directly from customers and paid directly to a local, state, or federal tax agency.
The estimates of sales measure the operations receipts rendered by stores that primarily sell at retail. The sales estimates represent total sales and receipts of all establishments primarily engaged in retail trade. They do not include sales at retail by manufacturers, wholesalers, service establishments, and others whose primary activity is other than retail trade. Because the retail establishment is the basic unit of measure, the published estimates of sales by type of retail store are not intended to measure the total sales for a given commodity or merchandise line.</t>
        </is>
      </c>
    </row>
    <row r="8" ht="33.75" customHeight="1" s="95">
      <c r="B8" s="128" t="inlineStr">
        <is>
          <t>https://www.census.gov/retail/index.html</t>
        </is>
      </c>
    </row>
    <row r="9">
      <c r="B9" s="65" t="n"/>
      <c r="C9" s="65" t="n"/>
      <c r="D9" s="65" t="n"/>
      <c r="E9" s="65" t="n"/>
    </row>
    <row r="10">
      <c r="B10" s="117" t="inlineStr">
        <is>
          <t>Process / TO DO LIST</t>
        </is>
      </c>
      <c r="C10" s="118" t="n"/>
      <c r="D10" s="118" t="n"/>
      <c r="E10" s="118" t="n"/>
      <c r="F10" s="118" t="n"/>
      <c r="G10" s="118" t="n"/>
      <c r="H10" s="118" t="n"/>
      <c r="I10" s="118" t="n"/>
      <c r="J10" s="114" t="n"/>
      <c r="N10" s="117" t="inlineStr">
        <is>
          <t>Summary</t>
        </is>
      </c>
      <c r="O10" s="118" t="n"/>
      <c r="P10" s="118" t="n"/>
      <c r="Q10" s="114" t="n"/>
    </row>
    <row r="12">
      <c r="B12" s="117" t="inlineStr">
        <is>
          <t>TO DO LIST</t>
        </is>
      </c>
      <c r="C12" s="118" t="n"/>
      <c r="D12" s="118" t="n"/>
      <c r="E12" s="118" t="n"/>
      <c r="F12" s="114" t="n"/>
      <c r="G12" s="117" t="inlineStr">
        <is>
          <t>Comments</t>
        </is>
      </c>
      <c r="H12" s="118" t="n"/>
      <c r="I12" s="118" t="n"/>
      <c r="J12" s="114" t="n"/>
      <c r="N12" s="8" t="inlineStr">
        <is>
          <t>* To modify</t>
        </is>
      </c>
    </row>
    <row r="13" ht="16" customHeight="1" s="95" thickBot="1"/>
    <row r="14">
      <c r="B14" s="122" t="inlineStr">
        <is>
          <t>Database</t>
        </is>
      </c>
      <c r="G14" s="122" t="n"/>
      <c r="P14" s="68" t="n">
        <v>44562</v>
      </c>
      <c r="Q14" s="69" t="n"/>
    </row>
    <row r="15" ht="16" customHeight="1" s="95" thickBot="1">
      <c r="B15" s="122" t="inlineStr">
        <is>
          <t>Create data on Fred</t>
        </is>
      </c>
      <c r="G15" s="122" t="n"/>
      <c r="N15" s="128" t="inlineStr">
        <is>
          <t>www.duponttrading.com</t>
        </is>
      </c>
      <c r="P15" s="70" t="inlineStr">
        <is>
          <t>mom</t>
        </is>
      </c>
      <c r="Q15" s="70" t="inlineStr">
        <is>
          <t>yoy</t>
        </is>
      </c>
    </row>
    <row r="16" ht="15.75" customHeight="1" s="95">
      <c r="B16" s="122" t="inlineStr">
        <is>
          <t>https://research.stlouisfed.org/useraccount/datalists</t>
        </is>
      </c>
      <c r="G16" s="131" t="n"/>
      <c r="N16" s="119" t="inlineStr">
        <is>
          <t>Retail Sales</t>
        </is>
      </c>
      <c r="O16" s="120" t="n"/>
      <c r="P16" s="96">
        <f>Recap!F7</f>
        <v/>
      </c>
      <c r="Q16" s="97">
        <f>Recap!G7</f>
        <v/>
      </c>
      <c r="S16" s="71" t="n"/>
    </row>
    <row r="17" ht="15.75" customHeight="1" s="95">
      <c r="G17" s="131" t="n"/>
      <c r="N17" s="113" t="inlineStr">
        <is>
          <t>Retail Sales ex Auto</t>
        </is>
      </c>
      <c r="O17" s="114" t="n"/>
      <c r="P17" s="98">
        <f>Recap!F8</f>
        <v/>
      </c>
      <c r="Q17" s="99">
        <f>Recap!G8</f>
        <v/>
      </c>
      <c r="S17" s="71" t="n"/>
    </row>
    <row r="18" ht="15.75" customHeight="1" s="95">
      <c r="B18" s="122" t="inlineStr">
        <is>
          <t>https://fred.stlouisfed.org/series/RSAFs</t>
        </is>
      </c>
      <c r="G18" s="100" t="inlineStr">
        <is>
          <t>Retail Sales</t>
        </is>
      </c>
      <c r="H18" s="67" t="n"/>
      <c r="I18" s="67" t="n"/>
      <c r="J18" s="67" t="n"/>
      <c r="N18" s="113" t="inlineStr">
        <is>
          <t>Retail Sales ex Auto and Gas</t>
        </is>
      </c>
      <c r="O18" s="114" t="n"/>
      <c r="P18" s="98">
        <f>Recap!F9</f>
        <v/>
      </c>
      <c r="Q18" s="99">
        <f>Recap!G9</f>
        <v/>
      </c>
      <c r="S18" s="71" t="n"/>
    </row>
    <row r="19" ht="15.75" customHeight="1" s="95">
      <c r="B19" s="122" t="inlineStr">
        <is>
          <t>https://fred.stlouisfed.org/series/RSFSXMV</t>
        </is>
      </c>
      <c r="G19" s="100" t="inlineStr">
        <is>
          <t>Retail Sales ex Auto</t>
        </is>
      </c>
      <c r="H19" s="67" t="n"/>
      <c r="I19" s="67" t="n"/>
      <c r="J19" s="67" t="n"/>
      <c r="N19" s="113" t="inlineStr">
        <is>
          <t>Motor Vechicle</t>
        </is>
      </c>
      <c r="O19" s="114" t="n"/>
      <c r="P19" s="98">
        <f>Recap!F10</f>
        <v/>
      </c>
      <c r="Q19" s="99">
        <f>Recap!G10</f>
        <v/>
      </c>
      <c r="S19" s="71" t="n"/>
    </row>
    <row r="20" ht="15.75" customHeight="1" s="95">
      <c r="B20" s="122" t="inlineStr">
        <is>
          <t>https://fred.stlouisfed.org/series/MARTSSM44W72USS</t>
        </is>
      </c>
      <c r="G20" s="100" t="inlineStr">
        <is>
          <t>Retail Sales ex Auto and Gas</t>
        </is>
      </c>
      <c r="H20" s="67" t="n"/>
      <c r="I20" s="67" t="n"/>
      <c r="J20" s="67" t="n"/>
      <c r="N20" s="113" t="inlineStr">
        <is>
          <t>Non Store</t>
        </is>
      </c>
      <c r="O20" s="114" t="n"/>
      <c r="P20" s="98">
        <f>Recap!F11</f>
        <v/>
      </c>
      <c r="Q20" s="99">
        <f>Recap!G11</f>
        <v/>
      </c>
    </row>
    <row r="21" ht="15.75" customHeight="1" s="95">
      <c r="B21" s="122" t="inlineStr">
        <is>
          <t>https://fred.stlouisfed.org/series/RSDBs</t>
        </is>
      </c>
      <c r="G21" s="100" t="inlineStr">
        <is>
          <t>Food&amp;Beverage</t>
        </is>
      </c>
      <c r="H21" s="67" t="n"/>
      <c r="I21" s="67" t="n"/>
      <c r="J21" s="67" t="n"/>
      <c r="N21" s="113" t="inlineStr">
        <is>
          <t>Food &amp; Beverage</t>
        </is>
      </c>
      <c r="O21" s="114" t="n"/>
      <c r="P21" s="98">
        <f>Recap!F12</f>
        <v/>
      </c>
      <c r="Q21" s="99">
        <f>Recap!G12</f>
        <v/>
      </c>
    </row>
    <row r="22" ht="15.75" customHeight="1" s="95">
      <c r="B22" s="122" t="inlineStr">
        <is>
          <t>https://fred.stlouisfed.org/series/RSNSr</t>
        </is>
      </c>
      <c r="G22" s="100" t="inlineStr">
        <is>
          <t>NonStore</t>
        </is>
      </c>
      <c r="H22" s="67" t="n"/>
      <c r="I22" s="67" t="n"/>
      <c r="J22" s="67" t="n"/>
      <c r="N22" s="113" t="inlineStr">
        <is>
          <t>Food Services</t>
        </is>
      </c>
      <c r="O22" s="114" t="n"/>
      <c r="P22" s="98">
        <f>Recap!F13</f>
        <v/>
      </c>
      <c r="Q22" s="99">
        <f>Recap!G13</f>
        <v/>
      </c>
    </row>
    <row r="23" ht="15.75" customHeight="1" s="95">
      <c r="B23" s="122" t="inlineStr">
        <is>
          <t>https://fred.stlouisfed.org/series/RSHPCs</t>
        </is>
      </c>
      <c r="G23" s="100" t="inlineStr">
        <is>
          <t>HealthCare</t>
        </is>
      </c>
      <c r="H23" s="67" t="n"/>
      <c r="I23" s="67" t="n"/>
      <c r="J23" s="67" t="n"/>
      <c r="N23" s="113" t="inlineStr">
        <is>
          <t>General Merchandising</t>
        </is>
      </c>
      <c r="O23" s="114" t="n"/>
      <c r="P23" s="98">
        <f>Recap!F14</f>
        <v/>
      </c>
      <c r="Q23" s="99">
        <f>Recap!G14</f>
        <v/>
      </c>
    </row>
    <row r="24" ht="15.75" customHeight="1" s="95">
      <c r="B24" s="122" t="inlineStr">
        <is>
          <t>https://fred.stlouisfed.org/series/RSSGHBMs</t>
        </is>
      </c>
      <c r="G24" s="100" t="inlineStr">
        <is>
          <t>Clothing, Sport</t>
        </is>
      </c>
      <c r="H24" s="67" t="n"/>
      <c r="I24" s="67" t="n"/>
      <c r="J24" s="67" t="n"/>
      <c r="N24" s="113" t="inlineStr">
        <is>
          <t>Gasoline Stations</t>
        </is>
      </c>
      <c r="O24" s="114" t="n"/>
      <c r="P24" s="98">
        <f>Recap!F15</f>
        <v/>
      </c>
      <c r="Q24" s="99">
        <f>Recap!G15</f>
        <v/>
      </c>
    </row>
    <row r="25" ht="15.75" customHeight="1" s="95">
      <c r="B25" s="122" t="inlineStr">
        <is>
          <t>https://fred.stlouisfed.org/series/RSGMs</t>
        </is>
      </c>
      <c r="G25" s="100" t="inlineStr">
        <is>
          <t>General Merch</t>
        </is>
      </c>
      <c r="H25" s="67" t="n"/>
      <c r="I25" s="67" t="n"/>
      <c r="J25" s="67" t="n"/>
      <c r="N25" s="113" t="inlineStr">
        <is>
          <t>Housing Supplies</t>
        </is>
      </c>
      <c r="O25" s="114" t="n"/>
      <c r="P25" s="98">
        <f>Recap!F16</f>
        <v/>
      </c>
      <c r="Q25" s="99">
        <f>Recap!G16</f>
        <v/>
      </c>
    </row>
    <row r="26" ht="15.75" customHeight="1" s="95">
      <c r="B26" s="122" t="inlineStr">
        <is>
          <t>https://fred.stlouisfed.org/series/RSFSDp</t>
        </is>
      </c>
      <c r="G26" s="101" t="inlineStr">
        <is>
          <t>FoodServices</t>
        </is>
      </c>
      <c r="H26" s="67" t="n"/>
      <c r="I26" s="67" t="n"/>
      <c r="J26" s="67" t="n"/>
      <c r="N26" s="113" t="inlineStr">
        <is>
          <t>HealthCare</t>
        </is>
      </c>
      <c r="O26" s="114" t="n"/>
      <c r="P26" s="98">
        <f>Recap!F17</f>
        <v/>
      </c>
      <c r="Q26" s="99">
        <f>Recap!G17</f>
        <v/>
      </c>
    </row>
    <row r="27" ht="15.75" customHeight="1" s="95">
      <c r="B27" s="122" t="inlineStr">
        <is>
          <t>https://fred.stlouisfed.org/series/RSGASs</t>
        </is>
      </c>
      <c r="G27" s="100" t="inlineStr">
        <is>
          <t>Gasoline St</t>
        </is>
      </c>
      <c r="H27" s="67" t="n"/>
      <c r="I27" s="67" t="n"/>
      <c r="J27" s="67" t="n"/>
      <c r="N27" s="113" t="inlineStr">
        <is>
          <t>Clothing and clothing access. stores</t>
        </is>
      </c>
      <c r="O27" s="114" t="n"/>
      <c r="P27" s="98">
        <f>Recap!F18</f>
        <v/>
      </c>
      <c r="Q27" s="99">
        <f>Recap!G18</f>
        <v/>
      </c>
    </row>
    <row r="28" ht="15.75" customHeight="1" s="95">
      <c r="B28" s="122" t="inlineStr">
        <is>
          <t>https://fred.stlouisfed.org/series/RSMVPd</t>
        </is>
      </c>
      <c r="G28" s="100" t="inlineStr">
        <is>
          <t>Motor Vechicle</t>
        </is>
      </c>
      <c r="H28" s="67" t="n"/>
      <c r="I28" s="67" t="n"/>
      <c r="J28" s="67" t="n"/>
      <c r="N28" s="113" t="inlineStr">
        <is>
          <t>Furniture, home furn, electronics, and appliance stores</t>
        </is>
      </c>
      <c r="O28" s="114" t="n"/>
      <c r="P28" s="98">
        <f>Recap!F19</f>
        <v/>
      </c>
      <c r="Q28" s="99">
        <f>Recap!G19</f>
        <v/>
      </c>
    </row>
    <row r="29" ht="15.75" customHeight="1" s="95">
      <c r="B29" s="122" t="inlineStr">
        <is>
          <t>https://fred.stlouisfed.org/series/RSBMGESD</t>
        </is>
      </c>
      <c r="G29" s="100" t="inlineStr">
        <is>
          <t>Housing Supplies</t>
        </is>
      </c>
      <c r="H29" s="67" t="n"/>
      <c r="I29" s="67" t="n"/>
      <c r="J29" s="67" t="n"/>
      <c r="N29" s="113" t="inlineStr">
        <is>
          <t>Miscellaneous stores retailers</t>
        </is>
      </c>
      <c r="O29" s="114" t="n"/>
      <c r="P29" s="98">
        <f>Recap!F20</f>
        <v/>
      </c>
      <c r="Q29" s="99">
        <f>Recap!G20</f>
        <v/>
      </c>
    </row>
    <row r="30" ht="15.75" customHeight="1" s="95" thickBot="1">
      <c r="B30" s="122" t="inlineStr">
        <is>
          <t>https://fred.stlouisfed.org/series/RSFHFS</t>
        </is>
      </c>
      <c r="G30" s="100" t="inlineStr">
        <is>
          <t>Furniture, home furn, electronics, and appliance stores</t>
        </is>
      </c>
      <c r="H30" s="67" t="n"/>
      <c r="I30" s="67" t="n"/>
      <c r="J30" s="67" t="n"/>
      <c r="N30" s="115" t="inlineStr">
        <is>
          <t>Clothing, Sport</t>
        </is>
      </c>
      <c r="O30" s="116" t="n"/>
      <c r="P30" s="102">
        <f>Recap!F21</f>
        <v/>
      </c>
      <c r="Q30" s="103">
        <f>Recap!G21</f>
        <v/>
      </c>
    </row>
    <row r="31" ht="15.75" customHeight="1" s="95">
      <c r="B31" s="122" t="inlineStr">
        <is>
          <t>https://fred.stlouisfed.org/series/RSCCAS</t>
        </is>
      </c>
      <c r="G31" s="100" t="inlineStr">
        <is>
          <t>Clothing and clothing access. stores</t>
        </is>
      </c>
      <c r="H31" s="67" t="n"/>
      <c r="I31" s="67" t="n"/>
      <c r="J31" s="67" t="n"/>
    </row>
    <row r="32" ht="15.75" customHeight="1" s="95">
      <c r="B32" s="122" t="inlineStr">
        <is>
          <t>https://fred.stlouisfed.org/series/RSMSR</t>
        </is>
      </c>
      <c r="G32" s="100" t="inlineStr">
        <is>
          <t>Miscellaneous stores retailers</t>
        </is>
      </c>
      <c r="H32" s="67" t="n"/>
      <c r="I32" s="67" t="n"/>
      <c r="J32" s="67" t="n"/>
    </row>
    <row r="33" ht="14.25" customHeight="1" s="95" thickBot="1">
      <c r="B33" s="130" t="n"/>
      <c r="G33" s="131" t="n"/>
    </row>
    <row r="34" ht="16" customHeight="1" s="95" thickBot="1">
      <c r="B34" s="27" t="n"/>
      <c r="N34" s="69">
        <f>DATE(YEAR($P$14),MONTH($P$14)-1,DAY($P$14))</f>
        <v/>
      </c>
    </row>
    <row r="35" ht="33.75" customHeight="1" s="95" thickBot="1">
      <c r="B35" s="129" t="n"/>
      <c r="N35" s="72">
        <f>DATE(YEAR($P$14)-1,MONTH($P$14),DAY($P$14))</f>
        <v/>
      </c>
    </row>
    <row r="36">
      <c r="B36" s="66" t="n"/>
    </row>
  </sheetData>
  <mergeCells count="31">
    <mergeCell ref="B35:J35"/>
    <mergeCell ref="B33:F33"/>
    <mergeCell ref="G33:J33"/>
    <mergeCell ref="B12:F12"/>
    <mergeCell ref="G12:J12"/>
    <mergeCell ref="G14:J14"/>
    <mergeCell ref="G15:J15"/>
    <mergeCell ref="G16:J16"/>
    <mergeCell ref="G17:J17"/>
    <mergeCell ref="B10:J10"/>
    <mergeCell ref="N16:O16"/>
    <mergeCell ref="N17:O17"/>
    <mergeCell ref="N18:O18"/>
    <mergeCell ref="B1:J2"/>
    <mergeCell ref="B3:J3"/>
    <mergeCell ref="B5:J5"/>
    <mergeCell ref="B7:J7"/>
    <mergeCell ref="B8:J8"/>
    <mergeCell ref="N29:O29"/>
    <mergeCell ref="N30:O30"/>
    <mergeCell ref="N10:Q10"/>
    <mergeCell ref="N24:O24"/>
    <mergeCell ref="N25:O25"/>
    <mergeCell ref="N26:O26"/>
    <mergeCell ref="N27:O27"/>
    <mergeCell ref="N28:O28"/>
    <mergeCell ref="N19:O19"/>
    <mergeCell ref="N20:O20"/>
    <mergeCell ref="N21:O21"/>
    <mergeCell ref="N22:O22"/>
    <mergeCell ref="N23:O23"/>
  </mergeCells>
  <conditionalFormatting sqref="P16:Q30">
    <cfRule type="cellIs" priority="1" operator="lessThan" dxfId="13">
      <formula>0</formula>
    </cfRule>
    <cfRule type="cellIs" priority="2" operator="greaterThan" dxfId="12">
      <formula>0</formula>
    </cfRule>
  </conditionalFormatting>
  <hyperlinks>
    <hyperlink xmlns:r="http://schemas.openxmlformats.org/officeDocument/2006/relationships" ref="B8" r:id="rId1"/>
    <hyperlink xmlns:r="http://schemas.openxmlformats.org/officeDocument/2006/relationships" ref="N15" r:id="rId2"/>
  </hyperlinks>
  <pageMargins left="0.7" right="0.7" top="0.75" bottom="0.75" header="0.3" footer="0.3"/>
  <drawing xmlns:r="http://schemas.openxmlformats.org/officeDocument/2006/relationships" r:id="rId3"/>
</worksheet>
</file>

<file path=xl/worksheets/sheet2.xml><?xml version="1.0" encoding="utf-8"?>
<worksheet xmlns="http://schemas.openxmlformats.org/spreadsheetml/2006/main">
  <sheetPr codeName="Sheet2">
    <tabColor theme="1" tint="0.499984740745262"/>
    <outlinePr summaryBelow="1" summaryRight="1"/>
    <pageSetUpPr/>
  </sheetPr>
  <dimension ref="A1:Q366"/>
  <sheetViews>
    <sheetView topLeftCell="A338" zoomScale="150" zoomScaleNormal="150" workbookViewId="0">
      <selection activeCell="V55" sqref="V55"/>
    </sheetView>
  </sheetViews>
  <sheetFormatPr baseColWidth="10" defaultColWidth="8.83203125" defaultRowHeight="15"/>
  <cols>
    <col width="12.6640625" customWidth="1" style="95" min="1" max="1"/>
    <col width="15.6640625" customWidth="1" style="95" min="2" max="2"/>
    <col width="9.6640625" customWidth="1" style="95" min="3" max="3"/>
    <col width="8.6640625" customWidth="1" style="95" min="4" max="6"/>
    <col width="7.6640625" customWidth="1" style="95" min="7" max="7"/>
    <col width="8.6640625" customWidth="1" style="95" min="8" max="9"/>
    <col width="9.6640625" customWidth="1" style="95" min="10" max="10"/>
    <col width="8.6640625" customWidth="1" style="95" min="11" max="14"/>
    <col width="9.6640625" customWidth="1" style="95" min="15" max="15"/>
    <col width="8.6640625" customWidth="1" style="95" min="16" max="17"/>
    <col width="9.1640625" customWidth="1" style="95" min="18" max="256"/>
    <col width="12.6640625" customWidth="1" style="95" min="257" max="257"/>
    <col width="15.6640625" customWidth="1" style="95" min="258" max="258"/>
    <col width="9.6640625" customWidth="1" style="95" min="259" max="259"/>
    <col width="8.6640625" customWidth="1" style="95" min="260" max="262"/>
    <col width="7.6640625" customWidth="1" style="95" min="263" max="263"/>
    <col width="8.6640625" customWidth="1" style="95" min="264" max="265"/>
    <col width="9.6640625" customWidth="1" style="95" min="266" max="266"/>
    <col width="8.6640625" customWidth="1" style="95" min="267" max="270"/>
    <col width="9.6640625" customWidth="1" style="95" min="271" max="271"/>
    <col width="8.6640625" customWidth="1" style="95" min="272" max="273"/>
    <col width="9.1640625" customWidth="1" style="95" min="274" max="512"/>
    <col width="12.6640625" customWidth="1" style="95" min="513" max="513"/>
    <col width="15.6640625" customWidth="1" style="95" min="514" max="514"/>
    <col width="9.6640625" customWidth="1" style="95" min="515" max="515"/>
    <col width="8.6640625" customWidth="1" style="95" min="516" max="518"/>
    <col width="7.6640625" customWidth="1" style="95" min="519" max="519"/>
    <col width="8.6640625" customWidth="1" style="95" min="520" max="521"/>
    <col width="9.6640625" customWidth="1" style="95" min="522" max="522"/>
    <col width="8.6640625" customWidth="1" style="95" min="523" max="526"/>
    <col width="9.6640625" customWidth="1" style="95" min="527" max="527"/>
    <col width="8.6640625" customWidth="1" style="95" min="528" max="529"/>
    <col width="9.1640625" customWidth="1" style="95" min="530" max="768"/>
    <col width="12.6640625" customWidth="1" style="95" min="769" max="769"/>
    <col width="15.6640625" customWidth="1" style="95" min="770" max="770"/>
    <col width="9.6640625" customWidth="1" style="95" min="771" max="771"/>
    <col width="8.6640625" customWidth="1" style="95" min="772" max="774"/>
    <col width="7.6640625" customWidth="1" style="95" min="775" max="775"/>
    <col width="8.6640625" customWidth="1" style="95" min="776" max="777"/>
    <col width="9.6640625" customWidth="1" style="95" min="778" max="778"/>
    <col width="8.6640625" customWidth="1" style="95" min="779" max="782"/>
    <col width="9.6640625" customWidth="1" style="95" min="783" max="783"/>
    <col width="8.6640625" customWidth="1" style="95" min="784" max="785"/>
    <col width="9.1640625" customWidth="1" style="95" min="786" max="1024"/>
    <col width="12.6640625" customWidth="1" style="95" min="1025" max="1025"/>
    <col width="15.6640625" customWidth="1" style="95" min="1026" max="1026"/>
    <col width="9.6640625" customWidth="1" style="95" min="1027" max="1027"/>
    <col width="8.6640625" customWidth="1" style="95" min="1028" max="1030"/>
    <col width="7.6640625" customWidth="1" style="95" min="1031" max="1031"/>
    <col width="8.6640625" customWidth="1" style="95" min="1032" max="1033"/>
    <col width="9.6640625" customWidth="1" style="95" min="1034" max="1034"/>
    <col width="8.6640625" customWidth="1" style="95" min="1035" max="1038"/>
    <col width="9.6640625" customWidth="1" style="95" min="1039" max="1039"/>
    <col width="8.6640625" customWidth="1" style="95" min="1040" max="1041"/>
    <col width="9.1640625" customWidth="1" style="95" min="1042" max="1280"/>
    <col width="12.6640625" customWidth="1" style="95" min="1281" max="1281"/>
    <col width="15.6640625" customWidth="1" style="95" min="1282" max="1282"/>
    <col width="9.6640625" customWidth="1" style="95" min="1283" max="1283"/>
    <col width="8.6640625" customWidth="1" style="95" min="1284" max="1286"/>
    <col width="7.6640625" customWidth="1" style="95" min="1287" max="1287"/>
    <col width="8.6640625" customWidth="1" style="95" min="1288" max="1289"/>
    <col width="9.6640625" customWidth="1" style="95" min="1290" max="1290"/>
    <col width="8.6640625" customWidth="1" style="95" min="1291" max="1294"/>
    <col width="9.6640625" customWidth="1" style="95" min="1295" max="1295"/>
    <col width="8.6640625" customWidth="1" style="95" min="1296" max="1297"/>
    <col width="9.1640625" customWidth="1" style="95" min="1298" max="1536"/>
    <col width="12.6640625" customWidth="1" style="95" min="1537" max="1537"/>
    <col width="15.6640625" customWidth="1" style="95" min="1538" max="1538"/>
    <col width="9.6640625" customWidth="1" style="95" min="1539" max="1539"/>
    <col width="8.6640625" customWidth="1" style="95" min="1540" max="1542"/>
    <col width="7.6640625" customWidth="1" style="95" min="1543" max="1543"/>
    <col width="8.6640625" customWidth="1" style="95" min="1544" max="1545"/>
    <col width="9.6640625" customWidth="1" style="95" min="1546" max="1546"/>
    <col width="8.6640625" customWidth="1" style="95" min="1547" max="1550"/>
    <col width="9.6640625" customWidth="1" style="95" min="1551" max="1551"/>
    <col width="8.6640625" customWidth="1" style="95" min="1552" max="1553"/>
    <col width="9.1640625" customWidth="1" style="95" min="1554" max="1792"/>
    <col width="12.6640625" customWidth="1" style="95" min="1793" max="1793"/>
    <col width="15.6640625" customWidth="1" style="95" min="1794" max="1794"/>
    <col width="9.6640625" customWidth="1" style="95" min="1795" max="1795"/>
    <col width="8.6640625" customWidth="1" style="95" min="1796" max="1798"/>
    <col width="7.6640625" customWidth="1" style="95" min="1799" max="1799"/>
    <col width="8.6640625" customWidth="1" style="95" min="1800" max="1801"/>
    <col width="9.6640625" customWidth="1" style="95" min="1802" max="1802"/>
    <col width="8.6640625" customWidth="1" style="95" min="1803" max="1806"/>
    <col width="9.6640625" customWidth="1" style="95" min="1807" max="1807"/>
    <col width="8.6640625" customWidth="1" style="95" min="1808" max="1809"/>
    <col width="9.1640625" customWidth="1" style="95" min="1810" max="2048"/>
    <col width="12.6640625" customWidth="1" style="95" min="2049" max="2049"/>
    <col width="15.6640625" customWidth="1" style="95" min="2050" max="2050"/>
    <col width="9.6640625" customWidth="1" style="95" min="2051" max="2051"/>
    <col width="8.6640625" customWidth="1" style="95" min="2052" max="2054"/>
    <col width="7.6640625" customWidth="1" style="95" min="2055" max="2055"/>
    <col width="8.6640625" customWidth="1" style="95" min="2056" max="2057"/>
    <col width="9.6640625" customWidth="1" style="95" min="2058" max="2058"/>
    <col width="8.6640625" customWidth="1" style="95" min="2059" max="2062"/>
    <col width="9.6640625" customWidth="1" style="95" min="2063" max="2063"/>
    <col width="8.6640625" customWidth="1" style="95" min="2064" max="2065"/>
    <col width="9.1640625" customWidth="1" style="95" min="2066" max="2304"/>
    <col width="12.6640625" customWidth="1" style="95" min="2305" max="2305"/>
    <col width="15.6640625" customWidth="1" style="95" min="2306" max="2306"/>
    <col width="9.6640625" customWidth="1" style="95" min="2307" max="2307"/>
    <col width="8.6640625" customWidth="1" style="95" min="2308" max="2310"/>
    <col width="7.6640625" customWidth="1" style="95" min="2311" max="2311"/>
    <col width="8.6640625" customWidth="1" style="95" min="2312" max="2313"/>
    <col width="9.6640625" customWidth="1" style="95" min="2314" max="2314"/>
    <col width="8.6640625" customWidth="1" style="95" min="2315" max="2318"/>
    <col width="9.6640625" customWidth="1" style="95" min="2319" max="2319"/>
    <col width="8.6640625" customWidth="1" style="95" min="2320" max="2321"/>
    <col width="9.1640625" customWidth="1" style="95" min="2322" max="2560"/>
    <col width="12.6640625" customWidth="1" style="95" min="2561" max="2561"/>
    <col width="15.6640625" customWidth="1" style="95" min="2562" max="2562"/>
    <col width="9.6640625" customWidth="1" style="95" min="2563" max="2563"/>
    <col width="8.6640625" customWidth="1" style="95" min="2564" max="2566"/>
    <col width="7.6640625" customWidth="1" style="95" min="2567" max="2567"/>
    <col width="8.6640625" customWidth="1" style="95" min="2568" max="2569"/>
    <col width="9.6640625" customWidth="1" style="95" min="2570" max="2570"/>
    <col width="8.6640625" customWidth="1" style="95" min="2571" max="2574"/>
    <col width="9.6640625" customWidth="1" style="95" min="2575" max="2575"/>
    <col width="8.6640625" customWidth="1" style="95" min="2576" max="2577"/>
    <col width="9.1640625" customWidth="1" style="95" min="2578" max="2816"/>
    <col width="12.6640625" customWidth="1" style="95" min="2817" max="2817"/>
    <col width="15.6640625" customWidth="1" style="95" min="2818" max="2818"/>
    <col width="9.6640625" customWidth="1" style="95" min="2819" max="2819"/>
    <col width="8.6640625" customWidth="1" style="95" min="2820" max="2822"/>
    <col width="7.6640625" customWidth="1" style="95" min="2823" max="2823"/>
    <col width="8.6640625" customWidth="1" style="95" min="2824" max="2825"/>
    <col width="9.6640625" customWidth="1" style="95" min="2826" max="2826"/>
    <col width="8.6640625" customWidth="1" style="95" min="2827" max="2830"/>
    <col width="9.6640625" customWidth="1" style="95" min="2831" max="2831"/>
    <col width="8.6640625" customWidth="1" style="95" min="2832" max="2833"/>
    <col width="9.1640625" customWidth="1" style="95" min="2834" max="3072"/>
    <col width="12.6640625" customWidth="1" style="95" min="3073" max="3073"/>
    <col width="15.6640625" customWidth="1" style="95" min="3074" max="3074"/>
    <col width="9.6640625" customWidth="1" style="95" min="3075" max="3075"/>
    <col width="8.6640625" customWidth="1" style="95" min="3076" max="3078"/>
    <col width="7.6640625" customWidth="1" style="95" min="3079" max="3079"/>
    <col width="8.6640625" customWidth="1" style="95" min="3080" max="3081"/>
    <col width="9.6640625" customWidth="1" style="95" min="3082" max="3082"/>
    <col width="8.6640625" customWidth="1" style="95" min="3083" max="3086"/>
    <col width="9.6640625" customWidth="1" style="95" min="3087" max="3087"/>
    <col width="8.6640625" customWidth="1" style="95" min="3088" max="3089"/>
    <col width="9.1640625" customWidth="1" style="95" min="3090" max="3328"/>
    <col width="12.6640625" customWidth="1" style="95" min="3329" max="3329"/>
    <col width="15.6640625" customWidth="1" style="95" min="3330" max="3330"/>
    <col width="9.6640625" customWidth="1" style="95" min="3331" max="3331"/>
    <col width="8.6640625" customWidth="1" style="95" min="3332" max="3334"/>
    <col width="7.6640625" customWidth="1" style="95" min="3335" max="3335"/>
    <col width="8.6640625" customWidth="1" style="95" min="3336" max="3337"/>
    <col width="9.6640625" customWidth="1" style="95" min="3338" max="3338"/>
    <col width="8.6640625" customWidth="1" style="95" min="3339" max="3342"/>
    <col width="9.6640625" customWidth="1" style="95" min="3343" max="3343"/>
    <col width="8.6640625" customWidth="1" style="95" min="3344" max="3345"/>
    <col width="9.1640625" customWidth="1" style="95" min="3346" max="3584"/>
    <col width="12.6640625" customWidth="1" style="95" min="3585" max="3585"/>
    <col width="15.6640625" customWidth="1" style="95" min="3586" max="3586"/>
    <col width="9.6640625" customWidth="1" style="95" min="3587" max="3587"/>
    <col width="8.6640625" customWidth="1" style="95" min="3588" max="3590"/>
    <col width="7.6640625" customWidth="1" style="95" min="3591" max="3591"/>
    <col width="8.6640625" customWidth="1" style="95" min="3592" max="3593"/>
    <col width="9.6640625" customWidth="1" style="95" min="3594" max="3594"/>
    <col width="8.6640625" customWidth="1" style="95" min="3595" max="3598"/>
    <col width="9.6640625" customWidth="1" style="95" min="3599" max="3599"/>
    <col width="8.6640625" customWidth="1" style="95" min="3600" max="3601"/>
    <col width="9.1640625" customWidth="1" style="95" min="3602" max="3840"/>
    <col width="12.6640625" customWidth="1" style="95" min="3841" max="3841"/>
    <col width="15.6640625" customWidth="1" style="95" min="3842" max="3842"/>
    <col width="9.6640625" customWidth="1" style="95" min="3843" max="3843"/>
    <col width="8.6640625" customWidth="1" style="95" min="3844" max="3846"/>
    <col width="7.6640625" customWidth="1" style="95" min="3847" max="3847"/>
    <col width="8.6640625" customWidth="1" style="95" min="3848" max="3849"/>
    <col width="9.6640625" customWidth="1" style="95" min="3850" max="3850"/>
    <col width="8.6640625" customWidth="1" style="95" min="3851" max="3854"/>
    <col width="9.6640625" customWidth="1" style="95" min="3855" max="3855"/>
    <col width="8.6640625" customWidth="1" style="95" min="3856" max="3857"/>
    <col width="9.1640625" customWidth="1" style="95" min="3858" max="4096"/>
    <col width="12.6640625" customWidth="1" style="95" min="4097" max="4097"/>
    <col width="15.6640625" customWidth="1" style="95" min="4098" max="4098"/>
    <col width="9.6640625" customWidth="1" style="95" min="4099" max="4099"/>
    <col width="8.6640625" customWidth="1" style="95" min="4100" max="4102"/>
    <col width="7.6640625" customWidth="1" style="95" min="4103" max="4103"/>
    <col width="8.6640625" customWidth="1" style="95" min="4104" max="4105"/>
    <col width="9.6640625" customWidth="1" style="95" min="4106" max="4106"/>
    <col width="8.6640625" customWidth="1" style="95" min="4107" max="4110"/>
    <col width="9.6640625" customWidth="1" style="95" min="4111" max="4111"/>
    <col width="8.6640625" customWidth="1" style="95" min="4112" max="4113"/>
    <col width="9.1640625" customWidth="1" style="95" min="4114" max="4352"/>
    <col width="12.6640625" customWidth="1" style="95" min="4353" max="4353"/>
    <col width="15.6640625" customWidth="1" style="95" min="4354" max="4354"/>
    <col width="9.6640625" customWidth="1" style="95" min="4355" max="4355"/>
    <col width="8.6640625" customWidth="1" style="95" min="4356" max="4358"/>
    <col width="7.6640625" customWidth="1" style="95" min="4359" max="4359"/>
    <col width="8.6640625" customWidth="1" style="95" min="4360" max="4361"/>
    <col width="9.6640625" customWidth="1" style="95" min="4362" max="4362"/>
    <col width="8.6640625" customWidth="1" style="95" min="4363" max="4366"/>
    <col width="9.6640625" customWidth="1" style="95" min="4367" max="4367"/>
    <col width="8.6640625" customWidth="1" style="95" min="4368" max="4369"/>
    <col width="9.1640625" customWidth="1" style="95" min="4370" max="4608"/>
    <col width="12.6640625" customWidth="1" style="95" min="4609" max="4609"/>
    <col width="15.6640625" customWidth="1" style="95" min="4610" max="4610"/>
    <col width="9.6640625" customWidth="1" style="95" min="4611" max="4611"/>
    <col width="8.6640625" customWidth="1" style="95" min="4612" max="4614"/>
    <col width="7.6640625" customWidth="1" style="95" min="4615" max="4615"/>
    <col width="8.6640625" customWidth="1" style="95" min="4616" max="4617"/>
    <col width="9.6640625" customWidth="1" style="95" min="4618" max="4618"/>
    <col width="8.6640625" customWidth="1" style="95" min="4619" max="4622"/>
    <col width="9.6640625" customWidth="1" style="95" min="4623" max="4623"/>
    <col width="8.6640625" customWidth="1" style="95" min="4624" max="4625"/>
    <col width="9.1640625" customWidth="1" style="95" min="4626" max="4864"/>
    <col width="12.6640625" customWidth="1" style="95" min="4865" max="4865"/>
    <col width="15.6640625" customWidth="1" style="95" min="4866" max="4866"/>
    <col width="9.6640625" customWidth="1" style="95" min="4867" max="4867"/>
    <col width="8.6640625" customWidth="1" style="95" min="4868" max="4870"/>
    <col width="7.6640625" customWidth="1" style="95" min="4871" max="4871"/>
    <col width="8.6640625" customWidth="1" style="95" min="4872" max="4873"/>
    <col width="9.6640625" customWidth="1" style="95" min="4874" max="4874"/>
    <col width="8.6640625" customWidth="1" style="95" min="4875" max="4878"/>
    <col width="9.6640625" customWidth="1" style="95" min="4879" max="4879"/>
    <col width="8.6640625" customWidth="1" style="95" min="4880" max="4881"/>
    <col width="9.1640625" customWidth="1" style="95" min="4882" max="5120"/>
    <col width="12.6640625" customWidth="1" style="95" min="5121" max="5121"/>
    <col width="15.6640625" customWidth="1" style="95" min="5122" max="5122"/>
    <col width="9.6640625" customWidth="1" style="95" min="5123" max="5123"/>
    <col width="8.6640625" customWidth="1" style="95" min="5124" max="5126"/>
    <col width="7.6640625" customWidth="1" style="95" min="5127" max="5127"/>
    <col width="8.6640625" customWidth="1" style="95" min="5128" max="5129"/>
    <col width="9.6640625" customWidth="1" style="95" min="5130" max="5130"/>
    <col width="8.6640625" customWidth="1" style="95" min="5131" max="5134"/>
    <col width="9.6640625" customWidth="1" style="95" min="5135" max="5135"/>
    <col width="8.6640625" customWidth="1" style="95" min="5136" max="5137"/>
    <col width="9.1640625" customWidth="1" style="95" min="5138" max="5376"/>
    <col width="12.6640625" customWidth="1" style="95" min="5377" max="5377"/>
    <col width="15.6640625" customWidth="1" style="95" min="5378" max="5378"/>
    <col width="9.6640625" customWidth="1" style="95" min="5379" max="5379"/>
    <col width="8.6640625" customWidth="1" style="95" min="5380" max="5382"/>
    <col width="7.6640625" customWidth="1" style="95" min="5383" max="5383"/>
    <col width="8.6640625" customWidth="1" style="95" min="5384" max="5385"/>
    <col width="9.6640625" customWidth="1" style="95" min="5386" max="5386"/>
    <col width="8.6640625" customWidth="1" style="95" min="5387" max="5390"/>
    <col width="9.6640625" customWidth="1" style="95" min="5391" max="5391"/>
    <col width="8.6640625" customWidth="1" style="95" min="5392" max="5393"/>
    <col width="9.1640625" customWidth="1" style="95" min="5394" max="5632"/>
    <col width="12.6640625" customWidth="1" style="95" min="5633" max="5633"/>
    <col width="15.6640625" customWidth="1" style="95" min="5634" max="5634"/>
    <col width="9.6640625" customWidth="1" style="95" min="5635" max="5635"/>
    <col width="8.6640625" customWidth="1" style="95" min="5636" max="5638"/>
    <col width="7.6640625" customWidth="1" style="95" min="5639" max="5639"/>
    <col width="8.6640625" customWidth="1" style="95" min="5640" max="5641"/>
    <col width="9.6640625" customWidth="1" style="95" min="5642" max="5642"/>
    <col width="8.6640625" customWidth="1" style="95" min="5643" max="5646"/>
    <col width="9.6640625" customWidth="1" style="95" min="5647" max="5647"/>
    <col width="8.6640625" customWidth="1" style="95" min="5648" max="5649"/>
    <col width="9.1640625" customWidth="1" style="95" min="5650" max="5888"/>
    <col width="12.6640625" customWidth="1" style="95" min="5889" max="5889"/>
    <col width="15.6640625" customWidth="1" style="95" min="5890" max="5890"/>
    <col width="9.6640625" customWidth="1" style="95" min="5891" max="5891"/>
    <col width="8.6640625" customWidth="1" style="95" min="5892" max="5894"/>
    <col width="7.6640625" customWidth="1" style="95" min="5895" max="5895"/>
    <col width="8.6640625" customWidth="1" style="95" min="5896" max="5897"/>
    <col width="9.6640625" customWidth="1" style="95" min="5898" max="5898"/>
    <col width="8.6640625" customWidth="1" style="95" min="5899" max="5902"/>
    <col width="9.6640625" customWidth="1" style="95" min="5903" max="5903"/>
    <col width="8.6640625" customWidth="1" style="95" min="5904" max="5905"/>
    <col width="9.1640625" customWidth="1" style="95" min="5906" max="6144"/>
    <col width="12.6640625" customWidth="1" style="95" min="6145" max="6145"/>
    <col width="15.6640625" customWidth="1" style="95" min="6146" max="6146"/>
    <col width="9.6640625" customWidth="1" style="95" min="6147" max="6147"/>
    <col width="8.6640625" customWidth="1" style="95" min="6148" max="6150"/>
    <col width="7.6640625" customWidth="1" style="95" min="6151" max="6151"/>
    <col width="8.6640625" customWidth="1" style="95" min="6152" max="6153"/>
    <col width="9.6640625" customWidth="1" style="95" min="6154" max="6154"/>
    <col width="8.6640625" customWidth="1" style="95" min="6155" max="6158"/>
    <col width="9.6640625" customWidth="1" style="95" min="6159" max="6159"/>
    <col width="8.6640625" customWidth="1" style="95" min="6160" max="6161"/>
    <col width="9.1640625" customWidth="1" style="95" min="6162" max="6400"/>
    <col width="12.6640625" customWidth="1" style="95" min="6401" max="6401"/>
    <col width="15.6640625" customWidth="1" style="95" min="6402" max="6402"/>
    <col width="9.6640625" customWidth="1" style="95" min="6403" max="6403"/>
    <col width="8.6640625" customWidth="1" style="95" min="6404" max="6406"/>
    <col width="7.6640625" customWidth="1" style="95" min="6407" max="6407"/>
    <col width="8.6640625" customWidth="1" style="95" min="6408" max="6409"/>
    <col width="9.6640625" customWidth="1" style="95" min="6410" max="6410"/>
    <col width="8.6640625" customWidth="1" style="95" min="6411" max="6414"/>
    <col width="9.6640625" customWidth="1" style="95" min="6415" max="6415"/>
    <col width="8.6640625" customWidth="1" style="95" min="6416" max="6417"/>
    <col width="9.1640625" customWidth="1" style="95" min="6418" max="6656"/>
    <col width="12.6640625" customWidth="1" style="95" min="6657" max="6657"/>
    <col width="15.6640625" customWidth="1" style="95" min="6658" max="6658"/>
    <col width="9.6640625" customWidth="1" style="95" min="6659" max="6659"/>
    <col width="8.6640625" customWidth="1" style="95" min="6660" max="6662"/>
    <col width="7.6640625" customWidth="1" style="95" min="6663" max="6663"/>
    <col width="8.6640625" customWidth="1" style="95" min="6664" max="6665"/>
    <col width="9.6640625" customWidth="1" style="95" min="6666" max="6666"/>
    <col width="8.6640625" customWidth="1" style="95" min="6667" max="6670"/>
    <col width="9.6640625" customWidth="1" style="95" min="6671" max="6671"/>
    <col width="8.6640625" customWidth="1" style="95" min="6672" max="6673"/>
    <col width="9.1640625" customWidth="1" style="95" min="6674" max="6912"/>
    <col width="12.6640625" customWidth="1" style="95" min="6913" max="6913"/>
    <col width="15.6640625" customWidth="1" style="95" min="6914" max="6914"/>
    <col width="9.6640625" customWidth="1" style="95" min="6915" max="6915"/>
    <col width="8.6640625" customWidth="1" style="95" min="6916" max="6918"/>
    <col width="7.6640625" customWidth="1" style="95" min="6919" max="6919"/>
    <col width="8.6640625" customWidth="1" style="95" min="6920" max="6921"/>
    <col width="9.6640625" customWidth="1" style="95" min="6922" max="6922"/>
    <col width="8.6640625" customWidth="1" style="95" min="6923" max="6926"/>
    <col width="9.6640625" customWidth="1" style="95" min="6927" max="6927"/>
    <col width="8.6640625" customWidth="1" style="95" min="6928" max="6929"/>
    <col width="9.1640625" customWidth="1" style="95" min="6930" max="7168"/>
    <col width="12.6640625" customWidth="1" style="95" min="7169" max="7169"/>
    <col width="15.6640625" customWidth="1" style="95" min="7170" max="7170"/>
    <col width="9.6640625" customWidth="1" style="95" min="7171" max="7171"/>
    <col width="8.6640625" customWidth="1" style="95" min="7172" max="7174"/>
    <col width="7.6640625" customWidth="1" style="95" min="7175" max="7175"/>
    <col width="8.6640625" customWidth="1" style="95" min="7176" max="7177"/>
    <col width="9.6640625" customWidth="1" style="95" min="7178" max="7178"/>
    <col width="8.6640625" customWidth="1" style="95" min="7179" max="7182"/>
    <col width="9.6640625" customWidth="1" style="95" min="7183" max="7183"/>
    <col width="8.6640625" customWidth="1" style="95" min="7184" max="7185"/>
    <col width="9.1640625" customWidth="1" style="95" min="7186" max="7424"/>
    <col width="12.6640625" customWidth="1" style="95" min="7425" max="7425"/>
    <col width="15.6640625" customWidth="1" style="95" min="7426" max="7426"/>
    <col width="9.6640625" customWidth="1" style="95" min="7427" max="7427"/>
    <col width="8.6640625" customWidth="1" style="95" min="7428" max="7430"/>
    <col width="7.6640625" customWidth="1" style="95" min="7431" max="7431"/>
    <col width="8.6640625" customWidth="1" style="95" min="7432" max="7433"/>
    <col width="9.6640625" customWidth="1" style="95" min="7434" max="7434"/>
    <col width="8.6640625" customWidth="1" style="95" min="7435" max="7438"/>
    <col width="9.6640625" customWidth="1" style="95" min="7439" max="7439"/>
    <col width="8.6640625" customWidth="1" style="95" min="7440" max="7441"/>
    <col width="9.1640625" customWidth="1" style="95" min="7442" max="7680"/>
    <col width="12.6640625" customWidth="1" style="95" min="7681" max="7681"/>
    <col width="15.6640625" customWidth="1" style="95" min="7682" max="7682"/>
    <col width="9.6640625" customWidth="1" style="95" min="7683" max="7683"/>
    <col width="8.6640625" customWidth="1" style="95" min="7684" max="7686"/>
    <col width="7.6640625" customWidth="1" style="95" min="7687" max="7687"/>
    <col width="8.6640625" customWidth="1" style="95" min="7688" max="7689"/>
    <col width="9.6640625" customWidth="1" style="95" min="7690" max="7690"/>
    <col width="8.6640625" customWidth="1" style="95" min="7691" max="7694"/>
    <col width="9.6640625" customWidth="1" style="95" min="7695" max="7695"/>
    <col width="8.6640625" customWidth="1" style="95" min="7696" max="7697"/>
    <col width="9.1640625" customWidth="1" style="95" min="7698" max="7936"/>
    <col width="12.6640625" customWidth="1" style="95" min="7937" max="7937"/>
    <col width="15.6640625" customWidth="1" style="95" min="7938" max="7938"/>
    <col width="9.6640625" customWidth="1" style="95" min="7939" max="7939"/>
    <col width="8.6640625" customWidth="1" style="95" min="7940" max="7942"/>
    <col width="7.6640625" customWidth="1" style="95" min="7943" max="7943"/>
    <col width="8.6640625" customWidth="1" style="95" min="7944" max="7945"/>
    <col width="9.6640625" customWidth="1" style="95" min="7946" max="7946"/>
    <col width="8.6640625" customWidth="1" style="95" min="7947" max="7950"/>
    <col width="9.6640625" customWidth="1" style="95" min="7951" max="7951"/>
    <col width="8.6640625" customWidth="1" style="95" min="7952" max="7953"/>
    <col width="9.1640625" customWidth="1" style="95" min="7954" max="8192"/>
    <col width="12.6640625" customWidth="1" style="95" min="8193" max="8193"/>
    <col width="15.6640625" customWidth="1" style="95" min="8194" max="8194"/>
    <col width="9.6640625" customWidth="1" style="95" min="8195" max="8195"/>
    <col width="8.6640625" customWidth="1" style="95" min="8196" max="8198"/>
    <col width="7.6640625" customWidth="1" style="95" min="8199" max="8199"/>
    <col width="8.6640625" customWidth="1" style="95" min="8200" max="8201"/>
    <col width="9.6640625" customWidth="1" style="95" min="8202" max="8202"/>
    <col width="8.6640625" customWidth="1" style="95" min="8203" max="8206"/>
    <col width="9.6640625" customWidth="1" style="95" min="8207" max="8207"/>
    <col width="8.6640625" customWidth="1" style="95" min="8208" max="8209"/>
    <col width="9.1640625" customWidth="1" style="95" min="8210" max="8448"/>
    <col width="12.6640625" customWidth="1" style="95" min="8449" max="8449"/>
    <col width="15.6640625" customWidth="1" style="95" min="8450" max="8450"/>
    <col width="9.6640625" customWidth="1" style="95" min="8451" max="8451"/>
    <col width="8.6640625" customWidth="1" style="95" min="8452" max="8454"/>
    <col width="7.6640625" customWidth="1" style="95" min="8455" max="8455"/>
    <col width="8.6640625" customWidth="1" style="95" min="8456" max="8457"/>
    <col width="9.6640625" customWidth="1" style="95" min="8458" max="8458"/>
    <col width="8.6640625" customWidth="1" style="95" min="8459" max="8462"/>
    <col width="9.6640625" customWidth="1" style="95" min="8463" max="8463"/>
    <col width="8.6640625" customWidth="1" style="95" min="8464" max="8465"/>
    <col width="9.1640625" customWidth="1" style="95" min="8466" max="8704"/>
    <col width="12.6640625" customWidth="1" style="95" min="8705" max="8705"/>
    <col width="15.6640625" customWidth="1" style="95" min="8706" max="8706"/>
    <col width="9.6640625" customWidth="1" style="95" min="8707" max="8707"/>
    <col width="8.6640625" customWidth="1" style="95" min="8708" max="8710"/>
    <col width="7.6640625" customWidth="1" style="95" min="8711" max="8711"/>
    <col width="8.6640625" customWidth="1" style="95" min="8712" max="8713"/>
    <col width="9.6640625" customWidth="1" style="95" min="8714" max="8714"/>
    <col width="8.6640625" customWidth="1" style="95" min="8715" max="8718"/>
    <col width="9.6640625" customWidth="1" style="95" min="8719" max="8719"/>
    <col width="8.6640625" customWidth="1" style="95" min="8720" max="8721"/>
    <col width="9.1640625" customWidth="1" style="95" min="8722" max="8960"/>
    <col width="12.6640625" customWidth="1" style="95" min="8961" max="8961"/>
    <col width="15.6640625" customWidth="1" style="95" min="8962" max="8962"/>
    <col width="9.6640625" customWidth="1" style="95" min="8963" max="8963"/>
    <col width="8.6640625" customWidth="1" style="95" min="8964" max="8966"/>
    <col width="7.6640625" customWidth="1" style="95" min="8967" max="8967"/>
    <col width="8.6640625" customWidth="1" style="95" min="8968" max="8969"/>
    <col width="9.6640625" customWidth="1" style="95" min="8970" max="8970"/>
    <col width="8.6640625" customWidth="1" style="95" min="8971" max="8974"/>
    <col width="9.6640625" customWidth="1" style="95" min="8975" max="8975"/>
    <col width="8.6640625" customWidth="1" style="95" min="8976" max="8977"/>
    <col width="9.1640625" customWidth="1" style="95" min="8978" max="9216"/>
    <col width="12.6640625" customWidth="1" style="95" min="9217" max="9217"/>
    <col width="15.6640625" customWidth="1" style="95" min="9218" max="9218"/>
    <col width="9.6640625" customWidth="1" style="95" min="9219" max="9219"/>
    <col width="8.6640625" customWidth="1" style="95" min="9220" max="9222"/>
    <col width="7.6640625" customWidth="1" style="95" min="9223" max="9223"/>
    <col width="8.6640625" customWidth="1" style="95" min="9224" max="9225"/>
    <col width="9.6640625" customWidth="1" style="95" min="9226" max="9226"/>
    <col width="8.6640625" customWidth="1" style="95" min="9227" max="9230"/>
    <col width="9.6640625" customWidth="1" style="95" min="9231" max="9231"/>
    <col width="8.6640625" customWidth="1" style="95" min="9232" max="9233"/>
    <col width="9.1640625" customWidth="1" style="95" min="9234" max="9472"/>
    <col width="12.6640625" customWidth="1" style="95" min="9473" max="9473"/>
    <col width="15.6640625" customWidth="1" style="95" min="9474" max="9474"/>
    <col width="9.6640625" customWidth="1" style="95" min="9475" max="9475"/>
    <col width="8.6640625" customWidth="1" style="95" min="9476" max="9478"/>
    <col width="7.6640625" customWidth="1" style="95" min="9479" max="9479"/>
    <col width="8.6640625" customWidth="1" style="95" min="9480" max="9481"/>
    <col width="9.6640625" customWidth="1" style="95" min="9482" max="9482"/>
    <col width="8.6640625" customWidth="1" style="95" min="9483" max="9486"/>
    <col width="9.6640625" customWidth="1" style="95" min="9487" max="9487"/>
    <col width="8.6640625" customWidth="1" style="95" min="9488" max="9489"/>
    <col width="9.1640625" customWidth="1" style="95" min="9490" max="9728"/>
    <col width="12.6640625" customWidth="1" style="95" min="9729" max="9729"/>
    <col width="15.6640625" customWidth="1" style="95" min="9730" max="9730"/>
    <col width="9.6640625" customWidth="1" style="95" min="9731" max="9731"/>
    <col width="8.6640625" customWidth="1" style="95" min="9732" max="9734"/>
    <col width="7.6640625" customWidth="1" style="95" min="9735" max="9735"/>
    <col width="8.6640625" customWidth="1" style="95" min="9736" max="9737"/>
    <col width="9.6640625" customWidth="1" style="95" min="9738" max="9738"/>
    <col width="8.6640625" customWidth="1" style="95" min="9739" max="9742"/>
    <col width="9.6640625" customWidth="1" style="95" min="9743" max="9743"/>
    <col width="8.6640625" customWidth="1" style="95" min="9744" max="9745"/>
    <col width="9.1640625" customWidth="1" style="95" min="9746" max="9984"/>
    <col width="12.6640625" customWidth="1" style="95" min="9985" max="9985"/>
    <col width="15.6640625" customWidth="1" style="95" min="9986" max="9986"/>
    <col width="9.6640625" customWidth="1" style="95" min="9987" max="9987"/>
    <col width="8.6640625" customWidth="1" style="95" min="9988" max="9990"/>
    <col width="7.6640625" customWidth="1" style="95" min="9991" max="9991"/>
    <col width="8.6640625" customWidth="1" style="95" min="9992" max="9993"/>
    <col width="9.6640625" customWidth="1" style="95" min="9994" max="9994"/>
    <col width="8.6640625" customWidth="1" style="95" min="9995" max="9998"/>
    <col width="9.6640625" customWidth="1" style="95" min="9999" max="9999"/>
    <col width="8.6640625" customWidth="1" style="95" min="10000" max="10001"/>
    <col width="9.1640625" customWidth="1" style="95" min="10002" max="10240"/>
    <col width="12.6640625" customWidth="1" style="95" min="10241" max="10241"/>
    <col width="15.6640625" customWidth="1" style="95" min="10242" max="10242"/>
    <col width="9.6640625" customWidth="1" style="95" min="10243" max="10243"/>
    <col width="8.6640625" customWidth="1" style="95" min="10244" max="10246"/>
    <col width="7.6640625" customWidth="1" style="95" min="10247" max="10247"/>
    <col width="8.6640625" customWidth="1" style="95" min="10248" max="10249"/>
    <col width="9.6640625" customWidth="1" style="95" min="10250" max="10250"/>
    <col width="8.6640625" customWidth="1" style="95" min="10251" max="10254"/>
    <col width="9.6640625" customWidth="1" style="95" min="10255" max="10255"/>
    <col width="8.6640625" customWidth="1" style="95" min="10256" max="10257"/>
    <col width="9.1640625" customWidth="1" style="95" min="10258" max="10496"/>
    <col width="12.6640625" customWidth="1" style="95" min="10497" max="10497"/>
    <col width="15.6640625" customWidth="1" style="95" min="10498" max="10498"/>
    <col width="9.6640625" customWidth="1" style="95" min="10499" max="10499"/>
    <col width="8.6640625" customWidth="1" style="95" min="10500" max="10502"/>
    <col width="7.6640625" customWidth="1" style="95" min="10503" max="10503"/>
    <col width="8.6640625" customWidth="1" style="95" min="10504" max="10505"/>
    <col width="9.6640625" customWidth="1" style="95" min="10506" max="10506"/>
    <col width="8.6640625" customWidth="1" style="95" min="10507" max="10510"/>
    <col width="9.6640625" customWidth="1" style="95" min="10511" max="10511"/>
    <col width="8.6640625" customWidth="1" style="95" min="10512" max="10513"/>
    <col width="9.1640625" customWidth="1" style="95" min="10514" max="10752"/>
    <col width="12.6640625" customWidth="1" style="95" min="10753" max="10753"/>
    <col width="15.6640625" customWidth="1" style="95" min="10754" max="10754"/>
    <col width="9.6640625" customWidth="1" style="95" min="10755" max="10755"/>
    <col width="8.6640625" customWidth="1" style="95" min="10756" max="10758"/>
    <col width="7.6640625" customWidth="1" style="95" min="10759" max="10759"/>
    <col width="8.6640625" customWidth="1" style="95" min="10760" max="10761"/>
    <col width="9.6640625" customWidth="1" style="95" min="10762" max="10762"/>
    <col width="8.6640625" customWidth="1" style="95" min="10763" max="10766"/>
    <col width="9.6640625" customWidth="1" style="95" min="10767" max="10767"/>
    <col width="8.6640625" customWidth="1" style="95" min="10768" max="10769"/>
    <col width="9.1640625" customWidth="1" style="95" min="10770" max="11008"/>
    <col width="12.6640625" customWidth="1" style="95" min="11009" max="11009"/>
    <col width="15.6640625" customWidth="1" style="95" min="11010" max="11010"/>
    <col width="9.6640625" customWidth="1" style="95" min="11011" max="11011"/>
    <col width="8.6640625" customWidth="1" style="95" min="11012" max="11014"/>
    <col width="7.6640625" customWidth="1" style="95" min="11015" max="11015"/>
    <col width="8.6640625" customWidth="1" style="95" min="11016" max="11017"/>
    <col width="9.6640625" customWidth="1" style="95" min="11018" max="11018"/>
    <col width="8.6640625" customWidth="1" style="95" min="11019" max="11022"/>
    <col width="9.6640625" customWidth="1" style="95" min="11023" max="11023"/>
    <col width="8.6640625" customWidth="1" style="95" min="11024" max="11025"/>
    <col width="9.1640625" customWidth="1" style="95" min="11026" max="11264"/>
    <col width="12.6640625" customWidth="1" style="95" min="11265" max="11265"/>
    <col width="15.6640625" customWidth="1" style="95" min="11266" max="11266"/>
    <col width="9.6640625" customWidth="1" style="95" min="11267" max="11267"/>
    <col width="8.6640625" customWidth="1" style="95" min="11268" max="11270"/>
    <col width="7.6640625" customWidth="1" style="95" min="11271" max="11271"/>
    <col width="8.6640625" customWidth="1" style="95" min="11272" max="11273"/>
    <col width="9.6640625" customWidth="1" style="95" min="11274" max="11274"/>
    <col width="8.6640625" customWidth="1" style="95" min="11275" max="11278"/>
    <col width="9.6640625" customWidth="1" style="95" min="11279" max="11279"/>
    <col width="8.6640625" customWidth="1" style="95" min="11280" max="11281"/>
    <col width="9.1640625" customWidth="1" style="95" min="11282" max="11520"/>
    <col width="12.6640625" customWidth="1" style="95" min="11521" max="11521"/>
    <col width="15.6640625" customWidth="1" style="95" min="11522" max="11522"/>
    <col width="9.6640625" customWidth="1" style="95" min="11523" max="11523"/>
    <col width="8.6640625" customWidth="1" style="95" min="11524" max="11526"/>
    <col width="7.6640625" customWidth="1" style="95" min="11527" max="11527"/>
    <col width="8.6640625" customWidth="1" style="95" min="11528" max="11529"/>
    <col width="9.6640625" customWidth="1" style="95" min="11530" max="11530"/>
    <col width="8.6640625" customWidth="1" style="95" min="11531" max="11534"/>
    <col width="9.6640625" customWidth="1" style="95" min="11535" max="11535"/>
    <col width="8.6640625" customWidth="1" style="95" min="11536" max="11537"/>
    <col width="9.1640625" customWidth="1" style="95" min="11538" max="11776"/>
    <col width="12.6640625" customWidth="1" style="95" min="11777" max="11777"/>
    <col width="15.6640625" customWidth="1" style="95" min="11778" max="11778"/>
    <col width="9.6640625" customWidth="1" style="95" min="11779" max="11779"/>
    <col width="8.6640625" customWidth="1" style="95" min="11780" max="11782"/>
    <col width="7.6640625" customWidth="1" style="95" min="11783" max="11783"/>
    <col width="8.6640625" customWidth="1" style="95" min="11784" max="11785"/>
    <col width="9.6640625" customWidth="1" style="95" min="11786" max="11786"/>
    <col width="8.6640625" customWidth="1" style="95" min="11787" max="11790"/>
    <col width="9.6640625" customWidth="1" style="95" min="11791" max="11791"/>
    <col width="8.6640625" customWidth="1" style="95" min="11792" max="11793"/>
    <col width="9.1640625" customWidth="1" style="95" min="11794" max="12032"/>
    <col width="12.6640625" customWidth="1" style="95" min="12033" max="12033"/>
    <col width="15.6640625" customWidth="1" style="95" min="12034" max="12034"/>
    <col width="9.6640625" customWidth="1" style="95" min="12035" max="12035"/>
    <col width="8.6640625" customWidth="1" style="95" min="12036" max="12038"/>
    <col width="7.6640625" customWidth="1" style="95" min="12039" max="12039"/>
    <col width="8.6640625" customWidth="1" style="95" min="12040" max="12041"/>
    <col width="9.6640625" customWidth="1" style="95" min="12042" max="12042"/>
    <col width="8.6640625" customWidth="1" style="95" min="12043" max="12046"/>
    <col width="9.6640625" customWidth="1" style="95" min="12047" max="12047"/>
    <col width="8.6640625" customWidth="1" style="95" min="12048" max="12049"/>
    <col width="9.1640625" customWidth="1" style="95" min="12050" max="12288"/>
    <col width="12.6640625" customWidth="1" style="95" min="12289" max="12289"/>
    <col width="15.6640625" customWidth="1" style="95" min="12290" max="12290"/>
    <col width="9.6640625" customWidth="1" style="95" min="12291" max="12291"/>
    <col width="8.6640625" customWidth="1" style="95" min="12292" max="12294"/>
    <col width="7.6640625" customWidth="1" style="95" min="12295" max="12295"/>
    <col width="8.6640625" customWidth="1" style="95" min="12296" max="12297"/>
    <col width="9.6640625" customWidth="1" style="95" min="12298" max="12298"/>
    <col width="8.6640625" customWidth="1" style="95" min="12299" max="12302"/>
    <col width="9.6640625" customWidth="1" style="95" min="12303" max="12303"/>
    <col width="8.6640625" customWidth="1" style="95" min="12304" max="12305"/>
    <col width="9.1640625" customWidth="1" style="95" min="12306" max="12544"/>
    <col width="12.6640625" customWidth="1" style="95" min="12545" max="12545"/>
    <col width="15.6640625" customWidth="1" style="95" min="12546" max="12546"/>
    <col width="9.6640625" customWidth="1" style="95" min="12547" max="12547"/>
    <col width="8.6640625" customWidth="1" style="95" min="12548" max="12550"/>
    <col width="7.6640625" customWidth="1" style="95" min="12551" max="12551"/>
    <col width="8.6640625" customWidth="1" style="95" min="12552" max="12553"/>
    <col width="9.6640625" customWidth="1" style="95" min="12554" max="12554"/>
    <col width="8.6640625" customWidth="1" style="95" min="12555" max="12558"/>
    <col width="9.6640625" customWidth="1" style="95" min="12559" max="12559"/>
    <col width="8.6640625" customWidth="1" style="95" min="12560" max="12561"/>
    <col width="9.1640625" customWidth="1" style="95" min="12562" max="12800"/>
    <col width="12.6640625" customWidth="1" style="95" min="12801" max="12801"/>
    <col width="15.6640625" customWidth="1" style="95" min="12802" max="12802"/>
    <col width="9.6640625" customWidth="1" style="95" min="12803" max="12803"/>
    <col width="8.6640625" customWidth="1" style="95" min="12804" max="12806"/>
    <col width="7.6640625" customWidth="1" style="95" min="12807" max="12807"/>
    <col width="8.6640625" customWidth="1" style="95" min="12808" max="12809"/>
    <col width="9.6640625" customWidth="1" style="95" min="12810" max="12810"/>
    <col width="8.6640625" customWidth="1" style="95" min="12811" max="12814"/>
    <col width="9.6640625" customWidth="1" style="95" min="12815" max="12815"/>
    <col width="8.6640625" customWidth="1" style="95" min="12816" max="12817"/>
    <col width="9.1640625" customWidth="1" style="95" min="12818" max="13056"/>
    <col width="12.6640625" customWidth="1" style="95" min="13057" max="13057"/>
    <col width="15.6640625" customWidth="1" style="95" min="13058" max="13058"/>
    <col width="9.6640625" customWidth="1" style="95" min="13059" max="13059"/>
    <col width="8.6640625" customWidth="1" style="95" min="13060" max="13062"/>
    <col width="7.6640625" customWidth="1" style="95" min="13063" max="13063"/>
    <col width="8.6640625" customWidth="1" style="95" min="13064" max="13065"/>
    <col width="9.6640625" customWidth="1" style="95" min="13066" max="13066"/>
    <col width="8.6640625" customWidth="1" style="95" min="13067" max="13070"/>
    <col width="9.6640625" customWidth="1" style="95" min="13071" max="13071"/>
    <col width="8.6640625" customWidth="1" style="95" min="13072" max="13073"/>
    <col width="9.1640625" customWidth="1" style="95" min="13074" max="13312"/>
    <col width="12.6640625" customWidth="1" style="95" min="13313" max="13313"/>
    <col width="15.6640625" customWidth="1" style="95" min="13314" max="13314"/>
    <col width="9.6640625" customWidth="1" style="95" min="13315" max="13315"/>
    <col width="8.6640625" customWidth="1" style="95" min="13316" max="13318"/>
    <col width="7.6640625" customWidth="1" style="95" min="13319" max="13319"/>
    <col width="8.6640625" customWidth="1" style="95" min="13320" max="13321"/>
    <col width="9.6640625" customWidth="1" style="95" min="13322" max="13322"/>
    <col width="8.6640625" customWidth="1" style="95" min="13323" max="13326"/>
    <col width="9.6640625" customWidth="1" style="95" min="13327" max="13327"/>
    <col width="8.6640625" customWidth="1" style="95" min="13328" max="13329"/>
    <col width="9.1640625" customWidth="1" style="95" min="13330" max="13568"/>
    <col width="12.6640625" customWidth="1" style="95" min="13569" max="13569"/>
    <col width="15.6640625" customWidth="1" style="95" min="13570" max="13570"/>
    <col width="9.6640625" customWidth="1" style="95" min="13571" max="13571"/>
    <col width="8.6640625" customWidth="1" style="95" min="13572" max="13574"/>
    <col width="7.6640625" customWidth="1" style="95" min="13575" max="13575"/>
    <col width="8.6640625" customWidth="1" style="95" min="13576" max="13577"/>
    <col width="9.6640625" customWidth="1" style="95" min="13578" max="13578"/>
    <col width="8.6640625" customWidth="1" style="95" min="13579" max="13582"/>
    <col width="9.6640625" customWidth="1" style="95" min="13583" max="13583"/>
    <col width="8.6640625" customWidth="1" style="95" min="13584" max="13585"/>
    <col width="9.1640625" customWidth="1" style="95" min="13586" max="13824"/>
    <col width="12.6640625" customWidth="1" style="95" min="13825" max="13825"/>
    <col width="15.6640625" customWidth="1" style="95" min="13826" max="13826"/>
    <col width="9.6640625" customWidth="1" style="95" min="13827" max="13827"/>
    <col width="8.6640625" customWidth="1" style="95" min="13828" max="13830"/>
    <col width="7.6640625" customWidth="1" style="95" min="13831" max="13831"/>
    <col width="8.6640625" customWidth="1" style="95" min="13832" max="13833"/>
    <col width="9.6640625" customWidth="1" style="95" min="13834" max="13834"/>
    <col width="8.6640625" customWidth="1" style="95" min="13835" max="13838"/>
    <col width="9.6640625" customWidth="1" style="95" min="13839" max="13839"/>
    <col width="8.6640625" customWidth="1" style="95" min="13840" max="13841"/>
    <col width="9.1640625" customWidth="1" style="95" min="13842" max="14080"/>
    <col width="12.6640625" customWidth="1" style="95" min="14081" max="14081"/>
    <col width="15.6640625" customWidth="1" style="95" min="14082" max="14082"/>
    <col width="9.6640625" customWidth="1" style="95" min="14083" max="14083"/>
    <col width="8.6640625" customWidth="1" style="95" min="14084" max="14086"/>
    <col width="7.6640625" customWidth="1" style="95" min="14087" max="14087"/>
    <col width="8.6640625" customWidth="1" style="95" min="14088" max="14089"/>
    <col width="9.6640625" customWidth="1" style="95" min="14090" max="14090"/>
    <col width="8.6640625" customWidth="1" style="95" min="14091" max="14094"/>
    <col width="9.6640625" customWidth="1" style="95" min="14095" max="14095"/>
    <col width="8.6640625" customWidth="1" style="95" min="14096" max="14097"/>
    <col width="9.1640625" customWidth="1" style="95" min="14098" max="14336"/>
    <col width="12.6640625" customWidth="1" style="95" min="14337" max="14337"/>
    <col width="15.6640625" customWidth="1" style="95" min="14338" max="14338"/>
    <col width="9.6640625" customWidth="1" style="95" min="14339" max="14339"/>
    <col width="8.6640625" customWidth="1" style="95" min="14340" max="14342"/>
    <col width="7.6640625" customWidth="1" style="95" min="14343" max="14343"/>
    <col width="8.6640625" customWidth="1" style="95" min="14344" max="14345"/>
    <col width="9.6640625" customWidth="1" style="95" min="14346" max="14346"/>
    <col width="8.6640625" customWidth="1" style="95" min="14347" max="14350"/>
    <col width="9.6640625" customWidth="1" style="95" min="14351" max="14351"/>
    <col width="8.6640625" customWidth="1" style="95" min="14352" max="14353"/>
    <col width="9.1640625" customWidth="1" style="95" min="14354" max="14592"/>
    <col width="12.6640625" customWidth="1" style="95" min="14593" max="14593"/>
    <col width="15.6640625" customWidth="1" style="95" min="14594" max="14594"/>
    <col width="9.6640625" customWidth="1" style="95" min="14595" max="14595"/>
    <col width="8.6640625" customWidth="1" style="95" min="14596" max="14598"/>
    <col width="7.6640625" customWidth="1" style="95" min="14599" max="14599"/>
    <col width="8.6640625" customWidth="1" style="95" min="14600" max="14601"/>
    <col width="9.6640625" customWidth="1" style="95" min="14602" max="14602"/>
    <col width="8.6640625" customWidth="1" style="95" min="14603" max="14606"/>
    <col width="9.6640625" customWidth="1" style="95" min="14607" max="14607"/>
    <col width="8.6640625" customWidth="1" style="95" min="14608" max="14609"/>
    <col width="9.1640625" customWidth="1" style="95" min="14610" max="14848"/>
    <col width="12.6640625" customWidth="1" style="95" min="14849" max="14849"/>
    <col width="15.6640625" customWidth="1" style="95" min="14850" max="14850"/>
    <col width="9.6640625" customWidth="1" style="95" min="14851" max="14851"/>
    <col width="8.6640625" customWidth="1" style="95" min="14852" max="14854"/>
    <col width="7.6640625" customWidth="1" style="95" min="14855" max="14855"/>
    <col width="8.6640625" customWidth="1" style="95" min="14856" max="14857"/>
    <col width="9.6640625" customWidth="1" style="95" min="14858" max="14858"/>
    <col width="8.6640625" customWidth="1" style="95" min="14859" max="14862"/>
    <col width="9.6640625" customWidth="1" style="95" min="14863" max="14863"/>
    <col width="8.6640625" customWidth="1" style="95" min="14864" max="14865"/>
    <col width="9.1640625" customWidth="1" style="95" min="14866" max="15104"/>
    <col width="12.6640625" customWidth="1" style="95" min="15105" max="15105"/>
    <col width="15.6640625" customWidth="1" style="95" min="15106" max="15106"/>
    <col width="9.6640625" customWidth="1" style="95" min="15107" max="15107"/>
    <col width="8.6640625" customWidth="1" style="95" min="15108" max="15110"/>
    <col width="7.6640625" customWidth="1" style="95" min="15111" max="15111"/>
    <col width="8.6640625" customWidth="1" style="95" min="15112" max="15113"/>
    <col width="9.6640625" customWidth="1" style="95" min="15114" max="15114"/>
    <col width="8.6640625" customWidth="1" style="95" min="15115" max="15118"/>
    <col width="9.6640625" customWidth="1" style="95" min="15119" max="15119"/>
    <col width="8.6640625" customWidth="1" style="95" min="15120" max="15121"/>
    <col width="9.1640625" customWidth="1" style="95" min="15122" max="15360"/>
    <col width="12.6640625" customWidth="1" style="95" min="15361" max="15361"/>
    <col width="15.6640625" customWidth="1" style="95" min="15362" max="15362"/>
    <col width="9.6640625" customWidth="1" style="95" min="15363" max="15363"/>
    <col width="8.6640625" customWidth="1" style="95" min="15364" max="15366"/>
    <col width="7.6640625" customWidth="1" style="95" min="15367" max="15367"/>
    <col width="8.6640625" customWidth="1" style="95" min="15368" max="15369"/>
    <col width="9.6640625" customWidth="1" style="95" min="15370" max="15370"/>
    <col width="8.6640625" customWidth="1" style="95" min="15371" max="15374"/>
    <col width="9.6640625" customWidth="1" style="95" min="15375" max="15375"/>
    <col width="8.6640625" customWidth="1" style="95" min="15376" max="15377"/>
    <col width="9.1640625" customWidth="1" style="95" min="15378" max="15616"/>
    <col width="12.6640625" customWidth="1" style="95" min="15617" max="15617"/>
    <col width="15.6640625" customWidth="1" style="95" min="15618" max="15618"/>
    <col width="9.6640625" customWidth="1" style="95" min="15619" max="15619"/>
    <col width="8.6640625" customWidth="1" style="95" min="15620" max="15622"/>
    <col width="7.6640625" customWidth="1" style="95" min="15623" max="15623"/>
    <col width="8.6640625" customWidth="1" style="95" min="15624" max="15625"/>
    <col width="9.6640625" customWidth="1" style="95" min="15626" max="15626"/>
    <col width="8.6640625" customWidth="1" style="95" min="15627" max="15630"/>
    <col width="9.6640625" customWidth="1" style="95" min="15631" max="15631"/>
    <col width="8.6640625" customWidth="1" style="95" min="15632" max="15633"/>
    <col width="9.1640625" customWidth="1" style="95" min="15634" max="15872"/>
    <col width="12.6640625" customWidth="1" style="95" min="15873" max="15873"/>
    <col width="15.6640625" customWidth="1" style="95" min="15874" max="15874"/>
    <col width="9.6640625" customWidth="1" style="95" min="15875" max="15875"/>
    <col width="8.6640625" customWidth="1" style="95" min="15876" max="15878"/>
    <col width="7.6640625" customWidth="1" style="95" min="15879" max="15879"/>
    <col width="8.6640625" customWidth="1" style="95" min="15880" max="15881"/>
    <col width="9.6640625" customWidth="1" style="95" min="15882" max="15882"/>
    <col width="8.6640625" customWidth="1" style="95" min="15883" max="15886"/>
    <col width="9.6640625" customWidth="1" style="95" min="15887" max="15887"/>
    <col width="8.6640625" customWidth="1" style="95" min="15888" max="15889"/>
    <col width="9.1640625" customWidth="1" style="95" min="15890" max="16128"/>
    <col width="12.6640625" customWidth="1" style="95" min="16129" max="16129"/>
    <col width="15.6640625" customWidth="1" style="95" min="16130" max="16130"/>
    <col width="9.6640625" customWidth="1" style="95" min="16131" max="16131"/>
    <col width="8.6640625" customWidth="1" style="95" min="16132" max="16134"/>
    <col width="7.6640625" customWidth="1" style="95" min="16135" max="16135"/>
    <col width="8.6640625" customWidth="1" style="95" min="16136" max="16137"/>
    <col width="9.6640625" customWidth="1" style="95" min="16138" max="16138"/>
    <col width="8.6640625" customWidth="1" style="95" min="16139" max="16142"/>
    <col width="9.6640625" customWidth="1" style="95" min="16143" max="16143"/>
    <col width="8.6640625" customWidth="1" style="95" min="16144" max="16145"/>
    <col width="9.1640625" customWidth="1" style="95" min="16146" max="16384"/>
  </cols>
  <sheetData>
    <row r="1">
      <c r="A1" t="inlineStr">
        <is>
          <t>DATE</t>
        </is>
      </c>
      <c r="B1" t="inlineStr">
        <is>
          <t>MARTSSM44W72USS</t>
        </is>
      </c>
      <c r="C1" t="inlineStr">
        <is>
          <t>RSAFS</t>
        </is>
      </c>
      <c r="D1" t="inlineStr">
        <is>
          <t>RSBMGESD</t>
        </is>
      </c>
      <c r="E1" t="inlineStr">
        <is>
          <t>RSCCAS</t>
        </is>
      </c>
      <c r="F1" t="inlineStr">
        <is>
          <t>RSDBS</t>
        </is>
      </c>
      <c r="G1" t="inlineStr">
        <is>
          <t>RSEAS</t>
        </is>
      </c>
      <c r="H1" t="inlineStr">
        <is>
          <t>RSFHFS</t>
        </is>
      </c>
      <c r="I1" t="inlineStr">
        <is>
          <t>RSFSDP</t>
        </is>
      </c>
      <c r="J1" t="inlineStr">
        <is>
          <t>RSFSXMV</t>
        </is>
      </c>
      <c r="K1" t="inlineStr">
        <is>
          <t>RSGASS</t>
        </is>
      </c>
      <c r="L1" t="inlineStr">
        <is>
          <t>RSGMS</t>
        </is>
      </c>
      <c r="M1" t="inlineStr">
        <is>
          <t>RSHPCS</t>
        </is>
      </c>
      <c r="N1" t="inlineStr">
        <is>
          <t>RSMSR</t>
        </is>
      </c>
      <c r="O1" t="inlineStr">
        <is>
          <t>RSMVPD</t>
        </is>
      </c>
      <c r="P1" t="inlineStr">
        <is>
          <t>RSNSR</t>
        </is>
      </c>
      <c r="Q1" t="inlineStr">
        <is>
          <t>RSSGHBMS</t>
        </is>
      </c>
    </row>
    <row r="2">
      <c r="A2" s="135" t="n">
        <v>33604</v>
      </c>
      <c r="B2" t="n">
        <v>117814</v>
      </c>
      <c r="C2" t="n">
        <v>164095</v>
      </c>
      <c r="D2" t="n">
        <v>10845</v>
      </c>
      <c r="E2" t="n">
        <v>9716</v>
      </c>
      <c r="F2" t="n">
        <v>30437</v>
      </c>
      <c r="G2" t="n">
        <v>3874</v>
      </c>
      <c r="H2" t="n">
        <v>4254</v>
      </c>
      <c r="I2" t="n">
        <v>17170</v>
      </c>
      <c r="J2" t="n">
        <v>130617</v>
      </c>
      <c r="K2" t="n">
        <v>12803</v>
      </c>
      <c r="L2" t="n">
        <v>19879</v>
      </c>
      <c r="M2" t="n">
        <v>7421</v>
      </c>
      <c r="N2" t="n">
        <v>4318</v>
      </c>
      <c r="O2" t="n">
        <v>33478</v>
      </c>
      <c r="P2" t="n">
        <v>6515</v>
      </c>
      <c r="Q2" t="n">
        <v>3385</v>
      </c>
    </row>
    <row r="3">
      <c r="A3" s="135" t="n">
        <v>33635</v>
      </c>
      <c r="B3" t="n">
        <v>117795</v>
      </c>
      <c r="C3" t="n">
        <v>164213</v>
      </c>
      <c r="D3" t="n">
        <v>10904</v>
      </c>
      <c r="E3" t="n">
        <v>9712</v>
      </c>
      <c r="F3" t="n">
        <v>30382</v>
      </c>
      <c r="G3" t="n">
        <v>3904</v>
      </c>
      <c r="H3" t="n">
        <v>4342</v>
      </c>
      <c r="I3" t="n">
        <v>16990</v>
      </c>
      <c r="J3" t="n">
        <v>130396</v>
      </c>
      <c r="K3" t="n">
        <v>12601</v>
      </c>
      <c r="L3" t="n">
        <v>20202</v>
      </c>
      <c r="M3" t="n">
        <v>7425</v>
      </c>
      <c r="N3" t="n">
        <v>4308</v>
      </c>
      <c r="O3" t="n">
        <v>33817</v>
      </c>
      <c r="P3" t="n">
        <v>6110</v>
      </c>
      <c r="Q3" t="n">
        <v>3516</v>
      </c>
    </row>
    <row r="4">
      <c r="A4" s="135" t="n">
        <v>33664</v>
      </c>
      <c r="B4" t="n">
        <v>117746</v>
      </c>
      <c r="C4" t="n">
        <v>163721</v>
      </c>
      <c r="D4" t="n">
        <v>10986</v>
      </c>
      <c r="E4" t="n">
        <v>9669</v>
      </c>
      <c r="F4" t="n">
        <v>30526</v>
      </c>
      <c r="G4" t="n">
        <v>3916</v>
      </c>
      <c r="H4" t="n">
        <v>4330</v>
      </c>
      <c r="I4" t="n">
        <v>16916</v>
      </c>
      <c r="J4" t="n">
        <v>130385</v>
      </c>
      <c r="K4" t="n">
        <v>12639</v>
      </c>
      <c r="L4" t="n">
        <v>20168</v>
      </c>
      <c r="M4" t="n">
        <v>7443</v>
      </c>
      <c r="N4" t="n">
        <v>4292</v>
      </c>
      <c r="O4" t="n">
        <v>33336</v>
      </c>
      <c r="P4" t="n">
        <v>6018</v>
      </c>
      <c r="Q4" t="n">
        <v>3482</v>
      </c>
    </row>
    <row r="5">
      <c r="A5" s="135" t="n">
        <v>33695</v>
      </c>
      <c r="B5" t="n">
        <v>118223</v>
      </c>
      <c r="C5" t="n">
        <v>164709</v>
      </c>
      <c r="D5" t="n">
        <v>10738</v>
      </c>
      <c r="E5" t="n">
        <v>9862</v>
      </c>
      <c r="F5" t="n">
        <v>30602</v>
      </c>
      <c r="G5" t="n">
        <v>3958</v>
      </c>
      <c r="H5" t="n">
        <v>4359</v>
      </c>
      <c r="I5" t="n">
        <v>16677</v>
      </c>
      <c r="J5" t="n">
        <v>130933</v>
      </c>
      <c r="K5" t="n">
        <v>12710</v>
      </c>
      <c r="L5" t="n">
        <v>20258</v>
      </c>
      <c r="M5" t="n">
        <v>7516</v>
      </c>
      <c r="N5" t="n">
        <v>4391</v>
      </c>
      <c r="O5" t="n">
        <v>33776</v>
      </c>
      <c r="P5" t="n">
        <v>6327</v>
      </c>
      <c r="Q5" t="n">
        <v>3535</v>
      </c>
    </row>
    <row r="6">
      <c r="A6" s="135" t="n">
        <v>33725</v>
      </c>
      <c r="B6" t="n">
        <v>118385</v>
      </c>
      <c r="C6" t="n">
        <v>165612</v>
      </c>
      <c r="D6" t="n">
        <v>10777</v>
      </c>
      <c r="E6" t="n">
        <v>9755</v>
      </c>
      <c r="F6" t="n">
        <v>30718</v>
      </c>
      <c r="G6" t="n">
        <v>3981</v>
      </c>
      <c r="H6" t="n">
        <v>4331</v>
      </c>
      <c r="I6" t="n">
        <v>16602</v>
      </c>
      <c r="J6" t="n">
        <v>131255</v>
      </c>
      <c r="K6" t="n">
        <v>12870</v>
      </c>
      <c r="L6" t="n">
        <v>20345</v>
      </c>
      <c r="M6" t="n">
        <v>7458</v>
      </c>
      <c r="N6" t="n">
        <v>4356</v>
      </c>
      <c r="O6" t="n">
        <v>34357</v>
      </c>
      <c r="P6" t="n">
        <v>6550</v>
      </c>
      <c r="Q6" t="n">
        <v>3512</v>
      </c>
    </row>
    <row r="7">
      <c r="A7" s="135" t="n">
        <v>33756</v>
      </c>
      <c r="B7" t="n">
        <v>118410</v>
      </c>
      <c r="C7" t="n">
        <v>166077</v>
      </c>
      <c r="D7" t="n">
        <v>10790</v>
      </c>
      <c r="E7" t="n">
        <v>9915</v>
      </c>
      <c r="F7" t="n">
        <v>30761</v>
      </c>
      <c r="G7" t="n">
        <v>3992</v>
      </c>
      <c r="H7" t="n">
        <v>4401</v>
      </c>
      <c r="I7" t="n">
        <v>16277</v>
      </c>
      <c r="J7" t="n">
        <v>131296</v>
      </c>
      <c r="K7" t="n">
        <v>12886</v>
      </c>
      <c r="L7" t="n">
        <v>20298</v>
      </c>
      <c r="M7" t="n">
        <v>7417</v>
      </c>
      <c r="N7" t="n">
        <v>4357</v>
      </c>
      <c r="O7" t="n">
        <v>34781</v>
      </c>
      <c r="P7" t="n">
        <v>6653</v>
      </c>
      <c r="Q7" t="n">
        <v>3549</v>
      </c>
    </row>
    <row r="8">
      <c r="A8" s="135" t="n">
        <v>33786</v>
      </c>
      <c r="B8" t="n">
        <v>119092</v>
      </c>
      <c r="C8" t="n">
        <v>167257</v>
      </c>
      <c r="D8" t="n">
        <v>10785</v>
      </c>
      <c r="E8" t="n">
        <v>9957</v>
      </c>
      <c r="F8" t="n">
        <v>30963</v>
      </c>
      <c r="G8" t="n">
        <v>4081</v>
      </c>
      <c r="H8" t="n">
        <v>4368</v>
      </c>
      <c r="I8" t="n">
        <v>16496</v>
      </c>
      <c r="J8" t="n">
        <v>132058</v>
      </c>
      <c r="K8" t="n">
        <v>12966</v>
      </c>
      <c r="L8" t="n">
        <v>20205</v>
      </c>
      <c r="M8" t="n">
        <v>7292</v>
      </c>
      <c r="N8" t="n">
        <v>4468</v>
      </c>
      <c r="O8" t="n">
        <v>35199</v>
      </c>
      <c r="P8" t="n">
        <v>6891</v>
      </c>
      <c r="Q8" t="n">
        <v>3586</v>
      </c>
    </row>
    <row r="9">
      <c r="A9" s="135" t="n">
        <v>33817</v>
      </c>
      <c r="B9" t="n">
        <v>120123</v>
      </c>
      <c r="C9" t="n">
        <v>167800</v>
      </c>
      <c r="D9" t="n">
        <v>10915</v>
      </c>
      <c r="E9" t="n">
        <v>10141</v>
      </c>
      <c r="F9" t="n">
        <v>31041</v>
      </c>
      <c r="G9" t="n">
        <v>4048</v>
      </c>
      <c r="H9" t="n">
        <v>4372</v>
      </c>
      <c r="I9" t="n">
        <v>16733</v>
      </c>
      <c r="J9" t="n">
        <v>133215</v>
      </c>
      <c r="K9" t="n">
        <v>13092</v>
      </c>
      <c r="L9" t="n">
        <v>20593</v>
      </c>
      <c r="M9" t="n">
        <v>7508</v>
      </c>
      <c r="N9" t="n">
        <v>4494</v>
      </c>
      <c r="O9" t="n">
        <v>34585</v>
      </c>
      <c r="P9" t="n">
        <v>6766</v>
      </c>
      <c r="Q9" t="n">
        <v>3512</v>
      </c>
    </row>
    <row r="10">
      <c r="A10" s="135" t="n">
        <v>33848</v>
      </c>
      <c r="B10" t="n">
        <v>120264</v>
      </c>
      <c r="C10" t="n">
        <v>169400</v>
      </c>
      <c r="D10" t="n">
        <v>10980</v>
      </c>
      <c r="E10" t="n">
        <v>10154</v>
      </c>
      <c r="F10" t="n">
        <v>30942</v>
      </c>
      <c r="G10" t="n">
        <v>4098</v>
      </c>
      <c r="H10" t="n">
        <v>4345</v>
      </c>
      <c r="I10" t="n">
        <v>16812</v>
      </c>
      <c r="J10" t="n">
        <v>133510</v>
      </c>
      <c r="K10" t="n">
        <v>13246</v>
      </c>
      <c r="L10" t="n">
        <v>20684</v>
      </c>
      <c r="M10" t="n">
        <v>7420</v>
      </c>
      <c r="N10" t="n">
        <v>4549</v>
      </c>
      <c r="O10" t="n">
        <v>35890</v>
      </c>
      <c r="P10" t="n">
        <v>6714</v>
      </c>
      <c r="Q10" t="n">
        <v>3566</v>
      </c>
    </row>
    <row r="11">
      <c r="A11" s="135" t="n">
        <v>33878</v>
      </c>
      <c r="B11" t="n">
        <v>121349</v>
      </c>
      <c r="C11" t="n">
        <v>170625</v>
      </c>
      <c r="D11" t="n">
        <v>10971</v>
      </c>
      <c r="E11" t="n">
        <v>10174</v>
      </c>
      <c r="F11" t="n">
        <v>31148</v>
      </c>
      <c r="G11" t="n">
        <v>4186</v>
      </c>
      <c r="H11" t="n">
        <v>4299</v>
      </c>
      <c r="I11" t="n">
        <v>17104</v>
      </c>
      <c r="J11" t="n">
        <v>134653</v>
      </c>
      <c r="K11" t="n">
        <v>13304</v>
      </c>
      <c r="L11" t="n">
        <v>20851</v>
      </c>
      <c r="M11" t="n">
        <v>7535</v>
      </c>
      <c r="N11" t="n">
        <v>4809</v>
      </c>
      <c r="O11" t="n">
        <v>35972</v>
      </c>
      <c r="P11" t="n">
        <v>6665</v>
      </c>
      <c r="Q11" t="n">
        <v>3607</v>
      </c>
    </row>
    <row r="12">
      <c r="A12" s="135" t="n">
        <v>33909</v>
      </c>
      <c r="B12" t="n">
        <v>121717</v>
      </c>
      <c r="C12" t="n">
        <v>171003</v>
      </c>
      <c r="D12" t="n">
        <v>10873</v>
      </c>
      <c r="E12" t="n">
        <v>10076</v>
      </c>
      <c r="F12" t="n">
        <v>30992</v>
      </c>
      <c r="G12" t="n">
        <v>4118</v>
      </c>
      <c r="H12" t="n">
        <v>4368</v>
      </c>
      <c r="I12" t="n">
        <v>17420</v>
      </c>
      <c r="J12" t="n">
        <v>135075</v>
      </c>
      <c r="K12" t="n">
        <v>13358</v>
      </c>
      <c r="L12" t="n">
        <v>21078</v>
      </c>
      <c r="M12" t="n">
        <v>7497</v>
      </c>
      <c r="N12" t="n">
        <v>5059</v>
      </c>
      <c r="O12" t="n">
        <v>35928</v>
      </c>
      <c r="P12" t="n">
        <v>6610</v>
      </c>
      <c r="Q12" t="n">
        <v>3626</v>
      </c>
    </row>
    <row r="13">
      <c r="A13" s="135" t="n">
        <v>33939</v>
      </c>
      <c r="B13" t="n">
        <v>123358</v>
      </c>
      <c r="C13" t="n">
        <v>173105</v>
      </c>
      <c r="D13" t="n">
        <v>11082</v>
      </c>
      <c r="E13" t="n">
        <v>10318</v>
      </c>
      <c r="F13" t="n">
        <v>31057</v>
      </c>
      <c r="G13" t="n">
        <v>4248</v>
      </c>
      <c r="H13" t="n">
        <v>4428</v>
      </c>
      <c r="I13" t="n">
        <v>17491</v>
      </c>
      <c r="J13" t="n">
        <v>136833</v>
      </c>
      <c r="K13" t="n">
        <v>13475</v>
      </c>
      <c r="L13" t="n">
        <v>21752</v>
      </c>
      <c r="M13" t="n">
        <v>7526</v>
      </c>
      <c r="N13" t="n">
        <v>5059</v>
      </c>
      <c r="O13" t="n">
        <v>36272</v>
      </c>
      <c r="P13" t="n">
        <v>6597</v>
      </c>
      <c r="Q13" t="n">
        <v>3800</v>
      </c>
    </row>
    <row r="14">
      <c r="A14" s="135" t="n">
        <v>33970</v>
      </c>
      <c r="B14" t="n">
        <v>124089</v>
      </c>
      <c r="C14" t="n">
        <v>175108</v>
      </c>
      <c r="D14" t="n">
        <v>11333</v>
      </c>
      <c r="E14" t="n">
        <v>10581</v>
      </c>
      <c r="F14" t="n">
        <v>31045</v>
      </c>
      <c r="G14" t="n">
        <v>4395</v>
      </c>
      <c r="H14" t="n">
        <v>4637</v>
      </c>
      <c r="I14" t="n">
        <v>17553</v>
      </c>
      <c r="J14" t="n">
        <v>137487</v>
      </c>
      <c r="K14" t="n">
        <v>13398</v>
      </c>
      <c r="L14" t="n">
        <v>21383</v>
      </c>
      <c r="M14" t="n">
        <v>7518</v>
      </c>
      <c r="N14" t="n">
        <v>5352</v>
      </c>
      <c r="O14" t="n">
        <v>37621</v>
      </c>
      <c r="P14" t="n">
        <v>6644</v>
      </c>
      <c r="Q14" t="n">
        <v>3648</v>
      </c>
    </row>
    <row r="15">
      <c r="A15" s="135" t="n">
        <v>34001</v>
      </c>
      <c r="B15" t="n">
        <v>123425</v>
      </c>
      <c r="C15" t="n">
        <v>173744</v>
      </c>
      <c r="D15" t="n">
        <v>11410</v>
      </c>
      <c r="E15" t="n">
        <v>10150</v>
      </c>
      <c r="F15" t="n">
        <v>31233</v>
      </c>
      <c r="G15" t="n">
        <v>4343</v>
      </c>
      <c r="H15" t="n">
        <v>4507</v>
      </c>
      <c r="I15" t="n">
        <v>17478</v>
      </c>
      <c r="J15" t="n">
        <v>137021</v>
      </c>
      <c r="K15" t="n">
        <v>13596</v>
      </c>
      <c r="L15" t="n">
        <v>21392</v>
      </c>
      <c r="M15" t="n">
        <v>7651</v>
      </c>
      <c r="N15" t="n">
        <v>4896</v>
      </c>
      <c r="O15" t="n">
        <v>36723</v>
      </c>
      <c r="P15" t="n">
        <v>6780</v>
      </c>
      <c r="Q15" t="n">
        <v>3585</v>
      </c>
    </row>
    <row r="16">
      <c r="A16" s="135" t="n">
        <v>34029</v>
      </c>
      <c r="B16" t="n">
        <v>122864</v>
      </c>
      <c r="C16" t="n">
        <v>172306</v>
      </c>
      <c r="D16" t="n">
        <v>11184</v>
      </c>
      <c r="E16" t="n">
        <v>9916</v>
      </c>
      <c r="F16" t="n">
        <v>31058</v>
      </c>
      <c r="G16" t="n">
        <v>4383</v>
      </c>
      <c r="H16" t="n">
        <v>4463</v>
      </c>
      <c r="I16" t="n">
        <v>17554</v>
      </c>
      <c r="J16" t="n">
        <v>136351</v>
      </c>
      <c r="K16" t="n">
        <v>13487</v>
      </c>
      <c r="L16" t="n">
        <v>21273</v>
      </c>
      <c r="M16" t="n">
        <v>7605</v>
      </c>
      <c r="N16" t="n">
        <v>4811</v>
      </c>
      <c r="O16" t="n">
        <v>35955</v>
      </c>
      <c r="P16" t="n">
        <v>7009</v>
      </c>
      <c r="Q16" t="n">
        <v>3608</v>
      </c>
    </row>
    <row r="17">
      <c r="A17" s="135" t="n">
        <v>34060</v>
      </c>
      <c r="B17" t="n">
        <v>124689</v>
      </c>
      <c r="C17" t="n">
        <v>176749</v>
      </c>
      <c r="D17" t="n">
        <v>11417</v>
      </c>
      <c r="E17" t="n">
        <v>10257</v>
      </c>
      <c r="F17" t="n">
        <v>31129</v>
      </c>
      <c r="G17" t="n">
        <v>4460</v>
      </c>
      <c r="H17" t="n">
        <v>4564</v>
      </c>
      <c r="I17" t="n">
        <v>17770</v>
      </c>
      <c r="J17" t="n">
        <v>138228</v>
      </c>
      <c r="K17" t="n">
        <v>13539</v>
      </c>
      <c r="L17" t="n">
        <v>21759</v>
      </c>
      <c r="M17" t="n">
        <v>7683</v>
      </c>
      <c r="N17" t="n">
        <v>5033</v>
      </c>
      <c r="O17" t="n">
        <v>38521</v>
      </c>
      <c r="P17" t="n">
        <v>6868</v>
      </c>
      <c r="Q17" t="n">
        <v>3749</v>
      </c>
    </row>
    <row r="18">
      <c r="A18" s="135" t="n">
        <v>34090</v>
      </c>
      <c r="B18" t="n">
        <v>125899</v>
      </c>
      <c r="C18" t="n">
        <v>178426</v>
      </c>
      <c r="D18" t="n">
        <v>11720</v>
      </c>
      <c r="E18" t="n">
        <v>10386</v>
      </c>
      <c r="F18" t="n">
        <v>31164</v>
      </c>
      <c r="G18" t="n">
        <v>4485</v>
      </c>
      <c r="H18" t="n">
        <v>4642</v>
      </c>
      <c r="I18" t="n">
        <v>17821</v>
      </c>
      <c r="J18" t="n">
        <v>139420</v>
      </c>
      <c r="K18" t="n">
        <v>13521</v>
      </c>
      <c r="L18" t="n">
        <v>21993</v>
      </c>
      <c r="M18" t="n">
        <v>7666</v>
      </c>
      <c r="N18" t="n">
        <v>4967</v>
      </c>
      <c r="O18" t="n">
        <v>39006</v>
      </c>
      <c r="P18" t="n">
        <v>7309</v>
      </c>
      <c r="Q18" t="n">
        <v>3746</v>
      </c>
    </row>
    <row r="19">
      <c r="A19" s="135" t="n">
        <v>34121</v>
      </c>
      <c r="B19" t="n">
        <v>125804</v>
      </c>
      <c r="C19" t="n">
        <v>178157</v>
      </c>
      <c r="D19" t="n">
        <v>11669</v>
      </c>
      <c r="E19" t="n">
        <v>10411</v>
      </c>
      <c r="F19" t="n">
        <v>31168</v>
      </c>
      <c r="G19" t="n">
        <v>4567</v>
      </c>
      <c r="H19" t="n">
        <v>4609</v>
      </c>
      <c r="I19" t="n">
        <v>18030</v>
      </c>
      <c r="J19" t="n">
        <v>139265</v>
      </c>
      <c r="K19" t="n">
        <v>13461</v>
      </c>
      <c r="L19" t="n">
        <v>21957</v>
      </c>
      <c r="M19" t="n">
        <v>7680</v>
      </c>
      <c r="N19" t="n">
        <v>5153</v>
      </c>
      <c r="O19" t="n">
        <v>38892</v>
      </c>
      <c r="P19" t="n">
        <v>6858</v>
      </c>
      <c r="Q19" t="n">
        <v>3702</v>
      </c>
    </row>
    <row r="20">
      <c r="A20" s="135" t="n">
        <v>34151</v>
      </c>
      <c r="B20" t="n">
        <v>126951</v>
      </c>
      <c r="C20" t="n">
        <v>180743</v>
      </c>
      <c r="D20" t="n">
        <v>11781</v>
      </c>
      <c r="E20" t="n">
        <v>10593</v>
      </c>
      <c r="F20" t="n">
        <v>31349</v>
      </c>
      <c r="G20" t="n">
        <v>4642</v>
      </c>
      <c r="H20" t="n">
        <v>4640</v>
      </c>
      <c r="I20" t="n">
        <v>17927</v>
      </c>
      <c r="J20" t="n">
        <v>140453</v>
      </c>
      <c r="K20" t="n">
        <v>13502</v>
      </c>
      <c r="L20" t="n">
        <v>22343</v>
      </c>
      <c r="M20" t="n">
        <v>7756</v>
      </c>
      <c r="N20" t="n">
        <v>5064</v>
      </c>
      <c r="O20" t="n">
        <v>40290</v>
      </c>
      <c r="P20" t="n">
        <v>7046</v>
      </c>
      <c r="Q20" t="n">
        <v>3810</v>
      </c>
    </row>
    <row r="21">
      <c r="A21" s="135" t="n">
        <v>34182</v>
      </c>
      <c r="B21" t="n">
        <v>126831</v>
      </c>
      <c r="C21" t="n">
        <v>180707</v>
      </c>
      <c r="D21" t="n">
        <v>11875</v>
      </c>
      <c r="E21" t="n">
        <v>10406</v>
      </c>
      <c r="F21" t="n">
        <v>31126</v>
      </c>
      <c r="G21" t="n">
        <v>4667</v>
      </c>
      <c r="H21" t="n">
        <v>4645</v>
      </c>
      <c r="I21" t="n">
        <v>18201</v>
      </c>
      <c r="J21" t="n">
        <v>140203</v>
      </c>
      <c r="K21" t="n">
        <v>13372</v>
      </c>
      <c r="L21" t="n">
        <v>22315</v>
      </c>
      <c r="M21" t="n">
        <v>7678</v>
      </c>
      <c r="N21" t="n">
        <v>5115</v>
      </c>
      <c r="O21" t="n">
        <v>40504</v>
      </c>
      <c r="P21" t="n">
        <v>6999</v>
      </c>
      <c r="Q21" t="n">
        <v>3804</v>
      </c>
    </row>
    <row r="22">
      <c r="A22" s="135" t="n">
        <v>34213</v>
      </c>
      <c r="B22" t="n">
        <v>128154</v>
      </c>
      <c r="C22" t="n">
        <v>181773</v>
      </c>
      <c r="D22" t="n">
        <v>11786</v>
      </c>
      <c r="E22" t="n">
        <v>10549</v>
      </c>
      <c r="F22" t="n">
        <v>31201</v>
      </c>
      <c r="G22" t="n">
        <v>4729</v>
      </c>
      <c r="H22" t="n">
        <v>4640</v>
      </c>
      <c r="I22" t="n">
        <v>18515</v>
      </c>
      <c r="J22" t="n">
        <v>141570</v>
      </c>
      <c r="K22" t="n">
        <v>13416</v>
      </c>
      <c r="L22" t="n">
        <v>22429</v>
      </c>
      <c r="M22" t="n">
        <v>7772</v>
      </c>
      <c r="N22" t="n">
        <v>5222</v>
      </c>
      <c r="O22" t="n">
        <v>40203</v>
      </c>
      <c r="P22" t="n">
        <v>7486</v>
      </c>
      <c r="Q22" t="n">
        <v>3825</v>
      </c>
    </row>
    <row r="23">
      <c r="A23" s="135" t="n">
        <v>34243</v>
      </c>
      <c r="B23" t="n">
        <v>128272</v>
      </c>
      <c r="C23" t="n">
        <v>182884</v>
      </c>
      <c r="D23" t="n">
        <v>11908</v>
      </c>
      <c r="E23" t="n">
        <v>10449</v>
      </c>
      <c r="F23" t="n">
        <v>31346</v>
      </c>
      <c r="G23" t="n">
        <v>4710</v>
      </c>
      <c r="H23" t="n">
        <v>4663</v>
      </c>
      <c r="I23" t="n">
        <v>18199</v>
      </c>
      <c r="J23" t="n">
        <v>142027</v>
      </c>
      <c r="K23" t="n">
        <v>13755</v>
      </c>
      <c r="L23" t="n">
        <v>22647</v>
      </c>
      <c r="M23" t="n">
        <v>7758</v>
      </c>
      <c r="N23" t="n">
        <v>5432</v>
      </c>
      <c r="O23" t="n">
        <v>40857</v>
      </c>
      <c r="P23" t="n">
        <v>7343</v>
      </c>
      <c r="Q23" t="n">
        <v>3817</v>
      </c>
    </row>
    <row r="24">
      <c r="A24" s="135" t="n">
        <v>34274</v>
      </c>
      <c r="B24" t="n">
        <v>128916</v>
      </c>
      <c r="C24" t="n">
        <v>184747</v>
      </c>
      <c r="D24" t="n">
        <v>12297</v>
      </c>
      <c r="E24" t="n">
        <v>10475</v>
      </c>
      <c r="F24" t="n">
        <v>31363</v>
      </c>
      <c r="G24" t="n">
        <v>4741</v>
      </c>
      <c r="H24" t="n">
        <v>4693</v>
      </c>
      <c r="I24" t="n">
        <v>18153</v>
      </c>
      <c r="J24" t="n">
        <v>142670</v>
      </c>
      <c r="K24" t="n">
        <v>13754</v>
      </c>
      <c r="L24" t="n">
        <v>22760</v>
      </c>
      <c r="M24" t="n">
        <v>7784</v>
      </c>
      <c r="N24" t="n">
        <v>5159</v>
      </c>
      <c r="O24" t="n">
        <v>42077</v>
      </c>
      <c r="P24" t="n">
        <v>7561</v>
      </c>
      <c r="Q24" t="n">
        <v>3930</v>
      </c>
    </row>
    <row r="25">
      <c r="A25" s="135" t="n">
        <v>34304</v>
      </c>
      <c r="B25" t="n">
        <v>129976</v>
      </c>
      <c r="C25" t="n">
        <v>186399</v>
      </c>
      <c r="D25" t="n">
        <v>12583</v>
      </c>
      <c r="E25" t="n">
        <v>10442</v>
      </c>
      <c r="F25" t="n">
        <v>31499</v>
      </c>
      <c r="G25" t="n">
        <v>4794</v>
      </c>
      <c r="H25" t="n">
        <v>4693</v>
      </c>
      <c r="I25" t="n">
        <v>18238</v>
      </c>
      <c r="J25" t="n">
        <v>143603</v>
      </c>
      <c r="K25" t="n">
        <v>13627</v>
      </c>
      <c r="L25" t="n">
        <v>22905</v>
      </c>
      <c r="M25" t="n">
        <v>7989</v>
      </c>
      <c r="N25" t="n">
        <v>5377</v>
      </c>
      <c r="O25" t="n">
        <v>42796</v>
      </c>
      <c r="P25" t="n">
        <v>7438</v>
      </c>
      <c r="Q25" t="n">
        <v>4018</v>
      </c>
    </row>
    <row r="26">
      <c r="A26" s="135" t="n">
        <v>34335</v>
      </c>
      <c r="B26" t="n">
        <v>128826</v>
      </c>
      <c r="C26" t="n">
        <v>185142</v>
      </c>
      <c r="D26" t="n">
        <v>12316</v>
      </c>
      <c r="E26" t="n">
        <v>10450</v>
      </c>
      <c r="F26" t="n">
        <v>31468</v>
      </c>
      <c r="G26" t="n">
        <v>4837</v>
      </c>
      <c r="H26" t="n">
        <v>4571</v>
      </c>
      <c r="I26" t="n">
        <v>17624</v>
      </c>
      <c r="J26" t="n">
        <v>142482</v>
      </c>
      <c r="K26" t="n">
        <v>13656</v>
      </c>
      <c r="L26" t="n">
        <v>22706</v>
      </c>
      <c r="M26" t="n">
        <v>7865</v>
      </c>
      <c r="N26" t="n">
        <v>5288</v>
      </c>
      <c r="O26" t="n">
        <v>42660</v>
      </c>
      <c r="P26" t="n">
        <v>7720</v>
      </c>
      <c r="Q26" t="n">
        <v>3981</v>
      </c>
    </row>
    <row r="27">
      <c r="A27" s="135" t="n">
        <v>34366</v>
      </c>
      <c r="B27" t="n">
        <v>130514</v>
      </c>
      <c r="C27" t="n">
        <v>188074</v>
      </c>
      <c r="D27" t="n">
        <v>12233</v>
      </c>
      <c r="E27" t="n">
        <v>10587</v>
      </c>
      <c r="F27" t="n">
        <v>31688</v>
      </c>
      <c r="G27" t="n">
        <v>4949</v>
      </c>
      <c r="H27" t="n">
        <v>4775</v>
      </c>
      <c r="I27" t="n">
        <v>18425</v>
      </c>
      <c r="J27" t="n">
        <v>144389</v>
      </c>
      <c r="K27" t="n">
        <v>13875</v>
      </c>
      <c r="L27" t="n">
        <v>23070</v>
      </c>
      <c r="M27" t="n">
        <v>7729</v>
      </c>
      <c r="N27" t="n">
        <v>5282</v>
      </c>
      <c r="O27" t="n">
        <v>43685</v>
      </c>
      <c r="P27" t="n">
        <v>7681</v>
      </c>
      <c r="Q27" t="n">
        <v>4095</v>
      </c>
    </row>
    <row r="28">
      <c r="A28" s="135" t="n">
        <v>34394</v>
      </c>
      <c r="B28" t="n">
        <v>133193</v>
      </c>
      <c r="C28" t="n">
        <v>191579</v>
      </c>
      <c r="D28" t="n">
        <v>12767</v>
      </c>
      <c r="E28" t="n">
        <v>10806</v>
      </c>
      <c r="F28" t="n">
        <v>31700</v>
      </c>
      <c r="G28" t="n">
        <v>5052</v>
      </c>
      <c r="H28" t="n">
        <v>4910</v>
      </c>
      <c r="I28" t="n">
        <v>18813</v>
      </c>
      <c r="J28" t="n">
        <v>147104</v>
      </c>
      <c r="K28" t="n">
        <v>13911</v>
      </c>
      <c r="L28" t="n">
        <v>23657</v>
      </c>
      <c r="M28" t="n">
        <v>7911</v>
      </c>
      <c r="N28" t="n">
        <v>5593</v>
      </c>
      <c r="O28" t="n">
        <v>44475</v>
      </c>
      <c r="P28" t="n">
        <v>7853</v>
      </c>
      <c r="Q28" t="n">
        <v>4131</v>
      </c>
    </row>
    <row r="29">
      <c r="A29" s="135" t="n">
        <v>34425</v>
      </c>
      <c r="B29" t="n">
        <v>132700</v>
      </c>
      <c r="C29" t="n">
        <v>191639</v>
      </c>
      <c r="D29" t="n">
        <v>13076</v>
      </c>
      <c r="E29" t="n">
        <v>10554</v>
      </c>
      <c r="F29" t="n">
        <v>31899</v>
      </c>
      <c r="G29" t="n">
        <v>5090</v>
      </c>
      <c r="H29" t="n">
        <v>4916</v>
      </c>
      <c r="I29" t="n">
        <v>18533</v>
      </c>
      <c r="J29" t="n">
        <v>146567</v>
      </c>
      <c r="K29" t="n">
        <v>13867</v>
      </c>
      <c r="L29" t="n">
        <v>23354</v>
      </c>
      <c r="M29" t="n">
        <v>7838</v>
      </c>
      <c r="N29" t="n">
        <v>5464</v>
      </c>
      <c r="O29" t="n">
        <v>45072</v>
      </c>
      <c r="P29" t="n">
        <v>7941</v>
      </c>
      <c r="Q29" t="n">
        <v>4035</v>
      </c>
    </row>
    <row r="30">
      <c r="A30" s="135" t="n">
        <v>34455</v>
      </c>
      <c r="B30" t="n">
        <v>133058</v>
      </c>
      <c r="C30" t="n">
        <v>190929</v>
      </c>
      <c r="D30" t="n">
        <v>13033</v>
      </c>
      <c r="E30" t="n">
        <v>10451</v>
      </c>
      <c r="F30" t="n">
        <v>31858</v>
      </c>
      <c r="G30" t="n">
        <v>5185</v>
      </c>
      <c r="H30" t="n">
        <v>4971</v>
      </c>
      <c r="I30" t="n">
        <v>18600</v>
      </c>
      <c r="J30" t="n">
        <v>146831</v>
      </c>
      <c r="K30" t="n">
        <v>13773</v>
      </c>
      <c r="L30" t="n">
        <v>23271</v>
      </c>
      <c r="M30" t="n">
        <v>7955</v>
      </c>
      <c r="N30" t="n">
        <v>5756</v>
      </c>
      <c r="O30" t="n">
        <v>44098</v>
      </c>
      <c r="P30" t="n">
        <v>7859</v>
      </c>
      <c r="Q30" t="n">
        <v>4119</v>
      </c>
    </row>
    <row r="31">
      <c r="A31" s="135" t="n">
        <v>34486</v>
      </c>
      <c r="B31" t="n">
        <v>134530</v>
      </c>
      <c r="C31" t="n">
        <v>193130</v>
      </c>
      <c r="D31" t="n">
        <v>12987</v>
      </c>
      <c r="E31" t="n">
        <v>10612</v>
      </c>
      <c r="F31" t="n">
        <v>32123</v>
      </c>
      <c r="G31" t="n">
        <v>5313</v>
      </c>
      <c r="H31" t="n">
        <v>5018</v>
      </c>
      <c r="I31" t="n">
        <v>18889</v>
      </c>
      <c r="J31" t="n">
        <v>148589</v>
      </c>
      <c r="K31" t="n">
        <v>14059</v>
      </c>
      <c r="L31" t="n">
        <v>23626</v>
      </c>
      <c r="M31" t="n">
        <v>8014</v>
      </c>
      <c r="N31" t="n">
        <v>5739</v>
      </c>
      <c r="O31" t="n">
        <v>44541</v>
      </c>
      <c r="P31" t="n">
        <v>8074</v>
      </c>
      <c r="Q31" t="n">
        <v>4135</v>
      </c>
    </row>
    <row r="32">
      <c r="A32" s="135" t="n">
        <v>34516</v>
      </c>
      <c r="B32" t="n">
        <v>134944</v>
      </c>
      <c r="C32" t="n">
        <v>193743</v>
      </c>
      <c r="D32" t="n">
        <v>13130</v>
      </c>
      <c r="E32" t="n">
        <v>10672</v>
      </c>
      <c r="F32" t="n">
        <v>31964</v>
      </c>
      <c r="G32" t="n">
        <v>5330</v>
      </c>
      <c r="H32" t="n">
        <v>5046</v>
      </c>
      <c r="I32" t="n">
        <v>18962</v>
      </c>
      <c r="J32" t="n">
        <v>149266</v>
      </c>
      <c r="K32" t="n">
        <v>14322</v>
      </c>
      <c r="L32" t="n">
        <v>23635</v>
      </c>
      <c r="M32" t="n">
        <v>8084</v>
      </c>
      <c r="N32" t="n">
        <v>5933</v>
      </c>
      <c r="O32" t="n">
        <v>44477</v>
      </c>
      <c r="P32" t="n">
        <v>8077</v>
      </c>
      <c r="Q32" t="n">
        <v>4111</v>
      </c>
    </row>
    <row r="33">
      <c r="A33" s="135" t="n">
        <v>34547</v>
      </c>
      <c r="B33" t="n">
        <v>136246</v>
      </c>
      <c r="C33" t="n">
        <v>196163</v>
      </c>
      <c r="D33" t="n">
        <v>13224</v>
      </c>
      <c r="E33" t="n">
        <v>10839</v>
      </c>
      <c r="F33" t="n">
        <v>32222</v>
      </c>
      <c r="G33" t="n">
        <v>5411</v>
      </c>
      <c r="H33" t="n">
        <v>5165</v>
      </c>
      <c r="I33" t="n">
        <v>18868</v>
      </c>
      <c r="J33" t="n">
        <v>150931</v>
      </c>
      <c r="K33" t="n">
        <v>14685</v>
      </c>
      <c r="L33" t="n">
        <v>23889</v>
      </c>
      <c r="M33" t="n">
        <v>8126</v>
      </c>
      <c r="N33" t="n">
        <v>6012</v>
      </c>
      <c r="O33" t="n">
        <v>45232</v>
      </c>
      <c r="P33" t="n">
        <v>8241</v>
      </c>
      <c r="Q33" t="n">
        <v>4249</v>
      </c>
    </row>
    <row r="34">
      <c r="A34" s="135" t="n">
        <v>34578</v>
      </c>
      <c r="B34" t="n">
        <v>136802</v>
      </c>
      <c r="C34" t="n">
        <v>197765</v>
      </c>
      <c r="D34" t="n">
        <v>13375</v>
      </c>
      <c r="E34" t="n">
        <v>10674</v>
      </c>
      <c r="F34" t="n">
        <v>32401</v>
      </c>
      <c r="G34" t="n">
        <v>5508</v>
      </c>
      <c r="H34" t="n">
        <v>5177</v>
      </c>
      <c r="I34" t="n">
        <v>18978</v>
      </c>
      <c r="J34" t="n">
        <v>151451</v>
      </c>
      <c r="K34" t="n">
        <v>14649</v>
      </c>
      <c r="L34" t="n">
        <v>23995</v>
      </c>
      <c r="M34" t="n">
        <v>8190</v>
      </c>
      <c r="N34" t="n">
        <v>6092</v>
      </c>
      <c r="O34" t="n">
        <v>46314</v>
      </c>
      <c r="P34" t="n">
        <v>8106</v>
      </c>
      <c r="Q34" t="n">
        <v>4306</v>
      </c>
    </row>
    <row r="35">
      <c r="A35" s="135" t="n">
        <v>34608</v>
      </c>
      <c r="B35" t="n">
        <v>137821</v>
      </c>
      <c r="C35" t="n">
        <v>199571</v>
      </c>
      <c r="D35" t="n">
        <v>13550</v>
      </c>
      <c r="E35" t="n">
        <v>11000</v>
      </c>
      <c r="F35" t="n">
        <v>32196</v>
      </c>
      <c r="G35" t="n">
        <v>5635</v>
      </c>
      <c r="H35" t="n">
        <v>5260</v>
      </c>
      <c r="I35" t="n">
        <v>19010</v>
      </c>
      <c r="J35" t="n">
        <v>152530</v>
      </c>
      <c r="K35" t="n">
        <v>14709</v>
      </c>
      <c r="L35" t="n">
        <v>24255</v>
      </c>
      <c r="M35" t="n">
        <v>8214</v>
      </c>
      <c r="N35" t="n">
        <v>6048</v>
      </c>
      <c r="O35" t="n">
        <v>47041</v>
      </c>
      <c r="P35" t="n">
        <v>8306</v>
      </c>
      <c r="Q35" t="n">
        <v>4347</v>
      </c>
    </row>
    <row r="36">
      <c r="A36" s="135" t="n">
        <v>34639</v>
      </c>
      <c r="B36" t="n">
        <v>137650</v>
      </c>
      <c r="C36" t="n">
        <v>199731</v>
      </c>
      <c r="D36" t="n">
        <v>13384</v>
      </c>
      <c r="E36" t="n">
        <v>10983</v>
      </c>
      <c r="F36" t="n">
        <v>32370</v>
      </c>
      <c r="G36" t="n">
        <v>5753</v>
      </c>
      <c r="H36" t="n">
        <v>5199</v>
      </c>
      <c r="I36" t="n">
        <v>19028</v>
      </c>
      <c r="J36" t="n">
        <v>152528</v>
      </c>
      <c r="K36" t="n">
        <v>14878</v>
      </c>
      <c r="L36" t="n">
        <v>24356</v>
      </c>
      <c r="M36" t="n">
        <v>8190</v>
      </c>
      <c r="N36" t="n">
        <v>6074</v>
      </c>
      <c r="O36" t="n">
        <v>47203</v>
      </c>
      <c r="P36" t="n">
        <v>8092</v>
      </c>
      <c r="Q36" t="n">
        <v>4221</v>
      </c>
    </row>
    <row r="37">
      <c r="A37" s="135" t="n">
        <v>34669</v>
      </c>
      <c r="B37" t="n">
        <v>138876</v>
      </c>
      <c r="C37" t="n">
        <v>200702</v>
      </c>
      <c r="D37" t="n">
        <v>13981</v>
      </c>
      <c r="E37" t="n">
        <v>10952</v>
      </c>
      <c r="F37" t="n">
        <v>32294</v>
      </c>
      <c r="G37" t="n">
        <v>5834</v>
      </c>
      <c r="H37" t="n">
        <v>5254</v>
      </c>
      <c r="I37" t="n">
        <v>19178</v>
      </c>
      <c r="J37" t="n">
        <v>153761</v>
      </c>
      <c r="K37" t="n">
        <v>14885</v>
      </c>
      <c r="L37" t="n">
        <v>24583</v>
      </c>
      <c r="M37" t="n">
        <v>8287</v>
      </c>
      <c r="N37" t="n">
        <v>6021</v>
      </c>
      <c r="O37" t="n">
        <v>46941</v>
      </c>
      <c r="P37" t="n">
        <v>8237</v>
      </c>
      <c r="Q37" t="n">
        <v>4255</v>
      </c>
    </row>
    <row r="38">
      <c r="A38" s="135" t="n">
        <v>34700</v>
      </c>
      <c r="B38" t="n">
        <v>139434</v>
      </c>
      <c r="C38" t="n">
        <v>201573</v>
      </c>
      <c r="D38" t="n">
        <v>13738</v>
      </c>
      <c r="E38" t="n">
        <v>10939</v>
      </c>
      <c r="F38" t="n">
        <v>32625</v>
      </c>
      <c r="G38" t="n">
        <v>5892</v>
      </c>
      <c r="H38" t="n">
        <v>5265</v>
      </c>
      <c r="I38" t="n">
        <v>19160</v>
      </c>
      <c r="J38" t="n">
        <v>154349</v>
      </c>
      <c r="K38" t="n">
        <v>14915</v>
      </c>
      <c r="L38" t="n">
        <v>24936</v>
      </c>
      <c r="M38" t="n">
        <v>8306</v>
      </c>
      <c r="N38" t="n">
        <v>5955</v>
      </c>
      <c r="O38" t="n">
        <v>47224</v>
      </c>
      <c r="P38" t="n">
        <v>8182</v>
      </c>
      <c r="Q38" t="n">
        <v>4436</v>
      </c>
    </row>
    <row r="39">
      <c r="A39" s="135" t="n">
        <v>34731</v>
      </c>
      <c r="B39" t="n">
        <v>137534</v>
      </c>
      <c r="C39" t="n">
        <v>198399</v>
      </c>
      <c r="D39" t="n">
        <v>13613</v>
      </c>
      <c r="E39" t="n">
        <v>10582</v>
      </c>
      <c r="F39" t="n">
        <v>32399</v>
      </c>
      <c r="G39" t="n">
        <v>5827</v>
      </c>
      <c r="H39" t="n">
        <v>5081</v>
      </c>
      <c r="I39" t="n">
        <v>18911</v>
      </c>
      <c r="J39" t="n">
        <v>152497</v>
      </c>
      <c r="K39" t="n">
        <v>14963</v>
      </c>
      <c r="L39" t="n">
        <v>24115</v>
      </c>
      <c r="M39" t="n">
        <v>8304</v>
      </c>
      <c r="N39" t="n">
        <v>6097</v>
      </c>
      <c r="O39" t="n">
        <v>45902</v>
      </c>
      <c r="P39" t="n">
        <v>8307</v>
      </c>
      <c r="Q39" t="n">
        <v>4298</v>
      </c>
    </row>
    <row r="40">
      <c r="A40" s="135" t="n">
        <v>34759</v>
      </c>
      <c r="B40" t="n">
        <v>138645</v>
      </c>
      <c r="C40" t="n">
        <v>200247</v>
      </c>
      <c r="D40" t="n">
        <v>13587</v>
      </c>
      <c r="E40" t="n">
        <v>10850</v>
      </c>
      <c r="F40" t="n">
        <v>32415</v>
      </c>
      <c r="G40" t="n">
        <v>5849</v>
      </c>
      <c r="H40" t="n">
        <v>5130</v>
      </c>
      <c r="I40" t="n">
        <v>19234</v>
      </c>
      <c r="J40" t="n">
        <v>153566</v>
      </c>
      <c r="K40" t="n">
        <v>14921</v>
      </c>
      <c r="L40" t="n">
        <v>24579</v>
      </c>
      <c r="M40" t="n">
        <v>8304</v>
      </c>
      <c r="N40" t="n">
        <v>6134</v>
      </c>
      <c r="O40" t="n">
        <v>46681</v>
      </c>
      <c r="P40" t="n">
        <v>8216</v>
      </c>
      <c r="Q40" t="n">
        <v>4347</v>
      </c>
    </row>
    <row r="41">
      <c r="A41" s="135" t="n">
        <v>34790</v>
      </c>
      <c r="B41" t="n">
        <v>138955</v>
      </c>
      <c r="C41" t="n">
        <v>201032</v>
      </c>
      <c r="D41" t="n">
        <v>13415</v>
      </c>
      <c r="E41" t="n">
        <v>10796</v>
      </c>
      <c r="F41" t="n">
        <v>32312</v>
      </c>
      <c r="G41" t="n">
        <v>5733</v>
      </c>
      <c r="H41" t="n">
        <v>5181</v>
      </c>
      <c r="I41" t="n">
        <v>19346</v>
      </c>
      <c r="J41" t="n">
        <v>153976</v>
      </c>
      <c r="K41" t="n">
        <v>15021</v>
      </c>
      <c r="L41" t="n">
        <v>24747</v>
      </c>
      <c r="M41" t="n">
        <v>8450</v>
      </c>
      <c r="N41" t="n">
        <v>6265</v>
      </c>
      <c r="O41" t="n">
        <v>47056</v>
      </c>
      <c r="P41" t="n">
        <v>8365</v>
      </c>
      <c r="Q41" t="n">
        <v>4345</v>
      </c>
    </row>
    <row r="42">
      <c r="A42" s="135" t="n">
        <v>34820</v>
      </c>
      <c r="B42" t="n">
        <v>140053</v>
      </c>
      <c r="C42" t="n">
        <v>202986</v>
      </c>
      <c r="D42" t="n">
        <v>13370</v>
      </c>
      <c r="E42" t="n">
        <v>10976</v>
      </c>
      <c r="F42" t="n">
        <v>32540</v>
      </c>
      <c r="G42" t="n">
        <v>5956</v>
      </c>
      <c r="H42" t="n">
        <v>5216</v>
      </c>
      <c r="I42" t="n">
        <v>19450</v>
      </c>
      <c r="J42" t="n">
        <v>155268</v>
      </c>
      <c r="K42" t="n">
        <v>15215</v>
      </c>
      <c r="L42" t="n">
        <v>24851</v>
      </c>
      <c r="M42" t="n">
        <v>8424</v>
      </c>
      <c r="N42" t="n">
        <v>6372</v>
      </c>
      <c r="O42" t="n">
        <v>47718</v>
      </c>
      <c r="P42" t="n">
        <v>8518</v>
      </c>
      <c r="Q42" t="n">
        <v>4380</v>
      </c>
    </row>
    <row r="43">
      <c r="A43" s="135" t="n">
        <v>34851</v>
      </c>
      <c r="B43" t="n">
        <v>140515</v>
      </c>
      <c r="C43" t="n">
        <v>205500</v>
      </c>
      <c r="D43" t="n">
        <v>13548</v>
      </c>
      <c r="E43" t="n">
        <v>10948</v>
      </c>
      <c r="F43" t="n">
        <v>32597</v>
      </c>
      <c r="G43" t="n">
        <v>6000</v>
      </c>
      <c r="H43" t="n">
        <v>5217</v>
      </c>
      <c r="I43" t="n">
        <v>19419</v>
      </c>
      <c r="J43" t="n">
        <v>155848</v>
      </c>
      <c r="K43" t="n">
        <v>15333</v>
      </c>
      <c r="L43" t="n">
        <v>25166</v>
      </c>
      <c r="M43" t="n">
        <v>8482</v>
      </c>
      <c r="N43" t="n">
        <v>6288</v>
      </c>
      <c r="O43" t="n">
        <v>49652</v>
      </c>
      <c r="P43" t="n">
        <v>8429</v>
      </c>
      <c r="Q43" t="n">
        <v>4421</v>
      </c>
    </row>
    <row r="44">
      <c r="A44" s="135" t="n">
        <v>34881</v>
      </c>
      <c r="B44" t="n">
        <v>140839</v>
      </c>
      <c r="C44" t="n">
        <v>204920</v>
      </c>
      <c r="D44" t="n">
        <v>13645</v>
      </c>
      <c r="E44" t="n">
        <v>10824</v>
      </c>
      <c r="F44" t="n">
        <v>32466</v>
      </c>
      <c r="G44" t="n">
        <v>5965</v>
      </c>
      <c r="H44" t="n">
        <v>5318</v>
      </c>
      <c r="I44" t="n">
        <v>19489</v>
      </c>
      <c r="J44" t="n">
        <v>156088</v>
      </c>
      <c r="K44" t="n">
        <v>15249</v>
      </c>
      <c r="L44" t="n">
        <v>25375</v>
      </c>
      <c r="M44" t="n">
        <v>8431</v>
      </c>
      <c r="N44" t="n">
        <v>6398</v>
      </c>
      <c r="O44" t="n">
        <v>48832</v>
      </c>
      <c r="P44" t="n">
        <v>8499</v>
      </c>
      <c r="Q44" t="n">
        <v>4429</v>
      </c>
    </row>
    <row r="45">
      <c r="A45" s="135" t="n">
        <v>34912</v>
      </c>
      <c r="B45" t="n">
        <v>141546</v>
      </c>
      <c r="C45" t="n">
        <v>206521</v>
      </c>
      <c r="D45" t="n">
        <v>13683</v>
      </c>
      <c r="E45" t="n">
        <v>10813</v>
      </c>
      <c r="F45" t="n">
        <v>32547</v>
      </c>
      <c r="G45" t="n">
        <v>6159</v>
      </c>
      <c r="H45" t="n">
        <v>5304</v>
      </c>
      <c r="I45" t="n">
        <v>19715</v>
      </c>
      <c r="J45" t="n">
        <v>156773</v>
      </c>
      <c r="K45" t="n">
        <v>15227</v>
      </c>
      <c r="L45" t="n">
        <v>25174</v>
      </c>
      <c r="M45" t="n">
        <v>8488</v>
      </c>
      <c r="N45" t="n">
        <v>6502</v>
      </c>
      <c r="O45" t="n">
        <v>49748</v>
      </c>
      <c r="P45" t="n">
        <v>8699</v>
      </c>
      <c r="Q45" t="n">
        <v>4462</v>
      </c>
    </row>
    <row r="46">
      <c r="A46" s="135" t="n">
        <v>34943</v>
      </c>
      <c r="B46" t="n">
        <v>142624</v>
      </c>
      <c r="C46" t="n">
        <v>207006</v>
      </c>
      <c r="D46" t="n">
        <v>13837</v>
      </c>
      <c r="E46" t="n">
        <v>11198</v>
      </c>
      <c r="F46" t="n">
        <v>32625</v>
      </c>
      <c r="G46" t="n">
        <v>6141</v>
      </c>
      <c r="H46" t="n">
        <v>5407</v>
      </c>
      <c r="I46" t="n">
        <v>19640</v>
      </c>
      <c r="J46" t="n">
        <v>157818</v>
      </c>
      <c r="K46" t="n">
        <v>15194</v>
      </c>
      <c r="L46" t="n">
        <v>25469</v>
      </c>
      <c r="M46" t="n">
        <v>8611</v>
      </c>
      <c r="N46" t="n">
        <v>6413</v>
      </c>
      <c r="O46" t="n">
        <v>49188</v>
      </c>
      <c r="P46" t="n">
        <v>8842</v>
      </c>
      <c r="Q46" t="n">
        <v>4441</v>
      </c>
    </row>
    <row r="47">
      <c r="A47" s="135" t="n">
        <v>34973</v>
      </c>
      <c r="B47" t="n">
        <v>141898</v>
      </c>
      <c r="C47" t="n">
        <v>206176</v>
      </c>
      <c r="D47" t="n">
        <v>13932</v>
      </c>
      <c r="E47" t="n">
        <v>10882</v>
      </c>
      <c r="F47" t="n">
        <v>32578</v>
      </c>
      <c r="G47" t="n">
        <v>6212</v>
      </c>
      <c r="H47" t="n">
        <v>5429</v>
      </c>
      <c r="I47" t="n">
        <v>19611</v>
      </c>
      <c r="J47" t="n">
        <v>156905</v>
      </c>
      <c r="K47" t="n">
        <v>15007</v>
      </c>
      <c r="L47" t="n">
        <v>25135</v>
      </c>
      <c r="M47" t="n">
        <v>8584</v>
      </c>
      <c r="N47" t="n">
        <v>6419</v>
      </c>
      <c r="O47" t="n">
        <v>49271</v>
      </c>
      <c r="P47" t="n">
        <v>8702</v>
      </c>
      <c r="Q47" t="n">
        <v>4414</v>
      </c>
    </row>
    <row r="48">
      <c r="A48" s="135" t="n">
        <v>35004</v>
      </c>
      <c r="B48" t="n">
        <v>143820</v>
      </c>
      <c r="C48" t="n">
        <v>208664</v>
      </c>
      <c r="D48" t="n">
        <v>14092</v>
      </c>
      <c r="E48" t="n">
        <v>11269</v>
      </c>
      <c r="F48" t="n">
        <v>32744</v>
      </c>
      <c r="G48" t="n">
        <v>6263</v>
      </c>
      <c r="H48" t="n">
        <v>5516</v>
      </c>
      <c r="I48" t="n">
        <v>19609</v>
      </c>
      <c r="J48" t="n">
        <v>158801</v>
      </c>
      <c r="K48" t="n">
        <v>14981</v>
      </c>
      <c r="L48" t="n">
        <v>25414</v>
      </c>
      <c r="M48" t="n">
        <v>8691</v>
      </c>
      <c r="N48" t="n">
        <v>6520</v>
      </c>
      <c r="O48" t="n">
        <v>49863</v>
      </c>
      <c r="P48" t="n">
        <v>9170</v>
      </c>
      <c r="Q48" t="n">
        <v>4532</v>
      </c>
    </row>
    <row r="49">
      <c r="A49" s="135" t="n">
        <v>35034</v>
      </c>
      <c r="B49" t="n">
        <v>144990</v>
      </c>
      <c r="C49" t="n">
        <v>210399</v>
      </c>
      <c r="D49" t="n">
        <v>14683</v>
      </c>
      <c r="E49" t="n">
        <v>11124</v>
      </c>
      <c r="F49" t="n">
        <v>32903</v>
      </c>
      <c r="G49" t="n">
        <v>6281</v>
      </c>
      <c r="H49" t="n">
        <v>5445</v>
      </c>
      <c r="I49" t="n">
        <v>19625</v>
      </c>
      <c r="J49" t="n">
        <v>160236</v>
      </c>
      <c r="K49" t="n">
        <v>15246</v>
      </c>
      <c r="L49" t="n">
        <v>25554</v>
      </c>
      <c r="M49" t="n">
        <v>8761</v>
      </c>
      <c r="N49" t="n">
        <v>6566</v>
      </c>
      <c r="O49" t="n">
        <v>50163</v>
      </c>
      <c r="P49" t="n">
        <v>9543</v>
      </c>
      <c r="Q49" t="n">
        <v>4505</v>
      </c>
    </row>
    <row r="50">
      <c r="A50" s="135" t="n">
        <v>35065</v>
      </c>
      <c r="B50" t="n">
        <v>142871</v>
      </c>
      <c r="C50" t="n">
        <v>208699</v>
      </c>
      <c r="D50" t="n">
        <v>14023</v>
      </c>
      <c r="E50" t="n">
        <v>11105</v>
      </c>
      <c r="F50" t="n">
        <v>33085</v>
      </c>
      <c r="G50" t="n">
        <v>6191</v>
      </c>
      <c r="H50" t="n">
        <v>5302</v>
      </c>
      <c r="I50" t="n">
        <v>19564</v>
      </c>
      <c r="J50" t="n">
        <v>158350</v>
      </c>
      <c r="K50" t="n">
        <v>15479</v>
      </c>
      <c r="L50" t="n">
        <v>25215</v>
      </c>
      <c r="M50" t="n">
        <v>8546</v>
      </c>
      <c r="N50" t="n">
        <v>6202</v>
      </c>
      <c r="O50" t="n">
        <v>50349</v>
      </c>
      <c r="P50" t="n">
        <v>9038</v>
      </c>
      <c r="Q50" t="n">
        <v>4600</v>
      </c>
    </row>
    <row r="51">
      <c r="A51" s="135" t="n">
        <v>35096</v>
      </c>
      <c r="B51" t="n">
        <v>144263</v>
      </c>
      <c r="C51" t="n">
        <v>212008</v>
      </c>
      <c r="D51" t="n">
        <v>14036</v>
      </c>
      <c r="E51" t="n">
        <v>11341</v>
      </c>
      <c r="F51" t="n">
        <v>32928</v>
      </c>
      <c r="G51" t="n">
        <v>6248</v>
      </c>
      <c r="H51" t="n">
        <v>5346</v>
      </c>
      <c r="I51" t="n">
        <v>19742</v>
      </c>
      <c r="J51" t="n">
        <v>159720</v>
      </c>
      <c r="K51" t="n">
        <v>15457</v>
      </c>
      <c r="L51" t="n">
        <v>25616</v>
      </c>
      <c r="M51" t="n">
        <v>8782</v>
      </c>
      <c r="N51" t="n">
        <v>6339</v>
      </c>
      <c r="O51" t="n">
        <v>52288</v>
      </c>
      <c r="P51" t="n">
        <v>9400</v>
      </c>
      <c r="Q51" t="n">
        <v>4485</v>
      </c>
    </row>
    <row r="52">
      <c r="A52" s="135" t="n">
        <v>35125</v>
      </c>
      <c r="B52" t="n">
        <v>145592</v>
      </c>
      <c r="C52" t="n">
        <v>213891</v>
      </c>
      <c r="D52" t="n">
        <v>14153</v>
      </c>
      <c r="E52" t="n">
        <v>11376</v>
      </c>
      <c r="F52" t="n">
        <v>33076</v>
      </c>
      <c r="G52" t="n">
        <v>6365</v>
      </c>
      <c r="H52" t="n">
        <v>5566</v>
      </c>
      <c r="I52" t="n">
        <v>19862</v>
      </c>
      <c r="J52" t="n">
        <v>161543</v>
      </c>
      <c r="K52" t="n">
        <v>15951</v>
      </c>
      <c r="L52" t="n">
        <v>25576</v>
      </c>
      <c r="M52" t="n">
        <v>8991</v>
      </c>
      <c r="N52" t="n">
        <v>6473</v>
      </c>
      <c r="O52" t="n">
        <v>52348</v>
      </c>
      <c r="P52" t="n">
        <v>9606</v>
      </c>
      <c r="Q52" t="n">
        <v>4548</v>
      </c>
    </row>
    <row r="53">
      <c r="A53" s="135" t="n">
        <v>35156</v>
      </c>
      <c r="B53" t="n">
        <v>146893</v>
      </c>
      <c r="C53" t="n">
        <v>214676</v>
      </c>
      <c r="D53" t="n">
        <v>14340</v>
      </c>
      <c r="E53" t="n">
        <v>11422</v>
      </c>
      <c r="F53" t="n">
        <v>33174</v>
      </c>
      <c r="G53" t="n">
        <v>6373</v>
      </c>
      <c r="H53" t="n">
        <v>5595</v>
      </c>
      <c r="I53" t="n">
        <v>19932</v>
      </c>
      <c r="J53" t="n">
        <v>163145</v>
      </c>
      <c r="K53" t="n">
        <v>16252</v>
      </c>
      <c r="L53" t="n">
        <v>26103</v>
      </c>
      <c r="M53" t="n">
        <v>8922</v>
      </c>
      <c r="N53" t="n">
        <v>6772</v>
      </c>
      <c r="O53" t="n">
        <v>51531</v>
      </c>
      <c r="P53" t="n">
        <v>9632</v>
      </c>
      <c r="Q53" t="n">
        <v>4628</v>
      </c>
    </row>
    <row r="54">
      <c r="A54" s="135" t="n">
        <v>35186</v>
      </c>
      <c r="B54" t="n">
        <v>147611</v>
      </c>
      <c r="C54" t="n">
        <v>216299</v>
      </c>
      <c r="D54" t="n">
        <v>14450</v>
      </c>
      <c r="E54" t="n">
        <v>11504</v>
      </c>
      <c r="F54" t="n">
        <v>33178</v>
      </c>
      <c r="G54" t="n">
        <v>6428</v>
      </c>
      <c r="H54" t="n">
        <v>5586</v>
      </c>
      <c r="I54" t="n">
        <v>20094</v>
      </c>
      <c r="J54" t="n">
        <v>164099</v>
      </c>
      <c r="K54" t="n">
        <v>16488</v>
      </c>
      <c r="L54" t="n">
        <v>26216</v>
      </c>
      <c r="M54" t="n">
        <v>9076</v>
      </c>
      <c r="N54" t="n">
        <v>7128</v>
      </c>
      <c r="O54" t="n">
        <v>52200</v>
      </c>
      <c r="P54" t="n">
        <v>9519</v>
      </c>
      <c r="Q54" t="n">
        <v>4432</v>
      </c>
    </row>
    <row r="55">
      <c r="A55" s="135" t="n">
        <v>35217</v>
      </c>
      <c r="B55" t="n">
        <v>147918</v>
      </c>
      <c r="C55" t="n">
        <v>216068</v>
      </c>
      <c r="D55" t="n">
        <v>14902</v>
      </c>
      <c r="E55" t="n">
        <v>11365</v>
      </c>
      <c r="F55" t="n">
        <v>33281</v>
      </c>
      <c r="G55" t="n">
        <v>6334</v>
      </c>
      <c r="H55" t="n">
        <v>5678</v>
      </c>
      <c r="I55" t="n">
        <v>19932</v>
      </c>
      <c r="J55" t="n">
        <v>164270</v>
      </c>
      <c r="K55" t="n">
        <v>16352</v>
      </c>
      <c r="L55" t="n">
        <v>26085</v>
      </c>
      <c r="M55" t="n">
        <v>9072</v>
      </c>
      <c r="N55" t="n">
        <v>7050</v>
      </c>
      <c r="O55" t="n">
        <v>51798</v>
      </c>
      <c r="P55" t="n">
        <v>9610</v>
      </c>
      <c r="Q55" t="n">
        <v>4609</v>
      </c>
    </row>
    <row r="56">
      <c r="A56" s="135" t="n">
        <v>35247</v>
      </c>
      <c r="B56" t="n">
        <v>148253</v>
      </c>
      <c r="C56" t="n">
        <v>216332</v>
      </c>
      <c r="D56" t="n">
        <v>14826</v>
      </c>
      <c r="E56" t="n">
        <v>11316</v>
      </c>
      <c r="F56" t="n">
        <v>33470</v>
      </c>
      <c r="G56" t="n">
        <v>6234</v>
      </c>
      <c r="H56" t="n">
        <v>5696</v>
      </c>
      <c r="I56" t="n">
        <v>20145</v>
      </c>
      <c r="J56" t="n">
        <v>164328</v>
      </c>
      <c r="K56" t="n">
        <v>16075</v>
      </c>
      <c r="L56" t="n">
        <v>26209</v>
      </c>
      <c r="M56" t="n">
        <v>9134</v>
      </c>
      <c r="N56" t="n">
        <v>7018</v>
      </c>
      <c r="O56" t="n">
        <v>52004</v>
      </c>
      <c r="P56" t="n">
        <v>9550</v>
      </c>
      <c r="Q56" t="n">
        <v>4655</v>
      </c>
    </row>
    <row r="57">
      <c r="A57" s="135" t="n">
        <v>35278</v>
      </c>
      <c r="B57" t="n">
        <v>148820</v>
      </c>
      <c r="C57" t="n">
        <v>216358</v>
      </c>
      <c r="D57" t="n">
        <v>14981</v>
      </c>
      <c r="E57" t="n">
        <v>11360</v>
      </c>
      <c r="F57" t="n">
        <v>33542</v>
      </c>
      <c r="G57" t="n">
        <v>6340</v>
      </c>
      <c r="H57" t="n">
        <v>5655</v>
      </c>
      <c r="I57" t="n">
        <v>20140</v>
      </c>
      <c r="J57" t="n">
        <v>164886</v>
      </c>
      <c r="K57" t="n">
        <v>16066</v>
      </c>
      <c r="L57" t="n">
        <v>26441</v>
      </c>
      <c r="M57" t="n">
        <v>9237</v>
      </c>
      <c r="N57" t="n">
        <v>6918</v>
      </c>
      <c r="O57" t="n">
        <v>51472</v>
      </c>
      <c r="P57" t="n">
        <v>9468</v>
      </c>
      <c r="Q57" t="n">
        <v>4738</v>
      </c>
    </row>
    <row r="58">
      <c r="A58" s="135" t="n">
        <v>35309</v>
      </c>
      <c r="B58" t="n">
        <v>149984</v>
      </c>
      <c r="C58" t="n">
        <v>219256</v>
      </c>
      <c r="D58" t="n">
        <v>14989</v>
      </c>
      <c r="E58" t="n">
        <v>11534</v>
      </c>
      <c r="F58" t="n">
        <v>33494</v>
      </c>
      <c r="G58" t="n">
        <v>6438</v>
      </c>
      <c r="H58" t="n">
        <v>5762</v>
      </c>
      <c r="I58" t="n">
        <v>20397</v>
      </c>
      <c r="J58" t="n">
        <v>166072</v>
      </c>
      <c r="K58" t="n">
        <v>16088</v>
      </c>
      <c r="L58" t="n">
        <v>26590</v>
      </c>
      <c r="M58" t="n">
        <v>9190</v>
      </c>
      <c r="N58" t="n">
        <v>7011</v>
      </c>
      <c r="O58" t="n">
        <v>53184</v>
      </c>
      <c r="P58" t="n">
        <v>9889</v>
      </c>
      <c r="Q58" t="n">
        <v>4690</v>
      </c>
    </row>
    <row r="59">
      <c r="A59" s="135" t="n">
        <v>35339</v>
      </c>
      <c r="B59" t="n">
        <v>151250</v>
      </c>
      <c r="C59" t="n">
        <v>221060</v>
      </c>
      <c r="D59" t="n">
        <v>15040</v>
      </c>
      <c r="E59" t="n">
        <v>11577</v>
      </c>
      <c r="F59" t="n">
        <v>33704</v>
      </c>
      <c r="G59" t="n">
        <v>6428</v>
      </c>
      <c r="H59" t="n">
        <v>5779</v>
      </c>
      <c r="I59" t="n">
        <v>20551</v>
      </c>
      <c r="J59" t="n">
        <v>167610</v>
      </c>
      <c r="K59" t="n">
        <v>16360</v>
      </c>
      <c r="L59" t="n">
        <v>26904</v>
      </c>
      <c r="M59" t="n">
        <v>9363</v>
      </c>
      <c r="N59" t="n">
        <v>7110</v>
      </c>
      <c r="O59" t="n">
        <v>53450</v>
      </c>
      <c r="P59" t="n">
        <v>10025</v>
      </c>
      <c r="Q59" t="n">
        <v>4769</v>
      </c>
    </row>
    <row r="60">
      <c r="A60" s="135" t="n">
        <v>35370</v>
      </c>
      <c r="B60" t="n">
        <v>151651</v>
      </c>
      <c r="C60" t="n">
        <v>220963</v>
      </c>
      <c r="D60" t="n">
        <v>15264</v>
      </c>
      <c r="E60" t="n">
        <v>11318</v>
      </c>
      <c r="F60" t="n">
        <v>33734</v>
      </c>
      <c r="G60" t="n">
        <v>6356</v>
      </c>
      <c r="H60" t="n">
        <v>5768</v>
      </c>
      <c r="I60" t="n">
        <v>20789</v>
      </c>
      <c r="J60" t="n">
        <v>168253</v>
      </c>
      <c r="K60" t="n">
        <v>16602</v>
      </c>
      <c r="L60" t="n">
        <v>26772</v>
      </c>
      <c r="M60" t="n">
        <v>9414</v>
      </c>
      <c r="N60" t="n">
        <v>7154</v>
      </c>
      <c r="O60" t="n">
        <v>52710</v>
      </c>
      <c r="P60" t="n">
        <v>10390</v>
      </c>
      <c r="Q60" t="n">
        <v>4692</v>
      </c>
    </row>
    <row r="61">
      <c r="A61" s="135" t="n">
        <v>35400</v>
      </c>
      <c r="B61" t="n">
        <v>152397</v>
      </c>
      <c r="C61" t="n">
        <v>221991</v>
      </c>
      <c r="D61" t="n">
        <v>14980</v>
      </c>
      <c r="E61" t="n">
        <v>11435</v>
      </c>
      <c r="F61" t="n">
        <v>33819</v>
      </c>
      <c r="G61" t="n">
        <v>6305</v>
      </c>
      <c r="H61" t="n">
        <v>5746</v>
      </c>
      <c r="I61" t="n">
        <v>20707</v>
      </c>
      <c r="J61" t="n">
        <v>169156</v>
      </c>
      <c r="K61" t="n">
        <v>16759</v>
      </c>
      <c r="L61" t="n">
        <v>27051</v>
      </c>
      <c r="M61" t="n">
        <v>9505</v>
      </c>
      <c r="N61" t="n">
        <v>7144</v>
      </c>
      <c r="O61" t="n">
        <v>52835</v>
      </c>
      <c r="P61" t="n">
        <v>10765</v>
      </c>
      <c r="Q61" t="n">
        <v>4940</v>
      </c>
    </row>
    <row r="62">
      <c r="A62" s="135" t="n">
        <v>35431</v>
      </c>
      <c r="B62" t="n">
        <v>152533</v>
      </c>
      <c r="C62" t="n">
        <v>223481</v>
      </c>
      <c r="D62" t="n">
        <v>15197</v>
      </c>
      <c r="E62" t="n">
        <v>11513</v>
      </c>
      <c r="F62" t="n">
        <v>34049</v>
      </c>
      <c r="G62" t="n">
        <v>6128</v>
      </c>
      <c r="H62" t="n">
        <v>5823</v>
      </c>
      <c r="I62" t="n">
        <v>21110</v>
      </c>
      <c r="J62" t="n">
        <v>169471</v>
      </c>
      <c r="K62" t="n">
        <v>16938</v>
      </c>
      <c r="L62" t="n">
        <v>27216</v>
      </c>
      <c r="M62" t="n">
        <v>9448</v>
      </c>
      <c r="N62" t="n">
        <v>7295</v>
      </c>
      <c r="O62" t="n">
        <v>54010</v>
      </c>
      <c r="P62" t="n">
        <v>10006</v>
      </c>
      <c r="Q62" t="n">
        <v>4748</v>
      </c>
    </row>
    <row r="63">
      <c r="A63" s="135" t="n">
        <v>35462</v>
      </c>
      <c r="B63" t="n">
        <v>153837</v>
      </c>
      <c r="C63" t="n">
        <v>225422</v>
      </c>
      <c r="D63" t="n">
        <v>15561</v>
      </c>
      <c r="E63" t="n">
        <v>11468</v>
      </c>
      <c r="F63" t="n">
        <v>33989</v>
      </c>
      <c r="G63" t="n">
        <v>6370</v>
      </c>
      <c r="H63" t="n">
        <v>5847</v>
      </c>
      <c r="I63" t="n">
        <v>21136</v>
      </c>
      <c r="J63" t="n">
        <v>170821</v>
      </c>
      <c r="K63" t="n">
        <v>16984</v>
      </c>
      <c r="L63" t="n">
        <v>27262</v>
      </c>
      <c r="M63" t="n">
        <v>9649</v>
      </c>
      <c r="N63" t="n">
        <v>7539</v>
      </c>
      <c r="O63" t="n">
        <v>54601</v>
      </c>
      <c r="P63" t="n">
        <v>10350</v>
      </c>
      <c r="Q63" t="n">
        <v>4666</v>
      </c>
    </row>
    <row r="64">
      <c r="A64" s="135" t="n">
        <v>35490</v>
      </c>
      <c r="B64" t="n">
        <v>154959</v>
      </c>
      <c r="C64" t="n">
        <v>226161</v>
      </c>
      <c r="D64" t="n">
        <v>15862</v>
      </c>
      <c r="E64" t="n">
        <v>11623</v>
      </c>
      <c r="F64" t="n">
        <v>34156</v>
      </c>
      <c r="G64" t="n">
        <v>6360</v>
      </c>
      <c r="H64" t="n">
        <v>5916</v>
      </c>
      <c r="I64" t="n">
        <v>21171</v>
      </c>
      <c r="J64" t="n">
        <v>171928</v>
      </c>
      <c r="K64" t="n">
        <v>16969</v>
      </c>
      <c r="L64" t="n">
        <v>27304</v>
      </c>
      <c r="M64" t="n">
        <v>9922</v>
      </c>
      <c r="N64" t="n">
        <v>7459</v>
      </c>
      <c r="O64" t="n">
        <v>54233</v>
      </c>
      <c r="P64" t="n">
        <v>10488</v>
      </c>
      <c r="Q64" t="n">
        <v>4698</v>
      </c>
    </row>
    <row r="65">
      <c r="A65" s="135" t="n">
        <v>35521</v>
      </c>
      <c r="B65" t="n">
        <v>154141</v>
      </c>
      <c r="C65" t="n">
        <v>224615</v>
      </c>
      <c r="D65" t="n">
        <v>15709</v>
      </c>
      <c r="E65" t="n">
        <v>11195</v>
      </c>
      <c r="F65" t="n">
        <v>34056</v>
      </c>
      <c r="G65" t="n">
        <v>6456</v>
      </c>
      <c r="H65" t="n">
        <v>5968</v>
      </c>
      <c r="I65" t="n">
        <v>21216</v>
      </c>
      <c r="J65" t="n">
        <v>170754</v>
      </c>
      <c r="K65" t="n">
        <v>16613</v>
      </c>
      <c r="L65" t="n">
        <v>27179</v>
      </c>
      <c r="M65" t="n">
        <v>9578</v>
      </c>
      <c r="N65" t="n">
        <v>7417</v>
      </c>
      <c r="O65" t="n">
        <v>53861</v>
      </c>
      <c r="P65" t="n">
        <v>10642</v>
      </c>
      <c r="Q65" t="n">
        <v>4725</v>
      </c>
    </row>
    <row r="66">
      <c r="A66" s="135" t="n">
        <v>35551</v>
      </c>
      <c r="B66" t="n">
        <v>154371</v>
      </c>
      <c r="C66" t="n">
        <v>222929</v>
      </c>
      <c r="D66" t="n">
        <v>15805</v>
      </c>
      <c r="E66" t="n">
        <v>11413</v>
      </c>
      <c r="F66" t="n">
        <v>33978</v>
      </c>
      <c r="G66" t="n">
        <v>6400</v>
      </c>
      <c r="H66" t="n">
        <v>6004</v>
      </c>
      <c r="I66" t="n">
        <v>21230</v>
      </c>
      <c r="J66" t="n">
        <v>170738</v>
      </c>
      <c r="K66" t="n">
        <v>16367</v>
      </c>
      <c r="L66" t="n">
        <v>27328</v>
      </c>
      <c r="M66" t="n">
        <v>9722</v>
      </c>
      <c r="N66" t="n">
        <v>7181</v>
      </c>
      <c r="O66" t="n">
        <v>52191</v>
      </c>
      <c r="P66" t="n">
        <v>10547</v>
      </c>
      <c r="Q66" t="n">
        <v>4763</v>
      </c>
    </row>
    <row r="67">
      <c r="A67" s="135" t="n">
        <v>35582</v>
      </c>
      <c r="B67" t="n">
        <v>155613</v>
      </c>
      <c r="C67" t="n">
        <v>226057</v>
      </c>
      <c r="D67" t="n">
        <v>15918</v>
      </c>
      <c r="E67" t="n">
        <v>11643</v>
      </c>
      <c r="F67" t="n">
        <v>33892</v>
      </c>
      <c r="G67" t="n">
        <v>6440</v>
      </c>
      <c r="H67" t="n">
        <v>6034</v>
      </c>
      <c r="I67" t="n">
        <v>21382</v>
      </c>
      <c r="J67" t="n">
        <v>171991</v>
      </c>
      <c r="K67" t="n">
        <v>16378</v>
      </c>
      <c r="L67" t="n">
        <v>27433</v>
      </c>
      <c r="M67" t="n">
        <v>9916</v>
      </c>
      <c r="N67" t="n">
        <v>7474</v>
      </c>
      <c r="O67" t="n">
        <v>54066</v>
      </c>
      <c r="P67" t="n">
        <v>10643</v>
      </c>
      <c r="Q67" t="n">
        <v>4838</v>
      </c>
    </row>
    <row r="68">
      <c r="A68" s="135" t="n">
        <v>35612</v>
      </c>
      <c r="B68" t="n">
        <v>157052</v>
      </c>
      <c r="C68" t="n">
        <v>228703</v>
      </c>
      <c r="D68" t="n">
        <v>15973</v>
      </c>
      <c r="E68" t="n">
        <v>11735</v>
      </c>
      <c r="F68" t="n">
        <v>34106</v>
      </c>
      <c r="G68" t="n">
        <v>6525</v>
      </c>
      <c r="H68" t="n">
        <v>6039</v>
      </c>
      <c r="I68" t="n">
        <v>21689</v>
      </c>
      <c r="J68" t="n">
        <v>173448</v>
      </c>
      <c r="K68" t="n">
        <v>16396</v>
      </c>
      <c r="L68" t="n">
        <v>27949</v>
      </c>
      <c r="M68" t="n">
        <v>9950</v>
      </c>
      <c r="N68" t="n">
        <v>7464</v>
      </c>
      <c r="O68" t="n">
        <v>55255</v>
      </c>
      <c r="P68" t="n">
        <v>10836</v>
      </c>
      <c r="Q68" t="n">
        <v>4786</v>
      </c>
    </row>
    <row r="69">
      <c r="A69" s="135" t="n">
        <v>35643</v>
      </c>
      <c r="B69" t="n">
        <v>157139</v>
      </c>
      <c r="C69" t="n">
        <v>229309</v>
      </c>
      <c r="D69" t="n">
        <v>16027</v>
      </c>
      <c r="E69" t="n">
        <v>11828</v>
      </c>
      <c r="F69" t="n">
        <v>34256</v>
      </c>
      <c r="G69" t="n">
        <v>6541</v>
      </c>
      <c r="H69" t="n">
        <v>6146</v>
      </c>
      <c r="I69" t="n">
        <v>21674</v>
      </c>
      <c r="J69" t="n">
        <v>173821</v>
      </c>
      <c r="K69" t="n">
        <v>16682</v>
      </c>
      <c r="L69" t="n">
        <v>27939</v>
      </c>
      <c r="M69" t="n">
        <v>9989</v>
      </c>
      <c r="N69" t="n">
        <v>7562</v>
      </c>
      <c r="O69" t="n">
        <v>55488</v>
      </c>
      <c r="P69" t="n">
        <v>10432</v>
      </c>
      <c r="Q69" t="n">
        <v>4745</v>
      </c>
    </row>
    <row r="70">
      <c r="A70" s="135" t="n">
        <v>35674</v>
      </c>
      <c r="B70" t="n">
        <v>158221</v>
      </c>
      <c r="C70" t="n">
        <v>230312</v>
      </c>
      <c r="D70" t="n">
        <v>16283</v>
      </c>
      <c r="E70" t="n">
        <v>11845</v>
      </c>
      <c r="F70" t="n">
        <v>34281</v>
      </c>
      <c r="G70" t="n">
        <v>6559</v>
      </c>
      <c r="H70" t="n">
        <v>6162</v>
      </c>
      <c r="I70" t="n">
        <v>21986</v>
      </c>
      <c r="J70" t="n">
        <v>174978</v>
      </c>
      <c r="K70" t="n">
        <v>16757</v>
      </c>
      <c r="L70" t="n">
        <v>27868</v>
      </c>
      <c r="M70" t="n">
        <v>10077</v>
      </c>
      <c r="N70" t="n">
        <v>7664</v>
      </c>
      <c r="O70" t="n">
        <v>55334</v>
      </c>
      <c r="P70" t="n">
        <v>10669</v>
      </c>
      <c r="Q70" t="n">
        <v>4827</v>
      </c>
    </row>
    <row r="71">
      <c r="A71" s="135" t="n">
        <v>35704</v>
      </c>
      <c r="B71" t="n">
        <v>158269</v>
      </c>
      <c r="C71" t="n">
        <v>229836</v>
      </c>
      <c r="D71" t="n">
        <v>16232</v>
      </c>
      <c r="E71" t="n">
        <v>11881</v>
      </c>
      <c r="F71" t="n">
        <v>34348</v>
      </c>
      <c r="G71" t="n">
        <v>6572</v>
      </c>
      <c r="H71" t="n">
        <v>6154</v>
      </c>
      <c r="I71" t="n">
        <v>21758</v>
      </c>
      <c r="J71" t="n">
        <v>174980</v>
      </c>
      <c r="K71" t="n">
        <v>16711</v>
      </c>
      <c r="L71" t="n">
        <v>28155</v>
      </c>
      <c r="M71" t="n">
        <v>10058</v>
      </c>
      <c r="N71" t="n">
        <v>7704</v>
      </c>
      <c r="O71" t="n">
        <v>54856</v>
      </c>
      <c r="P71" t="n">
        <v>10529</v>
      </c>
      <c r="Q71" t="n">
        <v>4878</v>
      </c>
    </row>
    <row r="72">
      <c r="A72" s="135" t="n">
        <v>35735</v>
      </c>
      <c r="B72" t="n">
        <v>158488</v>
      </c>
      <c r="C72" t="n">
        <v>230440</v>
      </c>
      <c r="D72" t="n">
        <v>16158</v>
      </c>
      <c r="E72" t="n">
        <v>11936</v>
      </c>
      <c r="F72" t="n">
        <v>34230</v>
      </c>
      <c r="G72" t="n">
        <v>6628</v>
      </c>
      <c r="H72" t="n">
        <v>6267</v>
      </c>
      <c r="I72" t="n">
        <v>21504</v>
      </c>
      <c r="J72" t="n">
        <v>175126</v>
      </c>
      <c r="K72" t="n">
        <v>16638</v>
      </c>
      <c r="L72" t="n">
        <v>28151</v>
      </c>
      <c r="M72" t="n">
        <v>10217</v>
      </c>
      <c r="N72" t="n">
        <v>7707</v>
      </c>
      <c r="O72" t="n">
        <v>55314</v>
      </c>
      <c r="P72" t="n">
        <v>10675</v>
      </c>
      <c r="Q72" t="n">
        <v>5015</v>
      </c>
    </row>
    <row r="73">
      <c r="A73" s="135" t="n">
        <v>35765</v>
      </c>
      <c r="B73" t="n">
        <v>158882</v>
      </c>
      <c r="C73" t="n">
        <v>231181</v>
      </c>
      <c r="D73" t="n">
        <v>16356</v>
      </c>
      <c r="E73" t="n">
        <v>12110</v>
      </c>
      <c r="F73" t="n">
        <v>34190</v>
      </c>
      <c r="G73" t="n">
        <v>6659</v>
      </c>
      <c r="H73" t="n">
        <v>6290</v>
      </c>
      <c r="I73" t="n">
        <v>21818</v>
      </c>
      <c r="J73" t="n">
        <v>175418</v>
      </c>
      <c r="K73" t="n">
        <v>16536</v>
      </c>
      <c r="L73" t="n">
        <v>28008</v>
      </c>
      <c r="M73" t="n">
        <v>10201</v>
      </c>
      <c r="N73" t="n">
        <v>7845</v>
      </c>
      <c r="O73" t="n">
        <v>55763</v>
      </c>
      <c r="P73" t="n">
        <v>10490</v>
      </c>
      <c r="Q73" t="n">
        <v>4915</v>
      </c>
    </row>
    <row r="74">
      <c r="A74" s="135" t="n">
        <v>35796</v>
      </c>
      <c r="B74" t="n">
        <v>159868</v>
      </c>
      <c r="C74" t="n">
        <v>231587</v>
      </c>
      <c r="D74" t="n">
        <v>16436</v>
      </c>
      <c r="E74" t="n">
        <v>12154</v>
      </c>
      <c r="F74" t="n">
        <v>34126</v>
      </c>
      <c r="G74" t="n">
        <v>6776</v>
      </c>
      <c r="H74" t="n">
        <v>6377</v>
      </c>
      <c r="I74" t="n">
        <v>21921</v>
      </c>
      <c r="J74" t="n">
        <v>176093</v>
      </c>
      <c r="K74" t="n">
        <v>16225</v>
      </c>
      <c r="L74" t="n">
        <v>28402</v>
      </c>
      <c r="M74" t="n">
        <v>10382</v>
      </c>
      <c r="N74" t="n">
        <v>8070</v>
      </c>
      <c r="O74" t="n">
        <v>55494</v>
      </c>
      <c r="P74" t="n">
        <v>10390</v>
      </c>
      <c r="Q74" t="n">
        <v>4834</v>
      </c>
    </row>
    <row r="75">
      <c r="A75" s="135" t="n">
        <v>35827</v>
      </c>
      <c r="B75" t="n">
        <v>160789</v>
      </c>
      <c r="C75" t="n">
        <v>231684</v>
      </c>
      <c r="D75" t="n">
        <v>16462</v>
      </c>
      <c r="E75" t="n">
        <v>12199</v>
      </c>
      <c r="F75" t="n">
        <v>34102</v>
      </c>
      <c r="G75" t="n">
        <v>6797</v>
      </c>
      <c r="H75" t="n">
        <v>6342</v>
      </c>
      <c r="I75" t="n">
        <v>22132</v>
      </c>
      <c r="J75" t="n">
        <v>176843</v>
      </c>
      <c r="K75" t="n">
        <v>16054</v>
      </c>
      <c r="L75" t="n">
        <v>28748</v>
      </c>
      <c r="M75" t="n">
        <v>10406</v>
      </c>
      <c r="N75" t="n">
        <v>7948</v>
      </c>
      <c r="O75" t="n">
        <v>54841</v>
      </c>
      <c r="P75" t="n">
        <v>10626</v>
      </c>
      <c r="Q75" t="n">
        <v>5027</v>
      </c>
    </row>
    <row r="76">
      <c r="A76" s="135" t="n">
        <v>35855</v>
      </c>
      <c r="B76" t="n">
        <v>161245</v>
      </c>
      <c r="C76" t="n">
        <v>233083</v>
      </c>
      <c r="D76" t="n">
        <v>16511</v>
      </c>
      <c r="E76" t="n">
        <v>12164</v>
      </c>
      <c r="F76" t="n">
        <v>34275</v>
      </c>
      <c r="G76" t="n">
        <v>6788</v>
      </c>
      <c r="H76" t="n">
        <v>6340</v>
      </c>
      <c r="I76" t="n">
        <v>22251</v>
      </c>
      <c r="J76" t="n">
        <v>176948</v>
      </c>
      <c r="K76" t="n">
        <v>15703</v>
      </c>
      <c r="L76" t="n">
        <v>28714</v>
      </c>
      <c r="M76" t="n">
        <v>10393</v>
      </c>
      <c r="N76" t="n">
        <v>7957</v>
      </c>
      <c r="O76" t="n">
        <v>56135</v>
      </c>
      <c r="P76" t="n">
        <v>10844</v>
      </c>
      <c r="Q76" t="n">
        <v>5008</v>
      </c>
    </row>
    <row r="77">
      <c r="A77" s="135" t="n">
        <v>35886</v>
      </c>
      <c r="B77" t="n">
        <v>162724</v>
      </c>
      <c r="C77" t="n">
        <v>235986</v>
      </c>
      <c r="D77" t="n">
        <v>16716</v>
      </c>
      <c r="E77" t="n">
        <v>12459</v>
      </c>
      <c r="F77" t="n">
        <v>34374</v>
      </c>
      <c r="G77" t="n">
        <v>6766</v>
      </c>
      <c r="H77" t="n">
        <v>6369</v>
      </c>
      <c r="I77" t="n">
        <v>22353</v>
      </c>
      <c r="J77" t="n">
        <v>178522</v>
      </c>
      <c r="K77" t="n">
        <v>15798</v>
      </c>
      <c r="L77" t="n">
        <v>29123</v>
      </c>
      <c r="M77" t="n">
        <v>10620</v>
      </c>
      <c r="N77" t="n">
        <v>7916</v>
      </c>
      <c r="O77" t="n">
        <v>57464</v>
      </c>
      <c r="P77" t="n">
        <v>10992</v>
      </c>
      <c r="Q77" t="n">
        <v>5036</v>
      </c>
    </row>
    <row r="78">
      <c r="A78" s="135" t="n">
        <v>35916</v>
      </c>
      <c r="B78" t="n">
        <v>163136</v>
      </c>
      <c r="C78" t="n">
        <v>237075</v>
      </c>
      <c r="D78" t="n">
        <v>16741</v>
      </c>
      <c r="E78" t="n">
        <v>12304</v>
      </c>
      <c r="F78" t="n">
        <v>34534</v>
      </c>
      <c r="G78" t="n">
        <v>6829</v>
      </c>
      <c r="H78" t="n">
        <v>6359</v>
      </c>
      <c r="I78" t="n">
        <v>22436</v>
      </c>
      <c r="J78" t="n">
        <v>179193</v>
      </c>
      <c r="K78" t="n">
        <v>16057</v>
      </c>
      <c r="L78" t="n">
        <v>29076</v>
      </c>
      <c r="M78" t="n">
        <v>10645</v>
      </c>
      <c r="N78" t="n">
        <v>8037</v>
      </c>
      <c r="O78" t="n">
        <v>57882</v>
      </c>
      <c r="P78" t="n">
        <v>11189</v>
      </c>
      <c r="Q78" t="n">
        <v>4986</v>
      </c>
    </row>
    <row r="79">
      <c r="A79" s="135" t="n">
        <v>35947</v>
      </c>
      <c r="B79" t="n">
        <v>163774</v>
      </c>
      <c r="C79" t="n">
        <v>238971</v>
      </c>
      <c r="D79" t="n">
        <v>16662</v>
      </c>
      <c r="E79" t="n">
        <v>12447</v>
      </c>
      <c r="F79" t="n">
        <v>34592</v>
      </c>
      <c r="G79" t="n">
        <v>6921</v>
      </c>
      <c r="H79" t="n">
        <v>6426</v>
      </c>
      <c r="I79" t="n">
        <v>22634</v>
      </c>
      <c r="J79" t="n">
        <v>179707</v>
      </c>
      <c r="K79" t="n">
        <v>15933</v>
      </c>
      <c r="L79" t="n">
        <v>29170</v>
      </c>
      <c r="M79" t="n">
        <v>10672</v>
      </c>
      <c r="N79" t="n">
        <v>8064</v>
      </c>
      <c r="O79" t="n">
        <v>59264</v>
      </c>
      <c r="P79" t="n">
        <v>11103</v>
      </c>
      <c r="Q79" t="n">
        <v>5083</v>
      </c>
    </row>
    <row r="80">
      <c r="A80" s="135" t="n">
        <v>35977</v>
      </c>
      <c r="B80" t="n">
        <v>165004</v>
      </c>
      <c r="C80" t="n">
        <v>237411</v>
      </c>
      <c r="D80" t="n">
        <v>16819</v>
      </c>
      <c r="E80" t="n">
        <v>12559</v>
      </c>
      <c r="F80" t="n">
        <v>34856</v>
      </c>
      <c r="G80" t="n">
        <v>6960</v>
      </c>
      <c r="H80" t="n">
        <v>6447</v>
      </c>
      <c r="I80" t="n">
        <v>22570</v>
      </c>
      <c r="J80" t="n">
        <v>181091</v>
      </c>
      <c r="K80" t="n">
        <v>16087</v>
      </c>
      <c r="L80" t="n">
        <v>29113</v>
      </c>
      <c r="M80" t="n">
        <v>10828</v>
      </c>
      <c r="N80" t="n">
        <v>8240</v>
      </c>
      <c r="O80" t="n">
        <v>56320</v>
      </c>
      <c r="P80" t="n">
        <v>11580</v>
      </c>
      <c r="Q80" t="n">
        <v>5032</v>
      </c>
    </row>
    <row r="81">
      <c r="A81" s="135" t="n">
        <v>36008</v>
      </c>
      <c r="B81" t="n">
        <v>165531</v>
      </c>
      <c r="C81" t="n">
        <v>236379</v>
      </c>
      <c r="D81" t="n">
        <v>16828</v>
      </c>
      <c r="E81" t="n">
        <v>12460</v>
      </c>
      <c r="F81" t="n">
        <v>34950</v>
      </c>
      <c r="G81" t="n">
        <v>7047</v>
      </c>
      <c r="H81" t="n">
        <v>6444</v>
      </c>
      <c r="I81" t="n">
        <v>22743</v>
      </c>
      <c r="J81" t="n">
        <v>181382</v>
      </c>
      <c r="K81" t="n">
        <v>15851</v>
      </c>
      <c r="L81" t="n">
        <v>29274</v>
      </c>
      <c r="M81" t="n">
        <v>11019</v>
      </c>
      <c r="N81" t="n">
        <v>8334</v>
      </c>
      <c r="O81" t="n">
        <v>54997</v>
      </c>
      <c r="P81" t="n">
        <v>11375</v>
      </c>
      <c r="Q81" t="n">
        <v>5057</v>
      </c>
    </row>
    <row r="82">
      <c r="A82" s="135" t="n">
        <v>36039</v>
      </c>
      <c r="B82" t="n">
        <v>165542</v>
      </c>
      <c r="C82" t="n">
        <v>238550</v>
      </c>
      <c r="D82" t="n">
        <v>16972</v>
      </c>
      <c r="E82" t="n">
        <v>12180</v>
      </c>
      <c r="F82" t="n">
        <v>34916</v>
      </c>
      <c r="G82" t="n">
        <v>6954</v>
      </c>
      <c r="H82" t="n">
        <v>6419</v>
      </c>
      <c r="I82" t="n">
        <v>22830</v>
      </c>
      <c r="J82" t="n">
        <v>181354</v>
      </c>
      <c r="K82" t="n">
        <v>15812</v>
      </c>
      <c r="L82" t="n">
        <v>29559</v>
      </c>
      <c r="M82" t="n">
        <v>10985</v>
      </c>
      <c r="N82" t="n">
        <v>8378</v>
      </c>
      <c r="O82" t="n">
        <v>57196</v>
      </c>
      <c r="P82" t="n">
        <v>11302</v>
      </c>
      <c r="Q82" t="n">
        <v>5047</v>
      </c>
    </row>
    <row r="83">
      <c r="A83" s="135" t="n">
        <v>36069</v>
      </c>
      <c r="B83" t="n">
        <v>167307</v>
      </c>
      <c r="C83" t="n">
        <v>242549</v>
      </c>
      <c r="D83" t="n">
        <v>17209</v>
      </c>
      <c r="E83" t="n">
        <v>12540</v>
      </c>
      <c r="F83" t="n">
        <v>35093</v>
      </c>
      <c r="G83" t="n">
        <v>6940</v>
      </c>
      <c r="H83" t="n">
        <v>6504</v>
      </c>
      <c r="I83" t="n">
        <v>23066</v>
      </c>
      <c r="J83" t="n">
        <v>183255</v>
      </c>
      <c r="K83" t="n">
        <v>15948</v>
      </c>
      <c r="L83" t="n">
        <v>29720</v>
      </c>
      <c r="M83" t="n">
        <v>11106</v>
      </c>
      <c r="N83" t="n">
        <v>8444</v>
      </c>
      <c r="O83" t="n">
        <v>59294</v>
      </c>
      <c r="P83" t="n">
        <v>11577</v>
      </c>
      <c r="Q83" t="n">
        <v>5108</v>
      </c>
    </row>
    <row r="84">
      <c r="A84" s="135" t="n">
        <v>36100</v>
      </c>
      <c r="B84" t="n">
        <v>168460</v>
      </c>
      <c r="C84" t="n">
        <v>244291</v>
      </c>
      <c r="D84" t="n">
        <v>17341</v>
      </c>
      <c r="E84" t="n">
        <v>12736</v>
      </c>
      <c r="F84" t="n">
        <v>35140</v>
      </c>
      <c r="G84" t="n">
        <v>7000</v>
      </c>
      <c r="H84" t="n">
        <v>6666</v>
      </c>
      <c r="I84" t="n">
        <v>23157</v>
      </c>
      <c r="J84" t="n">
        <v>184474</v>
      </c>
      <c r="K84" t="n">
        <v>16014</v>
      </c>
      <c r="L84" t="n">
        <v>30094</v>
      </c>
      <c r="M84" t="n">
        <v>11232</v>
      </c>
      <c r="N84" t="n">
        <v>8448</v>
      </c>
      <c r="O84" t="n">
        <v>59817</v>
      </c>
      <c r="P84" t="n">
        <v>11553</v>
      </c>
      <c r="Q84" t="n">
        <v>5093</v>
      </c>
    </row>
    <row r="85">
      <c r="A85" s="135" t="n">
        <v>36130</v>
      </c>
      <c r="B85" t="n">
        <v>169658</v>
      </c>
      <c r="C85" t="n">
        <v>246530</v>
      </c>
      <c r="D85" t="n">
        <v>17702</v>
      </c>
      <c r="E85" t="n">
        <v>12746</v>
      </c>
      <c r="F85" t="n">
        <v>35533</v>
      </c>
      <c r="G85" t="n">
        <v>6964</v>
      </c>
      <c r="H85" t="n">
        <v>6687</v>
      </c>
      <c r="I85" t="n">
        <v>23351</v>
      </c>
      <c r="J85" t="n">
        <v>186057</v>
      </c>
      <c r="K85" t="n">
        <v>16399</v>
      </c>
      <c r="L85" t="n">
        <v>30129</v>
      </c>
      <c r="M85" t="n">
        <v>11311</v>
      </c>
      <c r="N85" t="n">
        <v>8622</v>
      </c>
      <c r="O85" t="n">
        <v>60473</v>
      </c>
      <c r="P85" t="n">
        <v>11459</v>
      </c>
      <c r="Q85" t="n">
        <v>5154</v>
      </c>
    </row>
    <row r="86">
      <c r="A86" s="135" t="n">
        <v>36161</v>
      </c>
      <c r="B86" t="n">
        <v>169939</v>
      </c>
      <c r="C86" t="n">
        <v>246868</v>
      </c>
      <c r="D86" t="n">
        <v>17732</v>
      </c>
      <c r="E86" t="n">
        <v>12897</v>
      </c>
      <c r="F86" t="n">
        <v>35447</v>
      </c>
      <c r="G86" t="n">
        <v>7000</v>
      </c>
      <c r="H86" t="n">
        <v>6617</v>
      </c>
      <c r="I86" t="n">
        <v>22871</v>
      </c>
      <c r="J86" t="n">
        <v>186333</v>
      </c>
      <c r="K86" t="n">
        <v>16394</v>
      </c>
      <c r="L86" t="n">
        <v>30664</v>
      </c>
      <c r="M86" t="n">
        <v>11415</v>
      </c>
      <c r="N86" t="n">
        <v>8454</v>
      </c>
      <c r="O86" t="n">
        <v>60535</v>
      </c>
      <c r="P86" t="n">
        <v>11720</v>
      </c>
      <c r="Q86" t="n">
        <v>5122</v>
      </c>
    </row>
    <row r="87">
      <c r="A87" s="135" t="n">
        <v>36192</v>
      </c>
      <c r="B87" t="n">
        <v>171951</v>
      </c>
      <c r="C87" t="n">
        <v>249520</v>
      </c>
      <c r="D87" t="n">
        <v>17943</v>
      </c>
      <c r="E87" t="n">
        <v>12920</v>
      </c>
      <c r="F87" t="n">
        <v>35707</v>
      </c>
      <c r="G87" t="n">
        <v>7024</v>
      </c>
      <c r="H87" t="n">
        <v>6767</v>
      </c>
      <c r="I87" t="n">
        <v>23270</v>
      </c>
      <c r="J87" t="n">
        <v>188260</v>
      </c>
      <c r="K87" t="n">
        <v>16309</v>
      </c>
      <c r="L87" t="n">
        <v>31094</v>
      </c>
      <c r="M87" t="n">
        <v>11498</v>
      </c>
      <c r="N87" t="n">
        <v>8615</v>
      </c>
      <c r="O87" t="n">
        <v>61260</v>
      </c>
      <c r="P87" t="n">
        <v>11821</v>
      </c>
      <c r="Q87" t="n">
        <v>5292</v>
      </c>
    </row>
    <row r="88">
      <c r="A88" s="135" t="n">
        <v>36220</v>
      </c>
      <c r="B88" t="n">
        <v>172497</v>
      </c>
      <c r="C88" t="n">
        <v>250667</v>
      </c>
      <c r="D88" t="n">
        <v>17760</v>
      </c>
      <c r="E88" t="n">
        <v>13075</v>
      </c>
      <c r="F88" t="n">
        <v>35652</v>
      </c>
      <c r="G88" t="n">
        <v>7116</v>
      </c>
      <c r="H88" t="n">
        <v>6831</v>
      </c>
      <c r="I88" t="n">
        <v>23250</v>
      </c>
      <c r="J88" t="n">
        <v>189026</v>
      </c>
      <c r="K88" t="n">
        <v>16529</v>
      </c>
      <c r="L88" t="n">
        <v>31390</v>
      </c>
      <c r="M88" t="n">
        <v>11595</v>
      </c>
      <c r="N88" t="n">
        <v>8503</v>
      </c>
      <c r="O88" t="n">
        <v>61641</v>
      </c>
      <c r="P88" t="n">
        <v>12052</v>
      </c>
      <c r="Q88" t="n">
        <v>5273</v>
      </c>
    </row>
    <row r="89">
      <c r="A89" s="135" t="n">
        <v>36251</v>
      </c>
      <c r="B89" t="n">
        <v>173212</v>
      </c>
      <c r="C89" t="n">
        <v>252477</v>
      </c>
      <c r="D89" t="n">
        <v>17791</v>
      </c>
      <c r="E89" t="n">
        <v>13139</v>
      </c>
      <c r="F89" t="n">
        <v>36013</v>
      </c>
      <c r="G89" t="n">
        <v>7195</v>
      </c>
      <c r="H89" t="n">
        <v>6794</v>
      </c>
      <c r="I89" t="n">
        <v>23440</v>
      </c>
      <c r="J89" t="n">
        <v>190327</v>
      </c>
      <c r="K89" t="n">
        <v>17115</v>
      </c>
      <c r="L89" t="n">
        <v>31009</v>
      </c>
      <c r="M89" t="n">
        <v>11619</v>
      </c>
      <c r="N89" t="n">
        <v>8590</v>
      </c>
      <c r="O89" t="n">
        <v>62150</v>
      </c>
      <c r="P89" t="n">
        <v>12345</v>
      </c>
      <c r="Q89" t="n">
        <v>5277</v>
      </c>
    </row>
    <row r="90">
      <c r="A90" s="135" t="n">
        <v>36281</v>
      </c>
      <c r="B90" t="n">
        <v>174338</v>
      </c>
      <c r="C90" t="n">
        <v>254735</v>
      </c>
      <c r="D90" t="n">
        <v>17914</v>
      </c>
      <c r="E90" t="n">
        <v>13373</v>
      </c>
      <c r="F90" t="n">
        <v>36060</v>
      </c>
      <c r="G90" t="n">
        <v>7230</v>
      </c>
      <c r="H90" t="n">
        <v>6884</v>
      </c>
      <c r="I90" t="n">
        <v>23500</v>
      </c>
      <c r="J90" t="n">
        <v>191524</v>
      </c>
      <c r="K90" t="n">
        <v>17186</v>
      </c>
      <c r="L90" t="n">
        <v>31165</v>
      </c>
      <c r="M90" t="n">
        <v>11741</v>
      </c>
      <c r="N90" t="n">
        <v>8585</v>
      </c>
      <c r="O90" t="n">
        <v>63211</v>
      </c>
      <c r="P90" t="n">
        <v>12558</v>
      </c>
      <c r="Q90" t="n">
        <v>5328</v>
      </c>
    </row>
    <row r="91">
      <c r="A91" s="135" t="n">
        <v>36312</v>
      </c>
      <c r="B91" t="n">
        <v>174927</v>
      </c>
      <c r="C91" t="n">
        <v>255449</v>
      </c>
      <c r="D91" t="n">
        <v>17969</v>
      </c>
      <c r="E91" t="n">
        <v>13373</v>
      </c>
      <c r="F91" t="n">
        <v>35872</v>
      </c>
      <c r="G91" t="n">
        <v>7286</v>
      </c>
      <c r="H91" t="n">
        <v>6986</v>
      </c>
      <c r="I91" t="n">
        <v>23546</v>
      </c>
      <c r="J91" t="n">
        <v>191997</v>
      </c>
      <c r="K91" t="n">
        <v>17070</v>
      </c>
      <c r="L91" t="n">
        <v>31652</v>
      </c>
      <c r="M91" t="n">
        <v>11837</v>
      </c>
      <c r="N91" t="n">
        <v>8481</v>
      </c>
      <c r="O91" t="n">
        <v>63452</v>
      </c>
      <c r="P91" t="n">
        <v>12558</v>
      </c>
      <c r="Q91" t="n">
        <v>5367</v>
      </c>
    </row>
    <row r="92">
      <c r="A92" s="135" t="n">
        <v>36342</v>
      </c>
      <c r="B92" t="n">
        <v>175243</v>
      </c>
      <c r="C92" t="n">
        <v>257456</v>
      </c>
      <c r="D92" t="n">
        <v>18183</v>
      </c>
      <c r="E92" t="n">
        <v>13270</v>
      </c>
      <c r="F92" t="n">
        <v>36126</v>
      </c>
      <c r="G92" t="n">
        <v>7378</v>
      </c>
      <c r="H92" t="n">
        <v>6954</v>
      </c>
      <c r="I92" t="n">
        <v>23508</v>
      </c>
      <c r="J92" t="n">
        <v>192947</v>
      </c>
      <c r="K92" t="n">
        <v>17704</v>
      </c>
      <c r="L92" t="n">
        <v>31549</v>
      </c>
      <c r="M92" t="n">
        <v>11857</v>
      </c>
      <c r="N92" t="n">
        <v>8350</v>
      </c>
      <c r="O92" t="n">
        <v>64509</v>
      </c>
      <c r="P92" t="n">
        <v>12742</v>
      </c>
      <c r="Q92" t="n">
        <v>5326</v>
      </c>
    </row>
    <row r="93">
      <c r="A93" s="135" t="n">
        <v>36373</v>
      </c>
      <c r="B93" t="n">
        <v>176382</v>
      </c>
      <c r="C93" t="n">
        <v>260230</v>
      </c>
      <c r="D93" t="n">
        <v>18341</v>
      </c>
      <c r="E93" t="n">
        <v>13404</v>
      </c>
      <c r="F93" t="n">
        <v>36117</v>
      </c>
      <c r="G93" t="n">
        <v>7281</v>
      </c>
      <c r="H93" t="n">
        <v>7147</v>
      </c>
      <c r="I93" t="n">
        <v>23664</v>
      </c>
      <c r="J93" t="n">
        <v>194517</v>
      </c>
      <c r="K93" t="n">
        <v>18135</v>
      </c>
      <c r="L93" t="n">
        <v>31806</v>
      </c>
      <c r="M93" t="n">
        <v>11848</v>
      </c>
      <c r="N93" t="n">
        <v>8519</v>
      </c>
      <c r="O93" t="n">
        <v>65713</v>
      </c>
      <c r="P93" t="n">
        <v>12965</v>
      </c>
      <c r="Q93" t="n">
        <v>5290</v>
      </c>
    </row>
    <row r="94">
      <c r="A94" s="135" t="n">
        <v>36404</v>
      </c>
      <c r="B94" t="n">
        <v>177828</v>
      </c>
      <c r="C94" t="n">
        <v>261317</v>
      </c>
      <c r="D94" t="n">
        <v>18175</v>
      </c>
      <c r="E94" t="n">
        <v>13381</v>
      </c>
      <c r="F94" t="n">
        <v>36411</v>
      </c>
      <c r="G94" t="n">
        <v>7410</v>
      </c>
      <c r="H94" t="n">
        <v>7292</v>
      </c>
      <c r="I94" t="n">
        <v>23836</v>
      </c>
      <c r="J94" t="n">
        <v>196167</v>
      </c>
      <c r="K94" t="n">
        <v>18339</v>
      </c>
      <c r="L94" t="n">
        <v>32152</v>
      </c>
      <c r="M94" t="n">
        <v>11993</v>
      </c>
      <c r="N94" t="n">
        <v>8597</v>
      </c>
      <c r="O94" t="n">
        <v>65150</v>
      </c>
      <c r="P94" t="n">
        <v>13196</v>
      </c>
      <c r="Q94" t="n">
        <v>5385</v>
      </c>
    </row>
    <row r="95">
      <c r="A95" s="135" t="n">
        <v>36434</v>
      </c>
      <c r="B95" t="n">
        <v>178667</v>
      </c>
      <c r="C95" t="n">
        <v>261818</v>
      </c>
      <c r="D95" t="n">
        <v>18606</v>
      </c>
      <c r="E95" t="n">
        <v>13400</v>
      </c>
      <c r="F95" t="n">
        <v>36271</v>
      </c>
      <c r="G95" t="n">
        <v>7400</v>
      </c>
      <c r="H95" t="n">
        <v>7324</v>
      </c>
      <c r="I95" t="n">
        <v>24265</v>
      </c>
      <c r="J95" t="n">
        <v>197299</v>
      </c>
      <c r="K95" t="n">
        <v>18632</v>
      </c>
      <c r="L95" t="n">
        <v>32085</v>
      </c>
      <c r="M95" t="n">
        <v>12155</v>
      </c>
      <c r="N95" t="n">
        <v>8661</v>
      </c>
      <c r="O95" t="n">
        <v>64519</v>
      </c>
      <c r="P95" t="n">
        <v>13127</v>
      </c>
      <c r="Q95" t="n">
        <v>5373</v>
      </c>
    </row>
    <row r="96">
      <c r="A96" s="135" t="n">
        <v>36465</v>
      </c>
      <c r="B96" t="n">
        <v>179704</v>
      </c>
      <c r="C96" t="n">
        <v>264965</v>
      </c>
      <c r="D96" t="n">
        <v>18944</v>
      </c>
      <c r="E96" t="n">
        <v>13416</v>
      </c>
      <c r="F96" t="n">
        <v>36300</v>
      </c>
      <c r="G96" t="n">
        <v>7350</v>
      </c>
      <c r="H96" t="n">
        <v>7272</v>
      </c>
      <c r="I96" t="n">
        <v>24421</v>
      </c>
      <c r="J96" t="n">
        <v>198696</v>
      </c>
      <c r="K96" t="n">
        <v>18992</v>
      </c>
      <c r="L96" t="n">
        <v>32161</v>
      </c>
      <c r="M96" t="n">
        <v>12258</v>
      </c>
      <c r="N96" t="n">
        <v>9058</v>
      </c>
      <c r="O96" t="n">
        <v>66269</v>
      </c>
      <c r="P96" t="n">
        <v>13110</v>
      </c>
      <c r="Q96" t="n">
        <v>5414</v>
      </c>
    </row>
    <row r="97">
      <c r="A97" s="135" t="n">
        <v>36495</v>
      </c>
      <c r="B97" t="n">
        <v>183859</v>
      </c>
      <c r="C97" t="n">
        <v>269863</v>
      </c>
      <c r="D97" t="n">
        <v>19125</v>
      </c>
      <c r="E97" t="n">
        <v>13573</v>
      </c>
      <c r="F97" t="n">
        <v>37665</v>
      </c>
      <c r="G97" t="n">
        <v>7498</v>
      </c>
      <c r="H97" t="n">
        <v>7246</v>
      </c>
      <c r="I97" t="n">
        <v>24378</v>
      </c>
      <c r="J97" t="n">
        <v>203954</v>
      </c>
      <c r="K97" t="n">
        <v>20095</v>
      </c>
      <c r="L97" t="n">
        <v>33101</v>
      </c>
      <c r="M97" t="n">
        <v>12801</v>
      </c>
      <c r="N97" t="n">
        <v>9489</v>
      </c>
      <c r="O97" t="n">
        <v>65909</v>
      </c>
      <c r="P97" t="n">
        <v>13528</v>
      </c>
      <c r="Q97" t="n">
        <v>5455</v>
      </c>
    </row>
    <row r="98">
      <c r="A98" s="135" t="n">
        <v>36526</v>
      </c>
      <c r="B98" t="n">
        <v>181007</v>
      </c>
      <c r="C98" t="n">
        <v>268044</v>
      </c>
      <c r="D98" t="n">
        <v>19613</v>
      </c>
      <c r="E98" t="n">
        <v>13301</v>
      </c>
      <c r="F98" t="n">
        <v>35613</v>
      </c>
      <c r="G98" t="n">
        <v>7605</v>
      </c>
      <c r="H98" t="n">
        <v>7484</v>
      </c>
      <c r="I98" t="n">
        <v>24608</v>
      </c>
      <c r="J98" t="n">
        <v>200365</v>
      </c>
      <c r="K98" t="n">
        <v>19358</v>
      </c>
      <c r="L98" t="n">
        <v>32179</v>
      </c>
      <c r="M98" t="n">
        <v>12381</v>
      </c>
      <c r="N98" t="n">
        <v>9136</v>
      </c>
      <c r="O98" t="n">
        <v>67679</v>
      </c>
      <c r="P98" t="n">
        <v>13855</v>
      </c>
      <c r="Q98" t="n">
        <v>5232</v>
      </c>
    </row>
    <row r="99">
      <c r="A99" s="135" t="n">
        <v>36557</v>
      </c>
      <c r="B99" t="n">
        <v>182721</v>
      </c>
      <c r="C99" t="n">
        <v>272020</v>
      </c>
      <c r="D99" t="n">
        <v>19193</v>
      </c>
      <c r="E99" t="n">
        <v>13532</v>
      </c>
      <c r="F99" t="n">
        <v>35980</v>
      </c>
      <c r="G99" t="n">
        <v>7674</v>
      </c>
      <c r="H99" t="n">
        <v>7548</v>
      </c>
      <c r="I99" t="n">
        <v>24887</v>
      </c>
      <c r="J99" t="n">
        <v>202935</v>
      </c>
      <c r="K99" t="n">
        <v>20214</v>
      </c>
      <c r="L99" t="n">
        <v>32576</v>
      </c>
      <c r="M99" t="n">
        <v>12386</v>
      </c>
      <c r="N99" t="n">
        <v>9163</v>
      </c>
      <c r="O99" t="n">
        <v>69085</v>
      </c>
      <c r="P99" t="n">
        <v>14241</v>
      </c>
      <c r="Q99" t="n">
        <v>5541</v>
      </c>
    </row>
    <row r="100">
      <c r="A100" s="135" t="n">
        <v>36586</v>
      </c>
      <c r="B100" t="n">
        <v>185940</v>
      </c>
      <c r="C100" t="n">
        <v>275192</v>
      </c>
      <c r="D100" t="n">
        <v>20175</v>
      </c>
      <c r="E100" t="n">
        <v>13818</v>
      </c>
      <c r="F100" t="n">
        <v>36559</v>
      </c>
      <c r="G100" t="n">
        <v>7652</v>
      </c>
      <c r="H100" t="n">
        <v>7599</v>
      </c>
      <c r="I100" t="n">
        <v>25367</v>
      </c>
      <c r="J100" t="n">
        <v>206759</v>
      </c>
      <c r="K100" t="n">
        <v>20819</v>
      </c>
      <c r="L100" t="n">
        <v>33105</v>
      </c>
      <c r="M100" t="n">
        <v>12580</v>
      </c>
      <c r="N100" t="n">
        <v>9189</v>
      </c>
      <c r="O100" t="n">
        <v>68433</v>
      </c>
      <c r="P100" t="n">
        <v>14261</v>
      </c>
      <c r="Q100" t="n">
        <v>5635</v>
      </c>
    </row>
    <row r="101">
      <c r="A101" s="135" t="n">
        <v>36617</v>
      </c>
      <c r="B101" t="n">
        <v>185327</v>
      </c>
      <c r="C101" t="n">
        <v>271046</v>
      </c>
      <c r="D101" t="n">
        <v>18986</v>
      </c>
      <c r="E101" t="n">
        <v>13801</v>
      </c>
      <c r="F101" t="n">
        <v>37008</v>
      </c>
      <c r="G101" t="n">
        <v>7813</v>
      </c>
      <c r="H101" t="n">
        <v>7729</v>
      </c>
      <c r="I101" t="n">
        <v>25215</v>
      </c>
      <c r="J101" t="n">
        <v>205234</v>
      </c>
      <c r="K101" t="n">
        <v>19907</v>
      </c>
      <c r="L101" t="n">
        <v>32879</v>
      </c>
      <c r="M101" t="n">
        <v>12733</v>
      </c>
      <c r="N101" t="n">
        <v>9056</v>
      </c>
      <c r="O101" t="n">
        <v>65812</v>
      </c>
      <c r="P101" t="n">
        <v>14458</v>
      </c>
      <c r="Q101" t="n">
        <v>5649</v>
      </c>
    </row>
    <row r="102">
      <c r="A102" s="135" t="n">
        <v>36647</v>
      </c>
      <c r="B102" t="n">
        <v>185371</v>
      </c>
      <c r="C102" t="n">
        <v>271394</v>
      </c>
      <c r="D102" t="n">
        <v>18941</v>
      </c>
      <c r="E102" t="n">
        <v>14027</v>
      </c>
      <c r="F102" t="n">
        <v>36717</v>
      </c>
      <c r="G102" t="n">
        <v>7611</v>
      </c>
      <c r="H102" t="n">
        <v>7673</v>
      </c>
      <c r="I102" t="n">
        <v>25193</v>
      </c>
      <c r="J102" t="n">
        <v>205613</v>
      </c>
      <c r="K102" t="n">
        <v>20242</v>
      </c>
      <c r="L102" t="n">
        <v>33339</v>
      </c>
      <c r="M102" t="n">
        <v>12814</v>
      </c>
      <c r="N102" t="n">
        <v>8760</v>
      </c>
      <c r="O102" t="n">
        <v>65781</v>
      </c>
      <c r="P102" t="n">
        <v>14539</v>
      </c>
      <c r="Q102" t="n">
        <v>5757</v>
      </c>
    </row>
    <row r="103">
      <c r="A103" s="135" t="n">
        <v>36678</v>
      </c>
      <c r="B103" t="n">
        <v>185899</v>
      </c>
      <c r="C103" t="n">
        <v>273422</v>
      </c>
      <c r="D103" t="n">
        <v>18878</v>
      </c>
      <c r="E103" t="n">
        <v>13864</v>
      </c>
      <c r="F103" t="n">
        <v>37175</v>
      </c>
      <c r="G103" t="n">
        <v>7435</v>
      </c>
      <c r="H103" t="n">
        <v>7593</v>
      </c>
      <c r="I103" t="n">
        <v>25262</v>
      </c>
      <c r="J103" t="n">
        <v>206784</v>
      </c>
      <c r="K103" t="n">
        <v>20885</v>
      </c>
      <c r="L103" t="n">
        <v>33408</v>
      </c>
      <c r="M103" t="n">
        <v>12864</v>
      </c>
      <c r="N103" t="n">
        <v>8785</v>
      </c>
      <c r="O103" t="n">
        <v>66638</v>
      </c>
      <c r="P103" t="n">
        <v>14949</v>
      </c>
      <c r="Q103" t="n">
        <v>5686</v>
      </c>
    </row>
    <row r="104">
      <c r="A104" s="135" t="n">
        <v>36708</v>
      </c>
      <c r="B104" t="n">
        <v>186520</v>
      </c>
      <c r="C104" t="n">
        <v>272630</v>
      </c>
      <c r="D104" t="n">
        <v>18982</v>
      </c>
      <c r="E104" t="n">
        <v>13722</v>
      </c>
      <c r="F104" t="n">
        <v>37038</v>
      </c>
      <c r="G104" t="n">
        <v>7397</v>
      </c>
      <c r="H104" t="n">
        <v>7748</v>
      </c>
      <c r="I104" t="n">
        <v>25454</v>
      </c>
      <c r="J104" t="n">
        <v>207425</v>
      </c>
      <c r="K104" t="n">
        <v>20905</v>
      </c>
      <c r="L104" t="n">
        <v>33586</v>
      </c>
      <c r="M104" t="n">
        <v>12967</v>
      </c>
      <c r="N104" t="n">
        <v>8789</v>
      </c>
      <c r="O104" t="n">
        <v>65205</v>
      </c>
      <c r="P104" t="n">
        <v>15037</v>
      </c>
      <c r="Q104" t="n">
        <v>5800</v>
      </c>
    </row>
    <row r="105">
      <c r="A105" s="135" t="n">
        <v>36739</v>
      </c>
      <c r="B105" t="n">
        <v>187033</v>
      </c>
      <c r="C105" t="n">
        <v>272918</v>
      </c>
      <c r="D105" t="n">
        <v>18951</v>
      </c>
      <c r="E105" t="n">
        <v>14072</v>
      </c>
      <c r="F105" t="n">
        <v>37110</v>
      </c>
      <c r="G105" t="n">
        <v>7440</v>
      </c>
      <c r="H105" t="n">
        <v>7682</v>
      </c>
      <c r="I105" t="n">
        <v>25342</v>
      </c>
      <c r="J105" t="n">
        <v>207607</v>
      </c>
      <c r="K105" t="n">
        <v>20574</v>
      </c>
      <c r="L105" t="n">
        <v>33823</v>
      </c>
      <c r="M105" t="n">
        <v>13034</v>
      </c>
      <c r="N105" t="n">
        <v>8666</v>
      </c>
      <c r="O105" t="n">
        <v>65311</v>
      </c>
      <c r="P105" t="n">
        <v>15280</v>
      </c>
      <c r="Q105" t="n">
        <v>5633</v>
      </c>
    </row>
    <row r="106">
      <c r="A106" s="135" t="n">
        <v>36770</v>
      </c>
      <c r="B106" t="n">
        <v>189371</v>
      </c>
      <c r="C106" t="n">
        <v>277548</v>
      </c>
      <c r="D106" t="n">
        <v>18926</v>
      </c>
      <c r="E106" t="n">
        <v>14366</v>
      </c>
      <c r="F106" t="n">
        <v>37308</v>
      </c>
      <c r="G106" t="n">
        <v>7588</v>
      </c>
      <c r="H106" t="n">
        <v>7665</v>
      </c>
      <c r="I106" t="n">
        <v>25711</v>
      </c>
      <c r="J106" t="n">
        <v>210698</v>
      </c>
      <c r="K106" t="n">
        <v>21327</v>
      </c>
      <c r="L106" t="n">
        <v>34146</v>
      </c>
      <c r="M106" t="n">
        <v>13233</v>
      </c>
      <c r="N106" t="n">
        <v>8925</v>
      </c>
      <c r="O106" t="n">
        <v>66850</v>
      </c>
      <c r="P106" t="n">
        <v>15775</v>
      </c>
      <c r="Q106" t="n">
        <v>5728</v>
      </c>
    </row>
    <row r="107">
      <c r="A107" s="135" t="n">
        <v>36800</v>
      </c>
      <c r="B107" t="n">
        <v>189307</v>
      </c>
      <c r="C107" t="n">
        <v>276927</v>
      </c>
      <c r="D107" t="n">
        <v>18965</v>
      </c>
      <c r="E107" t="n">
        <v>14231</v>
      </c>
      <c r="F107" t="n">
        <v>37476</v>
      </c>
      <c r="G107" t="n">
        <v>7416</v>
      </c>
      <c r="H107" t="n">
        <v>7737</v>
      </c>
      <c r="I107" t="n">
        <v>25706</v>
      </c>
      <c r="J107" t="n">
        <v>210719</v>
      </c>
      <c r="K107" t="n">
        <v>21412</v>
      </c>
      <c r="L107" t="n">
        <v>34280</v>
      </c>
      <c r="M107" t="n">
        <v>13302</v>
      </c>
      <c r="N107" t="n">
        <v>8870</v>
      </c>
      <c r="O107" t="n">
        <v>66208</v>
      </c>
      <c r="P107" t="n">
        <v>15698</v>
      </c>
      <c r="Q107" t="n">
        <v>5626</v>
      </c>
    </row>
    <row r="108">
      <c r="A108" s="135" t="n">
        <v>36831</v>
      </c>
      <c r="B108" t="n">
        <v>189478</v>
      </c>
      <c r="C108" t="n">
        <v>276029</v>
      </c>
      <c r="D108" t="n">
        <v>18689</v>
      </c>
      <c r="E108" t="n">
        <v>14294</v>
      </c>
      <c r="F108" t="n">
        <v>37700</v>
      </c>
      <c r="G108" t="n">
        <v>7392</v>
      </c>
      <c r="H108" t="n">
        <v>7580</v>
      </c>
      <c r="I108" t="n">
        <v>25698</v>
      </c>
      <c r="J108" t="n">
        <v>211384</v>
      </c>
      <c r="K108" t="n">
        <v>21906</v>
      </c>
      <c r="L108" t="n">
        <v>34458</v>
      </c>
      <c r="M108" t="n">
        <v>13340</v>
      </c>
      <c r="N108" t="n">
        <v>8829</v>
      </c>
      <c r="O108" t="n">
        <v>64645</v>
      </c>
      <c r="P108" t="n">
        <v>15883</v>
      </c>
      <c r="Q108" t="n">
        <v>5615</v>
      </c>
    </row>
    <row r="109">
      <c r="A109" s="135" t="n">
        <v>36861</v>
      </c>
      <c r="B109" t="n">
        <v>190143</v>
      </c>
      <c r="C109" t="n">
        <v>275791</v>
      </c>
      <c r="D109" t="n">
        <v>19356</v>
      </c>
      <c r="E109" t="n">
        <v>14084</v>
      </c>
      <c r="F109" t="n">
        <v>38033</v>
      </c>
      <c r="G109" t="n">
        <v>7346</v>
      </c>
      <c r="H109" t="n">
        <v>7160</v>
      </c>
      <c r="I109" t="n">
        <v>25133</v>
      </c>
      <c r="J109" t="n">
        <v>212267</v>
      </c>
      <c r="K109" t="n">
        <v>22124</v>
      </c>
      <c r="L109" t="n">
        <v>34734</v>
      </c>
      <c r="M109" t="n">
        <v>13527</v>
      </c>
      <c r="N109" t="n">
        <v>8631</v>
      </c>
      <c r="O109" t="n">
        <v>63524</v>
      </c>
      <c r="P109" t="n">
        <v>16538</v>
      </c>
      <c r="Q109" t="n">
        <v>5601</v>
      </c>
    </row>
    <row r="110">
      <c r="A110" s="135" t="n">
        <v>36892</v>
      </c>
      <c r="B110" t="n">
        <v>190977</v>
      </c>
      <c r="C110" t="n">
        <v>278834</v>
      </c>
      <c r="D110" t="n">
        <v>19248</v>
      </c>
      <c r="E110" t="n">
        <v>14135</v>
      </c>
      <c r="F110" t="n">
        <v>37903</v>
      </c>
      <c r="G110" t="n">
        <v>7376</v>
      </c>
      <c r="H110" t="n">
        <v>7764</v>
      </c>
      <c r="I110" t="n">
        <v>26180</v>
      </c>
      <c r="J110" t="n">
        <v>212908</v>
      </c>
      <c r="K110" t="n">
        <v>21931</v>
      </c>
      <c r="L110" t="n">
        <v>35601</v>
      </c>
      <c r="M110" t="n">
        <v>13413</v>
      </c>
      <c r="N110" t="n">
        <v>8466</v>
      </c>
      <c r="O110" t="n">
        <v>65926</v>
      </c>
      <c r="P110" t="n">
        <v>15505</v>
      </c>
      <c r="Q110" t="n">
        <v>5386</v>
      </c>
    </row>
    <row r="111">
      <c r="A111" s="135" t="n">
        <v>36923</v>
      </c>
      <c r="B111" t="n">
        <v>190970</v>
      </c>
      <c r="C111" t="n">
        <v>278773</v>
      </c>
      <c r="D111" t="n">
        <v>19698</v>
      </c>
      <c r="E111" t="n">
        <v>14166</v>
      </c>
      <c r="F111" t="n">
        <v>38252</v>
      </c>
      <c r="G111" t="n">
        <v>7334</v>
      </c>
      <c r="H111" t="n">
        <v>7611</v>
      </c>
      <c r="I111" t="n">
        <v>26069</v>
      </c>
      <c r="J111" t="n">
        <v>212585</v>
      </c>
      <c r="K111" t="n">
        <v>21615</v>
      </c>
      <c r="L111" t="n">
        <v>34655</v>
      </c>
      <c r="M111" t="n">
        <v>13582</v>
      </c>
      <c r="N111" t="n">
        <v>8665</v>
      </c>
      <c r="O111" t="n">
        <v>66188</v>
      </c>
      <c r="P111" t="n">
        <v>15223</v>
      </c>
      <c r="Q111" t="n">
        <v>5715</v>
      </c>
    </row>
    <row r="112">
      <c r="A112" s="135" t="n">
        <v>36951</v>
      </c>
      <c r="B112" t="n">
        <v>190127</v>
      </c>
      <c r="C112" t="n">
        <v>276450</v>
      </c>
      <c r="D112" t="n">
        <v>19562</v>
      </c>
      <c r="E112" t="n">
        <v>13801</v>
      </c>
      <c r="F112" t="n">
        <v>38133</v>
      </c>
      <c r="G112" t="n">
        <v>7267</v>
      </c>
      <c r="H112" t="n">
        <v>7549</v>
      </c>
      <c r="I112" t="n">
        <v>26122</v>
      </c>
      <c r="J112" t="n">
        <v>210779</v>
      </c>
      <c r="K112" t="n">
        <v>20652</v>
      </c>
      <c r="L112" t="n">
        <v>34069</v>
      </c>
      <c r="M112" t="n">
        <v>13650</v>
      </c>
      <c r="N112" t="n">
        <v>8897</v>
      </c>
      <c r="O112" t="n">
        <v>65671</v>
      </c>
      <c r="P112" t="n">
        <v>15354</v>
      </c>
      <c r="Q112" t="n">
        <v>5723</v>
      </c>
    </row>
    <row r="113">
      <c r="A113" s="135" t="n">
        <v>36982</v>
      </c>
      <c r="B113" t="n">
        <v>192257</v>
      </c>
      <c r="C113" t="n">
        <v>280808</v>
      </c>
      <c r="D113" t="n">
        <v>20373</v>
      </c>
      <c r="E113" t="n">
        <v>14217</v>
      </c>
      <c r="F113" t="n">
        <v>38369</v>
      </c>
      <c r="G113" t="n">
        <v>7212</v>
      </c>
      <c r="H113" t="n">
        <v>7560</v>
      </c>
      <c r="I113" t="n">
        <v>26045</v>
      </c>
      <c r="J113" t="n">
        <v>213875</v>
      </c>
      <c r="K113" t="n">
        <v>21618</v>
      </c>
      <c r="L113" t="n">
        <v>35364</v>
      </c>
      <c r="M113" t="n">
        <v>13643</v>
      </c>
      <c r="N113" t="n">
        <v>8527</v>
      </c>
      <c r="O113" t="n">
        <v>66933</v>
      </c>
      <c r="P113" t="n">
        <v>15289</v>
      </c>
      <c r="Q113" t="n">
        <v>5658</v>
      </c>
    </row>
    <row r="114">
      <c r="A114" s="135" t="n">
        <v>37012</v>
      </c>
      <c r="B114" t="n">
        <v>191829</v>
      </c>
      <c r="C114" t="n">
        <v>281496</v>
      </c>
      <c r="D114" t="n">
        <v>20147</v>
      </c>
      <c r="E114" t="n">
        <v>13950</v>
      </c>
      <c r="F114" t="n">
        <v>38439</v>
      </c>
      <c r="G114" t="n">
        <v>7135</v>
      </c>
      <c r="H114" t="n">
        <v>7559</v>
      </c>
      <c r="I114" t="n">
        <v>26278</v>
      </c>
      <c r="J114" t="n">
        <v>214457</v>
      </c>
      <c r="K114" t="n">
        <v>22628</v>
      </c>
      <c r="L114" t="n">
        <v>35202</v>
      </c>
      <c r="M114" t="n">
        <v>13812</v>
      </c>
      <c r="N114" t="n">
        <v>8752</v>
      </c>
      <c r="O114" t="n">
        <v>67039</v>
      </c>
      <c r="P114" t="n">
        <v>14876</v>
      </c>
      <c r="Q114" t="n">
        <v>5679</v>
      </c>
    </row>
    <row r="115">
      <c r="A115" s="135" t="n">
        <v>37043</v>
      </c>
      <c r="B115" t="n">
        <v>191763</v>
      </c>
      <c r="C115" t="n">
        <v>280401</v>
      </c>
      <c r="D115" t="n">
        <v>19900</v>
      </c>
      <c r="E115" t="n">
        <v>13804</v>
      </c>
      <c r="F115" t="n">
        <v>38569</v>
      </c>
      <c r="G115" t="n">
        <v>7246</v>
      </c>
      <c r="H115" t="n">
        <v>7613</v>
      </c>
      <c r="I115" t="n">
        <v>26379</v>
      </c>
      <c r="J115" t="n">
        <v>213691</v>
      </c>
      <c r="K115" t="n">
        <v>21928</v>
      </c>
      <c r="L115" t="n">
        <v>35114</v>
      </c>
      <c r="M115" t="n">
        <v>13843</v>
      </c>
      <c r="N115" t="n">
        <v>8693</v>
      </c>
      <c r="O115" t="n">
        <v>66710</v>
      </c>
      <c r="P115" t="n">
        <v>14981</v>
      </c>
      <c r="Q115" t="n">
        <v>5621</v>
      </c>
    </row>
    <row r="116">
      <c r="A116" s="135" t="n">
        <v>37073</v>
      </c>
      <c r="B116" t="n">
        <v>192751</v>
      </c>
      <c r="C116" t="n">
        <v>279504</v>
      </c>
      <c r="D116" t="n">
        <v>19838</v>
      </c>
      <c r="E116" t="n">
        <v>13994</v>
      </c>
      <c r="F116" t="n">
        <v>38506</v>
      </c>
      <c r="G116" t="n">
        <v>7298</v>
      </c>
      <c r="H116" t="n">
        <v>7671</v>
      </c>
      <c r="I116" t="n">
        <v>26507</v>
      </c>
      <c r="J116" t="n">
        <v>213437</v>
      </c>
      <c r="K116" t="n">
        <v>20686</v>
      </c>
      <c r="L116" t="n">
        <v>35720</v>
      </c>
      <c r="M116" t="n">
        <v>13879</v>
      </c>
      <c r="N116" t="n">
        <v>8671</v>
      </c>
      <c r="O116" t="n">
        <v>66067</v>
      </c>
      <c r="P116" t="n">
        <v>14964</v>
      </c>
      <c r="Q116" t="n">
        <v>5703</v>
      </c>
    </row>
    <row r="117">
      <c r="A117" s="135" t="n">
        <v>37104</v>
      </c>
      <c r="B117" t="n">
        <v>194185</v>
      </c>
      <c r="C117" t="n">
        <v>281413</v>
      </c>
      <c r="D117" t="n">
        <v>19920</v>
      </c>
      <c r="E117" t="n">
        <v>14171</v>
      </c>
      <c r="F117" t="n">
        <v>38738</v>
      </c>
      <c r="G117" t="n">
        <v>7276</v>
      </c>
      <c r="H117" t="n">
        <v>7628</v>
      </c>
      <c r="I117" t="n">
        <v>26853</v>
      </c>
      <c r="J117" t="n">
        <v>215063</v>
      </c>
      <c r="K117" t="n">
        <v>20878</v>
      </c>
      <c r="L117" t="n">
        <v>35915</v>
      </c>
      <c r="M117" t="n">
        <v>14004</v>
      </c>
      <c r="N117" t="n">
        <v>8691</v>
      </c>
      <c r="O117" t="n">
        <v>66350</v>
      </c>
      <c r="P117" t="n">
        <v>15214</v>
      </c>
      <c r="Q117" t="n">
        <v>5775</v>
      </c>
    </row>
    <row r="118">
      <c r="A118" s="135" t="n">
        <v>37135</v>
      </c>
      <c r="B118" t="n">
        <v>190819</v>
      </c>
      <c r="C118" t="n">
        <v>276084</v>
      </c>
      <c r="D118" t="n">
        <v>19664</v>
      </c>
      <c r="E118" t="n">
        <v>13286</v>
      </c>
      <c r="F118" t="n">
        <v>38832</v>
      </c>
      <c r="G118" t="n">
        <v>7141</v>
      </c>
      <c r="H118" t="n">
        <v>7419</v>
      </c>
      <c r="I118" t="n">
        <v>26239</v>
      </c>
      <c r="J118" t="n">
        <v>212155</v>
      </c>
      <c r="K118" t="n">
        <v>21336</v>
      </c>
      <c r="L118" t="n">
        <v>35822</v>
      </c>
      <c r="M118" t="n">
        <v>13894</v>
      </c>
      <c r="N118" t="n">
        <v>8377</v>
      </c>
      <c r="O118" t="n">
        <v>63929</v>
      </c>
      <c r="P118" t="n">
        <v>14473</v>
      </c>
      <c r="Q118" t="n">
        <v>5672</v>
      </c>
    </row>
    <row r="119">
      <c r="A119" s="135" t="n">
        <v>37165</v>
      </c>
      <c r="B119" t="n">
        <v>194052</v>
      </c>
      <c r="C119" t="n">
        <v>294540</v>
      </c>
      <c r="D119" t="n">
        <v>20054</v>
      </c>
      <c r="E119" t="n">
        <v>13973</v>
      </c>
      <c r="F119" t="n">
        <v>38944</v>
      </c>
      <c r="G119" t="n">
        <v>7237</v>
      </c>
      <c r="H119" t="n">
        <v>7543</v>
      </c>
      <c r="I119" t="n">
        <v>26541</v>
      </c>
      <c r="J119" t="n">
        <v>214085</v>
      </c>
      <c r="K119" t="n">
        <v>20033</v>
      </c>
      <c r="L119" t="n">
        <v>36229</v>
      </c>
      <c r="M119" t="n">
        <v>14298</v>
      </c>
      <c r="N119" t="n">
        <v>8456</v>
      </c>
      <c r="O119" t="n">
        <v>80455</v>
      </c>
      <c r="P119" t="n">
        <v>14979</v>
      </c>
      <c r="Q119" t="n">
        <v>5798</v>
      </c>
    </row>
    <row r="120">
      <c r="A120" s="135" t="n">
        <v>37196</v>
      </c>
      <c r="B120" t="n">
        <v>195453</v>
      </c>
      <c r="C120" t="n">
        <v>287111</v>
      </c>
      <c r="D120" t="n">
        <v>19982</v>
      </c>
      <c r="E120" t="n">
        <v>13970</v>
      </c>
      <c r="F120" t="n">
        <v>39161</v>
      </c>
      <c r="G120" t="n">
        <v>7662</v>
      </c>
      <c r="H120" t="n">
        <v>7694</v>
      </c>
      <c r="I120" t="n">
        <v>26597</v>
      </c>
      <c r="J120" t="n">
        <v>214698</v>
      </c>
      <c r="K120" t="n">
        <v>19245</v>
      </c>
      <c r="L120" t="n">
        <v>36656</v>
      </c>
      <c r="M120" t="n">
        <v>14280</v>
      </c>
      <c r="N120" t="n">
        <v>8548</v>
      </c>
      <c r="O120" t="n">
        <v>72413</v>
      </c>
      <c r="P120" t="n">
        <v>14837</v>
      </c>
      <c r="Q120" t="n">
        <v>6066</v>
      </c>
    </row>
    <row r="121">
      <c r="A121" s="135" t="n">
        <v>37226</v>
      </c>
      <c r="B121" t="n">
        <v>196535</v>
      </c>
      <c r="C121" t="n">
        <v>283705</v>
      </c>
      <c r="D121" t="n">
        <v>20120</v>
      </c>
      <c r="E121" t="n">
        <v>14126</v>
      </c>
      <c r="F121" t="n">
        <v>38996</v>
      </c>
      <c r="G121" t="n">
        <v>7825</v>
      </c>
      <c r="H121" t="n">
        <v>7869</v>
      </c>
      <c r="I121" t="n">
        <v>27156</v>
      </c>
      <c r="J121" t="n">
        <v>215485</v>
      </c>
      <c r="K121" t="n">
        <v>18950</v>
      </c>
      <c r="L121" t="n">
        <v>37054</v>
      </c>
      <c r="M121" t="n">
        <v>14350</v>
      </c>
      <c r="N121" t="n">
        <v>8432</v>
      </c>
      <c r="O121" t="n">
        <v>68220</v>
      </c>
      <c r="P121" t="n">
        <v>14810</v>
      </c>
      <c r="Q121" t="n">
        <v>5797</v>
      </c>
    </row>
    <row r="122">
      <c r="A122" s="135" t="n">
        <v>37257</v>
      </c>
      <c r="B122" t="n">
        <v>196713</v>
      </c>
      <c r="C122" t="n">
        <v>283508</v>
      </c>
      <c r="D122" t="n">
        <v>20359</v>
      </c>
      <c r="E122" t="n">
        <v>14220</v>
      </c>
      <c r="F122" t="n">
        <v>38833</v>
      </c>
      <c r="G122" t="n">
        <v>7604</v>
      </c>
      <c r="H122" t="n">
        <v>7847</v>
      </c>
      <c r="I122" t="n">
        <v>27201</v>
      </c>
      <c r="J122" t="n">
        <v>215843</v>
      </c>
      <c r="K122" t="n">
        <v>19130</v>
      </c>
      <c r="L122" t="n">
        <v>36811</v>
      </c>
      <c r="M122" t="n">
        <v>14525</v>
      </c>
      <c r="N122" t="n">
        <v>8447</v>
      </c>
      <c r="O122" t="n">
        <v>67665</v>
      </c>
      <c r="P122" t="n">
        <v>15091</v>
      </c>
      <c r="Q122" t="n">
        <v>5775</v>
      </c>
    </row>
    <row r="123">
      <c r="A123" s="135" t="n">
        <v>37288</v>
      </c>
      <c r="B123" t="n">
        <v>197818</v>
      </c>
      <c r="C123" t="n">
        <v>285054</v>
      </c>
      <c r="D123" t="n">
        <v>20515</v>
      </c>
      <c r="E123" t="n">
        <v>14357</v>
      </c>
      <c r="F123" t="n">
        <v>38885</v>
      </c>
      <c r="G123" t="n">
        <v>7643</v>
      </c>
      <c r="H123" t="n">
        <v>7932</v>
      </c>
      <c r="I123" t="n">
        <v>27384</v>
      </c>
      <c r="J123" t="n">
        <v>216886</v>
      </c>
      <c r="K123" t="n">
        <v>19068</v>
      </c>
      <c r="L123" t="n">
        <v>36974</v>
      </c>
      <c r="M123" t="n">
        <v>14747</v>
      </c>
      <c r="N123" t="n">
        <v>8616</v>
      </c>
      <c r="O123" t="n">
        <v>68168</v>
      </c>
      <c r="P123" t="n">
        <v>15054</v>
      </c>
      <c r="Q123" t="n">
        <v>5711</v>
      </c>
    </row>
    <row r="124">
      <c r="A124" s="135" t="n">
        <v>37316</v>
      </c>
      <c r="B124" t="n">
        <v>197879</v>
      </c>
      <c r="C124" t="n">
        <v>284262</v>
      </c>
      <c r="D124" t="n">
        <v>20370</v>
      </c>
      <c r="E124" t="n">
        <v>14436</v>
      </c>
      <c r="F124" t="n">
        <v>38913</v>
      </c>
      <c r="G124" t="n">
        <v>7690</v>
      </c>
      <c r="H124" t="n">
        <v>7936</v>
      </c>
      <c r="I124" t="n">
        <v>27203</v>
      </c>
      <c r="J124" t="n">
        <v>217692</v>
      </c>
      <c r="K124" t="n">
        <v>19813</v>
      </c>
      <c r="L124" t="n">
        <v>37144</v>
      </c>
      <c r="M124" t="n">
        <v>14745</v>
      </c>
      <c r="N124" t="n">
        <v>8380</v>
      </c>
      <c r="O124" t="n">
        <v>66570</v>
      </c>
      <c r="P124" t="n">
        <v>15345</v>
      </c>
      <c r="Q124" t="n">
        <v>5717</v>
      </c>
    </row>
    <row r="125">
      <c r="A125" s="135" t="n">
        <v>37347</v>
      </c>
      <c r="B125" t="n">
        <v>199726</v>
      </c>
      <c r="C125" t="n">
        <v>288833</v>
      </c>
      <c r="D125" t="n">
        <v>21274</v>
      </c>
      <c r="E125" t="n">
        <v>14410</v>
      </c>
      <c r="F125" t="n">
        <v>38568</v>
      </c>
      <c r="G125" t="n">
        <v>7616</v>
      </c>
      <c r="H125" t="n">
        <v>7874</v>
      </c>
      <c r="I125" t="n">
        <v>27500</v>
      </c>
      <c r="J125" t="n">
        <v>220582</v>
      </c>
      <c r="K125" t="n">
        <v>20856</v>
      </c>
      <c r="L125" t="n">
        <v>37491</v>
      </c>
      <c r="M125" t="n">
        <v>14940</v>
      </c>
      <c r="N125" t="n">
        <v>8579</v>
      </c>
      <c r="O125" t="n">
        <v>68251</v>
      </c>
      <c r="P125" t="n">
        <v>15675</v>
      </c>
      <c r="Q125" t="n">
        <v>5799</v>
      </c>
    </row>
    <row r="126">
      <c r="A126" s="135" t="n">
        <v>37377</v>
      </c>
      <c r="B126" t="n">
        <v>198959</v>
      </c>
      <c r="C126" t="n">
        <v>284951</v>
      </c>
      <c r="D126" t="n">
        <v>20874</v>
      </c>
      <c r="E126" t="n">
        <v>14220</v>
      </c>
      <c r="F126" t="n">
        <v>38713</v>
      </c>
      <c r="G126" t="n">
        <v>7678</v>
      </c>
      <c r="H126" t="n">
        <v>7959</v>
      </c>
      <c r="I126" t="n">
        <v>27378</v>
      </c>
      <c r="J126" t="n">
        <v>219889</v>
      </c>
      <c r="K126" t="n">
        <v>20930</v>
      </c>
      <c r="L126" t="n">
        <v>37114</v>
      </c>
      <c r="M126" t="n">
        <v>14903</v>
      </c>
      <c r="N126" t="n">
        <v>8539</v>
      </c>
      <c r="O126" t="n">
        <v>65062</v>
      </c>
      <c r="P126" t="n">
        <v>15850</v>
      </c>
      <c r="Q126" t="n">
        <v>5731</v>
      </c>
    </row>
    <row r="127">
      <c r="A127" s="135" t="n">
        <v>37408</v>
      </c>
      <c r="B127" t="n">
        <v>199285</v>
      </c>
      <c r="C127" t="n">
        <v>287372</v>
      </c>
      <c r="D127" t="n">
        <v>20725</v>
      </c>
      <c r="E127" t="n">
        <v>14366</v>
      </c>
      <c r="F127" t="n">
        <v>38723</v>
      </c>
      <c r="G127" t="n">
        <v>7656</v>
      </c>
      <c r="H127" t="n">
        <v>7831</v>
      </c>
      <c r="I127" t="n">
        <v>27586</v>
      </c>
      <c r="J127" t="n">
        <v>220018</v>
      </c>
      <c r="K127" t="n">
        <v>20733</v>
      </c>
      <c r="L127" t="n">
        <v>37417</v>
      </c>
      <c r="M127" t="n">
        <v>14947</v>
      </c>
      <c r="N127" t="n">
        <v>8639</v>
      </c>
      <c r="O127" t="n">
        <v>67354</v>
      </c>
      <c r="P127" t="n">
        <v>15725</v>
      </c>
      <c r="Q127" t="n">
        <v>5670</v>
      </c>
    </row>
    <row r="128">
      <c r="A128" s="135" t="n">
        <v>37438</v>
      </c>
      <c r="B128" t="n">
        <v>199003</v>
      </c>
      <c r="C128" t="n">
        <v>290385</v>
      </c>
      <c r="D128" t="n">
        <v>20674</v>
      </c>
      <c r="E128" t="n">
        <v>14200</v>
      </c>
      <c r="F128" t="n">
        <v>38834</v>
      </c>
      <c r="G128" t="n">
        <v>7543</v>
      </c>
      <c r="H128" t="n">
        <v>7741</v>
      </c>
      <c r="I128" t="n">
        <v>27616</v>
      </c>
      <c r="J128" t="n">
        <v>220441</v>
      </c>
      <c r="K128" t="n">
        <v>21438</v>
      </c>
      <c r="L128" t="n">
        <v>37132</v>
      </c>
      <c r="M128" t="n">
        <v>15004</v>
      </c>
      <c r="N128" t="n">
        <v>8575</v>
      </c>
      <c r="O128" t="n">
        <v>69944</v>
      </c>
      <c r="P128" t="n">
        <v>16018</v>
      </c>
      <c r="Q128" t="n">
        <v>5666</v>
      </c>
    </row>
    <row r="129">
      <c r="A129" s="135" t="n">
        <v>37469</v>
      </c>
      <c r="B129" t="n">
        <v>199264</v>
      </c>
      <c r="C129" t="n">
        <v>292650</v>
      </c>
      <c r="D129" t="n">
        <v>20683</v>
      </c>
      <c r="E129" t="n">
        <v>14338</v>
      </c>
      <c r="F129" t="n">
        <v>38647</v>
      </c>
      <c r="G129" t="n">
        <v>7520</v>
      </c>
      <c r="H129" t="n">
        <v>7837</v>
      </c>
      <c r="I129" t="n">
        <v>27607</v>
      </c>
      <c r="J129" t="n">
        <v>220446</v>
      </c>
      <c r="K129" t="n">
        <v>21182</v>
      </c>
      <c r="L129" t="n">
        <v>37202</v>
      </c>
      <c r="M129" t="n">
        <v>15120</v>
      </c>
      <c r="N129" t="n">
        <v>8740</v>
      </c>
      <c r="O129" t="n">
        <v>72204</v>
      </c>
      <c r="P129" t="n">
        <v>15881</v>
      </c>
      <c r="Q129" t="n">
        <v>5689</v>
      </c>
    </row>
    <row r="130">
      <c r="A130" s="135" t="n">
        <v>37500</v>
      </c>
      <c r="B130" t="n">
        <v>199072</v>
      </c>
      <c r="C130" t="n">
        <v>288410</v>
      </c>
      <c r="D130" t="n">
        <v>20732</v>
      </c>
      <c r="E130" t="n">
        <v>13966</v>
      </c>
      <c r="F130" t="n">
        <v>38599</v>
      </c>
      <c r="G130" t="n">
        <v>7511</v>
      </c>
      <c r="H130" t="n">
        <v>7832</v>
      </c>
      <c r="I130" t="n">
        <v>27784</v>
      </c>
      <c r="J130" t="n">
        <v>220344</v>
      </c>
      <c r="K130" t="n">
        <v>21272</v>
      </c>
      <c r="L130" t="n">
        <v>37059</v>
      </c>
      <c r="M130" t="n">
        <v>15288</v>
      </c>
      <c r="N130" t="n">
        <v>8724</v>
      </c>
      <c r="O130" t="n">
        <v>68066</v>
      </c>
      <c r="P130" t="n">
        <v>15725</v>
      </c>
      <c r="Q130" t="n">
        <v>5852</v>
      </c>
    </row>
    <row r="131">
      <c r="A131" s="135" t="n">
        <v>37530</v>
      </c>
      <c r="B131" t="n">
        <v>200364</v>
      </c>
      <c r="C131" t="n">
        <v>289576</v>
      </c>
      <c r="D131" t="n">
        <v>20603</v>
      </c>
      <c r="E131" t="n">
        <v>14625</v>
      </c>
      <c r="F131" t="n">
        <v>38693</v>
      </c>
      <c r="G131" t="n">
        <v>7522</v>
      </c>
      <c r="H131" t="n">
        <v>7789</v>
      </c>
      <c r="I131" t="n">
        <v>27623</v>
      </c>
      <c r="J131" t="n">
        <v>222023</v>
      </c>
      <c r="K131" t="n">
        <v>21659</v>
      </c>
      <c r="L131" t="n">
        <v>37816</v>
      </c>
      <c r="M131" t="n">
        <v>15298</v>
      </c>
      <c r="N131" t="n">
        <v>8579</v>
      </c>
      <c r="O131" t="n">
        <v>67553</v>
      </c>
      <c r="P131" t="n">
        <v>15977</v>
      </c>
      <c r="Q131" t="n">
        <v>5839</v>
      </c>
    </row>
    <row r="132">
      <c r="A132" s="135" t="n">
        <v>37561</v>
      </c>
      <c r="B132" t="n">
        <v>201544</v>
      </c>
      <c r="C132" t="n">
        <v>291484</v>
      </c>
      <c r="D132" t="n">
        <v>20969</v>
      </c>
      <c r="E132" t="n">
        <v>14456</v>
      </c>
      <c r="F132" t="n">
        <v>38886</v>
      </c>
      <c r="G132" t="n">
        <v>7545</v>
      </c>
      <c r="H132" t="n">
        <v>7963</v>
      </c>
      <c r="I132" t="n">
        <v>27916</v>
      </c>
      <c r="J132" t="n">
        <v>223553</v>
      </c>
      <c r="K132" t="n">
        <v>22009</v>
      </c>
      <c r="L132" t="n">
        <v>37698</v>
      </c>
      <c r="M132" t="n">
        <v>15348</v>
      </c>
      <c r="N132" t="n">
        <v>8362</v>
      </c>
      <c r="O132" t="n">
        <v>67931</v>
      </c>
      <c r="P132" t="n">
        <v>16416</v>
      </c>
      <c r="Q132" t="n">
        <v>5985</v>
      </c>
    </row>
    <row r="133">
      <c r="A133" s="135" t="n">
        <v>37591</v>
      </c>
      <c r="B133" t="n">
        <v>201689</v>
      </c>
      <c r="C133" t="n">
        <v>293947</v>
      </c>
      <c r="D133" t="n">
        <v>20415</v>
      </c>
      <c r="E133" t="n">
        <v>14714</v>
      </c>
      <c r="F133" t="n">
        <v>39072</v>
      </c>
      <c r="G133" t="n">
        <v>7660</v>
      </c>
      <c r="H133" t="n">
        <v>7927</v>
      </c>
      <c r="I133" t="n">
        <v>28017</v>
      </c>
      <c r="J133" t="n">
        <v>224153</v>
      </c>
      <c r="K133" t="n">
        <v>22464</v>
      </c>
      <c r="L133" t="n">
        <v>37716</v>
      </c>
      <c r="M133" t="n">
        <v>15293</v>
      </c>
      <c r="N133" t="n">
        <v>8569</v>
      </c>
      <c r="O133" t="n">
        <v>69794</v>
      </c>
      <c r="P133" t="n">
        <v>16497</v>
      </c>
      <c r="Q133" t="n">
        <v>5809</v>
      </c>
    </row>
    <row r="134">
      <c r="A134" s="135" t="n">
        <v>37622</v>
      </c>
      <c r="B134" t="n">
        <v>202502</v>
      </c>
      <c r="C134" t="n">
        <v>295248</v>
      </c>
      <c r="D134" t="n">
        <v>21270</v>
      </c>
      <c r="E134" t="n">
        <v>14565</v>
      </c>
      <c r="F134" t="n">
        <v>39412</v>
      </c>
      <c r="G134" t="n">
        <v>7439</v>
      </c>
      <c r="H134" t="n">
        <v>7824</v>
      </c>
      <c r="I134" t="n">
        <v>28018</v>
      </c>
      <c r="J134" t="n">
        <v>225575</v>
      </c>
      <c r="K134" t="n">
        <v>23073</v>
      </c>
      <c r="L134" t="n">
        <v>37740</v>
      </c>
      <c r="M134" t="n">
        <v>15441</v>
      </c>
      <c r="N134" t="n">
        <v>8565</v>
      </c>
      <c r="O134" t="n">
        <v>69673</v>
      </c>
      <c r="P134" t="n">
        <v>16434</v>
      </c>
      <c r="Q134" t="n">
        <v>5794</v>
      </c>
    </row>
    <row r="135">
      <c r="A135" s="135" t="n">
        <v>37653</v>
      </c>
      <c r="B135" t="n">
        <v>200747</v>
      </c>
      <c r="C135" t="n">
        <v>291167</v>
      </c>
      <c r="D135" t="n">
        <v>20041</v>
      </c>
      <c r="E135" t="n">
        <v>14142</v>
      </c>
      <c r="F135" t="n">
        <v>39285</v>
      </c>
      <c r="G135" t="n">
        <v>7354</v>
      </c>
      <c r="H135" t="n">
        <v>7501</v>
      </c>
      <c r="I135" t="n">
        <v>27979</v>
      </c>
      <c r="J135" t="n">
        <v>224632</v>
      </c>
      <c r="K135" t="n">
        <v>23885</v>
      </c>
      <c r="L135" t="n">
        <v>38030</v>
      </c>
      <c r="M135" t="n">
        <v>15534</v>
      </c>
      <c r="N135" t="n">
        <v>8372</v>
      </c>
      <c r="O135" t="n">
        <v>66535</v>
      </c>
      <c r="P135" t="n">
        <v>16933</v>
      </c>
      <c r="Q135" t="n">
        <v>5576</v>
      </c>
    </row>
    <row r="136">
      <c r="A136" s="135" t="n">
        <v>37681</v>
      </c>
      <c r="B136" t="n">
        <v>203729</v>
      </c>
      <c r="C136" t="n">
        <v>296325</v>
      </c>
      <c r="D136" t="n">
        <v>21326</v>
      </c>
      <c r="E136" t="n">
        <v>14465</v>
      </c>
      <c r="F136" t="n">
        <v>39318</v>
      </c>
      <c r="G136" t="n">
        <v>7364</v>
      </c>
      <c r="H136" t="n">
        <v>7854</v>
      </c>
      <c r="I136" t="n">
        <v>28505</v>
      </c>
      <c r="J136" t="n">
        <v>227697</v>
      </c>
      <c r="K136" t="n">
        <v>23968</v>
      </c>
      <c r="L136" t="n">
        <v>38391</v>
      </c>
      <c r="M136" t="n">
        <v>15677</v>
      </c>
      <c r="N136" t="n">
        <v>8405</v>
      </c>
      <c r="O136" t="n">
        <v>68628</v>
      </c>
      <c r="P136" t="n">
        <v>16764</v>
      </c>
      <c r="Q136" t="n">
        <v>5660</v>
      </c>
    </row>
    <row r="137">
      <c r="A137" s="135" t="n">
        <v>37712</v>
      </c>
      <c r="B137" t="n">
        <v>203439</v>
      </c>
      <c r="C137" t="n">
        <v>295600</v>
      </c>
      <c r="D137" t="n">
        <v>21139</v>
      </c>
      <c r="E137" t="n">
        <v>14434</v>
      </c>
      <c r="F137" t="n">
        <v>39441</v>
      </c>
      <c r="G137" t="n">
        <v>7440</v>
      </c>
      <c r="H137" t="n">
        <v>7895</v>
      </c>
      <c r="I137" t="n">
        <v>28403</v>
      </c>
      <c r="J137" t="n">
        <v>226020</v>
      </c>
      <c r="K137" t="n">
        <v>22581</v>
      </c>
      <c r="L137" t="n">
        <v>38321</v>
      </c>
      <c r="M137" t="n">
        <v>15705</v>
      </c>
      <c r="N137" t="n">
        <v>8359</v>
      </c>
      <c r="O137" t="n">
        <v>69580</v>
      </c>
      <c r="P137" t="n">
        <v>16593</v>
      </c>
      <c r="Q137" t="n">
        <v>5709</v>
      </c>
    </row>
    <row r="138">
      <c r="A138" s="135" t="n">
        <v>37742</v>
      </c>
      <c r="B138" t="n">
        <v>204940</v>
      </c>
      <c r="C138" t="n">
        <v>296410</v>
      </c>
      <c r="D138" t="n">
        <v>21328</v>
      </c>
      <c r="E138" t="n">
        <v>14651</v>
      </c>
      <c r="F138" t="n">
        <v>39019</v>
      </c>
      <c r="G138" t="n">
        <v>7563</v>
      </c>
      <c r="H138" t="n">
        <v>8062</v>
      </c>
      <c r="I138" t="n">
        <v>29048</v>
      </c>
      <c r="J138" t="n">
        <v>226750</v>
      </c>
      <c r="K138" t="n">
        <v>21810</v>
      </c>
      <c r="L138" t="n">
        <v>38483</v>
      </c>
      <c r="M138" t="n">
        <v>15791</v>
      </c>
      <c r="N138" t="n">
        <v>8525</v>
      </c>
      <c r="O138" t="n">
        <v>69660</v>
      </c>
      <c r="P138" t="n">
        <v>16722</v>
      </c>
      <c r="Q138" t="n">
        <v>5748</v>
      </c>
    </row>
    <row r="139">
      <c r="A139" s="135" t="n">
        <v>37773</v>
      </c>
      <c r="B139" t="n">
        <v>207524</v>
      </c>
      <c r="C139" t="n">
        <v>299626</v>
      </c>
      <c r="D139" t="n">
        <v>22003</v>
      </c>
      <c r="E139" t="n">
        <v>14894</v>
      </c>
      <c r="F139" t="n">
        <v>39480</v>
      </c>
      <c r="G139" t="n">
        <v>7650</v>
      </c>
      <c r="H139" t="n">
        <v>8084</v>
      </c>
      <c r="I139" t="n">
        <v>29230</v>
      </c>
      <c r="J139" t="n">
        <v>229301</v>
      </c>
      <c r="K139" t="n">
        <v>21777</v>
      </c>
      <c r="L139" t="n">
        <v>38866</v>
      </c>
      <c r="M139" t="n">
        <v>15934</v>
      </c>
      <c r="N139" t="n">
        <v>8537</v>
      </c>
      <c r="O139" t="n">
        <v>70325</v>
      </c>
      <c r="P139" t="n">
        <v>16938</v>
      </c>
      <c r="Q139" t="n">
        <v>5908</v>
      </c>
    </row>
    <row r="140">
      <c r="A140" s="135" t="n">
        <v>37803</v>
      </c>
      <c r="B140" t="n">
        <v>209502</v>
      </c>
      <c r="C140" t="n">
        <v>302747</v>
      </c>
      <c r="D140" t="n">
        <v>22372</v>
      </c>
      <c r="E140" t="n">
        <v>15141</v>
      </c>
      <c r="F140" t="n">
        <v>39808</v>
      </c>
      <c r="G140" t="n">
        <v>7731</v>
      </c>
      <c r="H140" t="n">
        <v>8115</v>
      </c>
      <c r="I140" t="n">
        <v>29395</v>
      </c>
      <c r="J140" t="n">
        <v>231698</v>
      </c>
      <c r="K140" t="n">
        <v>22196</v>
      </c>
      <c r="L140" t="n">
        <v>39404</v>
      </c>
      <c r="M140" t="n">
        <v>16182</v>
      </c>
      <c r="N140" t="n">
        <v>8497</v>
      </c>
      <c r="O140" t="n">
        <v>71049</v>
      </c>
      <c r="P140" t="n">
        <v>17049</v>
      </c>
      <c r="Q140" t="n">
        <v>5808</v>
      </c>
    </row>
    <row r="141">
      <c r="A141" s="135" t="n">
        <v>37834</v>
      </c>
      <c r="B141" t="n">
        <v>211817</v>
      </c>
      <c r="C141" t="n">
        <v>307809</v>
      </c>
      <c r="D141" t="n">
        <v>22489</v>
      </c>
      <c r="E141" t="n">
        <v>15089</v>
      </c>
      <c r="F141" t="n">
        <v>39833</v>
      </c>
      <c r="G141" t="n">
        <v>7914</v>
      </c>
      <c r="H141" t="n">
        <v>8156</v>
      </c>
      <c r="I141" t="n">
        <v>29844</v>
      </c>
      <c r="J141" t="n">
        <v>234890</v>
      </c>
      <c r="K141" t="n">
        <v>23073</v>
      </c>
      <c r="L141" t="n">
        <v>40085</v>
      </c>
      <c r="M141" t="n">
        <v>16345</v>
      </c>
      <c r="N141" t="n">
        <v>8618</v>
      </c>
      <c r="O141" t="n">
        <v>72919</v>
      </c>
      <c r="P141" t="n">
        <v>17312</v>
      </c>
      <c r="Q141" t="n">
        <v>6132</v>
      </c>
    </row>
    <row r="142">
      <c r="A142" s="135" t="n">
        <v>37865</v>
      </c>
      <c r="B142" t="n">
        <v>211535</v>
      </c>
      <c r="C142" t="n">
        <v>305933</v>
      </c>
      <c r="D142" t="n">
        <v>22630</v>
      </c>
      <c r="E142" t="n">
        <v>15175</v>
      </c>
      <c r="F142" t="n">
        <v>39878</v>
      </c>
      <c r="G142" t="n">
        <v>7909</v>
      </c>
      <c r="H142" t="n">
        <v>8214</v>
      </c>
      <c r="I142" t="n">
        <v>29503</v>
      </c>
      <c r="J142" t="n">
        <v>234749</v>
      </c>
      <c r="K142" t="n">
        <v>23214</v>
      </c>
      <c r="L142" t="n">
        <v>39896</v>
      </c>
      <c r="M142" t="n">
        <v>16339</v>
      </c>
      <c r="N142" t="n">
        <v>8442</v>
      </c>
      <c r="O142" t="n">
        <v>71184</v>
      </c>
      <c r="P142" t="n">
        <v>17595</v>
      </c>
      <c r="Q142" t="n">
        <v>5954</v>
      </c>
    </row>
    <row r="143">
      <c r="A143" s="135" t="n">
        <v>37895</v>
      </c>
      <c r="B143" t="n">
        <v>212278</v>
      </c>
      <c r="C143" t="n">
        <v>304809</v>
      </c>
      <c r="D143" t="n">
        <v>22869</v>
      </c>
      <c r="E143" t="n">
        <v>15067</v>
      </c>
      <c r="F143" t="n">
        <v>39776</v>
      </c>
      <c r="G143" t="n">
        <v>7984</v>
      </c>
      <c r="H143" t="n">
        <v>8244</v>
      </c>
      <c r="I143" t="n">
        <v>30045</v>
      </c>
      <c r="J143" t="n">
        <v>234992</v>
      </c>
      <c r="K143" t="n">
        <v>22714</v>
      </c>
      <c r="L143" t="n">
        <v>39649</v>
      </c>
      <c r="M143" t="n">
        <v>16434</v>
      </c>
      <c r="N143" t="n">
        <v>8591</v>
      </c>
      <c r="O143" t="n">
        <v>69817</v>
      </c>
      <c r="P143" t="n">
        <v>17778</v>
      </c>
      <c r="Q143" t="n">
        <v>5841</v>
      </c>
    </row>
    <row r="144">
      <c r="A144" s="135" t="n">
        <v>37926</v>
      </c>
      <c r="B144" t="n">
        <v>213317</v>
      </c>
      <c r="C144" t="n">
        <v>308527</v>
      </c>
      <c r="D144" t="n">
        <v>22864</v>
      </c>
      <c r="E144" t="n">
        <v>15338</v>
      </c>
      <c r="F144" t="n">
        <v>39631</v>
      </c>
      <c r="G144" t="n">
        <v>8030</v>
      </c>
      <c r="H144" t="n">
        <v>8358</v>
      </c>
      <c r="I144" t="n">
        <v>30229</v>
      </c>
      <c r="J144" t="n">
        <v>236789</v>
      </c>
      <c r="K144" t="n">
        <v>23472</v>
      </c>
      <c r="L144" t="n">
        <v>39945</v>
      </c>
      <c r="M144" t="n">
        <v>16500</v>
      </c>
      <c r="N144" t="n">
        <v>8530</v>
      </c>
      <c r="O144" t="n">
        <v>71738</v>
      </c>
      <c r="P144" t="n">
        <v>17881</v>
      </c>
      <c r="Q144" t="n">
        <v>6011</v>
      </c>
    </row>
    <row r="145">
      <c r="A145" s="135" t="n">
        <v>37956</v>
      </c>
      <c r="B145" t="n">
        <v>213310</v>
      </c>
      <c r="C145" t="n">
        <v>307407</v>
      </c>
      <c r="D145" t="n">
        <v>22748</v>
      </c>
      <c r="E145" t="n">
        <v>15456</v>
      </c>
      <c r="F145" t="n">
        <v>39809</v>
      </c>
      <c r="G145" t="n">
        <v>8127</v>
      </c>
      <c r="H145" t="n">
        <v>8312</v>
      </c>
      <c r="I145" t="n">
        <v>29795</v>
      </c>
      <c r="J145" t="n">
        <v>237304</v>
      </c>
      <c r="K145" t="n">
        <v>23994</v>
      </c>
      <c r="L145" t="n">
        <v>40084</v>
      </c>
      <c r="M145" t="n">
        <v>16648</v>
      </c>
      <c r="N145" t="n">
        <v>8576</v>
      </c>
      <c r="O145" t="n">
        <v>70103</v>
      </c>
      <c r="P145" t="n">
        <v>17742</v>
      </c>
      <c r="Q145" t="n">
        <v>6013</v>
      </c>
    </row>
    <row r="146">
      <c r="A146" s="135" t="n">
        <v>37987</v>
      </c>
      <c r="B146" t="n">
        <v>215095</v>
      </c>
      <c r="C146" t="n">
        <v>309254</v>
      </c>
      <c r="D146" t="n">
        <v>22637</v>
      </c>
      <c r="E146" t="n">
        <v>15513</v>
      </c>
      <c r="F146" t="n">
        <v>40443</v>
      </c>
      <c r="G146" t="n">
        <v>8104</v>
      </c>
      <c r="H146" t="n">
        <v>8307</v>
      </c>
      <c r="I146" t="n">
        <v>30341</v>
      </c>
      <c r="J146" t="n">
        <v>239984</v>
      </c>
      <c r="K146" t="n">
        <v>24889</v>
      </c>
      <c r="L146" t="n">
        <v>40436</v>
      </c>
      <c r="M146" t="n">
        <v>16287</v>
      </c>
      <c r="N146" t="n">
        <v>8665</v>
      </c>
      <c r="O146" t="n">
        <v>69270</v>
      </c>
      <c r="P146" t="n">
        <v>18275</v>
      </c>
      <c r="Q146" t="n">
        <v>6087</v>
      </c>
    </row>
    <row r="147">
      <c r="A147" s="135" t="n">
        <v>38018</v>
      </c>
      <c r="B147" t="n">
        <v>215044</v>
      </c>
      <c r="C147" t="n">
        <v>311393</v>
      </c>
      <c r="D147" t="n">
        <v>22727</v>
      </c>
      <c r="E147" t="n">
        <v>15687</v>
      </c>
      <c r="F147" t="n">
        <v>39922</v>
      </c>
      <c r="G147" t="n">
        <v>8080</v>
      </c>
      <c r="H147" t="n">
        <v>8375</v>
      </c>
      <c r="I147" t="n">
        <v>30461</v>
      </c>
      <c r="J147" t="n">
        <v>240300</v>
      </c>
      <c r="K147" t="n">
        <v>25256</v>
      </c>
      <c r="L147" t="n">
        <v>40519</v>
      </c>
      <c r="M147" t="n">
        <v>16133</v>
      </c>
      <c r="N147" t="n">
        <v>8481</v>
      </c>
      <c r="O147" t="n">
        <v>71093</v>
      </c>
      <c r="P147" t="n">
        <v>18566</v>
      </c>
      <c r="Q147" t="n">
        <v>6093</v>
      </c>
    </row>
    <row r="148">
      <c r="A148" s="135" t="n">
        <v>38047</v>
      </c>
      <c r="B148" t="n">
        <v>219096</v>
      </c>
      <c r="C148" t="n">
        <v>316912</v>
      </c>
      <c r="D148" t="n">
        <v>24992</v>
      </c>
      <c r="E148" t="n">
        <v>15984</v>
      </c>
      <c r="F148" t="n">
        <v>40419</v>
      </c>
      <c r="G148" t="n">
        <v>8117</v>
      </c>
      <c r="H148" t="n">
        <v>8585</v>
      </c>
      <c r="I148" t="n">
        <v>30703</v>
      </c>
      <c r="J148" t="n">
        <v>244775</v>
      </c>
      <c r="K148" t="n">
        <v>25679</v>
      </c>
      <c r="L148" t="n">
        <v>41079</v>
      </c>
      <c r="M148" t="n">
        <v>16526</v>
      </c>
      <c r="N148" t="n">
        <v>8552</v>
      </c>
      <c r="O148" t="n">
        <v>72137</v>
      </c>
      <c r="P148" t="n">
        <v>18072</v>
      </c>
      <c r="Q148" t="n">
        <v>6067</v>
      </c>
    </row>
    <row r="149">
      <c r="A149" s="135" t="n">
        <v>38078</v>
      </c>
      <c r="B149" t="n">
        <v>218034</v>
      </c>
      <c r="C149" t="n">
        <v>313512</v>
      </c>
      <c r="D149" t="n">
        <v>24565</v>
      </c>
      <c r="E149" t="n">
        <v>15567</v>
      </c>
      <c r="F149" t="n">
        <v>40399</v>
      </c>
      <c r="G149" t="n">
        <v>8218</v>
      </c>
      <c r="H149" t="n">
        <v>8519</v>
      </c>
      <c r="I149" t="n">
        <v>30560</v>
      </c>
      <c r="J149" t="n">
        <v>243552</v>
      </c>
      <c r="K149" t="n">
        <v>25518</v>
      </c>
      <c r="L149" t="n">
        <v>40662</v>
      </c>
      <c r="M149" t="n">
        <v>16476</v>
      </c>
      <c r="N149" t="n">
        <v>8685</v>
      </c>
      <c r="O149" t="n">
        <v>69960</v>
      </c>
      <c r="P149" t="n">
        <v>18442</v>
      </c>
      <c r="Q149" t="n">
        <v>5941</v>
      </c>
    </row>
    <row r="150">
      <c r="A150" s="135" t="n">
        <v>38108</v>
      </c>
      <c r="B150" t="n">
        <v>219132</v>
      </c>
      <c r="C150" t="n">
        <v>318964</v>
      </c>
      <c r="D150" t="n">
        <v>24420</v>
      </c>
      <c r="E150" t="n">
        <v>15736</v>
      </c>
      <c r="F150" t="n">
        <v>40635</v>
      </c>
      <c r="G150" t="n">
        <v>8241</v>
      </c>
      <c r="H150" t="n">
        <v>8389</v>
      </c>
      <c r="I150" t="n">
        <v>30712</v>
      </c>
      <c r="J150" t="n">
        <v>246143</v>
      </c>
      <c r="K150" t="n">
        <v>27011</v>
      </c>
      <c r="L150" t="n">
        <v>41332</v>
      </c>
      <c r="M150" t="n">
        <v>16462</v>
      </c>
      <c r="N150" t="n">
        <v>8869</v>
      </c>
      <c r="O150" t="n">
        <v>72821</v>
      </c>
      <c r="P150" t="n">
        <v>18351</v>
      </c>
      <c r="Q150" t="n">
        <v>5985</v>
      </c>
    </row>
    <row r="151">
      <c r="A151" s="135" t="n">
        <v>38139</v>
      </c>
      <c r="B151" t="n">
        <v>218917</v>
      </c>
      <c r="C151" t="n">
        <v>314958</v>
      </c>
      <c r="D151" t="n">
        <v>24622</v>
      </c>
      <c r="E151" t="n">
        <v>15555</v>
      </c>
      <c r="F151" t="n">
        <v>40608</v>
      </c>
      <c r="G151" t="n">
        <v>8297</v>
      </c>
      <c r="H151" t="n">
        <v>8572</v>
      </c>
      <c r="I151" t="n">
        <v>30825</v>
      </c>
      <c r="J151" t="n">
        <v>245967</v>
      </c>
      <c r="K151" t="n">
        <v>27050</v>
      </c>
      <c r="L151" t="n">
        <v>40756</v>
      </c>
      <c r="M151" t="n">
        <v>16570</v>
      </c>
      <c r="N151" t="n">
        <v>8446</v>
      </c>
      <c r="O151" t="n">
        <v>68991</v>
      </c>
      <c r="P151" t="n">
        <v>18649</v>
      </c>
      <c r="Q151" t="n">
        <v>6017</v>
      </c>
    </row>
    <row r="152">
      <c r="A152" s="135" t="n">
        <v>38169</v>
      </c>
      <c r="B152" t="n">
        <v>220566</v>
      </c>
      <c r="C152" t="n">
        <v>318549</v>
      </c>
      <c r="D152" t="n">
        <v>24538</v>
      </c>
      <c r="E152" t="n">
        <v>15645</v>
      </c>
      <c r="F152" t="n">
        <v>40631</v>
      </c>
      <c r="G152" t="n">
        <v>8337</v>
      </c>
      <c r="H152" t="n">
        <v>8868</v>
      </c>
      <c r="I152" t="n">
        <v>31191</v>
      </c>
      <c r="J152" t="n">
        <v>247311</v>
      </c>
      <c r="K152" t="n">
        <v>26745</v>
      </c>
      <c r="L152" t="n">
        <v>41197</v>
      </c>
      <c r="M152" t="n">
        <v>16554</v>
      </c>
      <c r="N152" t="n">
        <v>8554</v>
      </c>
      <c r="O152" t="n">
        <v>71238</v>
      </c>
      <c r="P152" t="n">
        <v>18927</v>
      </c>
      <c r="Q152" t="n">
        <v>6124</v>
      </c>
    </row>
    <row r="153">
      <c r="A153" s="135" t="n">
        <v>38200</v>
      </c>
      <c r="B153" t="n">
        <v>221060</v>
      </c>
      <c r="C153" t="n">
        <v>318977</v>
      </c>
      <c r="D153" t="n">
        <v>24713</v>
      </c>
      <c r="E153" t="n">
        <v>15660</v>
      </c>
      <c r="F153" t="n">
        <v>40771</v>
      </c>
      <c r="G153" t="n">
        <v>8335</v>
      </c>
      <c r="H153" t="n">
        <v>8675</v>
      </c>
      <c r="I153" t="n">
        <v>31036</v>
      </c>
      <c r="J153" t="n">
        <v>247612</v>
      </c>
      <c r="K153" t="n">
        <v>26552</v>
      </c>
      <c r="L153" t="n">
        <v>41323</v>
      </c>
      <c r="M153" t="n">
        <v>16610</v>
      </c>
      <c r="N153" t="n">
        <v>8567</v>
      </c>
      <c r="O153" t="n">
        <v>71365</v>
      </c>
      <c r="P153" t="n">
        <v>19178</v>
      </c>
      <c r="Q153" t="n">
        <v>6192</v>
      </c>
    </row>
    <row r="154">
      <c r="A154" s="135" t="n">
        <v>38231</v>
      </c>
      <c r="B154" t="n">
        <v>222679</v>
      </c>
      <c r="C154" t="n">
        <v>324569</v>
      </c>
      <c r="D154" t="n">
        <v>25045</v>
      </c>
      <c r="E154" t="n">
        <v>15764</v>
      </c>
      <c r="F154" t="n">
        <v>41045</v>
      </c>
      <c r="G154" t="n">
        <v>8422</v>
      </c>
      <c r="H154" t="n">
        <v>8604</v>
      </c>
      <c r="I154" t="n">
        <v>31430</v>
      </c>
      <c r="J154" t="n">
        <v>249840</v>
      </c>
      <c r="K154" t="n">
        <v>27161</v>
      </c>
      <c r="L154" t="n">
        <v>41555</v>
      </c>
      <c r="M154" t="n">
        <v>16635</v>
      </c>
      <c r="N154" t="n">
        <v>8596</v>
      </c>
      <c r="O154" t="n">
        <v>74729</v>
      </c>
      <c r="P154" t="n">
        <v>19472</v>
      </c>
      <c r="Q154" t="n">
        <v>6111</v>
      </c>
    </row>
    <row r="155">
      <c r="A155" s="135" t="n">
        <v>38261</v>
      </c>
      <c r="B155" t="n">
        <v>224226</v>
      </c>
      <c r="C155" t="n">
        <v>326740</v>
      </c>
      <c r="D155" t="n">
        <v>24842</v>
      </c>
      <c r="E155" t="n">
        <v>16055</v>
      </c>
      <c r="F155" t="n">
        <v>41177</v>
      </c>
      <c r="G155" t="n">
        <v>8494</v>
      </c>
      <c r="H155" t="n">
        <v>8806</v>
      </c>
      <c r="I155" t="n">
        <v>31625</v>
      </c>
      <c r="J155" t="n">
        <v>252882</v>
      </c>
      <c r="K155" t="n">
        <v>28656</v>
      </c>
      <c r="L155" t="n">
        <v>42042</v>
      </c>
      <c r="M155" t="n">
        <v>16739</v>
      </c>
      <c r="N155" t="n">
        <v>8677</v>
      </c>
      <c r="O155" t="n">
        <v>73858</v>
      </c>
      <c r="P155" t="n">
        <v>19675</v>
      </c>
      <c r="Q155" t="n">
        <v>6094</v>
      </c>
    </row>
    <row r="156">
      <c r="A156" s="135" t="n">
        <v>38292</v>
      </c>
      <c r="B156" t="n">
        <v>225080</v>
      </c>
      <c r="C156" t="n">
        <v>327836</v>
      </c>
      <c r="D156" t="n">
        <v>24974</v>
      </c>
      <c r="E156" t="n">
        <v>16044</v>
      </c>
      <c r="F156" t="n">
        <v>41404</v>
      </c>
      <c r="G156" t="n">
        <v>8479</v>
      </c>
      <c r="H156" t="n">
        <v>8722</v>
      </c>
      <c r="I156" t="n">
        <v>31659</v>
      </c>
      <c r="J156" t="n">
        <v>254429</v>
      </c>
      <c r="K156" t="n">
        <v>29349</v>
      </c>
      <c r="L156" t="n">
        <v>42179</v>
      </c>
      <c r="M156" t="n">
        <v>16813</v>
      </c>
      <c r="N156" t="n">
        <v>8877</v>
      </c>
      <c r="O156" t="n">
        <v>73407</v>
      </c>
      <c r="P156" t="n">
        <v>19789</v>
      </c>
      <c r="Q156" t="n">
        <v>6140</v>
      </c>
    </row>
    <row r="157">
      <c r="A157" s="135" t="n">
        <v>38322</v>
      </c>
      <c r="B157" t="n">
        <v>227441</v>
      </c>
      <c r="C157" t="n">
        <v>331874</v>
      </c>
      <c r="D157" t="n">
        <v>25679</v>
      </c>
      <c r="E157" t="n">
        <v>16183</v>
      </c>
      <c r="F157" t="n">
        <v>41534</v>
      </c>
      <c r="G157" t="n">
        <v>8513</v>
      </c>
      <c r="H157" t="n">
        <v>8905</v>
      </c>
      <c r="I157" t="n">
        <v>32111</v>
      </c>
      <c r="J157" t="n">
        <v>256487</v>
      </c>
      <c r="K157" t="n">
        <v>29046</v>
      </c>
      <c r="L157" t="n">
        <v>42656</v>
      </c>
      <c r="M157" t="n">
        <v>16882</v>
      </c>
      <c r="N157" t="n">
        <v>8914</v>
      </c>
      <c r="O157" t="n">
        <v>75387</v>
      </c>
      <c r="P157" t="n">
        <v>19942</v>
      </c>
      <c r="Q157" t="n">
        <v>6122</v>
      </c>
    </row>
    <row r="158">
      <c r="A158" s="135" t="n">
        <v>38353</v>
      </c>
      <c r="B158" t="n">
        <v>228238</v>
      </c>
      <c r="C158" t="n">
        <v>328696</v>
      </c>
      <c r="D158" t="n">
        <v>26126</v>
      </c>
      <c r="E158" t="n">
        <v>16125</v>
      </c>
      <c r="F158" t="n">
        <v>41691</v>
      </c>
      <c r="G158" t="n">
        <v>8555</v>
      </c>
      <c r="H158" t="n">
        <v>8856</v>
      </c>
      <c r="I158" t="n">
        <v>32000</v>
      </c>
      <c r="J158" t="n">
        <v>256613</v>
      </c>
      <c r="K158" t="n">
        <v>28375</v>
      </c>
      <c r="L158" t="n">
        <v>42556</v>
      </c>
      <c r="M158" t="n">
        <v>17116</v>
      </c>
      <c r="N158" t="n">
        <v>8784</v>
      </c>
      <c r="O158" t="n">
        <v>72083</v>
      </c>
      <c r="P158" t="n">
        <v>20237</v>
      </c>
      <c r="Q158" t="n">
        <v>6192</v>
      </c>
    </row>
    <row r="159">
      <c r="A159" s="135" t="n">
        <v>38384</v>
      </c>
      <c r="B159" t="n">
        <v>230238</v>
      </c>
      <c r="C159" t="n">
        <v>333026</v>
      </c>
      <c r="D159" t="n">
        <v>25797</v>
      </c>
      <c r="E159" t="n">
        <v>16674</v>
      </c>
      <c r="F159" t="n">
        <v>41757</v>
      </c>
      <c r="G159" t="n">
        <v>8765</v>
      </c>
      <c r="H159" t="n">
        <v>8908</v>
      </c>
      <c r="I159" t="n">
        <v>32469</v>
      </c>
      <c r="J159" t="n">
        <v>259253</v>
      </c>
      <c r="K159" t="n">
        <v>29015</v>
      </c>
      <c r="L159" t="n">
        <v>43183</v>
      </c>
      <c r="M159" t="n">
        <v>17292</v>
      </c>
      <c r="N159" t="n">
        <v>8949</v>
      </c>
      <c r="O159" t="n">
        <v>73773</v>
      </c>
      <c r="P159" t="n">
        <v>20175</v>
      </c>
      <c r="Q159" t="n">
        <v>6269</v>
      </c>
    </row>
    <row r="160">
      <c r="A160" s="135" t="n">
        <v>38412</v>
      </c>
      <c r="B160" t="n">
        <v>229936</v>
      </c>
      <c r="C160" t="n">
        <v>333581</v>
      </c>
      <c r="D160" t="n">
        <v>26219</v>
      </c>
      <c r="E160" t="n">
        <v>16293</v>
      </c>
      <c r="F160" t="n">
        <v>41800</v>
      </c>
      <c r="G160" t="n">
        <v>8784</v>
      </c>
      <c r="H160" t="n">
        <v>8840</v>
      </c>
      <c r="I160" t="n">
        <v>32273</v>
      </c>
      <c r="J160" t="n">
        <v>259434</v>
      </c>
      <c r="K160" t="n">
        <v>29498</v>
      </c>
      <c r="L160" t="n">
        <v>42949</v>
      </c>
      <c r="M160" t="n">
        <v>17245</v>
      </c>
      <c r="N160" t="n">
        <v>8890</v>
      </c>
      <c r="O160" t="n">
        <v>74147</v>
      </c>
      <c r="P160" t="n">
        <v>20506</v>
      </c>
      <c r="Q160" t="n">
        <v>6137</v>
      </c>
    </row>
    <row r="161">
      <c r="A161" s="135" t="n">
        <v>38443</v>
      </c>
      <c r="B161" t="n">
        <v>232925</v>
      </c>
      <c r="C161" t="n">
        <v>336583</v>
      </c>
      <c r="D161" t="n">
        <v>26520</v>
      </c>
      <c r="E161" t="n">
        <v>16636</v>
      </c>
      <c r="F161" t="n">
        <v>42283</v>
      </c>
      <c r="G161" t="n">
        <v>8820</v>
      </c>
      <c r="H161" t="n">
        <v>8994</v>
      </c>
      <c r="I161" t="n">
        <v>32823</v>
      </c>
      <c r="J161" t="n">
        <v>262934</v>
      </c>
      <c r="K161" t="n">
        <v>30009</v>
      </c>
      <c r="L161" t="n">
        <v>43601</v>
      </c>
      <c r="M161" t="n">
        <v>17350</v>
      </c>
      <c r="N161" t="n">
        <v>8839</v>
      </c>
      <c r="O161" t="n">
        <v>73649</v>
      </c>
      <c r="P161" t="n">
        <v>20741</v>
      </c>
      <c r="Q161" t="n">
        <v>6318</v>
      </c>
    </row>
    <row r="162">
      <c r="A162" s="135" t="n">
        <v>38473</v>
      </c>
      <c r="B162" t="n">
        <v>232157</v>
      </c>
      <c r="C162" t="n">
        <v>334522</v>
      </c>
      <c r="D162" t="n">
        <v>26510</v>
      </c>
      <c r="E162" t="n">
        <v>16514</v>
      </c>
      <c r="F162" t="n">
        <v>42081</v>
      </c>
      <c r="G162" t="n">
        <v>8775</v>
      </c>
      <c r="H162" t="n">
        <v>8963</v>
      </c>
      <c r="I162" t="n">
        <v>32746</v>
      </c>
      <c r="J162" t="n">
        <v>261297</v>
      </c>
      <c r="K162" t="n">
        <v>29140</v>
      </c>
      <c r="L162" t="n">
        <v>43423</v>
      </c>
      <c r="M162" t="n">
        <v>17413</v>
      </c>
      <c r="N162" t="n">
        <v>8932</v>
      </c>
      <c r="O162" t="n">
        <v>73225</v>
      </c>
      <c r="P162" t="n">
        <v>20568</v>
      </c>
      <c r="Q162" t="n">
        <v>6232</v>
      </c>
    </row>
    <row r="163">
      <c r="A163" s="135" t="n">
        <v>38504</v>
      </c>
      <c r="B163" t="n">
        <v>234470</v>
      </c>
      <c r="C163" t="n">
        <v>343998</v>
      </c>
      <c r="D163" t="n">
        <v>26569</v>
      </c>
      <c r="E163" t="n">
        <v>16824</v>
      </c>
      <c r="F163" t="n">
        <v>42363</v>
      </c>
      <c r="G163" t="n">
        <v>8828</v>
      </c>
      <c r="H163" t="n">
        <v>9093</v>
      </c>
      <c r="I163" t="n">
        <v>33009</v>
      </c>
      <c r="J163" t="n">
        <v>264359</v>
      </c>
      <c r="K163" t="n">
        <v>29889</v>
      </c>
      <c r="L163" t="n">
        <v>44354</v>
      </c>
      <c r="M163" t="n">
        <v>17392</v>
      </c>
      <c r="N163" t="n">
        <v>8879</v>
      </c>
      <c r="O163" t="n">
        <v>79639</v>
      </c>
      <c r="P163" t="n">
        <v>21024</v>
      </c>
      <c r="Q163" t="n">
        <v>6135</v>
      </c>
    </row>
    <row r="164">
      <c r="A164" s="135" t="n">
        <v>38534</v>
      </c>
      <c r="B164" t="n">
        <v>233995</v>
      </c>
      <c r="C164" t="n">
        <v>346576</v>
      </c>
      <c r="D164" t="n">
        <v>26538</v>
      </c>
      <c r="E164" t="n">
        <v>16450</v>
      </c>
      <c r="F164" t="n">
        <v>42184</v>
      </c>
      <c r="G164" t="n">
        <v>8877</v>
      </c>
      <c r="H164" t="n">
        <v>9084</v>
      </c>
      <c r="I164" t="n">
        <v>33056</v>
      </c>
      <c r="J164" t="n">
        <v>264971</v>
      </c>
      <c r="K164" t="n">
        <v>30976</v>
      </c>
      <c r="L164" t="n">
        <v>44017</v>
      </c>
      <c r="M164" t="n">
        <v>17635</v>
      </c>
      <c r="N164" t="n">
        <v>8927</v>
      </c>
      <c r="O164" t="n">
        <v>81605</v>
      </c>
      <c r="P164" t="n">
        <v>20988</v>
      </c>
      <c r="Q164" t="n">
        <v>6239</v>
      </c>
    </row>
    <row r="165">
      <c r="A165" s="135" t="n">
        <v>38565</v>
      </c>
      <c r="B165" t="n">
        <v>236121</v>
      </c>
      <c r="C165" t="n">
        <v>343307</v>
      </c>
      <c r="D165" t="n">
        <v>26814</v>
      </c>
      <c r="E165" t="n">
        <v>16759</v>
      </c>
      <c r="F165" t="n">
        <v>42542</v>
      </c>
      <c r="G165" t="n">
        <v>8868</v>
      </c>
      <c r="H165" t="n">
        <v>9193</v>
      </c>
      <c r="I165" t="n">
        <v>33261</v>
      </c>
      <c r="J165" t="n">
        <v>269520</v>
      </c>
      <c r="K165" t="n">
        <v>33399</v>
      </c>
      <c r="L165" t="n">
        <v>44214</v>
      </c>
      <c r="M165" t="n">
        <v>17548</v>
      </c>
      <c r="N165" t="n">
        <v>8881</v>
      </c>
      <c r="O165" t="n">
        <v>73787</v>
      </c>
      <c r="P165" t="n">
        <v>21767</v>
      </c>
      <c r="Q165" t="n">
        <v>6274</v>
      </c>
    </row>
    <row r="166">
      <c r="A166" s="135" t="n">
        <v>38596</v>
      </c>
      <c r="B166" t="n">
        <v>237213</v>
      </c>
      <c r="C166" t="n">
        <v>343956</v>
      </c>
      <c r="D166" t="n">
        <v>27111</v>
      </c>
      <c r="E166" t="n">
        <v>16450</v>
      </c>
      <c r="F166" t="n">
        <v>42845</v>
      </c>
      <c r="G166" t="n">
        <v>8955</v>
      </c>
      <c r="H166" t="n">
        <v>9244</v>
      </c>
      <c r="I166" t="n">
        <v>33283</v>
      </c>
      <c r="J166" t="n">
        <v>273329</v>
      </c>
      <c r="K166" t="n">
        <v>36116</v>
      </c>
      <c r="L166" t="n">
        <v>44502</v>
      </c>
      <c r="M166" t="n">
        <v>17707</v>
      </c>
      <c r="N166" t="n">
        <v>9010</v>
      </c>
      <c r="O166" t="n">
        <v>70627</v>
      </c>
      <c r="P166" t="n">
        <v>21951</v>
      </c>
      <c r="Q166" t="n">
        <v>6155</v>
      </c>
    </row>
    <row r="167">
      <c r="A167" s="135" t="n">
        <v>38626</v>
      </c>
      <c r="B167" t="n">
        <v>240333</v>
      </c>
      <c r="C167" t="n">
        <v>344097</v>
      </c>
      <c r="D167" t="n">
        <v>27664</v>
      </c>
      <c r="E167" t="n">
        <v>17120</v>
      </c>
      <c r="F167" t="n">
        <v>42842</v>
      </c>
      <c r="G167" t="n">
        <v>9047</v>
      </c>
      <c r="H167" t="n">
        <v>9315</v>
      </c>
      <c r="I167" t="n">
        <v>33618</v>
      </c>
      <c r="J167" t="n">
        <v>276244</v>
      </c>
      <c r="K167" t="n">
        <v>35911</v>
      </c>
      <c r="L167" t="n">
        <v>45267</v>
      </c>
      <c r="M167" t="n">
        <v>17742</v>
      </c>
      <c r="N167" t="n">
        <v>9086</v>
      </c>
      <c r="O167" t="n">
        <v>67853</v>
      </c>
      <c r="P167" t="n">
        <v>22255</v>
      </c>
      <c r="Q167" t="n">
        <v>6377</v>
      </c>
    </row>
    <row r="168">
      <c r="A168" s="135" t="n">
        <v>38657</v>
      </c>
      <c r="B168" t="n">
        <v>240929</v>
      </c>
      <c r="C168" t="n">
        <v>347325</v>
      </c>
      <c r="D168" t="n">
        <v>27674</v>
      </c>
      <c r="E168" t="n">
        <v>17142</v>
      </c>
      <c r="F168" t="n">
        <v>42823</v>
      </c>
      <c r="G168" t="n">
        <v>8965</v>
      </c>
      <c r="H168" t="n">
        <v>9319</v>
      </c>
      <c r="I168" t="n">
        <v>34022</v>
      </c>
      <c r="J168" t="n">
        <v>274114</v>
      </c>
      <c r="K168" t="n">
        <v>33185</v>
      </c>
      <c r="L168" t="n">
        <v>45226</v>
      </c>
      <c r="M168" t="n">
        <v>17859</v>
      </c>
      <c r="N168" t="n">
        <v>9151</v>
      </c>
      <c r="O168" t="n">
        <v>73211</v>
      </c>
      <c r="P168" t="n">
        <v>22461</v>
      </c>
      <c r="Q168" t="n">
        <v>6287</v>
      </c>
    </row>
    <row r="169">
      <c r="A169" s="135" t="n">
        <v>38687</v>
      </c>
      <c r="B169" t="n">
        <v>240919</v>
      </c>
      <c r="C169" t="n">
        <v>347405</v>
      </c>
      <c r="D169" t="n">
        <v>27324</v>
      </c>
      <c r="E169" t="n">
        <v>17207</v>
      </c>
      <c r="F169" t="n">
        <v>43191</v>
      </c>
      <c r="G169" t="n">
        <v>8889</v>
      </c>
      <c r="H169" t="n">
        <v>9260</v>
      </c>
      <c r="I169" t="n">
        <v>33932</v>
      </c>
      <c r="J169" t="n">
        <v>274073</v>
      </c>
      <c r="K169" t="n">
        <v>33154</v>
      </c>
      <c r="L169" t="n">
        <v>44778</v>
      </c>
      <c r="M169" t="n">
        <v>18005</v>
      </c>
      <c r="N169" t="n">
        <v>9044</v>
      </c>
      <c r="O169" t="n">
        <v>73332</v>
      </c>
      <c r="P169" t="n">
        <v>22827</v>
      </c>
      <c r="Q169" t="n">
        <v>6462</v>
      </c>
    </row>
    <row r="170">
      <c r="A170" s="135" t="n">
        <v>38718</v>
      </c>
      <c r="B170" t="n">
        <v>246276</v>
      </c>
      <c r="C170" t="n">
        <v>357331</v>
      </c>
      <c r="D170" t="n">
        <v>29686</v>
      </c>
      <c r="E170" t="n">
        <v>17331</v>
      </c>
      <c r="F170" t="n">
        <v>42681</v>
      </c>
      <c r="G170" t="n">
        <v>9395</v>
      </c>
      <c r="H170" t="n">
        <v>9561</v>
      </c>
      <c r="I170" t="n">
        <v>34983</v>
      </c>
      <c r="J170" t="n">
        <v>280574</v>
      </c>
      <c r="K170" t="n">
        <v>34298</v>
      </c>
      <c r="L170" t="n">
        <v>45710</v>
      </c>
      <c r="M170" t="n">
        <v>18000</v>
      </c>
      <c r="N170" t="n">
        <v>9620</v>
      </c>
      <c r="O170" t="n">
        <v>76757</v>
      </c>
      <c r="P170" t="n">
        <v>22574</v>
      </c>
      <c r="Q170" t="n">
        <v>6735</v>
      </c>
    </row>
    <row r="171">
      <c r="A171" s="135" t="n">
        <v>38749</v>
      </c>
      <c r="B171" t="n">
        <v>246424</v>
      </c>
      <c r="C171" t="n">
        <v>354706</v>
      </c>
      <c r="D171" t="n">
        <v>29479</v>
      </c>
      <c r="E171" t="n">
        <v>17384</v>
      </c>
      <c r="F171" t="n">
        <v>43379</v>
      </c>
      <c r="G171" t="n">
        <v>9101</v>
      </c>
      <c r="H171" t="n">
        <v>9439</v>
      </c>
      <c r="I171" t="n">
        <v>34535</v>
      </c>
      <c r="J171" t="n">
        <v>280598</v>
      </c>
      <c r="K171" t="n">
        <v>34174</v>
      </c>
      <c r="L171" t="n">
        <v>45774</v>
      </c>
      <c r="M171" t="n">
        <v>18124</v>
      </c>
      <c r="N171" t="n">
        <v>9512</v>
      </c>
      <c r="O171" t="n">
        <v>74108</v>
      </c>
      <c r="P171" t="n">
        <v>23068</v>
      </c>
      <c r="Q171" t="n">
        <v>6629</v>
      </c>
    </row>
    <row r="172">
      <c r="A172" s="135" t="n">
        <v>38777</v>
      </c>
      <c r="B172" t="n">
        <v>246861</v>
      </c>
      <c r="C172" t="n">
        <v>355665</v>
      </c>
      <c r="D172" t="n">
        <v>29289</v>
      </c>
      <c r="E172" t="n">
        <v>17385</v>
      </c>
      <c r="F172" t="n">
        <v>43233</v>
      </c>
      <c r="G172" t="n">
        <v>9185</v>
      </c>
      <c r="H172" t="n">
        <v>9431</v>
      </c>
      <c r="I172" t="n">
        <v>34796</v>
      </c>
      <c r="J172" t="n">
        <v>281056</v>
      </c>
      <c r="K172" t="n">
        <v>34195</v>
      </c>
      <c r="L172" t="n">
        <v>45635</v>
      </c>
      <c r="M172" t="n">
        <v>18222</v>
      </c>
      <c r="N172" t="n">
        <v>9398</v>
      </c>
      <c r="O172" t="n">
        <v>74609</v>
      </c>
      <c r="P172" t="n">
        <v>23677</v>
      </c>
      <c r="Q172" t="n">
        <v>6610</v>
      </c>
    </row>
    <row r="173">
      <c r="A173" s="135" t="n">
        <v>38808</v>
      </c>
      <c r="B173" t="n">
        <v>246879</v>
      </c>
      <c r="C173" t="n">
        <v>357423</v>
      </c>
      <c r="D173" t="n">
        <v>28905</v>
      </c>
      <c r="E173" t="n">
        <v>17542</v>
      </c>
      <c r="F173" t="n">
        <v>43269</v>
      </c>
      <c r="G173" t="n">
        <v>9165</v>
      </c>
      <c r="H173" t="n">
        <v>9402</v>
      </c>
      <c r="I173" t="n">
        <v>34862</v>
      </c>
      <c r="J173" t="n">
        <v>282525</v>
      </c>
      <c r="K173" t="n">
        <v>35646</v>
      </c>
      <c r="L173" t="n">
        <v>46048</v>
      </c>
      <c r="M173" t="n">
        <v>18294</v>
      </c>
      <c r="N173" t="n">
        <v>9507</v>
      </c>
      <c r="O173" t="n">
        <v>74898</v>
      </c>
      <c r="P173" t="n">
        <v>23305</v>
      </c>
      <c r="Q173" t="n">
        <v>6580</v>
      </c>
    </row>
    <row r="174">
      <c r="A174" s="135" t="n">
        <v>38838</v>
      </c>
      <c r="B174" t="n">
        <v>246464</v>
      </c>
      <c r="C174" t="n">
        <v>356704</v>
      </c>
      <c r="D174" t="n">
        <v>27864</v>
      </c>
      <c r="E174" t="n">
        <v>17492</v>
      </c>
      <c r="F174" t="n">
        <v>43654</v>
      </c>
      <c r="G174" t="n">
        <v>9132</v>
      </c>
      <c r="H174" t="n">
        <v>9368</v>
      </c>
      <c r="I174" t="n">
        <v>34910</v>
      </c>
      <c r="J174" t="n">
        <v>282623</v>
      </c>
      <c r="K174" t="n">
        <v>36159</v>
      </c>
      <c r="L174" t="n">
        <v>45806</v>
      </c>
      <c r="M174" t="n">
        <v>18466</v>
      </c>
      <c r="N174" t="n">
        <v>9475</v>
      </c>
      <c r="O174" t="n">
        <v>74081</v>
      </c>
      <c r="P174" t="n">
        <v>23794</v>
      </c>
      <c r="Q174" t="n">
        <v>6503</v>
      </c>
    </row>
    <row r="175">
      <c r="A175" s="135" t="n">
        <v>38869</v>
      </c>
      <c r="B175" t="n">
        <v>246282</v>
      </c>
      <c r="C175" t="n">
        <v>357879</v>
      </c>
      <c r="D175" t="n">
        <v>27339</v>
      </c>
      <c r="E175" t="n">
        <v>17701</v>
      </c>
      <c r="F175" t="n">
        <v>43782</v>
      </c>
      <c r="G175" t="n">
        <v>9130</v>
      </c>
      <c r="H175" t="n">
        <v>9485</v>
      </c>
      <c r="I175" t="n">
        <v>34695</v>
      </c>
      <c r="J175" t="n">
        <v>282510</v>
      </c>
      <c r="K175" t="n">
        <v>36228</v>
      </c>
      <c r="L175" t="n">
        <v>45956</v>
      </c>
      <c r="M175" t="n">
        <v>18584</v>
      </c>
      <c r="N175" t="n">
        <v>9324</v>
      </c>
      <c r="O175" t="n">
        <v>75369</v>
      </c>
      <c r="P175" t="n">
        <v>23762</v>
      </c>
      <c r="Q175" t="n">
        <v>6524</v>
      </c>
    </row>
    <row r="176">
      <c r="A176" s="135" t="n">
        <v>38899</v>
      </c>
      <c r="B176" t="n">
        <v>246079</v>
      </c>
      <c r="C176" t="n">
        <v>359006</v>
      </c>
      <c r="D176" t="n">
        <v>27327</v>
      </c>
      <c r="E176" t="n">
        <v>17691</v>
      </c>
      <c r="F176" t="n">
        <v>43827</v>
      </c>
      <c r="G176" t="n">
        <v>9126</v>
      </c>
      <c r="H176" t="n">
        <v>9442</v>
      </c>
      <c r="I176" t="n">
        <v>34802</v>
      </c>
      <c r="J176" t="n">
        <v>283042</v>
      </c>
      <c r="K176" t="n">
        <v>36963</v>
      </c>
      <c r="L176" t="n">
        <v>45838</v>
      </c>
      <c r="M176" t="n">
        <v>18640</v>
      </c>
      <c r="N176" t="n">
        <v>9287</v>
      </c>
      <c r="O176" t="n">
        <v>75964</v>
      </c>
      <c r="P176" t="n">
        <v>23638</v>
      </c>
      <c r="Q176" t="n">
        <v>6461</v>
      </c>
    </row>
    <row r="177">
      <c r="A177" s="135" t="n">
        <v>38930</v>
      </c>
      <c r="B177" t="n">
        <v>247808</v>
      </c>
      <c r="C177" t="n">
        <v>360691</v>
      </c>
      <c r="D177" t="n">
        <v>27358</v>
      </c>
      <c r="E177" t="n">
        <v>17635</v>
      </c>
      <c r="F177" t="n">
        <v>44160</v>
      </c>
      <c r="G177" t="n">
        <v>9124</v>
      </c>
      <c r="H177" t="n">
        <v>9422</v>
      </c>
      <c r="I177" t="n">
        <v>35367</v>
      </c>
      <c r="J177" t="n">
        <v>285504</v>
      </c>
      <c r="K177" t="n">
        <v>37696</v>
      </c>
      <c r="L177" t="n">
        <v>46043</v>
      </c>
      <c r="M177" t="n">
        <v>18757</v>
      </c>
      <c r="N177" t="n">
        <v>9305</v>
      </c>
      <c r="O177" t="n">
        <v>75187</v>
      </c>
      <c r="P177" t="n">
        <v>24225</v>
      </c>
      <c r="Q177" t="n">
        <v>6412</v>
      </c>
    </row>
    <row r="178">
      <c r="A178" s="135" t="n">
        <v>38961</v>
      </c>
      <c r="B178" t="n">
        <v>249447</v>
      </c>
      <c r="C178" t="n">
        <v>358961</v>
      </c>
      <c r="D178" t="n">
        <v>26994</v>
      </c>
      <c r="E178" t="n">
        <v>18256</v>
      </c>
      <c r="F178" t="n">
        <v>43846</v>
      </c>
      <c r="G178" t="n">
        <v>9158</v>
      </c>
      <c r="H178" t="n">
        <v>9549</v>
      </c>
      <c r="I178" t="n">
        <v>35725</v>
      </c>
      <c r="J178" t="n">
        <v>284382</v>
      </c>
      <c r="K178" t="n">
        <v>34935</v>
      </c>
      <c r="L178" t="n">
        <v>46712</v>
      </c>
      <c r="M178" t="n">
        <v>18933</v>
      </c>
      <c r="N178" t="n">
        <v>9378</v>
      </c>
      <c r="O178" t="n">
        <v>74579</v>
      </c>
      <c r="P178" t="n">
        <v>24206</v>
      </c>
      <c r="Q178" t="n">
        <v>6690</v>
      </c>
    </row>
    <row r="179">
      <c r="A179" s="135" t="n">
        <v>38991</v>
      </c>
      <c r="B179" t="n">
        <v>250103</v>
      </c>
      <c r="C179" t="n">
        <v>358462</v>
      </c>
      <c r="D179" t="n">
        <v>27161</v>
      </c>
      <c r="E179" t="n">
        <v>18126</v>
      </c>
      <c r="F179" t="n">
        <v>44542</v>
      </c>
      <c r="G179" t="n">
        <v>8953</v>
      </c>
      <c r="H179" t="n">
        <v>9375</v>
      </c>
      <c r="I179" t="n">
        <v>35784</v>
      </c>
      <c r="J179" t="n">
        <v>283015</v>
      </c>
      <c r="K179" t="n">
        <v>32912</v>
      </c>
      <c r="L179" t="n">
        <v>46679</v>
      </c>
      <c r="M179" t="n">
        <v>19044</v>
      </c>
      <c r="N179" t="n">
        <v>9501</v>
      </c>
      <c r="O179" t="n">
        <v>75447</v>
      </c>
      <c r="P179" t="n">
        <v>24349</v>
      </c>
      <c r="Q179" t="n">
        <v>6589</v>
      </c>
    </row>
    <row r="180">
      <c r="A180" s="135" t="n">
        <v>39022</v>
      </c>
      <c r="B180" t="n">
        <v>249880</v>
      </c>
      <c r="C180" t="n">
        <v>359266</v>
      </c>
      <c r="D180" t="n">
        <v>26647</v>
      </c>
      <c r="E180" t="n">
        <v>17910</v>
      </c>
      <c r="F180" t="n">
        <v>44572</v>
      </c>
      <c r="G180" t="n">
        <v>9158</v>
      </c>
      <c r="H180" t="n">
        <v>9311</v>
      </c>
      <c r="I180" t="n">
        <v>35923</v>
      </c>
      <c r="J180" t="n">
        <v>283202</v>
      </c>
      <c r="K180" t="n">
        <v>33322</v>
      </c>
      <c r="L180" t="n">
        <v>46800</v>
      </c>
      <c r="M180" t="n">
        <v>19276</v>
      </c>
      <c r="N180" t="n">
        <v>9563</v>
      </c>
      <c r="O180" t="n">
        <v>76064</v>
      </c>
      <c r="P180" t="n">
        <v>24259</v>
      </c>
      <c r="Q180" t="n">
        <v>6461</v>
      </c>
    </row>
    <row r="181">
      <c r="A181" s="135" t="n">
        <v>39052</v>
      </c>
      <c r="B181" t="n">
        <v>253397</v>
      </c>
      <c r="C181" t="n">
        <v>363730</v>
      </c>
      <c r="D181" t="n">
        <v>27100</v>
      </c>
      <c r="E181" t="n">
        <v>18497</v>
      </c>
      <c r="F181" t="n">
        <v>44730</v>
      </c>
      <c r="G181" t="n">
        <v>9478</v>
      </c>
      <c r="H181" t="n">
        <v>9334</v>
      </c>
      <c r="I181" t="n">
        <v>36881</v>
      </c>
      <c r="J181" t="n">
        <v>288292</v>
      </c>
      <c r="K181" t="n">
        <v>34895</v>
      </c>
      <c r="L181" t="n">
        <v>47344</v>
      </c>
      <c r="M181" t="n">
        <v>19385</v>
      </c>
      <c r="N181" t="n">
        <v>9876</v>
      </c>
      <c r="O181" t="n">
        <v>75438</v>
      </c>
      <c r="P181" t="n">
        <v>24206</v>
      </c>
      <c r="Q181" t="n">
        <v>6566</v>
      </c>
    </row>
    <row r="182">
      <c r="A182" s="135" t="n">
        <v>39083</v>
      </c>
      <c r="B182" t="n">
        <v>253973</v>
      </c>
      <c r="C182" t="n">
        <v>363616</v>
      </c>
      <c r="D182" t="n">
        <v>27533</v>
      </c>
      <c r="E182" t="n">
        <v>18493</v>
      </c>
      <c r="F182" t="n">
        <v>44856</v>
      </c>
      <c r="G182" t="n">
        <v>9229</v>
      </c>
      <c r="H182" t="n">
        <v>9609</v>
      </c>
      <c r="I182" t="n">
        <v>36435</v>
      </c>
      <c r="J182" t="n">
        <v>288217</v>
      </c>
      <c r="K182" t="n">
        <v>34244</v>
      </c>
      <c r="L182" t="n">
        <v>48034</v>
      </c>
      <c r="M182" t="n">
        <v>19423</v>
      </c>
      <c r="N182" t="n">
        <v>9629</v>
      </c>
      <c r="O182" t="n">
        <v>75399</v>
      </c>
      <c r="P182" t="n">
        <v>24243</v>
      </c>
      <c r="Q182" t="n">
        <v>6489</v>
      </c>
    </row>
    <row r="183">
      <c r="A183" s="135" t="n">
        <v>39114</v>
      </c>
      <c r="B183" t="n">
        <v>253233</v>
      </c>
      <c r="C183" t="n">
        <v>364006</v>
      </c>
      <c r="D183" t="n">
        <v>27088</v>
      </c>
      <c r="E183" t="n">
        <v>18144</v>
      </c>
      <c r="F183" t="n">
        <v>45274</v>
      </c>
      <c r="G183" t="n">
        <v>9123</v>
      </c>
      <c r="H183" t="n">
        <v>9369</v>
      </c>
      <c r="I183" t="n">
        <v>36053</v>
      </c>
      <c r="J183" t="n">
        <v>288165</v>
      </c>
      <c r="K183" t="n">
        <v>34932</v>
      </c>
      <c r="L183" t="n">
        <v>47293</v>
      </c>
      <c r="M183" t="n">
        <v>19401</v>
      </c>
      <c r="N183" t="n">
        <v>9489</v>
      </c>
      <c r="O183" t="n">
        <v>75841</v>
      </c>
      <c r="P183" t="n">
        <v>25505</v>
      </c>
      <c r="Q183" t="n">
        <v>6494</v>
      </c>
    </row>
    <row r="184">
      <c r="A184" s="135" t="n">
        <v>39142</v>
      </c>
      <c r="B184" t="n">
        <v>255687</v>
      </c>
      <c r="C184" t="n">
        <v>367158</v>
      </c>
      <c r="D184" t="n">
        <v>27506</v>
      </c>
      <c r="E184" t="n">
        <v>18643</v>
      </c>
      <c r="F184" t="n">
        <v>45271</v>
      </c>
      <c r="G184" t="n">
        <v>9026</v>
      </c>
      <c r="H184" t="n">
        <v>9406</v>
      </c>
      <c r="I184" t="n">
        <v>36579</v>
      </c>
      <c r="J184" t="n">
        <v>291686</v>
      </c>
      <c r="K184" t="n">
        <v>35999</v>
      </c>
      <c r="L184" t="n">
        <v>48132</v>
      </c>
      <c r="M184" t="n">
        <v>19540</v>
      </c>
      <c r="N184" t="n">
        <v>9771</v>
      </c>
      <c r="O184" t="n">
        <v>75472</v>
      </c>
      <c r="P184" t="n">
        <v>25034</v>
      </c>
      <c r="Q184" t="n">
        <v>6779</v>
      </c>
    </row>
    <row r="185">
      <c r="A185" s="135" t="n">
        <v>39173</v>
      </c>
      <c r="B185" t="n">
        <v>253632</v>
      </c>
      <c r="C185" t="n">
        <v>366187</v>
      </c>
      <c r="D185" t="n">
        <v>26610</v>
      </c>
      <c r="E185" t="n">
        <v>18189</v>
      </c>
      <c r="F185" t="n">
        <v>44988</v>
      </c>
      <c r="G185" t="n">
        <v>9008</v>
      </c>
      <c r="H185" t="n">
        <v>9430</v>
      </c>
      <c r="I185" t="n">
        <v>36627</v>
      </c>
      <c r="J185" t="n">
        <v>289982</v>
      </c>
      <c r="K185" t="n">
        <v>36350</v>
      </c>
      <c r="L185" t="n">
        <v>47679</v>
      </c>
      <c r="M185" t="n">
        <v>19572</v>
      </c>
      <c r="N185" t="n">
        <v>9586</v>
      </c>
      <c r="O185" t="n">
        <v>76205</v>
      </c>
      <c r="P185" t="n">
        <v>25303</v>
      </c>
      <c r="Q185" t="n">
        <v>6640</v>
      </c>
    </row>
    <row r="186">
      <c r="A186" s="135" t="n">
        <v>39203</v>
      </c>
      <c r="B186" t="n">
        <v>255752</v>
      </c>
      <c r="C186" t="n">
        <v>370934</v>
      </c>
      <c r="D186" t="n">
        <v>27144</v>
      </c>
      <c r="E186" t="n">
        <v>18545</v>
      </c>
      <c r="F186" t="n">
        <v>45454</v>
      </c>
      <c r="G186" t="n">
        <v>9090</v>
      </c>
      <c r="H186" t="n">
        <v>9331</v>
      </c>
      <c r="I186" t="n">
        <v>36732</v>
      </c>
      <c r="J186" t="n">
        <v>293748</v>
      </c>
      <c r="K186" t="n">
        <v>37996</v>
      </c>
      <c r="L186" t="n">
        <v>47887</v>
      </c>
      <c r="M186" t="n">
        <v>19650</v>
      </c>
      <c r="N186" t="n">
        <v>9843</v>
      </c>
      <c r="O186" t="n">
        <v>77186</v>
      </c>
      <c r="P186" t="n">
        <v>25271</v>
      </c>
      <c r="Q186" t="n">
        <v>6805</v>
      </c>
    </row>
    <row r="187">
      <c r="A187" s="135" t="n">
        <v>39234</v>
      </c>
      <c r="B187" t="n">
        <v>256050</v>
      </c>
      <c r="C187" t="n">
        <v>368154</v>
      </c>
      <c r="D187" t="n">
        <v>26638</v>
      </c>
      <c r="E187" t="n">
        <v>18388</v>
      </c>
      <c r="F187" t="n">
        <v>45627</v>
      </c>
      <c r="G187" t="n">
        <v>9023</v>
      </c>
      <c r="H187" t="n">
        <v>9264</v>
      </c>
      <c r="I187" t="n">
        <v>37078</v>
      </c>
      <c r="J187" t="n">
        <v>293360</v>
      </c>
      <c r="K187" t="n">
        <v>37310</v>
      </c>
      <c r="L187" t="n">
        <v>47852</v>
      </c>
      <c r="M187" t="n">
        <v>19880</v>
      </c>
      <c r="N187" t="n">
        <v>9988</v>
      </c>
      <c r="O187" t="n">
        <v>74794</v>
      </c>
      <c r="P187" t="n">
        <v>25462</v>
      </c>
      <c r="Q187" t="n">
        <v>6850</v>
      </c>
    </row>
    <row r="188">
      <c r="A188" s="135" t="n">
        <v>39264</v>
      </c>
      <c r="B188" t="n">
        <v>257719</v>
      </c>
      <c r="C188" t="n">
        <v>369614</v>
      </c>
      <c r="D188" t="n">
        <v>26860</v>
      </c>
      <c r="E188" t="n">
        <v>18522</v>
      </c>
      <c r="F188" t="n">
        <v>45754</v>
      </c>
      <c r="G188" t="n">
        <v>9088</v>
      </c>
      <c r="H188" t="n">
        <v>9315</v>
      </c>
      <c r="I188" t="n">
        <v>37272</v>
      </c>
      <c r="J188" t="n">
        <v>294682</v>
      </c>
      <c r="K188" t="n">
        <v>36963</v>
      </c>
      <c r="L188" t="n">
        <v>48412</v>
      </c>
      <c r="M188" t="n">
        <v>19831</v>
      </c>
      <c r="N188" t="n">
        <v>9759</v>
      </c>
      <c r="O188" t="n">
        <v>74932</v>
      </c>
      <c r="P188" t="n">
        <v>25970</v>
      </c>
      <c r="Q188" t="n">
        <v>6936</v>
      </c>
    </row>
    <row r="189">
      <c r="A189" s="135" t="n">
        <v>39295</v>
      </c>
      <c r="B189" t="n">
        <v>257586</v>
      </c>
      <c r="C189" t="n">
        <v>371358</v>
      </c>
      <c r="D189" t="n">
        <v>26625</v>
      </c>
      <c r="E189" t="n">
        <v>18491</v>
      </c>
      <c r="F189" t="n">
        <v>45643</v>
      </c>
      <c r="G189" t="n">
        <v>9274</v>
      </c>
      <c r="H189" t="n">
        <v>9300</v>
      </c>
      <c r="I189" t="n">
        <v>37189</v>
      </c>
      <c r="J189" t="n">
        <v>294809</v>
      </c>
      <c r="K189" t="n">
        <v>37223</v>
      </c>
      <c r="L189" t="n">
        <v>48704</v>
      </c>
      <c r="M189" t="n">
        <v>20014</v>
      </c>
      <c r="N189" t="n">
        <v>9740</v>
      </c>
      <c r="O189" t="n">
        <v>76549</v>
      </c>
      <c r="P189" t="n">
        <v>25826</v>
      </c>
      <c r="Q189" t="n">
        <v>6780</v>
      </c>
    </row>
    <row r="190">
      <c r="A190" s="135" t="n">
        <v>39326</v>
      </c>
      <c r="B190" t="n">
        <v>257483</v>
      </c>
      <c r="C190" t="n">
        <v>372869</v>
      </c>
      <c r="D190" t="n">
        <v>26412</v>
      </c>
      <c r="E190" t="n">
        <v>18412</v>
      </c>
      <c r="F190" t="n">
        <v>45853</v>
      </c>
      <c r="G190" t="n">
        <v>9174</v>
      </c>
      <c r="H190" t="n">
        <v>9141</v>
      </c>
      <c r="I190" t="n">
        <v>37427</v>
      </c>
      <c r="J190" t="n">
        <v>295693</v>
      </c>
      <c r="K190" t="n">
        <v>38210</v>
      </c>
      <c r="L190" t="n">
        <v>48288</v>
      </c>
      <c r="M190" t="n">
        <v>20132</v>
      </c>
      <c r="N190" t="n">
        <v>9783</v>
      </c>
      <c r="O190" t="n">
        <v>77176</v>
      </c>
      <c r="P190" t="n">
        <v>26112</v>
      </c>
      <c r="Q190" t="n">
        <v>6749</v>
      </c>
    </row>
    <row r="191">
      <c r="A191" s="135" t="n">
        <v>39356</v>
      </c>
      <c r="B191" t="n">
        <v>258365</v>
      </c>
      <c r="C191" t="n">
        <v>375289</v>
      </c>
      <c r="D191" t="n">
        <v>26248</v>
      </c>
      <c r="E191" t="n">
        <v>18431</v>
      </c>
      <c r="F191" t="n">
        <v>46113</v>
      </c>
      <c r="G191" t="n">
        <v>9293</v>
      </c>
      <c r="H191" t="n">
        <v>9142</v>
      </c>
      <c r="I191" t="n">
        <v>37759</v>
      </c>
      <c r="J191" t="n">
        <v>297672</v>
      </c>
      <c r="K191" t="n">
        <v>39307</v>
      </c>
      <c r="L191" t="n">
        <v>48540</v>
      </c>
      <c r="M191" t="n">
        <v>19988</v>
      </c>
      <c r="N191" t="n">
        <v>9620</v>
      </c>
      <c r="O191" t="n">
        <v>77617</v>
      </c>
      <c r="P191" t="n">
        <v>26397</v>
      </c>
      <c r="Q191" t="n">
        <v>6834</v>
      </c>
    </row>
    <row r="192">
      <c r="A192" s="135" t="n">
        <v>39387</v>
      </c>
      <c r="B192" t="n">
        <v>260954</v>
      </c>
      <c r="C192" t="n">
        <v>378860</v>
      </c>
      <c r="D192" t="n">
        <v>26566</v>
      </c>
      <c r="E192" t="n">
        <v>18759</v>
      </c>
      <c r="F192" t="n">
        <v>46624</v>
      </c>
      <c r="G192" t="n">
        <v>9562</v>
      </c>
      <c r="H192" t="n">
        <v>9094</v>
      </c>
      <c r="I192" t="n">
        <v>37727</v>
      </c>
      <c r="J192" t="n">
        <v>302939</v>
      </c>
      <c r="K192" t="n">
        <v>41985</v>
      </c>
      <c r="L192" t="n">
        <v>49047</v>
      </c>
      <c r="M192" t="n">
        <v>19938</v>
      </c>
      <c r="N192" t="n">
        <v>9632</v>
      </c>
      <c r="O192" t="n">
        <v>75921</v>
      </c>
      <c r="P192" t="n">
        <v>27065</v>
      </c>
      <c r="Q192" t="n">
        <v>6940</v>
      </c>
    </row>
    <row r="193">
      <c r="A193" s="135" t="n">
        <v>39417</v>
      </c>
      <c r="B193" t="n">
        <v>259360</v>
      </c>
      <c r="C193" t="n">
        <v>374298</v>
      </c>
      <c r="D193" t="n">
        <v>25634</v>
      </c>
      <c r="E193" t="n">
        <v>18570</v>
      </c>
      <c r="F193" t="n">
        <v>46831</v>
      </c>
      <c r="G193" t="n">
        <v>9368</v>
      </c>
      <c r="H193" t="n">
        <v>9009</v>
      </c>
      <c r="I193" t="n">
        <v>38109</v>
      </c>
      <c r="J193" t="n">
        <v>300953</v>
      </c>
      <c r="K193" t="n">
        <v>41593</v>
      </c>
      <c r="L193" t="n">
        <v>49302</v>
      </c>
      <c r="M193" t="n">
        <v>19825</v>
      </c>
      <c r="N193" t="n">
        <v>9688</v>
      </c>
      <c r="O193" t="n">
        <v>73345</v>
      </c>
      <c r="P193" t="n">
        <v>26268</v>
      </c>
      <c r="Q193" t="n">
        <v>6756</v>
      </c>
    </row>
    <row r="194">
      <c r="A194" s="135" t="n">
        <v>39448</v>
      </c>
      <c r="B194" t="n">
        <v>258979</v>
      </c>
      <c r="C194" t="n">
        <v>375236</v>
      </c>
      <c r="D194" t="n">
        <v>25721</v>
      </c>
      <c r="E194" t="n">
        <v>18542</v>
      </c>
      <c r="F194" t="n">
        <v>46862</v>
      </c>
      <c r="G194" t="n">
        <v>9175</v>
      </c>
      <c r="H194" t="n">
        <v>8873</v>
      </c>
      <c r="I194" t="n">
        <v>37824</v>
      </c>
      <c r="J194" t="n">
        <v>301402</v>
      </c>
      <c r="K194" t="n">
        <v>42423</v>
      </c>
      <c r="L194" t="n">
        <v>48951</v>
      </c>
      <c r="M194" t="n">
        <v>20120</v>
      </c>
      <c r="N194" t="n">
        <v>10074</v>
      </c>
      <c r="O194" t="n">
        <v>73834</v>
      </c>
      <c r="P194" t="n">
        <v>26019</v>
      </c>
      <c r="Q194" t="n">
        <v>6818</v>
      </c>
    </row>
    <row r="195">
      <c r="A195" s="135" t="n">
        <v>39479</v>
      </c>
      <c r="B195" t="n">
        <v>257123</v>
      </c>
      <c r="C195" t="n">
        <v>371833</v>
      </c>
      <c r="D195" t="n">
        <v>25659</v>
      </c>
      <c r="E195" t="n">
        <v>18280</v>
      </c>
      <c r="F195" t="n">
        <v>46707</v>
      </c>
      <c r="G195" t="n">
        <v>9196</v>
      </c>
      <c r="H195" t="n">
        <v>8594</v>
      </c>
      <c r="I195" t="n">
        <v>37249</v>
      </c>
      <c r="J195" t="n">
        <v>299627</v>
      </c>
      <c r="K195" t="n">
        <v>42504</v>
      </c>
      <c r="L195" t="n">
        <v>48927</v>
      </c>
      <c r="M195" t="n">
        <v>20279</v>
      </c>
      <c r="N195" t="n">
        <v>9380</v>
      </c>
      <c r="O195" t="n">
        <v>72206</v>
      </c>
      <c r="P195" t="n">
        <v>26101</v>
      </c>
      <c r="Q195" t="n">
        <v>6751</v>
      </c>
    </row>
    <row r="196">
      <c r="A196" s="135" t="n">
        <v>39508</v>
      </c>
      <c r="B196" t="n">
        <v>257927</v>
      </c>
      <c r="C196" t="n">
        <v>372745</v>
      </c>
      <c r="D196" t="n">
        <v>25456</v>
      </c>
      <c r="E196" t="n">
        <v>18338</v>
      </c>
      <c r="F196" t="n">
        <v>46883</v>
      </c>
      <c r="G196" t="n">
        <v>9171</v>
      </c>
      <c r="H196" t="n">
        <v>8631</v>
      </c>
      <c r="I196" t="n">
        <v>37552</v>
      </c>
      <c r="J196" t="n">
        <v>300971</v>
      </c>
      <c r="K196" t="n">
        <v>43044</v>
      </c>
      <c r="L196" t="n">
        <v>48990</v>
      </c>
      <c r="M196" t="n">
        <v>20288</v>
      </c>
      <c r="N196" t="n">
        <v>9355</v>
      </c>
      <c r="O196" t="n">
        <v>71774</v>
      </c>
      <c r="P196" t="n">
        <v>26530</v>
      </c>
      <c r="Q196" t="n">
        <v>6733</v>
      </c>
    </row>
    <row r="197">
      <c r="A197" s="135" t="n">
        <v>39539</v>
      </c>
      <c r="B197" t="n">
        <v>259587</v>
      </c>
      <c r="C197" t="n">
        <v>372572</v>
      </c>
      <c r="D197" t="n">
        <v>25292</v>
      </c>
      <c r="E197" t="n">
        <v>18384</v>
      </c>
      <c r="F197" t="n">
        <v>47356</v>
      </c>
      <c r="G197" t="n">
        <v>9286</v>
      </c>
      <c r="H197" t="n">
        <v>8606</v>
      </c>
      <c r="I197" t="n">
        <v>37729</v>
      </c>
      <c r="J197" t="n">
        <v>302520</v>
      </c>
      <c r="K197" t="n">
        <v>42933</v>
      </c>
      <c r="L197" t="n">
        <v>49433</v>
      </c>
      <c r="M197" t="n">
        <v>20172</v>
      </c>
      <c r="N197" t="n">
        <v>9277</v>
      </c>
      <c r="O197" t="n">
        <v>70052</v>
      </c>
      <c r="P197" t="n">
        <v>27243</v>
      </c>
      <c r="Q197" t="n">
        <v>6809</v>
      </c>
    </row>
    <row r="198">
      <c r="A198" s="135" t="n">
        <v>39569</v>
      </c>
      <c r="B198" t="n">
        <v>262549</v>
      </c>
      <c r="C198" t="n">
        <v>376036</v>
      </c>
      <c r="D198" t="n">
        <v>25650</v>
      </c>
      <c r="E198" t="n">
        <v>18642</v>
      </c>
      <c r="F198" t="n">
        <v>47355</v>
      </c>
      <c r="G198" t="n">
        <v>9530</v>
      </c>
      <c r="H198" t="n">
        <v>8587</v>
      </c>
      <c r="I198" t="n">
        <v>38089</v>
      </c>
      <c r="J198" t="n">
        <v>306893</v>
      </c>
      <c r="K198" t="n">
        <v>44344</v>
      </c>
      <c r="L198" t="n">
        <v>50375</v>
      </c>
      <c r="M198" t="n">
        <v>20536</v>
      </c>
      <c r="N198" t="n">
        <v>9310</v>
      </c>
      <c r="O198" t="n">
        <v>69143</v>
      </c>
      <c r="P198" t="n">
        <v>27526</v>
      </c>
      <c r="Q198" t="n">
        <v>6949</v>
      </c>
    </row>
    <row r="199">
      <c r="A199" s="135" t="n">
        <v>39600</v>
      </c>
      <c r="B199" t="n">
        <v>262747</v>
      </c>
      <c r="C199" t="n">
        <v>376455</v>
      </c>
      <c r="D199" t="n">
        <v>25700</v>
      </c>
      <c r="E199" t="n">
        <v>18708</v>
      </c>
      <c r="F199" t="n">
        <v>47568</v>
      </c>
      <c r="G199" t="n">
        <v>9305</v>
      </c>
      <c r="H199" t="n">
        <v>8473</v>
      </c>
      <c r="I199" t="n">
        <v>38144</v>
      </c>
      <c r="J199" t="n">
        <v>309294</v>
      </c>
      <c r="K199" t="n">
        <v>46547</v>
      </c>
      <c r="L199" t="n">
        <v>50762</v>
      </c>
      <c r="M199" t="n">
        <v>20497</v>
      </c>
      <c r="N199" t="n">
        <v>9308</v>
      </c>
      <c r="O199" t="n">
        <v>67161</v>
      </c>
      <c r="P199" t="n">
        <v>27403</v>
      </c>
      <c r="Q199" t="n">
        <v>6879</v>
      </c>
    </row>
    <row r="200">
      <c r="A200" s="135" t="n">
        <v>39630</v>
      </c>
      <c r="B200" t="n">
        <v>263828</v>
      </c>
      <c r="C200" t="n">
        <v>375038</v>
      </c>
      <c r="D200" t="n">
        <v>25897</v>
      </c>
      <c r="E200" t="n">
        <v>18635</v>
      </c>
      <c r="F200" t="n">
        <v>47845</v>
      </c>
      <c r="G200" t="n">
        <v>9329</v>
      </c>
      <c r="H200" t="n">
        <v>8369</v>
      </c>
      <c r="I200" t="n">
        <v>38267</v>
      </c>
      <c r="J200" t="n">
        <v>310641</v>
      </c>
      <c r="K200" t="n">
        <v>46813</v>
      </c>
      <c r="L200" t="n">
        <v>50582</v>
      </c>
      <c r="M200" t="n">
        <v>20640</v>
      </c>
      <c r="N200" t="n">
        <v>9583</v>
      </c>
      <c r="O200" t="n">
        <v>64397</v>
      </c>
      <c r="P200" t="n">
        <v>27823</v>
      </c>
      <c r="Q200" t="n">
        <v>6858</v>
      </c>
    </row>
    <row r="201">
      <c r="A201" s="135" t="n">
        <v>39661</v>
      </c>
      <c r="B201" t="n">
        <v>261654</v>
      </c>
      <c r="C201" t="n">
        <v>372284</v>
      </c>
      <c r="D201" t="n">
        <v>25329</v>
      </c>
      <c r="E201" t="n">
        <v>18524</v>
      </c>
      <c r="F201" t="n">
        <v>47988</v>
      </c>
      <c r="G201" t="n">
        <v>9201</v>
      </c>
      <c r="H201" t="n">
        <v>8154</v>
      </c>
      <c r="I201" t="n">
        <v>38239</v>
      </c>
      <c r="J201" t="n">
        <v>307299</v>
      </c>
      <c r="K201" t="n">
        <v>45645</v>
      </c>
      <c r="L201" t="n">
        <v>50131</v>
      </c>
      <c r="M201" t="n">
        <v>20620</v>
      </c>
      <c r="N201" t="n">
        <v>9163</v>
      </c>
      <c r="O201" t="n">
        <v>64985</v>
      </c>
      <c r="P201" t="n">
        <v>27374</v>
      </c>
      <c r="Q201" t="n">
        <v>6931</v>
      </c>
    </row>
    <row r="202">
      <c r="A202" s="135" t="n">
        <v>39692</v>
      </c>
      <c r="B202" t="n">
        <v>258403</v>
      </c>
      <c r="C202" t="n">
        <v>366729</v>
      </c>
      <c r="D202" t="n">
        <v>25217</v>
      </c>
      <c r="E202" t="n">
        <v>17560</v>
      </c>
      <c r="F202" t="n">
        <v>47740</v>
      </c>
      <c r="G202" t="n">
        <v>8814</v>
      </c>
      <c r="H202" t="n">
        <v>7722</v>
      </c>
      <c r="I202" t="n">
        <v>38386</v>
      </c>
      <c r="J202" t="n">
        <v>304180</v>
      </c>
      <c r="K202" t="n">
        <v>45777</v>
      </c>
      <c r="L202" t="n">
        <v>49436</v>
      </c>
      <c r="M202" t="n">
        <v>20654</v>
      </c>
      <c r="N202" t="n">
        <v>9080</v>
      </c>
      <c r="O202" t="n">
        <v>62549</v>
      </c>
      <c r="P202" t="n">
        <v>27258</v>
      </c>
      <c r="Q202" t="n">
        <v>6536</v>
      </c>
    </row>
    <row r="203">
      <c r="A203" s="135" t="n">
        <v>39722</v>
      </c>
      <c r="B203" t="n">
        <v>255767</v>
      </c>
      <c r="C203" t="n">
        <v>352950</v>
      </c>
      <c r="D203" t="n">
        <v>24568</v>
      </c>
      <c r="E203" t="n">
        <v>17317</v>
      </c>
      <c r="F203" t="n">
        <v>47703</v>
      </c>
      <c r="G203" t="n">
        <v>8732</v>
      </c>
      <c r="H203" t="n">
        <v>7735</v>
      </c>
      <c r="I203" t="n">
        <v>38120</v>
      </c>
      <c r="J203" t="n">
        <v>296351</v>
      </c>
      <c r="K203" t="n">
        <v>40584</v>
      </c>
      <c r="L203" t="n">
        <v>49260</v>
      </c>
      <c r="M203" t="n">
        <v>20659</v>
      </c>
      <c r="N203" t="n">
        <v>8914</v>
      </c>
      <c r="O203" t="n">
        <v>56599</v>
      </c>
      <c r="P203" t="n">
        <v>26333</v>
      </c>
      <c r="Q203" t="n">
        <v>6426</v>
      </c>
    </row>
    <row r="204">
      <c r="A204" s="135" t="n">
        <v>39753</v>
      </c>
      <c r="B204" t="n">
        <v>252590</v>
      </c>
      <c r="C204" t="n">
        <v>339350</v>
      </c>
      <c r="D204" t="n">
        <v>23196</v>
      </c>
      <c r="E204" t="n">
        <v>17173</v>
      </c>
      <c r="F204" t="n">
        <v>47363</v>
      </c>
      <c r="G204" t="n">
        <v>8737</v>
      </c>
      <c r="H204" t="n">
        <v>7640</v>
      </c>
      <c r="I204" t="n">
        <v>38018</v>
      </c>
      <c r="J204" t="n">
        <v>284366</v>
      </c>
      <c r="K204" t="n">
        <v>31776</v>
      </c>
      <c r="L204" t="n">
        <v>49464</v>
      </c>
      <c r="M204" t="n">
        <v>20789</v>
      </c>
      <c r="N204" t="n">
        <v>8630</v>
      </c>
      <c r="O204" t="n">
        <v>54984</v>
      </c>
      <c r="P204" t="n">
        <v>25149</v>
      </c>
      <c r="Q204" t="n">
        <v>6431</v>
      </c>
    </row>
    <row r="205">
      <c r="A205" s="135" t="n">
        <v>39783</v>
      </c>
      <c r="B205" t="n">
        <v>249969</v>
      </c>
      <c r="C205" t="n">
        <v>332091</v>
      </c>
      <c r="D205" t="n">
        <v>22909</v>
      </c>
      <c r="E205" t="n">
        <v>16868</v>
      </c>
      <c r="F205" t="n">
        <v>46942</v>
      </c>
      <c r="G205" t="n">
        <v>8351</v>
      </c>
      <c r="H205" t="n">
        <v>7460</v>
      </c>
      <c r="I205" t="n">
        <v>38066</v>
      </c>
      <c r="J205" t="n">
        <v>277968</v>
      </c>
      <c r="K205" t="n">
        <v>27999</v>
      </c>
      <c r="L205" t="n">
        <v>48906</v>
      </c>
      <c r="M205" t="n">
        <v>20682</v>
      </c>
      <c r="N205" t="n">
        <v>8564</v>
      </c>
      <c r="O205" t="n">
        <v>54123</v>
      </c>
      <c r="P205" t="n">
        <v>24751</v>
      </c>
      <c r="Q205" t="n">
        <v>6470</v>
      </c>
    </row>
    <row r="206">
      <c r="A206" s="135" t="n">
        <v>39814</v>
      </c>
      <c r="B206" t="n">
        <v>252321</v>
      </c>
      <c r="C206" t="n">
        <v>336929</v>
      </c>
      <c r="D206" t="n">
        <v>22758</v>
      </c>
      <c r="E206" t="n">
        <v>17159</v>
      </c>
      <c r="F206" t="n">
        <v>47639</v>
      </c>
      <c r="G206" t="n">
        <v>8884</v>
      </c>
      <c r="H206" t="n">
        <v>7363</v>
      </c>
      <c r="I206" t="n">
        <v>38256</v>
      </c>
      <c r="J206" t="n">
        <v>281139</v>
      </c>
      <c r="K206" t="n">
        <v>28818</v>
      </c>
      <c r="L206" t="n">
        <v>49288</v>
      </c>
      <c r="M206" t="n">
        <v>20753</v>
      </c>
      <c r="N206" t="n">
        <v>8511</v>
      </c>
      <c r="O206" t="n">
        <v>55790</v>
      </c>
      <c r="P206" t="n">
        <v>25049</v>
      </c>
      <c r="Q206" t="n">
        <v>6661</v>
      </c>
    </row>
    <row r="207">
      <c r="A207" s="135" t="n">
        <v>39845</v>
      </c>
      <c r="B207" t="n">
        <v>251528</v>
      </c>
      <c r="C207" t="n">
        <v>335576</v>
      </c>
      <c r="D207" t="n">
        <v>22498</v>
      </c>
      <c r="E207" t="n">
        <v>17401</v>
      </c>
      <c r="F207" t="n">
        <v>46928</v>
      </c>
      <c r="G207" t="n">
        <v>8844</v>
      </c>
      <c r="H207" t="n">
        <v>7285</v>
      </c>
      <c r="I207" t="n">
        <v>37945</v>
      </c>
      <c r="J207" t="n">
        <v>281388</v>
      </c>
      <c r="K207" t="n">
        <v>29860</v>
      </c>
      <c r="L207" t="n">
        <v>49199</v>
      </c>
      <c r="M207" t="n">
        <v>20906</v>
      </c>
      <c r="N207" t="n">
        <v>8746</v>
      </c>
      <c r="O207" t="n">
        <v>54188</v>
      </c>
      <c r="P207" t="n">
        <v>25241</v>
      </c>
      <c r="Q207" t="n">
        <v>6535</v>
      </c>
    </row>
    <row r="208">
      <c r="A208" s="135" t="n">
        <v>39873</v>
      </c>
      <c r="B208" t="n">
        <v>247822</v>
      </c>
      <c r="C208" t="n">
        <v>329747</v>
      </c>
      <c r="D208" t="n">
        <v>22149</v>
      </c>
      <c r="E208" t="n">
        <v>16510</v>
      </c>
      <c r="F208" t="n">
        <v>46912</v>
      </c>
      <c r="G208" t="n">
        <v>8099</v>
      </c>
      <c r="H208" t="n">
        <v>7041</v>
      </c>
      <c r="I208" t="n">
        <v>37447</v>
      </c>
      <c r="J208" t="n">
        <v>276647</v>
      </c>
      <c r="K208" t="n">
        <v>28825</v>
      </c>
      <c r="L208" t="n">
        <v>48840</v>
      </c>
      <c r="M208" t="n">
        <v>20908</v>
      </c>
      <c r="N208" t="n">
        <v>8615</v>
      </c>
      <c r="O208" t="n">
        <v>53100</v>
      </c>
      <c r="P208" t="n">
        <v>24941</v>
      </c>
      <c r="Q208" t="n">
        <v>6360</v>
      </c>
    </row>
    <row r="209">
      <c r="A209" s="135" t="n">
        <v>39904</v>
      </c>
      <c r="B209" t="n">
        <v>249048</v>
      </c>
      <c r="C209" t="n">
        <v>331352</v>
      </c>
      <c r="D209" t="n">
        <v>22092</v>
      </c>
      <c r="E209" t="n">
        <v>16900</v>
      </c>
      <c r="F209" t="n">
        <v>47133</v>
      </c>
      <c r="G209" t="n">
        <v>8049</v>
      </c>
      <c r="H209" t="n">
        <v>7067</v>
      </c>
      <c r="I209" t="n">
        <v>37738</v>
      </c>
      <c r="J209" t="n">
        <v>277795</v>
      </c>
      <c r="K209" t="n">
        <v>28747</v>
      </c>
      <c r="L209" t="n">
        <v>48887</v>
      </c>
      <c r="M209" t="n">
        <v>21059</v>
      </c>
      <c r="N209" t="n">
        <v>8677</v>
      </c>
      <c r="O209" t="n">
        <v>53557</v>
      </c>
      <c r="P209" t="n">
        <v>24932</v>
      </c>
      <c r="Q209" t="n">
        <v>6514</v>
      </c>
    </row>
    <row r="210">
      <c r="A210" s="135" t="n">
        <v>39934</v>
      </c>
      <c r="B210" t="n">
        <v>249679</v>
      </c>
      <c r="C210" t="n">
        <v>334256</v>
      </c>
      <c r="D210" t="n">
        <v>22310</v>
      </c>
      <c r="E210" t="n">
        <v>17038</v>
      </c>
      <c r="F210" t="n">
        <v>47219</v>
      </c>
      <c r="G210" t="n">
        <v>8026</v>
      </c>
      <c r="H210" t="n">
        <v>7087</v>
      </c>
      <c r="I210" t="n">
        <v>37755</v>
      </c>
      <c r="J210" t="n">
        <v>280167</v>
      </c>
      <c r="K210" t="n">
        <v>30488</v>
      </c>
      <c r="L210" t="n">
        <v>49085</v>
      </c>
      <c r="M210" t="n">
        <v>21121</v>
      </c>
      <c r="N210" t="n">
        <v>8426</v>
      </c>
      <c r="O210" t="n">
        <v>54089</v>
      </c>
      <c r="P210" t="n">
        <v>25159</v>
      </c>
      <c r="Q210" t="n">
        <v>6453</v>
      </c>
    </row>
    <row r="211">
      <c r="A211" s="135" t="n">
        <v>39965</v>
      </c>
      <c r="B211" t="n">
        <v>249897</v>
      </c>
      <c r="C211" t="n">
        <v>339883</v>
      </c>
      <c r="D211" t="n">
        <v>22332</v>
      </c>
      <c r="E211" t="n">
        <v>16817</v>
      </c>
      <c r="F211" t="n">
        <v>47350</v>
      </c>
      <c r="G211" t="n">
        <v>8039</v>
      </c>
      <c r="H211" t="n">
        <v>7092</v>
      </c>
      <c r="I211" t="n">
        <v>37714</v>
      </c>
      <c r="J211" t="n">
        <v>283272</v>
      </c>
      <c r="K211" t="n">
        <v>33375</v>
      </c>
      <c r="L211" t="n">
        <v>48792</v>
      </c>
      <c r="M211" t="n">
        <v>21055</v>
      </c>
      <c r="N211" t="n">
        <v>8465</v>
      </c>
      <c r="O211" t="n">
        <v>56611</v>
      </c>
      <c r="P211" t="n">
        <v>25768</v>
      </c>
      <c r="Q211" t="n">
        <v>6473</v>
      </c>
    </row>
    <row r="212">
      <c r="A212" s="135" t="n">
        <v>39995</v>
      </c>
      <c r="B212" t="n">
        <v>249703</v>
      </c>
      <c r="C212" t="n">
        <v>340517</v>
      </c>
      <c r="D212" t="n">
        <v>21883</v>
      </c>
      <c r="E212" t="n">
        <v>17015</v>
      </c>
      <c r="F212" t="n">
        <v>47330</v>
      </c>
      <c r="G212" t="n">
        <v>7965</v>
      </c>
      <c r="H212" t="n">
        <v>7039</v>
      </c>
      <c r="I212" t="n">
        <v>37715</v>
      </c>
      <c r="J212" t="n">
        <v>282769</v>
      </c>
      <c r="K212" t="n">
        <v>33066</v>
      </c>
      <c r="L212" t="n">
        <v>48812</v>
      </c>
      <c r="M212" t="n">
        <v>21027</v>
      </c>
      <c r="N212" t="n">
        <v>8352</v>
      </c>
      <c r="O212" t="n">
        <v>57748</v>
      </c>
      <c r="P212" t="n">
        <v>26110</v>
      </c>
      <c r="Q212" t="n">
        <v>6455</v>
      </c>
    </row>
    <row r="213">
      <c r="A213" s="135" t="n">
        <v>40026</v>
      </c>
      <c r="B213" t="n">
        <v>249747</v>
      </c>
      <c r="C213" t="n">
        <v>346668</v>
      </c>
      <c r="D213" t="n">
        <v>21474</v>
      </c>
      <c r="E213" t="n">
        <v>17233</v>
      </c>
      <c r="F213" t="n">
        <v>47309</v>
      </c>
      <c r="G213" t="n">
        <v>8000</v>
      </c>
      <c r="H213" t="n">
        <v>6991</v>
      </c>
      <c r="I213" t="n">
        <v>37645</v>
      </c>
      <c r="J213" t="n">
        <v>284405</v>
      </c>
      <c r="K213" t="n">
        <v>34658</v>
      </c>
      <c r="L213" t="n">
        <v>48934</v>
      </c>
      <c r="M213" t="n">
        <v>21070</v>
      </c>
      <c r="N213" t="n">
        <v>8313</v>
      </c>
      <c r="O213" t="n">
        <v>62263</v>
      </c>
      <c r="P213" t="n">
        <v>26150</v>
      </c>
      <c r="Q213" t="n">
        <v>6628</v>
      </c>
    </row>
    <row r="214">
      <c r="A214" s="135" t="n">
        <v>40057</v>
      </c>
      <c r="B214" t="n">
        <v>250173</v>
      </c>
      <c r="C214" t="n">
        <v>338507</v>
      </c>
      <c r="D214" t="n">
        <v>21363</v>
      </c>
      <c r="E214" t="n">
        <v>17172</v>
      </c>
      <c r="F214" t="n">
        <v>47559</v>
      </c>
      <c r="G214" t="n">
        <v>7965</v>
      </c>
      <c r="H214" t="n">
        <v>6981</v>
      </c>
      <c r="I214" t="n">
        <v>37474</v>
      </c>
      <c r="J214" t="n">
        <v>284973</v>
      </c>
      <c r="K214" t="n">
        <v>34800</v>
      </c>
      <c r="L214" t="n">
        <v>49220</v>
      </c>
      <c r="M214" t="n">
        <v>21231</v>
      </c>
      <c r="N214" t="n">
        <v>8385</v>
      </c>
      <c r="O214" t="n">
        <v>53534</v>
      </c>
      <c r="P214" t="n">
        <v>26339</v>
      </c>
      <c r="Q214" t="n">
        <v>6484</v>
      </c>
    </row>
    <row r="215">
      <c r="A215" s="135" t="n">
        <v>40087</v>
      </c>
      <c r="B215" t="n">
        <v>250300</v>
      </c>
      <c r="C215" t="n">
        <v>341654</v>
      </c>
      <c r="D215" t="n">
        <v>20661</v>
      </c>
      <c r="E215" t="n">
        <v>17296</v>
      </c>
      <c r="F215" t="n">
        <v>47603</v>
      </c>
      <c r="G215" t="n">
        <v>7920</v>
      </c>
      <c r="H215" t="n">
        <v>6915</v>
      </c>
      <c r="I215" t="n">
        <v>37500</v>
      </c>
      <c r="J215" t="n">
        <v>285185</v>
      </c>
      <c r="K215" t="n">
        <v>34885</v>
      </c>
      <c r="L215" t="n">
        <v>49725</v>
      </c>
      <c r="M215" t="n">
        <v>21278</v>
      </c>
      <c r="N215" t="n">
        <v>8360</v>
      </c>
      <c r="O215" t="n">
        <v>56469</v>
      </c>
      <c r="P215" t="n">
        <v>26634</v>
      </c>
      <c r="Q215" t="n">
        <v>6408</v>
      </c>
    </row>
    <row r="216">
      <c r="A216" s="135" t="n">
        <v>40118</v>
      </c>
      <c r="B216" t="n">
        <v>250447</v>
      </c>
      <c r="C216" t="n">
        <v>344375</v>
      </c>
      <c r="D216" t="n">
        <v>20931</v>
      </c>
      <c r="E216" t="n">
        <v>17105</v>
      </c>
      <c r="F216" t="n">
        <v>47689</v>
      </c>
      <c r="G216" t="n">
        <v>8208</v>
      </c>
      <c r="H216" t="n">
        <v>6991</v>
      </c>
      <c r="I216" t="n">
        <v>37700</v>
      </c>
      <c r="J216" t="n">
        <v>287020</v>
      </c>
      <c r="K216" t="n">
        <v>36573</v>
      </c>
      <c r="L216" t="n">
        <v>49156</v>
      </c>
      <c r="M216" t="n">
        <v>21288</v>
      </c>
      <c r="N216" t="n">
        <v>8406</v>
      </c>
      <c r="O216" t="n">
        <v>57355</v>
      </c>
      <c r="P216" t="n">
        <v>26666</v>
      </c>
      <c r="Q216" t="n">
        <v>6307</v>
      </c>
    </row>
    <row r="217">
      <c r="A217" s="135" t="n">
        <v>40148</v>
      </c>
      <c r="B217" t="n">
        <v>251811</v>
      </c>
      <c r="C217" t="n">
        <v>346072</v>
      </c>
      <c r="D217" t="n">
        <v>20849</v>
      </c>
      <c r="E217" t="n">
        <v>17127</v>
      </c>
      <c r="F217" t="n">
        <v>48134</v>
      </c>
      <c r="G217" t="n">
        <v>8068</v>
      </c>
      <c r="H217" t="n">
        <v>7024</v>
      </c>
      <c r="I217" t="n">
        <v>37659</v>
      </c>
      <c r="J217" t="n">
        <v>288993</v>
      </c>
      <c r="K217" t="n">
        <v>37182</v>
      </c>
      <c r="L217" t="n">
        <v>49657</v>
      </c>
      <c r="M217" t="n">
        <v>21195</v>
      </c>
      <c r="N217" t="n">
        <v>8591</v>
      </c>
      <c r="O217" t="n">
        <v>57079</v>
      </c>
      <c r="P217" t="n">
        <v>26984</v>
      </c>
      <c r="Q217" t="n">
        <v>6523</v>
      </c>
    </row>
    <row r="218">
      <c r="A218" s="135" t="n">
        <v>40179</v>
      </c>
      <c r="B218" t="n">
        <v>251861</v>
      </c>
      <c r="C218" t="n">
        <v>345959</v>
      </c>
      <c r="D218" t="n">
        <v>20562</v>
      </c>
      <c r="E218" t="n">
        <v>17346</v>
      </c>
      <c r="F218" t="n">
        <v>47877</v>
      </c>
      <c r="G218" t="n">
        <v>8223</v>
      </c>
      <c r="H218" t="n">
        <v>7011</v>
      </c>
      <c r="I218" t="n">
        <v>37660</v>
      </c>
      <c r="J218" t="n">
        <v>289219</v>
      </c>
      <c r="K218" t="n">
        <v>37358</v>
      </c>
      <c r="L218" t="n">
        <v>49849</v>
      </c>
      <c r="M218" t="n">
        <v>21165</v>
      </c>
      <c r="N218" t="n">
        <v>8365</v>
      </c>
      <c r="O218" t="n">
        <v>56740</v>
      </c>
      <c r="P218" t="n">
        <v>27302</v>
      </c>
      <c r="Q218" t="n">
        <v>6501</v>
      </c>
    </row>
    <row r="219">
      <c r="A219" s="135" t="n">
        <v>40210</v>
      </c>
      <c r="B219" t="n">
        <v>254089</v>
      </c>
      <c r="C219" t="n">
        <v>346895</v>
      </c>
      <c r="D219" t="n">
        <v>20448</v>
      </c>
      <c r="E219" t="n">
        <v>17404</v>
      </c>
      <c r="F219" t="n">
        <v>48699</v>
      </c>
      <c r="G219" t="n">
        <v>8491</v>
      </c>
      <c r="H219" t="n">
        <v>7131</v>
      </c>
      <c r="I219" t="n">
        <v>38267</v>
      </c>
      <c r="J219" t="n">
        <v>291039</v>
      </c>
      <c r="K219" t="n">
        <v>36950</v>
      </c>
      <c r="L219" t="n">
        <v>50538</v>
      </c>
      <c r="M219" t="n">
        <v>21199</v>
      </c>
      <c r="N219" t="n">
        <v>8247</v>
      </c>
      <c r="O219" t="n">
        <v>55856</v>
      </c>
      <c r="P219" t="n">
        <v>27253</v>
      </c>
      <c r="Q219" t="n">
        <v>6412</v>
      </c>
    </row>
    <row r="220">
      <c r="A220" s="135" t="n">
        <v>40238</v>
      </c>
      <c r="B220" t="n">
        <v>256322</v>
      </c>
      <c r="C220" t="n">
        <v>354379</v>
      </c>
      <c r="D220" t="n">
        <v>21872</v>
      </c>
      <c r="E220" t="n">
        <v>17918</v>
      </c>
      <c r="F220" t="n">
        <v>48273</v>
      </c>
      <c r="G220" t="n">
        <v>8148</v>
      </c>
      <c r="H220" t="n">
        <v>7228</v>
      </c>
      <c r="I220" t="n">
        <v>38376</v>
      </c>
      <c r="J220" t="n">
        <v>293482</v>
      </c>
      <c r="K220" t="n">
        <v>37160</v>
      </c>
      <c r="L220" t="n">
        <v>50064</v>
      </c>
      <c r="M220" t="n">
        <v>21363</v>
      </c>
      <c r="N220" t="n">
        <v>8704</v>
      </c>
      <c r="O220" t="n">
        <v>60897</v>
      </c>
      <c r="P220" t="n">
        <v>27854</v>
      </c>
      <c r="Q220" t="n">
        <v>6522</v>
      </c>
    </row>
    <row r="221">
      <c r="A221" s="135" t="n">
        <v>40269</v>
      </c>
      <c r="B221" t="n">
        <v>258318</v>
      </c>
      <c r="C221" t="n">
        <v>357365</v>
      </c>
      <c r="D221" t="n">
        <v>23542</v>
      </c>
      <c r="E221" t="n">
        <v>17705</v>
      </c>
      <c r="F221" t="n">
        <v>48173</v>
      </c>
      <c r="G221" t="n">
        <v>8289</v>
      </c>
      <c r="H221" t="n">
        <v>7121</v>
      </c>
      <c r="I221" t="n">
        <v>38658</v>
      </c>
      <c r="J221" t="n">
        <v>295536</v>
      </c>
      <c r="K221" t="n">
        <v>37218</v>
      </c>
      <c r="L221" t="n">
        <v>50656</v>
      </c>
      <c r="M221" t="n">
        <v>21471</v>
      </c>
      <c r="N221" t="n">
        <v>8568</v>
      </c>
      <c r="O221" t="n">
        <v>61829</v>
      </c>
      <c r="P221" t="n">
        <v>27719</v>
      </c>
      <c r="Q221" t="n">
        <v>6416</v>
      </c>
    </row>
    <row r="222">
      <c r="A222" s="135" t="n">
        <v>40299</v>
      </c>
      <c r="B222" t="n">
        <v>256070</v>
      </c>
      <c r="C222" t="n">
        <v>354299</v>
      </c>
      <c r="D222" t="n">
        <v>21737</v>
      </c>
      <c r="E222" t="n">
        <v>17653</v>
      </c>
      <c r="F222" t="n">
        <v>48195</v>
      </c>
      <c r="G222" t="n">
        <v>8366</v>
      </c>
      <c r="H222" t="n">
        <v>7117</v>
      </c>
      <c r="I222" t="n">
        <v>38695</v>
      </c>
      <c r="J222" t="n">
        <v>292676</v>
      </c>
      <c r="K222" t="n">
        <v>36606</v>
      </c>
      <c r="L222" t="n">
        <v>49985</v>
      </c>
      <c r="M222" t="n">
        <v>21399</v>
      </c>
      <c r="N222" t="n">
        <v>8628</v>
      </c>
      <c r="O222" t="n">
        <v>61623</v>
      </c>
      <c r="P222" t="n">
        <v>27799</v>
      </c>
      <c r="Q222" t="n">
        <v>6496</v>
      </c>
    </row>
    <row r="223">
      <c r="A223" s="135" t="n">
        <v>40330</v>
      </c>
      <c r="B223" t="n">
        <v>256754</v>
      </c>
      <c r="C223" t="n">
        <v>353763</v>
      </c>
      <c r="D223" t="n">
        <v>21522</v>
      </c>
      <c r="E223" t="n">
        <v>17522</v>
      </c>
      <c r="F223" t="n">
        <v>47913</v>
      </c>
      <c r="G223" t="n">
        <v>8501</v>
      </c>
      <c r="H223" t="n">
        <v>7072</v>
      </c>
      <c r="I223" t="n">
        <v>38838</v>
      </c>
      <c r="J223" t="n">
        <v>292396</v>
      </c>
      <c r="K223" t="n">
        <v>35642</v>
      </c>
      <c r="L223" t="n">
        <v>49971</v>
      </c>
      <c r="M223" t="n">
        <v>21661</v>
      </c>
      <c r="N223" t="n">
        <v>8795</v>
      </c>
      <c r="O223" t="n">
        <v>61367</v>
      </c>
      <c r="P223" t="n">
        <v>28462</v>
      </c>
      <c r="Q223" t="n">
        <v>6497</v>
      </c>
    </row>
    <row r="224">
      <c r="A224" s="135" t="n">
        <v>40360</v>
      </c>
      <c r="B224" t="n">
        <v>256281</v>
      </c>
      <c r="C224" t="n">
        <v>354665</v>
      </c>
      <c r="D224" t="n">
        <v>21493</v>
      </c>
      <c r="E224" t="n">
        <v>17578</v>
      </c>
      <c r="F224" t="n">
        <v>47907</v>
      </c>
      <c r="G224" t="n">
        <v>8361</v>
      </c>
      <c r="H224" t="n">
        <v>7094</v>
      </c>
      <c r="I224" t="n">
        <v>39033</v>
      </c>
      <c r="J224" t="n">
        <v>292045</v>
      </c>
      <c r="K224" t="n">
        <v>35764</v>
      </c>
      <c r="L224" t="n">
        <v>49870</v>
      </c>
      <c r="M224" t="n">
        <v>21733</v>
      </c>
      <c r="N224" t="n">
        <v>8610</v>
      </c>
      <c r="O224" t="n">
        <v>62620</v>
      </c>
      <c r="P224" t="n">
        <v>28114</v>
      </c>
      <c r="Q224" t="n">
        <v>6488</v>
      </c>
    </row>
    <row r="225">
      <c r="A225" s="135" t="n">
        <v>40391</v>
      </c>
      <c r="B225" t="n">
        <v>257970</v>
      </c>
      <c r="C225" t="n">
        <v>356810</v>
      </c>
      <c r="D225" t="n">
        <v>21296</v>
      </c>
      <c r="E225" t="n">
        <v>17662</v>
      </c>
      <c r="F225" t="n">
        <v>48263</v>
      </c>
      <c r="G225" t="n">
        <v>8337</v>
      </c>
      <c r="H225" t="n">
        <v>7130</v>
      </c>
      <c r="I225" t="n">
        <v>39402</v>
      </c>
      <c r="J225" t="n">
        <v>294159</v>
      </c>
      <c r="K225" t="n">
        <v>36189</v>
      </c>
      <c r="L225" t="n">
        <v>50160</v>
      </c>
      <c r="M225" t="n">
        <v>21863</v>
      </c>
      <c r="N225" t="n">
        <v>8655</v>
      </c>
      <c r="O225" t="n">
        <v>62651</v>
      </c>
      <c r="P225" t="n">
        <v>28756</v>
      </c>
      <c r="Q225" t="n">
        <v>6446</v>
      </c>
    </row>
    <row r="226">
      <c r="A226" s="135" t="n">
        <v>40422</v>
      </c>
      <c r="B226" t="n">
        <v>258848</v>
      </c>
      <c r="C226" t="n">
        <v>359465</v>
      </c>
      <c r="D226" t="n">
        <v>21336</v>
      </c>
      <c r="E226" t="n">
        <v>17687</v>
      </c>
      <c r="F226" t="n">
        <v>48675</v>
      </c>
      <c r="G226" t="n">
        <v>8393</v>
      </c>
      <c r="H226" t="n">
        <v>7108</v>
      </c>
      <c r="I226" t="n">
        <v>39385</v>
      </c>
      <c r="J226" t="n">
        <v>296205</v>
      </c>
      <c r="K226" t="n">
        <v>37357</v>
      </c>
      <c r="L226" t="n">
        <v>50254</v>
      </c>
      <c r="M226" t="n">
        <v>21910</v>
      </c>
      <c r="N226" t="n">
        <v>8766</v>
      </c>
      <c r="O226" t="n">
        <v>63260</v>
      </c>
      <c r="P226" t="n">
        <v>28872</v>
      </c>
      <c r="Q226" t="n">
        <v>6462</v>
      </c>
    </row>
    <row r="227">
      <c r="A227" s="135" t="n">
        <v>40452</v>
      </c>
      <c r="B227" t="n">
        <v>260130</v>
      </c>
      <c r="C227" t="n">
        <v>363340</v>
      </c>
      <c r="D227" t="n">
        <v>22040</v>
      </c>
      <c r="E227" t="n">
        <v>18000</v>
      </c>
      <c r="F227" t="n">
        <v>48568</v>
      </c>
      <c r="G227" t="n">
        <v>8210</v>
      </c>
      <c r="H227" t="n">
        <v>7039</v>
      </c>
      <c r="I227" t="n">
        <v>39440</v>
      </c>
      <c r="J227" t="n">
        <v>298610</v>
      </c>
      <c r="K227" t="n">
        <v>38480</v>
      </c>
      <c r="L227" t="n">
        <v>50259</v>
      </c>
      <c r="M227" t="n">
        <v>22128</v>
      </c>
      <c r="N227" t="n">
        <v>8929</v>
      </c>
      <c r="O227" t="n">
        <v>64730</v>
      </c>
      <c r="P227" t="n">
        <v>28946</v>
      </c>
      <c r="Q227" t="n">
        <v>6571</v>
      </c>
    </row>
    <row r="228">
      <c r="A228" s="135" t="n">
        <v>40483</v>
      </c>
      <c r="B228" t="n">
        <v>262671</v>
      </c>
      <c r="C228" t="n">
        <v>367455</v>
      </c>
      <c r="D228" t="n">
        <v>21977</v>
      </c>
      <c r="E228" t="n">
        <v>18435</v>
      </c>
      <c r="F228" t="n">
        <v>49133</v>
      </c>
      <c r="G228" t="n">
        <v>8121</v>
      </c>
      <c r="H228" t="n">
        <v>7098</v>
      </c>
      <c r="I228" t="n">
        <v>39710</v>
      </c>
      <c r="J228" t="n">
        <v>301943</v>
      </c>
      <c r="K228" t="n">
        <v>39272</v>
      </c>
      <c r="L228" t="n">
        <v>51386</v>
      </c>
      <c r="M228" t="n">
        <v>22180</v>
      </c>
      <c r="N228" t="n">
        <v>8905</v>
      </c>
      <c r="O228" t="n">
        <v>65512</v>
      </c>
      <c r="P228" t="n">
        <v>28951</v>
      </c>
      <c r="Q228" t="n">
        <v>6775</v>
      </c>
    </row>
    <row r="229">
      <c r="A229" s="135" t="n">
        <v>40513</v>
      </c>
      <c r="B229" t="n">
        <v>262619</v>
      </c>
      <c r="C229" t="n">
        <v>369135</v>
      </c>
      <c r="D229" t="n">
        <v>22112</v>
      </c>
      <c r="E229" t="n">
        <v>18178</v>
      </c>
      <c r="F229" t="n">
        <v>49184</v>
      </c>
      <c r="G229" t="n">
        <v>8274</v>
      </c>
      <c r="H229" t="n">
        <v>7068</v>
      </c>
      <c r="I229" t="n">
        <v>39508</v>
      </c>
      <c r="J229" t="n">
        <v>303898</v>
      </c>
      <c r="K229" t="n">
        <v>41279</v>
      </c>
      <c r="L229" t="n">
        <v>50916</v>
      </c>
      <c r="M229" t="n">
        <v>22272</v>
      </c>
      <c r="N229" t="n">
        <v>8881</v>
      </c>
      <c r="O229" t="n">
        <v>65237</v>
      </c>
      <c r="P229" t="n">
        <v>29642</v>
      </c>
      <c r="Q229" t="n">
        <v>6584</v>
      </c>
    </row>
    <row r="230">
      <c r="A230" s="135" t="n">
        <v>40544</v>
      </c>
      <c r="B230" t="n">
        <v>263993</v>
      </c>
      <c r="C230" t="n">
        <v>372057</v>
      </c>
      <c r="D230" t="n">
        <v>21498</v>
      </c>
      <c r="E230" t="n">
        <v>18363</v>
      </c>
      <c r="F230" t="n">
        <v>49674</v>
      </c>
      <c r="G230" t="n">
        <v>8218</v>
      </c>
      <c r="H230" t="n">
        <v>6992</v>
      </c>
      <c r="I230" t="n">
        <v>39700</v>
      </c>
      <c r="J230" t="n">
        <v>305771</v>
      </c>
      <c r="K230" t="n">
        <v>41778</v>
      </c>
      <c r="L230" t="n">
        <v>50839</v>
      </c>
      <c r="M230" t="n">
        <v>22695</v>
      </c>
      <c r="N230" t="n">
        <v>8823</v>
      </c>
      <c r="O230" t="n">
        <v>66286</v>
      </c>
      <c r="P230" t="n">
        <v>30626</v>
      </c>
      <c r="Q230" t="n">
        <v>6565</v>
      </c>
    </row>
    <row r="231">
      <c r="A231" s="135" t="n">
        <v>40575</v>
      </c>
      <c r="B231" t="n">
        <v>265478</v>
      </c>
      <c r="C231" t="n">
        <v>375092</v>
      </c>
      <c r="D231" t="n">
        <v>21202</v>
      </c>
      <c r="E231" t="n">
        <v>18592</v>
      </c>
      <c r="F231" t="n">
        <v>50017</v>
      </c>
      <c r="G231" t="n">
        <v>8356</v>
      </c>
      <c r="H231" t="n">
        <v>7145</v>
      </c>
      <c r="I231" t="n">
        <v>40382</v>
      </c>
      <c r="J231" t="n">
        <v>307772</v>
      </c>
      <c r="K231" t="n">
        <v>42294</v>
      </c>
      <c r="L231" t="n">
        <v>51513</v>
      </c>
      <c r="M231" t="n">
        <v>22428</v>
      </c>
      <c r="N231" t="n">
        <v>9116</v>
      </c>
      <c r="O231" t="n">
        <v>67320</v>
      </c>
      <c r="P231" t="n">
        <v>30116</v>
      </c>
      <c r="Q231" t="n">
        <v>6611</v>
      </c>
    </row>
    <row r="232">
      <c r="A232" s="135" t="n">
        <v>40603</v>
      </c>
      <c r="B232" t="n">
        <v>267185</v>
      </c>
      <c r="C232" t="n">
        <v>378582</v>
      </c>
      <c r="D232" t="n">
        <v>21865</v>
      </c>
      <c r="E232" t="n">
        <v>18718</v>
      </c>
      <c r="F232" t="n">
        <v>50080</v>
      </c>
      <c r="G232" t="n">
        <v>8477</v>
      </c>
      <c r="H232" t="n">
        <v>7404</v>
      </c>
      <c r="I232" t="n">
        <v>40575</v>
      </c>
      <c r="J232" t="n">
        <v>311008</v>
      </c>
      <c r="K232" t="n">
        <v>43823</v>
      </c>
      <c r="L232" t="n">
        <v>51641</v>
      </c>
      <c r="M232" t="n">
        <v>22563</v>
      </c>
      <c r="N232" t="n">
        <v>8846</v>
      </c>
      <c r="O232" t="n">
        <v>67574</v>
      </c>
      <c r="P232" t="n">
        <v>30457</v>
      </c>
      <c r="Q232" t="n">
        <v>6559</v>
      </c>
    </row>
    <row r="233">
      <c r="A233" s="135" t="n">
        <v>40634</v>
      </c>
      <c r="B233" t="n">
        <v>269187</v>
      </c>
      <c r="C233" t="n">
        <v>380508</v>
      </c>
      <c r="D233" t="n">
        <v>22053</v>
      </c>
      <c r="E233" t="n">
        <v>18957</v>
      </c>
      <c r="F233" t="n">
        <v>50836</v>
      </c>
      <c r="G233" t="n">
        <v>8529</v>
      </c>
      <c r="H233" t="n">
        <v>7313</v>
      </c>
      <c r="I233" t="n">
        <v>40624</v>
      </c>
      <c r="J233" t="n">
        <v>313791</v>
      </c>
      <c r="K233" t="n">
        <v>44604</v>
      </c>
      <c r="L233" t="n">
        <v>52005</v>
      </c>
      <c r="M233" t="n">
        <v>22448</v>
      </c>
      <c r="N233" t="n">
        <v>9056</v>
      </c>
      <c r="O233" t="n">
        <v>66717</v>
      </c>
      <c r="P233" t="n">
        <v>30751</v>
      </c>
      <c r="Q233" t="n">
        <v>6615</v>
      </c>
    </row>
    <row r="234">
      <c r="A234" s="135" t="n">
        <v>40664</v>
      </c>
      <c r="B234" t="n">
        <v>269142</v>
      </c>
      <c r="C234" t="n">
        <v>380353</v>
      </c>
      <c r="D234" t="n">
        <v>22326</v>
      </c>
      <c r="E234" t="n">
        <v>18846</v>
      </c>
      <c r="F234" t="n">
        <v>50385</v>
      </c>
      <c r="G234" t="n">
        <v>8425</v>
      </c>
      <c r="H234" t="n">
        <v>7245</v>
      </c>
      <c r="I234" t="n">
        <v>41050</v>
      </c>
      <c r="J234" t="n">
        <v>314442</v>
      </c>
      <c r="K234" t="n">
        <v>45300</v>
      </c>
      <c r="L234" t="n">
        <v>51790</v>
      </c>
      <c r="M234" t="n">
        <v>22608</v>
      </c>
      <c r="N234" t="n">
        <v>8975</v>
      </c>
      <c r="O234" t="n">
        <v>65911</v>
      </c>
      <c r="P234" t="n">
        <v>30950</v>
      </c>
      <c r="Q234" t="n">
        <v>6542</v>
      </c>
    </row>
    <row r="235">
      <c r="A235" s="135" t="n">
        <v>40695</v>
      </c>
      <c r="B235" t="n">
        <v>271758</v>
      </c>
      <c r="C235" t="n">
        <v>383140</v>
      </c>
      <c r="D235" t="n">
        <v>22709</v>
      </c>
      <c r="E235" t="n">
        <v>19182</v>
      </c>
      <c r="F235" t="n">
        <v>50943</v>
      </c>
      <c r="G235" t="n">
        <v>8439</v>
      </c>
      <c r="H235" t="n">
        <v>7227</v>
      </c>
      <c r="I235" t="n">
        <v>41540</v>
      </c>
      <c r="J235" t="n">
        <v>316372</v>
      </c>
      <c r="K235" t="n">
        <v>44614</v>
      </c>
      <c r="L235" t="n">
        <v>52353</v>
      </c>
      <c r="M235" t="n">
        <v>22607</v>
      </c>
      <c r="N235" t="n">
        <v>9061</v>
      </c>
      <c r="O235" t="n">
        <v>66768</v>
      </c>
      <c r="P235" t="n">
        <v>31119</v>
      </c>
      <c r="Q235" t="n">
        <v>6578</v>
      </c>
    </row>
    <row r="236">
      <c r="A236" s="135" t="n">
        <v>40725</v>
      </c>
      <c r="B236" t="n">
        <v>271713</v>
      </c>
      <c r="C236" t="n">
        <v>382889</v>
      </c>
      <c r="D236" t="n">
        <v>22744</v>
      </c>
      <c r="E236" t="n">
        <v>18998</v>
      </c>
      <c r="F236" t="n">
        <v>50984</v>
      </c>
      <c r="G236" t="n">
        <v>8557</v>
      </c>
      <c r="H236" t="n">
        <v>7263</v>
      </c>
      <c r="I236" t="n">
        <v>41516</v>
      </c>
      <c r="J236" t="n">
        <v>316467</v>
      </c>
      <c r="K236" t="n">
        <v>44754</v>
      </c>
      <c r="L236" t="n">
        <v>52123</v>
      </c>
      <c r="M236" t="n">
        <v>22728</v>
      </c>
      <c r="N236" t="n">
        <v>9171</v>
      </c>
      <c r="O236" t="n">
        <v>66422</v>
      </c>
      <c r="P236" t="n">
        <v>31208</v>
      </c>
      <c r="Q236" t="n">
        <v>6421</v>
      </c>
    </row>
    <row r="237">
      <c r="A237" s="135" t="n">
        <v>40756</v>
      </c>
      <c r="B237" t="n">
        <v>273072</v>
      </c>
      <c r="C237" t="n">
        <v>384006</v>
      </c>
      <c r="D237" t="n">
        <v>22775</v>
      </c>
      <c r="E237" t="n">
        <v>18922</v>
      </c>
      <c r="F237" t="n">
        <v>51182</v>
      </c>
      <c r="G237" t="n">
        <v>8615</v>
      </c>
      <c r="H237" t="n">
        <v>7333</v>
      </c>
      <c r="I237" t="n">
        <v>41718</v>
      </c>
      <c r="J237" t="n">
        <v>318147</v>
      </c>
      <c r="K237" t="n">
        <v>45075</v>
      </c>
      <c r="L237" t="n">
        <v>52136</v>
      </c>
      <c r="M237" t="n">
        <v>22822</v>
      </c>
      <c r="N237" t="n">
        <v>9229</v>
      </c>
      <c r="O237" t="n">
        <v>65859</v>
      </c>
      <c r="P237" t="n">
        <v>31679</v>
      </c>
      <c r="Q237" t="n">
        <v>6661</v>
      </c>
    </row>
    <row r="238">
      <c r="A238" s="135" t="n">
        <v>40787</v>
      </c>
      <c r="B238" t="n">
        <v>273611</v>
      </c>
      <c r="C238" t="n">
        <v>387509</v>
      </c>
      <c r="D238" t="n">
        <v>22644</v>
      </c>
      <c r="E238" t="n">
        <v>19489</v>
      </c>
      <c r="F238" t="n">
        <v>51049</v>
      </c>
      <c r="G238" t="n">
        <v>8493</v>
      </c>
      <c r="H238" t="n">
        <v>7384</v>
      </c>
      <c r="I238" t="n">
        <v>42013</v>
      </c>
      <c r="J238" t="n">
        <v>318693</v>
      </c>
      <c r="K238" t="n">
        <v>45082</v>
      </c>
      <c r="L238" t="n">
        <v>52575</v>
      </c>
      <c r="M238" t="n">
        <v>22695</v>
      </c>
      <c r="N238" t="n">
        <v>9159</v>
      </c>
      <c r="O238" t="n">
        <v>68816</v>
      </c>
      <c r="P238" t="n">
        <v>31417</v>
      </c>
      <c r="Q238" t="n">
        <v>6693</v>
      </c>
    </row>
    <row r="239">
      <c r="A239" s="135" t="n">
        <v>40817</v>
      </c>
      <c r="B239" t="n">
        <v>275360</v>
      </c>
      <c r="C239" t="n">
        <v>390086</v>
      </c>
      <c r="D239" t="n">
        <v>23253</v>
      </c>
      <c r="E239" t="n">
        <v>19136</v>
      </c>
      <c r="F239" t="n">
        <v>51324</v>
      </c>
      <c r="G239" t="n">
        <v>8737</v>
      </c>
      <c r="H239" t="n">
        <v>7303</v>
      </c>
      <c r="I239" t="n">
        <v>42162</v>
      </c>
      <c r="J239" t="n">
        <v>320206</v>
      </c>
      <c r="K239" t="n">
        <v>44846</v>
      </c>
      <c r="L239" t="n">
        <v>52455</v>
      </c>
      <c r="M239" t="n">
        <v>22830</v>
      </c>
      <c r="N239" t="n">
        <v>9072</v>
      </c>
      <c r="O239" t="n">
        <v>69880</v>
      </c>
      <c r="P239" t="n">
        <v>32499</v>
      </c>
      <c r="Q239" t="n">
        <v>6589</v>
      </c>
    </row>
    <row r="240">
      <c r="A240" s="135" t="n">
        <v>40848</v>
      </c>
      <c r="B240" t="n">
        <v>275696</v>
      </c>
      <c r="C240" t="n">
        <v>391541</v>
      </c>
      <c r="D240" t="n">
        <v>22908</v>
      </c>
      <c r="E240" t="n">
        <v>19311</v>
      </c>
      <c r="F240" t="n">
        <v>51416</v>
      </c>
      <c r="G240" t="n">
        <v>8653</v>
      </c>
      <c r="H240" t="n">
        <v>7378</v>
      </c>
      <c r="I240" t="n">
        <v>42237</v>
      </c>
      <c r="J240" t="n">
        <v>321318</v>
      </c>
      <c r="K240" t="n">
        <v>45622</v>
      </c>
      <c r="L240" t="n">
        <v>52657</v>
      </c>
      <c r="M240" t="n">
        <v>22735</v>
      </c>
      <c r="N240" t="n">
        <v>9045</v>
      </c>
      <c r="O240" t="n">
        <v>70223</v>
      </c>
      <c r="P240" t="n">
        <v>32762</v>
      </c>
      <c r="Q240" t="n">
        <v>6594</v>
      </c>
    </row>
    <row r="241">
      <c r="A241" s="135" t="n">
        <v>40878</v>
      </c>
      <c r="B241" t="n">
        <v>274832</v>
      </c>
      <c r="C241" t="n">
        <v>391608</v>
      </c>
      <c r="D241" t="n">
        <v>23443</v>
      </c>
      <c r="E241" t="n">
        <v>19494</v>
      </c>
      <c r="F241" t="n">
        <v>51215</v>
      </c>
      <c r="G241" t="n">
        <v>8456</v>
      </c>
      <c r="H241" t="n">
        <v>7537</v>
      </c>
      <c r="I241" t="n">
        <v>41864</v>
      </c>
      <c r="J241" t="n">
        <v>320123</v>
      </c>
      <c r="K241" t="n">
        <v>45291</v>
      </c>
      <c r="L241" t="n">
        <v>52458</v>
      </c>
      <c r="M241" t="n">
        <v>22677</v>
      </c>
      <c r="N241" t="n">
        <v>8867</v>
      </c>
      <c r="O241" t="n">
        <v>71485</v>
      </c>
      <c r="P241" t="n">
        <v>32468</v>
      </c>
      <c r="Q241" t="n">
        <v>6353</v>
      </c>
    </row>
    <row r="242">
      <c r="A242" s="135" t="n">
        <v>40909</v>
      </c>
      <c r="B242" t="n">
        <v>278248</v>
      </c>
      <c r="C242" t="n">
        <v>395720</v>
      </c>
      <c r="D242" t="n">
        <v>23657</v>
      </c>
      <c r="E242" t="n">
        <v>19588</v>
      </c>
      <c r="F242" t="n">
        <v>51540</v>
      </c>
      <c r="G242" t="n">
        <v>8522</v>
      </c>
      <c r="H242" t="n">
        <v>7646</v>
      </c>
      <c r="I242" t="n">
        <v>42858</v>
      </c>
      <c r="J242" t="n">
        <v>324000</v>
      </c>
      <c r="K242" t="n">
        <v>45752</v>
      </c>
      <c r="L242" t="n">
        <v>53149</v>
      </c>
      <c r="M242" t="n">
        <v>22973</v>
      </c>
      <c r="N242" t="n">
        <v>9307</v>
      </c>
      <c r="O242" t="n">
        <v>71720</v>
      </c>
      <c r="P242" t="n">
        <v>32433</v>
      </c>
      <c r="Q242" t="n">
        <v>6575</v>
      </c>
    </row>
    <row r="243">
      <c r="A243" s="135" t="n">
        <v>40940</v>
      </c>
      <c r="B243" t="n">
        <v>280569</v>
      </c>
      <c r="C243" t="n">
        <v>400329</v>
      </c>
      <c r="D243" t="n">
        <v>23588</v>
      </c>
      <c r="E243" t="n">
        <v>20269</v>
      </c>
      <c r="F243" t="n">
        <v>51658</v>
      </c>
      <c r="G243" t="n">
        <v>8538</v>
      </c>
      <c r="H243" t="n">
        <v>7627</v>
      </c>
      <c r="I243" t="n">
        <v>42950</v>
      </c>
      <c r="J243" t="n">
        <v>327740</v>
      </c>
      <c r="K243" t="n">
        <v>47171</v>
      </c>
      <c r="L243" t="n">
        <v>53944</v>
      </c>
      <c r="M243" t="n">
        <v>22999</v>
      </c>
      <c r="N243" t="n">
        <v>9411</v>
      </c>
      <c r="O243" t="n">
        <v>72589</v>
      </c>
      <c r="P243" t="n">
        <v>32918</v>
      </c>
      <c r="Q243" t="n">
        <v>6667</v>
      </c>
    </row>
    <row r="244">
      <c r="A244" s="135" t="n">
        <v>40969</v>
      </c>
      <c r="B244" t="n">
        <v>281469</v>
      </c>
      <c r="C244" t="n">
        <v>401661</v>
      </c>
      <c r="D244" t="n">
        <v>24587</v>
      </c>
      <c r="E244" t="n">
        <v>20058</v>
      </c>
      <c r="F244" t="n">
        <v>52105</v>
      </c>
      <c r="G244" t="n">
        <v>8707</v>
      </c>
      <c r="H244" t="n">
        <v>7587</v>
      </c>
      <c r="I244" t="n">
        <v>42942</v>
      </c>
      <c r="J244" t="n">
        <v>329010</v>
      </c>
      <c r="K244" t="n">
        <v>47541</v>
      </c>
      <c r="L244" t="n">
        <v>53658</v>
      </c>
      <c r="M244" t="n">
        <v>22945</v>
      </c>
      <c r="N244" t="n">
        <v>9186</v>
      </c>
      <c r="O244" t="n">
        <v>72651</v>
      </c>
      <c r="P244" t="n">
        <v>32879</v>
      </c>
      <c r="Q244" t="n">
        <v>6815</v>
      </c>
    </row>
    <row r="245">
      <c r="A245" s="135" t="n">
        <v>41000</v>
      </c>
      <c r="B245" t="n">
        <v>280264</v>
      </c>
      <c r="C245" t="n">
        <v>400214</v>
      </c>
      <c r="D245" t="n">
        <v>23423</v>
      </c>
      <c r="E245" t="n">
        <v>19533</v>
      </c>
      <c r="F245" t="n">
        <v>52296</v>
      </c>
      <c r="G245" t="n">
        <v>8569</v>
      </c>
      <c r="H245" t="n">
        <v>7502</v>
      </c>
      <c r="I245" t="n">
        <v>43365</v>
      </c>
      <c r="J245" t="n">
        <v>327270</v>
      </c>
      <c r="K245" t="n">
        <v>47006</v>
      </c>
      <c r="L245" t="n">
        <v>53285</v>
      </c>
      <c r="M245" t="n">
        <v>23045</v>
      </c>
      <c r="N245" t="n">
        <v>9196</v>
      </c>
      <c r="O245" t="n">
        <v>72944</v>
      </c>
      <c r="P245" t="n">
        <v>33207</v>
      </c>
      <c r="Q245" t="n">
        <v>6843</v>
      </c>
    </row>
    <row r="246">
      <c r="A246" s="135" t="n">
        <v>41030</v>
      </c>
      <c r="B246" t="n">
        <v>279884</v>
      </c>
      <c r="C246" t="n">
        <v>399331</v>
      </c>
      <c r="D246" t="n">
        <v>22721</v>
      </c>
      <c r="E246" t="n">
        <v>19657</v>
      </c>
      <c r="F246" t="n">
        <v>52239</v>
      </c>
      <c r="G246" t="n">
        <v>8723</v>
      </c>
      <c r="H246" t="n">
        <v>7652</v>
      </c>
      <c r="I246" t="n">
        <v>43313</v>
      </c>
      <c r="J246" t="n">
        <v>325692</v>
      </c>
      <c r="K246" t="n">
        <v>45808</v>
      </c>
      <c r="L246" t="n">
        <v>53154</v>
      </c>
      <c r="M246" t="n">
        <v>22883</v>
      </c>
      <c r="N246" t="n">
        <v>8890</v>
      </c>
      <c r="O246" t="n">
        <v>73639</v>
      </c>
      <c r="P246" t="n">
        <v>33790</v>
      </c>
      <c r="Q246" t="n">
        <v>6862</v>
      </c>
    </row>
    <row r="247">
      <c r="A247" s="135" t="n">
        <v>41061</v>
      </c>
      <c r="B247" t="n">
        <v>279553</v>
      </c>
      <c r="C247" t="n">
        <v>395585</v>
      </c>
      <c r="D247" t="n">
        <v>22516</v>
      </c>
      <c r="E247" t="n">
        <v>19878</v>
      </c>
      <c r="F247" t="n">
        <v>52205</v>
      </c>
      <c r="G247" t="n">
        <v>8658</v>
      </c>
      <c r="H247" t="n">
        <v>7544</v>
      </c>
      <c r="I247" t="n">
        <v>43542</v>
      </c>
      <c r="J247" t="n">
        <v>323199</v>
      </c>
      <c r="K247" t="n">
        <v>43646</v>
      </c>
      <c r="L247" t="n">
        <v>53132</v>
      </c>
      <c r="M247" t="n">
        <v>22449</v>
      </c>
      <c r="N247" t="n">
        <v>9080</v>
      </c>
      <c r="O247" t="n">
        <v>72386</v>
      </c>
      <c r="P247" t="n">
        <v>33745</v>
      </c>
      <c r="Q247" t="n">
        <v>6804</v>
      </c>
    </row>
    <row r="248">
      <c r="A248" s="135" t="n">
        <v>41091</v>
      </c>
      <c r="B248" t="n">
        <v>280958</v>
      </c>
      <c r="C248" t="n">
        <v>397567</v>
      </c>
      <c r="D248" t="n">
        <v>22700</v>
      </c>
      <c r="E248" t="n">
        <v>19724</v>
      </c>
      <c r="F248" t="n">
        <v>52231</v>
      </c>
      <c r="G248" t="n">
        <v>8759</v>
      </c>
      <c r="H248" t="n">
        <v>7650</v>
      </c>
      <c r="I248" t="n">
        <v>43676</v>
      </c>
      <c r="J248" t="n">
        <v>324442</v>
      </c>
      <c r="K248" t="n">
        <v>43484</v>
      </c>
      <c r="L248" t="n">
        <v>53280</v>
      </c>
      <c r="M248" t="n">
        <v>22793</v>
      </c>
      <c r="N248" t="n">
        <v>9182</v>
      </c>
      <c r="O248" t="n">
        <v>73125</v>
      </c>
      <c r="P248" t="n">
        <v>34188</v>
      </c>
      <c r="Q248" t="n">
        <v>6775</v>
      </c>
    </row>
    <row r="249">
      <c r="A249" s="135" t="n">
        <v>41122</v>
      </c>
      <c r="B249" t="n">
        <v>281851</v>
      </c>
      <c r="C249" t="n">
        <v>402162</v>
      </c>
      <c r="D249" t="n">
        <v>23071</v>
      </c>
      <c r="E249" t="n">
        <v>19931</v>
      </c>
      <c r="F249" t="n">
        <v>52359</v>
      </c>
      <c r="G249" t="n">
        <v>8647</v>
      </c>
      <c r="H249" t="n">
        <v>7593</v>
      </c>
      <c r="I249" t="n">
        <v>43712</v>
      </c>
      <c r="J249" t="n">
        <v>328242</v>
      </c>
      <c r="K249" t="n">
        <v>46391</v>
      </c>
      <c r="L249" t="n">
        <v>53554</v>
      </c>
      <c r="M249" t="n">
        <v>22741</v>
      </c>
      <c r="N249" t="n">
        <v>9086</v>
      </c>
      <c r="O249" t="n">
        <v>73920</v>
      </c>
      <c r="P249" t="n">
        <v>34407</v>
      </c>
      <c r="Q249" t="n">
        <v>6750</v>
      </c>
    </row>
    <row r="250">
      <c r="A250" s="135" t="n">
        <v>41153</v>
      </c>
      <c r="B250" t="n">
        <v>283253</v>
      </c>
      <c r="C250" t="n">
        <v>405555</v>
      </c>
      <c r="D250" t="n">
        <v>23652</v>
      </c>
      <c r="E250" t="n">
        <v>20119</v>
      </c>
      <c r="F250" t="n">
        <v>52544</v>
      </c>
      <c r="G250" t="n">
        <v>8628</v>
      </c>
      <c r="H250" t="n">
        <v>7614</v>
      </c>
      <c r="I250" t="n">
        <v>44085</v>
      </c>
      <c r="J250" t="n">
        <v>330360</v>
      </c>
      <c r="K250" t="n">
        <v>47107</v>
      </c>
      <c r="L250" t="n">
        <v>53450</v>
      </c>
      <c r="M250" t="n">
        <v>22608</v>
      </c>
      <c r="N250" t="n">
        <v>9107</v>
      </c>
      <c r="O250" t="n">
        <v>75195</v>
      </c>
      <c r="P250" t="n">
        <v>34740</v>
      </c>
      <c r="Q250" t="n">
        <v>6706</v>
      </c>
    </row>
    <row r="251">
      <c r="A251" s="135" t="n">
        <v>41183</v>
      </c>
      <c r="B251" t="n">
        <v>282910</v>
      </c>
      <c r="C251" t="n">
        <v>405699</v>
      </c>
      <c r="D251" t="n">
        <v>23831</v>
      </c>
      <c r="E251" t="n">
        <v>19939</v>
      </c>
      <c r="F251" t="n">
        <v>52856</v>
      </c>
      <c r="G251" t="n">
        <v>8314</v>
      </c>
      <c r="H251" t="n">
        <v>7416</v>
      </c>
      <c r="I251" t="n">
        <v>43708</v>
      </c>
      <c r="J251" t="n">
        <v>330886</v>
      </c>
      <c r="K251" t="n">
        <v>47976</v>
      </c>
      <c r="L251" t="n">
        <v>53674</v>
      </c>
      <c r="M251" t="n">
        <v>22527</v>
      </c>
      <c r="N251" t="n">
        <v>9157</v>
      </c>
      <c r="O251" t="n">
        <v>74813</v>
      </c>
      <c r="P251" t="n">
        <v>34739</v>
      </c>
      <c r="Q251" t="n">
        <v>6749</v>
      </c>
    </row>
    <row r="252">
      <c r="A252" s="135" t="n">
        <v>41214</v>
      </c>
      <c r="B252" t="n">
        <v>284736</v>
      </c>
      <c r="C252" t="n">
        <v>407396</v>
      </c>
      <c r="D252" t="n">
        <v>24146</v>
      </c>
      <c r="E252" t="n">
        <v>19972</v>
      </c>
      <c r="F252" t="n">
        <v>52670</v>
      </c>
      <c r="G252" t="n">
        <v>8653</v>
      </c>
      <c r="H252" t="n">
        <v>7620</v>
      </c>
      <c r="I252" t="n">
        <v>44520</v>
      </c>
      <c r="J252" t="n">
        <v>331558</v>
      </c>
      <c r="K252" t="n">
        <v>46822</v>
      </c>
      <c r="L252" t="n">
        <v>53464</v>
      </c>
      <c r="M252" t="n">
        <v>22661</v>
      </c>
      <c r="N252" t="n">
        <v>9088</v>
      </c>
      <c r="O252" t="n">
        <v>75838</v>
      </c>
      <c r="P252" t="n">
        <v>35242</v>
      </c>
      <c r="Q252" t="n">
        <v>6700</v>
      </c>
    </row>
    <row r="253">
      <c r="A253" s="135" t="n">
        <v>41244</v>
      </c>
      <c r="B253" t="n">
        <v>286273</v>
      </c>
      <c r="C253" t="n">
        <v>409026</v>
      </c>
      <c r="D253" t="n">
        <v>24126</v>
      </c>
      <c r="E253" t="n">
        <v>20162</v>
      </c>
      <c r="F253" t="n">
        <v>52689</v>
      </c>
      <c r="G253" t="n">
        <v>8800</v>
      </c>
      <c r="H253" t="n">
        <v>7972</v>
      </c>
      <c r="I253" t="n">
        <v>44538</v>
      </c>
      <c r="J253" t="n">
        <v>332159</v>
      </c>
      <c r="K253" t="n">
        <v>45886</v>
      </c>
      <c r="L253" t="n">
        <v>53676</v>
      </c>
      <c r="M253" t="n">
        <v>22898</v>
      </c>
      <c r="N253" t="n">
        <v>9326</v>
      </c>
      <c r="O253" t="n">
        <v>76867</v>
      </c>
      <c r="P253" t="n">
        <v>35266</v>
      </c>
      <c r="Q253" t="n">
        <v>6820</v>
      </c>
    </row>
    <row r="254">
      <c r="A254" s="135" t="n">
        <v>41275</v>
      </c>
      <c r="B254" t="n">
        <v>288412</v>
      </c>
      <c r="C254" t="n">
        <v>412155</v>
      </c>
      <c r="D254" t="n">
        <v>24376</v>
      </c>
      <c r="E254" t="n">
        <v>20434</v>
      </c>
      <c r="F254" t="n">
        <v>52654</v>
      </c>
      <c r="G254" t="n">
        <v>8811</v>
      </c>
      <c r="H254" t="n">
        <v>7912</v>
      </c>
      <c r="I254" t="n">
        <v>45146</v>
      </c>
      <c r="J254" t="n">
        <v>334456</v>
      </c>
      <c r="K254" t="n">
        <v>46044</v>
      </c>
      <c r="L254" t="n">
        <v>54074</v>
      </c>
      <c r="M254" t="n">
        <v>23173</v>
      </c>
      <c r="N254" t="n">
        <v>9223</v>
      </c>
      <c r="O254" t="n">
        <v>77699</v>
      </c>
      <c r="P254" t="n">
        <v>35599</v>
      </c>
      <c r="Q254" t="n">
        <v>7010</v>
      </c>
    </row>
    <row r="255">
      <c r="A255" s="135" t="n">
        <v>41306</v>
      </c>
      <c r="B255" t="n">
        <v>289292</v>
      </c>
      <c r="C255" t="n">
        <v>417159</v>
      </c>
      <c r="D255" t="n">
        <v>24759</v>
      </c>
      <c r="E255" t="n">
        <v>20305</v>
      </c>
      <c r="F255" t="n">
        <v>53230</v>
      </c>
      <c r="G255" t="n">
        <v>8864</v>
      </c>
      <c r="H255" t="n">
        <v>7863</v>
      </c>
      <c r="I255" t="n">
        <v>44868</v>
      </c>
      <c r="J255" t="n">
        <v>338338</v>
      </c>
      <c r="K255" t="n">
        <v>49046</v>
      </c>
      <c r="L255" t="n">
        <v>54534</v>
      </c>
      <c r="M255" t="n">
        <v>23008</v>
      </c>
      <c r="N255" t="n">
        <v>9276</v>
      </c>
      <c r="O255" t="n">
        <v>78821</v>
      </c>
      <c r="P255" t="n">
        <v>35576</v>
      </c>
      <c r="Q255" t="n">
        <v>7009</v>
      </c>
    </row>
    <row r="256">
      <c r="A256" s="135" t="n">
        <v>41334</v>
      </c>
      <c r="B256" t="n">
        <v>288595</v>
      </c>
      <c r="C256" t="n">
        <v>414092</v>
      </c>
      <c r="D256" t="n">
        <v>24692</v>
      </c>
      <c r="E256" t="n">
        <v>20316</v>
      </c>
      <c r="F256" t="n">
        <v>53103</v>
      </c>
      <c r="G256" t="n">
        <v>8642</v>
      </c>
      <c r="H256" t="n">
        <v>7867</v>
      </c>
      <c r="I256" t="n">
        <v>45011</v>
      </c>
      <c r="J256" t="n">
        <v>336182</v>
      </c>
      <c r="K256" t="n">
        <v>47587</v>
      </c>
      <c r="L256" t="n">
        <v>54236</v>
      </c>
      <c r="M256" t="n">
        <v>23049</v>
      </c>
      <c r="N256" t="n">
        <v>9367</v>
      </c>
      <c r="O256" t="n">
        <v>77910</v>
      </c>
      <c r="P256" t="n">
        <v>35421</v>
      </c>
      <c r="Q256" t="n">
        <v>6891</v>
      </c>
    </row>
    <row r="257">
      <c r="A257" s="135" t="n">
        <v>41365</v>
      </c>
      <c r="B257" t="n">
        <v>287679</v>
      </c>
      <c r="C257" t="n">
        <v>412237</v>
      </c>
      <c r="D257" t="n">
        <v>24815</v>
      </c>
      <c r="E257" t="n">
        <v>20498</v>
      </c>
      <c r="F257" t="n">
        <v>52733</v>
      </c>
      <c r="G257" t="n">
        <v>8668</v>
      </c>
      <c r="H257" t="n">
        <v>7834</v>
      </c>
      <c r="I257" t="n">
        <v>44723</v>
      </c>
      <c r="J257" t="n">
        <v>333848</v>
      </c>
      <c r="K257" t="n">
        <v>46169</v>
      </c>
      <c r="L257" t="n">
        <v>54198</v>
      </c>
      <c r="M257" t="n">
        <v>22953</v>
      </c>
      <c r="N257" t="n">
        <v>9322</v>
      </c>
      <c r="O257" t="n">
        <v>78389</v>
      </c>
      <c r="P257" t="n">
        <v>35140</v>
      </c>
      <c r="Q257" t="n">
        <v>6795</v>
      </c>
    </row>
    <row r="258">
      <c r="A258" s="135" t="n">
        <v>41395</v>
      </c>
      <c r="B258" t="n">
        <v>288998</v>
      </c>
      <c r="C258" t="n">
        <v>414309</v>
      </c>
      <c r="D258" t="n">
        <v>25320</v>
      </c>
      <c r="E258" t="n">
        <v>20376</v>
      </c>
      <c r="F258" t="n">
        <v>53253</v>
      </c>
      <c r="G258" t="n">
        <v>8663</v>
      </c>
      <c r="H258" t="n">
        <v>7759</v>
      </c>
      <c r="I258" t="n">
        <v>44816</v>
      </c>
      <c r="J258" t="n">
        <v>334591</v>
      </c>
      <c r="K258" t="n">
        <v>45593</v>
      </c>
      <c r="L258" t="n">
        <v>54453</v>
      </c>
      <c r="M258" t="n">
        <v>23055</v>
      </c>
      <c r="N258" t="n">
        <v>9319</v>
      </c>
      <c r="O258" t="n">
        <v>79718</v>
      </c>
      <c r="P258" t="n">
        <v>35127</v>
      </c>
      <c r="Q258" t="n">
        <v>6857</v>
      </c>
    </row>
    <row r="259">
      <c r="A259" s="135" t="n">
        <v>41426</v>
      </c>
      <c r="B259" t="n">
        <v>288597</v>
      </c>
      <c r="C259" t="n">
        <v>415742</v>
      </c>
      <c r="D259" t="n">
        <v>24799</v>
      </c>
      <c r="E259" t="n">
        <v>20368</v>
      </c>
      <c r="F259" t="n">
        <v>53217</v>
      </c>
      <c r="G259" t="n">
        <v>8658</v>
      </c>
      <c r="H259" t="n">
        <v>7986</v>
      </c>
      <c r="I259" t="n">
        <v>44701</v>
      </c>
      <c r="J259" t="n">
        <v>334425</v>
      </c>
      <c r="K259" t="n">
        <v>45828</v>
      </c>
      <c r="L259" t="n">
        <v>54447</v>
      </c>
      <c r="M259" t="n">
        <v>23043</v>
      </c>
      <c r="N259" t="n">
        <v>9169</v>
      </c>
      <c r="O259" t="n">
        <v>81317</v>
      </c>
      <c r="P259" t="n">
        <v>35316</v>
      </c>
      <c r="Q259" t="n">
        <v>6893</v>
      </c>
    </row>
    <row r="260">
      <c r="A260" s="135" t="n">
        <v>41456</v>
      </c>
      <c r="B260" t="n">
        <v>290883</v>
      </c>
      <c r="C260" t="n">
        <v>418604</v>
      </c>
      <c r="D260" t="n">
        <v>25347</v>
      </c>
      <c r="E260" t="n">
        <v>20578</v>
      </c>
      <c r="F260" t="n">
        <v>53618</v>
      </c>
      <c r="G260" t="n">
        <v>8598</v>
      </c>
      <c r="H260" t="n">
        <v>7973</v>
      </c>
      <c r="I260" t="n">
        <v>45050</v>
      </c>
      <c r="J260" t="n">
        <v>336889</v>
      </c>
      <c r="K260" t="n">
        <v>46006</v>
      </c>
      <c r="L260" t="n">
        <v>54636</v>
      </c>
      <c r="M260" t="n">
        <v>23308</v>
      </c>
      <c r="N260" t="n">
        <v>9209</v>
      </c>
      <c r="O260" t="n">
        <v>81715</v>
      </c>
      <c r="P260" t="n">
        <v>35628</v>
      </c>
      <c r="Q260" t="n">
        <v>6938</v>
      </c>
    </row>
    <row r="261">
      <c r="A261" s="135" t="n">
        <v>41487</v>
      </c>
      <c r="B261" t="n">
        <v>290634</v>
      </c>
      <c r="C261" t="n">
        <v>417644</v>
      </c>
      <c r="D261" t="n">
        <v>25284</v>
      </c>
      <c r="E261" t="n">
        <v>20315</v>
      </c>
      <c r="F261" t="n">
        <v>53693</v>
      </c>
      <c r="G261" t="n">
        <v>8592</v>
      </c>
      <c r="H261" t="n">
        <v>8022</v>
      </c>
      <c r="I261" t="n">
        <v>45155</v>
      </c>
      <c r="J261" t="n">
        <v>336272</v>
      </c>
      <c r="K261" t="n">
        <v>45638</v>
      </c>
      <c r="L261" t="n">
        <v>54466</v>
      </c>
      <c r="M261" t="n">
        <v>23305</v>
      </c>
      <c r="N261" t="n">
        <v>9304</v>
      </c>
      <c r="O261" t="n">
        <v>81372</v>
      </c>
      <c r="P261" t="n">
        <v>35734</v>
      </c>
      <c r="Q261" t="n">
        <v>6764</v>
      </c>
    </row>
    <row r="262">
      <c r="A262" s="135" t="n">
        <v>41518</v>
      </c>
      <c r="B262" t="n">
        <v>291901</v>
      </c>
      <c r="C262" t="n">
        <v>417849</v>
      </c>
      <c r="D262" t="n">
        <v>25259</v>
      </c>
      <c r="E262" t="n">
        <v>20305</v>
      </c>
      <c r="F262" t="n">
        <v>53820</v>
      </c>
      <c r="G262" t="n">
        <v>8528</v>
      </c>
      <c r="H262" t="n">
        <v>8084</v>
      </c>
      <c r="I262" t="n">
        <v>45344</v>
      </c>
      <c r="J262" t="n">
        <v>337653</v>
      </c>
      <c r="K262" t="n">
        <v>45752</v>
      </c>
      <c r="L262" t="n">
        <v>54836</v>
      </c>
      <c r="M262" t="n">
        <v>23728</v>
      </c>
      <c r="N262" t="n">
        <v>9502</v>
      </c>
      <c r="O262" t="n">
        <v>80196</v>
      </c>
      <c r="P262" t="n">
        <v>35619</v>
      </c>
      <c r="Q262" t="n">
        <v>6876</v>
      </c>
    </row>
    <row r="263">
      <c r="A263" s="135" t="n">
        <v>41548</v>
      </c>
      <c r="B263" t="n">
        <v>293033</v>
      </c>
      <c r="C263" t="n">
        <v>419599</v>
      </c>
      <c r="D263" t="n">
        <v>24917</v>
      </c>
      <c r="E263" t="n">
        <v>20790</v>
      </c>
      <c r="F263" t="n">
        <v>53943</v>
      </c>
      <c r="G263" t="n">
        <v>8616</v>
      </c>
      <c r="H263" t="n">
        <v>8191</v>
      </c>
      <c r="I263" t="n">
        <v>45936</v>
      </c>
      <c r="J263" t="n">
        <v>338108</v>
      </c>
      <c r="K263" t="n">
        <v>45075</v>
      </c>
      <c r="L263" t="n">
        <v>54919</v>
      </c>
      <c r="M263" t="n">
        <v>23771</v>
      </c>
      <c r="N263" t="n">
        <v>9488</v>
      </c>
      <c r="O263" t="n">
        <v>81491</v>
      </c>
      <c r="P263" t="n">
        <v>35599</v>
      </c>
      <c r="Q263" t="n">
        <v>6863</v>
      </c>
    </row>
    <row r="264">
      <c r="A264" s="135" t="n">
        <v>41579</v>
      </c>
      <c r="B264" t="n">
        <v>294113</v>
      </c>
      <c r="C264" t="n">
        <v>420658</v>
      </c>
      <c r="D264" t="n">
        <v>24828</v>
      </c>
      <c r="E264" t="n">
        <v>20279</v>
      </c>
      <c r="F264" t="n">
        <v>54066</v>
      </c>
      <c r="G264" t="n">
        <v>8511</v>
      </c>
      <c r="H264" t="n">
        <v>8236</v>
      </c>
      <c r="I264" t="n">
        <v>46744</v>
      </c>
      <c r="J264" t="n">
        <v>338836</v>
      </c>
      <c r="K264" t="n">
        <v>44723</v>
      </c>
      <c r="L264" t="n">
        <v>54770</v>
      </c>
      <c r="M264" t="n">
        <v>23772</v>
      </c>
      <c r="N264" t="n">
        <v>9555</v>
      </c>
      <c r="O264" t="n">
        <v>81822</v>
      </c>
      <c r="P264" t="n">
        <v>36449</v>
      </c>
      <c r="Q264" t="n">
        <v>6903</v>
      </c>
    </row>
    <row r="265">
      <c r="A265" s="135" t="n">
        <v>41609</v>
      </c>
      <c r="B265" t="n">
        <v>295226</v>
      </c>
      <c r="C265" t="n">
        <v>423362</v>
      </c>
      <c r="D265" t="n">
        <v>24956</v>
      </c>
      <c r="E265" t="n">
        <v>20565</v>
      </c>
      <c r="F265" t="n">
        <v>54606</v>
      </c>
      <c r="G265" t="n">
        <v>8473</v>
      </c>
      <c r="H265" t="n">
        <v>7988</v>
      </c>
      <c r="I265" t="n">
        <v>46330</v>
      </c>
      <c r="J265" t="n">
        <v>341898</v>
      </c>
      <c r="K265" t="n">
        <v>46672</v>
      </c>
      <c r="L265" t="n">
        <v>54662</v>
      </c>
      <c r="M265" t="n">
        <v>23824</v>
      </c>
      <c r="N265" t="n">
        <v>9393</v>
      </c>
      <c r="O265" t="n">
        <v>81464</v>
      </c>
      <c r="P265" t="n">
        <v>37559</v>
      </c>
      <c r="Q265" t="n">
        <v>6870</v>
      </c>
    </row>
    <row r="266">
      <c r="A266" s="135" t="n">
        <v>41640</v>
      </c>
      <c r="B266" t="n">
        <v>292777</v>
      </c>
      <c r="C266" t="n">
        <v>418947</v>
      </c>
      <c r="D266" t="n">
        <v>24872</v>
      </c>
      <c r="E266" t="n">
        <v>20517</v>
      </c>
      <c r="F266" t="n">
        <v>54797</v>
      </c>
      <c r="G266" t="n">
        <v>8501</v>
      </c>
      <c r="H266" t="n">
        <v>7808</v>
      </c>
      <c r="I266" t="n">
        <v>45914</v>
      </c>
      <c r="J266" t="n">
        <v>339912</v>
      </c>
      <c r="K266" t="n">
        <v>47135</v>
      </c>
      <c r="L266" t="n">
        <v>54538</v>
      </c>
      <c r="M266" t="n">
        <v>23768</v>
      </c>
      <c r="N266" t="n">
        <v>9251</v>
      </c>
      <c r="O266" t="n">
        <v>79035</v>
      </c>
      <c r="P266" t="n">
        <v>36326</v>
      </c>
      <c r="Q266" t="n">
        <v>6485</v>
      </c>
    </row>
    <row r="267">
      <c r="A267" s="135" t="n">
        <v>41671</v>
      </c>
      <c r="B267" t="n">
        <v>295914</v>
      </c>
      <c r="C267" t="n">
        <v>425005</v>
      </c>
      <c r="D267" t="n">
        <v>24817</v>
      </c>
      <c r="E267" t="n">
        <v>20543</v>
      </c>
      <c r="F267" t="n">
        <v>54759</v>
      </c>
      <c r="G267" t="n">
        <v>8525</v>
      </c>
      <c r="H267" t="n">
        <v>8111</v>
      </c>
      <c r="I267" t="n">
        <v>46424</v>
      </c>
      <c r="J267" t="n">
        <v>343436</v>
      </c>
      <c r="K267" t="n">
        <v>47522</v>
      </c>
      <c r="L267" t="n">
        <v>55390</v>
      </c>
      <c r="M267" t="n">
        <v>23906</v>
      </c>
      <c r="N267" t="n">
        <v>9387</v>
      </c>
      <c r="O267" t="n">
        <v>81569</v>
      </c>
      <c r="P267" t="n">
        <v>37254</v>
      </c>
      <c r="Q267" t="n">
        <v>6798</v>
      </c>
    </row>
    <row r="268">
      <c r="A268" s="135" t="n">
        <v>41699</v>
      </c>
      <c r="B268" t="n">
        <v>298284</v>
      </c>
      <c r="C268" t="n">
        <v>429658</v>
      </c>
      <c r="D268" t="n">
        <v>25282</v>
      </c>
      <c r="E268" t="n">
        <v>20667</v>
      </c>
      <c r="F268" t="n">
        <v>54888</v>
      </c>
      <c r="G268" t="n">
        <v>8597</v>
      </c>
      <c r="H268" t="n">
        <v>8254</v>
      </c>
      <c r="I268" t="n">
        <v>47057</v>
      </c>
      <c r="J268" t="n">
        <v>345152</v>
      </c>
      <c r="K268" t="n">
        <v>46868</v>
      </c>
      <c r="L268" t="n">
        <v>55469</v>
      </c>
      <c r="M268" t="n">
        <v>24053</v>
      </c>
      <c r="N268" t="n">
        <v>9473</v>
      </c>
      <c r="O268" t="n">
        <v>84506</v>
      </c>
      <c r="P268" t="n">
        <v>37750</v>
      </c>
      <c r="Q268" t="n">
        <v>6794</v>
      </c>
    </row>
    <row r="269">
      <c r="A269" s="135" t="n">
        <v>41730</v>
      </c>
      <c r="B269" t="n">
        <v>300922</v>
      </c>
      <c r="C269" t="n">
        <v>433826</v>
      </c>
      <c r="D269" t="n">
        <v>26122</v>
      </c>
      <c r="E269" t="n">
        <v>21161</v>
      </c>
      <c r="F269" t="n">
        <v>55279</v>
      </c>
      <c r="G269" t="n">
        <v>8549</v>
      </c>
      <c r="H269" t="n">
        <v>8366</v>
      </c>
      <c r="I269" t="n">
        <v>47137</v>
      </c>
      <c r="J269" t="n">
        <v>348010</v>
      </c>
      <c r="K269" t="n">
        <v>47088</v>
      </c>
      <c r="L269" t="n">
        <v>55963</v>
      </c>
      <c r="M269" t="n">
        <v>24259</v>
      </c>
      <c r="N269" t="n">
        <v>9344</v>
      </c>
      <c r="O269" t="n">
        <v>85816</v>
      </c>
      <c r="P269" t="n">
        <v>37839</v>
      </c>
      <c r="Q269" t="n">
        <v>6903</v>
      </c>
    </row>
    <row r="270">
      <c r="A270" s="135" t="n">
        <v>41760</v>
      </c>
      <c r="B270" t="n">
        <v>301869</v>
      </c>
      <c r="C270" t="n">
        <v>434640</v>
      </c>
      <c r="D270" t="n">
        <v>26465</v>
      </c>
      <c r="E270" t="n">
        <v>20765</v>
      </c>
      <c r="F270" t="n">
        <v>55451</v>
      </c>
      <c r="G270" t="n">
        <v>8413</v>
      </c>
      <c r="H270" t="n">
        <v>8347</v>
      </c>
      <c r="I270" t="n">
        <v>47540</v>
      </c>
      <c r="J270" t="n">
        <v>348656</v>
      </c>
      <c r="K270" t="n">
        <v>46787</v>
      </c>
      <c r="L270" t="n">
        <v>55960</v>
      </c>
      <c r="M270" t="n">
        <v>24594</v>
      </c>
      <c r="N270" t="n">
        <v>9535</v>
      </c>
      <c r="O270" t="n">
        <v>85984</v>
      </c>
      <c r="P270" t="n">
        <v>37922</v>
      </c>
      <c r="Q270" t="n">
        <v>6877</v>
      </c>
    </row>
    <row r="271">
      <c r="A271" s="135" t="n">
        <v>41791</v>
      </c>
      <c r="B271" t="n">
        <v>303804</v>
      </c>
      <c r="C271" t="n">
        <v>435816</v>
      </c>
      <c r="D271" t="n">
        <v>26620</v>
      </c>
      <c r="E271" t="n">
        <v>20799</v>
      </c>
      <c r="F271" t="n">
        <v>55966</v>
      </c>
      <c r="G271" t="n">
        <v>8328</v>
      </c>
      <c r="H271" t="n">
        <v>8369</v>
      </c>
      <c r="I271" t="n">
        <v>47710</v>
      </c>
      <c r="J271" t="n">
        <v>349588</v>
      </c>
      <c r="K271" t="n">
        <v>45784</v>
      </c>
      <c r="L271" t="n">
        <v>55952</v>
      </c>
      <c r="M271" t="n">
        <v>24797</v>
      </c>
      <c r="N271" t="n">
        <v>9599</v>
      </c>
      <c r="O271" t="n">
        <v>86228</v>
      </c>
      <c r="P271" t="n">
        <v>38712</v>
      </c>
      <c r="Q271" t="n">
        <v>6952</v>
      </c>
    </row>
    <row r="272">
      <c r="A272" s="135" t="n">
        <v>41821</v>
      </c>
      <c r="B272" t="n">
        <v>304038</v>
      </c>
      <c r="C272" t="n">
        <v>436442</v>
      </c>
      <c r="D272" t="n">
        <v>26084</v>
      </c>
      <c r="E272" t="n">
        <v>20918</v>
      </c>
      <c r="F272" t="n">
        <v>56144</v>
      </c>
      <c r="G272" t="n">
        <v>8419</v>
      </c>
      <c r="H272" t="n">
        <v>8380</v>
      </c>
      <c r="I272" t="n">
        <v>48083</v>
      </c>
      <c r="J272" t="n">
        <v>349853</v>
      </c>
      <c r="K272" t="n">
        <v>45815</v>
      </c>
      <c r="L272" t="n">
        <v>56067</v>
      </c>
      <c r="M272" t="n">
        <v>24813</v>
      </c>
      <c r="N272" t="n">
        <v>9623</v>
      </c>
      <c r="O272" t="n">
        <v>86589</v>
      </c>
      <c r="P272" t="n">
        <v>38579</v>
      </c>
      <c r="Q272" t="n">
        <v>6928</v>
      </c>
    </row>
    <row r="273">
      <c r="A273" s="135" t="n">
        <v>41852</v>
      </c>
      <c r="B273" t="n">
        <v>306590</v>
      </c>
      <c r="C273" t="n">
        <v>439680</v>
      </c>
      <c r="D273" t="n">
        <v>26569</v>
      </c>
      <c r="E273" t="n">
        <v>21035</v>
      </c>
      <c r="F273" t="n">
        <v>56299</v>
      </c>
      <c r="G273" t="n">
        <v>8487</v>
      </c>
      <c r="H273" t="n">
        <v>8517</v>
      </c>
      <c r="I273" t="n">
        <v>48375</v>
      </c>
      <c r="J273" t="n">
        <v>352463</v>
      </c>
      <c r="K273" t="n">
        <v>45873</v>
      </c>
      <c r="L273" t="n">
        <v>56433</v>
      </c>
      <c r="M273" t="n">
        <v>24902</v>
      </c>
      <c r="N273" t="n">
        <v>9743</v>
      </c>
      <c r="O273" t="n">
        <v>87217</v>
      </c>
      <c r="P273" t="n">
        <v>39064</v>
      </c>
      <c r="Q273" t="n">
        <v>7166</v>
      </c>
    </row>
    <row r="274">
      <c r="A274" s="135" t="n">
        <v>41883</v>
      </c>
      <c r="B274" t="n">
        <v>306892</v>
      </c>
      <c r="C274" t="n">
        <v>438842</v>
      </c>
      <c r="D274" t="n">
        <v>26494</v>
      </c>
      <c r="E274" t="n">
        <v>20830</v>
      </c>
      <c r="F274" t="n">
        <v>56476</v>
      </c>
      <c r="G274" t="n">
        <v>8659</v>
      </c>
      <c r="H274" t="n">
        <v>8442</v>
      </c>
      <c r="I274" t="n">
        <v>48982</v>
      </c>
      <c r="J274" t="n">
        <v>352332</v>
      </c>
      <c r="K274" t="n">
        <v>45440</v>
      </c>
      <c r="L274" t="n">
        <v>56032</v>
      </c>
      <c r="M274" t="n">
        <v>25046</v>
      </c>
      <c r="N274" t="n">
        <v>9719</v>
      </c>
      <c r="O274" t="n">
        <v>86510</v>
      </c>
      <c r="P274" t="n">
        <v>39151</v>
      </c>
      <c r="Q274" t="n">
        <v>7061</v>
      </c>
    </row>
    <row r="275">
      <c r="A275" s="135" t="n">
        <v>41913</v>
      </c>
      <c r="B275" t="n">
        <v>308897</v>
      </c>
      <c r="C275" t="n">
        <v>440164</v>
      </c>
      <c r="D275" t="n">
        <v>26463</v>
      </c>
      <c r="E275" t="n">
        <v>21121</v>
      </c>
      <c r="F275" t="n">
        <v>56776</v>
      </c>
      <c r="G275" t="n">
        <v>8610</v>
      </c>
      <c r="H275" t="n">
        <v>8484</v>
      </c>
      <c r="I275" t="n">
        <v>49658</v>
      </c>
      <c r="J275" t="n">
        <v>353409</v>
      </c>
      <c r="K275" t="n">
        <v>44512</v>
      </c>
      <c r="L275" t="n">
        <v>56249</v>
      </c>
      <c r="M275" t="n">
        <v>24962</v>
      </c>
      <c r="N275" t="n">
        <v>9904</v>
      </c>
      <c r="O275" t="n">
        <v>86755</v>
      </c>
      <c r="P275" t="n">
        <v>39513</v>
      </c>
      <c r="Q275" t="n">
        <v>7157</v>
      </c>
    </row>
    <row r="276">
      <c r="A276" s="135" t="n">
        <v>41944</v>
      </c>
      <c r="B276" t="n">
        <v>310080</v>
      </c>
      <c r="C276" t="n">
        <v>441536</v>
      </c>
      <c r="D276" t="n">
        <v>26602</v>
      </c>
      <c r="E276" t="n">
        <v>21394</v>
      </c>
      <c r="F276" t="n">
        <v>56764</v>
      </c>
      <c r="G276" t="n">
        <v>8808</v>
      </c>
      <c r="H276" t="n">
        <v>8577</v>
      </c>
      <c r="I276" t="n">
        <v>49731</v>
      </c>
      <c r="J276" t="n">
        <v>353721</v>
      </c>
      <c r="K276" t="n">
        <v>43641</v>
      </c>
      <c r="L276" t="n">
        <v>56338</v>
      </c>
      <c r="M276" t="n">
        <v>25064</v>
      </c>
      <c r="N276" t="n">
        <v>9828</v>
      </c>
      <c r="O276" t="n">
        <v>87815</v>
      </c>
      <c r="P276" t="n">
        <v>39837</v>
      </c>
      <c r="Q276" t="n">
        <v>7137</v>
      </c>
    </row>
    <row r="277">
      <c r="A277" s="135" t="n">
        <v>41974</v>
      </c>
      <c r="B277" t="n">
        <v>311112</v>
      </c>
      <c r="C277" t="n">
        <v>439077</v>
      </c>
      <c r="D277" t="n">
        <v>26268</v>
      </c>
      <c r="E277" t="n">
        <v>21296</v>
      </c>
      <c r="F277" t="n">
        <v>57113</v>
      </c>
      <c r="G277" t="n">
        <v>8778</v>
      </c>
      <c r="H277" t="n">
        <v>8739</v>
      </c>
      <c r="I277" t="n">
        <v>50508</v>
      </c>
      <c r="J277" t="n">
        <v>351611</v>
      </c>
      <c r="K277" t="n">
        <v>40499</v>
      </c>
      <c r="L277" t="n">
        <v>56388</v>
      </c>
      <c r="M277" t="n">
        <v>25240</v>
      </c>
      <c r="N277" t="n">
        <v>9800</v>
      </c>
      <c r="O277" t="n">
        <v>87466</v>
      </c>
      <c r="P277" t="n">
        <v>39908</v>
      </c>
      <c r="Q277" t="n">
        <v>7074</v>
      </c>
    </row>
    <row r="278">
      <c r="A278" s="135" t="n">
        <v>42005</v>
      </c>
      <c r="B278" t="n">
        <v>311382</v>
      </c>
      <c r="C278" t="n">
        <v>436482</v>
      </c>
      <c r="D278" t="n">
        <v>26517</v>
      </c>
      <c r="E278" t="n">
        <v>21039</v>
      </c>
      <c r="F278" t="n">
        <v>57112</v>
      </c>
      <c r="G278" t="n">
        <v>8627</v>
      </c>
      <c r="H278" t="n">
        <v>8688</v>
      </c>
      <c r="I278" t="n">
        <v>50834</v>
      </c>
      <c r="J278" t="n">
        <v>347963</v>
      </c>
      <c r="K278" t="n">
        <v>36581</v>
      </c>
      <c r="L278" t="n">
        <v>56497</v>
      </c>
      <c r="M278" t="n">
        <v>25440</v>
      </c>
      <c r="N278" t="n">
        <v>9847</v>
      </c>
      <c r="O278" t="n">
        <v>88519</v>
      </c>
      <c r="P278" t="n">
        <v>39830</v>
      </c>
      <c r="Q278" t="n">
        <v>6951</v>
      </c>
    </row>
    <row r="279">
      <c r="A279" s="135" t="n">
        <v>42036</v>
      </c>
      <c r="B279" t="n">
        <v>310754</v>
      </c>
      <c r="C279" t="n">
        <v>435847</v>
      </c>
      <c r="D279" t="n">
        <v>25555</v>
      </c>
      <c r="E279" t="n">
        <v>21326</v>
      </c>
      <c r="F279" t="n">
        <v>57196</v>
      </c>
      <c r="G279" t="n">
        <v>8497</v>
      </c>
      <c r="H279" t="n">
        <v>8501</v>
      </c>
      <c r="I279" t="n">
        <v>50690</v>
      </c>
      <c r="J279" t="n">
        <v>348562</v>
      </c>
      <c r="K279" t="n">
        <v>37808</v>
      </c>
      <c r="L279" t="n">
        <v>56158</v>
      </c>
      <c r="M279" t="n">
        <v>25249</v>
      </c>
      <c r="N279" t="n">
        <v>9760</v>
      </c>
      <c r="O279" t="n">
        <v>87285</v>
      </c>
      <c r="P279" t="n">
        <v>40837</v>
      </c>
      <c r="Q279" t="n">
        <v>6985</v>
      </c>
    </row>
    <row r="280">
      <c r="A280" s="135" t="n">
        <v>42064</v>
      </c>
      <c r="B280" t="n">
        <v>312970</v>
      </c>
      <c r="C280" t="n">
        <v>442487</v>
      </c>
      <c r="D280" t="n">
        <v>26534</v>
      </c>
      <c r="E280" t="n">
        <v>21381</v>
      </c>
      <c r="F280" t="n">
        <v>57188</v>
      </c>
      <c r="G280" t="n">
        <v>8355</v>
      </c>
      <c r="H280" t="n">
        <v>8759</v>
      </c>
      <c r="I280" t="n">
        <v>51067</v>
      </c>
      <c r="J280" t="n">
        <v>351347</v>
      </c>
      <c r="K280" t="n">
        <v>38377</v>
      </c>
      <c r="L280" t="n">
        <v>56368</v>
      </c>
      <c r="M280" t="n">
        <v>25793</v>
      </c>
      <c r="N280" t="n">
        <v>9788</v>
      </c>
      <c r="O280" t="n">
        <v>91140</v>
      </c>
      <c r="P280" t="n">
        <v>40661</v>
      </c>
      <c r="Q280" t="n">
        <v>7076</v>
      </c>
    </row>
    <row r="281">
      <c r="A281" s="135" t="n">
        <v>42095</v>
      </c>
      <c r="B281" t="n">
        <v>313571</v>
      </c>
      <c r="C281" t="n">
        <v>443095</v>
      </c>
      <c r="D281" t="n">
        <v>26690</v>
      </c>
      <c r="E281" t="n">
        <v>21444</v>
      </c>
      <c r="F281" t="n">
        <v>57092</v>
      </c>
      <c r="G281" t="n">
        <v>8382</v>
      </c>
      <c r="H281" t="n">
        <v>8882</v>
      </c>
      <c r="I281" t="n">
        <v>51739</v>
      </c>
      <c r="J281" t="n">
        <v>351403</v>
      </c>
      <c r="K281" t="n">
        <v>37832</v>
      </c>
      <c r="L281" t="n">
        <v>56245</v>
      </c>
      <c r="M281" t="n">
        <v>25393</v>
      </c>
      <c r="N281" t="n">
        <v>9725</v>
      </c>
      <c r="O281" t="n">
        <v>91692</v>
      </c>
      <c r="P281" t="n">
        <v>40897</v>
      </c>
      <c r="Q281" t="n">
        <v>7082</v>
      </c>
    </row>
    <row r="282">
      <c r="A282" s="135" t="n">
        <v>42125</v>
      </c>
      <c r="B282" t="n">
        <v>314947</v>
      </c>
      <c r="C282" t="n">
        <v>446529</v>
      </c>
      <c r="D282" t="n">
        <v>26826</v>
      </c>
      <c r="E282" t="n">
        <v>21626</v>
      </c>
      <c r="F282" t="n">
        <v>57163</v>
      </c>
      <c r="G282" t="n">
        <v>8443</v>
      </c>
      <c r="H282" t="n">
        <v>9066</v>
      </c>
      <c r="I282" t="n">
        <v>51811</v>
      </c>
      <c r="J282" t="n">
        <v>354216</v>
      </c>
      <c r="K282" t="n">
        <v>39269</v>
      </c>
      <c r="L282" t="n">
        <v>56778</v>
      </c>
      <c r="M282" t="n">
        <v>25348</v>
      </c>
      <c r="N282" t="n">
        <v>9997</v>
      </c>
      <c r="O282" t="n">
        <v>92313</v>
      </c>
      <c r="P282" t="n">
        <v>40766</v>
      </c>
      <c r="Q282" t="n">
        <v>7123</v>
      </c>
    </row>
    <row r="283">
      <c r="A283" s="135" t="n">
        <v>42156</v>
      </c>
      <c r="B283" t="n">
        <v>315051</v>
      </c>
      <c r="C283" t="n">
        <v>447343</v>
      </c>
      <c r="D283" t="n">
        <v>26570</v>
      </c>
      <c r="E283" t="n">
        <v>21391</v>
      </c>
      <c r="F283" t="n">
        <v>57419</v>
      </c>
      <c r="G283" t="n">
        <v>8537</v>
      </c>
      <c r="H283" t="n">
        <v>8903</v>
      </c>
      <c r="I283" t="n">
        <v>51879</v>
      </c>
      <c r="J283" t="n">
        <v>354938</v>
      </c>
      <c r="K283" t="n">
        <v>39887</v>
      </c>
      <c r="L283" t="n">
        <v>56644</v>
      </c>
      <c r="M283" t="n">
        <v>25534</v>
      </c>
      <c r="N283" t="n">
        <v>10040</v>
      </c>
      <c r="O283" t="n">
        <v>92405</v>
      </c>
      <c r="P283" t="n">
        <v>41040</v>
      </c>
      <c r="Q283" t="n">
        <v>7094</v>
      </c>
    </row>
    <row r="284">
      <c r="A284" s="135" t="n">
        <v>42186</v>
      </c>
      <c r="B284" t="n">
        <v>317562</v>
      </c>
      <c r="C284" t="n">
        <v>450350</v>
      </c>
      <c r="D284" t="n">
        <v>27326</v>
      </c>
      <c r="E284" t="n">
        <v>21548</v>
      </c>
      <c r="F284" t="n">
        <v>57573</v>
      </c>
      <c r="G284" t="n">
        <v>8371</v>
      </c>
      <c r="H284" t="n">
        <v>9064</v>
      </c>
      <c r="I284" t="n">
        <v>52157</v>
      </c>
      <c r="J284" t="n">
        <v>357855</v>
      </c>
      <c r="K284" t="n">
        <v>40293</v>
      </c>
      <c r="L284" t="n">
        <v>56924</v>
      </c>
      <c r="M284" t="n">
        <v>25783</v>
      </c>
      <c r="N284" t="n">
        <v>10059</v>
      </c>
      <c r="O284" t="n">
        <v>92495</v>
      </c>
      <c r="P284" t="n">
        <v>41617</v>
      </c>
      <c r="Q284" t="n">
        <v>7140</v>
      </c>
    </row>
    <row r="285">
      <c r="A285" s="135" t="n">
        <v>42217</v>
      </c>
      <c r="B285" t="n">
        <v>318091</v>
      </c>
      <c r="C285" t="n">
        <v>450521</v>
      </c>
      <c r="D285" t="n">
        <v>27385</v>
      </c>
      <c r="E285" t="n">
        <v>21587</v>
      </c>
      <c r="F285" t="n">
        <v>57593</v>
      </c>
      <c r="G285" t="n">
        <v>8356</v>
      </c>
      <c r="H285" t="n">
        <v>9086</v>
      </c>
      <c r="I285" t="n">
        <v>52416</v>
      </c>
      <c r="J285" t="n">
        <v>357320</v>
      </c>
      <c r="K285" t="n">
        <v>39229</v>
      </c>
      <c r="L285" t="n">
        <v>56743</v>
      </c>
      <c r="M285" t="n">
        <v>25955</v>
      </c>
      <c r="N285" t="n">
        <v>10158</v>
      </c>
      <c r="O285" t="n">
        <v>93201</v>
      </c>
      <c r="P285" t="n">
        <v>41642</v>
      </c>
      <c r="Q285" t="n">
        <v>7170</v>
      </c>
    </row>
    <row r="286">
      <c r="A286" s="135" t="n">
        <v>42248</v>
      </c>
      <c r="B286" t="n">
        <v>318082</v>
      </c>
      <c r="C286" t="n">
        <v>448635</v>
      </c>
      <c r="D286" t="n">
        <v>27138</v>
      </c>
      <c r="E286" t="n">
        <v>21446</v>
      </c>
      <c r="F286" t="n">
        <v>57407</v>
      </c>
      <c r="G286" t="n">
        <v>8387</v>
      </c>
      <c r="H286" t="n">
        <v>9045</v>
      </c>
      <c r="I286" t="n">
        <v>52387</v>
      </c>
      <c r="J286" t="n">
        <v>355035</v>
      </c>
      <c r="K286" t="n">
        <v>36953</v>
      </c>
      <c r="L286" t="n">
        <v>57113</v>
      </c>
      <c r="M286" t="n">
        <v>26194</v>
      </c>
      <c r="N286" t="n">
        <v>9714</v>
      </c>
      <c r="O286" t="n">
        <v>93600</v>
      </c>
      <c r="P286" t="n">
        <v>42054</v>
      </c>
      <c r="Q286" t="n">
        <v>7197</v>
      </c>
    </row>
    <row r="287">
      <c r="A287" s="135" t="n">
        <v>42278</v>
      </c>
      <c r="B287" t="n">
        <v>317805</v>
      </c>
      <c r="C287" t="n">
        <v>447262</v>
      </c>
      <c r="D287" t="n">
        <v>27331</v>
      </c>
      <c r="E287" t="n">
        <v>21239</v>
      </c>
      <c r="F287" t="n">
        <v>57134</v>
      </c>
      <c r="G287" t="n">
        <v>8293</v>
      </c>
      <c r="H287" t="n">
        <v>9162</v>
      </c>
      <c r="I287" t="n">
        <v>52759</v>
      </c>
      <c r="J287" t="n">
        <v>354371</v>
      </c>
      <c r="K287" t="n">
        <v>36566</v>
      </c>
      <c r="L287" t="n">
        <v>56750</v>
      </c>
      <c r="M287" t="n">
        <v>26043</v>
      </c>
      <c r="N287" t="n">
        <v>9726</v>
      </c>
      <c r="O287" t="n">
        <v>92891</v>
      </c>
      <c r="P287" t="n">
        <v>42262</v>
      </c>
      <c r="Q287" t="n">
        <v>7106</v>
      </c>
    </row>
    <row r="288">
      <c r="A288" s="135" t="n">
        <v>42309</v>
      </c>
      <c r="B288" t="n">
        <v>319063</v>
      </c>
      <c r="C288" t="n">
        <v>449121</v>
      </c>
      <c r="D288" t="n">
        <v>27638</v>
      </c>
      <c r="E288" t="n">
        <v>21348</v>
      </c>
      <c r="F288" t="n">
        <v>57540</v>
      </c>
      <c r="G288" t="n">
        <v>8134</v>
      </c>
      <c r="H288" t="n">
        <v>9152</v>
      </c>
      <c r="I288" t="n">
        <v>52881</v>
      </c>
      <c r="J288" t="n">
        <v>355197</v>
      </c>
      <c r="K288" t="n">
        <v>36134</v>
      </c>
      <c r="L288" t="n">
        <v>56938</v>
      </c>
      <c r="M288" t="n">
        <v>26210</v>
      </c>
      <c r="N288" t="n">
        <v>9863</v>
      </c>
      <c r="O288" t="n">
        <v>93924</v>
      </c>
      <c r="P288" t="n">
        <v>42146</v>
      </c>
      <c r="Q288" t="n">
        <v>7213</v>
      </c>
    </row>
    <row r="289">
      <c r="A289" s="135" t="n">
        <v>42339</v>
      </c>
      <c r="B289" t="n">
        <v>321344</v>
      </c>
      <c r="C289" t="n">
        <v>450792</v>
      </c>
      <c r="D289" t="n">
        <v>28165</v>
      </c>
      <c r="E289" t="n">
        <v>21506</v>
      </c>
      <c r="F289" t="n">
        <v>57365</v>
      </c>
      <c r="G289" t="n">
        <v>8142</v>
      </c>
      <c r="H289" t="n">
        <v>9361</v>
      </c>
      <c r="I289" t="n">
        <v>53740</v>
      </c>
      <c r="J289" t="n">
        <v>357320</v>
      </c>
      <c r="K289" t="n">
        <v>35976</v>
      </c>
      <c r="L289" t="n">
        <v>57161</v>
      </c>
      <c r="M289" t="n">
        <v>26433</v>
      </c>
      <c r="N289" t="n">
        <v>9763</v>
      </c>
      <c r="O289" t="n">
        <v>93472</v>
      </c>
      <c r="P289" t="n">
        <v>42355</v>
      </c>
      <c r="Q289" t="n">
        <v>7353</v>
      </c>
    </row>
    <row r="290">
      <c r="A290" s="135" t="n">
        <v>42370</v>
      </c>
      <c r="B290" t="n">
        <v>320203</v>
      </c>
      <c r="C290" t="n">
        <v>447794</v>
      </c>
      <c r="D290" t="n">
        <v>28215</v>
      </c>
      <c r="E290" t="n">
        <v>21289</v>
      </c>
      <c r="F290" t="n">
        <v>57620</v>
      </c>
      <c r="G290" t="n">
        <v>7967</v>
      </c>
      <c r="H290" t="n">
        <v>9239</v>
      </c>
      <c r="I290" t="n">
        <v>53045</v>
      </c>
      <c r="J290" t="n">
        <v>354701</v>
      </c>
      <c r="K290" t="n">
        <v>34498</v>
      </c>
      <c r="L290" t="n">
        <v>56318</v>
      </c>
      <c r="M290" t="n">
        <v>26247</v>
      </c>
      <c r="N290" t="n">
        <v>9786</v>
      </c>
      <c r="O290" t="n">
        <v>93093</v>
      </c>
      <c r="P290" t="n">
        <v>43174</v>
      </c>
      <c r="Q290" t="n">
        <v>7303</v>
      </c>
    </row>
    <row r="291">
      <c r="A291" s="135" t="n">
        <v>42401</v>
      </c>
      <c r="B291" t="n">
        <v>323905</v>
      </c>
      <c r="C291" t="n">
        <v>452342</v>
      </c>
      <c r="D291" t="n">
        <v>28260</v>
      </c>
      <c r="E291" t="n">
        <v>21962</v>
      </c>
      <c r="F291" t="n">
        <v>57684</v>
      </c>
      <c r="G291" t="n">
        <v>8059</v>
      </c>
      <c r="H291" t="n">
        <v>9277</v>
      </c>
      <c r="I291" t="n">
        <v>54237</v>
      </c>
      <c r="J291" t="n">
        <v>356770</v>
      </c>
      <c r="K291" t="n">
        <v>32865</v>
      </c>
      <c r="L291" t="n">
        <v>57185</v>
      </c>
      <c r="M291" t="n">
        <v>26787</v>
      </c>
      <c r="N291" t="n">
        <v>9770</v>
      </c>
      <c r="O291" t="n">
        <v>95572</v>
      </c>
      <c r="P291" t="n">
        <v>43388</v>
      </c>
      <c r="Q291" t="n">
        <v>7296</v>
      </c>
    </row>
    <row r="292">
      <c r="A292" s="135" t="n">
        <v>42430</v>
      </c>
      <c r="B292" t="n">
        <v>323071</v>
      </c>
      <c r="C292" t="n">
        <v>450830</v>
      </c>
      <c r="D292" t="n">
        <v>28956</v>
      </c>
      <c r="E292" t="n">
        <v>21491</v>
      </c>
      <c r="F292" t="n">
        <v>57195</v>
      </c>
      <c r="G292" t="n">
        <v>7938</v>
      </c>
      <c r="H292" t="n">
        <v>9236</v>
      </c>
      <c r="I292" t="n">
        <v>53919</v>
      </c>
      <c r="J292" t="n">
        <v>357273</v>
      </c>
      <c r="K292" t="n">
        <v>34202</v>
      </c>
      <c r="L292" t="n">
        <v>56993</v>
      </c>
      <c r="M292" t="n">
        <v>26617</v>
      </c>
      <c r="N292" t="n">
        <v>10009</v>
      </c>
      <c r="O292" t="n">
        <v>93557</v>
      </c>
      <c r="P292" t="n">
        <v>43437</v>
      </c>
      <c r="Q292" t="n">
        <v>7280</v>
      </c>
    </row>
    <row r="293">
      <c r="A293" s="135" t="n">
        <v>42461</v>
      </c>
      <c r="B293" t="n">
        <v>323590</v>
      </c>
      <c r="C293" t="n">
        <v>452430</v>
      </c>
      <c r="D293" t="n">
        <v>27956</v>
      </c>
      <c r="E293" t="n">
        <v>21407</v>
      </c>
      <c r="F293" t="n">
        <v>57861</v>
      </c>
      <c r="G293" t="n">
        <v>7881</v>
      </c>
      <c r="H293" t="n">
        <v>9203</v>
      </c>
      <c r="I293" t="n">
        <v>54240</v>
      </c>
      <c r="J293" t="n">
        <v>358691</v>
      </c>
      <c r="K293" t="n">
        <v>35101</v>
      </c>
      <c r="L293" t="n">
        <v>56917</v>
      </c>
      <c r="M293" t="n">
        <v>26811</v>
      </c>
      <c r="N293" t="n">
        <v>10126</v>
      </c>
      <c r="O293" t="n">
        <v>93739</v>
      </c>
      <c r="P293" t="n">
        <v>43975</v>
      </c>
      <c r="Q293" t="n">
        <v>7213</v>
      </c>
    </row>
    <row r="294">
      <c r="A294" s="135" t="n">
        <v>42491</v>
      </c>
      <c r="B294" t="n">
        <v>324289</v>
      </c>
      <c r="C294" t="n">
        <v>454443</v>
      </c>
      <c r="D294" t="n">
        <v>27608</v>
      </c>
      <c r="E294" t="n">
        <v>21579</v>
      </c>
      <c r="F294" t="n">
        <v>58126</v>
      </c>
      <c r="G294" t="n">
        <v>7924</v>
      </c>
      <c r="H294" t="n">
        <v>9278</v>
      </c>
      <c r="I294" t="n">
        <v>54300</v>
      </c>
      <c r="J294" t="n">
        <v>360322</v>
      </c>
      <c r="K294" t="n">
        <v>36033</v>
      </c>
      <c r="L294" t="n">
        <v>56668</v>
      </c>
      <c r="M294" t="n">
        <v>26722</v>
      </c>
      <c r="N294" t="n">
        <v>9996</v>
      </c>
      <c r="O294" t="n">
        <v>94121</v>
      </c>
      <c r="P294" t="n">
        <v>44827</v>
      </c>
      <c r="Q294" t="n">
        <v>7261</v>
      </c>
    </row>
    <row r="295">
      <c r="A295" s="135" t="n">
        <v>42522</v>
      </c>
      <c r="B295" t="n">
        <v>327033</v>
      </c>
      <c r="C295" t="n">
        <v>459052</v>
      </c>
      <c r="D295" t="n">
        <v>28271</v>
      </c>
      <c r="E295" t="n">
        <v>21673</v>
      </c>
      <c r="F295" t="n">
        <v>58527</v>
      </c>
      <c r="G295" t="n">
        <v>7878</v>
      </c>
      <c r="H295" t="n">
        <v>9422</v>
      </c>
      <c r="I295" t="n">
        <v>54296</v>
      </c>
      <c r="J295" t="n">
        <v>364300</v>
      </c>
      <c r="K295" t="n">
        <v>37267</v>
      </c>
      <c r="L295" t="n">
        <v>57085</v>
      </c>
      <c r="M295" t="n">
        <v>26892</v>
      </c>
      <c r="N295" t="n">
        <v>10063</v>
      </c>
      <c r="O295" t="n">
        <v>94752</v>
      </c>
      <c r="P295" t="n">
        <v>45364</v>
      </c>
      <c r="Q295" t="n">
        <v>7562</v>
      </c>
    </row>
    <row r="296">
      <c r="A296" s="135" t="n">
        <v>42552</v>
      </c>
      <c r="B296" t="n">
        <v>325311</v>
      </c>
      <c r="C296" t="n">
        <v>458060</v>
      </c>
      <c r="D296" t="n">
        <v>27969</v>
      </c>
      <c r="E296" t="n">
        <v>21431</v>
      </c>
      <c r="F296" t="n">
        <v>58172</v>
      </c>
      <c r="G296" t="n">
        <v>7945</v>
      </c>
      <c r="H296" t="n">
        <v>9350</v>
      </c>
      <c r="I296" t="n">
        <v>54330</v>
      </c>
      <c r="J296" t="n">
        <v>362118</v>
      </c>
      <c r="K296" t="n">
        <v>36807</v>
      </c>
      <c r="L296" t="n">
        <v>56755</v>
      </c>
      <c r="M296" t="n">
        <v>26822</v>
      </c>
      <c r="N296" t="n">
        <v>9997</v>
      </c>
      <c r="O296" t="n">
        <v>95942</v>
      </c>
      <c r="P296" t="n">
        <v>45324</v>
      </c>
      <c r="Q296" t="n">
        <v>7216</v>
      </c>
    </row>
    <row r="297">
      <c r="A297" s="135" t="n">
        <v>42583</v>
      </c>
      <c r="B297" t="n">
        <v>326417</v>
      </c>
      <c r="C297" t="n">
        <v>458771</v>
      </c>
      <c r="D297" t="n">
        <v>27846</v>
      </c>
      <c r="E297" t="n">
        <v>21787</v>
      </c>
      <c r="F297" t="n">
        <v>58446</v>
      </c>
      <c r="G297" t="n">
        <v>8039</v>
      </c>
      <c r="H297" t="n">
        <v>9333</v>
      </c>
      <c r="I297" t="n">
        <v>54803</v>
      </c>
      <c r="J297" t="n">
        <v>362435</v>
      </c>
      <c r="K297" t="n">
        <v>36018</v>
      </c>
      <c r="L297" t="n">
        <v>56858</v>
      </c>
      <c r="M297" t="n">
        <v>26747</v>
      </c>
      <c r="N297" t="n">
        <v>9933</v>
      </c>
      <c r="O297" t="n">
        <v>96336</v>
      </c>
      <c r="P297" t="n">
        <v>45586</v>
      </c>
      <c r="Q297" t="n">
        <v>7039</v>
      </c>
    </row>
    <row r="298">
      <c r="A298" s="135" t="n">
        <v>42614</v>
      </c>
      <c r="B298" t="n">
        <v>327184</v>
      </c>
      <c r="C298" t="n">
        <v>461324</v>
      </c>
      <c r="D298" t="n">
        <v>27876</v>
      </c>
      <c r="E298" t="n">
        <v>21906</v>
      </c>
      <c r="F298" t="n">
        <v>58717</v>
      </c>
      <c r="G298" t="n">
        <v>7732</v>
      </c>
      <c r="H298" t="n">
        <v>9487</v>
      </c>
      <c r="I298" t="n">
        <v>55366</v>
      </c>
      <c r="J298" t="n">
        <v>364147</v>
      </c>
      <c r="K298" t="n">
        <v>36963</v>
      </c>
      <c r="L298" t="n">
        <v>56245</v>
      </c>
      <c r="M298" t="n">
        <v>26683</v>
      </c>
      <c r="N298" t="n">
        <v>10196</v>
      </c>
      <c r="O298" t="n">
        <v>97177</v>
      </c>
      <c r="P298" t="n">
        <v>45918</v>
      </c>
      <c r="Q298" t="n">
        <v>7058</v>
      </c>
    </row>
    <row r="299">
      <c r="A299" s="135" t="n">
        <v>42644</v>
      </c>
      <c r="B299" t="n">
        <v>327785</v>
      </c>
      <c r="C299" t="n">
        <v>462770</v>
      </c>
      <c r="D299" t="n">
        <v>28050</v>
      </c>
      <c r="E299" t="n">
        <v>21696</v>
      </c>
      <c r="F299" t="n">
        <v>59054</v>
      </c>
      <c r="G299" t="n">
        <v>7612</v>
      </c>
      <c r="H299" t="n">
        <v>9391</v>
      </c>
      <c r="I299" t="n">
        <v>55375</v>
      </c>
      <c r="J299" t="n">
        <v>365738</v>
      </c>
      <c r="K299" t="n">
        <v>37953</v>
      </c>
      <c r="L299" t="n">
        <v>56762</v>
      </c>
      <c r="M299" t="n">
        <v>25885</v>
      </c>
      <c r="N299" t="n">
        <v>10368</v>
      </c>
      <c r="O299" t="n">
        <v>97032</v>
      </c>
      <c r="P299" t="n">
        <v>46508</v>
      </c>
      <c r="Q299" t="n">
        <v>7084</v>
      </c>
    </row>
    <row r="300">
      <c r="A300" s="135" t="n">
        <v>42675</v>
      </c>
      <c r="B300" t="n">
        <v>328217</v>
      </c>
      <c r="C300" t="n">
        <v>462407</v>
      </c>
      <c r="D300" t="n">
        <v>28206</v>
      </c>
      <c r="E300" t="n">
        <v>21629</v>
      </c>
      <c r="F300" t="n">
        <v>59105</v>
      </c>
      <c r="G300" t="n">
        <v>7464</v>
      </c>
      <c r="H300" t="n">
        <v>9358</v>
      </c>
      <c r="I300" t="n">
        <v>56346</v>
      </c>
      <c r="J300" t="n">
        <v>365795</v>
      </c>
      <c r="K300" t="n">
        <v>37578</v>
      </c>
      <c r="L300" t="n">
        <v>56538</v>
      </c>
      <c r="M300" t="n">
        <v>26114</v>
      </c>
      <c r="N300" t="n">
        <v>9962</v>
      </c>
      <c r="O300" t="n">
        <v>96612</v>
      </c>
      <c r="P300" t="n">
        <v>46534</v>
      </c>
      <c r="Q300" t="n">
        <v>6961</v>
      </c>
    </row>
    <row r="301">
      <c r="A301" s="135" t="n">
        <v>42705</v>
      </c>
      <c r="B301" t="n">
        <v>329217</v>
      </c>
      <c r="C301" t="n">
        <v>468061</v>
      </c>
      <c r="D301" t="n">
        <v>28155</v>
      </c>
      <c r="E301" t="n">
        <v>21951</v>
      </c>
      <c r="F301" t="n">
        <v>59328</v>
      </c>
      <c r="G301" t="n">
        <v>7600</v>
      </c>
      <c r="H301" t="n">
        <v>9297</v>
      </c>
      <c r="I301" t="n">
        <v>55451</v>
      </c>
      <c r="J301" t="n">
        <v>368617</v>
      </c>
      <c r="K301" t="n">
        <v>39400</v>
      </c>
      <c r="L301" t="n">
        <v>56446</v>
      </c>
      <c r="M301" t="n">
        <v>26179</v>
      </c>
      <c r="N301" t="n">
        <v>10130</v>
      </c>
      <c r="O301" t="n">
        <v>99444</v>
      </c>
      <c r="P301" t="n">
        <v>47605</v>
      </c>
      <c r="Q301" t="n">
        <v>7075</v>
      </c>
    </row>
    <row r="302">
      <c r="A302" s="135" t="n">
        <v>42736</v>
      </c>
      <c r="B302" t="n">
        <v>334193</v>
      </c>
      <c r="C302" t="n">
        <v>473484</v>
      </c>
      <c r="D302" t="n">
        <v>28685</v>
      </c>
      <c r="E302" t="n">
        <v>22025</v>
      </c>
      <c r="F302" t="n">
        <v>59561</v>
      </c>
      <c r="G302" t="n">
        <v>7696</v>
      </c>
      <c r="H302" t="n">
        <v>9499</v>
      </c>
      <c r="I302" t="n">
        <v>57403</v>
      </c>
      <c r="J302" t="n">
        <v>374064</v>
      </c>
      <c r="K302" t="n">
        <v>39871</v>
      </c>
      <c r="L302" t="n">
        <v>57695</v>
      </c>
      <c r="M302" t="n">
        <v>26160</v>
      </c>
      <c r="N302" t="n">
        <v>10110</v>
      </c>
      <c r="O302" t="n">
        <v>99420</v>
      </c>
      <c r="P302" t="n">
        <v>48132</v>
      </c>
      <c r="Q302" t="n">
        <v>7227</v>
      </c>
    </row>
    <row r="303">
      <c r="A303" s="135" t="n">
        <v>42767</v>
      </c>
      <c r="B303" t="n">
        <v>334072</v>
      </c>
      <c r="C303" t="n">
        <v>472995</v>
      </c>
      <c r="D303" t="n">
        <v>28943</v>
      </c>
      <c r="E303" t="n">
        <v>21654</v>
      </c>
      <c r="F303" t="n">
        <v>59832</v>
      </c>
      <c r="G303" t="n">
        <v>7609</v>
      </c>
      <c r="H303" t="n">
        <v>9498</v>
      </c>
      <c r="I303" t="n">
        <v>57492</v>
      </c>
      <c r="J303" t="n">
        <v>374178</v>
      </c>
      <c r="K303" t="n">
        <v>40106</v>
      </c>
      <c r="L303" t="n">
        <v>56965</v>
      </c>
      <c r="M303" t="n">
        <v>26436</v>
      </c>
      <c r="N303" t="n">
        <v>10280</v>
      </c>
      <c r="O303" t="n">
        <v>98817</v>
      </c>
      <c r="P303" t="n">
        <v>48312</v>
      </c>
      <c r="Q303" t="n">
        <v>7051</v>
      </c>
    </row>
    <row r="304">
      <c r="A304" s="135" t="n">
        <v>42795</v>
      </c>
      <c r="B304" t="n">
        <v>335515</v>
      </c>
      <c r="C304" t="n">
        <v>471999</v>
      </c>
      <c r="D304" t="n">
        <v>28755</v>
      </c>
      <c r="E304" t="n">
        <v>21760</v>
      </c>
      <c r="F304" t="n">
        <v>60322</v>
      </c>
      <c r="G304" t="n">
        <v>7824</v>
      </c>
      <c r="H304" t="n">
        <v>9576</v>
      </c>
      <c r="I304" t="n">
        <v>57379</v>
      </c>
      <c r="J304" t="n">
        <v>375294</v>
      </c>
      <c r="K304" t="n">
        <v>39779</v>
      </c>
      <c r="L304" t="n">
        <v>57274</v>
      </c>
      <c r="M304" t="n">
        <v>26569</v>
      </c>
      <c r="N304" t="n">
        <v>10189</v>
      </c>
      <c r="O304" t="n">
        <v>96705</v>
      </c>
      <c r="P304" t="n">
        <v>48903</v>
      </c>
      <c r="Q304" t="n">
        <v>6964</v>
      </c>
    </row>
    <row r="305">
      <c r="A305" s="135" t="n">
        <v>42826</v>
      </c>
      <c r="B305" t="n">
        <v>337371</v>
      </c>
      <c r="C305" t="n">
        <v>474363</v>
      </c>
      <c r="D305" t="n">
        <v>29063</v>
      </c>
      <c r="E305" t="n">
        <v>21777</v>
      </c>
      <c r="F305" t="n">
        <v>60461</v>
      </c>
      <c r="G305" t="n">
        <v>7851</v>
      </c>
      <c r="H305" t="n">
        <v>9434</v>
      </c>
      <c r="I305" t="n">
        <v>57474</v>
      </c>
      <c r="J305" t="n">
        <v>376910</v>
      </c>
      <c r="K305" t="n">
        <v>39539</v>
      </c>
      <c r="L305" t="n">
        <v>57655</v>
      </c>
      <c r="M305" t="n">
        <v>26755</v>
      </c>
      <c r="N305" t="n">
        <v>10249</v>
      </c>
      <c r="O305" t="n">
        <v>97453</v>
      </c>
      <c r="P305" t="n">
        <v>49624</v>
      </c>
      <c r="Q305" t="n">
        <v>7028</v>
      </c>
    </row>
    <row r="306">
      <c r="A306" s="135" t="n">
        <v>42856</v>
      </c>
      <c r="B306" t="n">
        <v>336090</v>
      </c>
      <c r="C306" t="n">
        <v>472010</v>
      </c>
      <c r="D306" t="n">
        <v>28764</v>
      </c>
      <c r="E306" t="n">
        <v>21648</v>
      </c>
      <c r="F306" t="n">
        <v>60614</v>
      </c>
      <c r="G306" t="n">
        <v>7744</v>
      </c>
      <c r="H306" t="n">
        <v>9507</v>
      </c>
      <c r="I306" t="n">
        <v>57470</v>
      </c>
      <c r="J306" t="n">
        <v>374147</v>
      </c>
      <c r="K306" t="n">
        <v>38057</v>
      </c>
      <c r="L306" t="n">
        <v>56600</v>
      </c>
      <c r="M306" t="n">
        <v>26761</v>
      </c>
      <c r="N306" t="n">
        <v>10043</v>
      </c>
      <c r="O306" t="n">
        <v>97863</v>
      </c>
      <c r="P306" t="n">
        <v>49991</v>
      </c>
      <c r="Q306" t="n">
        <v>6948</v>
      </c>
    </row>
    <row r="307">
      <c r="A307" s="135" t="n">
        <v>42887</v>
      </c>
      <c r="B307" t="n">
        <v>337439</v>
      </c>
      <c r="C307" t="n">
        <v>473768</v>
      </c>
      <c r="D307" t="n">
        <v>28720</v>
      </c>
      <c r="E307" t="n">
        <v>21791</v>
      </c>
      <c r="F307" t="n">
        <v>60413</v>
      </c>
      <c r="G307" t="n">
        <v>7672</v>
      </c>
      <c r="H307" t="n">
        <v>9570</v>
      </c>
      <c r="I307" t="n">
        <v>57263</v>
      </c>
      <c r="J307" t="n">
        <v>375072</v>
      </c>
      <c r="K307" t="n">
        <v>37633</v>
      </c>
      <c r="L307" t="n">
        <v>57767</v>
      </c>
      <c r="M307" t="n">
        <v>26983</v>
      </c>
      <c r="N307" t="n">
        <v>10048</v>
      </c>
      <c r="O307" t="n">
        <v>98696</v>
      </c>
      <c r="P307" t="n">
        <v>50267</v>
      </c>
      <c r="Q307" t="n">
        <v>6945</v>
      </c>
    </row>
    <row r="308">
      <c r="A308" s="135" t="n">
        <v>42917</v>
      </c>
      <c r="B308" t="n">
        <v>337493</v>
      </c>
      <c r="C308" t="n">
        <v>473959</v>
      </c>
      <c r="D308" t="n">
        <v>28838</v>
      </c>
      <c r="E308" t="n">
        <v>21619</v>
      </c>
      <c r="F308" t="n">
        <v>60443</v>
      </c>
      <c r="G308" t="n">
        <v>7579</v>
      </c>
      <c r="H308" t="n">
        <v>9529</v>
      </c>
      <c r="I308" t="n">
        <v>57215</v>
      </c>
      <c r="J308" t="n">
        <v>375038</v>
      </c>
      <c r="K308" t="n">
        <v>37545</v>
      </c>
      <c r="L308" t="n">
        <v>57438</v>
      </c>
      <c r="M308" t="n">
        <v>27020</v>
      </c>
      <c r="N308" t="n">
        <v>10258</v>
      </c>
      <c r="O308" t="n">
        <v>98921</v>
      </c>
      <c r="P308" t="n">
        <v>50713</v>
      </c>
      <c r="Q308" t="n">
        <v>6841</v>
      </c>
    </row>
    <row r="309">
      <c r="A309" s="135" t="n">
        <v>42948</v>
      </c>
      <c r="B309" t="n">
        <v>339279</v>
      </c>
      <c r="C309" t="n">
        <v>474703</v>
      </c>
      <c r="D309" t="n">
        <v>28843</v>
      </c>
      <c r="E309" t="n">
        <v>21779</v>
      </c>
      <c r="F309" t="n">
        <v>60762</v>
      </c>
      <c r="G309" t="n">
        <v>7597</v>
      </c>
      <c r="H309" t="n">
        <v>9601</v>
      </c>
      <c r="I309" t="n">
        <v>57524</v>
      </c>
      <c r="J309" t="n">
        <v>378044</v>
      </c>
      <c r="K309" t="n">
        <v>38765</v>
      </c>
      <c r="L309" t="n">
        <v>57654</v>
      </c>
      <c r="M309" t="n">
        <v>27336</v>
      </c>
      <c r="N309" t="n">
        <v>10235</v>
      </c>
      <c r="O309" t="n">
        <v>96659</v>
      </c>
      <c r="P309" t="n">
        <v>51035</v>
      </c>
      <c r="Q309" t="n">
        <v>6913</v>
      </c>
    </row>
    <row r="310">
      <c r="A310" s="135" t="n">
        <v>42979</v>
      </c>
      <c r="B310" t="n">
        <v>342616</v>
      </c>
      <c r="C310" t="n">
        <v>484385</v>
      </c>
      <c r="D310" t="n">
        <v>29763</v>
      </c>
      <c r="E310" t="n">
        <v>21897</v>
      </c>
      <c r="F310" t="n">
        <v>61331</v>
      </c>
      <c r="G310" t="n">
        <v>7662</v>
      </c>
      <c r="H310" t="n">
        <v>9496</v>
      </c>
      <c r="I310" t="n">
        <v>57884</v>
      </c>
      <c r="J310" t="n">
        <v>383436</v>
      </c>
      <c r="K310" t="n">
        <v>40820</v>
      </c>
      <c r="L310" t="n">
        <v>58294</v>
      </c>
      <c r="M310" t="n">
        <v>27372</v>
      </c>
      <c r="N310" t="n">
        <v>10354</v>
      </c>
      <c r="O310" t="n">
        <v>100949</v>
      </c>
      <c r="P310" t="n">
        <v>51561</v>
      </c>
      <c r="Q310" t="n">
        <v>7002</v>
      </c>
    </row>
    <row r="311">
      <c r="A311" s="135" t="n">
        <v>43009</v>
      </c>
      <c r="B311" t="n">
        <v>342619</v>
      </c>
      <c r="C311" t="n">
        <v>485059</v>
      </c>
      <c r="D311" t="n">
        <v>29561</v>
      </c>
      <c r="E311" t="n">
        <v>21796</v>
      </c>
      <c r="F311" t="n">
        <v>61563</v>
      </c>
      <c r="G311" t="n">
        <v>7708</v>
      </c>
      <c r="H311" t="n">
        <v>9804</v>
      </c>
      <c r="I311" t="n">
        <v>58126</v>
      </c>
      <c r="J311" t="n">
        <v>383559</v>
      </c>
      <c r="K311" t="n">
        <v>40940</v>
      </c>
      <c r="L311" t="n">
        <v>57996</v>
      </c>
      <c r="M311" t="n">
        <v>27568</v>
      </c>
      <c r="N311" t="n">
        <v>10392</v>
      </c>
      <c r="O311" t="n">
        <v>101500</v>
      </c>
      <c r="P311" t="n">
        <v>51074</v>
      </c>
      <c r="Q311" t="n">
        <v>7031</v>
      </c>
    </row>
    <row r="312">
      <c r="A312" s="135" t="n">
        <v>43040</v>
      </c>
      <c r="B312" t="n">
        <v>347389</v>
      </c>
      <c r="C312" t="n">
        <v>490007</v>
      </c>
      <c r="D312" t="n">
        <v>29948</v>
      </c>
      <c r="E312" t="n">
        <v>22068</v>
      </c>
      <c r="F312" t="n">
        <v>61766</v>
      </c>
      <c r="G312" t="n">
        <v>7838</v>
      </c>
      <c r="H312" t="n">
        <v>9937</v>
      </c>
      <c r="I312" t="n">
        <v>58849</v>
      </c>
      <c r="J312" t="n">
        <v>389394</v>
      </c>
      <c r="K312" t="n">
        <v>42005</v>
      </c>
      <c r="L312" t="n">
        <v>58065</v>
      </c>
      <c r="M312" t="n">
        <v>27763</v>
      </c>
      <c r="N312" t="n">
        <v>10590</v>
      </c>
      <c r="O312" t="n">
        <v>100613</v>
      </c>
      <c r="P312" t="n">
        <v>53421</v>
      </c>
      <c r="Q312" t="n">
        <v>7144</v>
      </c>
    </row>
    <row r="313">
      <c r="A313" s="135" t="n">
        <v>43070</v>
      </c>
      <c r="B313" t="n">
        <v>349301</v>
      </c>
      <c r="C313" t="n">
        <v>492401</v>
      </c>
      <c r="D313" t="n">
        <v>30044</v>
      </c>
      <c r="E313" t="n">
        <v>21760</v>
      </c>
      <c r="F313" t="n">
        <v>62282</v>
      </c>
      <c r="G313" t="n">
        <v>7798</v>
      </c>
      <c r="H313" t="n">
        <v>9960</v>
      </c>
      <c r="I313" t="n">
        <v>59119</v>
      </c>
      <c r="J313" t="n">
        <v>392021</v>
      </c>
      <c r="K313" t="n">
        <v>42720</v>
      </c>
      <c r="L313" t="n">
        <v>58591</v>
      </c>
      <c r="M313" t="n">
        <v>27669</v>
      </c>
      <c r="N313" t="n">
        <v>10656</v>
      </c>
      <c r="O313" t="n">
        <v>100380</v>
      </c>
      <c r="P313" t="n">
        <v>54363</v>
      </c>
      <c r="Q313" t="n">
        <v>7059</v>
      </c>
    </row>
    <row r="314">
      <c r="A314" s="135" t="n">
        <v>43101</v>
      </c>
      <c r="B314" t="n">
        <v>348453</v>
      </c>
      <c r="C314" t="n">
        <v>491492</v>
      </c>
      <c r="D314" t="n">
        <v>29261</v>
      </c>
      <c r="E314" t="n">
        <v>21848</v>
      </c>
      <c r="F314" t="n">
        <v>61935</v>
      </c>
      <c r="G314" t="n">
        <v>7847</v>
      </c>
      <c r="H314" t="n">
        <v>9875</v>
      </c>
      <c r="I314" t="n">
        <v>59344</v>
      </c>
      <c r="J314" t="n">
        <v>391213</v>
      </c>
      <c r="K314" t="n">
        <v>42760</v>
      </c>
      <c r="L314" t="n">
        <v>58607</v>
      </c>
      <c r="M314" t="n">
        <v>27671</v>
      </c>
      <c r="N314" t="n">
        <v>10855</v>
      </c>
      <c r="O314" t="n">
        <v>100279</v>
      </c>
      <c r="P314" t="n">
        <v>54331</v>
      </c>
      <c r="Q314" t="n">
        <v>6879</v>
      </c>
    </row>
    <row r="315">
      <c r="A315" s="135" t="n">
        <v>43132</v>
      </c>
      <c r="B315" t="n">
        <v>350758</v>
      </c>
      <c r="C315" t="n">
        <v>493759</v>
      </c>
      <c r="D315" t="n">
        <v>30076</v>
      </c>
      <c r="E315" t="n">
        <v>22365</v>
      </c>
      <c r="F315" t="n">
        <v>62026</v>
      </c>
      <c r="G315" t="n">
        <v>7941</v>
      </c>
      <c r="H315" t="n">
        <v>9910</v>
      </c>
      <c r="I315" t="n">
        <v>59653</v>
      </c>
      <c r="J315" t="n">
        <v>393942</v>
      </c>
      <c r="K315" t="n">
        <v>43184</v>
      </c>
      <c r="L315" t="n">
        <v>58670</v>
      </c>
      <c r="M315" t="n">
        <v>27510</v>
      </c>
      <c r="N315" t="n">
        <v>10807</v>
      </c>
      <c r="O315" t="n">
        <v>99817</v>
      </c>
      <c r="P315" t="n">
        <v>54637</v>
      </c>
      <c r="Q315" t="n">
        <v>7163</v>
      </c>
    </row>
    <row r="316">
      <c r="A316" s="135" t="n">
        <v>43160</v>
      </c>
      <c r="B316" t="n">
        <v>350632</v>
      </c>
      <c r="C316" t="n">
        <v>493373</v>
      </c>
      <c r="D316" t="n">
        <v>29792</v>
      </c>
      <c r="E316" t="n">
        <v>21697</v>
      </c>
      <c r="F316" t="n">
        <v>62166</v>
      </c>
      <c r="G316" t="n">
        <v>7880</v>
      </c>
      <c r="H316" t="n">
        <v>9937</v>
      </c>
      <c r="I316" t="n">
        <v>60141</v>
      </c>
      <c r="J316" t="n">
        <v>393244</v>
      </c>
      <c r="K316" t="n">
        <v>42612</v>
      </c>
      <c r="L316" t="n">
        <v>58081</v>
      </c>
      <c r="M316" t="n">
        <v>27674</v>
      </c>
      <c r="N316" t="n">
        <v>10711</v>
      </c>
      <c r="O316" t="n">
        <v>100129</v>
      </c>
      <c r="P316" t="n">
        <v>55316</v>
      </c>
      <c r="Q316" t="n">
        <v>7237</v>
      </c>
    </row>
    <row r="317">
      <c r="A317" s="135" t="n">
        <v>43191</v>
      </c>
      <c r="B317" t="n">
        <v>352159</v>
      </c>
      <c r="C317" t="n">
        <v>495025</v>
      </c>
      <c r="D317" t="n">
        <v>29807</v>
      </c>
      <c r="E317" t="n">
        <v>22045</v>
      </c>
      <c r="F317" t="n">
        <v>62516</v>
      </c>
      <c r="G317" t="n">
        <v>7994</v>
      </c>
      <c r="H317" t="n">
        <v>10113</v>
      </c>
      <c r="I317" t="n">
        <v>59415</v>
      </c>
      <c r="J317" t="n">
        <v>394562</v>
      </c>
      <c r="K317" t="n">
        <v>42403</v>
      </c>
      <c r="L317" t="n">
        <v>58423</v>
      </c>
      <c r="M317" t="n">
        <v>27937</v>
      </c>
      <c r="N317" t="n">
        <v>10651</v>
      </c>
      <c r="O317" t="n">
        <v>100463</v>
      </c>
      <c r="P317" t="n">
        <v>56131</v>
      </c>
      <c r="Q317" t="n">
        <v>7127</v>
      </c>
    </row>
    <row r="318">
      <c r="A318" s="135" t="n">
        <v>43221</v>
      </c>
      <c r="B318" t="n">
        <v>356316</v>
      </c>
      <c r="C318" t="n">
        <v>500719</v>
      </c>
      <c r="D318" t="n">
        <v>30546</v>
      </c>
      <c r="E318" t="n">
        <v>22855</v>
      </c>
      <c r="F318" t="n">
        <v>62516</v>
      </c>
      <c r="G318" t="n">
        <v>7945</v>
      </c>
      <c r="H318" t="n">
        <v>9974</v>
      </c>
      <c r="I318" t="n">
        <v>60723</v>
      </c>
      <c r="J318" t="n">
        <v>399841</v>
      </c>
      <c r="K318" t="n">
        <v>43525</v>
      </c>
      <c r="L318" t="n">
        <v>59682</v>
      </c>
      <c r="M318" t="n">
        <v>28309</v>
      </c>
      <c r="N318" t="n">
        <v>10810</v>
      </c>
      <c r="O318" t="n">
        <v>100878</v>
      </c>
      <c r="P318" t="n">
        <v>55818</v>
      </c>
      <c r="Q318" t="n">
        <v>7138</v>
      </c>
    </row>
    <row r="319">
      <c r="A319" s="135" t="n">
        <v>43252</v>
      </c>
      <c r="B319" t="n">
        <v>355265</v>
      </c>
      <c r="C319" t="n">
        <v>499631</v>
      </c>
      <c r="D319" t="n">
        <v>30974</v>
      </c>
      <c r="E319" t="n">
        <v>22343</v>
      </c>
      <c r="F319" t="n">
        <v>62350</v>
      </c>
      <c r="G319" t="n">
        <v>7991</v>
      </c>
      <c r="H319" t="n">
        <v>9971</v>
      </c>
      <c r="I319" t="n">
        <v>61440</v>
      </c>
      <c r="J319" t="n">
        <v>399038</v>
      </c>
      <c r="K319" t="n">
        <v>43773</v>
      </c>
      <c r="L319" t="n">
        <v>58687</v>
      </c>
      <c r="M319" t="n">
        <v>28076</v>
      </c>
      <c r="N319" t="n">
        <v>10763</v>
      </c>
      <c r="O319" t="n">
        <v>100593</v>
      </c>
      <c r="P319" t="n">
        <v>55751</v>
      </c>
      <c r="Q319" t="n">
        <v>6919</v>
      </c>
    </row>
    <row r="320">
      <c r="A320" s="135" t="n">
        <v>43282</v>
      </c>
      <c r="B320" t="n">
        <v>357605</v>
      </c>
      <c r="C320" t="n">
        <v>502962</v>
      </c>
      <c r="D320" t="n">
        <v>30991</v>
      </c>
      <c r="E320" t="n">
        <v>22698</v>
      </c>
      <c r="F320" t="n">
        <v>62713</v>
      </c>
      <c r="G320" t="n">
        <v>7916</v>
      </c>
      <c r="H320" t="n">
        <v>10006</v>
      </c>
      <c r="I320" t="n">
        <v>62259</v>
      </c>
      <c r="J320" t="n">
        <v>401779</v>
      </c>
      <c r="K320" t="n">
        <v>44174</v>
      </c>
      <c r="L320" t="n">
        <v>58966</v>
      </c>
      <c r="M320" t="n">
        <v>28258</v>
      </c>
      <c r="N320" t="n">
        <v>10411</v>
      </c>
      <c r="O320" t="n">
        <v>101183</v>
      </c>
      <c r="P320" t="n">
        <v>56714</v>
      </c>
      <c r="Q320" t="n">
        <v>6673</v>
      </c>
    </row>
    <row r="321">
      <c r="A321" s="135" t="n">
        <v>43313</v>
      </c>
      <c r="B321" t="n">
        <v>357588</v>
      </c>
      <c r="C321" t="n">
        <v>501913</v>
      </c>
      <c r="D321" t="n">
        <v>30601</v>
      </c>
      <c r="E321" t="n">
        <v>22101</v>
      </c>
      <c r="F321" t="n">
        <v>62510</v>
      </c>
      <c r="G321" t="n">
        <v>7940</v>
      </c>
      <c r="H321" t="n">
        <v>9885</v>
      </c>
      <c r="I321" t="n">
        <v>62635</v>
      </c>
      <c r="J321" t="n">
        <v>402204</v>
      </c>
      <c r="K321" t="n">
        <v>44616</v>
      </c>
      <c r="L321" t="n">
        <v>59202</v>
      </c>
      <c r="M321" t="n">
        <v>28533</v>
      </c>
      <c r="N321" t="n">
        <v>10625</v>
      </c>
      <c r="O321" t="n">
        <v>99709</v>
      </c>
      <c r="P321" t="n">
        <v>56948</v>
      </c>
      <c r="Q321" t="n">
        <v>6608</v>
      </c>
    </row>
    <row r="322">
      <c r="A322" s="135" t="n">
        <v>43344</v>
      </c>
      <c r="B322" t="n">
        <v>356859</v>
      </c>
      <c r="C322" t="n">
        <v>500362</v>
      </c>
      <c r="D322" t="n">
        <v>30735</v>
      </c>
      <c r="E322" t="n">
        <v>22112</v>
      </c>
      <c r="F322" t="n">
        <v>62813</v>
      </c>
      <c r="G322" t="n">
        <v>7778</v>
      </c>
      <c r="H322" t="n">
        <v>9818</v>
      </c>
      <c r="I322" t="n">
        <v>61377</v>
      </c>
      <c r="J322" t="n">
        <v>400948</v>
      </c>
      <c r="K322" t="n">
        <v>44089</v>
      </c>
      <c r="L322" t="n">
        <v>58992</v>
      </c>
      <c r="M322" t="n">
        <v>28319</v>
      </c>
      <c r="N322" t="n">
        <v>10659</v>
      </c>
      <c r="O322" t="n">
        <v>99414</v>
      </c>
      <c r="P322" t="n">
        <v>57753</v>
      </c>
      <c r="Q322" t="n">
        <v>6503</v>
      </c>
    </row>
    <row r="323">
      <c r="A323" s="135" t="n">
        <v>43374</v>
      </c>
      <c r="B323" t="n">
        <v>360253</v>
      </c>
      <c r="C323" t="n">
        <v>506010</v>
      </c>
      <c r="D323" t="n">
        <v>31505</v>
      </c>
      <c r="E323" t="n">
        <v>22506</v>
      </c>
      <c r="F323" t="n">
        <v>63056</v>
      </c>
      <c r="G323" t="n">
        <v>7770</v>
      </c>
      <c r="H323" t="n">
        <v>9907</v>
      </c>
      <c r="I323" t="n">
        <v>61972</v>
      </c>
      <c r="J323" t="n">
        <v>406131</v>
      </c>
      <c r="K323" t="n">
        <v>45878</v>
      </c>
      <c r="L323" t="n">
        <v>59355</v>
      </c>
      <c r="M323" t="n">
        <v>28555</v>
      </c>
      <c r="N323" t="n">
        <v>10907</v>
      </c>
      <c r="O323" t="n">
        <v>99879</v>
      </c>
      <c r="P323" t="n">
        <v>58219</v>
      </c>
      <c r="Q323" t="n">
        <v>6501</v>
      </c>
    </row>
    <row r="324">
      <c r="A324" s="135" t="n">
        <v>43405</v>
      </c>
      <c r="B324" t="n">
        <v>362555</v>
      </c>
      <c r="C324" t="n">
        <v>506973</v>
      </c>
      <c r="D324" t="n">
        <v>30855</v>
      </c>
      <c r="E324" t="n">
        <v>22535</v>
      </c>
      <c r="F324" t="n">
        <v>63138</v>
      </c>
      <c r="G324" t="n">
        <v>7714</v>
      </c>
      <c r="H324" t="n">
        <v>9917</v>
      </c>
      <c r="I324" t="n">
        <v>61731</v>
      </c>
      <c r="J324" t="n">
        <v>406277</v>
      </c>
      <c r="K324" t="n">
        <v>43722</v>
      </c>
      <c r="L324" t="n">
        <v>59962</v>
      </c>
      <c r="M324" t="n">
        <v>29077</v>
      </c>
      <c r="N324" t="n">
        <v>10779</v>
      </c>
      <c r="O324" t="n">
        <v>100696</v>
      </c>
      <c r="P324" t="n">
        <v>60268</v>
      </c>
      <c r="Q324" t="n">
        <v>6579</v>
      </c>
    </row>
    <row r="325">
      <c r="A325" s="135" t="n">
        <v>43435</v>
      </c>
      <c r="B325" t="n">
        <v>353860</v>
      </c>
      <c r="C325" t="n">
        <v>496593</v>
      </c>
      <c r="D325" t="n">
        <v>30971</v>
      </c>
      <c r="E325" t="n">
        <v>22028</v>
      </c>
      <c r="F325" t="n">
        <v>62979</v>
      </c>
      <c r="G325" t="n">
        <v>7579</v>
      </c>
      <c r="H325" t="n">
        <v>9884</v>
      </c>
      <c r="I325" t="n">
        <v>61790</v>
      </c>
      <c r="J325" t="n">
        <v>394822</v>
      </c>
      <c r="K325" t="n">
        <v>40962</v>
      </c>
      <c r="L325" t="n">
        <v>59257</v>
      </c>
      <c r="M325" t="n">
        <v>27944</v>
      </c>
      <c r="N325" t="n">
        <v>10558</v>
      </c>
      <c r="O325" t="n">
        <v>101771</v>
      </c>
      <c r="P325" t="n">
        <v>54472</v>
      </c>
      <c r="Q325" t="n">
        <v>6398</v>
      </c>
    </row>
    <row r="326">
      <c r="A326" s="135" t="n">
        <v>43466</v>
      </c>
      <c r="B326" t="n">
        <v>363338</v>
      </c>
      <c r="C326" t="n">
        <v>502724</v>
      </c>
      <c r="D326" t="n">
        <v>32451</v>
      </c>
      <c r="E326" t="n">
        <v>22040</v>
      </c>
      <c r="F326" t="n">
        <v>63940</v>
      </c>
      <c r="G326" t="n">
        <v>7619</v>
      </c>
      <c r="H326" t="n">
        <v>9787</v>
      </c>
      <c r="I326" t="n">
        <v>61973</v>
      </c>
      <c r="J326" t="n">
        <v>403119</v>
      </c>
      <c r="K326" t="n">
        <v>39781</v>
      </c>
      <c r="L326" t="n">
        <v>59432</v>
      </c>
      <c r="M326" t="n">
        <v>28639</v>
      </c>
      <c r="N326" t="n">
        <v>10346</v>
      </c>
      <c r="O326" t="n">
        <v>99605</v>
      </c>
      <c r="P326" t="n">
        <v>60570</v>
      </c>
      <c r="Q326" t="n">
        <v>6541</v>
      </c>
    </row>
    <row r="327">
      <c r="A327" s="135" t="n">
        <v>43497</v>
      </c>
      <c r="B327" t="n">
        <v>360834</v>
      </c>
      <c r="C327" t="n">
        <v>502627</v>
      </c>
      <c r="D327" t="n">
        <v>30745</v>
      </c>
      <c r="E327" t="n">
        <v>22012</v>
      </c>
      <c r="F327" t="n">
        <v>62493</v>
      </c>
      <c r="G327" t="n">
        <v>7508</v>
      </c>
      <c r="H327" t="n">
        <v>9862</v>
      </c>
      <c r="I327" t="n">
        <v>62631</v>
      </c>
      <c r="J327" t="n">
        <v>402274</v>
      </c>
      <c r="K327" t="n">
        <v>41440</v>
      </c>
      <c r="L327" t="n">
        <v>58756</v>
      </c>
      <c r="M327" t="n">
        <v>28756</v>
      </c>
      <c r="N327" t="n">
        <v>10455</v>
      </c>
      <c r="O327" t="n">
        <v>100353</v>
      </c>
      <c r="P327" t="n">
        <v>61022</v>
      </c>
      <c r="Q327" t="n">
        <v>6594</v>
      </c>
    </row>
    <row r="328">
      <c r="A328" s="135" t="n">
        <v>43525</v>
      </c>
      <c r="B328" t="n">
        <v>364418</v>
      </c>
      <c r="C328" t="n">
        <v>510320</v>
      </c>
      <c r="D328" t="n">
        <v>31106</v>
      </c>
      <c r="E328" t="n">
        <v>22431</v>
      </c>
      <c r="F328" t="n">
        <v>63724</v>
      </c>
      <c r="G328" t="n">
        <v>7571</v>
      </c>
      <c r="H328" t="n">
        <v>10008</v>
      </c>
      <c r="I328" t="n">
        <v>63153</v>
      </c>
      <c r="J328" t="n">
        <v>407080</v>
      </c>
      <c r="K328" t="n">
        <v>42662</v>
      </c>
      <c r="L328" t="n">
        <v>59647</v>
      </c>
      <c r="M328" t="n">
        <v>28700</v>
      </c>
      <c r="N328" t="n">
        <v>10601</v>
      </c>
      <c r="O328" t="n">
        <v>103240</v>
      </c>
      <c r="P328" t="n">
        <v>60845</v>
      </c>
      <c r="Q328" t="n">
        <v>6632</v>
      </c>
    </row>
    <row r="329">
      <c r="A329" s="135" t="n">
        <v>43556</v>
      </c>
      <c r="B329" t="n">
        <v>366650</v>
      </c>
      <c r="C329" t="n">
        <v>512326</v>
      </c>
      <c r="D329" t="n">
        <v>30959</v>
      </c>
      <c r="E329" t="n">
        <v>22360</v>
      </c>
      <c r="F329" t="n">
        <v>63950</v>
      </c>
      <c r="G329" t="n">
        <v>7519</v>
      </c>
      <c r="H329" t="n">
        <v>10073</v>
      </c>
      <c r="I329" t="n">
        <v>63617</v>
      </c>
      <c r="J329" t="n">
        <v>410137</v>
      </c>
      <c r="K329" t="n">
        <v>43487</v>
      </c>
      <c r="L329" t="n">
        <v>60161</v>
      </c>
      <c r="M329" t="n">
        <v>28545</v>
      </c>
      <c r="N329" t="n">
        <v>10829</v>
      </c>
      <c r="O329" t="n">
        <v>102189</v>
      </c>
      <c r="P329" t="n">
        <v>61862</v>
      </c>
      <c r="Q329" t="n">
        <v>6775</v>
      </c>
    </row>
    <row r="330">
      <c r="A330" s="135" t="n">
        <v>43586</v>
      </c>
      <c r="B330" t="n">
        <v>367975</v>
      </c>
      <c r="C330" t="n">
        <v>513870</v>
      </c>
      <c r="D330" t="n">
        <v>30338</v>
      </c>
      <c r="E330" t="n">
        <v>22246</v>
      </c>
      <c r="F330" t="n">
        <v>64071</v>
      </c>
      <c r="G330" t="n">
        <v>7590</v>
      </c>
      <c r="H330" t="n">
        <v>10074</v>
      </c>
      <c r="I330" t="n">
        <v>64318</v>
      </c>
      <c r="J330" t="n">
        <v>411251</v>
      </c>
      <c r="K330" t="n">
        <v>43276</v>
      </c>
      <c r="L330" t="n">
        <v>59648</v>
      </c>
      <c r="M330" t="n">
        <v>28684</v>
      </c>
      <c r="N330" t="n">
        <v>10885</v>
      </c>
      <c r="O330" t="n">
        <v>102619</v>
      </c>
      <c r="P330" t="n">
        <v>63306</v>
      </c>
      <c r="Q330" t="n">
        <v>6815</v>
      </c>
    </row>
    <row r="331">
      <c r="A331" s="135" t="n">
        <v>43617</v>
      </c>
      <c r="B331" t="n">
        <v>370338</v>
      </c>
      <c r="C331" t="n">
        <v>515911</v>
      </c>
      <c r="D331" t="n">
        <v>30385</v>
      </c>
      <c r="E331" t="n">
        <v>22374</v>
      </c>
      <c r="F331" t="n">
        <v>64557</v>
      </c>
      <c r="G331" t="n">
        <v>7549</v>
      </c>
      <c r="H331" t="n">
        <v>10071</v>
      </c>
      <c r="I331" t="n">
        <v>64984</v>
      </c>
      <c r="J331" t="n">
        <v>412955</v>
      </c>
      <c r="K331" t="n">
        <v>42617</v>
      </c>
      <c r="L331" t="n">
        <v>59693</v>
      </c>
      <c r="M331" t="n">
        <v>28615</v>
      </c>
      <c r="N331" t="n">
        <v>11001</v>
      </c>
      <c r="O331" t="n">
        <v>102956</v>
      </c>
      <c r="P331" t="n">
        <v>64217</v>
      </c>
      <c r="Q331" t="n">
        <v>6892</v>
      </c>
    </row>
    <row r="332">
      <c r="A332" s="135" t="n">
        <v>43647</v>
      </c>
      <c r="B332" t="n">
        <v>372369</v>
      </c>
      <c r="C332" t="n">
        <v>519447</v>
      </c>
      <c r="D332" t="n">
        <v>30679</v>
      </c>
      <c r="E332" t="n">
        <v>22548</v>
      </c>
      <c r="F332" t="n">
        <v>65344</v>
      </c>
      <c r="G332" t="n">
        <v>7652</v>
      </c>
      <c r="H332" t="n">
        <v>10067</v>
      </c>
      <c r="I332" t="n">
        <v>65435</v>
      </c>
      <c r="J332" t="n">
        <v>415767</v>
      </c>
      <c r="K332" t="n">
        <v>43398</v>
      </c>
      <c r="L332" t="n">
        <v>60138</v>
      </c>
      <c r="M332" t="n">
        <v>28398</v>
      </c>
      <c r="N332" t="n">
        <v>10900</v>
      </c>
      <c r="O332" t="n">
        <v>103680</v>
      </c>
      <c r="P332" t="n">
        <v>64423</v>
      </c>
      <c r="Q332" t="n">
        <v>6785</v>
      </c>
    </row>
    <row r="333">
      <c r="A333" s="135" t="n">
        <v>43678</v>
      </c>
      <c r="B333" t="n">
        <v>373450</v>
      </c>
      <c r="C333" t="n">
        <v>521833</v>
      </c>
      <c r="D333" t="n">
        <v>31270</v>
      </c>
      <c r="E333" t="n">
        <v>22432</v>
      </c>
      <c r="F333" t="n">
        <v>65328</v>
      </c>
      <c r="G333" t="n">
        <v>7572</v>
      </c>
      <c r="H333" t="n">
        <v>10082</v>
      </c>
      <c r="I333" t="n">
        <v>65333</v>
      </c>
      <c r="J333" t="n">
        <v>416233</v>
      </c>
      <c r="K333" t="n">
        <v>42783</v>
      </c>
      <c r="L333" t="n">
        <v>60073</v>
      </c>
      <c r="M333" t="n">
        <v>28414</v>
      </c>
      <c r="N333" t="n">
        <v>11199</v>
      </c>
      <c r="O333" t="n">
        <v>105600</v>
      </c>
      <c r="P333" t="n">
        <v>64972</v>
      </c>
      <c r="Q333" t="n">
        <v>6775</v>
      </c>
    </row>
    <row r="334">
      <c r="A334" s="135" t="n">
        <v>43709</v>
      </c>
      <c r="B334" t="n">
        <v>372355</v>
      </c>
      <c r="C334" t="n">
        <v>518605</v>
      </c>
      <c r="D334" t="n">
        <v>30806</v>
      </c>
      <c r="E334" t="n">
        <v>22415</v>
      </c>
      <c r="F334" t="n">
        <v>64871</v>
      </c>
      <c r="G334" t="n">
        <v>7618</v>
      </c>
      <c r="H334" t="n">
        <v>10177</v>
      </c>
      <c r="I334" t="n">
        <v>65756</v>
      </c>
      <c r="J334" t="n">
        <v>414893</v>
      </c>
      <c r="K334" t="n">
        <v>42538</v>
      </c>
      <c r="L334" t="n">
        <v>59589</v>
      </c>
      <c r="M334" t="n">
        <v>28434</v>
      </c>
      <c r="N334" t="n">
        <v>11208</v>
      </c>
      <c r="O334" t="n">
        <v>103712</v>
      </c>
      <c r="P334" t="n">
        <v>64658</v>
      </c>
      <c r="Q334" t="n">
        <v>6823</v>
      </c>
    </row>
    <row r="335">
      <c r="A335" s="135" t="n">
        <v>43739</v>
      </c>
      <c r="B335" t="n">
        <v>373751</v>
      </c>
      <c r="C335" t="n">
        <v>521114</v>
      </c>
      <c r="D335" t="n">
        <v>31118</v>
      </c>
      <c r="E335" t="n">
        <v>22400</v>
      </c>
      <c r="F335" t="n">
        <v>64915</v>
      </c>
      <c r="G335" t="n">
        <v>7446</v>
      </c>
      <c r="H335" t="n">
        <v>10120</v>
      </c>
      <c r="I335" t="n">
        <v>65628</v>
      </c>
      <c r="J335" t="n">
        <v>417017</v>
      </c>
      <c r="K335" t="n">
        <v>43266</v>
      </c>
      <c r="L335" t="n">
        <v>59869</v>
      </c>
      <c r="M335" t="n">
        <v>28718</v>
      </c>
      <c r="N335" t="n">
        <v>11397</v>
      </c>
      <c r="O335" t="n">
        <v>104097</v>
      </c>
      <c r="P335" t="n">
        <v>65294</v>
      </c>
      <c r="Q335" t="n">
        <v>6846</v>
      </c>
    </row>
    <row r="336">
      <c r="A336" s="135" t="n">
        <v>43770</v>
      </c>
      <c r="B336" t="n">
        <v>372985</v>
      </c>
      <c r="C336" t="n">
        <v>522805</v>
      </c>
      <c r="D336" t="n">
        <v>31312</v>
      </c>
      <c r="E336" t="n">
        <v>22272</v>
      </c>
      <c r="F336" t="n">
        <v>65212</v>
      </c>
      <c r="G336" t="n">
        <v>7514</v>
      </c>
      <c r="H336" t="n">
        <v>10219</v>
      </c>
      <c r="I336" t="n">
        <v>65147</v>
      </c>
      <c r="J336" t="n">
        <v>416225</v>
      </c>
      <c r="K336" t="n">
        <v>43240</v>
      </c>
      <c r="L336" t="n">
        <v>59958</v>
      </c>
      <c r="M336" t="n">
        <v>28499</v>
      </c>
      <c r="N336" t="n">
        <v>11445</v>
      </c>
      <c r="O336" t="n">
        <v>106580</v>
      </c>
      <c r="P336" t="n">
        <v>64774</v>
      </c>
      <c r="Q336" t="n">
        <v>6633</v>
      </c>
    </row>
    <row r="337">
      <c r="A337" s="135" t="n">
        <v>43800</v>
      </c>
      <c r="B337" t="n">
        <v>374946</v>
      </c>
      <c r="C337" t="n">
        <v>523862</v>
      </c>
      <c r="D337" t="n">
        <v>31952</v>
      </c>
      <c r="E337" t="n">
        <v>22941</v>
      </c>
      <c r="F337" t="n">
        <v>65676</v>
      </c>
      <c r="G337" t="n">
        <v>7497</v>
      </c>
      <c r="H337" t="n">
        <v>9990</v>
      </c>
      <c r="I337" t="n">
        <v>65807</v>
      </c>
      <c r="J337" t="n">
        <v>419039</v>
      </c>
      <c r="K337" t="n">
        <v>44093</v>
      </c>
      <c r="L337" t="n">
        <v>60259</v>
      </c>
      <c r="M337" t="n">
        <v>28359</v>
      </c>
      <c r="N337" t="n">
        <v>11211</v>
      </c>
      <c r="O337" t="n">
        <v>104823</v>
      </c>
      <c r="P337" t="n">
        <v>64552</v>
      </c>
      <c r="Q337" t="n">
        <v>6702</v>
      </c>
    </row>
    <row r="338">
      <c r="A338" s="135" t="n">
        <v>43831</v>
      </c>
      <c r="B338" t="n">
        <v>378573</v>
      </c>
      <c r="C338" t="n">
        <v>526930</v>
      </c>
      <c r="D338" t="n">
        <v>32920</v>
      </c>
      <c r="E338" t="n">
        <v>22914</v>
      </c>
      <c r="F338" t="n">
        <v>65321</v>
      </c>
      <c r="G338" t="n">
        <v>7467</v>
      </c>
      <c r="H338" t="n">
        <v>10475</v>
      </c>
      <c r="I338" t="n">
        <v>66344</v>
      </c>
      <c r="J338" t="n">
        <v>421768</v>
      </c>
      <c r="K338" t="n">
        <v>43195</v>
      </c>
      <c r="L338" t="n">
        <v>60594</v>
      </c>
      <c r="M338" t="n">
        <v>28872</v>
      </c>
      <c r="N338" t="n">
        <v>11667</v>
      </c>
      <c r="O338" t="n">
        <v>105162</v>
      </c>
      <c r="P338" t="n">
        <v>65240</v>
      </c>
      <c r="Q338" t="n">
        <v>6759</v>
      </c>
    </row>
    <row r="339">
      <c r="A339" s="135" t="n">
        <v>43862</v>
      </c>
      <c r="B339" t="n">
        <v>378665</v>
      </c>
      <c r="C339" t="n">
        <v>525810</v>
      </c>
      <c r="D339" t="n">
        <v>32904</v>
      </c>
      <c r="E339" t="n">
        <v>22560</v>
      </c>
      <c r="F339" t="n">
        <v>65326</v>
      </c>
      <c r="G339" t="n">
        <v>7381</v>
      </c>
      <c r="H339" t="n">
        <v>10456</v>
      </c>
      <c r="I339" t="n">
        <v>66200</v>
      </c>
      <c r="J339" t="n">
        <v>420290</v>
      </c>
      <c r="K339" t="n">
        <v>41625</v>
      </c>
      <c r="L339" t="n">
        <v>60699</v>
      </c>
      <c r="M339" t="n">
        <v>29064</v>
      </c>
      <c r="N339" t="n">
        <v>11706</v>
      </c>
      <c r="O339" t="n">
        <v>105520</v>
      </c>
      <c r="P339" t="n">
        <v>65600</v>
      </c>
      <c r="Q339" t="n">
        <v>6769</v>
      </c>
    </row>
    <row r="340">
      <c r="A340" s="135" t="n">
        <v>43891</v>
      </c>
      <c r="B340" t="n">
        <v>367684</v>
      </c>
      <c r="C340" t="n">
        <v>480407</v>
      </c>
      <c r="D340" t="n">
        <v>32810</v>
      </c>
      <c r="E340" t="n">
        <v>11494</v>
      </c>
      <c r="F340" t="n">
        <v>82743</v>
      </c>
      <c r="G340" t="n">
        <v>6135</v>
      </c>
      <c r="H340" t="n">
        <v>8225</v>
      </c>
      <c r="I340" t="n">
        <v>46126</v>
      </c>
      <c r="J340" t="n">
        <v>402361</v>
      </c>
      <c r="K340" t="n">
        <v>34677</v>
      </c>
      <c r="L340" t="n">
        <v>65710</v>
      </c>
      <c r="M340" t="n">
        <v>30492</v>
      </c>
      <c r="N340" t="n">
        <v>9874</v>
      </c>
      <c r="O340" t="n">
        <v>78046</v>
      </c>
      <c r="P340" t="n">
        <v>68433</v>
      </c>
      <c r="Q340" t="n">
        <v>5642</v>
      </c>
    </row>
    <row r="341">
      <c r="A341" s="135" t="n">
        <v>43922</v>
      </c>
      <c r="B341" t="n">
        <v>315490</v>
      </c>
      <c r="C341" t="n">
        <v>409819</v>
      </c>
      <c r="D341" t="n">
        <v>32184</v>
      </c>
      <c r="E341" t="n">
        <v>2836</v>
      </c>
      <c r="F341" t="n">
        <v>72048</v>
      </c>
      <c r="G341" t="n">
        <v>3527</v>
      </c>
      <c r="H341" t="n">
        <v>4160</v>
      </c>
      <c r="I341" t="n">
        <v>29927</v>
      </c>
      <c r="J341" t="n">
        <v>341621</v>
      </c>
      <c r="K341" t="n">
        <v>26131</v>
      </c>
      <c r="L341" t="n">
        <v>57089</v>
      </c>
      <c r="M341" t="n">
        <v>25958</v>
      </c>
      <c r="N341" t="n">
        <v>7361</v>
      </c>
      <c r="O341" t="n">
        <v>68198</v>
      </c>
      <c r="P341" t="n">
        <v>76629</v>
      </c>
      <c r="Q341" t="n">
        <v>3771</v>
      </c>
    </row>
    <row r="342">
      <c r="A342" s="135" t="n">
        <v>43952</v>
      </c>
      <c r="B342" t="n">
        <v>353737</v>
      </c>
      <c r="C342" t="n">
        <v>484295</v>
      </c>
      <c r="D342" t="n">
        <v>35951</v>
      </c>
      <c r="E342" t="n">
        <v>8394</v>
      </c>
      <c r="F342" t="n">
        <v>73702</v>
      </c>
      <c r="G342" t="n">
        <v>4272</v>
      </c>
      <c r="H342" t="n">
        <v>7349</v>
      </c>
      <c r="I342" t="n">
        <v>39664</v>
      </c>
      <c r="J342" t="n">
        <v>383353</v>
      </c>
      <c r="K342" t="n">
        <v>29616</v>
      </c>
      <c r="L342" t="n">
        <v>61069</v>
      </c>
      <c r="M342" t="n">
        <v>26251</v>
      </c>
      <c r="N342" t="n">
        <v>8897</v>
      </c>
      <c r="O342" t="n">
        <v>100942</v>
      </c>
      <c r="P342" t="n">
        <v>81508</v>
      </c>
      <c r="Q342" t="n">
        <v>6680</v>
      </c>
    </row>
    <row r="343">
      <c r="A343" s="135" t="n">
        <v>43983</v>
      </c>
      <c r="B343" t="n">
        <v>381322</v>
      </c>
      <c r="C343" t="n">
        <v>526187</v>
      </c>
      <c r="D343" t="n">
        <v>36366</v>
      </c>
      <c r="E343" t="n">
        <v>17361</v>
      </c>
      <c r="F343" t="n">
        <v>72511</v>
      </c>
      <c r="G343" t="n">
        <v>6004</v>
      </c>
      <c r="H343" t="n">
        <v>10104</v>
      </c>
      <c r="I343" t="n">
        <v>50464</v>
      </c>
      <c r="J343" t="n">
        <v>415613</v>
      </c>
      <c r="K343" t="n">
        <v>34291</v>
      </c>
      <c r="L343" t="n">
        <v>62024</v>
      </c>
      <c r="M343" t="n">
        <v>28336</v>
      </c>
      <c r="N343" t="n">
        <v>11000</v>
      </c>
      <c r="O343" t="n">
        <v>110574</v>
      </c>
      <c r="P343" t="n">
        <v>78600</v>
      </c>
      <c r="Q343" t="n">
        <v>8552</v>
      </c>
    </row>
    <row r="344">
      <c r="A344" s="135" t="n">
        <v>44013</v>
      </c>
      <c r="B344" t="n">
        <v>388073</v>
      </c>
      <c r="C344" t="n">
        <v>533517</v>
      </c>
      <c r="D344" t="n">
        <v>35906</v>
      </c>
      <c r="E344" t="n">
        <v>18067</v>
      </c>
      <c r="F344" t="n">
        <v>72715</v>
      </c>
      <c r="G344" t="n">
        <v>6981</v>
      </c>
      <c r="H344" t="n">
        <v>10346</v>
      </c>
      <c r="I344" t="n">
        <v>52214</v>
      </c>
      <c r="J344" t="n">
        <v>424069</v>
      </c>
      <c r="K344" t="n">
        <v>35996</v>
      </c>
      <c r="L344" t="n">
        <v>61745</v>
      </c>
      <c r="M344" t="n">
        <v>29811</v>
      </c>
      <c r="N344" t="n">
        <v>11505</v>
      </c>
      <c r="O344" t="n">
        <v>109448</v>
      </c>
      <c r="P344" t="n">
        <v>80675</v>
      </c>
      <c r="Q344" t="n">
        <v>8108</v>
      </c>
    </row>
    <row r="345">
      <c r="A345" s="135" t="n">
        <v>44044</v>
      </c>
      <c r="B345" t="n">
        <v>391699</v>
      </c>
      <c r="C345" t="n">
        <v>537980</v>
      </c>
      <c r="D345" t="n">
        <v>36692</v>
      </c>
      <c r="E345" t="n">
        <v>18679</v>
      </c>
      <c r="F345" t="n">
        <v>71763</v>
      </c>
      <c r="G345" t="n">
        <v>6986</v>
      </c>
      <c r="H345" t="n">
        <v>10812</v>
      </c>
      <c r="I345" t="n">
        <v>54558</v>
      </c>
      <c r="J345" t="n">
        <v>428168</v>
      </c>
      <c r="K345" t="n">
        <v>36469</v>
      </c>
      <c r="L345" t="n">
        <v>61180</v>
      </c>
      <c r="M345" t="n">
        <v>29599</v>
      </c>
      <c r="N345" t="n">
        <v>11669</v>
      </c>
      <c r="O345" t="n">
        <v>109812</v>
      </c>
      <c r="P345" t="n">
        <v>82235</v>
      </c>
      <c r="Q345" t="n">
        <v>7526</v>
      </c>
    </row>
    <row r="346">
      <c r="A346" s="135" t="n">
        <v>44075</v>
      </c>
      <c r="B346" t="n">
        <v>397938</v>
      </c>
      <c r="C346" t="n">
        <v>549211</v>
      </c>
      <c r="D346" t="n">
        <v>37035</v>
      </c>
      <c r="E346" t="n">
        <v>21334</v>
      </c>
      <c r="F346" t="n">
        <v>71771</v>
      </c>
      <c r="G346" t="n">
        <v>6879</v>
      </c>
      <c r="H346" t="n">
        <v>10843</v>
      </c>
      <c r="I346" t="n">
        <v>55800</v>
      </c>
      <c r="J346" t="n">
        <v>434837</v>
      </c>
      <c r="K346" t="n">
        <v>36899</v>
      </c>
      <c r="L346" t="n">
        <v>63602</v>
      </c>
      <c r="M346" t="n">
        <v>29972</v>
      </c>
      <c r="N346" t="n">
        <v>11733</v>
      </c>
      <c r="O346" t="n">
        <v>114374</v>
      </c>
      <c r="P346" t="n">
        <v>80842</v>
      </c>
      <c r="Q346" t="n">
        <v>8127</v>
      </c>
    </row>
    <row r="347">
      <c r="A347" s="135" t="n">
        <v>44105</v>
      </c>
      <c r="B347" t="n">
        <v>398444</v>
      </c>
      <c r="C347" t="n">
        <v>548930</v>
      </c>
      <c r="D347" t="n">
        <v>36752</v>
      </c>
      <c r="E347" t="n">
        <v>20797</v>
      </c>
      <c r="F347" t="n">
        <v>71265</v>
      </c>
      <c r="G347" t="n">
        <v>7114</v>
      </c>
      <c r="H347" t="n">
        <v>10864</v>
      </c>
      <c r="I347" t="n">
        <v>55992</v>
      </c>
      <c r="J347" t="n">
        <v>435315</v>
      </c>
      <c r="K347" t="n">
        <v>36871</v>
      </c>
      <c r="L347" t="n">
        <v>62700</v>
      </c>
      <c r="M347" t="n">
        <v>29883</v>
      </c>
      <c r="N347" t="n">
        <v>11797</v>
      </c>
      <c r="O347" t="n">
        <v>113615</v>
      </c>
      <c r="P347" t="n">
        <v>83254</v>
      </c>
      <c r="Q347" t="n">
        <v>8026</v>
      </c>
    </row>
    <row r="348">
      <c r="A348" s="135" t="n">
        <v>44136</v>
      </c>
      <c r="B348" t="n">
        <v>393705</v>
      </c>
      <c r="C348" t="n">
        <v>541247</v>
      </c>
      <c r="D348" t="n">
        <v>37121</v>
      </c>
      <c r="E348" t="n">
        <v>19657</v>
      </c>
      <c r="F348" t="n">
        <v>72214</v>
      </c>
      <c r="G348" t="n">
        <v>6851</v>
      </c>
      <c r="H348" t="n">
        <v>10705</v>
      </c>
      <c r="I348" t="n">
        <v>53647</v>
      </c>
      <c r="J348" t="n">
        <v>429720</v>
      </c>
      <c r="K348" t="n">
        <v>36015</v>
      </c>
      <c r="L348" t="n">
        <v>61864</v>
      </c>
      <c r="M348" t="n">
        <v>29520</v>
      </c>
      <c r="N348" t="n">
        <v>12028</v>
      </c>
      <c r="O348" t="n">
        <v>111527</v>
      </c>
      <c r="P348" t="n">
        <v>82211</v>
      </c>
      <c r="Q348" t="n">
        <v>7887</v>
      </c>
    </row>
    <row r="349">
      <c r="A349" s="135" t="n">
        <v>44166</v>
      </c>
      <c r="B349" t="n">
        <v>382427</v>
      </c>
      <c r="C349" t="n">
        <v>535972</v>
      </c>
      <c r="D349" t="n">
        <v>37099</v>
      </c>
      <c r="E349" t="n">
        <v>20095</v>
      </c>
      <c r="F349" t="n">
        <v>71382</v>
      </c>
      <c r="G349" t="n">
        <v>6456</v>
      </c>
      <c r="H349" t="n">
        <v>10621</v>
      </c>
      <c r="I349" t="n">
        <v>51190</v>
      </c>
      <c r="J349" t="n">
        <v>421525</v>
      </c>
      <c r="K349" t="n">
        <v>39098</v>
      </c>
      <c r="L349" t="n">
        <v>60777</v>
      </c>
      <c r="M349" t="n">
        <v>29929</v>
      </c>
      <c r="N349" t="n">
        <v>12667</v>
      </c>
      <c r="O349" t="n">
        <v>114447</v>
      </c>
      <c r="P349" t="n">
        <v>74474</v>
      </c>
      <c r="Q349" t="n">
        <v>7737</v>
      </c>
    </row>
    <row r="350">
      <c r="A350" s="135" t="n">
        <v>44197</v>
      </c>
      <c r="B350" t="n">
        <v>415492</v>
      </c>
      <c r="C350" t="n">
        <v>576466</v>
      </c>
      <c r="D350" t="n">
        <v>39996</v>
      </c>
      <c r="E350" t="n">
        <v>21351</v>
      </c>
      <c r="F350" t="n">
        <v>72730</v>
      </c>
      <c r="G350" t="n">
        <v>7525</v>
      </c>
      <c r="H350" t="n">
        <v>12098</v>
      </c>
      <c r="I350" t="n">
        <v>56304</v>
      </c>
      <c r="J350" t="n">
        <v>456387</v>
      </c>
      <c r="K350" t="n">
        <v>40895</v>
      </c>
      <c r="L350" t="n">
        <v>66933</v>
      </c>
      <c r="M350" t="n">
        <v>30204</v>
      </c>
      <c r="N350" t="n">
        <v>12744</v>
      </c>
      <c r="O350" t="n">
        <v>120079</v>
      </c>
      <c r="P350" t="n">
        <v>87028</v>
      </c>
      <c r="Q350" t="n">
        <v>8579</v>
      </c>
    </row>
    <row r="351">
      <c r="A351" s="135" t="n">
        <v>44228</v>
      </c>
      <c r="B351" t="n">
        <v>402025</v>
      </c>
      <c r="C351" t="n">
        <v>559970</v>
      </c>
      <c r="D351" t="n">
        <v>38082</v>
      </c>
      <c r="E351" t="n">
        <v>20180</v>
      </c>
      <c r="F351" t="n">
        <v>72343</v>
      </c>
      <c r="G351" t="n">
        <v>7089</v>
      </c>
      <c r="H351" t="n">
        <v>11471</v>
      </c>
      <c r="I351" t="n">
        <v>55512</v>
      </c>
      <c r="J351" t="n">
        <v>444228</v>
      </c>
      <c r="K351" t="n">
        <v>42203</v>
      </c>
      <c r="L351" t="n">
        <v>62909</v>
      </c>
      <c r="M351" t="n">
        <v>29691</v>
      </c>
      <c r="N351" t="n">
        <v>12394</v>
      </c>
      <c r="O351" t="n">
        <v>115742</v>
      </c>
      <c r="P351" t="n">
        <v>84324</v>
      </c>
      <c r="Q351" t="n">
        <v>8030</v>
      </c>
    </row>
    <row r="352">
      <c r="A352" s="135" t="n">
        <v>44256</v>
      </c>
      <c r="B352" t="n">
        <v>441234</v>
      </c>
      <c r="C352" t="n">
        <v>623119</v>
      </c>
      <c r="D352" t="n">
        <v>43458</v>
      </c>
      <c r="E352" t="n">
        <v>25012</v>
      </c>
      <c r="F352" t="n">
        <v>72955</v>
      </c>
      <c r="G352" t="n">
        <v>8339</v>
      </c>
      <c r="H352" t="n">
        <v>12414</v>
      </c>
      <c r="I352" t="n">
        <v>63248</v>
      </c>
      <c r="J352" t="n">
        <v>487687</v>
      </c>
      <c r="K352" t="n">
        <v>46453</v>
      </c>
      <c r="L352" t="n">
        <v>71164</v>
      </c>
      <c r="M352" t="n">
        <v>32081</v>
      </c>
      <c r="N352" t="n">
        <v>13746</v>
      </c>
      <c r="O352" t="n">
        <v>135432</v>
      </c>
      <c r="P352" t="n">
        <v>88886</v>
      </c>
      <c r="Q352" t="n">
        <v>9931</v>
      </c>
    </row>
    <row r="353">
      <c r="A353" s="135" t="n">
        <v>44287</v>
      </c>
      <c r="B353" t="n">
        <v>441556</v>
      </c>
      <c r="C353" t="n">
        <v>628751</v>
      </c>
      <c r="D353" t="n">
        <v>42042</v>
      </c>
      <c r="E353" t="n">
        <v>24660</v>
      </c>
      <c r="F353" t="n">
        <v>73492</v>
      </c>
      <c r="G353" t="n">
        <v>8446</v>
      </c>
      <c r="H353" t="n">
        <v>12551</v>
      </c>
      <c r="I353" t="n">
        <v>66482</v>
      </c>
      <c r="J353" t="n">
        <v>487364</v>
      </c>
      <c r="K353" t="n">
        <v>45808</v>
      </c>
      <c r="L353" t="n">
        <v>69437</v>
      </c>
      <c r="M353" t="n">
        <v>32113</v>
      </c>
      <c r="N353" t="n">
        <v>13609</v>
      </c>
      <c r="O353" t="n">
        <v>141387</v>
      </c>
      <c r="P353" t="n">
        <v>88975</v>
      </c>
      <c r="Q353" t="n">
        <v>9749</v>
      </c>
    </row>
    <row r="354">
      <c r="A354" s="135" t="n">
        <v>44317</v>
      </c>
      <c r="B354" t="n">
        <v>438636</v>
      </c>
      <c r="C354" t="n">
        <v>620119</v>
      </c>
      <c r="D354" t="n">
        <v>39648</v>
      </c>
      <c r="E354" t="n">
        <v>25586</v>
      </c>
      <c r="F354" t="n">
        <v>74349</v>
      </c>
      <c r="G354" t="n">
        <v>8228</v>
      </c>
      <c r="H354" t="n">
        <v>12286</v>
      </c>
      <c r="I354" t="n">
        <v>69338</v>
      </c>
      <c r="J354" t="n">
        <v>485272</v>
      </c>
      <c r="K354" t="n">
        <v>46636</v>
      </c>
      <c r="L354" t="n">
        <v>67394</v>
      </c>
      <c r="M354" t="n">
        <v>31138</v>
      </c>
      <c r="N354" t="n">
        <v>13169</v>
      </c>
      <c r="O354" t="n">
        <v>134847</v>
      </c>
      <c r="P354" t="n">
        <v>87917</v>
      </c>
      <c r="Q354" t="n">
        <v>9583</v>
      </c>
    </row>
    <row r="355">
      <c r="A355" s="135" t="n">
        <v>44348</v>
      </c>
      <c r="B355" t="n">
        <v>445079</v>
      </c>
      <c r="C355" t="n">
        <v>625405</v>
      </c>
      <c r="D355" t="n">
        <v>39095</v>
      </c>
      <c r="E355" t="n">
        <v>26464</v>
      </c>
      <c r="F355" t="n">
        <v>75073</v>
      </c>
      <c r="G355" t="n">
        <v>8593</v>
      </c>
      <c r="H355" t="n">
        <v>12093</v>
      </c>
      <c r="I355" t="n">
        <v>71017</v>
      </c>
      <c r="J355" t="n">
        <v>493387</v>
      </c>
      <c r="K355" t="n">
        <v>48308</v>
      </c>
      <c r="L355" t="n">
        <v>68999</v>
      </c>
      <c r="M355" t="n">
        <v>32559</v>
      </c>
      <c r="N355" t="n">
        <v>13734</v>
      </c>
      <c r="O355" t="n">
        <v>132018</v>
      </c>
      <c r="P355" t="n">
        <v>88003</v>
      </c>
      <c r="Q355" t="n">
        <v>9449</v>
      </c>
    </row>
    <row r="356">
      <c r="A356" s="135" t="n">
        <v>44378</v>
      </c>
      <c r="B356" t="n">
        <v>439427</v>
      </c>
      <c r="C356" t="n">
        <v>615250</v>
      </c>
      <c r="D356" t="n">
        <v>38657</v>
      </c>
      <c r="E356" t="n">
        <v>25776</v>
      </c>
      <c r="F356" t="n">
        <v>74630</v>
      </c>
      <c r="G356" t="n">
        <v>8496</v>
      </c>
      <c r="H356" t="n">
        <v>12055</v>
      </c>
      <c r="I356" t="n">
        <v>72059</v>
      </c>
      <c r="J356" t="n">
        <v>488908</v>
      </c>
      <c r="K356" t="n">
        <v>49481</v>
      </c>
      <c r="L356" t="n">
        <v>68273</v>
      </c>
      <c r="M356" t="n">
        <v>32389</v>
      </c>
      <c r="N356" t="n">
        <v>13902</v>
      </c>
      <c r="O356" t="n">
        <v>126342</v>
      </c>
      <c r="P356" t="n">
        <v>83934</v>
      </c>
      <c r="Q356" t="n">
        <v>9256</v>
      </c>
    </row>
    <row r="357">
      <c r="A357" s="135" t="n">
        <v>44409</v>
      </c>
      <c r="B357" t="n">
        <v>449135</v>
      </c>
      <c r="C357" t="n">
        <v>622383</v>
      </c>
      <c r="D357" t="n">
        <v>39275</v>
      </c>
      <c r="E357" t="n">
        <v>25776</v>
      </c>
      <c r="F357" t="n">
        <v>76288</v>
      </c>
      <c r="G357" t="n">
        <v>8131</v>
      </c>
      <c r="H357" t="n">
        <v>12247</v>
      </c>
      <c r="I357" t="n">
        <v>72090</v>
      </c>
      <c r="J357" t="n">
        <v>499439</v>
      </c>
      <c r="K357" t="n">
        <v>50304</v>
      </c>
      <c r="L357" t="n">
        <v>70665</v>
      </c>
      <c r="M357" t="n">
        <v>32624</v>
      </c>
      <c r="N357" t="n">
        <v>14226</v>
      </c>
      <c r="O357" t="n">
        <v>122944</v>
      </c>
      <c r="P357" t="n">
        <v>88903</v>
      </c>
      <c r="Q357" t="n">
        <v>8910</v>
      </c>
    </row>
    <row r="358">
      <c r="A358" s="135" t="n">
        <v>44440</v>
      </c>
      <c r="B358" t="n">
        <v>450508</v>
      </c>
      <c r="C358" t="n">
        <v>626999</v>
      </c>
      <c r="D358" t="n">
        <v>39299</v>
      </c>
      <c r="E358" t="n">
        <v>26293</v>
      </c>
      <c r="F358" t="n">
        <v>76646</v>
      </c>
      <c r="G358" t="n">
        <v>8133</v>
      </c>
      <c r="H358" t="n">
        <v>12109</v>
      </c>
      <c r="I358" t="n">
        <v>72766</v>
      </c>
      <c r="J358" t="n">
        <v>502551</v>
      </c>
      <c r="K358" t="n">
        <v>52043</v>
      </c>
      <c r="L358" t="n">
        <v>70474</v>
      </c>
      <c r="M358" t="n">
        <v>32304</v>
      </c>
      <c r="N358" t="n">
        <v>14675</v>
      </c>
      <c r="O358" t="n">
        <v>124448</v>
      </c>
      <c r="P358" t="n">
        <v>88532</v>
      </c>
      <c r="Q358" t="n">
        <v>9277</v>
      </c>
    </row>
    <row r="359">
      <c r="A359" s="135" t="n">
        <v>44470</v>
      </c>
      <c r="B359" t="n">
        <v>457642</v>
      </c>
      <c r="C359" t="n">
        <v>638190</v>
      </c>
      <c r="D359" t="n">
        <v>40279</v>
      </c>
      <c r="E359" t="n">
        <v>26349</v>
      </c>
      <c r="F359" t="n">
        <v>77426</v>
      </c>
      <c r="G359" t="n">
        <v>8383</v>
      </c>
      <c r="H359" t="n">
        <v>12446</v>
      </c>
      <c r="I359" t="n">
        <v>72990</v>
      </c>
      <c r="J359" t="n">
        <v>511618</v>
      </c>
      <c r="K359" t="n">
        <v>53976</v>
      </c>
      <c r="L359" t="n">
        <v>71506</v>
      </c>
      <c r="M359" t="n">
        <v>31855</v>
      </c>
      <c r="N359" t="n">
        <v>14929</v>
      </c>
      <c r="O359" t="n">
        <v>126572</v>
      </c>
      <c r="P359" t="n">
        <v>92138</v>
      </c>
      <c r="Q359" t="n">
        <v>9341</v>
      </c>
    </row>
    <row r="360">
      <c r="A360" s="135" t="n">
        <v>44501</v>
      </c>
      <c r="B360" t="n">
        <v>458472</v>
      </c>
      <c r="C360" t="n">
        <v>639829</v>
      </c>
      <c r="D360" t="n">
        <v>40579</v>
      </c>
      <c r="E360" t="n">
        <v>26491</v>
      </c>
      <c r="F360" t="n">
        <v>78411</v>
      </c>
      <c r="G360" t="n">
        <v>7999</v>
      </c>
      <c r="H360" t="n">
        <v>12447</v>
      </c>
      <c r="I360" t="n">
        <v>73731</v>
      </c>
      <c r="J360" t="n">
        <v>513340</v>
      </c>
      <c r="K360" t="n">
        <v>54868</v>
      </c>
      <c r="L360" t="n">
        <v>70654</v>
      </c>
      <c r="M360" t="n">
        <v>31656</v>
      </c>
      <c r="N360" t="n">
        <v>14886</v>
      </c>
      <c r="O360" t="n">
        <v>126489</v>
      </c>
      <c r="P360" t="n">
        <v>92154</v>
      </c>
      <c r="Q360" t="n">
        <v>9464</v>
      </c>
    </row>
    <row r="361">
      <c r="A361" s="135" t="n">
        <v>44531</v>
      </c>
      <c r="B361" t="n">
        <v>445904</v>
      </c>
      <c r="C361" t="n">
        <v>626833</v>
      </c>
      <c r="D361" t="n">
        <v>41740</v>
      </c>
      <c r="E361" t="n">
        <v>26061</v>
      </c>
      <c r="F361" t="n">
        <v>77353</v>
      </c>
      <c r="G361" t="n">
        <v>7398</v>
      </c>
      <c r="H361" t="n">
        <v>11795</v>
      </c>
      <c r="I361" t="n">
        <v>72531</v>
      </c>
      <c r="J361" t="n">
        <v>500566</v>
      </c>
      <c r="K361" t="n">
        <v>54662</v>
      </c>
      <c r="L361" t="n">
        <v>69639</v>
      </c>
      <c r="M361" t="n">
        <v>32371</v>
      </c>
      <c r="N361" t="n">
        <v>15280</v>
      </c>
      <c r="O361" t="n">
        <v>126267</v>
      </c>
      <c r="P361" t="n">
        <v>82596</v>
      </c>
      <c r="Q361" t="n">
        <v>9140</v>
      </c>
    </row>
    <row r="362">
      <c r="A362" s="135" t="n">
        <v>44562</v>
      </c>
      <c r="B362" t="n">
        <v>462887</v>
      </c>
      <c r="C362" t="n">
        <v>649776</v>
      </c>
      <c r="D362" t="n">
        <v>44072</v>
      </c>
      <c r="E362" t="n">
        <v>26120</v>
      </c>
      <c r="F362" t="n">
        <v>78568</v>
      </c>
      <c r="G362" t="n">
        <v>7316</v>
      </c>
      <c r="H362" t="n">
        <v>12425</v>
      </c>
      <c r="I362" t="n">
        <v>72036</v>
      </c>
      <c r="J362" t="n">
        <v>517269</v>
      </c>
      <c r="K362" t="n">
        <v>54382</v>
      </c>
      <c r="L362" t="n">
        <v>72068</v>
      </c>
      <c r="M362" t="n">
        <v>32502</v>
      </c>
      <c r="N362" t="n">
        <v>14816</v>
      </c>
      <c r="O362" t="n">
        <v>132507</v>
      </c>
      <c r="P362" t="n">
        <v>94272</v>
      </c>
      <c r="Q362" t="n">
        <v>8692</v>
      </c>
    </row>
    <row r="363">
      <c r="A363" s="135" t="n">
        <v>44593</v>
      </c>
      <c r="B363" t="n">
        <v>465384</v>
      </c>
      <c r="C363" t="n">
        <v>658128</v>
      </c>
      <c r="D363" t="n">
        <v>43615</v>
      </c>
      <c r="E363" t="n">
        <v>26463</v>
      </c>
      <c r="F363" t="n">
        <v>78099</v>
      </c>
      <c r="G363" t="n">
        <v>7273</v>
      </c>
      <c r="H363" t="n">
        <v>12320</v>
      </c>
      <c r="I363" t="n">
        <v>73931</v>
      </c>
      <c r="J363" t="n">
        <v>522879</v>
      </c>
      <c r="K363" t="n">
        <v>57495</v>
      </c>
      <c r="L363" t="n">
        <v>71044</v>
      </c>
      <c r="M363" t="n">
        <v>32284</v>
      </c>
      <c r="N363" t="n">
        <v>15536</v>
      </c>
      <c r="O363" t="n">
        <v>135249</v>
      </c>
      <c r="P363" t="n">
        <v>95849</v>
      </c>
      <c r="Q363" t="n">
        <v>8970</v>
      </c>
    </row>
    <row r="364">
      <c r="A364" s="135" t="n">
        <v>44621</v>
      </c>
      <c r="B364" t="n">
        <v>468161</v>
      </c>
      <c r="C364" t="n">
        <v>665726</v>
      </c>
      <c r="D364" t="n">
        <v>43602</v>
      </c>
      <c r="E364" t="n">
        <v>26936</v>
      </c>
      <c r="F364" t="n">
        <v>79069</v>
      </c>
      <c r="G364" t="n">
        <v>7527</v>
      </c>
      <c r="H364" t="n">
        <v>12861</v>
      </c>
      <c r="I364" t="n">
        <v>75361</v>
      </c>
      <c r="J364" t="n">
        <v>532011</v>
      </c>
      <c r="K364" t="n">
        <v>63850</v>
      </c>
      <c r="L364" t="n">
        <v>74863</v>
      </c>
      <c r="M364" t="n">
        <v>32522</v>
      </c>
      <c r="N364" t="n">
        <v>15641</v>
      </c>
      <c r="O364" t="n">
        <v>133715</v>
      </c>
      <c r="P364" t="n">
        <v>90350</v>
      </c>
      <c r="Q364" t="n">
        <v>9429</v>
      </c>
    </row>
    <row r="365">
      <c r="A365" s="135" t="n">
        <v>44652</v>
      </c>
      <c r="B365" t="n">
        <v>483228</v>
      </c>
      <c r="C365" t="n">
        <v>677711</v>
      </c>
      <c r="D365" t="n">
        <v>42572</v>
      </c>
      <c r="E365" t="n">
        <v>26199</v>
      </c>
      <c r="F365" t="n">
        <v>76977</v>
      </c>
      <c r="G365" t="n">
        <v>7798</v>
      </c>
      <c r="H365" t="n">
        <v>12173</v>
      </c>
      <c r="I365" t="n">
        <v>83741</v>
      </c>
      <c r="J365" t="n">
        <v>545519</v>
      </c>
      <c r="K365" t="n">
        <v>62291</v>
      </c>
      <c r="L365" t="n">
        <v>69140</v>
      </c>
      <c r="M365" t="n">
        <v>32986</v>
      </c>
      <c r="N365" t="n">
        <v>15951</v>
      </c>
      <c r="O365" t="n">
        <v>132192</v>
      </c>
      <c r="P365" t="n">
        <v>106774</v>
      </c>
      <c r="Q365" t="n">
        <v>8917</v>
      </c>
    </row>
    <row r="366">
      <c r="A366" s="135" t="n">
        <v>44682</v>
      </c>
      <c r="B366" t="n">
        <v>480646</v>
      </c>
      <c r="C366" t="n">
        <v>672874</v>
      </c>
      <c r="D366" t="n">
        <v>42581</v>
      </c>
      <c r="E366" t="n">
        <v>26320</v>
      </c>
      <c r="F366" t="n">
        <v>78170</v>
      </c>
      <c r="G366" t="n">
        <v>7707</v>
      </c>
      <c r="H366" t="n">
        <v>12179</v>
      </c>
      <c r="I366" t="n">
        <v>84981</v>
      </c>
      <c r="J366" t="n">
        <v>546628</v>
      </c>
      <c r="K366" t="n">
        <v>65982</v>
      </c>
      <c r="L366" t="n">
        <v>68198</v>
      </c>
      <c r="M366" t="n">
        <v>32936</v>
      </c>
      <c r="N366" t="n">
        <v>15642</v>
      </c>
      <c r="O366" t="n">
        <v>126246</v>
      </c>
      <c r="P366" t="n">
        <v>102865</v>
      </c>
      <c r="Q366" t="n">
        <v>9067</v>
      </c>
    </row>
  </sheetData>
  <pageMargins left="0.7" right="0.7" top="0.75" bottom="0.75" header="0.3" footer="0.3"/>
</worksheet>
</file>

<file path=xl/worksheets/sheet3.xml><?xml version="1.0" encoding="utf-8"?>
<worksheet xmlns="http://schemas.openxmlformats.org/spreadsheetml/2006/main">
  <sheetPr codeName="Sheet3">
    <tabColor rgb="FFFF0000"/>
    <outlinePr summaryBelow="1" summaryRight="1"/>
    <pageSetUpPr/>
  </sheetPr>
  <dimension ref="B2:J22"/>
  <sheetViews>
    <sheetView zoomScale="130" zoomScaleNormal="130" workbookViewId="0">
      <selection activeCell="E4" sqref="E4"/>
    </sheetView>
  </sheetViews>
  <sheetFormatPr baseColWidth="10" defaultColWidth="9.1640625" defaultRowHeight="15"/>
  <cols>
    <col width="5.83203125" customWidth="1" style="122" min="1" max="1"/>
    <col width="14.6640625" customWidth="1" style="122" min="2" max="2"/>
    <col width="63.1640625" customWidth="1" style="122" min="3" max="3"/>
    <col width="16.33203125" bestFit="1" customWidth="1" style="122" min="4" max="4"/>
    <col width="16.33203125" customWidth="1" style="122" min="5" max="8"/>
    <col width="21.83203125" customWidth="1" style="122" min="9" max="9"/>
    <col width="52.33203125" customWidth="1" style="122" min="10" max="10"/>
    <col width="9.1640625" customWidth="1" style="122" min="11" max="12"/>
    <col width="9.83203125" customWidth="1" style="122" min="13" max="13"/>
    <col width="9.1640625" customWidth="1" style="122" min="14" max="19"/>
    <col width="9.1640625" customWidth="1" style="122" min="20" max="16384"/>
  </cols>
  <sheetData>
    <row r="1" ht="16" customHeight="1" s="95" thickBot="1"/>
    <row r="2">
      <c r="D2" s="4" t="inlineStr">
        <is>
          <t>Previous</t>
        </is>
      </c>
      <c r="E2" s="6">
        <f>DATE(YEAR(E3),MONTH(E3)-1,DAY(E3))</f>
        <v/>
      </c>
    </row>
    <row r="3" ht="16" customHeight="1" s="95" thickBot="1">
      <c r="D3" s="5" t="inlineStr">
        <is>
          <t>Latest</t>
        </is>
      </c>
      <c r="E3" s="7" t="n">
        <v>44593</v>
      </c>
      <c r="F3" s="8" t="inlineStr">
        <is>
          <t>* to modify</t>
        </is>
      </c>
    </row>
    <row r="5" ht="16" customHeight="1" s="95" thickBot="1"/>
    <row r="6" ht="21" customHeight="1" s="95" thickBot="1">
      <c r="B6" s="73" t="inlineStr">
        <is>
          <t>NAICS</t>
        </is>
      </c>
      <c r="C6" s="74" t="inlineStr">
        <is>
          <t>Name</t>
        </is>
      </c>
      <c r="D6" s="74" t="inlineStr">
        <is>
          <t>Previous</t>
        </is>
      </c>
      <c r="E6" s="74" t="inlineStr">
        <is>
          <t>Latest</t>
        </is>
      </c>
      <c r="F6" s="74" t="inlineStr">
        <is>
          <t>Change % mom</t>
        </is>
      </c>
      <c r="G6" s="74" t="inlineStr">
        <is>
          <t>yoy</t>
        </is>
      </c>
      <c r="H6" s="74" t="inlineStr">
        <is>
          <t>Weight</t>
        </is>
      </c>
      <c r="I6" s="74" t="inlineStr">
        <is>
          <t xml:space="preserve">Fred </t>
        </is>
      </c>
      <c r="J6" s="75" t="inlineStr">
        <is>
          <t>Fred Hyper link</t>
        </is>
      </c>
    </row>
    <row r="7" ht="25.5" customHeight="1" s="95">
      <c r="B7" s="59" t="n"/>
      <c r="C7" s="60" t="inlineStr">
        <is>
          <t>Retail Sales</t>
        </is>
      </c>
      <c r="D7" s="61">
        <f>VLOOKUP($E$2,'Retail Sales'!A:B,2,)</f>
        <v/>
      </c>
      <c r="E7" s="61">
        <f>VLOOKUP($E$3,'Retail Sales'!A:B,2,)</f>
        <v/>
      </c>
      <c r="F7" s="104">
        <f>(E7-D7)/D7</f>
        <v/>
      </c>
      <c r="G7" s="104">
        <f>VLOOKUP($E$3,'Retail Sales'!A:D,4,)</f>
        <v/>
      </c>
      <c r="H7" s="62" t="n"/>
      <c r="I7" s="63" t="inlineStr">
        <is>
          <t>RSAFS</t>
        </is>
      </c>
      <c r="J7" s="64" t="inlineStr">
        <is>
          <t>https://fred.stlouisfed.org/series/RSAFs</t>
        </is>
      </c>
    </row>
    <row r="8" ht="25.5" customHeight="1" s="95">
      <c r="B8" s="38" t="n"/>
      <c r="C8" s="34" t="inlineStr">
        <is>
          <t>Retail Sales ex Auto</t>
        </is>
      </c>
      <c r="D8" s="35">
        <f>VLOOKUP($E$2,'Retail Sales ex Auto'!A:B,2,)</f>
        <v/>
      </c>
      <c r="E8" s="35">
        <f>VLOOKUP($E$3,'Retail Sales ex Auto'!A:B,2,)</f>
        <v/>
      </c>
      <c r="F8" s="105">
        <f>(E8-D8)/D8</f>
        <v/>
      </c>
      <c r="G8" s="105">
        <f>VLOOKUP($E$3,'Retail Sales ex Auto'!A:D,4,)</f>
        <v/>
      </c>
      <c r="H8" s="3" t="n"/>
      <c r="I8" s="36" t="inlineStr">
        <is>
          <t>RSFSXMV</t>
        </is>
      </c>
      <c r="J8" s="39" t="inlineStr">
        <is>
          <t>https://fred.stlouisfed.org/series/RSFSXMV</t>
        </is>
      </c>
    </row>
    <row r="9" ht="25.5" customHeight="1" s="95">
      <c r="B9" s="38" t="n"/>
      <c r="C9" s="34" t="inlineStr">
        <is>
          <t>Retail Sales ex Auto and Gas</t>
        </is>
      </c>
      <c r="D9" s="35">
        <f>VLOOKUP($E$2,'Retail Sales ex Auto and Gas'!A:B,2,)</f>
        <v/>
      </c>
      <c r="E9" s="35">
        <f>VLOOKUP($E$3,'Retail Sales ex Auto and Gas'!A:B,2,)</f>
        <v/>
      </c>
      <c r="F9" s="105">
        <f>(E9-D9)/D9</f>
        <v/>
      </c>
      <c r="G9" s="105">
        <f>VLOOKUP($E$3,'Retail Sales ex Auto and Gas'!A:D,4,)</f>
        <v/>
      </c>
      <c r="H9" s="3" t="n"/>
      <c r="I9" s="36" t="inlineStr">
        <is>
          <t>MARTSSM44W72USS</t>
        </is>
      </c>
      <c r="J9" s="39" t="inlineStr">
        <is>
          <t>https://fred.stlouisfed.org/series/MARTSSM44W72USS</t>
        </is>
      </c>
    </row>
    <row r="10" ht="25.5" customHeight="1" s="95">
      <c r="B10" s="40" t="n">
        <v>441</v>
      </c>
      <c r="C10" s="34" t="inlineStr">
        <is>
          <t>Motor Vehicle</t>
        </is>
      </c>
      <c r="D10" s="35">
        <f>VLOOKUP($E$2,Motor!A:B,2,)</f>
        <v/>
      </c>
      <c r="E10" s="35">
        <f>VLOOKUP($E$3,Motor!A:B,2,)</f>
        <v/>
      </c>
      <c r="F10" s="105">
        <f>(E10-D10)/D10</f>
        <v/>
      </c>
      <c r="G10" s="105">
        <f>VLOOKUP($E$3,Motor!A:D,4,)</f>
        <v/>
      </c>
      <c r="H10" s="106">
        <f>D10/$D$7</f>
        <v/>
      </c>
      <c r="I10" s="36" t="inlineStr">
        <is>
          <t>RSMVPD</t>
        </is>
      </c>
      <c r="J10" s="39" t="inlineStr">
        <is>
          <t>https://fred.stlouisfed.org/series/RSMVPd</t>
        </is>
      </c>
    </row>
    <row r="11" ht="25.5" customHeight="1" s="95">
      <c r="B11" s="40" t="n">
        <v>454</v>
      </c>
      <c r="C11" s="34" t="inlineStr">
        <is>
          <t>Non Store</t>
        </is>
      </c>
      <c r="D11" s="35">
        <f>VLOOKUP($E$2,'Non Store Retail'!A:B,2,)</f>
        <v/>
      </c>
      <c r="E11" s="35">
        <f>VLOOKUP($E$3,'Non Store Retail'!A:B,2,)</f>
        <v/>
      </c>
      <c r="F11" s="105">
        <f>(E11-D11)/D11</f>
        <v/>
      </c>
      <c r="G11" s="105">
        <f>VLOOKUP($E$3,'Non Store Retail'!A:D,4,)</f>
        <v/>
      </c>
      <c r="H11" s="106">
        <f>D11/$D$7</f>
        <v/>
      </c>
      <c r="I11" s="36" t="inlineStr">
        <is>
          <t>RSNSR</t>
        </is>
      </c>
      <c r="J11" s="39" t="inlineStr">
        <is>
          <t>https://fred.stlouisfed.org/series/RSNSr</t>
        </is>
      </c>
    </row>
    <row r="12" ht="25.5" customHeight="1" s="95">
      <c r="B12" s="40" t="n">
        <v>445</v>
      </c>
      <c r="C12" s="34" t="inlineStr">
        <is>
          <t>Food &amp; Beverage</t>
        </is>
      </c>
      <c r="D12" s="35">
        <f>VLOOKUP($E$2,'Food and Beverage'!A:B,2,)</f>
        <v/>
      </c>
      <c r="E12" s="35">
        <f>VLOOKUP($E$3,'Food and Beverage'!A:B,2,)</f>
        <v/>
      </c>
      <c r="F12" s="105">
        <f>(E12-D12)/D12</f>
        <v/>
      </c>
      <c r="G12" s="105">
        <f>VLOOKUP($E$3,'Food and Beverage'!A:D,4,)</f>
        <v/>
      </c>
      <c r="H12" s="106">
        <f>D12/$D$7</f>
        <v/>
      </c>
      <c r="I12" s="36" t="inlineStr">
        <is>
          <t>RSDBS</t>
        </is>
      </c>
      <c r="J12" s="39" t="inlineStr">
        <is>
          <t>https://fred.stlouisfed.org/series/RSDBs</t>
        </is>
      </c>
    </row>
    <row r="13" ht="25.5" customHeight="1" s="95">
      <c r="B13" s="40" t="n">
        <v>722</v>
      </c>
      <c r="C13" s="34" t="inlineStr">
        <is>
          <t>Food Services</t>
        </is>
      </c>
      <c r="D13" s="35">
        <f>VLOOKUP($E$2,'Food Services'!A:B,2,)</f>
        <v/>
      </c>
      <c r="E13" s="35">
        <f>VLOOKUP($E$3,'Food Services'!A:B,2,)</f>
        <v/>
      </c>
      <c r="F13" s="105">
        <f>(E13-D13)/D13</f>
        <v/>
      </c>
      <c r="G13" s="105">
        <f>VLOOKUP($E$3,'Food Services'!A:D,4,)</f>
        <v/>
      </c>
      <c r="H13" s="106">
        <f>D13/$D$7</f>
        <v/>
      </c>
      <c r="I13" s="36" t="inlineStr">
        <is>
          <t>RSFSDP</t>
        </is>
      </c>
      <c r="J13" s="39" t="inlineStr">
        <is>
          <t>https://fred.stlouisfed.org/series/RSFSDp</t>
        </is>
      </c>
    </row>
    <row r="14" ht="25.5" customHeight="1" s="95">
      <c r="B14" s="40" t="n">
        <v>452</v>
      </c>
      <c r="C14" s="34" t="inlineStr">
        <is>
          <t>General Merchandising</t>
        </is>
      </c>
      <c r="D14" s="35">
        <f>VLOOKUP($E$2,'General Merchandising'!A:B,2,)</f>
        <v/>
      </c>
      <c r="E14" s="35">
        <f>VLOOKUP($E$3,'General Merchandising'!A:B,2,)</f>
        <v/>
      </c>
      <c r="F14" s="105">
        <f>(E14-D14)/D14</f>
        <v/>
      </c>
      <c r="G14" s="105">
        <f>VLOOKUP($E$3,'General Merchandising'!A:D,4,)</f>
        <v/>
      </c>
      <c r="H14" s="106">
        <f>D14/$D$7</f>
        <v/>
      </c>
      <c r="I14" s="36" t="inlineStr">
        <is>
          <t>RSGMS</t>
        </is>
      </c>
      <c r="J14" s="39" t="inlineStr">
        <is>
          <t>https://fred.stlouisfed.org/series/RSGMs</t>
        </is>
      </c>
    </row>
    <row r="15" ht="25.5" customHeight="1" s="95">
      <c r="B15" s="40" t="n">
        <v>447</v>
      </c>
      <c r="C15" s="34" t="inlineStr">
        <is>
          <t>Gasoline Stations</t>
        </is>
      </c>
      <c r="D15" s="35">
        <f>VLOOKUP($E$2,'Gas Station'!A:B,2,)</f>
        <v/>
      </c>
      <c r="E15" s="35">
        <f>VLOOKUP($E$3,'Gas Station'!A:B,2,)</f>
        <v/>
      </c>
      <c r="F15" s="105">
        <f>(E15-D15)/D15</f>
        <v/>
      </c>
      <c r="G15" s="105">
        <f>VLOOKUP($E$3,'Gas Station'!A:D,4,)</f>
        <v/>
      </c>
      <c r="H15" s="106">
        <f>D15/$D$7</f>
        <v/>
      </c>
      <c r="I15" s="36" t="inlineStr">
        <is>
          <t>RSGASS</t>
        </is>
      </c>
      <c r="J15" s="39" t="inlineStr">
        <is>
          <t>https://fred.stlouisfed.org/series/RSGASs</t>
        </is>
      </c>
    </row>
    <row r="16" ht="25.5" customHeight="1" s="95">
      <c r="B16" s="40" t="n">
        <v>444</v>
      </c>
      <c r="C16" s="34" t="inlineStr">
        <is>
          <t>Housing Supplies</t>
        </is>
      </c>
      <c r="D16" s="35">
        <f>VLOOKUP($E$2,Housing!A:B,2,)</f>
        <v/>
      </c>
      <c r="E16" s="35">
        <f>VLOOKUP($E$3,Housing!A:B,2,)</f>
        <v/>
      </c>
      <c r="F16" s="105">
        <f>(E16-D16)/D16</f>
        <v/>
      </c>
      <c r="G16" s="105">
        <f>VLOOKUP($E$3,Housing!A:D,4,)</f>
        <v/>
      </c>
      <c r="H16" s="106">
        <f>D16/$D$7</f>
        <v/>
      </c>
      <c r="I16" s="36" t="inlineStr">
        <is>
          <t>RSBMGESD</t>
        </is>
      </c>
      <c r="J16" s="39" t="inlineStr">
        <is>
          <t>https://fred.stlouisfed.org/series/RSBMGESD</t>
        </is>
      </c>
    </row>
    <row r="17" ht="25.5" customHeight="1" s="95">
      <c r="B17" s="40" t="n">
        <v>446</v>
      </c>
      <c r="C17" s="34" t="inlineStr">
        <is>
          <t>HealthCare</t>
        </is>
      </c>
      <c r="D17" s="35">
        <f>VLOOKUP($E$2,Health!A:B,2,)</f>
        <v/>
      </c>
      <c r="E17" s="35">
        <f>VLOOKUP($E$3,Health!A:B,2,)</f>
        <v/>
      </c>
      <c r="F17" s="105">
        <f>(E17-D17)/D17</f>
        <v/>
      </c>
      <c r="G17" s="105">
        <f>VLOOKUP($E$3,Health!A:D,4,)</f>
        <v/>
      </c>
      <c r="H17" s="106">
        <f>D17/$D$7</f>
        <v/>
      </c>
      <c r="I17" s="36" t="inlineStr">
        <is>
          <t>RSHPCS</t>
        </is>
      </c>
      <c r="J17" s="39" t="inlineStr">
        <is>
          <t>https://fred.stlouisfed.org/series/RSHPCs</t>
        </is>
      </c>
    </row>
    <row r="18" ht="25.5" customHeight="1" s="95">
      <c r="B18" s="40" t="n">
        <v>448</v>
      </c>
      <c r="C18" s="34" t="inlineStr">
        <is>
          <t>Clothing and clothing access. stores</t>
        </is>
      </c>
      <c r="D18" s="35">
        <f>VLOOKUP($E$2,'Clothing and clothing access'!A:B,2,0)</f>
        <v/>
      </c>
      <c r="E18" s="35">
        <f>VLOOKUP($E$3,'Clothing and clothing access'!A:B,2,)</f>
        <v/>
      </c>
      <c r="F18" s="105">
        <f>(E18-D18)/D18</f>
        <v/>
      </c>
      <c r="G18" s="105">
        <f>VLOOKUP($E$3,'Clothing and clothing access'!A:D,4,)</f>
        <v/>
      </c>
      <c r="H18" s="106">
        <f>D18/$D$7</f>
        <v/>
      </c>
      <c r="I18" s="37" t="inlineStr">
        <is>
          <t>RSCCAS</t>
        </is>
      </c>
      <c r="J18" s="41" t="inlineStr">
        <is>
          <t>https://fred.stlouisfed.org/series/RSCCAS</t>
        </is>
      </c>
    </row>
    <row r="19" ht="25.5" customHeight="1" s="95">
      <c r="B19" s="40" t="inlineStr">
        <is>
          <t>442,443</t>
        </is>
      </c>
      <c r="C19" s="34" t="inlineStr">
        <is>
          <t>Furniture, home furn, electronics, and appliance stores</t>
        </is>
      </c>
      <c r="D19" s="35">
        <f>VLOOKUP($E$2,'Furniture Home'!A:B,2,)</f>
        <v/>
      </c>
      <c r="E19" s="35">
        <f>VLOOKUP($E$3,'Furniture Home'!A:B,2,)</f>
        <v/>
      </c>
      <c r="F19" s="105">
        <f>(E19-D19)/D19</f>
        <v/>
      </c>
      <c r="G19" s="105">
        <f>VLOOKUP($E$3,'Furniture Home'!A:D,4,)</f>
        <v/>
      </c>
      <c r="H19" s="106">
        <f>D19/$D$7</f>
        <v/>
      </c>
      <c r="I19" s="37" t="inlineStr">
        <is>
          <t>RSFHFS + RSEAS</t>
        </is>
      </c>
      <c r="J19" s="41" t="inlineStr">
        <is>
          <t>https://fred.stlouisfed.org/series/RSFHFS</t>
        </is>
      </c>
    </row>
    <row r="20" ht="25.5" customHeight="1" s="95">
      <c r="B20" s="40" t="n">
        <v>453</v>
      </c>
      <c r="C20" s="34" t="inlineStr">
        <is>
          <t>Miscellaneous stores retailers</t>
        </is>
      </c>
      <c r="D20" s="35">
        <f>VLOOKUP($E$2,'Miscellaneous stores retailers'!A:B,2,)</f>
        <v/>
      </c>
      <c r="E20" s="35">
        <f>VLOOKUP($E$3,'Miscellaneous stores retailers'!A:B,2,)</f>
        <v/>
      </c>
      <c r="F20" s="105">
        <f>(E20-D20)/D20</f>
        <v/>
      </c>
      <c r="G20" s="105">
        <f>VLOOKUP($E$3,'Miscellaneous stores retailers'!A:D,4,)</f>
        <v/>
      </c>
      <c r="H20" s="106">
        <f>D20/$D$7</f>
        <v/>
      </c>
      <c r="I20" s="37" t="inlineStr">
        <is>
          <t>RSMSR</t>
        </is>
      </c>
      <c r="J20" s="41" t="inlineStr">
        <is>
          <t>https://fred.stlouisfed.org/series/RSMSR</t>
        </is>
      </c>
    </row>
    <row r="21" ht="25.5" customHeight="1" s="95" thickBot="1">
      <c r="B21" s="42" t="n">
        <v>451</v>
      </c>
      <c r="C21" s="43" t="inlineStr">
        <is>
          <t>Clothing, Sport</t>
        </is>
      </c>
      <c r="D21" s="44">
        <f>VLOOKUP($E$2,'Sporting Goods'!A:B,2,)</f>
        <v/>
      </c>
      <c r="E21" s="44">
        <f>VLOOKUP($E$3,'Sporting Goods'!A:B,2,)</f>
        <v/>
      </c>
      <c r="F21" s="107">
        <f>(E21-D21)/D21</f>
        <v/>
      </c>
      <c r="G21" s="107">
        <f>VLOOKUP($E$3,'Sporting Goods'!A:D,4,)</f>
        <v/>
      </c>
      <c r="H21" s="108">
        <f>D21/$D$7</f>
        <v/>
      </c>
      <c r="I21" s="47" t="inlineStr">
        <is>
          <t>RSSGHBMS</t>
        </is>
      </c>
      <c r="J21" s="48" t="inlineStr">
        <is>
          <t>https://fred.stlouisfed.org/series/RSSGHBMs</t>
        </is>
      </c>
    </row>
    <row r="22" ht="25.5" customHeight="1" s="95" thickBot="1">
      <c r="D22" s="45">
        <f>SUM(D10:D21)</f>
        <v/>
      </c>
      <c r="E22" s="46">
        <f>SUM(E10:E21)</f>
        <v/>
      </c>
      <c r="H22" s="109">
        <f>SUM(H10:H21)</f>
        <v/>
      </c>
    </row>
  </sheetData>
  <conditionalFormatting sqref="F7:H9 F18 G18:G21 F10:G17">
    <cfRule type="cellIs" priority="15" operator="equal" dxfId="2" stopIfTrue="1">
      <formula>0</formula>
    </cfRule>
    <cfRule type="cellIs" priority="16" operator="lessThan" dxfId="1" stopIfTrue="1">
      <formula>0</formula>
    </cfRule>
    <cfRule type="cellIs" priority="17" operator="greaterThan" dxfId="0" stopIfTrue="1">
      <formula>0</formula>
    </cfRule>
  </conditionalFormatting>
  <conditionalFormatting sqref="F19">
    <cfRule type="cellIs" priority="9" operator="equal" dxfId="2" stopIfTrue="1">
      <formula>0</formula>
    </cfRule>
    <cfRule type="cellIs" priority="10" operator="lessThan" dxfId="1" stopIfTrue="1">
      <formula>0</formula>
    </cfRule>
    <cfRule type="cellIs" priority="11" operator="greaterThan" dxfId="0" stopIfTrue="1">
      <formula>0</formula>
    </cfRule>
  </conditionalFormatting>
  <conditionalFormatting sqref="F20">
    <cfRule type="cellIs" priority="6" operator="equal" dxfId="2" stopIfTrue="1">
      <formula>0</formula>
    </cfRule>
    <cfRule type="cellIs" priority="7" operator="lessThan" dxfId="1" stopIfTrue="1">
      <formula>0</formula>
    </cfRule>
    <cfRule type="cellIs" priority="8" operator="greaterThan" dxfId="0" stopIfTrue="1">
      <formula>0</formula>
    </cfRule>
  </conditionalFormatting>
  <conditionalFormatting sqref="F21">
    <cfRule type="cellIs" priority="3" operator="equal" dxfId="2" stopIfTrue="1">
      <formula>0</formula>
    </cfRule>
    <cfRule type="cellIs" priority="4" operator="lessThan" dxfId="1" stopIfTrue="1">
      <formula>0</formula>
    </cfRule>
    <cfRule type="cellIs" priority="5" operator="greaterThan" dxfId="0" stopIfTrue="1">
      <formula>0</formula>
    </cfRule>
  </conditionalFormatting>
  <conditionalFormatting sqref="H10:H21">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J7" r:id="rId1"/>
    <hyperlink xmlns:r="http://schemas.openxmlformats.org/officeDocument/2006/relationships" ref="J8" r:id="rId2"/>
    <hyperlink xmlns:r="http://schemas.openxmlformats.org/officeDocument/2006/relationships" ref="J9" r:id="rId3"/>
    <hyperlink xmlns:r="http://schemas.openxmlformats.org/officeDocument/2006/relationships" ref="J10" r:id="rId4"/>
    <hyperlink xmlns:r="http://schemas.openxmlformats.org/officeDocument/2006/relationships" ref="J11" r:id="rId5"/>
    <hyperlink xmlns:r="http://schemas.openxmlformats.org/officeDocument/2006/relationships" ref="J12" r:id="rId6"/>
    <hyperlink xmlns:r="http://schemas.openxmlformats.org/officeDocument/2006/relationships" ref="J13" r:id="rId7"/>
    <hyperlink xmlns:r="http://schemas.openxmlformats.org/officeDocument/2006/relationships" ref="J14" r:id="rId8"/>
    <hyperlink xmlns:r="http://schemas.openxmlformats.org/officeDocument/2006/relationships" ref="J15" r:id="rId9"/>
    <hyperlink xmlns:r="http://schemas.openxmlformats.org/officeDocument/2006/relationships" ref="J16" r:id="rId10"/>
    <hyperlink xmlns:r="http://schemas.openxmlformats.org/officeDocument/2006/relationships" ref="J17" r:id="rId11"/>
    <hyperlink xmlns:r="http://schemas.openxmlformats.org/officeDocument/2006/relationships" ref="J18" r:id="rId12"/>
    <hyperlink xmlns:r="http://schemas.openxmlformats.org/officeDocument/2006/relationships" ref="J19" r:id="rId13"/>
    <hyperlink xmlns:r="http://schemas.openxmlformats.org/officeDocument/2006/relationships" ref="J20" r:id="rId14"/>
    <hyperlink xmlns:r="http://schemas.openxmlformats.org/officeDocument/2006/relationships" ref="J21" r:id="rId15"/>
  </hyperlinks>
  <pageMargins left="0.7" right="0.7" top="0.75" bottom="0.75" header="0.3" footer="0.3"/>
</worksheet>
</file>

<file path=xl/worksheets/sheet4.xml><?xml version="1.0" encoding="utf-8"?>
<worksheet xmlns="http://schemas.openxmlformats.org/spreadsheetml/2006/main">
  <sheetPr codeName="Sheet4">
    <tabColor rgb="FFFF0000"/>
    <outlinePr summaryBelow="1" summaryRight="1"/>
    <pageSetUpPr/>
  </sheetPr>
  <dimension ref="B2:AF57"/>
  <sheetViews>
    <sheetView topLeftCell="B1" zoomScale="140" zoomScaleNormal="140" workbookViewId="0">
      <pane ySplit="3" topLeftCell="A25" activePane="bottomLeft" state="frozen"/>
      <selection activeCell="B1" sqref="B1"/>
      <selection pane="bottomLeft" activeCell="L59" sqref="L59"/>
    </sheetView>
  </sheetViews>
  <sheetFormatPr baseColWidth="10" defaultColWidth="9.1640625" defaultRowHeight="15"/>
  <cols>
    <col width="3" customWidth="1" style="122" min="1" max="1"/>
    <col width="7.6640625" customWidth="1" style="122" min="2" max="32"/>
    <col width="9.1640625" customWidth="1" style="122" min="33" max="38"/>
    <col width="9.1640625" customWidth="1" style="122" min="39" max="16384"/>
  </cols>
  <sheetData>
    <row r="1" ht="16" customHeight="1" s="95" thickBot="1"/>
    <row r="2" ht="87" customHeight="1" s="95" thickBot="1">
      <c r="B2" s="54" t="n"/>
      <c r="C2" s="132" t="inlineStr">
        <is>
          <t>Retail Sales</t>
        </is>
      </c>
      <c r="D2" s="126" t="n"/>
      <c r="E2" s="133" t="inlineStr">
        <is>
          <t>Retail Sales ex Auto</t>
        </is>
      </c>
      <c r="F2" s="126" t="n"/>
      <c r="G2" s="132" t="inlineStr">
        <is>
          <t>Retail Sales ex Auto and Gas</t>
        </is>
      </c>
      <c r="H2" s="126" t="n"/>
      <c r="I2" s="132" t="inlineStr">
        <is>
          <t>Motor Vechicle</t>
        </is>
      </c>
      <c r="J2" s="126" t="n"/>
      <c r="K2" s="132" t="inlineStr">
        <is>
          <t>Non Store</t>
        </is>
      </c>
      <c r="L2" s="126" t="n"/>
      <c r="M2" s="132" t="inlineStr">
        <is>
          <t>Food &amp; Beverage</t>
        </is>
      </c>
      <c r="N2" s="126" t="n"/>
      <c r="O2" s="132" t="inlineStr">
        <is>
          <t>Food Services</t>
        </is>
      </c>
      <c r="P2" s="126" t="n"/>
      <c r="Q2" s="132" t="inlineStr">
        <is>
          <t>General Merchandis</t>
        </is>
      </c>
      <c r="R2" s="126" t="n"/>
      <c r="S2" s="132" t="inlineStr">
        <is>
          <t>Gasoline Stations</t>
        </is>
      </c>
      <c r="T2" s="126" t="n"/>
      <c r="U2" s="132" t="inlineStr">
        <is>
          <t>Housing Supplies</t>
        </is>
      </c>
      <c r="V2" s="126" t="n"/>
      <c r="W2" s="132" t="inlineStr">
        <is>
          <t>HealthCare</t>
        </is>
      </c>
      <c r="X2" s="126" t="n"/>
      <c r="Y2" s="132" t="inlineStr">
        <is>
          <t xml:space="preserve">Clothing </t>
        </is>
      </c>
      <c r="Z2" s="126" t="n"/>
      <c r="AA2" s="132" t="inlineStr">
        <is>
          <t>Furniture</t>
        </is>
      </c>
      <c r="AB2" s="126" t="n"/>
      <c r="AC2" s="132" t="inlineStr">
        <is>
          <t>Miscellan. stores</t>
        </is>
      </c>
      <c r="AD2" s="126" t="n"/>
      <c r="AE2" s="132" t="inlineStr">
        <is>
          <t>Clothing, Sport</t>
        </is>
      </c>
      <c r="AF2" s="126" t="n"/>
    </row>
    <row r="3" ht="22.5" customFormat="1" customHeight="1" s="49">
      <c r="B3" s="55" t="inlineStr">
        <is>
          <t>Date</t>
        </is>
      </c>
      <c r="C3" s="57" t="inlineStr">
        <is>
          <t>mom</t>
        </is>
      </c>
      <c r="D3" s="58" t="inlineStr">
        <is>
          <t>yoy</t>
        </is>
      </c>
      <c r="E3" s="50" t="inlineStr">
        <is>
          <t>mom</t>
        </is>
      </c>
      <c r="F3" s="51" t="inlineStr">
        <is>
          <t>yoy</t>
        </is>
      </c>
      <c r="G3" s="50" t="inlineStr">
        <is>
          <t>mom</t>
        </is>
      </c>
      <c r="H3" s="51" t="inlineStr">
        <is>
          <t>yoy</t>
        </is>
      </c>
      <c r="I3" s="50" t="inlineStr">
        <is>
          <t>mom</t>
        </is>
      </c>
      <c r="J3" s="51" t="inlineStr">
        <is>
          <t>yoy</t>
        </is>
      </c>
      <c r="K3" s="50" t="inlineStr">
        <is>
          <t>mom</t>
        </is>
      </c>
      <c r="L3" s="51" t="inlineStr">
        <is>
          <t>yoy</t>
        </is>
      </c>
      <c r="M3" s="50" t="inlineStr">
        <is>
          <t>mom</t>
        </is>
      </c>
      <c r="N3" s="51" t="inlineStr">
        <is>
          <t>yoy</t>
        </is>
      </c>
      <c r="O3" s="50" t="inlineStr">
        <is>
          <t>mom</t>
        </is>
      </c>
      <c r="P3" s="51" t="inlineStr">
        <is>
          <t>yoy</t>
        </is>
      </c>
      <c r="Q3" s="50" t="inlineStr">
        <is>
          <t>mom</t>
        </is>
      </c>
      <c r="R3" s="51" t="inlineStr">
        <is>
          <t>yoy</t>
        </is>
      </c>
      <c r="S3" s="50" t="inlineStr">
        <is>
          <t>mom</t>
        </is>
      </c>
      <c r="T3" s="51" t="inlineStr">
        <is>
          <t>yoy</t>
        </is>
      </c>
      <c r="U3" s="50" t="inlineStr">
        <is>
          <t>mom</t>
        </is>
      </c>
      <c r="V3" s="51" t="inlineStr">
        <is>
          <t>yoy</t>
        </is>
      </c>
      <c r="W3" s="50" t="inlineStr">
        <is>
          <t>mom</t>
        </is>
      </c>
      <c r="X3" s="51" t="inlineStr">
        <is>
          <t>yoy</t>
        </is>
      </c>
      <c r="Y3" s="50" t="inlineStr">
        <is>
          <t>mom</t>
        </is>
      </c>
      <c r="Z3" s="51" t="inlineStr">
        <is>
          <t>yoy</t>
        </is>
      </c>
      <c r="AA3" s="50" t="inlineStr">
        <is>
          <t>mom</t>
        </is>
      </c>
      <c r="AB3" s="51" t="inlineStr">
        <is>
          <t>yoy</t>
        </is>
      </c>
      <c r="AC3" s="50" t="inlineStr">
        <is>
          <t>mom</t>
        </is>
      </c>
      <c r="AD3" s="51" t="inlineStr">
        <is>
          <t>yoy</t>
        </is>
      </c>
      <c r="AE3" s="50" t="inlineStr">
        <is>
          <t>mom</t>
        </is>
      </c>
      <c r="AF3" s="51" t="inlineStr">
        <is>
          <t>yoy</t>
        </is>
      </c>
    </row>
    <row r="4">
      <c r="B4" s="56" t="n">
        <v>42948</v>
      </c>
      <c r="C4" s="52">
        <f>VLOOKUP($B$4,'Retail Sales'!$A:$D,3,)</f>
        <v/>
      </c>
      <c r="D4" s="53">
        <f>VLOOKUP($B$4,'Retail Sales'!$A:$D,4,)</f>
        <v/>
      </c>
      <c r="E4" s="52">
        <f>VLOOKUP(B4,'Retail Sales ex Auto'!$A:$D,3,)</f>
        <v/>
      </c>
      <c r="F4" s="53">
        <f>VLOOKUP(B4,'Retail Sales ex Auto'!$A:$D,4,)</f>
        <v/>
      </c>
      <c r="G4" s="52">
        <f>VLOOKUP(B4,'Retail Sales ex Auto and Gas'!$A:$D,3,)</f>
        <v/>
      </c>
      <c r="H4" s="53">
        <f>VLOOKUP(B4,'Retail Sales ex Auto and Gas'!$A:$D,4,)</f>
        <v/>
      </c>
      <c r="I4" s="52">
        <f>VLOOKUP(B4,Motor!$A:$D,3,)</f>
        <v/>
      </c>
      <c r="J4" s="53">
        <f>VLOOKUP(B4,Motor!$A:$D,4,)</f>
        <v/>
      </c>
      <c r="K4" s="52">
        <f>VLOOKUP(B4,'Non Store Retail'!$A:$D,3,)</f>
        <v/>
      </c>
      <c r="L4" s="53">
        <f>VLOOKUP(B4,'Non Store Retail'!$A:$D,4,)</f>
        <v/>
      </c>
      <c r="M4" s="52">
        <f>VLOOKUP(B4,'Food and Beverage'!$A:$D,3,)</f>
        <v/>
      </c>
      <c r="N4" s="52">
        <f>VLOOKUP(B4,'Food and Beverage'!$A:$D,4,)</f>
        <v/>
      </c>
      <c r="O4" s="52">
        <f>VLOOKUP(B4,'Food Services'!$A:$D,3,)</f>
        <v/>
      </c>
      <c r="P4" s="53">
        <f>VLOOKUP(B4,'Food Services'!$A:$D,4,)</f>
        <v/>
      </c>
      <c r="Q4" s="52">
        <f>VLOOKUP(B4,'General Merchandising'!$A:$D,3,)</f>
        <v/>
      </c>
      <c r="R4" s="53">
        <f>VLOOKUP(B4,'General Merchandising'!$A:$D,4,)</f>
        <v/>
      </c>
      <c r="S4" s="52">
        <f>VLOOKUP(B4,'Gas Station'!$A:$D,3,)</f>
        <v/>
      </c>
      <c r="T4" s="53">
        <f>VLOOKUP(B4,'Gas Station'!$A:$D,4,)</f>
        <v/>
      </c>
      <c r="U4" s="52">
        <f>VLOOKUP(B4,Housing!$A:$D,3,)</f>
        <v/>
      </c>
      <c r="V4" s="53">
        <f>VLOOKUP(B4,Housing!$A:$D,4,)</f>
        <v/>
      </c>
      <c r="W4" s="52">
        <f>VLOOKUP(B4,Health!$A:$D,3,)</f>
        <v/>
      </c>
      <c r="X4" s="53">
        <f>VLOOKUP(B4,Health!$A:$D,4,)</f>
        <v/>
      </c>
      <c r="Y4" s="52">
        <f>VLOOKUP(B4,'Clothing and clothing access'!$A:$D,3,)</f>
        <v/>
      </c>
      <c r="Z4" s="53">
        <f>VLOOKUP(B4,'Clothing and clothing access'!$A:$D,4,)</f>
        <v/>
      </c>
      <c r="AA4" s="52">
        <f>VLOOKUP(B4,'Furniture Home'!$A:$D,3,)</f>
        <v/>
      </c>
      <c r="AB4" s="53">
        <f>VLOOKUP(B4,'Furniture Home'!$A:$D,4,)</f>
        <v/>
      </c>
      <c r="AC4" s="52">
        <f>VLOOKUP(B4,'Miscellaneous stores retailers'!$A:$D,3,)</f>
        <v/>
      </c>
      <c r="AD4" s="53">
        <f>VLOOKUP(B4,'Miscellaneous stores retailers'!$A:$D,4,)</f>
        <v/>
      </c>
      <c r="AE4" s="52">
        <f>VLOOKUP(B4,'Sporting Goods'!$A:$D,3,)</f>
        <v/>
      </c>
      <c r="AF4" s="53">
        <f>VLOOKUP(B4,'Sporting Goods'!$A:$D,4,)</f>
        <v/>
      </c>
    </row>
    <row r="5">
      <c r="B5" s="56" t="n">
        <v>42979</v>
      </c>
      <c r="C5" s="52">
        <f>VLOOKUP(B5,'Retail Sales'!A:D,3,)</f>
        <v/>
      </c>
      <c r="D5" s="53">
        <f>VLOOKUP(B5,'Retail Sales'!A:D,4,)</f>
        <v/>
      </c>
      <c r="E5" s="52">
        <f>VLOOKUP(B5,'Retail Sales ex Auto'!$A:$D,3,)</f>
        <v/>
      </c>
      <c r="F5" s="53">
        <f>VLOOKUP(B5,'Retail Sales ex Auto'!$A:$D,4,)</f>
        <v/>
      </c>
      <c r="G5" s="52">
        <f>VLOOKUP(B5,'Retail Sales ex Auto and Gas'!$A:$D,3,)</f>
        <v/>
      </c>
      <c r="H5" s="53">
        <f>VLOOKUP(B5,'Retail Sales ex Auto and Gas'!$A:$D,4,)</f>
        <v/>
      </c>
      <c r="I5" s="52">
        <f>VLOOKUP(B5,Motor!$A:$D,3,)</f>
        <v/>
      </c>
      <c r="J5" s="53">
        <f>VLOOKUP(B5,Motor!$A:$D,4,)</f>
        <v/>
      </c>
      <c r="K5" s="52">
        <f>VLOOKUP(B5,'Non Store Retail'!$A:$D,3,)</f>
        <v/>
      </c>
      <c r="L5" s="53">
        <f>VLOOKUP(B5,'Non Store Retail'!$A:$D,4,)</f>
        <v/>
      </c>
      <c r="M5" s="52">
        <f>VLOOKUP(B5,'Food and Beverage'!$A:$D,3,)</f>
        <v/>
      </c>
      <c r="N5" s="52">
        <f>VLOOKUP(B5,'Food and Beverage'!$A:$D,4,)</f>
        <v/>
      </c>
      <c r="O5" s="52">
        <f>VLOOKUP(B5,'Food Services'!$A:$D,3,)</f>
        <v/>
      </c>
      <c r="P5" s="53">
        <f>VLOOKUP(B5,'Food Services'!$A:$D,4,)</f>
        <v/>
      </c>
      <c r="Q5" s="52">
        <f>VLOOKUP(B5,'General Merchandising'!$A:$D,3,)</f>
        <v/>
      </c>
      <c r="R5" s="53">
        <f>VLOOKUP(B5,'General Merchandising'!$A:$D,4,)</f>
        <v/>
      </c>
      <c r="S5" s="52">
        <f>VLOOKUP(B5,'Gas Station'!$A:$D,3,)</f>
        <v/>
      </c>
      <c r="T5" s="53">
        <f>VLOOKUP(B5,'Gas Station'!$A:$D,4,)</f>
        <v/>
      </c>
      <c r="U5" s="52">
        <f>VLOOKUP(B5,Housing!$A:$D,3,)</f>
        <v/>
      </c>
      <c r="V5" s="53">
        <f>VLOOKUP(B5,Housing!$A:$D,4,)</f>
        <v/>
      </c>
      <c r="W5" s="52">
        <f>VLOOKUP(B5,Health!$A:$D,3,)</f>
        <v/>
      </c>
      <c r="X5" s="53">
        <f>VLOOKUP(B5,Health!$A:$D,4,)</f>
        <v/>
      </c>
      <c r="Y5" s="52">
        <f>VLOOKUP(B5,'Clothing and clothing access'!$A:$D,3,)</f>
        <v/>
      </c>
      <c r="Z5" s="53">
        <f>VLOOKUP(B5,'Clothing and clothing access'!$A:$D,4,)</f>
        <v/>
      </c>
      <c r="AA5" s="52">
        <f>VLOOKUP(B5,'Furniture Home'!$A:$D,3,)</f>
        <v/>
      </c>
      <c r="AB5" s="53">
        <f>VLOOKUP(B5,'Furniture Home'!$A:$D,4,)</f>
        <v/>
      </c>
      <c r="AC5" s="52">
        <f>VLOOKUP(B5,'Miscellaneous stores retailers'!$A:$D,3,)</f>
        <v/>
      </c>
      <c r="AD5" s="53">
        <f>VLOOKUP(B5,'Miscellaneous stores retailers'!$A:$D,4,)</f>
        <v/>
      </c>
      <c r="AE5" s="52">
        <f>VLOOKUP(B5,'Sporting Goods'!$A:$D,3,)</f>
        <v/>
      </c>
      <c r="AF5" s="53">
        <f>VLOOKUP(B5,'Sporting Goods'!$A:$D,4,)</f>
        <v/>
      </c>
    </row>
    <row r="6">
      <c r="B6" s="56" t="n">
        <v>43009</v>
      </c>
      <c r="C6" s="52">
        <f>VLOOKUP(B6,'Retail Sales'!A:D,3,)</f>
        <v/>
      </c>
      <c r="D6" s="53">
        <f>VLOOKUP(B6,'Retail Sales'!A:D,4,)</f>
        <v/>
      </c>
      <c r="E6" s="52">
        <f>VLOOKUP(B6,'Retail Sales ex Auto'!$A:$D,3,)</f>
        <v/>
      </c>
      <c r="F6" s="53">
        <f>VLOOKUP(B6,'Retail Sales ex Auto'!$A:$D,4,)</f>
        <v/>
      </c>
      <c r="G6" s="52">
        <f>VLOOKUP(B6,'Retail Sales ex Auto and Gas'!$A:$D,3,)</f>
        <v/>
      </c>
      <c r="H6" s="53">
        <f>VLOOKUP(B6,'Retail Sales ex Auto and Gas'!$A:$D,4,)</f>
        <v/>
      </c>
      <c r="I6" s="52">
        <f>VLOOKUP(B6,Motor!$A:$D,3,)</f>
        <v/>
      </c>
      <c r="J6" s="53">
        <f>VLOOKUP(B6,Motor!$A:$D,4,)</f>
        <v/>
      </c>
      <c r="K6" s="52">
        <f>VLOOKUP(B6,'Non Store Retail'!$A:$D,3,)</f>
        <v/>
      </c>
      <c r="L6" s="53">
        <f>VLOOKUP(B6,'Non Store Retail'!$A:$D,4,)</f>
        <v/>
      </c>
      <c r="M6" s="52">
        <f>VLOOKUP(B6,'Food and Beverage'!$A:$D,3,)</f>
        <v/>
      </c>
      <c r="N6" s="52">
        <f>VLOOKUP(B6,'Food and Beverage'!$A:$D,4,)</f>
        <v/>
      </c>
      <c r="O6" s="52">
        <f>VLOOKUP(B6,'Food Services'!$A:$D,3,)</f>
        <v/>
      </c>
      <c r="P6" s="53">
        <f>VLOOKUP(B6,'Food Services'!$A:$D,4,)</f>
        <v/>
      </c>
      <c r="Q6" s="52">
        <f>VLOOKUP(B6,'General Merchandising'!$A:$D,3,)</f>
        <v/>
      </c>
      <c r="R6" s="53">
        <f>VLOOKUP(B6,'General Merchandising'!$A:$D,4,)</f>
        <v/>
      </c>
      <c r="S6" s="52">
        <f>VLOOKUP(B6,'Gas Station'!$A:$D,3,)</f>
        <v/>
      </c>
      <c r="T6" s="53">
        <f>VLOOKUP(B6,'Gas Station'!$A:$D,4,)</f>
        <v/>
      </c>
      <c r="U6" s="52">
        <f>VLOOKUP(B6,Housing!$A:$D,3,)</f>
        <v/>
      </c>
      <c r="V6" s="53">
        <f>VLOOKUP(B6,Housing!$A:$D,4,)</f>
        <v/>
      </c>
      <c r="W6" s="52">
        <f>VLOOKUP(B6,Health!$A:$D,3,)</f>
        <v/>
      </c>
      <c r="X6" s="53">
        <f>VLOOKUP(B6,Health!$A:$D,4,)</f>
        <v/>
      </c>
      <c r="Y6" s="52">
        <f>VLOOKUP(B6,'Clothing and clothing access'!$A:$D,3,)</f>
        <v/>
      </c>
      <c r="Z6" s="53">
        <f>VLOOKUP(B6,'Clothing and clothing access'!$A:$D,4,)</f>
        <v/>
      </c>
      <c r="AA6" s="52">
        <f>VLOOKUP(B6,'Furniture Home'!$A:$D,3,)</f>
        <v/>
      </c>
      <c r="AB6" s="53">
        <f>VLOOKUP(B6,'Furniture Home'!$A:$D,4,)</f>
        <v/>
      </c>
      <c r="AC6" s="52">
        <f>VLOOKUP(B6,'Miscellaneous stores retailers'!$A:$D,3,)</f>
        <v/>
      </c>
      <c r="AD6" s="53">
        <f>VLOOKUP(B6,'Miscellaneous stores retailers'!$A:$D,4,)</f>
        <v/>
      </c>
      <c r="AE6" s="52">
        <f>VLOOKUP(B6,'Sporting Goods'!$A:$D,3,)</f>
        <v/>
      </c>
      <c r="AF6" s="53">
        <f>VLOOKUP(B6,'Sporting Goods'!$A:$D,4,)</f>
        <v/>
      </c>
    </row>
    <row r="7">
      <c r="B7" s="56" t="n">
        <v>43040</v>
      </c>
      <c r="C7" s="52">
        <f>VLOOKUP(B7,'Retail Sales'!A:D,3,)</f>
        <v/>
      </c>
      <c r="D7" s="53">
        <f>VLOOKUP(B7,'Retail Sales'!A:D,4,)</f>
        <v/>
      </c>
      <c r="E7" s="52">
        <f>VLOOKUP(B7,'Retail Sales ex Auto'!$A:$D,3,)</f>
        <v/>
      </c>
      <c r="F7" s="53">
        <f>VLOOKUP(B7,'Retail Sales ex Auto'!$A:$D,4,)</f>
        <v/>
      </c>
      <c r="G7" s="52">
        <f>VLOOKUP(B7,'Retail Sales ex Auto and Gas'!$A:$D,3,)</f>
        <v/>
      </c>
      <c r="H7" s="53">
        <f>VLOOKUP(B7,'Retail Sales ex Auto and Gas'!$A:$D,4,)</f>
        <v/>
      </c>
      <c r="I7" s="52">
        <f>VLOOKUP(B7,Motor!$A:$D,3,)</f>
        <v/>
      </c>
      <c r="J7" s="53">
        <f>VLOOKUP(B7,Motor!$A:$D,4,)</f>
        <v/>
      </c>
      <c r="K7" s="52">
        <f>VLOOKUP(B7,'Non Store Retail'!$A:$D,3,)</f>
        <v/>
      </c>
      <c r="L7" s="53">
        <f>VLOOKUP(B7,'Non Store Retail'!$A:$D,4,)</f>
        <v/>
      </c>
      <c r="M7" s="52">
        <f>VLOOKUP(B7,'Food and Beverage'!$A:$D,3,)</f>
        <v/>
      </c>
      <c r="N7" s="52">
        <f>VLOOKUP(B7,'Food and Beverage'!$A:$D,4,)</f>
        <v/>
      </c>
      <c r="O7" s="52">
        <f>VLOOKUP(B7,'Food Services'!$A:$D,3,)</f>
        <v/>
      </c>
      <c r="P7" s="53">
        <f>VLOOKUP(B7,'Food Services'!$A:$D,4,)</f>
        <v/>
      </c>
      <c r="Q7" s="52">
        <f>VLOOKUP(B7,'General Merchandising'!$A:$D,3,)</f>
        <v/>
      </c>
      <c r="R7" s="53">
        <f>VLOOKUP(B7,'General Merchandising'!$A:$D,4,)</f>
        <v/>
      </c>
      <c r="S7" s="52">
        <f>VLOOKUP(B7,'Gas Station'!$A:$D,3,)</f>
        <v/>
      </c>
      <c r="T7" s="53">
        <f>VLOOKUP(B7,'Gas Station'!$A:$D,4,)</f>
        <v/>
      </c>
      <c r="U7" s="52">
        <f>VLOOKUP(B7,Housing!$A:$D,3,)</f>
        <v/>
      </c>
      <c r="V7" s="53">
        <f>VLOOKUP(B7,Housing!$A:$D,4,)</f>
        <v/>
      </c>
      <c r="W7" s="52">
        <f>VLOOKUP(B7,Health!$A:$D,3,)</f>
        <v/>
      </c>
      <c r="X7" s="53">
        <f>VLOOKUP(B7,Health!$A:$D,4,)</f>
        <v/>
      </c>
      <c r="Y7" s="52">
        <f>VLOOKUP(B7,'Clothing and clothing access'!$A:$D,3,)</f>
        <v/>
      </c>
      <c r="Z7" s="53">
        <f>VLOOKUP(B7,'Clothing and clothing access'!$A:$D,4,)</f>
        <v/>
      </c>
      <c r="AA7" s="52">
        <f>VLOOKUP(B7,'Furniture Home'!$A:$D,3,)</f>
        <v/>
      </c>
      <c r="AB7" s="53">
        <f>VLOOKUP(B7,'Furniture Home'!$A:$D,4,)</f>
        <v/>
      </c>
      <c r="AC7" s="52">
        <f>VLOOKUP(B7,'Miscellaneous stores retailers'!$A:$D,3,)</f>
        <v/>
      </c>
      <c r="AD7" s="53">
        <f>VLOOKUP(B7,'Miscellaneous stores retailers'!$A:$D,4,)</f>
        <v/>
      </c>
      <c r="AE7" s="52">
        <f>VLOOKUP(B7,'Sporting Goods'!$A:$D,3,)</f>
        <v/>
      </c>
      <c r="AF7" s="53">
        <f>VLOOKUP(B7,'Sporting Goods'!$A:$D,4,)</f>
        <v/>
      </c>
    </row>
    <row r="8">
      <c r="B8" s="56" t="n">
        <v>43070</v>
      </c>
      <c r="C8" s="52">
        <f>VLOOKUP(B8,'Retail Sales'!A:D,3,)</f>
        <v/>
      </c>
      <c r="D8" s="53">
        <f>VLOOKUP(B8,'Retail Sales'!A:D,4,)</f>
        <v/>
      </c>
      <c r="E8" s="52">
        <f>VLOOKUP(B8,'Retail Sales ex Auto'!$A:$D,3,)</f>
        <v/>
      </c>
      <c r="F8" s="53">
        <f>VLOOKUP(B8,'Retail Sales ex Auto'!$A:$D,4,)</f>
        <v/>
      </c>
      <c r="G8" s="52">
        <f>VLOOKUP(B8,'Retail Sales ex Auto and Gas'!$A:$D,3,)</f>
        <v/>
      </c>
      <c r="H8" s="53">
        <f>VLOOKUP(B8,'Retail Sales ex Auto and Gas'!$A:$D,4,)</f>
        <v/>
      </c>
      <c r="I8" s="52">
        <f>VLOOKUP(B8,Motor!$A:$D,3,)</f>
        <v/>
      </c>
      <c r="J8" s="53">
        <f>VLOOKUP(B8,Motor!$A:$D,4,)</f>
        <v/>
      </c>
      <c r="K8" s="52">
        <f>VLOOKUP(B8,'Non Store Retail'!$A:$D,3,)</f>
        <v/>
      </c>
      <c r="L8" s="53">
        <f>VLOOKUP(B8,'Non Store Retail'!$A:$D,4,)</f>
        <v/>
      </c>
      <c r="M8" s="52">
        <f>VLOOKUP(B8,'Food and Beverage'!$A:$D,3,)</f>
        <v/>
      </c>
      <c r="N8" s="52">
        <f>VLOOKUP(B8,'Food and Beverage'!$A:$D,4,)</f>
        <v/>
      </c>
      <c r="O8" s="52">
        <f>VLOOKUP(B8,'Food Services'!$A:$D,3,)</f>
        <v/>
      </c>
      <c r="P8" s="53">
        <f>VLOOKUP(B8,'Food Services'!$A:$D,4,)</f>
        <v/>
      </c>
      <c r="Q8" s="52">
        <f>VLOOKUP(B8,'General Merchandising'!$A:$D,3,)</f>
        <v/>
      </c>
      <c r="R8" s="53">
        <f>VLOOKUP(B8,'General Merchandising'!$A:$D,4,)</f>
        <v/>
      </c>
      <c r="S8" s="52">
        <f>VLOOKUP(B8,'Gas Station'!$A:$D,3,)</f>
        <v/>
      </c>
      <c r="T8" s="53">
        <f>VLOOKUP(B8,'Gas Station'!$A:$D,4,)</f>
        <v/>
      </c>
      <c r="U8" s="52">
        <f>VLOOKUP(B8,Housing!$A:$D,3,)</f>
        <v/>
      </c>
      <c r="V8" s="53">
        <f>VLOOKUP(B8,Housing!$A:$D,4,)</f>
        <v/>
      </c>
      <c r="W8" s="52">
        <f>VLOOKUP(B8,Health!$A:$D,3,)</f>
        <v/>
      </c>
      <c r="X8" s="53">
        <f>VLOOKUP(B8,Health!$A:$D,4,)</f>
        <v/>
      </c>
      <c r="Y8" s="52">
        <f>VLOOKUP(B8,'Clothing and clothing access'!$A:$D,3,)</f>
        <v/>
      </c>
      <c r="Z8" s="53">
        <f>VLOOKUP(B8,'Clothing and clothing access'!$A:$D,4,)</f>
        <v/>
      </c>
      <c r="AA8" s="52">
        <f>VLOOKUP(B8,'Furniture Home'!$A:$D,3,)</f>
        <v/>
      </c>
      <c r="AB8" s="53">
        <f>VLOOKUP(B8,'Furniture Home'!$A:$D,4,)</f>
        <v/>
      </c>
      <c r="AC8" s="52">
        <f>VLOOKUP(B8,'Miscellaneous stores retailers'!$A:$D,3,)</f>
        <v/>
      </c>
      <c r="AD8" s="53">
        <f>VLOOKUP(B8,'Miscellaneous stores retailers'!$A:$D,4,)</f>
        <v/>
      </c>
      <c r="AE8" s="52">
        <f>VLOOKUP(B8,'Sporting Goods'!$A:$D,3,)</f>
        <v/>
      </c>
      <c r="AF8" s="53">
        <f>VLOOKUP(B8,'Sporting Goods'!$A:$D,4,)</f>
        <v/>
      </c>
    </row>
    <row r="9">
      <c r="B9" s="56" t="n">
        <v>43101</v>
      </c>
      <c r="C9" s="52">
        <f>VLOOKUP(B9,'Retail Sales'!A:D,3,)</f>
        <v/>
      </c>
      <c r="D9" s="53">
        <f>VLOOKUP(B9,'Retail Sales'!A:D,4,)</f>
        <v/>
      </c>
      <c r="E9" s="52">
        <f>VLOOKUP(B9,'Retail Sales ex Auto'!$A:$D,3,)</f>
        <v/>
      </c>
      <c r="F9" s="53">
        <f>VLOOKUP(B9,'Retail Sales ex Auto'!$A:$D,4,)</f>
        <v/>
      </c>
      <c r="G9" s="52">
        <f>VLOOKUP(B9,'Retail Sales ex Auto and Gas'!$A:$D,3,)</f>
        <v/>
      </c>
      <c r="H9" s="53">
        <f>VLOOKUP(B9,'Retail Sales ex Auto and Gas'!$A:$D,4,)</f>
        <v/>
      </c>
      <c r="I9" s="52">
        <f>VLOOKUP(B9,Motor!$A:$D,3,)</f>
        <v/>
      </c>
      <c r="J9" s="53">
        <f>VLOOKUP(B9,Motor!$A:$D,4,)</f>
        <v/>
      </c>
      <c r="K9" s="52">
        <f>VLOOKUP(B9,'Non Store Retail'!$A:$D,3,)</f>
        <v/>
      </c>
      <c r="L9" s="53">
        <f>VLOOKUP(B9,'Non Store Retail'!$A:$D,4,)</f>
        <v/>
      </c>
      <c r="M9" s="52">
        <f>VLOOKUP(B9,'Food and Beverage'!$A:$D,3,)</f>
        <v/>
      </c>
      <c r="N9" s="52">
        <f>VLOOKUP(B9,'Food and Beverage'!$A:$D,4,)</f>
        <v/>
      </c>
      <c r="O9" s="52">
        <f>VLOOKUP(B9,'Food Services'!$A:$D,3,)</f>
        <v/>
      </c>
      <c r="P9" s="53">
        <f>VLOOKUP(B9,'Food Services'!$A:$D,4,)</f>
        <v/>
      </c>
      <c r="Q9" s="52">
        <f>VLOOKUP(B9,'General Merchandising'!$A:$D,3,)</f>
        <v/>
      </c>
      <c r="R9" s="53">
        <f>VLOOKUP(B9,'General Merchandising'!$A:$D,4,)</f>
        <v/>
      </c>
      <c r="S9" s="52">
        <f>VLOOKUP(B9,'Gas Station'!$A:$D,3,)</f>
        <v/>
      </c>
      <c r="T9" s="53">
        <f>VLOOKUP(B9,'Gas Station'!$A:$D,4,)</f>
        <v/>
      </c>
      <c r="U9" s="52">
        <f>VLOOKUP(B9,Housing!$A:$D,3,)</f>
        <v/>
      </c>
      <c r="V9" s="53">
        <f>VLOOKUP(B9,Housing!$A:$D,4,)</f>
        <v/>
      </c>
      <c r="W9" s="52">
        <f>VLOOKUP(B9,Health!$A:$D,3,)</f>
        <v/>
      </c>
      <c r="X9" s="53">
        <f>VLOOKUP(B9,Health!$A:$D,4,)</f>
        <v/>
      </c>
      <c r="Y9" s="52">
        <f>VLOOKUP(B9,'Clothing and clothing access'!$A:$D,3,)</f>
        <v/>
      </c>
      <c r="Z9" s="53">
        <f>VLOOKUP(B9,'Clothing and clothing access'!$A:$D,4,)</f>
        <v/>
      </c>
      <c r="AA9" s="52">
        <f>VLOOKUP(B9,'Furniture Home'!$A:$D,3,)</f>
        <v/>
      </c>
      <c r="AB9" s="53">
        <f>VLOOKUP(B9,'Furniture Home'!$A:$D,4,)</f>
        <v/>
      </c>
      <c r="AC9" s="52">
        <f>VLOOKUP(B9,'Miscellaneous stores retailers'!$A:$D,3,)</f>
        <v/>
      </c>
      <c r="AD9" s="53">
        <f>VLOOKUP(B9,'Miscellaneous stores retailers'!$A:$D,4,)</f>
        <v/>
      </c>
      <c r="AE9" s="52">
        <f>VLOOKUP(B9,'Sporting Goods'!$A:$D,3,)</f>
        <v/>
      </c>
      <c r="AF9" s="53">
        <f>VLOOKUP(B9,'Sporting Goods'!$A:$D,4,)</f>
        <v/>
      </c>
    </row>
    <row r="10">
      <c r="B10" s="56" t="n">
        <v>43132</v>
      </c>
      <c r="C10" s="52">
        <f>VLOOKUP(B10,'Retail Sales'!A:D,3,)</f>
        <v/>
      </c>
      <c r="D10" s="53">
        <f>VLOOKUP(B10,'Retail Sales'!A:D,4,)</f>
        <v/>
      </c>
      <c r="E10" s="52">
        <f>VLOOKUP(B10,'Retail Sales ex Auto'!$A:$D,3,)</f>
        <v/>
      </c>
      <c r="F10" s="53">
        <f>VLOOKUP(B10,'Retail Sales ex Auto'!$A:$D,4,)</f>
        <v/>
      </c>
      <c r="G10" s="52">
        <f>VLOOKUP(B10,'Retail Sales ex Auto and Gas'!$A:$D,3,)</f>
        <v/>
      </c>
      <c r="H10" s="53">
        <f>VLOOKUP(B10,'Retail Sales ex Auto and Gas'!$A:$D,4,)</f>
        <v/>
      </c>
      <c r="I10" s="52">
        <f>VLOOKUP(B10,Motor!$A:$D,3,)</f>
        <v/>
      </c>
      <c r="J10" s="53">
        <f>VLOOKUP(B10,Motor!$A:$D,4,)</f>
        <v/>
      </c>
      <c r="K10" s="52">
        <f>VLOOKUP(B10,'Non Store Retail'!$A:$D,3,)</f>
        <v/>
      </c>
      <c r="L10" s="53">
        <f>VLOOKUP(B10,'Non Store Retail'!$A:$D,4,)</f>
        <v/>
      </c>
      <c r="M10" s="52">
        <f>VLOOKUP(B10,'Food and Beverage'!$A:$D,3,)</f>
        <v/>
      </c>
      <c r="N10" s="52">
        <f>VLOOKUP(B10,'Food and Beverage'!$A:$D,4,)</f>
        <v/>
      </c>
      <c r="O10" s="52">
        <f>VLOOKUP(B10,'Food Services'!$A:$D,3,)</f>
        <v/>
      </c>
      <c r="P10" s="53">
        <f>VLOOKUP(B10,'Food Services'!$A:$D,4,)</f>
        <v/>
      </c>
      <c r="Q10" s="52">
        <f>VLOOKUP(B10,'General Merchandising'!$A:$D,3,)</f>
        <v/>
      </c>
      <c r="R10" s="53">
        <f>VLOOKUP(B10,'General Merchandising'!$A:$D,4,)</f>
        <v/>
      </c>
      <c r="S10" s="52">
        <f>VLOOKUP(B10,'Gas Station'!$A:$D,3,)</f>
        <v/>
      </c>
      <c r="T10" s="53">
        <f>VLOOKUP(B10,'Gas Station'!$A:$D,4,)</f>
        <v/>
      </c>
      <c r="U10" s="52">
        <f>VLOOKUP(B10,Housing!$A:$D,3,)</f>
        <v/>
      </c>
      <c r="V10" s="53">
        <f>VLOOKUP(B10,Housing!$A:$D,4,)</f>
        <v/>
      </c>
      <c r="W10" s="52">
        <f>VLOOKUP(B10,Health!$A:$D,3,)</f>
        <v/>
      </c>
      <c r="X10" s="53">
        <f>VLOOKUP(B10,Health!$A:$D,4,)</f>
        <v/>
      </c>
      <c r="Y10" s="52">
        <f>VLOOKUP(B10,'Clothing and clothing access'!$A:$D,3,)</f>
        <v/>
      </c>
      <c r="Z10" s="53">
        <f>VLOOKUP(B10,'Clothing and clothing access'!$A:$D,4,)</f>
        <v/>
      </c>
      <c r="AA10" s="52">
        <f>VLOOKUP(B10,'Furniture Home'!$A:$D,3,)</f>
        <v/>
      </c>
      <c r="AB10" s="53">
        <f>VLOOKUP(B10,'Furniture Home'!$A:$D,4,)</f>
        <v/>
      </c>
      <c r="AC10" s="52">
        <f>VLOOKUP(B10,'Miscellaneous stores retailers'!$A:$D,3,)</f>
        <v/>
      </c>
      <c r="AD10" s="53">
        <f>VLOOKUP(B10,'Miscellaneous stores retailers'!$A:$D,4,)</f>
        <v/>
      </c>
      <c r="AE10" s="52">
        <f>VLOOKUP(B10,'Sporting Goods'!$A:$D,3,)</f>
        <v/>
      </c>
      <c r="AF10" s="53">
        <f>VLOOKUP(B10,'Sporting Goods'!$A:$D,4,)</f>
        <v/>
      </c>
    </row>
    <row r="11">
      <c r="B11" s="56" t="n">
        <v>43160</v>
      </c>
      <c r="C11" s="52">
        <f>VLOOKUP(B11,'Retail Sales'!A:D,3,)</f>
        <v/>
      </c>
      <c r="D11" s="53">
        <f>VLOOKUP(B11,'Retail Sales'!A:D,4,)</f>
        <v/>
      </c>
      <c r="E11" s="52">
        <f>VLOOKUP(B11,'Retail Sales ex Auto'!$A:$D,3,)</f>
        <v/>
      </c>
      <c r="F11" s="53">
        <f>VLOOKUP(B11,'Retail Sales ex Auto'!$A:$D,4,)</f>
        <v/>
      </c>
      <c r="G11" s="52">
        <f>VLOOKUP(B11,'Retail Sales ex Auto and Gas'!$A:$D,3,)</f>
        <v/>
      </c>
      <c r="H11" s="53">
        <f>VLOOKUP(B11,'Retail Sales ex Auto and Gas'!$A:$D,4,)</f>
        <v/>
      </c>
      <c r="I11" s="52">
        <f>VLOOKUP(B11,Motor!$A:$D,3,)</f>
        <v/>
      </c>
      <c r="J11" s="53">
        <f>VLOOKUP(B11,Motor!$A:$D,4,)</f>
        <v/>
      </c>
      <c r="K11" s="52">
        <f>VLOOKUP(B11,'Non Store Retail'!$A:$D,3,)</f>
        <v/>
      </c>
      <c r="L11" s="53">
        <f>VLOOKUP(B11,'Non Store Retail'!$A:$D,4,)</f>
        <v/>
      </c>
      <c r="M11" s="52">
        <f>VLOOKUP(B11,'Food and Beverage'!$A:$D,3,)</f>
        <v/>
      </c>
      <c r="N11" s="52">
        <f>VLOOKUP(B11,'Food and Beverage'!$A:$D,4,)</f>
        <v/>
      </c>
      <c r="O11" s="52">
        <f>VLOOKUP(B11,'Food Services'!$A:$D,3,)</f>
        <v/>
      </c>
      <c r="P11" s="53">
        <f>VLOOKUP(B11,'Food Services'!$A:$D,4,)</f>
        <v/>
      </c>
      <c r="Q11" s="52">
        <f>VLOOKUP(B11,'General Merchandising'!$A:$D,3,)</f>
        <v/>
      </c>
      <c r="R11" s="53">
        <f>VLOOKUP(B11,'General Merchandising'!$A:$D,4,)</f>
        <v/>
      </c>
      <c r="S11" s="52">
        <f>VLOOKUP(B11,'Gas Station'!$A:$D,3,)</f>
        <v/>
      </c>
      <c r="T11" s="53">
        <f>VLOOKUP(B11,'Gas Station'!$A:$D,4,)</f>
        <v/>
      </c>
      <c r="U11" s="52">
        <f>VLOOKUP(B11,Housing!$A:$D,3,)</f>
        <v/>
      </c>
      <c r="V11" s="53">
        <f>VLOOKUP(B11,Housing!$A:$D,4,)</f>
        <v/>
      </c>
      <c r="W11" s="52">
        <f>VLOOKUP(B11,Health!$A:$D,3,)</f>
        <v/>
      </c>
      <c r="X11" s="53">
        <f>VLOOKUP(B11,Health!$A:$D,4,)</f>
        <v/>
      </c>
      <c r="Y11" s="52">
        <f>VLOOKUP(B11,'Clothing and clothing access'!$A:$D,3,)</f>
        <v/>
      </c>
      <c r="Z11" s="53">
        <f>VLOOKUP(B11,'Clothing and clothing access'!$A:$D,4,)</f>
        <v/>
      </c>
      <c r="AA11" s="52">
        <f>VLOOKUP(B11,'Furniture Home'!$A:$D,3,)</f>
        <v/>
      </c>
      <c r="AB11" s="53">
        <f>VLOOKUP(B11,'Furniture Home'!$A:$D,4,)</f>
        <v/>
      </c>
      <c r="AC11" s="52">
        <f>VLOOKUP(B11,'Miscellaneous stores retailers'!$A:$D,3,)</f>
        <v/>
      </c>
      <c r="AD11" s="53">
        <f>VLOOKUP(B11,'Miscellaneous stores retailers'!$A:$D,4,)</f>
        <v/>
      </c>
      <c r="AE11" s="52">
        <f>VLOOKUP(B11,'Sporting Goods'!$A:$D,3,)</f>
        <v/>
      </c>
      <c r="AF11" s="53">
        <f>VLOOKUP(B11,'Sporting Goods'!$A:$D,4,)</f>
        <v/>
      </c>
    </row>
    <row r="12">
      <c r="B12" s="56" t="n">
        <v>43191</v>
      </c>
      <c r="C12" s="52">
        <f>VLOOKUP(B12,'Retail Sales'!A:D,3,)</f>
        <v/>
      </c>
      <c r="D12" s="53">
        <f>VLOOKUP(B12,'Retail Sales'!A:D,4,)</f>
        <v/>
      </c>
      <c r="E12" s="52">
        <f>VLOOKUP(B12,'Retail Sales ex Auto'!$A:$D,3,)</f>
        <v/>
      </c>
      <c r="F12" s="53">
        <f>VLOOKUP(B12,'Retail Sales ex Auto'!$A:$D,4,)</f>
        <v/>
      </c>
      <c r="G12" s="52">
        <f>VLOOKUP(B12,'Retail Sales ex Auto and Gas'!$A:$D,3,)</f>
        <v/>
      </c>
      <c r="H12" s="53">
        <f>VLOOKUP(B12,'Retail Sales ex Auto and Gas'!$A:$D,4,)</f>
        <v/>
      </c>
      <c r="I12" s="52">
        <f>VLOOKUP(B12,Motor!$A:$D,3,)</f>
        <v/>
      </c>
      <c r="J12" s="53">
        <f>VLOOKUP(B12,Motor!$A:$D,4,)</f>
        <v/>
      </c>
      <c r="K12" s="52">
        <f>VLOOKUP(B12,'Non Store Retail'!$A:$D,3,)</f>
        <v/>
      </c>
      <c r="L12" s="53">
        <f>VLOOKUP(B12,'Non Store Retail'!$A:$D,4,)</f>
        <v/>
      </c>
      <c r="M12" s="52">
        <f>VLOOKUP(B12,'Food and Beverage'!$A:$D,3,)</f>
        <v/>
      </c>
      <c r="N12" s="52">
        <f>VLOOKUP(B12,'Food and Beverage'!$A:$D,4,)</f>
        <v/>
      </c>
      <c r="O12" s="52">
        <f>VLOOKUP(B12,'Food Services'!$A:$D,3,)</f>
        <v/>
      </c>
      <c r="P12" s="53">
        <f>VLOOKUP(B12,'Food Services'!$A:$D,4,)</f>
        <v/>
      </c>
      <c r="Q12" s="52">
        <f>VLOOKUP(B12,'General Merchandising'!$A:$D,3,)</f>
        <v/>
      </c>
      <c r="R12" s="53">
        <f>VLOOKUP(B12,'General Merchandising'!$A:$D,4,)</f>
        <v/>
      </c>
      <c r="S12" s="52">
        <f>VLOOKUP(B12,'Gas Station'!$A:$D,3,)</f>
        <v/>
      </c>
      <c r="T12" s="53">
        <f>VLOOKUP(B12,'Gas Station'!$A:$D,4,)</f>
        <v/>
      </c>
      <c r="U12" s="52">
        <f>VLOOKUP(B12,Housing!$A:$D,3,)</f>
        <v/>
      </c>
      <c r="V12" s="53">
        <f>VLOOKUP(B12,Housing!$A:$D,4,)</f>
        <v/>
      </c>
      <c r="W12" s="52">
        <f>VLOOKUP(B12,Health!$A:$D,3,)</f>
        <v/>
      </c>
      <c r="X12" s="53">
        <f>VLOOKUP(B12,Health!$A:$D,4,)</f>
        <v/>
      </c>
      <c r="Y12" s="52">
        <f>VLOOKUP(B12,'Clothing and clothing access'!$A:$D,3,)</f>
        <v/>
      </c>
      <c r="Z12" s="53">
        <f>VLOOKUP(B12,'Clothing and clothing access'!$A:$D,4,)</f>
        <v/>
      </c>
      <c r="AA12" s="52">
        <f>VLOOKUP(B12,'Furniture Home'!$A:$D,3,)</f>
        <v/>
      </c>
      <c r="AB12" s="53">
        <f>VLOOKUP(B12,'Furniture Home'!$A:$D,4,)</f>
        <v/>
      </c>
      <c r="AC12" s="52">
        <f>VLOOKUP(B12,'Miscellaneous stores retailers'!$A:$D,3,)</f>
        <v/>
      </c>
      <c r="AD12" s="53">
        <f>VLOOKUP(B12,'Miscellaneous stores retailers'!$A:$D,4,)</f>
        <v/>
      </c>
      <c r="AE12" s="52">
        <f>VLOOKUP(B12,'Sporting Goods'!$A:$D,3,)</f>
        <v/>
      </c>
      <c r="AF12" s="53">
        <f>VLOOKUP(B12,'Sporting Goods'!$A:$D,4,)</f>
        <v/>
      </c>
    </row>
    <row r="13">
      <c r="B13" s="56" t="n">
        <v>43221</v>
      </c>
      <c r="C13" s="52">
        <f>VLOOKUP(B13,'Retail Sales'!A:D,3,)</f>
        <v/>
      </c>
      <c r="D13" s="53">
        <f>VLOOKUP(B13,'Retail Sales'!A:D,4,)</f>
        <v/>
      </c>
      <c r="E13" s="52">
        <f>VLOOKUP(B13,'Retail Sales ex Auto'!$A:$D,3,)</f>
        <v/>
      </c>
      <c r="F13" s="53">
        <f>VLOOKUP(B13,'Retail Sales ex Auto'!$A:$D,4,)</f>
        <v/>
      </c>
      <c r="G13" s="52">
        <f>VLOOKUP(B13,'Retail Sales ex Auto and Gas'!$A:$D,3,)</f>
        <v/>
      </c>
      <c r="H13" s="53">
        <f>VLOOKUP(B13,'Retail Sales ex Auto and Gas'!$A:$D,4,)</f>
        <v/>
      </c>
      <c r="I13" s="52">
        <f>VLOOKUP(B13,Motor!$A:$D,3,)</f>
        <v/>
      </c>
      <c r="J13" s="53">
        <f>VLOOKUP(B13,Motor!$A:$D,4,)</f>
        <v/>
      </c>
      <c r="K13" s="52">
        <f>VLOOKUP(B13,'Non Store Retail'!$A:$D,3,)</f>
        <v/>
      </c>
      <c r="L13" s="53">
        <f>VLOOKUP(B13,'Non Store Retail'!$A:$D,4,)</f>
        <v/>
      </c>
      <c r="M13" s="52">
        <f>VLOOKUP(B13,'Food and Beverage'!$A:$D,3,)</f>
        <v/>
      </c>
      <c r="N13" s="52">
        <f>VLOOKUP(B13,'Food and Beverage'!$A:$D,4,)</f>
        <v/>
      </c>
      <c r="O13" s="52">
        <f>VLOOKUP(B13,'Food Services'!$A:$D,3,)</f>
        <v/>
      </c>
      <c r="P13" s="53">
        <f>VLOOKUP(B13,'Food Services'!$A:$D,4,)</f>
        <v/>
      </c>
      <c r="Q13" s="52">
        <f>VLOOKUP(B13,'General Merchandising'!$A:$D,3,)</f>
        <v/>
      </c>
      <c r="R13" s="53">
        <f>VLOOKUP(B13,'General Merchandising'!$A:$D,4,)</f>
        <v/>
      </c>
      <c r="S13" s="52">
        <f>VLOOKUP(B13,'Gas Station'!$A:$D,3,)</f>
        <v/>
      </c>
      <c r="T13" s="53">
        <f>VLOOKUP(B13,'Gas Station'!$A:$D,4,)</f>
        <v/>
      </c>
      <c r="U13" s="52">
        <f>VLOOKUP(B13,Housing!$A:$D,3,)</f>
        <v/>
      </c>
      <c r="V13" s="53">
        <f>VLOOKUP(B13,Housing!$A:$D,4,)</f>
        <v/>
      </c>
      <c r="W13" s="52">
        <f>VLOOKUP(B13,Health!$A:$D,3,)</f>
        <v/>
      </c>
      <c r="X13" s="53">
        <f>VLOOKUP(B13,Health!$A:$D,4,)</f>
        <v/>
      </c>
      <c r="Y13" s="52">
        <f>VLOOKUP(B13,'Clothing and clothing access'!$A:$D,3,)</f>
        <v/>
      </c>
      <c r="Z13" s="53">
        <f>VLOOKUP(B13,'Clothing and clothing access'!$A:$D,4,)</f>
        <v/>
      </c>
      <c r="AA13" s="52">
        <f>VLOOKUP(B13,'Furniture Home'!$A:$D,3,)</f>
        <v/>
      </c>
      <c r="AB13" s="53">
        <f>VLOOKUP(B13,'Furniture Home'!$A:$D,4,)</f>
        <v/>
      </c>
      <c r="AC13" s="52">
        <f>VLOOKUP(B13,'Miscellaneous stores retailers'!$A:$D,3,)</f>
        <v/>
      </c>
      <c r="AD13" s="53">
        <f>VLOOKUP(B13,'Miscellaneous stores retailers'!$A:$D,4,)</f>
        <v/>
      </c>
      <c r="AE13" s="52">
        <f>VLOOKUP(B13,'Sporting Goods'!$A:$D,3,)</f>
        <v/>
      </c>
      <c r="AF13" s="53">
        <f>VLOOKUP(B13,'Sporting Goods'!$A:$D,4,)</f>
        <v/>
      </c>
    </row>
    <row r="14">
      <c r="B14" s="56" t="n">
        <v>43252</v>
      </c>
      <c r="C14" s="52">
        <f>VLOOKUP(B14,'Retail Sales'!A:D,3,)</f>
        <v/>
      </c>
      <c r="D14" s="53">
        <f>VLOOKUP(B14,'Retail Sales'!A:D,4,)</f>
        <v/>
      </c>
      <c r="E14" s="52">
        <f>VLOOKUP(B14,'Retail Sales ex Auto'!$A:$D,3,)</f>
        <v/>
      </c>
      <c r="F14" s="53">
        <f>VLOOKUP(B14,'Retail Sales ex Auto'!$A:$D,4,)</f>
        <v/>
      </c>
      <c r="G14" s="52">
        <f>VLOOKUP(B14,'Retail Sales ex Auto and Gas'!$A:$D,3,)</f>
        <v/>
      </c>
      <c r="H14" s="53">
        <f>VLOOKUP(B14,'Retail Sales ex Auto and Gas'!$A:$D,4,)</f>
        <v/>
      </c>
      <c r="I14" s="52">
        <f>VLOOKUP(B14,Motor!$A:$D,3,)</f>
        <v/>
      </c>
      <c r="J14" s="53">
        <f>VLOOKUP(B14,Motor!$A:$D,4,)</f>
        <v/>
      </c>
      <c r="K14" s="52">
        <f>VLOOKUP(B14,'Non Store Retail'!$A:$D,3,)</f>
        <v/>
      </c>
      <c r="L14" s="53">
        <f>VLOOKUP(B14,'Non Store Retail'!$A:$D,4,)</f>
        <v/>
      </c>
      <c r="M14" s="52">
        <f>VLOOKUP(B14,'Food and Beverage'!$A:$D,3,)</f>
        <v/>
      </c>
      <c r="N14" s="52">
        <f>VLOOKUP(B14,'Food and Beverage'!$A:$D,4,)</f>
        <v/>
      </c>
      <c r="O14" s="52">
        <f>VLOOKUP(B14,'Food Services'!$A:$D,3,)</f>
        <v/>
      </c>
      <c r="P14" s="53">
        <f>VLOOKUP(B14,'Food Services'!$A:$D,4,)</f>
        <v/>
      </c>
      <c r="Q14" s="52">
        <f>VLOOKUP(B14,'General Merchandising'!$A:$D,3,)</f>
        <v/>
      </c>
      <c r="R14" s="53">
        <f>VLOOKUP(B14,'General Merchandising'!$A:$D,4,)</f>
        <v/>
      </c>
      <c r="S14" s="52">
        <f>VLOOKUP(B14,'Gas Station'!$A:$D,3,)</f>
        <v/>
      </c>
      <c r="T14" s="53">
        <f>VLOOKUP(B14,'Gas Station'!$A:$D,4,)</f>
        <v/>
      </c>
      <c r="U14" s="52">
        <f>VLOOKUP(B14,Housing!$A:$D,3,)</f>
        <v/>
      </c>
      <c r="V14" s="53">
        <f>VLOOKUP(B14,Housing!$A:$D,4,)</f>
        <v/>
      </c>
      <c r="W14" s="52">
        <f>VLOOKUP(B14,Health!$A:$D,3,)</f>
        <v/>
      </c>
      <c r="X14" s="53">
        <f>VLOOKUP(B14,Health!$A:$D,4,)</f>
        <v/>
      </c>
      <c r="Y14" s="52">
        <f>VLOOKUP(B14,'Clothing and clothing access'!$A:$D,3,)</f>
        <v/>
      </c>
      <c r="Z14" s="53">
        <f>VLOOKUP(B14,'Clothing and clothing access'!$A:$D,4,)</f>
        <v/>
      </c>
      <c r="AA14" s="52">
        <f>VLOOKUP(B14,'Furniture Home'!$A:$D,3,)</f>
        <v/>
      </c>
      <c r="AB14" s="53">
        <f>VLOOKUP(B14,'Furniture Home'!$A:$D,4,)</f>
        <v/>
      </c>
      <c r="AC14" s="52">
        <f>VLOOKUP(B14,'Miscellaneous stores retailers'!$A:$D,3,)</f>
        <v/>
      </c>
      <c r="AD14" s="53">
        <f>VLOOKUP(B14,'Miscellaneous stores retailers'!$A:$D,4,)</f>
        <v/>
      </c>
      <c r="AE14" s="52">
        <f>VLOOKUP(B14,'Sporting Goods'!$A:$D,3,)</f>
        <v/>
      </c>
      <c r="AF14" s="53">
        <f>VLOOKUP(B14,'Sporting Goods'!$A:$D,4,)</f>
        <v/>
      </c>
    </row>
    <row r="15">
      <c r="B15" s="56" t="n">
        <v>43282</v>
      </c>
      <c r="C15" s="52">
        <f>VLOOKUP(B15,'Retail Sales'!A:D,3,)</f>
        <v/>
      </c>
      <c r="D15" s="53">
        <f>VLOOKUP(B15,'Retail Sales'!A:D,4,)</f>
        <v/>
      </c>
      <c r="E15" s="52">
        <f>VLOOKUP(B15,'Retail Sales ex Auto'!$A:$D,3,)</f>
        <v/>
      </c>
      <c r="F15" s="53">
        <f>VLOOKUP(B15,'Retail Sales ex Auto'!$A:$D,4,)</f>
        <v/>
      </c>
      <c r="G15" s="52">
        <f>VLOOKUP(B15,'Retail Sales ex Auto and Gas'!$A:$D,3,)</f>
        <v/>
      </c>
      <c r="H15" s="53">
        <f>VLOOKUP(B15,'Retail Sales ex Auto and Gas'!$A:$D,4,)</f>
        <v/>
      </c>
      <c r="I15" s="52">
        <f>VLOOKUP(B15,Motor!$A:$D,3,)</f>
        <v/>
      </c>
      <c r="J15" s="53">
        <f>VLOOKUP(B15,Motor!$A:$D,4,)</f>
        <v/>
      </c>
      <c r="K15" s="52">
        <f>VLOOKUP(B15,'Non Store Retail'!$A:$D,3,)</f>
        <v/>
      </c>
      <c r="L15" s="53">
        <f>VLOOKUP(B15,'Non Store Retail'!$A:$D,4,)</f>
        <v/>
      </c>
      <c r="M15" s="52">
        <f>VLOOKUP(B15,'Food and Beverage'!$A:$D,3,)</f>
        <v/>
      </c>
      <c r="N15" s="52">
        <f>VLOOKUP(B15,'Food and Beverage'!$A:$D,4,)</f>
        <v/>
      </c>
      <c r="O15" s="52">
        <f>VLOOKUP(B15,'Food Services'!$A:$D,3,)</f>
        <v/>
      </c>
      <c r="P15" s="53">
        <f>VLOOKUP(B15,'Food Services'!$A:$D,4,)</f>
        <v/>
      </c>
      <c r="Q15" s="52">
        <f>VLOOKUP(B15,'General Merchandising'!$A:$D,3,)</f>
        <v/>
      </c>
      <c r="R15" s="53">
        <f>VLOOKUP(B15,'General Merchandising'!$A:$D,4,)</f>
        <v/>
      </c>
      <c r="S15" s="52">
        <f>VLOOKUP(B15,'Gas Station'!$A:$D,3,)</f>
        <v/>
      </c>
      <c r="T15" s="53">
        <f>VLOOKUP(B15,'Gas Station'!$A:$D,4,)</f>
        <v/>
      </c>
      <c r="U15" s="52">
        <f>VLOOKUP(B15,Housing!$A:$D,3,)</f>
        <v/>
      </c>
      <c r="V15" s="53">
        <f>VLOOKUP(B15,Housing!$A:$D,4,)</f>
        <v/>
      </c>
      <c r="W15" s="52">
        <f>VLOOKUP(B15,Health!$A:$D,3,)</f>
        <v/>
      </c>
      <c r="X15" s="53">
        <f>VLOOKUP(B15,Health!$A:$D,4,)</f>
        <v/>
      </c>
      <c r="Y15" s="52">
        <f>VLOOKUP(B15,'Clothing and clothing access'!$A:$D,3,)</f>
        <v/>
      </c>
      <c r="Z15" s="53">
        <f>VLOOKUP(B15,'Clothing and clothing access'!$A:$D,4,)</f>
        <v/>
      </c>
      <c r="AA15" s="52">
        <f>VLOOKUP(B15,'Furniture Home'!$A:$D,3,)</f>
        <v/>
      </c>
      <c r="AB15" s="53">
        <f>VLOOKUP(B15,'Furniture Home'!$A:$D,4,)</f>
        <v/>
      </c>
      <c r="AC15" s="52">
        <f>VLOOKUP(B15,'Miscellaneous stores retailers'!$A:$D,3,)</f>
        <v/>
      </c>
      <c r="AD15" s="53">
        <f>VLOOKUP(B15,'Miscellaneous stores retailers'!$A:$D,4,)</f>
        <v/>
      </c>
      <c r="AE15" s="52">
        <f>VLOOKUP(B15,'Sporting Goods'!$A:$D,3,)</f>
        <v/>
      </c>
      <c r="AF15" s="53">
        <f>VLOOKUP(B15,'Sporting Goods'!$A:$D,4,)</f>
        <v/>
      </c>
    </row>
    <row r="16">
      <c r="B16" s="56" t="n">
        <v>43313</v>
      </c>
      <c r="C16" s="52">
        <f>VLOOKUP(B16,'Retail Sales'!A:D,3,)</f>
        <v/>
      </c>
      <c r="D16" s="53">
        <f>VLOOKUP(B16,'Retail Sales'!A:D,4,)</f>
        <v/>
      </c>
      <c r="E16" s="52">
        <f>VLOOKUP(B16,'Retail Sales ex Auto'!$A:$D,3,)</f>
        <v/>
      </c>
      <c r="F16" s="53">
        <f>VLOOKUP(B16,'Retail Sales ex Auto'!$A:$D,4,)</f>
        <v/>
      </c>
      <c r="G16" s="52">
        <f>VLOOKUP(B16,'Retail Sales ex Auto and Gas'!$A:$D,3,)</f>
        <v/>
      </c>
      <c r="H16" s="53">
        <f>VLOOKUP(B16,'Retail Sales ex Auto and Gas'!$A:$D,4,)</f>
        <v/>
      </c>
      <c r="I16" s="52">
        <f>VLOOKUP(B16,Motor!$A:$D,3,)</f>
        <v/>
      </c>
      <c r="J16" s="53">
        <f>VLOOKUP(B16,Motor!$A:$D,4,)</f>
        <v/>
      </c>
      <c r="K16" s="52">
        <f>VLOOKUP(B16,'Non Store Retail'!$A:$D,3,)</f>
        <v/>
      </c>
      <c r="L16" s="53">
        <f>VLOOKUP(B16,'Non Store Retail'!$A:$D,4,)</f>
        <v/>
      </c>
      <c r="M16" s="52">
        <f>VLOOKUP(B16,'Food and Beverage'!$A:$D,3,)</f>
        <v/>
      </c>
      <c r="N16" s="52">
        <f>VLOOKUP(B16,'Food and Beverage'!$A:$D,4,)</f>
        <v/>
      </c>
      <c r="O16" s="52">
        <f>VLOOKUP(B16,'Food Services'!$A:$D,3,)</f>
        <v/>
      </c>
      <c r="P16" s="53">
        <f>VLOOKUP(B16,'Food Services'!$A:$D,4,)</f>
        <v/>
      </c>
      <c r="Q16" s="52">
        <f>VLOOKUP(B16,'General Merchandising'!$A:$D,3,)</f>
        <v/>
      </c>
      <c r="R16" s="53">
        <f>VLOOKUP(B16,'General Merchandising'!$A:$D,4,)</f>
        <v/>
      </c>
      <c r="S16" s="52">
        <f>VLOOKUP(B16,'Gas Station'!$A:$D,3,)</f>
        <v/>
      </c>
      <c r="T16" s="53">
        <f>VLOOKUP(B16,'Gas Station'!$A:$D,4,)</f>
        <v/>
      </c>
      <c r="U16" s="52">
        <f>VLOOKUP(B16,Housing!$A:$D,3,)</f>
        <v/>
      </c>
      <c r="V16" s="53">
        <f>VLOOKUP(B16,Housing!$A:$D,4,)</f>
        <v/>
      </c>
      <c r="W16" s="52">
        <f>VLOOKUP(B16,Health!$A:$D,3,)</f>
        <v/>
      </c>
      <c r="X16" s="53">
        <f>VLOOKUP(B16,Health!$A:$D,4,)</f>
        <v/>
      </c>
      <c r="Y16" s="52">
        <f>VLOOKUP(B16,'Clothing and clothing access'!$A:$D,3,)</f>
        <v/>
      </c>
      <c r="Z16" s="53">
        <f>VLOOKUP(B16,'Clothing and clothing access'!$A:$D,4,)</f>
        <v/>
      </c>
      <c r="AA16" s="52">
        <f>VLOOKUP(B16,'Furniture Home'!$A:$D,3,)</f>
        <v/>
      </c>
      <c r="AB16" s="53">
        <f>VLOOKUP(B16,'Furniture Home'!$A:$D,4,)</f>
        <v/>
      </c>
      <c r="AC16" s="52">
        <f>VLOOKUP(B16,'Miscellaneous stores retailers'!$A:$D,3,)</f>
        <v/>
      </c>
      <c r="AD16" s="53">
        <f>VLOOKUP(B16,'Miscellaneous stores retailers'!$A:$D,4,)</f>
        <v/>
      </c>
      <c r="AE16" s="52">
        <f>VLOOKUP(B16,'Sporting Goods'!$A:$D,3,)</f>
        <v/>
      </c>
      <c r="AF16" s="53">
        <f>VLOOKUP(B16,'Sporting Goods'!$A:$D,4,)</f>
        <v/>
      </c>
    </row>
    <row r="17">
      <c r="B17" s="56" t="n">
        <v>43344</v>
      </c>
      <c r="C17" s="52">
        <f>VLOOKUP(B17,'Retail Sales'!A:D,3,)</f>
        <v/>
      </c>
      <c r="D17" s="53">
        <f>VLOOKUP(B17,'Retail Sales'!A:D,4,)</f>
        <v/>
      </c>
      <c r="E17" s="52">
        <f>VLOOKUP(B17,'Retail Sales ex Auto'!$A:$D,3,)</f>
        <v/>
      </c>
      <c r="F17" s="53">
        <f>VLOOKUP(B17,'Retail Sales ex Auto'!$A:$D,4,)</f>
        <v/>
      </c>
      <c r="G17" s="52">
        <f>VLOOKUP(B17,'Retail Sales ex Auto and Gas'!$A:$D,3,)</f>
        <v/>
      </c>
      <c r="H17" s="53">
        <f>VLOOKUP(B17,'Retail Sales ex Auto and Gas'!$A:$D,4,)</f>
        <v/>
      </c>
      <c r="I17" s="52">
        <f>VLOOKUP(B17,Motor!$A:$D,3,)</f>
        <v/>
      </c>
      <c r="J17" s="53">
        <f>VLOOKUP(B17,Motor!$A:$D,4,)</f>
        <v/>
      </c>
      <c r="K17" s="52">
        <f>VLOOKUP(B17,'Non Store Retail'!$A:$D,3,)</f>
        <v/>
      </c>
      <c r="L17" s="53">
        <f>VLOOKUP(B17,'Non Store Retail'!$A:$D,4,)</f>
        <v/>
      </c>
      <c r="M17" s="52">
        <f>VLOOKUP(B17,'Food and Beverage'!$A:$D,3,)</f>
        <v/>
      </c>
      <c r="N17" s="52">
        <f>VLOOKUP(B17,'Food and Beverage'!$A:$D,4,)</f>
        <v/>
      </c>
      <c r="O17" s="52">
        <f>VLOOKUP(B17,'Food Services'!$A:$D,3,)</f>
        <v/>
      </c>
      <c r="P17" s="53">
        <f>VLOOKUP(B17,'Food Services'!$A:$D,4,)</f>
        <v/>
      </c>
      <c r="Q17" s="52">
        <f>VLOOKUP(B17,'General Merchandising'!$A:$D,3,)</f>
        <v/>
      </c>
      <c r="R17" s="53">
        <f>VLOOKUP(B17,'General Merchandising'!$A:$D,4,)</f>
        <v/>
      </c>
      <c r="S17" s="52">
        <f>VLOOKUP(B17,'Gas Station'!$A:$D,3,)</f>
        <v/>
      </c>
      <c r="T17" s="53">
        <f>VLOOKUP(B17,'Gas Station'!$A:$D,4,)</f>
        <v/>
      </c>
      <c r="U17" s="52">
        <f>VLOOKUP(B17,Housing!$A:$D,3,)</f>
        <v/>
      </c>
      <c r="V17" s="53">
        <f>VLOOKUP(B17,Housing!$A:$D,4,)</f>
        <v/>
      </c>
      <c r="W17" s="52">
        <f>VLOOKUP(B17,Health!$A:$D,3,)</f>
        <v/>
      </c>
      <c r="X17" s="53">
        <f>VLOOKUP(B17,Health!$A:$D,4,)</f>
        <v/>
      </c>
      <c r="Y17" s="52">
        <f>VLOOKUP(B17,'Clothing and clothing access'!$A:$D,3,)</f>
        <v/>
      </c>
      <c r="Z17" s="53">
        <f>VLOOKUP(B17,'Clothing and clothing access'!$A:$D,4,)</f>
        <v/>
      </c>
      <c r="AA17" s="52">
        <f>VLOOKUP(B17,'Furniture Home'!$A:$D,3,)</f>
        <v/>
      </c>
      <c r="AB17" s="53">
        <f>VLOOKUP(B17,'Furniture Home'!$A:$D,4,)</f>
        <v/>
      </c>
      <c r="AC17" s="52">
        <f>VLOOKUP(B17,'Miscellaneous stores retailers'!$A:$D,3,)</f>
        <v/>
      </c>
      <c r="AD17" s="53">
        <f>VLOOKUP(B17,'Miscellaneous stores retailers'!$A:$D,4,)</f>
        <v/>
      </c>
      <c r="AE17" s="52">
        <f>VLOOKUP(B17,'Sporting Goods'!$A:$D,3,)</f>
        <v/>
      </c>
      <c r="AF17" s="53">
        <f>VLOOKUP(B17,'Sporting Goods'!$A:$D,4,)</f>
        <v/>
      </c>
    </row>
    <row r="18">
      <c r="B18" s="56" t="n">
        <v>43374</v>
      </c>
      <c r="C18" s="52">
        <f>VLOOKUP(B18,'Retail Sales'!A:D,3,)</f>
        <v/>
      </c>
      <c r="D18" s="53">
        <f>VLOOKUP(B18,'Retail Sales'!A:D,4,)</f>
        <v/>
      </c>
      <c r="E18" s="52">
        <f>VLOOKUP(B18,'Retail Sales ex Auto'!$A:$D,3,)</f>
        <v/>
      </c>
      <c r="F18" s="53">
        <f>VLOOKUP(B18,'Retail Sales ex Auto'!$A:$D,4,)</f>
        <v/>
      </c>
      <c r="G18" s="52">
        <f>VLOOKUP(B18,'Retail Sales ex Auto and Gas'!$A:$D,3,)</f>
        <v/>
      </c>
      <c r="H18" s="53">
        <f>VLOOKUP(B18,'Retail Sales ex Auto and Gas'!$A:$D,4,)</f>
        <v/>
      </c>
      <c r="I18" s="52">
        <f>VLOOKUP(B18,Motor!$A:$D,3,)</f>
        <v/>
      </c>
      <c r="J18" s="53">
        <f>VLOOKUP(B18,Motor!$A:$D,4,)</f>
        <v/>
      </c>
      <c r="K18" s="52">
        <f>VLOOKUP(B18,'Non Store Retail'!$A:$D,3,)</f>
        <v/>
      </c>
      <c r="L18" s="53">
        <f>VLOOKUP(B18,'Non Store Retail'!$A:$D,4,)</f>
        <v/>
      </c>
      <c r="M18" s="52">
        <f>VLOOKUP(B18,'Food and Beverage'!$A:$D,3,)</f>
        <v/>
      </c>
      <c r="N18" s="52">
        <f>VLOOKUP(B18,'Food and Beverage'!$A:$D,4,)</f>
        <v/>
      </c>
      <c r="O18" s="52">
        <f>VLOOKUP(B18,'Food Services'!$A:$D,3,)</f>
        <v/>
      </c>
      <c r="P18" s="53">
        <f>VLOOKUP(B18,'Food Services'!$A:$D,4,)</f>
        <v/>
      </c>
      <c r="Q18" s="52">
        <f>VLOOKUP(B18,'General Merchandising'!$A:$D,3,)</f>
        <v/>
      </c>
      <c r="R18" s="53">
        <f>VLOOKUP(B18,'General Merchandising'!$A:$D,4,)</f>
        <v/>
      </c>
      <c r="S18" s="52">
        <f>VLOOKUP(B18,'Gas Station'!$A:$D,3,)</f>
        <v/>
      </c>
      <c r="T18" s="53">
        <f>VLOOKUP(B18,'Gas Station'!$A:$D,4,)</f>
        <v/>
      </c>
      <c r="U18" s="52">
        <f>VLOOKUP(B18,Housing!$A:$D,3,)</f>
        <v/>
      </c>
      <c r="V18" s="53">
        <f>VLOOKUP(B18,Housing!$A:$D,4,)</f>
        <v/>
      </c>
      <c r="W18" s="52">
        <f>VLOOKUP(B18,Health!$A:$D,3,)</f>
        <v/>
      </c>
      <c r="X18" s="53">
        <f>VLOOKUP(B18,Health!$A:$D,4,)</f>
        <v/>
      </c>
      <c r="Y18" s="52">
        <f>VLOOKUP(B18,'Clothing and clothing access'!$A:$D,3,)</f>
        <v/>
      </c>
      <c r="Z18" s="53">
        <f>VLOOKUP(B18,'Clothing and clothing access'!$A:$D,4,)</f>
        <v/>
      </c>
      <c r="AA18" s="52">
        <f>VLOOKUP(B18,'Furniture Home'!$A:$D,3,)</f>
        <v/>
      </c>
      <c r="AB18" s="53">
        <f>VLOOKUP(B18,'Furniture Home'!$A:$D,4,)</f>
        <v/>
      </c>
      <c r="AC18" s="52">
        <f>VLOOKUP(B18,'Miscellaneous stores retailers'!$A:$D,3,)</f>
        <v/>
      </c>
      <c r="AD18" s="53">
        <f>VLOOKUP(B18,'Miscellaneous stores retailers'!$A:$D,4,)</f>
        <v/>
      </c>
      <c r="AE18" s="52">
        <f>VLOOKUP(B18,'Sporting Goods'!$A:$D,3,)</f>
        <v/>
      </c>
      <c r="AF18" s="53">
        <f>VLOOKUP(B18,'Sporting Goods'!$A:$D,4,)</f>
        <v/>
      </c>
    </row>
    <row r="19">
      <c r="B19" s="56" t="n">
        <v>43405</v>
      </c>
      <c r="C19" s="52">
        <f>VLOOKUP(B19,'Retail Sales'!A:D,3,)</f>
        <v/>
      </c>
      <c r="D19" s="53">
        <f>VLOOKUP(B19,'Retail Sales'!A:D,4,)</f>
        <v/>
      </c>
      <c r="E19" s="52">
        <f>VLOOKUP(B19,'Retail Sales ex Auto'!$A:$D,3,)</f>
        <v/>
      </c>
      <c r="F19" s="53">
        <f>VLOOKUP(B19,'Retail Sales ex Auto'!$A:$D,4,)</f>
        <v/>
      </c>
      <c r="G19" s="52">
        <f>VLOOKUP(B19,'Retail Sales ex Auto and Gas'!$A:$D,3,)</f>
        <v/>
      </c>
      <c r="H19" s="53">
        <f>VLOOKUP(B19,'Retail Sales ex Auto and Gas'!$A:$D,4,)</f>
        <v/>
      </c>
      <c r="I19" s="52">
        <f>VLOOKUP(B19,Motor!$A:$D,3,)</f>
        <v/>
      </c>
      <c r="J19" s="53">
        <f>VLOOKUP(B19,Motor!$A:$D,4,)</f>
        <v/>
      </c>
      <c r="K19" s="52">
        <f>VLOOKUP(B19,'Non Store Retail'!$A:$D,3,)</f>
        <v/>
      </c>
      <c r="L19" s="53">
        <f>VLOOKUP(B19,'Non Store Retail'!$A:$D,4,)</f>
        <v/>
      </c>
      <c r="M19" s="52">
        <f>VLOOKUP(B19,'Food and Beverage'!$A:$D,3,)</f>
        <v/>
      </c>
      <c r="N19" s="52">
        <f>VLOOKUP(B19,'Food and Beverage'!$A:$D,4,)</f>
        <v/>
      </c>
      <c r="O19" s="52">
        <f>VLOOKUP(B19,'Food Services'!$A:$D,3,)</f>
        <v/>
      </c>
      <c r="P19" s="53">
        <f>VLOOKUP(B19,'Food Services'!$A:$D,4,)</f>
        <v/>
      </c>
      <c r="Q19" s="52">
        <f>VLOOKUP(B19,'General Merchandising'!$A:$D,3,)</f>
        <v/>
      </c>
      <c r="R19" s="53">
        <f>VLOOKUP(B19,'General Merchandising'!$A:$D,4,)</f>
        <v/>
      </c>
      <c r="S19" s="52">
        <f>VLOOKUP(B19,'Gas Station'!$A:$D,3,)</f>
        <v/>
      </c>
      <c r="T19" s="53">
        <f>VLOOKUP(B19,'Gas Station'!$A:$D,4,)</f>
        <v/>
      </c>
      <c r="U19" s="52">
        <f>VLOOKUP(B19,Housing!$A:$D,3,)</f>
        <v/>
      </c>
      <c r="V19" s="53">
        <f>VLOOKUP(B19,Housing!$A:$D,4,)</f>
        <v/>
      </c>
      <c r="W19" s="52">
        <f>VLOOKUP(B19,Health!$A:$D,3,)</f>
        <v/>
      </c>
      <c r="X19" s="53">
        <f>VLOOKUP(B19,Health!$A:$D,4,)</f>
        <v/>
      </c>
      <c r="Y19" s="52">
        <f>VLOOKUP(B19,'Clothing and clothing access'!$A:$D,3,)</f>
        <v/>
      </c>
      <c r="Z19" s="53">
        <f>VLOOKUP(B19,'Clothing and clothing access'!$A:$D,4,)</f>
        <v/>
      </c>
      <c r="AA19" s="52">
        <f>VLOOKUP(B19,'Furniture Home'!$A:$D,3,)</f>
        <v/>
      </c>
      <c r="AB19" s="53">
        <f>VLOOKUP(B19,'Furniture Home'!$A:$D,4,)</f>
        <v/>
      </c>
      <c r="AC19" s="52">
        <f>VLOOKUP(B19,'Miscellaneous stores retailers'!$A:$D,3,)</f>
        <v/>
      </c>
      <c r="AD19" s="53">
        <f>VLOOKUP(B19,'Miscellaneous stores retailers'!$A:$D,4,)</f>
        <v/>
      </c>
      <c r="AE19" s="52">
        <f>VLOOKUP(B19,'Sporting Goods'!$A:$D,3,)</f>
        <v/>
      </c>
      <c r="AF19" s="53">
        <f>VLOOKUP(B19,'Sporting Goods'!$A:$D,4,)</f>
        <v/>
      </c>
    </row>
    <row r="20">
      <c r="B20" s="56" t="n">
        <v>43435</v>
      </c>
      <c r="C20" s="52">
        <f>VLOOKUP(B20,'Retail Sales'!A:D,3,)</f>
        <v/>
      </c>
      <c r="D20" s="53">
        <f>VLOOKUP(B20,'Retail Sales'!A:D,4,)</f>
        <v/>
      </c>
      <c r="E20" s="52">
        <f>VLOOKUP(B20,'Retail Sales ex Auto'!$A:$D,3,)</f>
        <v/>
      </c>
      <c r="F20" s="53">
        <f>VLOOKUP(B20,'Retail Sales ex Auto'!$A:$D,4,)</f>
        <v/>
      </c>
      <c r="G20" s="52">
        <f>VLOOKUP(B20,'Retail Sales ex Auto and Gas'!$A:$D,3,)</f>
        <v/>
      </c>
      <c r="H20" s="53">
        <f>VLOOKUP(B20,'Retail Sales ex Auto and Gas'!$A:$D,4,)</f>
        <v/>
      </c>
      <c r="I20" s="52">
        <f>VLOOKUP(B20,Motor!$A:$D,3,)</f>
        <v/>
      </c>
      <c r="J20" s="53">
        <f>VLOOKUP(B20,Motor!$A:$D,4,)</f>
        <v/>
      </c>
      <c r="K20" s="52">
        <f>VLOOKUP(B20,'Non Store Retail'!$A:$D,3,)</f>
        <v/>
      </c>
      <c r="L20" s="53">
        <f>VLOOKUP(B20,'Non Store Retail'!$A:$D,4,)</f>
        <v/>
      </c>
      <c r="M20" s="52">
        <f>VLOOKUP(B20,'Food and Beverage'!$A:$D,3,)</f>
        <v/>
      </c>
      <c r="N20" s="52">
        <f>VLOOKUP(B20,'Food and Beverage'!$A:$D,4,)</f>
        <v/>
      </c>
      <c r="O20" s="52">
        <f>VLOOKUP(B20,'Food Services'!$A:$D,3,)</f>
        <v/>
      </c>
      <c r="P20" s="53">
        <f>VLOOKUP(B20,'Food Services'!$A:$D,4,)</f>
        <v/>
      </c>
      <c r="Q20" s="52">
        <f>VLOOKUP(B20,'General Merchandising'!$A:$D,3,)</f>
        <v/>
      </c>
      <c r="R20" s="53">
        <f>VLOOKUP(B20,'General Merchandising'!$A:$D,4,)</f>
        <v/>
      </c>
      <c r="S20" s="52">
        <f>VLOOKUP(B20,'Gas Station'!$A:$D,3,)</f>
        <v/>
      </c>
      <c r="T20" s="53">
        <f>VLOOKUP(B20,'Gas Station'!$A:$D,4,)</f>
        <v/>
      </c>
      <c r="U20" s="52">
        <f>VLOOKUP(B20,Housing!$A:$D,3,)</f>
        <v/>
      </c>
      <c r="V20" s="53">
        <f>VLOOKUP(B20,Housing!$A:$D,4,)</f>
        <v/>
      </c>
      <c r="W20" s="52">
        <f>VLOOKUP(B20,Health!$A:$D,3,)</f>
        <v/>
      </c>
      <c r="X20" s="53">
        <f>VLOOKUP(B20,Health!$A:$D,4,)</f>
        <v/>
      </c>
      <c r="Y20" s="52">
        <f>VLOOKUP(B20,'Clothing and clothing access'!$A:$D,3,)</f>
        <v/>
      </c>
      <c r="Z20" s="53">
        <f>VLOOKUP(B20,'Clothing and clothing access'!$A:$D,4,)</f>
        <v/>
      </c>
      <c r="AA20" s="52">
        <f>VLOOKUP(B20,'Furniture Home'!$A:$D,3,)</f>
        <v/>
      </c>
      <c r="AB20" s="53">
        <f>VLOOKUP(B20,'Furniture Home'!$A:$D,4,)</f>
        <v/>
      </c>
      <c r="AC20" s="52">
        <f>VLOOKUP(B20,'Miscellaneous stores retailers'!$A:$D,3,)</f>
        <v/>
      </c>
      <c r="AD20" s="53">
        <f>VLOOKUP(B20,'Miscellaneous stores retailers'!$A:$D,4,)</f>
        <v/>
      </c>
      <c r="AE20" s="52">
        <f>VLOOKUP(B20,'Sporting Goods'!$A:$D,3,)</f>
        <v/>
      </c>
      <c r="AF20" s="53">
        <f>VLOOKUP(B20,'Sporting Goods'!$A:$D,4,)</f>
        <v/>
      </c>
    </row>
    <row r="21">
      <c r="B21" s="56" t="n">
        <v>43466</v>
      </c>
      <c r="C21" s="52">
        <f>VLOOKUP(B21,'Retail Sales'!A:D,3,)</f>
        <v/>
      </c>
      <c r="D21" s="53">
        <f>VLOOKUP(B21,'Retail Sales'!A:D,4,)</f>
        <v/>
      </c>
      <c r="E21" s="52">
        <f>VLOOKUP(B21,'Retail Sales ex Auto'!$A:$D,3,)</f>
        <v/>
      </c>
      <c r="F21" s="53">
        <f>VLOOKUP(B21,'Retail Sales ex Auto'!$A:$D,4,)</f>
        <v/>
      </c>
      <c r="G21" s="52">
        <f>VLOOKUP(B21,'Retail Sales ex Auto and Gas'!$A:$D,3,)</f>
        <v/>
      </c>
      <c r="H21" s="53">
        <f>VLOOKUP(B21,'Retail Sales ex Auto and Gas'!$A:$D,4,)</f>
        <v/>
      </c>
      <c r="I21" s="52">
        <f>VLOOKUP(B21,Motor!$A:$D,3,)</f>
        <v/>
      </c>
      <c r="J21" s="53">
        <f>VLOOKUP(B21,Motor!$A:$D,4,)</f>
        <v/>
      </c>
      <c r="K21" s="52">
        <f>VLOOKUP(B21,'Non Store Retail'!$A:$D,3,)</f>
        <v/>
      </c>
      <c r="L21" s="53">
        <f>VLOOKUP(B21,'Non Store Retail'!$A:$D,4,)</f>
        <v/>
      </c>
      <c r="M21" s="52">
        <f>VLOOKUP(B21,'Food and Beverage'!$A:$D,3,)</f>
        <v/>
      </c>
      <c r="N21" s="52">
        <f>VLOOKUP(B21,'Food and Beverage'!$A:$D,4,)</f>
        <v/>
      </c>
      <c r="O21" s="52">
        <f>VLOOKUP(B21,'Food Services'!$A:$D,3,)</f>
        <v/>
      </c>
      <c r="P21" s="53">
        <f>VLOOKUP(B21,'Food Services'!$A:$D,4,)</f>
        <v/>
      </c>
      <c r="Q21" s="52">
        <f>VLOOKUP(B21,'General Merchandising'!$A:$D,3,)</f>
        <v/>
      </c>
      <c r="R21" s="53">
        <f>VLOOKUP(B21,'General Merchandising'!$A:$D,4,)</f>
        <v/>
      </c>
      <c r="S21" s="52">
        <f>VLOOKUP(B21,'Gas Station'!$A:$D,3,)</f>
        <v/>
      </c>
      <c r="T21" s="53">
        <f>VLOOKUP(B21,'Gas Station'!$A:$D,4,)</f>
        <v/>
      </c>
      <c r="U21" s="52">
        <f>VLOOKUP(B21,Housing!$A:$D,3,)</f>
        <v/>
      </c>
      <c r="V21" s="53">
        <f>VLOOKUP(B21,Housing!$A:$D,4,)</f>
        <v/>
      </c>
      <c r="W21" s="52">
        <f>VLOOKUP(B21,Health!$A:$D,3,)</f>
        <v/>
      </c>
      <c r="X21" s="53">
        <f>VLOOKUP(B21,Health!$A:$D,4,)</f>
        <v/>
      </c>
      <c r="Y21" s="52">
        <f>VLOOKUP(B21,'Clothing and clothing access'!$A:$D,3,)</f>
        <v/>
      </c>
      <c r="Z21" s="53">
        <f>VLOOKUP(B21,'Clothing and clothing access'!$A:$D,4,)</f>
        <v/>
      </c>
      <c r="AA21" s="52">
        <f>VLOOKUP(B21,'Furniture Home'!$A:$D,3,)</f>
        <v/>
      </c>
      <c r="AB21" s="53">
        <f>VLOOKUP(B21,'Furniture Home'!$A:$D,4,)</f>
        <v/>
      </c>
      <c r="AC21" s="52">
        <f>VLOOKUP(B21,'Miscellaneous stores retailers'!$A:$D,3,)</f>
        <v/>
      </c>
      <c r="AD21" s="53">
        <f>VLOOKUP(B21,'Miscellaneous stores retailers'!$A:$D,4,)</f>
        <v/>
      </c>
      <c r="AE21" s="52">
        <f>VLOOKUP(B21,'Sporting Goods'!$A:$D,3,)</f>
        <v/>
      </c>
      <c r="AF21" s="53">
        <f>VLOOKUP(B21,'Sporting Goods'!$A:$D,4,)</f>
        <v/>
      </c>
    </row>
    <row r="22">
      <c r="B22" s="56" t="n">
        <v>43497</v>
      </c>
      <c r="C22" s="52">
        <f>VLOOKUP(B22,'Retail Sales'!A:D,3,)</f>
        <v/>
      </c>
      <c r="D22" s="53">
        <f>VLOOKUP(B22,'Retail Sales'!A:D,4,)</f>
        <v/>
      </c>
      <c r="E22" s="52">
        <f>VLOOKUP(B22,'Retail Sales ex Auto'!$A:$D,3,)</f>
        <v/>
      </c>
      <c r="F22" s="53">
        <f>VLOOKUP(B22,'Retail Sales ex Auto'!$A:$D,4,)</f>
        <v/>
      </c>
      <c r="G22" s="52">
        <f>VLOOKUP(B22,'Retail Sales ex Auto and Gas'!$A:$D,3,)</f>
        <v/>
      </c>
      <c r="H22" s="53">
        <f>VLOOKUP(B22,'Retail Sales ex Auto and Gas'!$A:$D,4,)</f>
        <v/>
      </c>
      <c r="I22" s="52">
        <f>VLOOKUP(B22,Motor!$A:$D,3,)</f>
        <v/>
      </c>
      <c r="J22" s="53">
        <f>VLOOKUP(B22,Motor!$A:$D,4,)</f>
        <v/>
      </c>
      <c r="K22" s="52">
        <f>VLOOKUP(B22,'Non Store Retail'!$A:$D,3,)</f>
        <v/>
      </c>
      <c r="L22" s="53">
        <f>VLOOKUP(B22,'Non Store Retail'!$A:$D,4,)</f>
        <v/>
      </c>
      <c r="M22" s="52">
        <f>VLOOKUP(B22,'Food and Beverage'!$A:$D,3,)</f>
        <v/>
      </c>
      <c r="N22" s="52">
        <f>VLOOKUP(B22,'Food and Beverage'!$A:$D,4,)</f>
        <v/>
      </c>
      <c r="O22" s="52">
        <f>VLOOKUP(B22,'Food Services'!$A:$D,3,)</f>
        <v/>
      </c>
      <c r="P22" s="53">
        <f>VLOOKUP(B22,'Food Services'!$A:$D,4,)</f>
        <v/>
      </c>
      <c r="Q22" s="52">
        <f>VLOOKUP(B22,'General Merchandising'!$A:$D,3,)</f>
        <v/>
      </c>
      <c r="R22" s="53">
        <f>VLOOKUP(B22,'General Merchandising'!$A:$D,4,)</f>
        <v/>
      </c>
      <c r="S22" s="52">
        <f>VLOOKUP(B22,'Gas Station'!$A:$D,3,)</f>
        <v/>
      </c>
      <c r="T22" s="53">
        <f>VLOOKUP(B22,'Gas Station'!$A:$D,4,)</f>
        <v/>
      </c>
      <c r="U22" s="52">
        <f>VLOOKUP(B22,Housing!$A:$D,3,)</f>
        <v/>
      </c>
      <c r="V22" s="53">
        <f>VLOOKUP(B22,Housing!$A:$D,4,)</f>
        <v/>
      </c>
      <c r="W22" s="52">
        <f>VLOOKUP(B22,Health!$A:$D,3,)</f>
        <v/>
      </c>
      <c r="X22" s="53">
        <f>VLOOKUP(B22,Health!$A:$D,4,)</f>
        <v/>
      </c>
      <c r="Y22" s="52">
        <f>VLOOKUP(B22,'Clothing and clothing access'!$A:$D,3,)</f>
        <v/>
      </c>
      <c r="Z22" s="53">
        <f>VLOOKUP(B22,'Clothing and clothing access'!$A:$D,4,)</f>
        <v/>
      </c>
      <c r="AA22" s="52">
        <f>VLOOKUP(B22,'Furniture Home'!$A:$D,3,)</f>
        <v/>
      </c>
      <c r="AB22" s="53">
        <f>VLOOKUP(B22,'Furniture Home'!$A:$D,4,)</f>
        <v/>
      </c>
      <c r="AC22" s="52">
        <f>VLOOKUP(B22,'Miscellaneous stores retailers'!$A:$D,3,)</f>
        <v/>
      </c>
      <c r="AD22" s="53">
        <f>VLOOKUP(B22,'Miscellaneous stores retailers'!$A:$D,4,)</f>
        <v/>
      </c>
      <c r="AE22" s="52">
        <f>VLOOKUP(B22,'Sporting Goods'!$A:$D,3,)</f>
        <v/>
      </c>
      <c r="AF22" s="53">
        <f>VLOOKUP(B22,'Sporting Goods'!$A:$D,4,)</f>
        <v/>
      </c>
    </row>
    <row r="23">
      <c r="B23" s="56" t="n">
        <v>43525</v>
      </c>
      <c r="C23" s="52">
        <f>VLOOKUP(B23,'Retail Sales'!A:D,3,)</f>
        <v/>
      </c>
      <c r="D23" s="53">
        <f>VLOOKUP(B23,'Retail Sales'!A:D,4,)</f>
        <v/>
      </c>
      <c r="E23" s="52">
        <f>VLOOKUP(B23,'Retail Sales ex Auto'!$A:$D,3,)</f>
        <v/>
      </c>
      <c r="F23" s="53">
        <f>VLOOKUP(B23,'Retail Sales ex Auto'!$A:$D,4,)</f>
        <v/>
      </c>
      <c r="G23" s="52">
        <f>VLOOKUP(B23,'Retail Sales ex Auto and Gas'!$A:$D,3,)</f>
        <v/>
      </c>
      <c r="H23" s="53">
        <f>VLOOKUP(B23,'Retail Sales ex Auto and Gas'!$A:$D,4,)</f>
        <v/>
      </c>
      <c r="I23" s="52">
        <f>VLOOKUP(B23,Motor!$A:$D,3,)</f>
        <v/>
      </c>
      <c r="J23" s="53">
        <f>VLOOKUP(B23,Motor!$A:$D,4,)</f>
        <v/>
      </c>
      <c r="K23" s="52">
        <f>VLOOKUP(B23,'Non Store Retail'!$A:$D,3,)</f>
        <v/>
      </c>
      <c r="L23" s="53">
        <f>VLOOKUP(B23,'Non Store Retail'!$A:$D,4,)</f>
        <v/>
      </c>
      <c r="M23" s="52">
        <f>VLOOKUP(B23,'Food and Beverage'!$A:$D,3,)</f>
        <v/>
      </c>
      <c r="N23" s="52">
        <f>VLOOKUP(B23,'Food and Beverage'!$A:$D,4,)</f>
        <v/>
      </c>
      <c r="O23" s="52">
        <f>VLOOKUP(B23,'Food Services'!$A:$D,3,)</f>
        <v/>
      </c>
      <c r="P23" s="53">
        <f>VLOOKUP(B23,'Food Services'!$A:$D,4,)</f>
        <v/>
      </c>
      <c r="Q23" s="52">
        <f>VLOOKUP(B23,'General Merchandising'!$A:$D,3,)</f>
        <v/>
      </c>
      <c r="R23" s="53">
        <f>VLOOKUP(B23,'General Merchandising'!$A:$D,4,)</f>
        <v/>
      </c>
      <c r="S23" s="52">
        <f>VLOOKUP(B23,'Gas Station'!$A:$D,3,)</f>
        <v/>
      </c>
      <c r="T23" s="53">
        <f>VLOOKUP(B23,'Gas Station'!$A:$D,4,)</f>
        <v/>
      </c>
      <c r="U23" s="52">
        <f>VLOOKUP(B23,Housing!$A:$D,3,)</f>
        <v/>
      </c>
      <c r="V23" s="53">
        <f>VLOOKUP(B23,Housing!$A:$D,4,)</f>
        <v/>
      </c>
      <c r="W23" s="52">
        <f>VLOOKUP(B23,Health!$A:$D,3,)</f>
        <v/>
      </c>
      <c r="X23" s="53">
        <f>VLOOKUP(B23,Health!$A:$D,4,)</f>
        <v/>
      </c>
      <c r="Y23" s="52">
        <f>VLOOKUP(B23,'Clothing and clothing access'!$A:$D,3,)</f>
        <v/>
      </c>
      <c r="Z23" s="53">
        <f>VLOOKUP(B23,'Clothing and clothing access'!$A:$D,4,)</f>
        <v/>
      </c>
      <c r="AA23" s="52">
        <f>VLOOKUP(B23,'Furniture Home'!$A:$D,3,)</f>
        <v/>
      </c>
      <c r="AB23" s="53">
        <f>VLOOKUP(B23,'Furniture Home'!$A:$D,4,)</f>
        <v/>
      </c>
      <c r="AC23" s="52">
        <f>VLOOKUP(B23,'Miscellaneous stores retailers'!$A:$D,3,)</f>
        <v/>
      </c>
      <c r="AD23" s="53">
        <f>VLOOKUP(B23,'Miscellaneous stores retailers'!$A:$D,4,)</f>
        <v/>
      </c>
      <c r="AE23" s="52">
        <f>VLOOKUP(B23,'Sporting Goods'!$A:$D,3,)</f>
        <v/>
      </c>
      <c r="AF23" s="53">
        <f>VLOOKUP(B23,'Sporting Goods'!$A:$D,4,)</f>
        <v/>
      </c>
    </row>
    <row r="24">
      <c r="B24" s="56" t="n">
        <v>43556</v>
      </c>
      <c r="C24" s="52">
        <f>VLOOKUP(B24,'Retail Sales'!A:D,3,)</f>
        <v/>
      </c>
      <c r="D24" s="53">
        <f>VLOOKUP(B24,'Retail Sales'!A:D,4,)</f>
        <v/>
      </c>
      <c r="E24" s="52">
        <f>VLOOKUP(B24,'Retail Sales ex Auto'!$A:$D,3,)</f>
        <v/>
      </c>
      <c r="F24" s="53">
        <f>VLOOKUP(B24,'Retail Sales ex Auto'!$A:$D,4,)</f>
        <v/>
      </c>
      <c r="G24" s="52">
        <f>VLOOKUP(B24,'Retail Sales ex Auto and Gas'!$A:$D,3,)</f>
        <v/>
      </c>
      <c r="H24" s="53">
        <f>VLOOKUP(B24,'Retail Sales ex Auto and Gas'!$A:$D,4,)</f>
        <v/>
      </c>
      <c r="I24" s="52">
        <f>VLOOKUP(B24,Motor!$A:$D,3,)</f>
        <v/>
      </c>
      <c r="J24" s="53">
        <f>VLOOKUP(B24,Motor!$A:$D,4,)</f>
        <v/>
      </c>
      <c r="K24" s="52">
        <f>VLOOKUP(B24,'Non Store Retail'!$A:$D,3,)</f>
        <v/>
      </c>
      <c r="L24" s="53">
        <f>VLOOKUP(B24,'Non Store Retail'!$A:$D,4,)</f>
        <v/>
      </c>
      <c r="M24" s="52">
        <f>VLOOKUP(B24,'Food and Beverage'!$A:$D,3,)</f>
        <v/>
      </c>
      <c r="N24" s="52">
        <f>VLOOKUP(B24,'Food and Beverage'!$A:$D,4,)</f>
        <v/>
      </c>
      <c r="O24" s="52">
        <f>VLOOKUP(B24,'Food Services'!$A:$D,3,)</f>
        <v/>
      </c>
      <c r="P24" s="53">
        <f>VLOOKUP(B24,'Food Services'!$A:$D,4,)</f>
        <v/>
      </c>
      <c r="Q24" s="52">
        <f>VLOOKUP(B24,'General Merchandising'!$A:$D,3,)</f>
        <v/>
      </c>
      <c r="R24" s="53">
        <f>VLOOKUP(B24,'General Merchandising'!$A:$D,4,)</f>
        <v/>
      </c>
      <c r="S24" s="52">
        <f>VLOOKUP(B24,'Gas Station'!$A:$D,3,)</f>
        <v/>
      </c>
      <c r="T24" s="53">
        <f>VLOOKUP(B24,'Gas Station'!$A:$D,4,)</f>
        <v/>
      </c>
      <c r="U24" s="52">
        <f>VLOOKUP(B24,Housing!$A:$D,3,)</f>
        <v/>
      </c>
      <c r="V24" s="53">
        <f>VLOOKUP(B24,Housing!$A:$D,4,)</f>
        <v/>
      </c>
      <c r="W24" s="52">
        <f>VLOOKUP(B24,Health!$A:$D,3,)</f>
        <v/>
      </c>
      <c r="X24" s="53">
        <f>VLOOKUP(B24,Health!$A:$D,4,)</f>
        <v/>
      </c>
      <c r="Y24" s="52">
        <f>VLOOKUP(B24,'Clothing and clothing access'!$A:$D,3,)</f>
        <v/>
      </c>
      <c r="Z24" s="53">
        <f>VLOOKUP(B24,'Clothing and clothing access'!$A:$D,4,)</f>
        <v/>
      </c>
      <c r="AA24" s="52">
        <f>VLOOKUP(B24,'Furniture Home'!$A:$D,3,)</f>
        <v/>
      </c>
      <c r="AB24" s="53">
        <f>VLOOKUP(B24,'Furniture Home'!$A:$D,4,)</f>
        <v/>
      </c>
      <c r="AC24" s="52">
        <f>VLOOKUP(B24,'Miscellaneous stores retailers'!$A:$D,3,)</f>
        <v/>
      </c>
      <c r="AD24" s="53">
        <f>VLOOKUP(B24,'Miscellaneous stores retailers'!$A:$D,4,)</f>
        <v/>
      </c>
      <c r="AE24" s="52">
        <f>VLOOKUP(B24,'Sporting Goods'!$A:$D,3,)</f>
        <v/>
      </c>
      <c r="AF24" s="53">
        <f>VLOOKUP(B24,'Sporting Goods'!$A:$D,4,)</f>
        <v/>
      </c>
    </row>
    <row r="25">
      <c r="B25" s="56" t="n">
        <v>43586</v>
      </c>
      <c r="C25" s="52">
        <f>VLOOKUP(B25,'Retail Sales'!A:D,3,)</f>
        <v/>
      </c>
      <c r="D25" s="53">
        <f>VLOOKUP(B25,'Retail Sales'!A:D,4,)</f>
        <v/>
      </c>
      <c r="E25" s="52">
        <f>VLOOKUP(B25,'Retail Sales ex Auto'!$A:$D,3,)</f>
        <v/>
      </c>
      <c r="F25" s="53">
        <f>VLOOKUP(B25,'Retail Sales ex Auto'!$A:$D,4,)</f>
        <v/>
      </c>
      <c r="G25" s="52">
        <f>VLOOKUP(B25,'Retail Sales ex Auto and Gas'!$A:$D,3,)</f>
        <v/>
      </c>
      <c r="H25" s="53">
        <f>VLOOKUP(B25,'Retail Sales ex Auto and Gas'!$A:$D,4,)</f>
        <v/>
      </c>
      <c r="I25" s="52">
        <f>VLOOKUP(B25,Motor!$A:$D,3,)</f>
        <v/>
      </c>
      <c r="J25" s="53">
        <f>VLOOKUP(B25,Motor!$A:$D,4,)</f>
        <v/>
      </c>
      <c r="K25" s="52">
        <f>VLOOKUP(B25,'Non Store Retail'!$A:$D,3,)</f>
        <v/>
      </c>
      <c r="L25" s="53">
        <f>VLOOKUP(B25,'Non Store Retail'!$A:$D,4,)</f>
        <v/>
      </c>
      <c r="M25" s="52">
        <f>VLOOKUP(B25,'Food and Beverage'!$A:$D,3,)</f>
        <v/>
      </c>
      <c r="N25" s="52">
        <f>VLOOKUP(B25,'Food and Beverage'!$A:$D,4,)</f>
        <v/>
      </c>
      <c r="O25" s="52">
        <f>VLOOKUP(B25,'Food Services'!$A:$D,3,)</f>
        <v/>
      </c>
      <c r="P25" s="53">
        <f>VLOOKUP(B25,'Food Services'!$A:$D,4,)</f>
        <v/>
      </c>
      <c r="Q25" s="52">
        <f>VLOOKUP(B25,'General Merchandising'!$A:$D,3,)</f>
        <v/>
      </c>
      <c r="R25" s="53">
        <f>VLOOKUP(B25,'General Merchandising'!$A:$D,4,)</f>
        <v/>
      </c>
      <c r="S25" s="52">
        <f>VLOOKUP(B25,'Gas Station'!$A:$D,3,)</f>
        <v/>
      </c>
      <c r="T25" s="53">
        <f>VLOOKUP(B25,'Gas Station'!$A:$D,4,)</f>
        <v/>
      </c>
      <c r="U25" s="52">
        <f>VLOOKUP(B25,Housing!$A:$D,3,)</f>
        <v/>
      </c>
      <c r="V25" s="53">
        <f>VLOOKUP(B25,Housing!$A:$D,4,)</f>
        <v/>
      </c>
      <c r="W25" s="52">
        <f>VLOOKUP(B25,Health!$A:$D,3,)</f>
        <v/>
      </c>
      <c r="X25" s="53">
        <f>VLOOKUP(B25,Health!$A:$D,4,)</f>
        <v/>
      </c>
      <c r="Y25" s="52">
        <f>VLOOKUP(B25,'Clothing and clothing access'!$A:$D,3,)</f>
        <v/>
      </c>
      <c r="Z25" s="53">
        <f>VLOOKUP(B25,'Clothing and clothing access'!$A:$D,4,)</f>
        <v/>
      </c>
      <c r="AA25" s="52">
        <f>VLOOKUP(B25,'Furniture Home'!$A:$D,3,)</f>
        <v/>
      </c>
      <c r="AB25" s="53">
        <f>VLOOKUP(B25,'Furniture Home'!$A:$D,4,)</f>
        <v/>
      </c>
      <c r="AC25" s="52">
        <f>VLOOKUP(B25,'Miscellaneous stores retailers'!$A:$D,3,)</f>
        <v/>
      </c>
      <c r="AD25" s="53">
        <f>VLOOKUP(B25,'Miscellaneous stores retailers'!$A:$D,4,)</f>
        <v/>
      </c>
      <c r="AE25" s="52">
        <f>VLOOKUP(B25,'Sporting Goods'!$A:$D,3,)</f>
        <v/>
      </c>
      <c r="AF25" s="53">
        <f>VLOOKUP(B25,'Sporting Goods'!$A:$D,4,)</f>
        <v/>
      </c>
    </row>
    <row r="26">
      <c r="B26" s="56" t="n">
        <v>43617</v>
      </c>
      <c r="C26" s="52">
        <f>VLOOKUP(B26,'Retail Sales'!A:D,3,)</f>
        <v/>
      </c>
      <c r="D26" s="53">
        <f>VLOOKUP(B26,'Retail Sales'!A:D,4,)</f>
        <v/>
      </c>
      <c r="E26" s="52">
        <f>VLOOKUP(B26,'Retail Sales ex Auto'!$A:$D,3,)</f>
        <v/>
      </c>
      <c r="F26" s="53">
        <f>VLOOKUP(B26,'Retail Sales ex Auto'!$A:$D,4,)</f>
        <v/>
      </c>
      <c r="G26" s="52">
        <f>VLOOKUP(B26,'Retail Sales ex Auto and Gas'!$A:$D,3,)</f>
        <v/>
      </c>
      <c r="H26" s="53">
        <f>VLOOKUP(B26,'Retail Sales ex Auto and Gas'!$A:$D,4,)</f>
        <v/>
      </c>
      <c r="I26" s="52">
        <f>VLOOKUP(B26,Motor!$A:$D,3,)</f>
        <v/>
      </c>
      <c r="J26" s="53">
        <f>VLOOKUP(B26,Motor!$A:$D,4,)</f>
        <v/>
      </c>
      <c r="K26" s="52">
        <f>VLOOKUP(B26,'Non Store Retail'!$A:$D,3,)</f>
        <v/>
      </c>
      <c r="L26" s="53">
        <f>VLOOKUP(B26,'Non Store Retail'!$A:$D,4,)</f>
        <v/>
      </c>
      <c r="M26" s="52">
        <f>VLOOKUP(B26,'Food and Beverage'!$A:$D,3,)</f>
        <v/>
      </c>
      <c r="N26" s="52">
        <f>VLOOKUP(B26,'Food and Beverage'!$A:$D,4,)</f>
        <v/>
      </c>
      <c r="O26" s="52">
        <f>VLOOKUP(B26,'Food Services'!$A:$D,3,)</f>
        <v/>
      </c>
      <c r="P26" s="53">
        <f>VLOOKUP(B26,'Food Services'!$A:$D,4,)</f>
        <v/>
      </c>
      <c r="Q26" s="52">
        <f>VLOOKUP(B26,'General Merchandising'!$A:$D,3,)</f>
        <v/>
      </c>
      <c r="R26" s="53">
        <f>VLOOKUP(B26,'General Merchandising'!$A:$D,4,)</f>
        <v/>
      </c>
      <c r="S26" s="52">
        <f>VLOOKUP(B26,'Gas Station'!$A:$D,3,)</f>
        <v/>
      </c>
      <c r="T26" s="53">
        <f>VLOOKUP(B26,'Gas Station'!$A:$D,4,)</f>
        <v/>
      </c>
      <c r="U26" s="52">
        <f>VLOOKUP(B26,Housing!$A:$D,3,)</f>
        <v/>
      </c>
      <c r="V26" s="53">
        <f>VLOOKUP(B26,Housing!$A:$D,4,)</f>
        <v/>
      </c>
      <c r="W26" s="52">
        <f>VLOOKUP(B26,Health!$A:$D,3,)</f>
        <v/>
      </c>
      <c r="X26" s="53">
        <f>VLOOKUP(B26,Health!$A:$D,4,)</f>
        <v/>
      </c>
      <c r="Y26" s="52">
        <f>VLOOKUP(B26,'Clothing and clothing access'!$A:$D,3,)</f>
        <v/>
      </c>
      <c r="Z26" s="53">
        <f>VLOOKUP(B26,'Clothing and clothing access'!$A:$D,4,)</f>
        <v/>
      </c>
      <c r="AA26" s="52">
        <f>VLOOKUP(B26,'Furniture Home'!$A:$D,3,)</f>
        <v/>
      </c>
      <c r="AB26" s="53">
        <f>VLOOKUP(B26,'Furniture Home'!$A:$D,4,)</f>
        <v/>
      </c>
      <c r="AC26" s="52">
        <f>VLOOKUP(B26,'Miscellaneous stores retailers'!$A:$D,3,)</f>
        <v/>
      </c>
      <c r="AD26" s="53">
        <f>VLOOKUP(B26,'Miscellaneous stores retailers'!$A:$D,4,)</f>
        <v/>
      </c>
      <c r="AE26" s="52">
        <f>VLOOKUP(B26,'Sporting Goods'!$A:$D,3,)</f>
        <v/>
      </c>
      <c r="AF26" s="53">
        <f>VLOOKUP(B26,'Sporting Goods'!$A:$D,4,)</f>
        <v/>
      </c>
    </row>
    <row r="27">
      <c r="B27" s="56" t="n">
        <v>43647</v>
      </c>
      <c r="C27" s="52">
        <f>VLOOKUP(B27,'Retail Sales'!A:D,3,)</f>
        <v/>
      </c>
      <c r="D27" s="53">
        <f>VLOOKUP(B27,'Retail Sales'!A:D,4,)</f>
        <v/>
      </c>
      <c r="E27" s="52">
        <f>VLOOKUP(B27,'Retail Sales ex Auto'!$A:$D,3,)</f>
        <v/>
      </c>
      <c r="F27" s="53">
        <f>VLOOKUP(B27,'Retail Sales ex Auto'!$A:$D,4,)</f>
        <v/>
      </c>
      <c r="G27" s="52">
        <f>VLOOKUP(B27,'Retail Sales ex Auto and Gas'!$A:$D,3,)</f>
        <v/>
      </c>
      <c r="H27" s="53">
        <f>VLOOKUP(B27,'Retail Sales ex Auto and Gas'!$A:$D,4,)</f>
        <v/>
      </c>
      <c r="I27" s="52">
        <f>VLOOKUP(B27,Motor!$A:$D,3,)</f>
        <v/>
      </c>
      <c r="J27" s="53">
        <f>VLOOKUP(B27,Motor!$A:$D,4,)</f>
        <v/>
      </c>
      <c r="K27" s="52">
        <f>VLOOKUP(B27,'Non Store Retail'!$A:$D,3,)</f>
        <v/>
      </c>
      <c r="L27" s="53">
        <f>VLOOKUP(B27,'Non Store Retail'!$A:$D,4,)</f>
        <v/>
      </c>
      <c r="M27" s="52">
        <f>VLOOKUP(B27,'Food and Beverage'!$A:$D,3,)</f>
        <v/>
      </c>
      <c r="N27" s="52">
        <f>VLOOKUP(B27,'Food and Beverage'!$A:$D,4,)</f>
        <v/>
      </c>
      <c r="O27" s="52">
        <f>VLOOKUP(B27,'Food Services'!$A:$D,3,)</f>
        <v/>
      </c>
      <c r="P27" s="53">
        <f>VLOOKUP(B27,'Food Services'!$A:$D,4,)</f>
        <v/>
      </c>
      <c r="Q27" s="52">
        <f>VLOOKUP(B27,'General Merchandising'!$A:$D,3,)</f>
        <v/>
      </c>
      <c r="R27" s="53">
        <f>VLOOKUP(B27,'General Merchandising'!$A:$D,4,)</f>
        <v/>
      </c>
      <c r="S27" s="52">
        <f>VLOOKUP(B27,'Gas Station'!$A:$D,3,)</f>
        <v/>
      </c>
      <c r="T27" s="53">
        <f>VLOOKUP(B27,'Gas Station'!$A:$D,4,)</f>
        <v/>
      </c>
      <c r="U27" s="52">
        <f>VLOOKUP(B27,Housing!$A:$D,3,)</f>
        <v/>
      </c>
      <c r="V27" s="53">
        <f>VLOOKUP(B27,Housing!$A:$D,4,)</f>
        <v/>
      </c>
      <c r="W27" s="52">
        <f>VLOOKUP(B27,Health!$A:$D,3,)</f>
        <v/>
      </c>
      <c r="X27" s="53">
        <f>VLOOKUP(B27,Health!$A:$D,4,)</f>
        <v/>
      </c>
      <c r="Y27" s="52">
        <f>VLOOKUP(B27,'Clothing and clothing access'!$A:$D,3,)</f>
        <v/>
      </c>
      <c r="Z27" s="53">
        <f>VLOOKUP(B27,'Clothing and clothing access'!$A:$D,4,)</f>
        <v/>
      </c>
      <c r="AA27" s="52">
        <f>VLOOKUP(B27,'Furniture Home'!$A:$D,3,)</f>
        <v/>
      </c>
      <c r="AB27" s="53">
        <f>VLOOKUP(B27,'Furniture Home'!$A:$D,4,)</f>
        <v/>
      </c>
      <c r="AC27" s="52">
        <f>VLOOKUP(B27,'Miscellaneous stores retailers'!$A:$D,3,)</f>
        <v/>
      </c>
      <c r="AD27" s="53">
        <f>VLOOKUP(B27,'Miscellaneous stores retailers'!$A:$D,4,)</f>
        <v/>
      </c>
      <c r="AE27" s="52">
        <f>VLOOKUP(B27,'Sporting Goods'!$A:$D,3,)</f>
        <v/>
      </c>
      <c r="AF27" s="53">
        <f>VLOOKUP(B27,'Sporting Goods'!$A:$D,4,)</f>
        <v/>
      </c>
    </row>
    <row r="28">
      <c r="B28" s="56" t="n">
        <v>43678</v>
      </c>
      <c r="C28" s="52">
        <f>VLOOKUP(B28,'Retail Sales'!A:D,3,)</f>
        <v/>
      </c>
      <c r="D28" s="53">
        <f>VLOOKUP(B28,'Retail Sales'!A:D,4,)</f>
        <v/>
      </c>
      <c r="E28" s="52">
        <f>VLOOKUP(B28,'Retail Sales ex Auto'!$A:$D,3,)</f>
        <v/>
      </c>
      <c r="F28" s="53">
        <f>VLOOKUP(B28,'Retail Sales ex Auto'!$A:$D,4,)</f>
        <v/>
      </c>
      <c r="G28" s="52">
        <f>VLOOKUP(B28,'Retail Sales ex Auto and Gas'!$A:$D,3,)</f>
        <v/>
      </c>
      <c r="H28" s="53">
        <f>VLOOKUP(B28,'Retail Sales ex Auto and Gas'!$A:$D,4,)</f>
        <v/>
      </c>
      <c r="I28" s="52">
        <f>VLOOKUP(B28,Motor!$A:$D,3,)</f>
        <v/>
      </c>
      <c r="J28" s="53">
        <f>VLOOKUP(B28,Motor!$A:$D,4,)</f>
        <v/>
      </c>
      <c r="K28" s="52">
        <f>VLOOKUP(B28,'Non Store Retail'!$A:$D,3,)</f>
        <v/>
      </c>
      <c r="L28" s="53">
        <f>VLOOKUP(B28,'Non Store Retail'!$A:$D,4,)</f>
        <v/>
      </c>
      <c r="M28" s="52">
        <f>VLOOKUP(B28,'Food and Beverage'!$A:$D,3,)</f>
        <v/>
      </c>
      <c r="N28" s="52">
        <f>VLOOKUP(B28,'Food and Beverage'!$A:$D,4,)</f>
        <v/>
      </c>
      <c r="O28" s="52">
        <f>VLOOKUP(B28,'Food Services'!$A:$D,3,)</f>
        <v/>
      </c>
      <c r="P28" s="53">
        <f>VLOOKUP(B28,'Food Services'!$A:$D,4,)</f>
        <v/>
      </c>
      <c r="Q28" s="52">
        <f>VLOOKUP(B28,'General Merchandising'!$A:$D,3,)</f>
        <v/>
      </c>
      <c r="R28" s="53">
        <f>VLOOKUP(B28,'General Merchandising'!$A:$D,4,)</f>
        <v/>
      </c>
      <c r="S28" s="52">
        <f>VLOOKUP(B28,'Gas Station'!$A:$D,3,)</f>
        <v/>
      </c>
      <c r="T28" s="53">
        <f>VLOOKUP(B28,'Gas Station'!$A:$D,4,)</f>
        <v/>
      </c>
      <c r="U28" s="52">
        <f>VLOOKUP(B28,Housing!$A:$D,3,)</f>
        <v/>
      </c>
      <c r="V28" s="53">
        <f>VLOOKUP(B28,Housing!$A:$D,4,)</f>
        <v/>
      </c>
      <c r="W28" s="52">
        <f>VLOOKUP(B28,Health!$A:$D,3,)</f>
        <v/>
      </c>
      <c r="X28" s="53">
        <f>VLOOKUP(B28,Health!$A:$D,4,)</f>
        <v/>
      </c>
      <c r="Y28" s="52">
        <f>VLOOKUP(B28,'Clothing and clothing access'!$A:$D,3,)</f>
        <v/>
      </c>
      <c r="Z28" s="53">
        <f>VLOOKUP(B28,'Clothing and clothing access'!$A:$D,4,)</f>
        <v/>
      </c>
      <c r="AA28" s="52">
        <f>VLOOKUP(B28,'Furniture Home'!$A:$D,3,)</f>
        <v/>
      </c>
      <c r="AB28" s="53">
        <f>VLOOKUP(B28,'Furniture Home'!$A:$D,4,)</f>
        <v/>
      </c>
      <c r="AC28" s="52">
        <f>VLOOKUP(B28,'Miscellaneous stores retailers'!$A:$D,3,)</f>
        <v/>
      </c>
      <c r="AD28" s="53">
        <f>VLOOKUP(B28,'Miscellaneous stores retailers'!$A:$D,4,)</f>
        <v/>
      </c>
      <c r="AE28" s="52">
        <f>VLOOKUP(B28,'Sporting Goods'!$A:$D,3,)</f>
        <v/>
      </c>
      <c r="AF28" s="53">
        <f>VLOOKUP(B28,'Sporting Goods'!$A:$D,4,)</f>
        <v/>
      </c>
    </row>
    <row r="29">
      <c r="B29" s="56" t="n">
        <v>43709</v>
      </c>
      <c r="C29" s="52">
        <f>VLOOKUP(B29,'Retail Sales'!A:D,3,)</f>
        <v/>
      </c>
      <c r="D29" s="53">
        <f>VLOOKUP(B29,'Retail Sales'!A:D,4,)</f>
        <v/>
      </c>
      <c r="E29" s="52">
        <f>VLOOKUP(B29,'Retail Sales ex Auto'!$A:$D,3,)</f>
        <v/>
      </c>
      <c r="F29" s="53">
        <f>VLOOKUP(B29,'Retail Sales ex Auto'!$A:$D,4,)</f>
        <v/>
      </c>
      <c r="G29" s="52">
        <f>VLOOKUP(B29,'Retail Sales ex Auto and Gas'!$A:$D,3,)</f>
        <v/>
      </c>
      <c r="H29" s="53">
        <f>VLOOKUP(B29,'Retail Sales ex Auto and Gas'!$A:$D,4,)</f>
        <v/>
      </c>
      <c r="I29" s="52">
        <f>VLOOKUP(B29,Motor!$A:$D,3,)</f>
        <v/>
      </c>
      <c r="J29" s="53">
        <f>VLOOKUP(B29,Motor!$A:$D,4,)</f>
        <v/>
      </c>
      <c r="K29" s="52">
        <f>VLOOKUP(B29,'Non Store Retail'!$A:$D,3,)</f>
        <v/>
      </c>
      <c r="L29" s="53">
        <f>VLOOKUP(B29,'Non Store Retail'!$A:$D,4,)</f>
        <v/>
      </c>
      <c r="M29" s="52">
        <f>VLOOKUP(B29,'Food and Beverage'!$A:$D,3,)</f>
        <v/>
      </c>
      <c r="N29" s="52">
        <f>VLOOKUP(B29,'Food and Beverage'!$A:$D,4,)</f>
        <v/>
      </c>
      <c r="O29" s="52">
        <f>VLOOKUP(B29,'Food Services'!$A:$D,3,)</f>
        <v/>
      </c>
      <c r="P29" s="53">
        <f>VLOOKUP(B29,'Food Services'!$A:$D,4,)</f>
        <v/>
      </c>
      <c r="Q29" s="52">
        <f>VLOOKUP(B29,'General Merchandising'!$A:$D,3,)</f>
        <v/>
      </c>
      <c r="R29" s="53">
        <f>VLOOKUP(B29,'General Merchandising'!$A:$D,4,)</f>
        <v/>
      </c>
      <c r="S29" s="52">
        <f>VLOOKUP(B29,'Gas Station'!$A:$D,3,)</f>
        <v/>
      </c>
      <c r="T29" s="53">
        <f>VLOOKUP(B29,'Gas Station'!$A:$D,4,)</f>
        <v/>
      </c>
      <c r="U29" s="52">
        <f>VLOOKUP(B29,Housing!$A:$D,3,)</f>
        <v/>
      </c>
      <c r="V29" s="53">
        <f>VLOOKUP(B29,Housing!$A:$D,4,)</f>
        <v/>
      </c>
      <c r="W29" s="52">
        <f>VLOOKUP(B29,Health!$A:$D,3,)</f>
        <v/>
      </c>
      <c r="X29" s="53">
        <f>VLOOKUP(B29,Health!$A:$D,4,)</f>
        <v/>
      </c>
      <c r="Y29" s="52">
        <f>VLOOKUP(B29,'Clothing and clothing access'!$A:$D,3,)</f>
        <v/>
      </c>
      <c r="Z29" s="53">
        <f>VLOOKUP(B29,'Clothing and clothing access'!$A:$D,4,)</f>
        <v/>
      </c>
      <c r="AA29" s="52">
        <f>VLOOKUP(B29,'Furniture Home'!$A:$D,3,)</f>
        <v/>
      </c>
      <c r="AB29" s="53">
        <f>VLOOKUP(B29,'Furniture Home'!$A:$D,4,)</f>
        <v/>
      </c>
      <c r="AC29" s="52">
        <f>VLOOKUP(B29,'Miscellaneous stores retailers'!$A:$D,3,)</f>
        <v/>
      </c>
      <c r="AD29" s="53">
        <f>VLOOKUP(B29,'Miscellaneous stores retailers'!$A:$D,4,)</f>
        <v/>
      </c>
      <c r="AE29" s="52">
        <f>VLOOKUP(B29,'Sporting Goods'!$A:$D,3,)</f>
        <v/>
      </c>
      <c r="AF29" s="53">
        <f>VLOOKUP(B29,'Sporting Goods'!$A:$D,4,)</f>
        <v/>
      </c>
    </row>
    <row r="30">
      <c r="B30" s="56" t="n">
        <v>43739</v>
      </c>
      <c r="C30" s="52">
        <f>VLOOKUP(B30,'Retail Sales'!A:D,3,)</f>
        <v/>
      </c>
      <c r="D30" s="53">
        <f>VLOOKUP(B30,'Retail Sales'!A:D,4,)</f>
        <v/>
      </c>
      <c r="E30" s="52">
        <f>VLOOKUP(B30,'Retail Sales ex Auto'!$A:$D,3,)</f>
        <v/>
      </c>
      <c r="F30" s="53">
        <f>VLOOKUP(B30,'Retail Sales ex Auto'!$A:$D,4,)</f>
        <v/>
      </c>
      <c r="G30" s="52">
        <f>VLOOKUP(B30,'Retail Sales ex Auto and Gas'!$A:$D,3,)</f>
        <v/>
      </c>
      <c r="H30" s="53">
        <f>VLOOKUP(B30,'Retail Sales ex Auto and Gas'!$A:$D,4,)</f>
        <v/>
      </c>
      <c r="I30" s="52">
        <f>VLOOKUP(B30,Motor!$A:$D,3,)</f>
        <v/>
      </c>
      <c r="J30" s="53">
        <f>VLOOKUP(B30,Motor!$A:$D,4,)</f>
        <v/>
      </c>
      <c r="K30" s="52">
        <f>VLOOKUP(B30,'Non Store Retail'!$A:$D,3,)</f>
        <v/>
      </c>
      <c r="L30" s="53">
        <f>VLOOKUP(B30,'Non Store Retail'!$A:$D,4,)</f>
        <v/>
      </c>
      <c r="M30" s="52">
        <f>VLOOKUP(B30,'Food and Beverage'!$A:$D,3,)</f>
        <v/>
      </c>
      <c r="N30" s="52">
        <f>VLOOKUP(B30,'Food and Beverage'!$A:$D,4,)</f>
        <v/>
      </c>
      <c r="O30" s="52">
        <f>VLOOKUP(B30,'Food Services'!$A:$D,3,)</f>
        <v/>
      </c>
      <c r="P30" s="53">
        <f>VLOOKUP(B30,'Food Services'!$A:$D,4,)</f>
        <v/>
      </c>
      <c r="Q30" s="52">
        <f>VLOOKUP(B30,'General Merchandising'!$A:$D,3,)</f>
        <v/>
      </c>
      <c r="R30" s="53">
        <f>VLOOKUP(B30,'General Merchandising'!$A:$D,4,)</f>
        <v/>
      </c>
      <c r="S30" s="52">
        <f>VLOOKUP(B30,'Gas Station'!$A:$D,3,)</f>
        <v/>
      </c>
      <c r="T30" s="53">
        <f>VLOOKUP(B30,'Gas Station'!$A:$D,4,)</f>
        <v/>
      </c>
      <c r="U30" s="52">
        <f>VLOOKUP(B30,Housing!$A:$D,3,)</f>
        <v/>
      </c>
      <c r="V30" s="53">
        <f>VLOOKUP(B30,Housing!$A:$D,4,)</f>
        <v/>
      </c>
      <c r="W30" s="52">
        <f>VLOOKUP(B30,Health!$A:$D,3,)</f>
        <v/>
      </c>
      <c r="X30" s="53">
        <f>VLOOKUP(B30,Health!$A:$D,4,)</f>
        <v/>
      </c>
      <c r="Y30" s="52">
        <f>VLOOKUP(B30,'Clothing and clothing access'!$A:$D,3,)</f>
        <v/>
      </c>
      <c r="Z30" s="53">
        <f>VLOOKUP(B30,'Clothing and clothing access'!$A:$D,4,)</f>
        <v/>
      </c>
      <c r="AA30" s="52">
        <f>VLOOKUP(B30,'Furniture Home'!$A:$D,3,)</f>
        <v/>
      </c>
      <c r="AB30" s="53">
        <f>VLOOKUP(B30,'Furniture Home'!$A:$D,4,)</f>
        <v/>
      </c>
      <c r="AC30" s="52">
        <f>VLOOKUP(B30,'Miscellaneous stores retailers'!$A:$D,3,)</f>
        <v/>
      </c>
      <c r="AD30" s="53">
        <f>VLOOKUP(B30,'Miscellaneous stores retailers'!$A:$D,4,)</f>
        <v/>
      </c>
      <c r="AE30" s="52">
        <f>VLOOKUP(B30,'Sporting Goods'!$A:$D,3,)</f>
        <v/>
      </c>
      <c r="AF30" s="53">
        <f>VLOOKUP(B30,'Sporting Goods'!$A:$D,4,)</f>
        <v/>
      </c>
    </row>
    <row r="31">
      <c r="B31" s="56" t="n">
        <v>43770</v>
      </c>
      <c r="C31" s="52">
        <f>VLOOKUP(B31,'Retail Sales'!A:D,3,)</f>
        <v/>
      </c>
      <c r="D31" s="53">
        <f>VLOOKUP(B31,'Retail Sales'!A:D,4,)</f>
        <v/>
      </c>
      <c r="E31" s="52">
        <f>VLOOKUP(B31,'Retail Sales ex Auto'!$A:$D,3,)</f>
        <v/>
      </c>
      <c r="F31" s="53">
        <f>VLOOKUP(B31,'Retail Sales ex Auto'!$A:$D,4,)</f>
        <v/>
      </c>
      <c r="G31" s="52">
        <f>VLOOKUP(B31,'Retail Sales ex Auto and Gas'!$A:$D,3,)</f>
        <v/>
      </c>
      <c r="H31" s="53">
        <f>VLOOKUP(B31,'Retail Sales ex Auto and Gas'!$A:$D,4,)</f>
        <v/>
      </c>
      <c r="I31" s="52">
        <f>VLOOKUP(B31,Motor!$A:$D,3,)</f>
        <v/>
      </c>
      <c r="J31" s="53">
        <f>VLOOKUP(B31,Motor!$A:$D,4,)</f>
        <v/>
      </c>
      <c r="K31" s="52">
        <f>VLOOKUP(B31,'Non Store Retail'!$A:$D,3,)</f>
        <v/>
      </c>
      <c r="L31" s="53">
        <f>VLOOKUP(B31,'Non Store Retail'!$A:$D,4,)</f>
        <v/>
      </c>
      <c r="M31" s="52">
        <f>VLOOKUP(B31,'Food and Beverage'!$A:$D,3,)</f>
        <v/>
      </c>
      <c r="N31" s="52">
        <f>VLOOKUP(B31,'Food and Beverage'!$A:$D,4,)</f>
        <v/>
      </c>
      <c r="O31" s="52">
        <f>VLOOKUP(B31,'Food Services'!$A:$D,3,)</f>
        <v/>
      </c>
      <c r="P31" s="53">
        <f>VLOOKUP(B31,'Food Services'!$A:$D,4,)</f>
        <v/>
      </c>
      <c r="Q31" s="52">
        <f>VLOOKUP(B31,'General Merchandising'!$A:$D,3,)</f>
        <v/>
      </c>
      <c r="R31" s="53">
        <f>VLOOKUP(B31,'General Merchandising'!$A:$D,4,)</f>
        <v/>
      </c>
      <c r="S31" s="52">
        <f>VLOOKUP(B31,'Gas Station'!$A:$D,3,)</f>
        <v/>
      </c>
      <c r="T31" s="53">
        <f>VLOOKUP(B31,'Gas Station'!$A:$D,4,)</f>
        <v/>
      </c>
      <c r="U31" s="52">
        <f>VLOOKUP(B31,Housing!$A:$D,3,)</f>
        <v/>
      </c>
      <c r="V31" s="53">
        <f>VLOOKUP(B31,Housing!$A:$D,4,)</f>
        <v/>
      </c>
      <c r="W31" s="52">
        <f>VLOOKUP(B31,Health!$A:$D,3,)</f>
        <v/>
      </c>
      <c r="X31" s="53">
        <f>VLOOKUP(B31,Health!$A:$D,4,)</f>
        <v/>
      </c>
      <c r="Y31" s="52">
        <f>VLOOKUP(B31,'Clothing and clothing access'!$A:$D,3,)</f>
        <v/>
      </c>
      <c r="Z31" s="53">
        <f>VLOOKUP(B31,'Clothing and clothing access'!$A:$D,4,)</f>
        <v/>
      </c>
      <c r="AA31" s="52">
        <f>VLOOKUP(B31,'Furniture Home'!$A:$D,3,)</f>
        <v/>
      </c>
      <c r="AB31" s="53">
        <f>VLOOKUP(B31,'Furniture Home'!$A:$D,4,)</f>
        <v/>
      </c>
      <c r="AC31" s="52">
        <f>VLOOKUP(B31,'Miscellaneous stores retailers'!$A:$D,3,)</f>
        <v/>
      </c>
      <c r="AD31" s="53">
        <f>VLOOKUP(B31,'Miscellaneous stores retailers'!$A:$D,4,)</f>
        <v/>
      </c>
      <c r="AE31" s="52">
        <f>VLOOKUP(B31,'Sporting Goods'!$A:$D,3,)</f>
        <v/>
      </c>
      <c r="AF31" s="53">
        <f>VLOOKUP(B31,'Sporting Goods'!$A:$D,4,)</f>
        <v/>
      </c>
    </row>
    <row r="32">
      <c r="B32" s="56" t="n">
        <v>43800</v>
      </c>
      <c r="C32" s="52">
        <f>VLOOKUP(B32,'Retail Sales'!A:D,3,)</f>
        <v/>
      </c>
      <c r="D32" s="53">
        <f>VLOOKUP(B32,'Retail Sales'!A:D,4,)</f>
        <v/>
      </c>
      <c r="E32" s="52">
        <f>VLOOKUP(B32,'Retail Sales ex Auto'!$A:$D,3,)</f>
        <v/>
      </c>
      <c r="F32" s="53">
        <f>VLOOKUP(B32,'Retail Sales ex Auto'!$A:$D,4,)</f>
        <v/>
      </c>
      <c r="G32" s="52">
        <f>VLOOKUP(B32,'Retail Sales ex Auto and Gas'!$A:$D,3,)</f>
        <v/>
      </c>
      <c r="H32" s="53">
        <f>VLOOKUP(B32,'Retail Sales ex Auto and Gas'!$A:$D,4,)</f>
        <v/>
      </c>
      <c r="I32" s="52">
        <f>VLOOKUP(B32,Motor!$A:$D,3,)</f>
        <v/>
      </c>
      <c r="J32" s="53">
        <f>VLOOKUP(B32,Motor!$A:$D,4,)</f>
        <v/>
      </c>
      <c r="K32" s="52">
        <f>VLOOKUP(B32,'Non Store Retail'!$A:$D,3,)</f>
        <v/>
      </c>
      <c r="L32" s="53">
        <f>VLOOKUP(B32,'Non Store Retail'!$A:$D,4,)</f>
        <v/>
      </c>
      <c r="M32" s="52">
        <f>VLOOKUP(B32,'Food and Beverage'!$A:$D,3,)</f>
        <v/>
      </c>
      <c r="N32" s="52">
        <f>VLOOKUP(B32,'Food and Beverage'!$A:$D,4,)</f>
        <v/>
      </c>
      <c r="O32" s="52">
        <f>VLOOKUP(B32,'Food Services'!$A:$D,3,)</f>
        <v/>
      </c>
      <c r="P32" s="53">
        <f>VLOOKUP(B32,'Food Services'!$A:$D,4,)</f>
        <v/>
      </c>
      <c r="Q32" s="52">
        <f>VLOOKUP(B32,'General Merchandising'!$A:$D,3,)</f>
        <v/>
      </c>
      <c r="R32" s="53">
        <f>VLOOKUP(B32,'General Merchandising'!$A:$D,4,)</f>
        <v/>
      </c>
      <c r="S32" s="52">
        <f>VLOOKUP(B32,'Gas Station'!$A:$D,3,)</f>
        <v/>
      </c>
      <c r="T32" s="53">
        <f>VLOOKUP(B32,'Gas Station'!$A:$D,4,)</f>
        <v/>
      </c>
      <c r="U32" s="52">
        <f>VLOOKUP(B32,Housing!$A:$D,3,)</f>
        <v/>
      </c>
      <c r="V32" s="53">
        <f>VLOOKUP(B32,Housing!$A:$D,4,)</f>
        <v/>
      </c>
      <c r="W32" s="52">
        <f>VLOOKUP(B32,Health!$A:$D,3,)</f>
        <v/>
      </c>
      <c r="X32" s="53">
        <f>VLOOKUP(B32,Health!$A:$D,4,)</f>
        <v/>
      </c>
      <c r="Y32" s="52">
        <f>VLOOKUP(B32,'Clothing and clothing access'!$A:$D,3,)</f>
        <v/>
      </c>
      <c r="Z32" s="53">
        <f>VLOOKUP(B32,'Clothing and clothing access'!$A:$D,4,)</f>
        <v/>
      </c>
      <c r="AA32" s="52">
        <f>VLOOKUP(B32,'Furniture Home'!$A:$D,3,)</f>
        <v/>
      </c>
      <c r="AB32" s="53">
        <f>VLOOKUP(B32,'Furniture Home'!$A:$D,4,)</f>
        <v/>
      </c>
      <c r="AC32" s="52">
        <f>VLOOKUP(B32,'Miscellaneous stores retailers'!$A:$D,3,)</f>
        <v/>
      </c>
      <c r="AD32" s="53">
        <f>VLOOKUP(B32,'Miscellaneous stores retailers'!$A:$D,4,)</f>
        <v/>
      </c>
      <c r="AE32" s="52">
        <f>VLOOKUP(B32,'Sporting Goods'!$A:$D,3,)</f>
        <v/>
      </c>
      <c r="AF32" s="53">
        <f>VLOOKUP(B32,'Sporting Goods'!$A:$D,4,)</f>
        <v/>
      </c>
    </row>
    <row r="33">
      <c r="B33" s="56" t="n">
        <v>43831</v>
      </c>
      <c r="C33" s="52">
        <f>VLOOKUP(B33,'Retail Sales'!A:D,3,)</f>
        <v/>
      </c>
      <c r="D33" s="53">
        <f>VLOOKUP(B33,'Retail Sales'!A:D,4,)</f>
        <v/>
      </c>
      <c r="E33" s="52">
        <f>VLOOKUP(B33,'Retail Sales ex Auto'!$A:$D,3,)</f>
        <v/>
      </c>
      <c r="F33" s="53">
        <f>VLOOKUP(B33,'Retail Sales ex Auto'!$A:$D,4,)</f>
        <v/>
      </c>
      <c r="G33" s="52">
        <f>VLOOKUP(B33,'Retail Sales ex Auto and Gas'!$A:$D,3,)</f>
        <v/>
      </c>
      <c r="H33" s="53">
        <f>VLOOKUP(B33,'Retail Sales ex Auto and Gas'!$A:$D,4,)</f>
        <v/>
      </c>
      <c r="I33" s="52">
        <f>VLOOKUP(B33,Motor!$A:$D,3,)</f>
        <v/>
      </c>
      <c r="J33" s="53">
        <f>VLOOKUP(B33,Motor!$A:$D,4,)</f>
        <v/>
      </c>
      <c r="K33" s="52">
        <f>VLOOKUP(B33,'Non Store Retail'!$A:$D,3,)</f>
        <v/>
      </c>
      <c r="L33" s="53">
        <f>VLOOKUP(B33,'Non Store Retail'!$A:$D,4,)</f>
        <v/>
      </c>
      <c r="M33" s="52">
        <f>VLOOKUP(B33,'Food and Beverage'!$A:$D,3,)</f>
        <v/>
      </c>
      <c r="N33" s="52">
        <f>VLOOKUP(B33,'Food and Beverage'!$A:$D,4,)</f>
        <v/>
      </c>
      <c r="O33" s="52">
        <f>VLOOKUP(B33,'Food Services'!$A:$D,3,)</f>
        <v/>
      </c>
      <c r="P33" s="53">
        <f>VLOOKUP(B33,'Food Services'!$A:$D,4,)</f>
        <v/>
      </c>
      <c r="Q33" s="52">
        <f>VLOOKUP(B33,'General Merchandising'!$A:$D,3,)</f>
        <v/>
      </c>
      <c r="R33" s="53">
        <f>VLOOKUP(B33,'General Merchandising'!$A:$D,4,)</f>
        <v/>
      </c>
      <c r="S33" s="52">
        <f>VLOOKUP(B33,'Gas Station'!$A:$D,3,)</f>
        <v/>
      </c>
      <c r="T33" s="53">
        <f>VLOOKUP(B33,'Gas Station'!$A:$D,4,)</f>
        <v/>
      </c>
      <c r="U33" s="52">
        <f>VLOOKUP(B33,Housing!$A:$D,3,)</f>
        <v/>
      </c>
      <c r="V33" s="53">
        <f>VLOOKUP(B33,Housing!$A:$D,4,)</f>
        <v/>
      </c>
      <c r="W33" s="52">
        <f>VLOOKUP(B33,Health!$A:$D,3,)</f>
        <v/>
      </c>
      <c r="X33" s="53">
        <f>VLOOKUP(B33,Health!$A:$D,4,)</f>
        <v/>
      </c>
      <c r="Y33" s="52">
        <f>VLOOKUP(B33,'Clothing and clothing access'!$A:$D,3,)</f>
        <v/>
      </c>
      <c r="Z33" s="53">
        <f>VLOOKUP(B33,'Clothing and clothing access'!$A:$D,4,)</f>
        <v/>
      </c>
      <c r="AA33" s="52">
        <f>VLOOKUP(B33,'Furniture Home'!$A:$D,3,)</f>
        <v/>
      </c>
      <c r="AB33" s="53">
        <f>VLOOKUP(B33,'Furniture Home'!$A:$D,4,)</f>
        <v/>
      </c>
      <c r="AC33" s="52">
        <f>VLOOKUP(B33,'Miscellaneous stores retailers'!$A:$D,3,)</f>
        <v/>
      </c>
      <c r="AD33" s="53">
        <f>VLOOKUP(B33,'Miscellaneous stores retailers'!$A:$D,4,)</f>
        <v/>
      </c>
      <c r="AE33" s="52">
        <f>VLOOKUP(B33,'Sporting Goods'!$A:$D,3,)</f>
        <v/>
      </c>
      <c r="AF33" s="53">
        <f>VLOOKUP(B33,'Sporting Goods'!$A:$D,4,)</f>
        <v/>
      </c>
    </row>
    <row r="34">
      <c r="B34" s="56" t="n">
        <v>43862</v>
      </c>
      <c r="C34" s="52">
        <f>VLOOKUP(B34,'Retail Sales'!A:D,3,)</f>
        <v/>
      </c>
      <c r="D34" s="53">
        <f>VLOOKUP(B34,'Retail Sales'!A:D,4,)</f>
        <v/>
      </c>
      <c r="E34" s="52">
        <f>VLOOKUP(B34,'Retail Sales ex Auto'!$A:$D,3,)</f>
        <v/>
      </c>
      <c r="F34" s="53">
        <f>VLOOKUP(B34,'Retail Sales ex Auto'!$A:$D,4,)</f>
        <v/>
      </c>
      <c r="G34" s="52">
        <f>VLOOKUP(B34,'Retail Sales ex Auto and Gas'!$A:$D,3,)</f>
        <v/>
      </c>
      <c r="H34" s="53">
        <f>VLOOKUP(B34,'Retail Sales ex Auto and Gas'!$A:$D,4,)</f>
        <v/>
      </c>
      <c r="I34" s="52">
        <f>VLOOKUP(B34,Motor!$A:$D,3,)</f>
        <v/>
      </c>
      <c r="J34" s="53">
        <f>VLOOKUP(B34,Motor!$A:$D,4,)</f>
        <v/>
      </c>
      <c r="K34" s="52">
        <f>VLOOKUP(B34,'Non Store Retail'!$A:$D,3,)</f>
        <v/>
      </c>
      <c r="L34" s="53">
        <f>VLOOKUP(B34,'Non Store Retail'!$A:$D,4,)</f>
        <v/>
      </c>
      <c r="M34" s="52">
        <f>VLOOKUP(B34,'Food and Beverage'!$A:$D,3,)</f>
        <v/>
      </c>
      <c r="N34" s="52">
        <f>VLOOKUP(B34,'Food and Beverage'!$A:$D,4,)</f>
        <v/>
      </c>
      <c r="O34" s="52">
        <f>VLOOKUP(B34,'Food Services'!$A:$D,3,)</f>
        <v/>
      </c>
      <c r="P34" s="53">
        <f>VLOOKUP(B34,'Food Services'!$A:$D,4,)</f>
        <v/>
      </c>
      <c r="Q34" s="52">
        <f>VLOOKUP(B34,'General Merchandising'!$A:$D,3,)</f>
        <v/>
      </c>
      <c r="R34" s="53">
        <f>VLOOKUP(B34,'General Merchandising'!$A:$D,4,)</f>
        <v/>
      </c>
      <c r="S34" s="52">
        <f>VLOOKUP(B34,'Gas Station'!$A:$D,3,)</f>
        <v/>
      </c>
      <c r="T34" s="53">
        <f>VLOOKUP(B34,'Gas Station'!$A:$D,4,)</f>
        <v/>
      </c>
      <c r="U34" s="52">
        <f>VLOOKUP(B34,Housing!$A:$D,3,)</f>
        <v/>
      </c>
      <c r="V34" s="53">
        <f>VLOOKUP(B34,Housing!$A:$D,4,)</f>
        <v/>
      </c>
      <c r="W34" s="52">
        <f>VLOOKUP(B34,Health!$A:$D,3,)</f>
        <v/>
      </c>
      <c r="X34" s="53">
        <f>VLOOKUP(B34,Health!$A:$D,4,)</f>
        <v/>
      </c>
      <c r="Y34" s="52">
        <f>VLOOKUP(B34,'Clothing and clothing access'!$A:$D,3,)</f>
        <v/>
      </c>
      <c r="Z34" s="53">
        <f>VLOOKUP(B34,'Clothing and clothing access'!$A:$D,4,)</f>
        <v/>
      </c>
      <c r="AA34" s="52">
        <f>VLOOKUP(B34,'Furniture Home'!$A:$D,3,)</f>
        <v/>
      </c>
      <c r="AB34" s="53">
        <f>VLOOKUP(B34,'Furniture Home'!$A:$D,4,)</f>
        <v/>
      </c>
      <c r="AC34" s="52">
        <f>VLOOKUP(B34,'Miscellaneous stores retailers'!$A:$D,3,)</f>
        <v/>
      </c>
      <c r="AD34" s="53">
        <f>VLOOKUP(B34,'Miscellaneous stores retailers'!$A:$D,4,)</f>
        <v/>
      </c>
      <c r="AE34" s="52">
        <f>VLOOKUP(B34,'Sporting Goods'!$A:$D,3,)</f>
        <v/>
      </c>
      <c r="AF34" s="53">
        <f>VLOOKUP(B34,'Sporting Goods'!$A:$D,4,)</f>
        <v/>
      </c>
    </row>
    <row r="35">
      <c r="B35" s="56" t="n">
        <v>43891</v>
      </c>
      <c r="C35" s="52">
        <f>VLOOKUP(B35,'Retail Sales'!A:D,3,)</f>
        <v/>
      </c>
      <c r="D35" s="53">
        <f>VLOOKUP(B35,'Retail Sales'!A:D,4,)</f>
        <v/>
      </c>
      <c r="E35" s="52">
        <f>VLOOKUP(B35,'Retail Sales ex Auto'!$A:$D,3,)</f>
        <v/>
      </c>
      <c r="F35" s="53">
        <f>VLOOKUP(B35,'Retail Sales ex Auto'!$A:$D,4,)</f>
        <v/>
      </c>
      <c r="G35" s="52">
        <f>VLOOKUP(B35,'Retail Sales ex Auto and Gas'!$A:$D,3,)</f>
        <v/>
      </c>
      <c r="H35" s="53">
        <f>VLOOKUP(B35,'Retail Sales ex Auto and Gas'!$A:$D,4,)</f>
        <v/>
      </c>
      <c r="I35" s="52">
        <f>VLOOKUP(B35,Motor!$A:$D,3,)</f>
        <v/>
      </c>
      <c r="J35" s="53">
        <f>VLOOKUP(B35,Motor!$A:$D,4,)</f>
        <v/>
      </c>
      <c r="K35" s="52">
        <f>VLOOKUP(B35,'Non Store Retail'!$A:$D,3,)</f>
        <v/>
      </c>
      <c r="L35" s="53">
        <f>VLOOKUP(B35,'Non Store Retail'!$A:$D,4,)</f>
        <v/>
      </c>
      <c r="M35" s="52">
        <f>VLOOKUP(B35,'Food and Beverage'!$A:$D,3,)</f>
        <v/>
      </c>
      <c r="N35" s="52">
        <f>VLOOKUP(B35,'Food and Beverage'!$A:$D,4,)</f>
        <v/>
      </c>
      <c r="O35" s="52">
        <f>VLOOKUP(B35,'Food Services'!$A:$D,3,)</f>
        <v/>
      </c>
      <c r="P35" s="53">
        <f>VLOOKUP(B35,'Food Services'!$A:$D,4,)</f>
        <v/>
      </c>
      <c r="Q35" s="52">
        <f>VLOOKUP(B35,'General Merchandising'!$A:$D,3,)</f>
        <v/>
      </c>
      <c r="R35" s="53">
        <f>VLOOKUP(B35,'General Merchandising'!$A:$D,4,)</f>
        <v/>
      </c>
      <c r="S35" s="52">
        <f>VLOOKUP(B35,'Gas Station'!$A:$D,3,)</f>
        <v/>
      </c>
      <c r="T35" s="53">
        <f>VLOOKUP(B35,'Gas Station'!$A:$D,4,)</f>
        <v/>
      </c>
      <c r="U35" s="52">
        <f>VLOOKUP(B35,Housing!$A:$D,3,)</f>
        <v/>
      </c>
      <c r="V35" s="53">
        <f>VLOOKUP(B35,Housing!$A:$D,4,)</f>
        <v/>
      </c>
      <c r="W35" s="52">
        <f>VLOOKUP(B35,Health!$A:$D,3,)</f>
        <v/>
      </c>
      <c r="X35" s="53">
        <f>VLOOKUP(B35,Health!$A:$D,4,)</f>
        <v/>
      </c>
      <c r="Y35" s="52">
        <f>VLOOKUP(B35,'Clothing and clothing access'!$A:$D,3,)</f>
        <v/>
      </c>
      <c r="Z35" s="53">
        <f>VLOOKUP(B35,'Clothing and clothing access'!$A:$D,4,)</f>
        <v/>
      </c>
      <c r="AA35" s="52">
        <f>VLOOKUP(B35,'Furniture Home'!$A:$D,3,)</f>
        <v/>
      </c>
      <c r="AB35" s="53">
        <f>VLOOKUP(B35,'Furniture Home'!$A:$D,4,)</f>
        <v/>
      </c>
      <c r="AC35" s="52">
        <f>VLOOKUP(B35,'Miscellaneous stores retailers'!$A:$D,3,)</f>
        <v/>
      </c>
      <c r="AD35" s="53">
        <f>VLOOKUP(B35,'Miscellaneous stores retailers'!$A:$D,4,)</f>
        <v/>
      </c>
      <c r="AE35" s="52">
        <f>VLOOKUP(B35,'Sporting Goods'!$A:$D,3,)</f>
        <v/>
      </c>
      <c r="AF35" s="53">
        <f>VLOOKUP(B35,'Sporting Goods'!$A:$D,4,)</f>
        <v/>
      </c>
    </row>
    <row r="36">
      <c r="B36" s="56" t="n">
        <v>43922</v>
      </c>
      <c r="C36" s="52">
        <f>VLOOKUP(B36,'Retail Sales'!A:D,3,)</f>
        <v/>
      </c>
      <c r="D36" s="53">
        <f>VLOOKUP(B36,'Retail Sales'!A:D,4,)</f>
        <v/>
      </c>
      <c r="E36" s="52">
        <f>VLOOKUP(B36,'Retail Sales ex Auto'!$A:$D,3,)</f>
        <v/>
      </c>
      <c r="F36" s="53">
        <f>VLOOKUP(B36,'Retail Sales ex Auto'!$A:$D,4,)</f>
        <v/>
      </c>
      <c r="G36" s="52">
        <f>VLOOKUP(B36,'Retail Sales ex Auto and Gas'!$A:$D,3,)</f>
        <v/>
      </c>
      <c r="H36" s="53">
        <f>VLOOKUP(B36,'Retail Sales ex Auto and Gas'!$A:$D,4,)</f>
        <v/>
      </c>
      <c r="I36" s="52">
        <f>VLOOKUP(B36,Motor!$A:$D,3,)</f>
        <v/>
      </c>
      <c r="J36" s="53">
        <f>VLOOKUP(B36,Motor!$A:$D,4,)</f>
        <v/>
      </c>
      <c r="K36" s="52">
        <f>VLOOKUP(B36,'Non Store Retail'!$A:$D,3,)</f>
        <v/>
      </c>
      <c r="L36" s="53">
        <f>VLOOKUP(B36,'Non Store Retail'!$A:$D,4,)</f>
        <v/>
      </c>
      <c r="M36" s="52">
        <f>VLOOKUP(B36,'Food and Beverage'!$A:$D,3,)</f>
        <v/>
      </c>
      <c r="N36" s="52">
        <f>VLOOKUP(B36,'Food and Beverage'!$A:$D,4,)</f>
        <v/>
      </c>
      <c r="O36" s="52">
        <f>VLOOKUP(B36,'Food Services'!$A:$D,3,)</f>
        <v/>
      </c>
      <c r="P36" s="53">
        <f>VLOOKUP(B36,'Food Services'!$A:$D,4,)</f>
        <v/>
      </c>
      <c r="Q36" s="52">
        <f>VLOOKUP(B36,'General Merchandising'!$A:$D,3,)</f>
        <v/>
      </c>
      <c r="R36" s="53">
        <f>VLOOKUP(B36,'General Merchandising'!$A:$D,4,)</f>
        <v/>
      </c>
      <c r="S36" s="52">
        <f>VLOOKUP(B36,'Gas Station'!$A:$D,3,)</f>
        <v/>
      </c>
      <c r="T36" s="53">
        <f>VLOOKUP(B36,'Gas Station'!$A:$D,4,)</f>
        <v/>
      </c>
      <c r="U36" s="52">
        <f>VLOOKUP(B36,Housing!$A:$D,3,)</f>
        <v/>
      </c>
      <c r="V36" s="53">
        <f>VLOOKUP(B36,Housing!$A:$D,4,)</f>
        <v/>
      </c>
      <c r="W36" s="52">
        <f>VLOOKUP(B36,Health!$A:$D,3,)</f>
        <v/>
      </c>
      <c r="X36" s="53">
        <f>VLOOKUP(B36,Health!$A:$D,4,)</f>
        <v/>
      </c>
      <c r="Y36" s="52">
        <f>VLOOKUP(B36,'Clothing and clothing access'!$A:$D,3,)</f>
        <v/>
      </c>
      <c r="Z36" s="53">
        <f>VLOOKUP(B36,'Clothing and clothing access'!$A:$D,4,)</f>
        <v/>
      </c>
      <c r="AA36" s="52">
        <f>VLOOKUP(B36,'Furniture Home'!$A:$D,3,)</f>
        <v/>
      </c>
      <c r="AB36" s="53">
        <f>VLOOKUP(B36,'Furniture Home'!$A:$D,4,)</f>
        <v/>
      </c>
      <c r="AC36" s="52">
        <f>VLOOKUP(B36,'Miscellaneous stores retailers'!$A:$D,3,)</f>
        <v/>
      </c>
      <c r="AD36" s="53">
        <f>VLOOKUP(B36,'Miscellaneous stores retailers'!$A:$D,4,)</f>
        <v/>
      </c>
      <c r="AE36" s="52">
        <f>VLOOKUP(B36,'Sporting Goods'!$A:$D,3,)</f>
        <v/>
      </c>
      <c r="AF36" s="53">
        <f>VLOOKUP(B36,'Sporting Goods'!$A:$D,4,)</f>
        <v/>
      </c>
    </row>
    <row r="37">
      <c r="B37" s="56" t="n">
        <v>43952</v>
      </c>
      <c r="C37" s="52">
        <f>VLOOKUP(B37,'Retail Sales'!A:D,3,)</f>
        <v/>
      </c>
      <c r="D37" s="53">
        <f>VLOOKUP(B37,'Retail Sales'!A:D,4,)</f>
        <v/>
      </c>
      <c r="E37" s="52">
        <f>VLOOKUP(B37,'Retail Sales ex Auto'!$A:$D,3,)</f>
        <v/>
      </c>
      <c r="F37" s="53">
        <f>VLOOKUP(B37,'Retail Sales ex Auto'!$A:$D,4,)</f>
        <v/>
      </c>
      <c r="G37" s="52">
        <f>VLOOKUP(B37,'Retail Sales ex Auto and Gas'!$A:$D,3,)</f>
        <v/>
      </c>
      <c r="H37" s="53">
        <f>VLOOKUP(B37,'Retail Sales ex Auto and Gas'!$A:$D,4,)</f>
        <v/>
      </c>
      <c r="I37" s="52">
        <f>VLOOKUP(B37,Motor!$A:$D,3,)</f>
        <v/>
      </c>
      <c r="J37" s="53">
        <f>VLOOKUP(B37,Motor!$A:$D,4,)</f>
        <v/>
      </c>
      <c r="K37" s="52">
        <f>VLOOKUP(B37,'Non Store Retail'!$A:$D,3,)</f>
        <v/>
      </c>
      <c r="L37" s="53">
        <f>VLOOKUP(B37,'Non Store Retail'!$A:$D,4,)</f>
        <v/>
      </c>
      <c r="M37" s="52">
        <f>VLOOKUP(B37,'Food and Beverage'!$A:$D,3,)</f>
        <v/>
      </c>
      <c r="N37" s="52">
        <f>VLOOKUP(B37,'Food and Beverage'!$A:$D,4,)</f>
        <v/>
      </c>
      <c r="O37" s="52">
        <f>VLOOKUP(B37,'Food Services'!$A:$D,3,)</f>
        <v/>
      </c>
      <c r="P37" s="53">
        <f>VLOOKUP(B37,'Food Services'!$A:$D,4,)</f>
        <v/>
      </c>
      <c r="Q37" s="52">
        <f>VLOOKUP(B37,'General Merchandising'!$A:$D,3,)</f>
        <v/>
      </c>
      <c r="R37" s="53">
        <f>VLOOKUP(B37,'General Merchandising'!$A:$D,4,)</f>
        <v/>
      </c>
      <c r="S37" s="52">
        <f>VLOOKUP(B37,'Gas Station'!$A:$D,3,)</f>
        <v/>
      </c>
      <c r="T37" s="53">
        <f>VLOOKUP(B37,'Gas Station'!$A:$D,4,)</f>
        <v/>
      </c>
      <c r="U37" s="52">
        <f>VLOOKUP(B37,Housing!$A:$D,3,)</f>
        <v/>
      </c>
      <c r="V37" s="53">
        <f>VLOOKUP(B37,Housing!$A:$D,4,)</f>
        <v/>
      </c>
      <c r="W37" s="52">
        <f>VLOOKUP(B37,Health!$A:$D,3,)</f>
        <v/>
      </c>
      <c r="X37" s="53">
        <f>VLOOKUP(B37,Health!$A:$D,4,)</f>
        <v/>
      </c>
      <c r="Y37" s="52">
        <f>VLOOKUP(B37,'Clothing and clothing access'!$A:$D,3,)</f>
        <v/>
      </c>
      <c r="Z37" s="53">
        <f>VLOOKUP(B37,'Clothing and clothing access'!$A:$D,4,)</f>
        <v/>
      </c>
      <c r="AA37" s="52">
        <f>VLOOKUP(B37,'Furniture Home'!$A:$D,3,)</f>
        <v/>
      </c>
      <c r="AB37" s="53">
        <f>VLOOKUP(B37,'Furniture Home'!$A:$D,4,)</f>
        <v/>
      </c>
      <c r="AC37" s="52">
        <f>VLOOKUP(B37,'Miscellaneous stores retailers'!$A:$D,3,)</f>
        <v/>
      </c>
      <c r="AD37" s="53">
        <f>VLOOKUP(B37,'Miscellaneous stores retailers'!$A:$D,4,)</f>
        <v/>
      </c>
      <c r="AE37" s="52">
        <f>VLOOKUP(B37,'Sporting Goods'!$A:$D,3,)</f>
        <v/>
      </c>
      <c r="AF37" s="53">
        <f>VLOOKUP(B37,'Sporting Goods'!$A:$D,4,)</f>
        <v/>
      </c>
    </row>
    <row r="38">
      <c r="B38" s="56" t="n">
        <v>43983</v>
      </c>
      <c r="C38" s="52">
        <f>VLOOKUP(B38,'Retail Sales'!A:D,3,)</f>
        <v/>
      </c>
      <c r="D38" s="53">
        <f>VLOOKUP(B38,'Retail Sales'!A:D,4,)</f>
        <v/>
      </c>
      <c r="E38" s="52">
        <f>VLOOKUP(B38,'Retail Sales ex Auto'!$A:$D,3,)</f>
        <v/>
      </c>
      <c r="F38" s="53">
        <f>VLOOKUP(B38,'Retail Sales ex Auto'!$A:$D,4,)</f>
        <v/>
      </c>
      <c r="G38" s="52">
        <f>VLOOKUP(B38,'Retail Sales ex Auto and Gas'!$A:$D,3,)</f>
        <v/>
      </c>
      <c r="H38" s="53">
        <f>VLOOKUP(B38,'Retail Sales ex Auto and Gas'!$A:$D,4,)</f>
        <v/>
      </c>
      <c r="I38" s="52">
        <f>VLOOKUP(B38,Motor!$A:$D,3,)</f>
        <v/>
      </c>
      <c r="J38" s="53">
        <f>VLOOKUP(B38,Motor!$A:$D,4,)</f>
        <v/>
      </c>
      <c r="K38" s="52">
        <f>VLOOKUP(B38,'Non Store Retail'!$A:$D,3,)</f>
        <v/>
      </c>
      <c r="L38" s="53">
        <f>VLOOKUP(B38,'Non Store Retail'!$A:$D,4,)</f>
        <v/>
      </c>
      <c r="M38" s="52">
        <f>VLOOKUP(B38,'Food and Beverage'!$A:$D,3,)</f>
        <v/>
      </c>
      <c r="N38" s="52">
        <f>VLOOKUP(B38,'Food and Beverage'!$A:$D,4,)</f>
        <v/>
      </c>
      <c r="O38" s="52">
        <f>VLOOKUP(B38,'Food Services'!$A:$D,3,)</f>
        <v/>
      </c>
      <c r="P38" s="53">
        <f>VLOOKUP(B38,'Food Services'!$A:$D,4,)</f>
        <v/>
      </c>
      <c r="Q38" s="52">
        <f>VLOOKUP(B38,'General Merchandising'!$A:$D,3,)</f>
        <v/>
      </c>
      <c r="R38" s="53">
        <f>VLOOKUP(B38,'General Merchandising'!$A:$D,4,)</f>
        <v/>
      </c>
      <c r="S38" s="52">
        <f>VLOOKUP(B38,'Gas Station'!$A:$D,3,)</f>
        <v/>
      </c>
      <c r="T38" s="53">
        <f>VLOOKUP(B38,'Gas Station'!$A:$D,4,)</f>
        <v/>
      </c>
      <c r="U38" s="52">
        <f>VLOOKUP(B38,Housing!$A:$D,3,)</f>
        <v/>
      </c>
      <c r="V38" s="53">
        <f>VLOOKUP(B38,Housing!$A:$D,4,)</f>
        <v/>
      </c>
      <c r="W38" s="52">
        <f>VLOOKUP(B38,Health!$A:$D,3,)</f>
        <v/>
      </c>
      <c r="X38" s="53">
        <f>VLOOKUP(B38,Health!$A:$D,4,)</f>
        <v/>
      </c>
      <c r="Y38" s="52">
        <f>VLOOKUP(B38,'Clothing and clothing access'!$A:$D,3,)</f>
        <v/>
      </c>
      <c r="Z38" s="53">
        <f>VLOOKUP(B38,'Clothing and clothing access'!$A:$D,4,)</f>
        <v/>
      </c>
      <c r="AA38" s="52">
        <f>VLOOKUP(B38,'Furniture Home'!$A:$D,3,)</f>
        <v/>
      </c>
      <c r="AB38" s="53">
        <f>VLOOKUP(B38,'Furniture Home'!$A:$D,4,)</f>
        <v/>
      </c>
      <c r="AC38" s="52">
        <f>VLOOKUP(B38,'Miscellaneous stores retailers'!$A:$D,3,)</f>
        <v/>
      </c>
      <c r="AD38" s="53">
        <f>VLOOKUP(B38,'Miscellaneous stores retailers'!$A:$D,4,)</f>
        <v/>
      </c>
      <c r="AE38" s="52">
        <f>VLOOKUP(B38,'Sporting Goods'!$A:$D,3,)</f>
        <v/>
      </c>
      <c r="AF38" s="53">
        <f>VLOOKUP(B38,'Sporting Goods'!$A:$D,4,)</f>
        <v/>
      </c>
    </row>
    <row r="39">
      <c r="B39" s="56" t="n">
        <v>44013</v>
      </c>
      <c r="C39" s="52">
        <f>VLOOKUP(B39,'Retail Sales'!A:D,3,)</f>
        <v/>
      </c>
      <c r="D39" s="53">
        <f>VLOOKUP(B39,'Retail Sales'!A:D,4,)</f>
        <v/>
      </c>
      <c r="E39" s="52">
        <f>VLOOKUP(B39,'Retail Sales ex Auto'!$A:$D,3,)</f>
        <v/>
      </c>
      <c r="F39" s="53">
        <f>VLOOKUP(B39,'Retail Sales ex Auto'!$A:$D,4,)</f>
        <v/>
      </c>
      <c r="G39" s="52">
        <f>VLOOKUP(B39,'Retail Sales ex Auto and Gas'!$A:$D,3,)</f>
        <v/>
      </c>
      <c r="H39" s="53">
        <f>VLOOKUP(B39,'Retail Sales ex Auto and Gas'!$A:$D,4,)</f>
        <v/>
      </c>
      <c r="I39" s="52">
        <f>VLOOKUP(B39,Motor!$A:$D,3,)</f>
        <v/>
      </c>
      <c r="J39" s="53">
        <f>VLOOKUP(B39,Motor!$A:$D,4,)</f>
        <v/>
      </c>
      <c r="K39" s="52">
        <f>VLOOKUP(B39,'Non Store Retail'!$A:$D,3,)</f>
        <v/>
      </c>
      <c r="L39" s="53">
        <f>VLOOKUP(B39,'Non Store Retail'!$A:$D,4,)</f>
        <v/>
      </c>
      <c r="M39" s="52">
        <f>VLOOKUP(B39,'Food and Beverage'!$A:$D,3,)</f>
        <v/>
      </c>
      <c r="N39" s="52">
        <f>VLOOKUP(B39,'Food and Beverage'!$A:$D,4,)</f>
        <v/>
      </c>
      <c r="O39" s="52">
        <f>VLOOKUP(B39,'Food Services'!$A:$D,3,)</f>
        <v/>
      </c>
      <c r="P39" s="53">
        <f>VLOOKUP(B39,'Food Services'!$A:$D,4,)</f>
        <v/>
      </c>
      <c r="Q39" s="52">
        <f>VLOOKUP(B39,'General Merchandising'!$A:$D,3,)</f>
        <v/>
      </c>
      <c r="R39" s="53">
        <f>VLOOKUP(B39,'General Merchandising'!$A:$D,4,)</f>
        <v/>
      </c>
      <c r="S39" s="52">
        <f>VLOOKUP(B39,'Gas Station'!$A:$D,3,)</f>
        <v/>
      </c>
      <c r="T39" s="53">
        <f>VLOOKUP(B39,'Gas Station'!$A:$D,4,)</f>
        <v/>
      </c>
      <c r="U39" s="52">
        <f>VLOOKUP(B39,Housing!$A:$D,3,)</f>
        <v/>
      </c>
      <c r="V39" s="53">
        <f>VLOOKUP(B39,Housing!$A:$D,4,)</f>
        <v/>
      </c>
      <c r="W39" s="52">
        <f>VLOOKUP(B39,Health!$A:$D,3,)</f>
        <v/>
      </c>
      <c r="X39" s="53">
        <f>VLOOKUP(B39,Health!$A:$D,4,)</f>
        <v/>
      </c>
      <c r="Y39" s="52">
        <f>VLOOKUP(B39,'Clothing and clothing access'!$A:$D,3,)</f>
        <v/>
      </c>
      <c r="Z39" s="53">
        <f>VLOOKUP(B39,'Clothing and clothing access'!$A:$D,4,)</f>
        <v/>
      </c>
      <c r="AA39" s="52">
        <f>VLOOKUP(B39,'Furniture Home'!$A:$D,3,)</f>
        <v/>
      </c>
      <c r="AB39" s="53">
        <f>VLOOKUP(B39,'Furniture Home'!$A:$D,4,)</f>
        <v/>
      </c>
      <c r="AC39" s="52">
        <f>VLOOKUP(B39,'Miscellaneous stores retailers'!$A:$D,3,)</f>
        <v/>
      </c>
      <c r="AD39" s="53">
        <f>VLOOKUP(B39,'Miscellaneous stores retailers'!$A:$D,4,)</f>
        <v/>
      </c>
      <c r="AE39" s="52">
        <f>VLOOKUP(B39,'Sporting Goods'!$A:$D,3,)</f>
        <v/>
      </c>
      <c r="AF39" s="53">
        <f>VLOOKUP(B39,'Sporting Goods'!$A:$D,4,)</f>
        <v/>
      </c>
    </row>
    <row r="40">
      <c r="B40" s="56" t="n">
        <v>44044</v>
      </c>
      <c r="C40" s="52">
        <f>VLOOKUP(B40,'Retail Sales'!A:D,3,)</f>
        <v/>
      </c>
      <c r="D40" s="53">
        <f>VLOOKUP(B40,'Retail Sales'!A:D,4,)</f>
        <v/>
      </c>
      <c r="E40" s="52">
        <f>VLOOKUP(B40,'Retail Sales ex Auto'!$A:$D,3,)</f>
        <v/>
      </c>
      <c r="F40" s="53">
        <f>VLOOKUP(B40,'Retail Sales ex Auto'!$A:$D,4,)</f>
        <v/>
      </c>
      <c r="G40" s="52">
        <f>VLOOKUP(B40,'Retail Sales ex Auto and Gas'!$A:$D,3,)</f>
        <v/>
      </c>
      <c r="H40" s="53">
        <f>VLOOKUP(B40,'Retail Sales ex Auto and Gas'!$A:$D,4,)</f>
        <v/>
      </c>
      <c r="I40" s="52">
        <f>VLOOKUP(B40,Motor!$A:$D,3,)</f>
        <v/>
      </c>
      <c r="J40" s="53">
        <f>VLOOKUP(B40,Motor!$A:$D,4,)</f>
        <v/>
      </c>
      <c r="K40" s="52">
        <f>VLOOKUP(B40,'Non Store Retail'!$A:$D,3,)</f>
        <v/>
      </c>
      <c r="L40" s="53">
        <f>VLOOKUP(B40,'Non Store Retail'!$A:$D,4,)</f>
        <v/>
      </c>
      <c r="M40" s="52">
        <f>VLOOKUP(B40,'Food and Beverage'!$A:$D,3,)</f>
        <v/>
      </c>
      <c r="N40" s="52">
        <f>VLOOKUP(B40,'Food and Beverage'!$A:$D,4,)</f>
        <v/>
      </c>
      <c r="O40" s="52">
        <f>VLOOKUP(B40,'Food Services'!$A:$D,3,)</f>
        <v/>
      </c>
      <c r="P40" s="53">
        <f>VLOOKUP(B40,'Food Services'!$A:$D,4,)</f>
        <v/>
      </c>
      <c r="Q40" s="52">
        <f>VLOOKUP(B40,'General Merchandising'!$A:$D,3,)</f>
        <v/>
      </c>
      <c r="R40" s="53">
        <f>VLOOKUP(B40,'General Merchandising'!$A:$D,4,)</f>
        <v/>
      </c>
      <c r="S40" s="52">
        <f>VLOOKUP(B40,'Gas Station'!$A:$D,3,)</f>
        <v/>
      </c>
      <c r="T40" s="53">
        <f>VLOOKUP(B40,'Gas Station'!$A:$D,4,)</f>
        <v/>
      </c>
      <c r="U40" s="52">
        <f>VLOOKUP(B40,Housing!$A:$D,3,)</f>
        <v/>
      </c>
      <c r="V40" s="53">
        <f>VLOOKUP(B40,Housing!$A:$D,4,)</f>
        <v/>
      </c>
      <c r="W40" s="52">
        <f>VLOOKUP(B40,Health!$A:$D,3,)</f>
        <v/>
      </c>
      <c r="X40" s="53">
        <f>VLOOKUP(B40,Health!$A:$D,4,)</f>
        <v/>
      </c>
      <c r="Y40" s="52">
        <f>VLOOKUP(B40,'Clothing and clothing access'!$A:$D,3,)</f>
        <v/>
      </c>
      <c r="Z40" s="53">
        <f>VLOOKUP(B40,'Clothing and clothing access'!$A:$D,4,)</f>
        <v/>
      </c>
      <c r="AA40" s="52">
        <f>VLOOKUP(B40,'Furniture Home'!$A:$D,3,)</f>
        <v/>
      </c>
      <c r="AB40" s="53">
        <f>VLOOKUP(B40,'Furniture Home'!$A:$D,4,)</f>
        <v/>
      </c>
      <c r="AC40" s="52">
        <f>VLOOKUP(B40,'Miscellaneous stores retailers'!$A:$D,3,)</f>
        <v/>
      </c>
      <c r="AD40" s="53">
        <f>VLOOKUP(B40,'Miscellaneous stores retailers'!$A:$D,4,)</f>
        <v/>
      </c>
      <c r="AE40" s="52">
        <f>VLOOKUP(B40,'Sporting Goods'!$A:$D,3,)</f>
        <v/>
      </c>
      <c r="AF40" s="53">
        <f>VLOOKUP(B40,'Sporting Goods'!$A:$D,4,)</f>
        <v/>
      </c>
    </row>
    <row r="41">
      <c r="B41" s="56" t="n">
        <v>44075</v>
      </c>
      <c r="C41" s="52">
        <f>VLOOKUP(B41,'Retail Sales'!A:D,3,)</f>
        <v/>
      </c>
      <c r="D41" s="53">
        <f>VLOOKUP(B41,'Retail Sales'!A:D,4,)</f>
        <v/>
      </c>
      <c r="E41" s="52">
        <f>VLOOKUP(B41,'Retail Sales ex Auto'!$A:$D,3,)</f>
        <v/>
      </c>
      <c r="F41" s="53">
        <f>VLOOKUP(B41,'Retail Sales ex Auto'!$A:$D,4,)</f>
        <v/>
      </c>
      <c r="G41" s="52">
        <f>VLOOKUP(B41,'Retail Sales ex Auto and Gas'!$A:$D,3,)</f>
        <v/>
      </c>
      <c r="H41" s="53">
        <f>VLOOKUP(B41,'Retail Sales ex Auto and Gas'!$A:$D,4,)</f>
        <v/>
      </c>
      <c r="I41" s="52">
        <f>VLOOKUP(B41,Motor!$A:$D,3,)</f>
        <v/>
      </c>
      <c r="J41" s="53">
        <f>VLOOKUP(B41,Motor!$A:$D,4,)</f>
        <v/>
      </c>
      <c r="K41" s="52">
        <f>VLOOKUP(B41,'Non Store Retail'!$A:$D,3,)</f>
        <v/>
      </c>
      <c r="L41" s="53">
        <f>VLOOKUP(B41,'Non Store Retail'!$A:$D,4,)</f>
        <v/>
      </c>
      <c r="M41" s="52">
        <f>VLOOKUP(B41,'Food and Beverage'!$A:$D,3,)</f>
        <v/>
      </c>
      <c r="N41" s="52">
        <f>VLOOKUP(B41,'Food and Beverage'!$A:$D,4,)</f>
        <v/>
      </c>
      <c r="O41" s="52">
        <f>VLOOKUP(B41,'Food Services'!$A:$D,3,)</f>
        <v/>
      </c>
      <c r="P41" s="53">
        <f>VLOOKUP(B41,'Food Services'!$A:$D,4,)</f>
        <v/>
      </c>
      <c r="Q41" s="52">
        <f>VLOOKUP(B41,'General Merchandising'!$A:$D,3,)</f>
        <v/>
      </c>
      <c r="R41" s="53">
        <f>VLOOKUP(B41,'General Merchandising'!$A:$D,4,)</f>
        <v/>
      </c>
      <c r="S41" s="52">
        <f>VLOOKUP(B41,'Gas Station'!$A:$D,3,)</f>
        <v/>
      </c>
      <c r="T41" s="53">
        <f>VLOOKUP(B41,'Gas Station'!$A:$D,4,)</f>
        <v/>
      </c>
      <c r="U41" s="52">
        <f>VLOOKUP(B41,Housing!$A:$D,3,)</f>
        <v/>
      </c>
      <c r="V41" s="53">
        <f>VLOOKUP(B41,Housing!$A:$D,4,)</f>
        <v/>
      </c>
      <c r="W41" s="52">
        <f>VLOOKUP(B41,Health!$A:$D,3,)</f>
        <v/>
      </c>
      <c r="X41" s="53">
        <f>VLOOKUP(B41,Health!$A:$D,4,)</f>
        <v/>
      </c>
      <c r="Y41" s="52">
        <f>VLOOKUP(B41,'Clothing and clothing access'!$A:$D,3,)</f>
        <v/>
      </c>
      <c r="Z41" s="53">
        <f>VLOOKUP(B41,'Clothing and clothing access'!$A:$D,4,)</f>
        <v/>
      </c>
      <c r="AA41" s="52">
        <f>VLOOKUP(B41,'Furniture Home'!$A:$D,3,)</f>
        <v/>
      </c>
      <c r="AB41" s="53">
        <f>VLOOKUP(B41,'Furniture Home'!$A:$D,4,)</f>
        <v/>
      </c>
      <c r="AC41" s="52">
        <f>VLOOKUP(B41,'Miscellaneous stores retailers'!$A:$D,3,)</f>
        <v/>
      </c>
      <c r="AD41" s="53">
        <f>VLOOKUP(B41,'Miscellaneous stores retailers'!$A:$D,4,)</f>
        <v/>
      </c>
      <c r="AE41" s="52">
        <f>VLOOKUP(B41,'Sporting Goods'!$A:$D,3,)</f>
        <v/>
      </c>
      <c r="AF41" s="53">
        <f>VLOOKUP(B41,'Sporting Goods'!$A:$D,4,)</f>
        <v/>
      </c>
    </row>
    <row r="42">
      <c r="B42" s="56" t="n">
        <v>44105</v>
      </c>
      <c r="C42" s="52">
        <f>VLOOKUP(B42,'Retail Sales'!A:D,3,)</f>
        <v/>
      </c>
      <c r="D42" s="53">
        <f>VLOOKUP(B42,'Retail Sales'!A:D,4,)</f>
        <v/>
      </c>
      <c r="E42" s="52">
        <f>VLOOKUP(B42,'Retail Sales ex Auto'!$A:$D,3,)</f>
        <v/>
      </c>
      <c r="F42" s="53">
        <f>VLOOKUP(B42,'Retail Sales ex Auto'!$A:$D,4,)</f>
        <v/>
      </c>
      <c r="G42" s="52">
        <f>VLOOKUP(B42,'Retail Sales ex Auto and Gas'!$A:$D,3,)</f>
        <v/>
      </c>
      <c r="H42" s="53">
        <f>VLOOKUP(B42,'Retail Sales ex Auto and Gas'!$A:$D,4,)</f>
        <v/>
      </c>
      <c r="I42" s="52">
        <f>VLOOKUP(B42,Motor!$A:$D,3,)</f>
        <v/>
      </c>
      <c r="J42" s="53">
        <f>VLOOKUP(B42,Motor!$A:$D,4,)</f>
        <v/>
      </c>
      <c r="K42" s="52">
        <f>VLOOKUP(B42,'Non Store Retail'!$A:$D,3,)</f>
        <v/>
      </c>
      <c r="L42" s="53">
        <f>VLOOKUP(B42,'Non Store Retail'!$A:$D,4,)</f>
        <v/>
      </c>
      <c r="M42" s="52">
        <f>VLOOKUP(B42,'Food and Beverage'!$A:$D,3,)</f>
        <v/>
      </c>
      <c r="N42" s="52">
        <f>VLOOKUP(B42,'Food and Beverage'!$A:$D,4,)</f>
        <v/>
      </c>
      <c r="O42" s="52">
        <f>VLOOKUP(B42,'Food Services'!$A:$D,3,)</f>
        <v/>
      </c>
      <c r="P42" s="53">
        <f>VLOOKUP(B42,'Food Services'!$A:$D,4,)</f>
        <v/>
      </c>
      <c r="Q42" s="52">
        <f>VLOOKUP(B42,'General Merchandising'!$A:$D,3,)</f>
        <v/>
      </c>
      <c r="R42" s="53">
        <f>VLOOKUP(B42,'General Merchandising'!$A:$D,4,)</f>
        <v/>
      </c>
      <c r="S42" s="52">
        <f>VLOOKUP(B42,'Gas Station'!$A:$D,3,)</f>
        <v/>
      </c>
      <c r="T42" s="53">
        <f>VLOOKUP(B42,'Gas Station'!$A:$D,4,)</f>
        <v/>
      </c>
      <c r="U42" s="52">
        <f>VLOOKUP(B42,Housing!$A:$D,3,)</f>
        <v/>
      </c>
      <c r="V42" s="53">
        <f>VLOOKUP(B42,Housing!$A:$D,4,)</f>
        <v/>
      </c>
      <c r="W42" s="52">
        <f>VLOOKUP(B42,Health!$A:$D,3,)</f>
        <v/>
      </c>
      <c r="X42" s="53">
        <f>VLOOKUP(B42,Health!$A:$D,4,)</f>
        <v/>
      </c>
      <c r="Y42" s="52">
        <f>VLOOKUP(B42,'Clothing and clothing access'!$A:$D,3,)</f>
        <v/>
      </c>
      <c r="Z42" s="53">
        <f>VLOOKUP(B42,'Clothing and clothing access'!$A:$D,4,)</f>
        <v/>
      </c>
      <c r="AA42" s="52">
        <f>VLOOKUP(B42,'Furniture Home'!$A:$D,3,)</f>
        <v/>
      </c>
      <c r="AB42" s="53">
        <f>VLOOKUP(B42,'Furniture Home'!$A:$D,4,)</f>
        <v/>
      </c>
      <c r="AC42" s="52">
        <f>VLOOKUP(B42,'Miscellaneous stores retailers'!$A:$D,3,)</f>
        <v/>
      </c>
      <c r="AD42" s="53">
        <f>VLOOKUP(B42,'Miscellaneous stores retailers'!$A:$D,4,)</f>
        <v/>
      </c>
      <c r="AE42" s="52">
        <f>VLOOKUP(B42,'Sporting Goods'!$A:$D,3,)</f>
        <v/>
      </c>
      <c r="AF42" s="53">
        <f>VLOOKUP(B42,'Sporting Goods'!$A:$D,4,)</f>
        <v/>
      </c>
    </row>
    <row r="43">
      <c r="B43" s="56" t="n">
        <v>44136</v>
      </c>
      <c r="C43" s="52">
        <f>VLOOKUP(B43,'Retail Sales'!A:D,3,)</f>
        <v/>
      </c>
      <c r="D43" s="53">
        <f>VLOOKUP(B43,'Retail Sales'!A:D,4,)</f>
        <v/>
      </c>
      <c r="E43" s="52">
        <f>VLOOKUP(B43,'Retail Sales ex Auto'!$A:$D,3,)</f>
        <v/>
      </c>
      <c r="F43" s="53">
        <f>VLOOKUP(B43,'Retail Sales ex Auto'!$A:$D,4,)</f>
        <v/>
      </c>
      <c r="G43" s="52">
        <f>VLOOKUP(B43,'Retail Sales ex Auto and Gas'!$A:$D,3,)</f>
        <v/>
      </c>
      <c r="H43" s="53">
        <f>VLOOKUP(B43,'Retail Sales ex Auto and Gas'!$A:$D,4,)</f>
        <v/>
      </c>
      <c r="I43" s="52">
        <f>VLOOKUP(B43,Motor!$A:$D,3,)</f>
        <v/>
      </c>
      <c r="J43" s="53">
        <f>VLOOKUP(B43,Motor!$A:$D,4,)</f>
        <v/>
      </c>
      <c r="K43" s="52">
        <f>VLOOKUP(B43,'Non Store Retail'!$A:$D,3,)</f>
        <v/>
      </c>
      <c r="L43" s="53">
        <f>VLOOKUP(B43,'Non Store Retail'!$A:$D,4,)</f>
        <v/>
      </c>
      <c r="M43" s="52">
        <f>VLOOKUP(B43,'Food and Beverage'!$A:$D,3,)</f>
        <v/>
      </c>
      <c r="N43" s="52">
        <f>VLOOKUP(B43,'Food and Beverage'!$A:$D,4,)</f>
        <v/>
      </c>
      <c r="O43" s="52">
        <f>VLOOKUP(B43,'Food Services'!$A:$D,3,)</f>
        <v/>
      </c>
      <c r="P43" s="53">
        <f>VLOOKUP(B43,'Food Services'!$A:$D,4,)</f>
        <v/>
      </c>
      <c r="Q43" s="52">
        <f>VLOOKUP(B43,'General Merchandising'!$A:$D,3,)</f>
        <v/>
      </c>
      <c r="R43" s="53">
        <f>VLOOKUP(B43,'General Merchandising'!$A:$D,4,)</f>
        <v/>
      </c>
      <c r="S43" s="52">
        <f>VLOOKUP(B43,'Gas Station'!$A:$D,3,)</f>
        <v/>
      </c>
      <c r="T43" s="53">
        <f>VLOOKUP(B43,'Gas Station'!$A:$D,4,)</f>
        <v/>
      </c>
      <c r="U43" s="52">
        <f>VLOOKUP(B43,Housing!$A:$D,3,)</f>
        <v/>
      </c>
      <c r="V43" s="53">
        <f>VLOOKUP(B43,Housing!$A:$D,4,)</f>
        <v/>
      </c>
      <c r="W43" s="52">
        <f>VLOOKUP(B43,Health!$A:$D,3,)</f>
        <v/>
      </c>
      <c r="X43" s="53">
        <f>VLOOKUP(B43,Health!$A:$D,4,)</f>
        <v/>
      </c>
      <c r="Y43" s="52">
        <f>VLOOKUP(B43,'Clothing and clothing access'!$A:$D,3,)</f>
        <v/>
      </c>
      <c r="Z43" s="53">
        <f>VLOOKUP(B43,'Clothing and clothing access'!$A:$D,4,)</f>
        <v/>
      </c>
      <c r="AA43" s="52">
        <f>VLOOKUP(B43,'Furniture Home'!$A:$D,3,)</f>
        <v/>
      </c>
      <c r="AB43" s="53">
        <f>VLOOKUP(B43,'Furniture Home'!$A:$D,4,)</f>
        <v/>
      </c>
      <c r="AC43" s="52">
        <f>VLOOKUP(B43,'Miscellaneous stores retailers'!$A:$D,3,)</f>
        <v/>
      </c>
      <c r="AD43" s="53">
        <f>VLOOKUP(B43,'Miscellaneous stores retailers'!$A:$D,4,)</f>
        <v/>
      </c>
      <c r="AE43" s="52">
        <f>VLOOKUP(B43,'Sporting Goods'!$A:$D,3,)</f>
        <v/>
      </c>
      <c r="AF43" s="53">
        <f>VLOOKUP(B43,'Sporting Goods'!$A:$D,4,)</f>
        <v/>
      </c>
    </row>
    <row r="44">
      <c r="B44" s="56" t="n">
        <v>44166</v>
      </c>
      <c r="C44" s="52">
        <f>VLOOKUP(B44,'Retail Sales'!A:D,3,)</f>
        <v/>
      </c>
      <c r="D44" s="53">
        <f>VLOOKUP(B44,'Retail Sales'!A:D,4,)</f>
        <v/>
      </c>
      <c r="E44" s="52">
        <f>VLOOKUP(B44,'Retail Sales ex Auto'!$A:$D,3,)</f>
        <v/>
      </c>
      <c r="F44" s="53">
        <f>VLOOKUP(B44,'Retail Sales ex Auto'!$A:$D,4,)</f>
        <v/>
      </c>
      <c r="G44" s="52">
        <f>VLOOKUP(B44,'Retail Sales ex Auto and Gas'!$A:$D,3,)</f>
        <v/>
      </c>
      <c r="H44" s="53">
        <f>VLOOKUP(B44,'Retail Sales ex Auto and Gas'!$A:$D,4,)</f>
        <v/>
      </c>
      <c r="I44" s="52">
        <f>VLOOKUP(B44,Motor!$A:$D,3,)</f>
        <v/>
      </c>
      <c r="J44" s="53">
        <f>VLOOKUP(B44,Motor!$A:$D,4,)</f>
        <v/>
      </c>
      <c r="K44" s="52">
        <f>VLOOKUP(B44,'Non Store Retail'!$A:$D,3,)</f>
        <v/>
      </c>
      <c r="L44" s="53">
        <f>VLOOKUP(B44,'Non Store Retail'!$A:$D,4,)</f>
        <v/>
      </c>
      <c r="M44" s="52">
        <f>VLOOKUP(B44,'Food and Beverage'!$A:$D,3,)</f>
        <v/>
      </c>
      <c r="N44" s="52">
        <f>VLOOKUP(B44,'Food and Beverage'!$A:$D,4,)</f>
        <v/>
      </c>
      <c r="O44" s="52">
        <f>VLOOKUP(B44,'Food Services'!$A:$D,3,)</f>
        <v/>
      </c>
      <c r="P44" s="53">
        <f>VLOOKUP(B44,'Food Services'!$A:$D,4,)</f>
        <v/>
      </c>
      <c r="Q44" s="52">
        <f>VLOOKUP(B44,'General Merchandising'!$A:$D,3,)</f>
        <v/>
      </c>
      <c r="R44" s="53">
        <f>VLOOKUP(B44,'General Merchandising'!$A:$D,4,)</f>
        <v/>
      </c>
      <c r="S44" s="52">
        <f>VLOOKUP(B44,'Gas Station'!$A:$D,3,)</f>
        <v/>
      </c>
      <c r="T44" s="53">
        <f>VLOOKUP(B44,'Gas Station'!$A:$D,4,)</f>
        <v/>
      </c>
      <c r="U44" s="52">
        <f>VLOOKUP(B44,Housing!$A:$D,3,)</f>
        <v/>
      </c>
      <c r="V44" s="53">
        <f>VLOOKUP(B44,Housing!$A:$D,4,)</f>
        <v/>
      </c>
      <c r="W44" s="52">
        <f>VLOOKUP(B44,Health!$A:$D,3,)</f>
        <v/>
      </c>
      <c r="X44" s="53">
        <f>VLOOKUP(B44,Health!$A:$D,4,)</f>
        <v/>
      </c>
      <c r="Y44" s="52">
        <f>VLOOKUP(B44,'Clothing and clothing access'!$A:$D,3,)</f>
        <v/>
      </c>
      <c r="Z44" s="53">
        <f>VLOOKUP(B44,'Clothing and clothing access'!$A:$D,4,)</f>
        <v/>
      </c>
      <c r="AA44" s="52">
        <f>VLOOKUP(B44,'Furniture Home'!$A:$D,3,)</f>
        <v/>
      </c>
      <c r="AB44" s="53">
        <f>VLOOKUP(B44,'Furniture Home'!$A:$D,4,)</f>
        <v/>
      </c>
      <c r="AC44" s="52">
        <f>VLOOKUP(B44,'Miscellaneous stores retailers'!$A:$D,3,)</f>
        <v/>
      </c>
      <c r="AD44" s="53">
        <f>VLOOKUP(B44,'Miscellaneous stores retailers'!$A:$D,4,)</f>
        <v/>
      </c>
      <c r="AE44" s="52">
        <f>VLOOKUP(B44,'Sporting Goods'!$A:$D,3,)</f>
        <v/>
      </c>
      <c r="AF44" s="53">
        <f>VLOOKUP(B44,'Sporting Goods'!$A:$D,4,)</f>
        <v/>
      </c>
    </row>
    <row r="45">
      <c r="B45" s="56" t="n">
        <v>44197</v>
      </c>
      <c r="C45" s="52">
        <f>VLOOKUP(B45,'Retail Sales'!A:D,3,)</f>
        <v/>
      </c>
      <c r="D45" s="53">
        <f>VLOOKUP(B45,'Retail Sales'!A:D,4,)</f>
        <v/>
      </c>
      <c r="E45" s="52">
        <f>VLOOKUP(B45,'Retail Sales ex Auto'!$A:$D,3,)</f>
        <v/>
      </c>
      <c r="F45" s="53">
        <f>VLOOKUP(B45,'Retail Sales ex Auto'!$A:$D,4,)</f>
        <v/>
      </c>
      <c r="G45" s="52">
        <f>VLOOKUP(B45,'Retail Sales ex Auto and Gas'!$A:$D,3,)</f>
        <v/>
      </c>
      <c r="H45" s="53">
        <f>VLOOKUP(B45,'Retail Sales ex Auto and Gas'!$A:$D,4,)</f>
        <v/>
      </c>
      <c r="I45" s="52">
        <f>VLOOKUP(B45,Motor!$A:$D,3,)</f>
        <v/>
      </c>
      <c r="J45" s="53">
        <f>VLOOKUP(B45,Motor!$A:$D,4,)</f>
        <v/>
      </c>
      <c r="K45" s="52">
        <f>VLOOKUP(B45,'Non Store Retail'!$A:$D,3,)</f>
        <v/>
      </c>
      <c r="L45" s="53">
        <f>VLOOKUP(B45,'Non Store Retail'!$A:$D,4,)</f>
        <v/>
      </c>
      <c r="M45" s="52">
        <f>VLOOKUP(B45,'Food and Beverage'!$A:$D,3,)</f>
        <v/>
      </c>
      <c r="N45" s="52">
        <f>VLOOKUP(B45,'Food and Beverage'!$A:$D,4,)</f>
        <v/>
      </c>
      <c r="O45" s="52">
        <f>VLOOKUP(B45,'Food Services'!$A:$D,3,)</f>
        <v/>
      </c>
      <c r="P45" s="53">
        <f>VLOOKUP(B45,'Food Services'!$A:$D,4,)</f>
        <v/>
      </c>
      <c r="Q45" s="52">
        <f>VLOOKUP(B45,'General Merchandising'!$A:$D,3,)</f>
        <v/>
      </c>
      <c r="R45" s="53">
        <f>VLOOKUP(B45,'General Merchandising'!$A:$D,4,)</f>
        <v/>
      </c>
      <c r="S45" s="52">
        <f>VLOOKUP(B45,'Gas Station'!$A:$D,3,)</f>
        <v/>
      </c>
      <c r="T45" s="53">
        <f>VLOOKUP(B45,'Gas Station'!$A:$D,4,)</f>
        <v/>
      </c>
      <c r="U45" s="52">
        <f>VLOOKUP(B45,Housing!$A:$D,3,)</f>
        <v/>
      </c>
      <c r="V45" s="53">
        <f>VLOOKUP(B45,Housing!$A:$D,4,)</f>
        <v/>
      </c>
      <c r="W45" s="52">
        <f>VLOOKUP(B45,Health!$A:$D,3,)</f>
        <v/>
      </c>
      <c r="X45" s="53">
        <f>VLOOKUP(B45,Health!$A:$D,4,)</f>
        <v/>
      </c>
      <c r="Y45" s="52">
        <f>VLOOKUP(B45,'Clothing and clothing access'!$A:$D,3,)</f>
        <v/>
      </c>
      <c r="Z45" s="53">
        <f>VLOOKUP(B45,'Clothing and clothing access'!$A:$D,4,)</f>
        <v/>
      </c>
      <c r="AA45" s="52">
        <f>VLOOKUP(B45,'Furniture Home'!$A:$D,3,)</f>
        <v/>
      </c>
      <c r="AB45" s="53">
        <f>VLOOKUP(B45,'Furniture Home'!$A:$D,4,)</f>
        <v/>
      </c>
      <c r="AC45" s="52">
        <f>VLOOKUP(B45,'Miscellaneous stores retailers'!$A:$D,3,)</f>
        <v/>
      </c>
      <c r="AD45" s="53">
        <f>VLOOKUP(B45,'Miscellaneous stores retailers'!$A:$D,4,)</f>
        <v/>
      </c>
      <c r="AE45" s="52">
        <f>VLOOKUP(B45,'Sporting Goods'!$A:$D,3,)</f>
        <v/>
      </c>
      <c r="AF45" s="53">
        <f>VLOOKUP(B45,'Sporting Goods'!$A:$D,4,)</f>
        <v/>
      </c>
    </row>
    <row r="46">
      <c r="B46" s="56" t="n">
        <v>44228</v>
      </c>
      <c r="C46" s="52">
        <f>VLOOKUP(B46,'Retail Sales'!A:D,3,)</f>
        <v/>
      </c>
      <c r="D46" s="53">
        <f>VLOOKUP(B46,'Retail Sales'!A:D,4,)</f>
        <v/>
      </c>
      <c r="E46" s="52">
        <f>VLOOKUP(B46,'Retail Sales ex Auto'!$A:$D,3,)</f>
        <v/>
      </c>
      <c r="F46" s="53">
        <f>VLOOKUP(B46,'Retail Sales ex Auto'!$A:$D,4,)</f>
        <v/>
      </c>
      <c r="G46" s="52">
        <f>VLOOKUP(B46,'Retail Sales ex Auto and Gas'!$A:$D,3,)</f>
        <v/>
      </c>
      <c r="H46" s="53">
        <f>VLOOKUP(B46,'Retail Sales ex Auto and Gas'!$A:$D,4,)</f>
        <v/>
      </c>
      <c r="I46" s="52">
        <f>VLOOKUP(B46,Motor!$A:$D,3,)</f>
        <v/>
      </c>
      <c r="J46" s="53">
        <f>VLOOKUP(B46,Motor!$A:$D,4,)</f>
        <v/>
      </c>
      <c r="K46" s="52">
        <f>VLOOKUP(B46,'Non Store Retail'!$A:$D,3,)</f>
        <v/>
      </c>
      <c r="L46" s="53">
        <f>VLOOKUP(B46,'Non Store Retail'!$A:$D,4,)</f>
        <v/>
      </c>
      <c r="M46" s="52">
        <f>VLOOKUP(B46,'Food and Beverage'!$A:$D,3,)</f>
        <v/>
      </c>
      <c r="N46" s="52">
        <f>VLOOKUP(B46,'Food and Beverage'!$A:$D,4,)</f>
        <v/>
      </c>
      <c r="O46" s="52">
        <f>VLOOKUP(B46,'Food Services'!$A:$D,3,)</f>
        <v/>
      </c>
      <c r="P46" s="53">
        <f>VLOOKUP(B46,'Food Services'!$A:$D,4,)</f>
        <v/>
      </c>
      <c r="Q46" s="52">
        <f>VLOOKUP(B46,'General Merchandising'!$A:$D,3,)</f>
        <v/>
      </c>
      <c r="R46" s="53">
        <f>VLOOKUP(B46,'General Merchandising'!$A:$D,4,)</f>
        <v/>
      </c>
      <c r="S46" s="52">
        <f>VLOOKUP(B46,'Gas Station'!$A:$D,3,)</f>
        <v/>
      </c>
      <c r="T46" s="53">
        <f>VLOOKUP(B46,'Gas Station'!$A:$D,4,)</f>
        <v/>
      </c>
      <c r="U46" s="52">
        <f>VLOOKUP(B46,Housing!$A:$D,3,)</f>
        <v/>
      </c>
      <c r="V46" s="53">
        <f>VLOOKUP(B46,Housing!$A:$D,4,)</f>
        <v/>
      </c>
      <c r="W46" s="52">
        <f>VLOOKUP(B46,Health!$A:$D,3,)</f>
        <v/>
      </c>
      <c r="X46" s="53">
        <f>VLOOKUP(B46,Health!$A:$D,4,)</f>
        <v/>
      </c>
      <c r="Y46" s="52">
        <f>VLOOKUP(B46,'Clothing and clothing access'!$A:$D,3,)</f>
        <v/>
      </c>
      <c r="Z46" s="53">
        <f>VLOOKUP(B46,'Clothing and clothing access'!$A:$D,4,)</f>
        <v/>
      </c>
      <c r="AA46" s="52">
        <f>VLOOKUP(B46,'Furniture Home'!$A:$D,3,)</f>
        <v/>
      </c>
      <c r="AB46" s="53">
        <f>VLOOKUP(B46,'Furniture Home'!$A:$D,4,)</f>
        <v/>
      </c>
      <c r="AC46" s="52">
        <f>VLOOKUP(B46,'Miscellaneous stores retailers'!$A:$D,3,)</f>
        <v/>
      </c>
      <c r="AD46" s="53">
        <f>VLOOKUP(B46,'Miscellaneous stores retailers'!$A:$D,4,)</f>
        <v/>
      </c>
      <c r="AE46" s="52">
        <f>VLOOKUP(B46,'Sporting Goods'!$A:$D,3,)</f>
        <v/>
      </c>
      <c r="AF46" s="53">
        <f>VLOOKUP(B46,'Sporting Goods'!$A:$D,4,)</f>
        <v/>
      </c>
    </row>
    <row r="47">
      <c r="B47" s="56" t="n">
        <v>44256</v>
      </c>
      <c r="C47" s="52">
        <f>VLOOKUP(B47,'Retail Sales'!A:D,3,)</f>
        <v/>
      </c>
      <c r="D47" s="53">
        <f>VLOOKUP(B47,'Retail Sales'!A:D,4,)</f>
        <v/>
      </c>
      <c r="E47" s="52">
        <f>VLOOKUP(B47,'Retail Sales ex Auto'!$A:$D,3,)</f>
        <v/>
      </c>
      <c r="F47" s="53">
        <f>VLOOKUP(B47,'Retail Sales ex Auto'!$A:$D,4,)</f>
        <v/>
      </c>
      <c r="G47" s="52">
        <f>VLOOKUP(B47,'Retail Sales ex Auto and Gas'!$A:$D,3,)</f>
        <v/>
      </c>
      <c r="H47" s="53">
        <f>VLOOKUP(B47,'Retail Sales ex Auto and Gas'!$A:$D,4,)</f>
        <v/>
      </c>
      <c r="I47" s="52">
        <f>VLOOKUP(B47,Motor!$A:$D,3,)</f>
        <v/>
      </c>
      <c r="J47" s="53">
        <f>VLOOKUP(B47,Motor!$A:$D,4,)</f>
        <v/>
      </c>
      <c r="K47" s="52">
        <f>VLOOKUP(B47,'Non Store Retail'!$A:$D,3,)</f>
        <v/>
      </c>
      <c r="L47" s="53">
        <f>VLOOKUP(B47,'Non Store Retail'!$A:$D,4,)</f>
        <v/>
      </c>
      <c r="M47" s="52">
        <f>VLOOKUP(B47,'Food and Beverage'!$A:$D,3,)</f>
        <v/>
      </c>
      <c r="N47" s="52">
        <f>VLOOKUP(B47,'Food and Beverage'!$A:$D,4,)</f>
        <v/>
      </c>
      <c r="O47" s="52">
        <f>VLOOKUP(B47,'Food Services'!$A:$D,3,)</f>
        <v/>
      </c>
      <c r="P47" s="53">
        <f>VLOOKUP(B47,'Food Services'!$A:$D,4,)</f>
        <v/>
      </c>
      <c r="Q47" s="52">
        <f>VLOOKUP(B47,'General Merchandising'!$A:$D,3,)</f>
        <v/>
      </c>
      <c r="R47" s="53">
        <f>VLOOKUP(B47,'General Merchandising'!$A:$D,4,)</f>
        <v/>
      </c>
      <c r="S47" s="52">
        <f>VLOOKUP(B47,'Gas Station'!$A:$D,3,)</f>
        <v/>
      </c>
      <c r="T47" s="53">
        <f>VLOOKUP(B47,'Gas Station'!$A:$D,4,)</f>
        <v/>
      </c>
      <c r="U47" s="52">
        <f>VLOOKUP(B47,Housing!$A:$D,3,)</f>
        <v/>
      </c>
      <c r="V47" s="53">
        <f>VLOOKUP(B47,Housing!$A:$D,4,)</f>
        <v/>
      </c>
      <c r="W47" s="52">
        <f>VLOOKUP(B47,Health!$A:$D,3,)</f>
        <v/>
      </c>
      <c r="X47" s="53">
        <f>VLOOKUP(B47,Health!$A:$D,4,)</f>
        <v/>
      </c>
      <c r="Y47" s="52">
        <f>VLOOKUP(B47,'Clothing and clothing access'!$A:$D,3,)</f>
        <v/>
      </c>
      <c r="Z47" s="53">
        <f>VLOOKUP(B47,'Clothing and clothing access'!$A:$D,4,)</f>
        <v/>
      </c>
      <c r="AA47" s="52">
        <f>VLOOKUP(B47,'Furniture Home'!$A:$D,3,)</f>
        <v/>
      </c>
      <c r="AB47" s="53">
        <f>VLOOKUP(B47,'Furniture Home'!$A:$D,4,)</f>
        <v/>
      </c>
      <c r="AC47" s="52">
        <f>VLOOKUP(B47,'Miscellaneous stores retailers'!$A:$D,3,)</f>
        <v/>
      </c>
      <c r="AD47" s="53">
        <f>VLOOKUP(B47,'Miscellaneous stores retailers'!$A:$D,4,)</f>
        <v/>
      </c>
      <c r="AE47" s="52">
        <f>VLOOKUP(B47,'Sporting Goods'!$A:$D,3,)</f>
        <v/>
      </c>
      <c r="AF47" s="53">
        <f>VLOOKUP(B47,'Sporting Goods'!$A:$D,4,)</f>
        <v/>
      </c>
    </row>
    <row r="48">
      <c r="B48" s="56" t="n">
        <v>44287</v>
      </c>
      <c r="C48" s="52">
        <f>VLOOKUP(B48,'Retail Sales'!A:D,3,)</f>
        <v/>
      </c>
      <c r="D48" s="53">
        <f>VLOOKUP(B48,'Retail Sales'!A:D,4,)</f>
        <v/>
      </c>
      <c r="E48" s="52">
        <f>VLOOKUP(B48,'Retail Sales ex Auto'!$A:$D,3,)</f>
        <v/>
      </c>
      <c r="F48" s="53">
        <f>VLOOKUP(B48,'Retail Sales ex Auto'!$A:$D,4,)</f>
        <v/>
      </c>
      <c r="G48" s="52">
        <f>VLOOKUP(B48,'Retail Sales ex Auto and Gas'!$A:$D,3,)</f>
        <v/>
      </c>
      <c r="H48" s="53">
        <f>VLOOKUP(B48,'Retail Sales ex Auto and Gas'!$A:$D,4,)</f>
        <v/>
      </c>
      <c r="I48" s="52">
        <f>VLOOKUP(B48,Motor!$A:$D,3,)</f>
        <v/>
      </c>
      <c r="J48" s="53">
        <f>VLOOKUP(B48,Motor!$A:$D,4,)</f>
        <v/>
      </c>
      <c r="K48" s="52">
        <f>VLOOKUP(B48,'Non Store Retail'!$A:$D,3,)</f>
        <v/>
      </c>
      <c r="L48" s="53">
        <f>VLOOKUP(B48,'Non Store Retail'!$A:$D,4,)</f>
        <v/>
      </c>
      <c r="M48" s="52">
        <f>VLOOKUP(B48,'Food and Beverage'!$A:$D,3,)</f>
        <v/>
      </c>
      <c r="N48" s="52">
        <f>VLOOKUP(B48,'Food and Beverage'!$A:$D,4,)</f>
        <v/>
      </c>
      <c r="O48" s="52">
        <f>VLOOKUP(B48,'Food Services'!$A:$D,3,)</f>
        <v/>
      </c>
      <c r="P48" s="53">
        <f>VLOOKUP(B48,'Food Services'!$A:$D,4,)</f>
        <v/>
      </c>
      <c r="Q48" s="52">
        <f>VLOOKUP(B48,'General Merchandising'!$A:$D,3,)</f>
        <v/>
      </c>
      <c r="R48" s="53">
        <f>VLOOKUP(B48,'General Merchandising'!$A:$D,4,)</f>
        <v/>
      </c>
      <c r="S48" s="52">
        <f>VLOOKUP(B48,'Gas Station'!$A:$D,3,)</f>
        <v/>
      </c>
      <c r="T48" s="53">
        <f>VLOOKUP(B48,'Gas Station'!$A:$D,4,)</f>
        <v/>
      </c>
      <c r="U48" s="52">
        <f>VLOOKUP(B48,Housing!$A:$D,3,)</f>
        <v/>
      </c>
      <c r="V48" s="53">
        <f>VLOOKUP(B48,Housing!$A:$D,4,)</f>
        <v/>
      </c>
      <c r="W48" s="52">
        <f>VLOOKUP(B48,Health!$A:$D,3,)</f>
        <v/>
      </c>
      <c r="X48" s="53">
        <f>VLOOKUP(B48,Health!$A:$D,4,)</f>
        <v/>
      </c>
      <c r="Y48" s="52">
        <f>VLOOKUP(B48,'Clothing and clothing access'!$A:$D,3,)</f>
        <v/>
      </c>
      <c r="Z48" s="53">
        <f>VLOOKUP(B48,'Clothing and clothing access'!$A:$D,4,)</f>
        <v/>
      </c>
      <c r="AA48" s="52">
        <f>VLOOKUP(B48,'Furniture Home'!$A:$D,3,)</f>
        <v/>
      </c>
      <c r="AB48" s="53">
        <f>VLOOKUP(B48,'Furniture Home'!$A:$D,4,)</f>
        <v/>
      </c>
      <c r="AC48" s="52">
        <f>VLOOKUP(B48,'Miscellaneous stores retailers'!$A:$D,3,)</f>
        <v/>
      </c>
      <c r="AD48" s="53">
        <f>VLOOKUP(B48,'Miscellaneous stores retailers'!$A:$D,4,)</f>
        <v/>
      </c>
      <c r="AE48" s="52">
        <f>VLOOKUP(B48,'Sporting Goods'!$A:$D,3,)</f>
        <v/>
      </c>
      <c r="AF48" s="53">
        <f>VLOOKUP(B48,'Sporting Goods'!$A:$D,4,)</f>
        <v/>
      </c>
    </row>
    <row r="49">
      <c r="B49" s="56" t="n">
        <v>44317</v>
      </c>
      <c r="C49" s="52">
        <f>VLOOKUP(B49,'Retail Sales'!A:D,3,)</f>
        <v/>
      </c>
      <c r="D49" s="53">
        <f>VLOOKUP(B49,'Retail Sales'!A:D,4,)</f>
        <v/>
      </c>
      <c r="E49" s="52">
        <f>VLOOKUP(B49,'Retail Sales ex Auto'!$A:$D,3,)</f>
        <v/>
      </c>
      <c r="F49" s="53">
        <f>VLOOKUP(B49,'Retail Sales ex Auto'!$A:$D,4,)</f>
        <v/>
      </c>
      <c r="G49" s="52">
        <f>VLOOKUP(B49,'Retail Sales ex Auto and Gas'!$A:$D,3,)</f>
        <v/>
      </c>
      <c r="H49" s="53">
        <f>VLOOKUP(B49,'Retail Sales ex Auto and Gas'!$A:$D,4,)</f>
        <v/>
      </c>
      <c r="I49" s="52">
        <f>VLOOKUP(B49,Motor!$A:$D,3,)</f>
        <v/>
      </c>
      <c r="J49" s="53">
        <f>VLOOKUP(B49,Motor!$A:$D,4,)</f>
        <v/>
      </c>
      <c r="K49" s="52">
        <f>VLOOKUP(B49,'Non Store Retail'!$A:$D,3,)</f>
        <v/>
      </c>
      <c r="L49" s="53">
        <f>VLOOKUP(B49,'Non Store Retail'!$A:$D,4,)</f>
        <v/>
      </c>
      <c r="M49" s="52">
        <f>VLOOKUP(B49,'Food and Beverage'!$A:$D,3,)</f>
        <v/>
      </c>
      <c r="N49" s="52">
        <f>VLOOKUP(B49,'Food and Beverage'!$A:$D,4,)</f>
        <v/>
      </c>
      <c r="O49" s="52">
        <f>VLOOKUP(B49,'Food Services'!$A:$D,3,)</f>
        <v/>
      </c>
      <c r="P49" s="53">
        <f>VLOOKUP(B49,'Food Services'!$A:$D,4,)</f>
        <v/>
      </c>
      <c r="Q49" s="52">
        <f>VLOOKUP(B49,'General Merchandising'!$A:$D,3,)</f>
        <v/>
      </c>
      <c r="R49" s="53">
        <f>VLOOKUP(B49,'General Merchandising'!$A:$D,4,)</f>
        <v/>
      </c>
      <c r="S49" s="52">
        <f>VLOOKUP(B49,'Gas Station'!$A:$D,3,)</f>
        <v/>
      </c>
      <c r="T49" s="53">
        <f>VLOOKUP(B49,'Gas Station'!$A:$D,4,)</f>
        <v/>
      </c>
      <c r="U49" s="52">
        <f>VLOOKUP(B49,Housing!$A:$D,3,)</f>
        <v/>
      </c>
      <c r="V49" s="53">
        <f>VLOOKUP(B49,Housing!$A:$D,4,)</f>
        <v/>
      </c>
      <c r="W49" s="52">
        <f>VLOOKUP(B49,Health!$A:$D,3,)</f>
        <v/>
      </c>
      <c r="X49" s="53">
        <f>VLOOKUP(B49,Health!$A:$D,4,)</f>
        <v/>
      </c>
      <c r="Y49" s="52">
        <f>VLOOKUP(B49,'Clothing and clothing access'!$A:$D,3,)</f>
        <v/>
      </c>
      <c r="Z49" s="53">
        <f>VLOOKUP(B49,'Clothing and clothing access'!$A:$D,4,)</f>
        <v/>
      </c>
      <c r="AA49" s="52">
        <f>VLOOKUP(B49,'Furniture Home'!$A:$D,3,)</f>
        <v/>
      </c>
      <c r="AB49" s="53">
        <f>VLOOKUP(B49,'Furniture Home'!$A:$D,4,)</f>
        <v/>
      </c>
      <c r="AC49" s="52">
        <f>VLOOKUP(B49,'Miscellaneous stores retailers'!$A:$D,3,)</f>
        <v/>
      </c>
      <c r="AD49" s="53">
        <f>VLOOKUP(B49,'Miscellaneous stores retailers'!$A:$D,4,)</f>
        <v/>
      </c>
      <c r="AE49" s="52">
        <f>VLOOKUP(B49,'Sporting Goods'!$A:$D,3,)</f>
        <v/>
      </c>
      <c r="AF49" s="53">
        <f>VLOOKUP(B49,'Sporting Goods'!$A:$D,4,)</f>
        <v/>
      </c>
    </row>
    <row r="50">
      <c r="B50" s="56" t="n">
        <v>44348</v>
      </c>
      <c r="C50" s="52">
        <f>VLOOKUP(B50,'Retail Sales'!A:D,3,)</f>
        <v/>
      </c>
      <c r="D50" s="53">
        <f>VLOOKUP(B50,'Retail Sales'!A:D,4,)</f>
        <v/>
      </c>
      <c r="E50" s="52">
        <f>VLOOKUP(B50,'Retail Sales ex Auto'!$A:$D,3,)</f>
        <v/>
      </c>
      <c r="F50" s="53">
        <f>VLOOKUP(B50,'Retail Sales ex Auto'!$A:$D,4,)</f>
        <v/>
      </c>
      <c r="G50" s="52">
        <f>VLOOKUP(B50,'Retail Sales ex Auto and Gas'!$A:$D,3,)</f>
        <v/>
      </c>
      <c r="H50" s="53">
        <f>VLOOKUP(B50,'Retail Sales ex Auto and Gas'!$A:$D,4,)</f>
        <v/>
      </c>
      <c r="I50" s="52">
        <f>VLOOKUP(B50,Motor!$A:$D,3,)</f>
        <v/>
      </c>
      <c r="J50" s="53">
        <f>VLOOKUP(B50,Motor!$A:$D,4,)</f>
        <v/>
      </c>
      <c r="K50" s="52">
        <f>VLOOKUP(B50,'Non Store Retail'!$A:$D,3,)</f>
        <v/>
      </c>
      <c r="L50" s="53">
        <f>VLOOKUP(B50,'Non Store Retail'!$A:$D,4,)</f>
        <v/>
      </c>
      <c r="M50" s="52">
        <f>VLOOKUP(B50,'Food and Beverage'!$A:$D,3,)</f>
        <v/>
      </c>
      <c r="N50" s="52">
        <f>VLOOKUP(B50,'Food and Beverage'!$A:$D,4,)</f>
        <v/>
      </c>
      <c r="O50" s="52">
        <f>VLOOKUP(B50,'Food Services'!$A:$D,3,)</f>
        <v/>
      </c>
      <c r="P50" s="53">
        <f>VLOOKUP(B50,'Food Services'!$A:$D,4,)</f>
        <v/>
      </c>
      <c r="Q50" s="52">
        <f>VLOOKUP(B50,'General Merchandising'!$A:$D,3,)</f>
        <v/>
      </c>
      <c r="R50" s="53">
        <f>VLOOKUP(B50,'General Merchandising'!$A:$D,4,)</f>
        <v/>
      </c>
      <c r="S50" s="52">
        <f>VLOOKUP(B50,'Gas Station'!$A:$D,3,)</f>
        <v/>
      </c>
      <c r="T50" s="53">
        <f>VLOOKUP(B50,'Gas Station'!$A:$D,4,)</f>
        <v/>
      </c>
      <c r="U50" s="52">
        <f>VLOOKUP(B50,Housing!$A:$D,3,)</f>
        <v/>
      </c>
      <c r="V50" s="53">
        <f>VLOOKUP(B50,Housing!$A:$D,4,)</f>
        <v/>
      </c>
      <c r="W50" s="52">
        <f>VLOOKUP(B50,Health!$A:$D,3,)</f>
        <v/>
      </c>
      <c r="X50" s="53">
        <f>VLOOKUP(B50,Health!$A:$D,4,)</f>
        <v/>
      </c>
      <c r="Y50" s="52">
        <f>VLOOKUP(B50,'Clothing and clothing access'!$A:$D,3,)</f>
        <v/>
      </c>
      <c r="Z50" s="53">
        <f>VLOOKUP(B50,'Clothing and clothing access'!$A:$D,4,)</f>
        <v/>
      </c>
      <c r="AA50" s="52">
        <f>VLOOKUP(B50,'Furniture Home'!$A:$D,3,)</f>
        <v/>
      </c>
      <c r="AB50" s="53">
        <f>VLOOKUP(B50,'Furniture Home'!$A:$D,4,)</f>
        <v/>
      </c>
      <c r="AC50" s="52">
        <f>VLOOKUP(B50,'Miscellaneous stores retailers'!$A:$D,3,)</f>
        <v/>
      </c>
      <c r="AD50" s="53">
        <f>VLOOKUP(B50,'Miscellaneous stores retailers'!$A:$D,4,)</f>
        <v/>
      </c>
      <c r="AE50" s="52">
        <f>VLOOKUP(B50,'Sporting Goods'!$A:$D,3,)</f>
        <v/>
      </c>
      <c r="AF50" s="53">
        <f>VLOOKUP(B50,'Sporting Goods'!$A:$D,4,)</f>
        <v/>
      </c>
    </row>
    <row r="51">
      <c r="B51" s="56" t="n">
        <v>44378</v>
      </c>
      <c r="C51" s="52">
        <f>VLOOKUP(B51,'Retail Sales'!A:D,3,)</f>
        <v/>
      </c>
      <c r="D51" s="53">
        <f>VLOOKUP(B51,'Retail Sales'!A:D,4,)</f>
        <v/>
      </c>
      <c r="E51" s="52">
        <f>VLOOKUP(B51,'Retail Sales ex Auto'!$A:$D,3,)</f>
        <v/>
      </c>
      <c r="F51" s="53">
        <f>VLOOKUP(B51,'Retail Sales ex Auto'!$A:$D,4,)</f>
        <v/>
      </c>
      <c r="G51" s="52">
        <f>VLOOKUP(B51,'Retail Sales ex Auto and Gas'!$A:$D,3,)</f>
        <v/>
      </c>
      <c r="H51" s="53">
        <f>VLOOKUP(B51,'Retail Sales ex Auto and Gas'!$A:$D,4,)</f>
        <v/>
      </c>
      <c r="I51" s="52">
        <f>VLOOKUP(B51,Motor!$A:$D,3,)</f>
        <v/>
      </c>
      <c r="J51" s="53">
        <f>VLOOKUP(B51,Motor!$A:$D,4,)</f>
        <v/>
      </c>
      <c r="K51" s="52">
        <f>VLOOKUP(B51,'Non Store Retail'!$A:$D,3,)</f>
        <v/>
      </c>
      <c r="L51" s="53">
        <f>VLOOKUP(B51,'Non Store Retail'!$A:$D,4,)</f>
        <v/>
      </c>
      <c r="M51" s="52">
        <f>VLOOKUP(B51,'Food and Beverage'!$A:$D,3,)</f>
        <v/>
      </c>
      <c r="N51" s="52">
        <f>VLOOKUP(B51,'Food and Beverage'!$A:$D,4,)</f>
        <v/>
      </c>
      <c r="O51" s="52">
        <f>VLOOKUP(B51,'Food Services'!$A:$D,3,)</f>
        <v/>
      </c>
      <c r="P51" s="53">
        <f>VLOOKUP(B51,'Food Services'!$A:$D,4,)</f>
        <v/>
      </c>
      <c r="Q51" s="52">
        <f>VLOOKUP(B51,'General Merchandising'!$A:$D,3,)</f>
        <v/>
      </c>
      <c r="R51" s="53">
        <f>VLOOKUP(B51,'General Merchandising'!$A:$D,4,)</f>
        <v/>
      </c>
      <c r="S51" s="52">
        <f>VLOOKUP(B51,'Gas Station'!$A:$D,3,)</f>
        <v/>
      </c>
      <c r="T51" s="53">
        <f>VLOOKUP(B51,'Gas Station'!$A:$D,4,)</f>
        <v/>
      </c>
      <c r="U51" s="52">
        <f>VLOOKUP(B51,Housing!$A:$D,3,)</f>
        <v/>
      </c>
      <c r="V51" s="53">
        <f>VLOOKUP(B51,Housing!$A:$D,4,)</f>
        <v/>
      </c>
      <c r="W51" s="52">
        <f>VLOOKUP(B51,Health!$A:$D,3,)</f>
        <v/>
      </c>
      <c r="X51" s="53">
        <f>VLOOKUP(B51,Health!$A:$D,4,)</f>
        <v/>
      </c>
      <c r="Y51" s="52">
        <f>VLOOKUP(B51,'Clothing and clothing access'!$A:$D,3,)</f>
        <v/>
      </c>
      <c r="Z51" s="53">
        <f>VLOOKUP(B51,'Clothing and clothing access'!$A:$D,4,)</f>
        <v/>
      </c>
      <c r="AA51" s="52">
        <f>VLOOKUP(B51,'Furniture Home'!$A:$D,3,)</f>
        <v/>
      </c>
      <c r="AB51" s="53">
        <f>VLOOKUP(B51,'Furniture Home'!$A:$D,4,)</f>
        <v/>
      </c>
      <c r="AC51" s="52">
        <f>VLOOKUP(B51,'Miscellaneous stores retailers'!$A:$D,3,)</f>
        <v/>
      </c>
      <c r="AD51" s="53">
        <f>VLOOKUP(B51,'Miscellaneous stores retailers'!$A:$D,4,)</f>
        <v/>
      </c>
      <c r="AE51" s="52">
        <f>VLOOKUP(B51,'Sporting Goods'!$A:$D,3,)</f>
        <v/>
      </c>
      <c r="AF51" s="53">
        <f>VLOOKUP(B51,'Sporting Goods'!$A:$D,4,)</f>
        <v/>
      </c>
    </row>
    <row r="52">
      <c r="B52" s="56" t="n">
        <v>44409</v>
      </c>
      <c r="C52" s="52">
        <f>VLOOKUP(B52,'Retail Sales'!A:D,3,)</f>
        <v/>
      </c>
      <c r="D52" s="53">
        <f>VLOOKUP(B52,'Retail Sales'!A:D,4,)</f>
        <v/>
      </c>
      <c r="E52" s="52">
        <f>VLOOKUP(B52,'Retail Sales ex Auto'!$A:$D,3,)</f>
        <v/>
      </c>
      <c r="F52" s="53">
        <f>VLOOKUP(B52,'Retail Sales ex Auto'!$A:$D,4,)</f>
        <v/>
      </c>
      <c r="G52" s="52">
        <f>VLOOKUP(B52,'Retail Sales ex Auto and Gas'!$A:$D,3,)</f>
        <v/>
      </c>
      <c r="H52" s="53">
        <f>VLOOKUP(B52,'Retail Sales ex Auto and Gas'!$A:$D,4,)</f>
        <v/>
      </c>
      <c r="I52" s="52">
        <f>VLOOKUP(B52,Motor!$A:$D,3,)</f>
        <v/>
      </c>
      <c r="J52" s="53">
        <f>VLOOKUP(B52,Motor!$A:$D,4,)</f>
        <v/>
      </c>
      <c r="K52" s="52">
        <f>VLOOKUP(B52,'Non Store Retail'!$A:$D,3,)</f>
        <v/>
      </c>
      <c r="L52" s="53">
        <f>VLOOKUP(B52,'Non Store Retail'!$A:$D,4,)</f>
        <v/>
      </c>
      <c r="M52" s="52">
        <f>VLOOKUP(B52,'Food and Beverage'!$A:$D,3,)</f>
        <v/>
      </c>
      <c r="N52" s="52">
        <f>VLOOKUP(B52,'Food and Beverage'!$A:$D,4,)</f>
        <v/>
      </c>
      <c r="O52" s="52">
        <f>VLOOKUP(B52,'Food Services'!$A:$D,3,)</f>
        <v/>
      </c>
      <c r="P52" s="53">
        <f>VLOOKUP(B52,'Food Services'!$A:$D,4,)</f>
        <v/>
      </c>
      <c r="Q52" s="52">
        <f>VLOOKUP(B52,'General Merchandising'!$A:$D,3,)</f>
        <v/>
      </c>
      <c r="R52" s="53">
        <f>VLOOKUP(B52,'General Merchandising'!$A:$D,4,)</f>
        <v/>
      </c>
      <c r="S52" s="52">
        <f>VLOOKUP(B52,'Gas Station'!$A:$D,3,)</f>
        <v/>
      </c>
      <c r="T52" s="53">
        <f>VLOOKUP(B52,'Gas Station'!$A:$D,4,)</f>
        <v/>
      </c>
      <c r="U52" s="52">
        <f>VLOOKUP(B52,Housing!$A:$D,3,)</f>
        <v/>
      </c>
      <c r="V52" s="53">
        <f>VLOOKUP(B52,Housing!$A:$D,4,)</f>
        <v/>
      </c>
      <c r="W52" s="52">
        <f>VLOOKUP(B52,Health!$A:$D,3,)</f>
        <v/>
      </c>
      <c r="X52" s="53">
        <f>VLOOKUP(B52,Health!$A:$D,4,)</f>
        <v/>
      </c>
      <c r="Y52" s="52">
        <f>VLOOKUP(B52,'Clothing and clothing access'!$A:$D,3,)</f>
        <v/>
      </c>
      <c r="Z52" s="53">
        <f>VLOOKUP(B52,'Clothing and clothing access'!$A:$D,4,)</f>
        <v/>
      </c>
      <c r="AA52" s="52">
        <f>VLOOKUP(B52,'Furniture Home'!$A:$D,3,)</f>
        <v/>
      </c>
      <c r="AB52" s="53">
        <f>VLOOKUP(B52,'Furniture Home'!$A:$D,4,)</f>
        <v/>
      </c>
      <c r="AC52" s="52">
        <f>VLOOKUP(B52,'Miscellaneous stores retailers'!$A:$D,3,)</f>
        <v/>
      </c>
      <c r="AD52" s="53">
        <f>VLOOKUP(B52,'Miscellaneous stores retailers'!$A:$D,4,)</f>
        <v/>
      </c>
      <c r="AE52" s="52">
        <f>VLOOKUP(B52,'Sporting Goods'!$A:$D,3,)</f>
        <v/>
      </c>
      <c r="AF52" s="53">
        <f>VLOOKUP(B52,'Sporting Goods'!$A:$D,4,)</f>
        <v/>
      </c>
    </row>
    <row r="53">
      <c r="B53" s="56" t="n">
        <v>44440</v>
      </c>
      <c r="C53" s="52">
        <f>VLOOKUP(B53,'Retail Sales'!A:D,3,)</f>
        <v/>
      </c>
      <c r="D53" s="53">
        <f>VLOOKUP(B53,'Retail Sales'!A:D,4,)</f>
        <v/>
      </c>
      <c r="E53" s="52">
        <f>VLOOKUP(B53,'Retail Sales ex Auto'!$A:$D,3,)</f>
        <v/>
      </c>
      <c r="F53" s="53">
        <f>VLOOKUP(B53,'Retail Sales ex Auto'!$A:$D,4,)</f>
        <v/>
      </c>
      <c r="G53" s="52">
        <f>VLOOKUP(B53,'Retail Sales ex Auto and Gas'!$A:$D,3,)</f>
        <v/>
      </c>
      <c r="H53" s="53">
        <f>VLOOKUP(B53,'Retail Sales ex Auto and Gas'!$A:$D,4,)</f>
        <v/>
      </c>
      <c r="I53" s="52">
        <f>VLOOKUP(B53,Motor!$A:$D,3,)</f>
        <v/>
      </c>
      <c r="J53" s="53">
        <f>VLOOKUP(B53,Motor!$A:$D,4,)</f>
        <v/>
      </c>
      <c r="K53" s="52">
        <f>VLOOKUP(B53,'Non Store Retail'!$A:$D,3,)</f>
        <v/>
      </c>
      <c r="L53" s="53">
        <f>VLOOKUP(B53,'Non Store Retail'!$A:$D,4,)</f>
        <v/>
      </c>
      <c r="M53" s="52">
        <f>VLOOKUP(B53,'Food and Beverage'!$A:$D,3,)</f>
        <v/>
      </c>
      <c r="N53" s="52">
        <f>VLOOKUP(B53,'Food and Beverage'!$A:$D,4,)</f>
        <v/>
      </c>
      <c r="O53" s="52">
        <f>VLOOKUP(B53,'Food Services'!$A:$D,3,)</f>
        <v/>
      </c>
      <c r="P53" s="53">
        <f>VLOOKUP(B53,'Food Services'!$A:$D,4,)</f>
        <v/>
      </c>
      <c r="Q53" s="52">
        <f>VLOOKUP(B53,'General Merchandising'!$A:$D,3,)</f>
        <v/>
      </c>
      <c r="R53" s="53">
        <f>VLOOKUP(B53,'General Merchandising'!$A:$D,4,)</f>
        <v/>
      </c>
      <c r="S53" s="52">
        <f>VLOOKUP(B53,'Gas Station'!$A:$D,3,)</f>
        <v/>
      </c>
      <c r="T53" s="53">
        <f>VLOOKUP(B53,'Gas Station'!$A:$D,4,)</f>
        <v/>
      </c>
      <c r="U53" s="52">
        <f>VLOOKUP(B53,Housing!$A:$D,3,)</f>
        <v/>
      </c>
      <c r="V53" s="53">
        <f>VLOOKUP(B53,Housing!$A:$D,4,)</f>
        <v/>
      </c>
      <c r="W53" s="52">
        <f>VLOOKUP(B53,Health!$A:$D,3,)</f>
        <v/>
      </c>
      <c r="X53" s="53">
        <f>VLOOKUP(B53,Health!$A:$D,4,)</f>
        <v/>
      </c>
      <c r="Y53" s="52">
        <f>VLOOKUP(B53,'Clothing and clothing access'!$A:$D,3,)</f>
        <v/>
      </c>
      <c r="Z53" s="53">
        <f>VLOOKUP(B53,'Clothing and clothing access'!$A:$D,4,)</f>
        <v/>
      </c>
      <c r="AA53" s="52">
        <f>VLOOKUP(B53,'Furniture Home'!$A:$D,3,)</f>
        <v/>
      </c>
      <c r="AB53" s="53">
        <f>VLOOKUP(B53,'Furniture Home'!$A:$D,4,)</f>
        <v/>
      </c>
      <c r="AC53" s="52">
        <f>VLOOKUP(B53,'Miscellaneous stores retailers'!$A:$D,3,)</f>
        <v/>
      </c>
      <c r="AD53" s="53">
        <f>VLOOKUP(B53,'Miscellaneous stores retailers'!$A:$D,4,)</f>
        <v/>
      </c>
      <c r="AE53" s="52">
        <f>VLOOKUP(B53,'Sporting Goods'!$A:$D,3,)</f>
        <v/>
      </c>
      <c r="AF53" s="53">
        <f>VLOOKUP(B53,'Sporting Goods'!$A:$D,4,)</f>
        <v/>
      </c>
    </row>
    <row r="54">
      <c r="B54" s="56" t="n">
        <v>44470</v>
      </c>
      <c r="C54" s="52">
        <f>VLOOKUP(B54,'Retail Sales'!A:D,3,)</f>
        <v/>
      </c>
      <c r="D54" s="53">
        <f>VLOOKUP(B54,'Retail Sales'!A:D,4,)</f>
        <v/>
      </c>
      <c r="E54" s="52">
        <f>VLOOKUP(B54,'Retail Sales ex Auto'!$A:$D,3,)</f>
        <v/>
      </c>
      <c r="F54" s="53">
        <f>VLOOKUP(B54,'Retail Sales ex Auto'!$A:$D,4,)</f>
        <v/>
      </c>
      <c r="G54" s="52">
        <f>VLOOKUP(B54,'Retail Sales ex Auto and Gas'!$A:$D,3,)</f>
        <v/>
      </c>
      <c r="H54" s="53">
        <f>VLOOKUP(B54,'Retail Sales ex Auto and Gas'!$A:$D,4,)</f>
        <v/>
      </c>
      <c r="I54" s="52">
        <f>VLOOKUP(B54,Motor!$A:$D,3,)</f>
        <v/>
      </c>
      <c r="J54" s="53">
        <f>VLOOKUP(B54,Motor!$A:$D,4,)</f>
        <v/>
      </c>
      <c r="K54" s="52">
        <f>VLOOKUP(B54,'Non Store Retail'!$A:$D,3,)</f>
        <v/>
      </c>
      <c r="L54" s="53">
        <f>VLOOKUP(B54,'Non Store Retail'!$A:$D,4,)</f>
        <v/>
      </c>
      <c r="M54" s="52">
        <f>VLOOKUP(B54,'Food and Beverage'!$A:$D,3,)</f>
        <v/>
      </c>
      <c r="N54" s="52">
        <f>VLOOKUP(B54,'Food and Beverage'!$A:$D,4,)</f>
        <v/>
      </c>
      <c r="O54" s="52">
        <f>VLOOKUP(B54,'Food Services'!$A:$D,3,)</f>
        <v/>
      </c>
      <c r="P54" s="53">
        <f>VLOOKUP(B54,'Food Services'!$A:$D,4,)</f>
        <v/>
      </c>
      <c r="Q54" s="52">
        <f>VLOOKUP(B54,'General Merchandising'!$A:$D,3,)</f>
        <v/>
      </c>
      <c r="R54" s="53">
        <f>VLOOKUP(B54,'General Merchandising'!$A:$D,4,)</f>
        <v/>
      </c>
      <c r="S54" s="52">
        <f>VLOOKUP(B54,'Gas Station'!$A:$D,3,)</f>
        <v/>
      </c>
      <c r="T54" s="53">
        <f>VLOOKUP(B54,'Gas Station'!$A:$D,4,)</f>
        <v/>
      </c>
      <c r="U54" s="52">
        <f>VLOOKUP(B54,Housing!$A:$D,3,)</f>
        <v/>
      </c>
      <c r="V54" s="53">
        <f>VLOOKUP(B54,Housing!$A:$D,4,)</f>
        <v/>
      </c>
      <c r="W54" s="52">
        <f>VLOOKUP(B54,Health!$A:$D,3,)</f>
        <v/>
      </c>
      <c r="X54" s="53">
        <f>VLOOKUP(B54,Health!$A:$D,4,)</f>
        <v/>
      </c>
      <c r="Y54" s="52">
        <f>VLOOKUP(B54,'Clothing and clothing access'!$A:$D,3,)</f>
        <v/>
      </c>
      <c r="Z54" s="53">
        <f>VLOOKUP(B54,'Clothing and clothing access'!$A:$D,4,)</f>
        <v/>
      </c>
      <c r="AA54" s="52">
        <f>VLOOKUP(B54,'Furniture Home'!$A:$D,3,)</f>
        <v/>
      </c>
      <c r="AB54" s="53">
        <f>VLOOKUP(B54,'Furniture Home'!$A:$D,4,)</f>
        <v/>
      </c>
      <c r="AC54" s="52">
        <f>VLOOKUP(B54,'Miscellaneous stores retailers'!$A:$D,3,)</f>
        <v/>
      </c>
      <c r="AD54" s="53">
        <f>VLOOKUP(B54,'Miscellaneous stores retailers'!$A:$D,4,)</f>
        <v/>
      </c>
      <c r="AE54" s="52">
        <f>VLOOKUP(B54,'Sporting Goods'!$A:$D,3,)</f>
        <v/>
      </c>
      <c r="AF54" s="53">
        <f>VLOOKUP(B54,'Sporting Goods'!$A:$D,4,)</f>
        <v/>
      </c>
    </row>
    <row r="55">
      <c r="B55" s="56" t="n">
        <v>44501</v>
      </c>
      <c r="C55" s="52">
        <f>VLOOKUP(B55,'Retail Sales'!A:D,3,)</f>
        <v/>
      </c>
      <c r="D55" s="53">
        <f>VLOOKUP(B55,'Retail Sales'!A:D,4,)</f>
        <v/>
      </c>
      <c r="E55" s="52">
        <f>VLOOKUP(B55,'Retail Sales ex Auto'!$A:$D,3,)</f>
        <v/>
      </c>
      <c r="F55" s="53">
        <f>VLOOKUP(B55,'Retail Sales ex Auto'!$A:$D,4,)</f>
        <v/>
      </c>
      <c r="G55" s="52">
        <f>VLOOKUP(B55,'Retail Sales ex Auto and Gas'!$A:$D,3,)</f>
        <v/>
      </c>
      <c r="H55" s="53">
        <f>VLOOKUP(B55,'Retail Sales ex Auto and Gas'!$A:$D,4,)</f>
        <v/>
      </c>
      <c r="I55" s="52">
        <f>VLOOKUP(B55,Motor!$A:$D,3,)</f>
        <v/>
      </c>
      <c r="J55" s="53">
        <f>VLOOKUP(B55,Motor!$A:$D,4,)</f>
        <v/>
      </c>
      <c r="K55" s="52">
        <f>VLOOKUP(B55,'Non Store Retail'!$A:$D,3,)</f>
        <v/>
      </c>
      <c r="L55" s="53">
        <f>VLOOKUP(B55,'Non Store Retail'!$A:$D,4,)</f>
        <v/>
      </c>
      <c r="M55" s="52">
        <f>VLOOKUP(B55,'Food and Beverage'!$A:$D,3,)</f>
        <v/>
      </c>
      <c r="N55" s="52">
        <f>VLOOKUP(B55,'Food and Beverage'!$A:$D,4,)</f>
        <v/>
      </c>
      <c r="O55" s="52">
        <f>VLOOKUP(B55,'Food Services'!$A:$D,3,)</f>
        <v/>
      </c>
      <c r="P55" s="53">
        <f>VLOOKUP(B55,'Food Services'!$A:$D,4,)</f>
        <v/>
      </c>
      <c r="Q55" s="52">
        <f>VLOOKUP(B55,'General Merchandising'!$A:$D,3,)</f>
        <v/>
      </c>
      <c r="R55" s="53">
        <f>VLOOKUP(B55,'General Merchandising'!$A:$D,4,)</f>
        <v/>
      </c>
      <c r="S55" s="52">
        <f>VLOOKUP(B55,'Gas Station'!$A:$D,3,)</f>
        <v/>
      </c>
      <c r="T55" s="53">
        <f>VLOOKUP(B55,'Gas Station'!$A:$D,4,)</f>
        <v/>
      </c>
      <c r="U55" s="52">
        <f>VLOOKUP(B55,Housing!$A:$D,3,)</f>
        <v/>
      </c>
      <c r="V55" s="53">
        <f>VLOOKUP(B55,Housing!$A:$D,4,)</f>
        <v/>
      </c>
      <c r="W55" s="52">
        <f>VLOOKUP(B55,Health!$A:$D,3,)</f>
        <v/>
      </c>
      <c r="X55" s="53">
        <f>VLOOKUP(B55,Health!$A:$D,4,)</f>
        <v/>
      </c>
      <c r="Y55" s="52">
        <f>VLOOKUP(B55,'Clothing and clothing access'!$A:$D,3,)</f>
        <v/>
      </c>
      <c r="Z55" s="53">
        <f>VLOOKUP(B55,'Clothing and clothing access'!$A:$D,4,)</f>
        <v/>
      </c>
      <c r="AA55" s="52">
        <f>VLOOKUP(B55,'Furniture Home'!$A:$D,3,)</f>
        <v/>
      </c>
      <c r="AB55" s="53">
        <f>VLOOKUP(B55,'Furniture Home'!$A:$D,4,)</f>
        <v/>
      </c>
      <c r="AC55" s="52">
        <f>VLOOKUP(B55,'Miscellaneous stores retailers'!$A:$D,3,)</f>
        <v/>
      </c>
      <c r="AD55" s="53">
        <f>VLOOKUP(B55,'Miscellaneous stores retailers'!$A:$D,4,)</f>
        <v/>
      </c>
      <c r="AE55" s="52">
        <f>VLOOKUP(B55,'Sporting Goods'!$A:$D,3,)</f>
        <v/>
      </c>
      <c r="AF55" s="53">
        <f>VLOOKUP(B55,'Sporting Goods'!$A:$D,4,)</f>
        <v/>
      </c>
    </row>
    <row r="56">
      <c r="B56" s="56" t="n">
        <v>44531</v>
      </c>
      <c r="C56" s="52">
        <f>VLOOKUP(B56,'Retail Sales'!A:D,3,)</f>
        <v/>
      </c>
      <c r="D56" s="53">
        <f>VLOOKUP(B56,'Retail Sales'!A:D,4,)</f>
        <v/>
      </c>
      <c r="E56" s="52">
        <f>VLOOKUP(B56,'Retail Sales ex Auto'!$A:$D,3,)</f>
        <v/>
      </c>
      <c r="F56" s="53">
        <f>VLOOKUP(B56,'Retail Sales ex Auto'!$A:$D,4,)</f>
        <v/>
      </c>
      <c r="G56" s="52">
        <f>VLOOKUP(B56,'Retail Sales ex Auto and Gas'!$A:$D,3,)</f>
        <v/>
      </c>
      <c r="H56" s="53">
        <f>VLOOKUP(B56,'Retail Sales ex Auto and Gas'!$A:$D,4,)</f>
        <v/>
      </c>
      <c r="I56" s="52">
        <f>VLOOKUP(B56,Motor!$A:$D,3,)</f>
        <v/>
      </c>
      <c r="J56" s="53">
        <f>VLOOKUP(B56,Motor!$A:$D,4,)</f>
        <v/>
      </c>
      <c r="K56" s="52">
        <f>VLOOKUP(B56,'Non Store Retail'!$A:$D,3,)</f>
        <v/>
      </c>
      <c r="L56" s="53">
        <f>VLOOKUP(B56,'Non Store Retail'!$A:$D,4,)</f>
        <v/>
      </c>
      <c r="M56" s="52">
        <f>VLOOKUP(B56,'Food and Beverage'!$A:$D,3,)</f>
        <v/>
      </c>
      <c r="N56" s="52">
        <f>VLOOKUP(B56,'Food and Beverage'!$A:$D,4,)</f>
        <v/>
      </c>
      <c r="O56" s="52">
        <f>VLOOKUP(B56,'Food Services'!$A:$D,3,)</f>
        <v/>
      </c>
      <c r="P56" s="53">
        <f>VLOOKUP(B56,'Food Services'!$A:$D,4,)</f>
        <v/>
      </c>
      <c r="Q56" s="52">
        <f>VLOOKUP(B56,'General Merchandising'!$A:$D,3,)</f>
        <v/>
      </c>
      <c r="R56" s="53">
        <f>VLOOKUP(B56,'General Merchandising'!$A:$D,4,)</f>
        <v/>
      </c>
      <c r="S56" s="52">
        <f>VLOOKUP(B56,'Gas Station'!$A:$D,3,)</f>
        <v/>
      </c>
      <c r="T56" s="53">
        <f>VLOOKUP(B56,'Gas Station'!$A:$D,4,)</f>
        <v/>
      </c>
      <c r="U56" s="52">
        <f>VLOOKUP(B56,Housing!$A:$D,3,)</f>
        <v/>
      </c>
      <c r="V56" s="53">
        <f>VLOOKUP(B56,Housing!$A:$D,4,)</f>
        <v/>
      </c>
      <c r="W56" s="52">
        <f>VLOOKUP(B56,Health!$A:$D,3,)</f>
        <v/>
      </c>
      <c r="X56" s="53">
        <f>VLOOKUP(B56,Health!$A:$D,4,)</f>
        <v/>
      </c>
      <c r="Y56" s="52">
        <f>VLOOKUP(B56,'Clothing and clothing access'!$A:$D,3,)</f>
        <v/>
      </c>
      <c r="Z56" s="53">
        <f>VLOOKUP(B56,'Clothing and clothing access'!$A:$D,4,)</f>
        <v/>
      </c>
      <c r="AA56" s="52">
        <f>VLOOKUP(B56,'Furniture Home'!$A:$D,3,)</f>
        <v/>
      </c>
      <c r="AB56" s="53">
        <f>VLOOKUP(B56,'Furniture Home'!$A:$D,4,)</f>
        <v/>
      </c>
      <c r="AC56" s="52">
        <f>VLOOKUP(B56,'Miscellaneous stores retailers'!$A:$D,3,)</f>
        <v/>
      </c>
      <c r="AD56" s="53">
        <f>VLOOKUP(B56,'Miscellaneous stores retailers'!$A:$D,4,)</f>
        <v/>
      </c>
      <c r="AE56" s="52">
        <f>VLOOKUP(B56,'Sporting Goods'!$A:$D,3,)</f>
        <v/>
      </c>
      <c r="AF56" s="53">
        <f>VLOOKUP(B56,'Sporting Goods'!$A:$D,4,)</f>
        <v/>
      </c>
    </row>
    <row r="57">
      <c r="B57" s="56" t="n">
        <v>44562</v>
      </c>
      <c r="C57" s="52">
        <f>VLOOKUP(B57,'Retail Sales'!A:D,3,)</f>
        <v/>
      </c>
      <c r="D57" s="53">
        <f>VLOOKUP(B57,'Retail Sales'!A:D,4,)</f>
        <v/>
      </c>
      <c r="E57" s="52">
        <f>VLOOKUP(B57,'Retail Sales ex Auto'!$A:$D,3,)</f>
        <v/>
      </c>
      <c r="F57" s="53">
        <f>VLOOKUP(B57,'Retail Sales ex Auto'!$A:$D,4,)</f>
        <v/>
      </c>
      <c r="G57" s="52">
        <f>VLOOKUP(B57,'Retail Sales ex Auto and Gas'!$A:$D,3,)</f>
        <v/>
      </c>
      <c r="H57" s="53">
        <f>VLOOKUP(B57,'Retail Sales ex Auto and Gas'!$A:$D,4,)</f>
        <v/>
      </c>
      <c r="I57" s="52">
        <f>VLOOKUP(B57,Motor!$A:$D,3,)</f>
        <v/>
      </c>
      <c r="J57" s="53">
        <f>VLOOKUP(B57,Motor!$A:$D,4,)</f>
        <v/>
      </c>
      <c r="K57" s="52">
        <f>VLOOKUP(B57,'Non Store Retail'!$A:$D,3,)</f>
        <v/>
      </c>
      <c r="L57" s="53">
        <f>VLOOKUP(B57,'Non Store Retail'!$A:$D,4,)</f>
        <v/>
      </c>
      <c r="M57" s="52">
        <f>VLOOKUP(B57,'Food and Beverage'!$A:$D,3,)</f>
        <v/>
      </c>
      <c r="N57" s="52">
        <f>VLOOKUP(B57,'Food and Beverage'!$A:$D,4,)</f>
        <v/>
      </c>
      <c r="O57" s="52">
        <f>VLOOKUP(B57,'Food Services'!$A:$D,3,)</f>
        <v/>
      </c>
      <c r="P57" s="53">
        <f>VLOOKUP(B57,'Food Services'!$A:$D,4,)</f>
        <v/>
      </c>
      <c r="Q57" s="52">
        <f>VLOOKUP(B57,'General Merchandising'!$A:$D,3,)</f>
        <v/>
      </c>
      <c r="R57" s="53">
        <f>VLOOKUP(B57,'General Merchandising'!$A:$D,4,)</f>
        <v/>
      </c>
      <c r="S57" s="52">
        <f>VLOOKUP(B57,'Gas Station'!$A:$D,3,)</f>
        <v/>
      </c>
      <c r="T57" s="53">
        <f>VLOOKUP(B57,'Gas Station'!$A:$D,4,)</f>
        <v/>
      </c>
      <c r="U57" s="52">
        <f>VLOOKUP(B57,Housing!$A:$D,3,)</f>
        <v/>
      </c>
      <c r="V57" s="53">
        <f>VLOOKUP(B57,Housing!$A:$D,4,)</f>
        <v/>
      </c>
      <c r="W57" s="52">
        <f>VLOOKUP(B57,Health!$A:$D,3,)</f>
        <v/>
      </c>
      <c r="X57" s="53">
        <f>VLOOKUP(B57,Health!$A:$D,4,)</f>
        <v/>
      </c>
      <c r="Y57" s="52">
        <f>VLOOKUP(B57,'Clothing and clothing access'!$A:$D,3,)</f>
        <v/>
      </c>
      <c r="Z57" s="53">
        <f>VLOOKUP(B57,'Clothing and clothing access'!$A:$D,4,)</f>
        <v/>
      </c>
      <c r="AA57" s="52">
        <f>VLOOKUP(B57,'Furniture Home'!$A:$D,3,)</f>
        <v/>
      </c>
      <c r="AB57" s="53">
        <f>VLOOKUP(B57,'Furniture Home'!$A:$D,4,)</f>
        <v/>
      </c>
      <c r="AC57" s="52">
        <f>VLOOKUP(B57,'Miscellaneous stores retailers'!$A:$D,3,)</f>
        <v/>
      </c>
      <c r="AD57" s="53">
        <f>VLOOKUP(B57,'Miscellaneous stores retailers'!$A:$D,4,)</f>
        <v/>
      </c>
      <c r="AE57" s="52">
        <f>VLOOKUP(B57,'Sporting Goods'!$A:$D,3,)</f>
        <v/>
      </c>
      <c r="AF57" s="53">
        <f>VLOOKUP(B57,'Sporting Goods'!$A:$D,4,)</f>
        <v/>
      </c>
    </row>
  </sheetData>
  <mergeCells count="15">
    <mergeCell ref="C2:D2"/>
    <mergeCell ref="E2:F2"/>
    <mergeCell ref="G2:H2"/>
    <mergeCell ref="I2:J2"/>
    <mergeCell ref="K2:L2"/>
    <mergeCell ref="M2:N2"/>
    <mergeCell ref="O2:P2"/>
    <mergeCell ref="Q2:R2"/>
    <mergeCell ref="S2:T2"/>
    <mergeCell ref="AE2:AF2"/>
    <mergeCell ref="U2:V2"/>
    <mergeCell ref="W2:X2"/>
    <mergeCell ref="Y2:Z2"/>
    <mergeCell ref="AA2:AB2"/>
    <mergeCell ref="AC2:AD2"/>
  </mergeCells>
  <conditionalFormatting sqref="D3">
    <cfRule type="colorScale" priority="153">
      <colorScale>
        <cfvo type="min"/>
        <cfvo type="percentile" val="50"/>
        <cfvo type="max"/>
        <color rgb="FFF8696B"/>
        <color rgb="FFFFEB84"/>
        <color rgb="FF63BE7B"/>
      </colorScale>
    </cfRule>
  </conditionalFormatting>
  <conditionalFormatting sqref="F3">
    <cfRule type="colorScale" priority="56">
      <colorScale>
        <cfvo type="min"/>
        <cfvo type="percentile" val="50"/>
        <cfvo type="max"/>
        <color rgb="FFF8696B"/>
        <color rgb="FFFFEB84"/>
        <color rgb="FF63BE7B"/>
      </colorScale>
    </cfRule>
  </conditionalFormatting>
  <conditionalFormatting sqref="E3">
    <cfRule type="colorScale" priority="57">
      <colorScale>
        <cfvo type="min"/>
        <cfvo type="percentile" val="50"/>
        <cfvo type="max"/>
        <color rgb="FFF8696B"/>
        <color rgb="FFFFEB84"/>
        <color rgb="FF63BE7B"/>
      </colorScale>
    </cfRule>
  </conditionalFormatting>
  <conditionalFormatting sqref="H3">
    <cfRule type="colorScale" priority="54">
      <colorScale>
        <cfvo type="min"/>
        <cfvo type="percentile" val="50"/>
        <cfvo type="max"/>
        <color rgb="FFF8696B"/>
        <color rgb="FFFFEB84"/>
        <color rgb="FF63BE7B"/>
      </colorScale>
    </cfRule>
  </conditionalFormatting>
  <conditionalFormatting sqref="G3">
    <cfRule type="colorScale" priority="55">
      <colorScale>
        <cfvo type="min"/>
        <cfvo type="percentile" val="50"/>
        <cfvo type="max"/>
        <color rgb="FFF8696B"/>
        <color rgb="FFFFEB84"/>
        <color rgb="FF63BE7B"/>
      </colorScale>
    </cfRule>
  </conditionalFormatting>
  <conditionalFormatting sqref="J3">
    <cfRule type="colorScale" priority="52">
      <colorScale>
        <cfvo type="min"/>
        <cfvo type="percentile" val="50"/>
        <cfvo type="max"/>
        <color rgb="FFF8696B"/>
        <color rgb="FFFFEB84"/>
        <color rgb="FF63BE7B"/>
      </colorScale>
    </cfRule>
  </conditionalFormatting>
  <conditionalFormatting sqref="I3">
    <cfRule type="colorScale" priority="53">
      <colorScale>
        <cfvo type="min"/>
        <cfvo type="percentile" val="50"/>
        <cfvo type="max"/>
        <color rgb="FFF8696B"/>
        <color rgb="FFFFEB84"/>
        <color rgb="FF63BE7B"/>
      </colorScale>
    </cfRule>
  </conditionalFormatting>
  <conditionalFormatting sqref="L3">
    <cfRule type="colorScale" priority="50">
      <colorScale>
        <cfvo type="min"/>
        <cfvo type="percentile" val="50"/>
        <cfvo type="max"/>
        <color rgb="FFF8696B"/>
        <color rgb="FFFFEB84"/>
        <color rgb="FF63BE7B"/>
      </colorScale>
    </cfRule>
  </conditionalFormatting>
  <conditionalFormatting sqref="K3">
    <cfRule type="colorScale" priority="51">
      <colorScale>
        <cfvo type="min"/>
        <cfvo type="percentile" val="50"/>
        <cfvo type="max"/>
        <color rgb="FFF8696B"/>
        <color rgb="FFFFEB84"/>
        <color rgb="FF63BE7B"/>
      </colorScale>
    </cfRule>
  </conditionalFormatting>
  <conditionalFormatting sqref="N3">
    <cfRule type="colorScale" priority="48">
      <colorScale>
        <cfvo type="min"/>
        <cfvo type="percentile" val="50"/>
        <cfvo type="max"/>
        <color rgb="FFF8696B"/>
        <color rgb="FFFFEB84"/>
        <color rgb="FF63BE7B"/>
      </colorScale>
    </cfRule>
  </conditionalFormatting>
  <conditionalFormatting sqref="M3">
    <cfRule type="colorScale" priority="49">
      <colorScale>
        <cfvo type="min"/>
        <cfvo type="percentile" val="50"/>
        <cfvo type="max"/>
        <color rgb="FFF8696B"/>
        <color rgb="FFFFEB84"/>
        <color rgb="FF63BE7B"/>
      </colorScale>
    </cfRule>
  </conditionalFormatting>
  <conditionalFormatting sqref="P3">
    <cfRule type="colorScale" priority="46">
      <colorScale>
        <cfvo type="min"/>
        <cfvo type="percentile" val="50"/>
        <cfvo type="max"/>
        <color rgb="FFF8696B"/>
        <color rgb="FFFFEB84"/>
        <color rgb="FF63BE7B"/>
      </colorScale>
    </cfRule>
  </conditionalFormatting>
  <conditionalFormatting sqref="O3">
    <cfRule type="colorScale" priority="47">
      <colorScale>
        <cfvo type="min"/>
        <cfvo type="percentile" val="50"/>
        <cfvo type="max"/>
        <color rgb="FFF8696B"/>
        <color rgb="FFFFEB84"/>
        <color rgb="FF63BE7B"/>
      </colorScale>
    </cfRule>
  </conditionalFormatting>
  <conditionalFormatting sqref="R3">
    <cfRule type="colorScale" priority="44">
      <colorScale>
        <cfvo type="min"/>
        <cfvo type="percentile" val="50"/>
        <cfvo type="max"/>
        <color rgb="FFF8696B"/>
        <color rgb="FFFFEB84"/>
        <color rgb="FF63BE7B"/>
      </colorScale>
    </cfRule>
  </conditionalFormatting>
  <conditionalFormatting sqref="Q3">
    <cfRule type="colorScale" priority="45">
      <colorScale>
        <cfvo type="min"/>
        <cfvo type="percentile" val="50"/>
        <cfvo type="max"/>
        <color rgb="FFF8696B"/>
        <color rgb="FFFFEB84"/>
        <color rgb="FF63BE7B"/>
      </colorScale>
    </cfRule>
  </conditionalFormatting>
  <conditionalFormatting sqref="T3">
    <cfRule type="colorScale" priority="42">
      <colorScale>
        <cfvo type="min"/>
        <cfvo type="percentile" val="50"/>
        <cfvo type="max"/>
        <color rgb="FFF8696B"/>
        <color rgb="FFFFEB84"/>
        <color rgb="FF63BE7B"/>
      </colorScale>
    </cfRule>
  </conditionalFormatting>
  <conditionalFormatting sqref="S3">
    <cfRule type="colorScale" priority="43">
      <colorScale>
        <cfvo type="min"/>
        <cfvo type="percentile" val="50"/>
        <cfvo type="max"/>
        <color rgb="FFF8696B"/>
        <color rgb="FFFFEB84"/>
        <color rgb="FF63BE7B"/>
      </colorScale>
    </cfRule>
  </conditionalFormatting>
  <conditionalFormatting sqref="V3">
    <cfRule type="colorScale" priority="40">
      <colorScale>
        <cfvo type="min"/>
        <cfvo type="percentile" val="50"/>
        <cfvo type="max"/>
        <color rgb="FFF8696B"/>
        <color rgb="FFFFEB84"/>
        <color rgb="FF63BE7B"/>
      </colorScale>
    </cfRule>
  </conditionalFormatting>
  <conditionalFormatting sqref="U3">
    <cfRule type="colorScale" priority="41">
      <colorScale>
        <cfvo type="min"/>
        <cfvo type="percentile" val="50"/>
        <cfvo type="max"/>
        <color rgb="FFF8696B"/>
        <color rgb="FFFFEB84"/>
        <color rgb="FF63BE7B"/>
      </colorScale>
    </cfRule>
  </conditionalFormatting>
  <conditionalFormatting sqref="X3">
    <cfRule type="colorScale" priority="38">
      <colorScale>
        <cfvo type="min"/>
        <cfvo type="percentile" val="50"/>
        <cfvo type="max"/>
        <color rgb="FFF8696B"/>
        <color rgb="FFFFEB84"/>
        <color rgb="FF63BE7B"/>
      </colorScale>
    </cfRule>
  </conditionalFormatting>
  <conditionalFormatting sqref="W3">
    <cfRule type="colorScale" priority="39">
      <colorScale>
        <cfvo type="min"/>
        <cfvo type="percentile" val="50"/>
        <cfvo type="max"/>
        <color rgb="FFF8696B"/>
        <color rgb="FFFFEB84"/>
        <color rgb="FF63BE7B"/>
      </colorScale>
    </cfRule>
  </conditionalFormatting>
  <conditionalFormatting sqref="Z3">
    <cfRule type="colorScale" priority="36">
      <colorScale>
        <cfvo type="min"/>
        <cfvo type="percentile" val="50"/>
        <cfvo type="max"/>
        <color rgb="FFF8696B"/>
        <color rgb="FFFFEB84"/>
        <color rgb="FF63BE7B"/>
      </colorScale>
    </cfRule>
  </conditionalFormatting>
  <conditionalFormatting sqref="Y3">
    <cfRule type="colorScale" priority="37">
      <colorScale>
        <cfvo type="min"/>
        <cfvo type="percentile" val="50"/>
        <cfvo type="max"/>
        <color rgb="FFF8696B"/>
        <color rgb="FFFFEB84"/>
        <color rgb="FF63BE7B"/>
      </colorScale>
    </cfRule>
  </conditionalFormatting>
  <conditionalFormatting sqref="AB3">
    <cfRule type="colorScale" priority="34">
      <colorScale>
        <cfvo type="min"/>
        <cfvo type="percentile" val="50"/>
        <cfvo type="max"/>
        <color rgb="FFF8696B"/>
        <color rgb="FFFFEB84"/>
        <color rgb="FF63BE7B"/>
      </colorScale>
    </cfRule>
  </conditionalFormatting>
  <conditionalFormatting sqref="AA3">
    <cfRule type="colorScale" priority="35">
      <colorScale>
        <cfvo type="min"/>
        <cfvo type="percentile" val="50"/>
        <cfvo type="max"/>
        <color rgb="FFF8696B"/>
        <color rgb="FFFFEB84"/>
        <color rgb="FF63BE7B"/>
      </colorScale>
    </cfRule>
  </conditionalFormatting>
  <conditionalFormatting sqref="AD3">
    <cfRule type="colorScale" priority="32">
      <colorScale>
        <cfvo type="min"/>
        <cfvo type="percentile" val="50"/>
        <cfvo type="max"/>
        <color rgb="FFF8696B"/>
        <color rgb="FFFFEB84"/>
        <color rgb="FF63BE7B"/>
      </colorScale>
    </cfRule>
  </conditionalFormatting>
  <conditionalFormatting sqref="AC3">
    <cfRule type="colorScale" priority="33">
      <colorScale>
        <cfvo type="min"/>
        <cfvo type="percentile" val="50"/>
        <cfvo type="max"/>
        <color rgb="FFF8696B"/>
        <color rgb="FFFFEB84"/>
        <color rgb="FF63BE7B"/>
      </colorScale>
    </cfRule>
  </conditionalFormatting>
  <conditionalFormatting sqref="AF3">
    <cfRule type="colorScale" priority="30">
      <colorScale>
        <cfvo type="min"/>
        <cfvo type="percentile" val="50"/>
        <cfvo type="max"/>
        <color rgb="FFF8696B"/>
        <color rgb="FFFFEB84"/>
        <color rgb="FF63BE7B"/>
      </colorScale>
    </cfRule>
  </conditionalFormatting>
  <conditionalFormatting sqref="AE3">
    <cfRule type="colorScale" priority="31">
      <colorScale>
        <cfvo type="min"/>
        <cfvo type="percentile" val="50"/>
        <cfvo type="max"/>
        <color rgb="FFF8696B"/>
        <color rgb="FFFFEB84"/>
        <color rgb="FF63BE7B"/>
      </colorScale>
    </cfRule>
  </conditionalFormatting>
  <conditionalFormatting sqref="C3:C57">
    <cfRule type="colorScale" priority="243">
      <colorScale>
        <cfvo type="min"/>
        <cfvo type="percentile" val="50"/>
        <cfvo type="max"/>
        <color rgb="FFF8696B"/>
        <color rgb="FFFFEB84"/>
        <color rgb="FF63BE7B"/>
      </colorScale>
    </cfRule>
  </conditionalFormatting>
  <conditionalFormatting sqref="D4:D57">
    <cfRule type="colorScale" priority="244">
      <colorScale>
        <cfvo type="min"/>
        <cfvo type="percentile" val="50"/>
        <cfvo type="max"/>
        <color rgb="FFF8696B"/>
        <color rgb="FFFFEB84"/>
        <color rgb="FF63BE7B"/>
      </colorScale>
    </cfRule>
  </conditionalFormatting>
  <conditionalFormatting sqref="E4:E57">
    <cfRule type="colorScale" priority="245">
      <colorScale>
        <cfvo type="min"/>
        <cfvo type="percentile" val="50"/>
        <cfvo type="max"/>
        <color rgb="FFF8696B"/>
        <color rgb="FFFFEB84"/>
        <color rgb="FF63BE7B"/>
      </colorScale>
    </cfRule>
  </conditionalFormatting>
  <conditionalFormatting sqref="F4:F57">
    <cfRule type="colorScale" priority="246">
      <colorScale>
        <cfvo type="min"/>
        <cfvo type="percentile" val="50"/>
        <cfvo type="max"/>
        <color rgb="FFF8696B"/>
        <color rgb="FFFFEB84"/>
        <color rgb="FF63BE7B"/>
      </colorScale>
    </cfRule>
  </conditionalFormatting>
  <conditionalFormatting sqref="G4:G57">
    <cfRule type="colorScale" priority="247">
      <colorScale>
        <cfvo type="min"/>
        <cfvo type="percentile" val="50"/>
        <cfvo type="max"/>
        <color rgb="FFF8696B"/>
        <color rgb="FFFFEB84"/>
        <color rgb="FF63BE7B"/>
      </colorScale>
    </cfRule>
  </conditionalFormatting>
  <conditionalFormatting sqref="H4:H57">
    <cfRule type="colorScale" priority="248">
      <colorScale>
        <cfvo type="min"/>
        <cfvo type="percentile" val="50"/>
        <cfvo type="max"/>
        <color rgb="FFF8696B"/>
        <color rgb="FFFFEB84"/>
        <color rgb="FF63BE7B"/>
      </colorScale>
    </cfRule>
  </conditionalFormatting>
  <conditionalFormatting sqref="I4:I57">
    <cfRule type="colorScale" priority="249">
      <colorScale>
        <cfvo type="min"/>
        <cfvo type="percentile" val="50"/>
        <cfvo type="max"/>
        <color rgb="FFF8696B"/>
        <color rgb="FFFFEB84"/>
        <color rgb="FF63BE7B"/>
      </colorScale>
    </cfRule>
  </conditionalFormatting>
  <conditionalFormatting sqref="J4:J57">
    <cfRule type="colorScale" priority="250">
      <colorScale>
        <cfvo type="min"/>
        <cfvo type="percentile" val="50"/>
        <cfvo type="max"/>
        <color rgb="FFF8696B"/>
        <color rgb="FFFFEB84"/>
        <color rgb="FF63BE7B"/>
      </colorScale>
    </cfRule>
  </conditionalFormatting>
  <conditionalFormatting sqref="K4:K57">
    <cfRule type="colorScale" priority="251">
      <colorScale>
        <cfvo type="min"/>
        <cfvo type="percentile" val="50"/>
        <cfvo type="max"/>
        <color rgb="FFF8696B"/>
        <color rgb="FFFFEB84"/>
        <color rgb="FF63BE7B"/>
      </colorScale>
    </cfRule>
  </conditionalFormatting>
  <conditionalFormatting sqref="L4:L57">
    <cfRule type="colorScale" priority="252">
      <colorScale>
        <cfvo type="min"/>
        <cfvo type="percentile" val="50"/>
        <cfvo type="max"/>
        <color rgb="FFF8696B"/>
        <color rgb="FFFFEB84"/>
        <color rgb="FF63BE7B"/>
      </colorScale>
    </cfRule>
  </conditionalFormatting>
  <conditionalFormatting sqref="M4:M57">
    <cfRule type="colorScale" priority="253">
      <colorScale>
        <cfvo type="min"/>
        <cfvo type="percentile" val="50"/>
        <cfvo type="max"/>
        <color rgb="FFF8696B"/>
        <color rgb="FFFFEB84"/>
        <color rgb="FF63BE7B"/>
      </colorScale>
    </cfRule>
  </conditionalFormatting>
  <conditionalFormatting sqref="O4:O57">
    <cfRule type="colorScale" priority="254">
      <colorScale>
        <cfvo type="min"/>
        <cfvo type="percentile" val="50"/>
        <cfvo type="max"/>
        <color rgb="FFF8696B"/>
        <color rgb="FFFFEB84"/>
        <color rgb="FF63BE7B"/>
      </colorScale>
    </cfRule>
  </conditionalFormatting>
  <conditionalFormatting sqref="P4:P57">
    <cfRule type="colorScale" priority="255">
      <colorScale>
        <cfvo type="min"/>
        <cfvo type="percentile" val="50"/>
        <cfvo type="max"/>
        <color rgb="FFF8696B"/>
        <color rgb="FFFFEB84"/>
        <color rgb="FF63BE7B"/>
      </colorScale>
    </cfRule>
  </conditionalFormatting>
  <conditionalFormatting sqref="Q4:Q57">
    <cfRule type="colorScale" priority="256">
      <colorScale>
        <cfvo type="min"/>
        <cfvo type="percentile" val="50"/>
        <cfvo type="max"/>
        <color rgb="FFF8696B"/>
        <color rgb="FFFFEB84"/>
        <color rgb="FF63BE7B"/>
      </colorScale>
    </cfRule>
  </conditionalFormatting>
  <conditionalFormatting sqref="R4:R57">
    <cfRule type="colorScale" priority="257">
      <colorScale>
        <cfvo type="min"/>
        <cfvo type="percentile" val="50"/>
        <cfvo type="max"/>
        <color rgb="FFF8696B"/>
        <color rgb="FFFFEB84"/>
        <color rgb="FF63BE7B"/>
      </colorScale>
    </cfRule>
  </conditionalFormatting>
  <conditionalFormatting sqref="S4:S57">
    <cfRule type="colorScale" priority="258">
      <colorScale>
        <cfvo type="min"/>
        <cfvo type="percentile" val="50"/>
        <cfvo type="max"/>
        <color rgb="FFF8696B"/>
        <color rgb="FFFFEB84"/>
        <color rgb="FF63BE7B"/>
      </colorScale>
    </cfRule>
  </conditionalFormatting>
  <conditionalFormatting sqref="T4:T57">
    <cfRule type="colorScale" priority="259">
      <colorScale>
        <cfvo type="min"/>
        <cfvo type="percentile" val="50"/>
        <cfvo type="max"/>
        <color rgb="FFF8696B"/>
        <color rgb="FFFFEB84"/>
        <color rgb="FF63BE7B"/>
      </colorScale>
    </cfRule>
  </conditionalFormatting>
  <conditionalFormatting sqref="U4:U57">
    <cfRule type="colorScale" priority="260">
      <colorScale>
        <cfvo type="min"/>
        <cfvo type="percentile" val="50"/>
        <cfvo type="max"/>
        <color rgb="FFF8696B"/>
        <color rgb="FFFFEB84"/>
        <color rgb="FF63BE7B"/>
      </colorScale>
    </cfRule>
  </conditionalFormatting>
  <conditionalFormatting sqref="V4:V57">
    <cfRule type="colorScale" priority="261">
      <colorScale>
        <cfvo type="min"/>
        <cfvo type="percentile" val="50"/>
        <cfvo type="max"/>
        <color rgb="FFF8696B"/>
        <color rgb="FFFFEB84"/>
        <color rgb="FF63BE7B"/>
      </colorScale>
    </cfRule>
  </conditionalFormatting>
  <conditionalFormatting sqref="W4:W57">
    <cfRule type="colorScale" priority="262">
      <colorScale>
        <cfvo type="min"/>
        <cfvo type="percentile" val="50"/>
        <cfvo type="max"/>
        <color rgb="FFF8696B"/>
        <color rgb="FFFFEB84"/>
        <color rgb="FF63BE7B"/>
      </colorScale>
    </cfRule>
  </conditionalFormatting>
  <conditionalFormatting sqref="X4:X57">
    <cfRule type="colorScale" priority="265">
      <colorScale>
        <cfvo type="min"/>
        <cfvo type="percentile" val="50"/>
        <cfvo type="max"/>
        <color rgb="FFF8696B"/>
        <color rgb="FFFFEB84"/>
        <color rgb="FF63BE7B"/>
      </colorScale>
    </cfRule>
  </conditionalFormatting>
  <conditionalFormatting sqref="Y4:Y57">
    <cfRule type="colorScale" priority="268">
      <colorScale>
        <cfvo type="min"/>
        <cfvo type="percentile" val="50"/>
        <cfvo type="max"/>
        <color rgb="FFF8696B"/>
        <color rgb="FFFFEB84"/>
        <color rgb="FF63BE7B"/>
      </colorScale>
    </cfRule>
  </conditionalFormatting>
  <conditionalFormatting sqref="Z4:Z57">
    <cfRule type="colorScale" priority="269">
      <colorScale>
        <cfvo type="min"/>
        <cfvo type="percentile" val="50"/>
        <cfvo type="max"/>
        <color rgb="FFF8696B"/>
        <color rgb="FFFFEB84"/>
        <color rgb="FF63BE7B"/>
      </colorScale>
    </cfRule>
  </conditionalFormatting>
  <conditionalFormatting sqref="AA4:AA57">
    <cfRule type="colorScale" priority="270">
      <colorScale>
        <cfvo type="min"/>
        <cfvo type="percentile" val="50"/>
        <cfvo type="max"/>
        <color rgb="FFF8696B"/>
        <color rgb="FFFFEB84"/>
        <color rgb="FF63BE7B"/>
      </colorScale>
    </cfRule>
  </conditionalFormatting>
  <conditionalFormatting sqref="AB4:AB57">
    <cfRule type="colorScale" priority="271">
      <colorScale>
        <cfvo type="min"/>
        <cfvo type="percentile" val="50"/>
        <cfvo type="max"/>
        <color rgb="FFF8696B"/>
        <color rgb="FFFFEB84"/>
        <color rgb="FF63BE7B"/>
      </colorScale>
    </cfRule>
  </conditionalFormatting>
  <conditionalFormatting sqref="AC4:AC57">
    <cfRule type="colorScale" priority="272">
      <colorScale>
        <cfvo type="min"/>
        <cfvo type="percentile" val="50"/>
        <cfvo type="max"/>
        <color rgb="FFF8696B"/>
        <color rgb="FFFFEB84"/>
        <color rgb="FF63BE7B"/>
      </colorScale>
    </cfRule>
  </conditionalFormatting>
  <conditionalFormatting sqref="AD4:AD57">
    <cfRule type="colorScale" priority="273">
      <colorScale>
        <cfvo type="min"/>
        <cfvo type="percentile" val="50"/>
        <cfvo type="max"/>
        <color rgb="FFF8696B"/>
        <color rgb="FFFFEB84"/>
        <color rgb="FF63BE7B"/>
      </colorScale>
    </cfRule>
  </conditionalFormatting>
  <conditionalFormatting sqref="AE4:AE57">
    <cfRule type="colorScale" priority="274">
      <colorScale>
        <cfvo type="min"/>
        <cfvo type="percentile" val="50"/>
        <cfvo type="max"/>
        <color rgb="FFF8696B"/>
        <color rgb="FFFFEB84"/>
        <color rgb="FF63BE7B"/>
      </colorScale>
    </cfRule>
  </conditionalFormatting>
  <conditionalFormatting sqref="AF4:AF57">
    <cfRule type="colorScale" priority="275">
      <colorScale>
        <cfvo type="min"/>
        <cfvo type="percentile" val="50"/>
        <cfvo type="max"/>
        <color rgb="FFF8696B"/>
        <color rgb="FFFFEB84"/>
        <color rgb="FF63BE7B"/>
      </colorScale>
    </cfRule>
  </conditionalFormatting>
  <conditionalFormatting sqref="N4:N57">
    <cfRule type="colorScale" priority="276">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codeName="Sheet7">
    <tabColor rgb="FFFF0000"/>
    <outlinePr summaryBelow="1" summaryRight="1"/>
    <pageSetUpPr/>
  </sheetPr>
  <dimension ref="A1:M664"/>
  <sheetViews>
    <sheetView zoomScale="170" zoomScaleNormal="170" workbookViewId="0">
      <pane ySplit="6" topLeftCell="A342" activePane="bottomLeft" state="frozen"/>
      <selection pane="bottomLeft" activeCell="H373" sqref="H373"/>
    </sheetView>
  </sheetViews>
  <sheetFormatPr baseColWidth="10" defaultColWidth="8.83203125" defaultRowHeight="15"/>
  <cols>
    <col width="14" customWidth="1" style="95" min="1" max="1"/>
    <col width="17.6640625" customWidth="1" style="95" min="2" max="2"/>
    <col width="14.33203125" customWidth="1" style="95" min="3" max="3"/>
    <col width="14.1640625" customWidth="1" style="95" min="4" max="4"/>
    <col width="9.1640625" customWidth="1" style="122" min="5" max="53"/>
  </cols>
  <sheetData>
    <row r="1" customFormat="1" s="122">
      <c r="A1" s="26" t="inlineStr">
        <is>
          <t>MARTSSM44W72USS</t>
        </is>
      </c>
      <c r="B1" s="27" t="inlineStr">
        <is>
          <t>Advance Retail Sales: Retail Trade and Food Services, Excluding Motor Vehicle and Parts Dealers and Gasoline Stations (MARTSMPCSM44W72USS)</t>
        </is>
      </c>
      <c r="I1" s="21" t="n"/>
      <c r="J1" s="21" t="n"/>
      <c r="L1" s="122" t="inlineStr">
        <is>
          <t>mom</t>
        </is>
      </c>
      <c r="M1" s="122" t="inlineStr">
        <is>
          <t>yoy</t>
        </is>
      </c>
    </row>
    <row r="2" customFormat="1" s="122">
      <c r="A2" s="128" t="inlineStr">
        <is>
          <t>https://fred.stlouisfed.org/series/MARTSMPCSM44W72USS</t>
        </is>
      </c>
      <c r="I2" s="21" t="n"/>
      <c r="J2" s="21" t="n"/>
      <c r="L2" s="28">
        <f>MAX(C8:C335)</f>
        <v/>
      </c>
      <c r="M2" s="28">
        <f>MAX(D8:D335)</f>
        <v/>
      </c>
    </row>
    <row r="3" customFormat="1" s="122">
      <c r="A3" s="128" t="n"/>
      <c r="I3" s="21" t="n"/>
      <c r="J3" s="21" t="n"/>
      <c r="L3" s="28">
        <f>MIN(C8:C335)</f>
        <v/>
      </c>
      <c r="M3" s="28">
        <f>MIN(D8:D335)</f>
        <v/>
      </c>
    </row>
    <row r="4" customFormat="1" s="122">
      <c r="A4" s="128" t="n"/>
      <c r="I4" s="21" t="n"/>
      <c r="J4" s="21" t="n"/>
      <c r="L4" s="28" t="n"/>
      <c r="M4" s="28" t="n"/>
    </row>
    <row r="5" customFormat="1" s="122">
      <c r="C5" s="122" t="inlineStr">
        <is>
          <t>https://tradingeconomics.com/united-states/retail-sales</t>
        </is>
      </c>
      <c r="D5" s="122" t="inlineStr">
        <is>
          <t>https://tradingeconomics.com/united-states/retail-sales-annual</t>
        </is>
      </c>
      <c r="I5" s="21" t="n"/>
      <c r="J5" s="21" t="n"/>
    </row>
    <row r="6">
      <c r="A6" s="76" t="inlineStr">
        <is>
          <t>Date</t>
        </is>
      </c>
      <c r="B6" s="76" t="inlineStr">
        <is>
          <t>Retail Sales mil$</t>
        </is>
      </c>
      <c r="C6" s="77" t="inlineStr">
        <is>
          <t>mom</t>
        </is>
      </c>
      <c r="D6" s="77" t="inlineStr">
        <is>
          <t>yoy</t>
        </is>
      </c>
      <c r="I6" s="21" t="n"/>
      <c r="J6" s="21" t="n"/>
    </row>
    <row r="7">
      <c r="A7" s="10" t="n">
        <v>33604</v>
      </c>
      <c r="B7" s="15">
        <f>VLOOKUP(A7,Database!A:M,MATCH($A$1,Database!$A$1:$M$1,),)</f>
        <v/>
      </c>
      <c r="C7" s="1" t="n"/>
      <c r="D7" s="1"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22">
      <c r="A336" s="11" t="n">
        <v>43617</v>
      </c>
      <c r="B336" s="15">
        <f>VLOOKUP(A336,Database!A:M,MATCH($A$1,Database!$A$1:$M$1,),)</f>
        <v/>
      </c>
      <c r="C336" s="12">
        <f>(B336-B335)/B335</f>
        <v/>
      </c>
      <c r="D336" s="13">
        <f>(B336-B324)/B324</f>
        <v/>
      </c>
    </row>
    <row r="337" customFormat="1" s="122">
      <c r="A337" s="10" t="n">
        <v>43647</v>
      </c>
      <c r="B337" s="15">
        <f>VLOOKUP(A337,Database!A:M,MATCH($A$1,Database!$A$1:$M$1,),)</f>
        <v/>
      </c>
      <c r="C337" s="12">
        <f>(B337-B336)/B336</f>
        <v/>
      </c>
      <c r="D337" s="13">
        <f>(B337-B325)/B325</f>
        <v/>
      </c>
    </row>
    <row r="338" customFormat="1" s="122">
      <c r="A338" s="11" t="n">
        <v>43678</v>
      </c>
      <c r="B338" s="15">
        <f>VLOOKUP(A338,Database!A:M,MATCH($A$1,Database!$A$1:$M$1,),)</f>
        <v/>
      </c>
      <c r="C338" s="12">
        <f>(B338-B337)/B337</f>
        <v/>
      </c>
      <c r="D338" s="13">
        <f>(B338-B326)/B326</f>
        <v/>
      </c>
    </row>
    <row r="339" customFormat="1" s="122">
      <c r="A339" s="10" t="n">
        <v>43709</v>
      </c>
      <c r="B339" s="15">
        <f>VLOOKUP(A339,Database!A:M,MATCH($A$1,Database!$A$1:$M$1,),)</f>
        <v/>
      </c>
      <c r="C339" s="12">
        <f>(B339-B338)/B338</f>
        <v/>
      </c>
      <c r="D339" s="13">
        <f>(B339-B327)/B327</f>
        <v/>
      </c>
    </row>
    <row r="340" customFormat="1" s="122">
      <c r="A340" s="11" t="n">
        <v>43739</v>
      </c>
      <c r="B340" s="15">
        <f>VLOOKUP(A340,Database!A:M,MATCH($A$1,Database!$A$1:$M$1,),)</f>
        <v/>
      </c>
      <c r="C340" s="12">
        <f>(B340-B339)/B339</f>
        <v/>
      </c>
      <c r="D340" s="13">
        <f>(B340-B328)/B328</f>
        <v/>
      </c>
    </row>
    <row r="341" customFormat="1" s="122">
      <c r="A341" s="10" t="n">
        <v>43770</v>
      </c>
      <c r="B341" s="15">
        <f>VLOOKUP(A341,Database!A:M,MATCH($A$1,Database!$A$1:$M$1,),)</f>
        <v/>
      </c>
      <c r="C341" s="12">
        <f>(B341-B340)/B340</f>
        <v/>
      </c>
      <c r="D341" s="13">
        <f>(B341-B329)/B329</f>
        <v/>
      </c>
    </row>
    <row r="342" customFormat="1" s="122">
      <c r="A342" s="11" t="n">
        <v>43800</v>
      </c>
      <c r="B342" s="15">
        <f>VLOOKUP(A342,Database!A:M,MATCH($A$1,Database!$A$1:$M$1,),)</f>
        <v/>
      </c>
      <c r="C342" s="12">
        <f>(B342-B341)/B341</f>
        <v/>
      </c>
      <c r="D342" s="13">
        <f>(B342-B330)/B330</f>
        <v/>
      </c>
    </row>
    <row r="343" customFormat="1" s="122">
      <c r="A343" s="10" t="n">
        <v>43831</v>
      </c>
      <c r="B343" s="15">
        <f>VLOOKUP(A343,Database!A:M,MATCH($A$1,Database!$A$1:$M$1,),)</f>
        <v/>
      </c>
      <c r="C343" s="12">
        <f>(B343-B342)/B342</f>
        <v/>
      </c>
      <c r="D343" s="13">
        <f>(B343-B331)/B331</f>
        <v/>
      </c>
    </row>
    <row r="344" customFormat="1" s="122">
      <c r="A344" s="11" t="n">
        <v>43862</v>
      </c>
      <c r="B344" s="15">
        <f>VLOOKUP(A344,Database!A:M,MATCH($A$1,Database!$A$1:$M$1,),)</f>
        <v/>
      </c>
      <c r="C344" s="12">
        <f>(B344-B343)/B343</f>
        <v/>
      </c>
      <c r="D344" s="13">
        <f>(B344-B332)/B332</f>
        <v/>
      </c>
    </row>
    <row r="345" customFormat="1" s="122">
      <c r="A345" s="10" t="n">
        <v>43891</v>
      </c>
      <c r="B345" s="15">
        <f>VLOOKUP(A345,Database!A:M,MATCH($A$1,Database!$A$1:$M$1,),)</f>
        <v/>
      </c>
      <c r="C345" s="12">
        <f>(B345-B344)/B344</f>
        <v/>
      </c>
      <c r="D345" s="13">
        <f>(B345-B333)/B333</f>
        <v/>
      </c>
    </row>
    <row r="346" customFormat="1" s="122">
      <c r="A346" s="11" t="n">
        <v>43922</v>
      </c>
      <c r="B346" s="15">
        <f>VLOOKUP(A346,Database!A:M,MATCH($A$1,Database!$A$1:$M$1,),)</f>
        <v/>
      </c>
      <c r="C346" s="12">
        <f>(B346-B345)/B345</f>
        <v/>
      </c>
      <c r="D346" s="13">
        <f>(B346-B334)/B334</f>
        <v/>
      </c>
    </row>
    <row r="347" customFormat="1" s="122">
      <c r="A347" s="10" t="n">
        <v>43952</v>
      </c>
      <c r="B347" s="15">
        <f>VLOOKUP(A347,Database!A:M,MATCH($A$1,Database!$A$1:$M$1,),)</f>
        <v/>
      </c>
      <c r="C347" s="12">
        <f>(B347-B346)/B346</f>
        <v/>
      </c>
      <c r="D347" s="13">
        <f>(B347-B335)/B335</f>
        <v/>
      </c>
    </row>
    <row r="348" customFormat="1" s="122">
      <c r="A348" s="11" t="n">
        <v>43983</v>
      </c>
      <c r="B348" s="15">
        <f>VLOOKUP(A348,Database!A:M,MATCH($A$1,Database!$A$1:$M$1,),)</f>
        <v/>
      </c>
      <c r="C348" s="12">
        <f>(B348-B347)/B347</f>
        <v/>
      </c>
      <c r="D348" s="13">
        <f>(B348-B336)/B336</f>
        <v/>
      </c>
    </row>
    <row r="349" customFormat="1" s="122">
      <c r="A349" s="10" t="n">
        <v>44013</v>
      </c>
      <c r="B349" s="15">
        <f>VLOOKUP(A349,Database!A:M,MATCH($A$1,Database!$A$1:$M$1,),)</f>
        <v/>
      </c>
      <c r="C349" s="12">
        <f>(B349-B348)/B348</f>
        <v/>
      </c>
      <c r="D349" s="13">
        <f>(B349-B337)/B337</f>
        <v/>
      </c>
    </row>
    <row r="350" customFormat="1" s="122">
      <c r="A350" s="11" t="n">
        <v>44044</v>
      </c>
      <c r="B350" s="15">
        <f>VLOOKUP(A350,Database!A:M,MATCH($A$1,Database!$A$1:$M$1,),)</f>
        <v/>
      </c>
      <c r="C350" s="12">
        <f>(B350-B349)/B349</f>
        <v/>
      </c>
      <c r="D350" s="13">
        <f>(B350-B338)/B338</f>
        <v/>
      </c>
    </row>
    <row r="351" customFormat="1" s="122">
      <c r="A351" s="10" t="n">
        <v>44075</v>
      </c>
      <c r="B351" s="15">
        <f>VLOOKUP(A351,Database!A:M,MATCH($A$1,Database!$A$1:$M$1,),)</f>
        <v/>
      </c>
      <c r="C351" s="12">
        <f>(B351-B350)/B350</f>
        <v/>
      </c>
      <c r="D351" s="13">
        <f>(B351-B339)/B339</f>
        <v/>
      </c>
    </row>
    <row r="352" customFormat="1" s="122">
      <c r="A352" s="11" t="n">
        <v>44105</v>
      </c>
      <c r="B352" s="15">
        <f>VLOOKUP(A352,Database!A:M,MATCH($A$1,Database!$A$1:$M$1,),)</f>
        <v/>
      </c>
      <c r="C352" s="12">
        <f>(B352-B351)/B351</f>
        <v/>
      </c>
      <c r="D352" s="13">
        <f>(B352-B340)/B340</f>
        <v/>
      </c>
    </row>
    <row r="353" customFormat="1" s="122">
      <c r="A353" s="10" t="n">
        <v>44136</v>
      </c>
      <c r="B353" s="15">
        <f>VLOOKUP(A353,Database!A:M,MATCH($A$1,Database!$A$1:$M$1,),)</f>
        <v/>
      </c>
      <c r="C353" s="12">
        <f>(B353-B352)/B352</f>
        <v/>
      </c>
      <c r="D353" s="13">
        <f>(B353-B341)/B341</f>
        <v/>
      </c>
    </row>
    <row r="354" customFormat="1" s="122">
      <c r="A354" s="11" t="n">
        <v>44166</v>
      </c>
      <c r="B354" s="15">
        <f>VLOOKUP(A354,Database!A:M,MATCH($A$1,Database!$A$1:$M$1,),)</f>
        <v/>
      </c>
      <c r="C354" s="12">
        <f>(B354-B353)/B353</f>
        <v/>
      </c>
      <c r="D354" s="13">
        <f>(B354-B342)/B342</f>
        <v/>
      </c>
    </row>
    <row r="355" customFormat="1" s="122">
      <c r="A355" s="10" t="n">
        <v>44197</v>
      </c>
      <c r="B355" s="15">
        <f>VLOOKUP(A355,Database!A:M,MATCH($A$1,Database!$A$1:$M$1,),)</f>
        <v/>
      </c>
      <c r="C355" s="12">
        <f>(B355-B354)/B354</f>
        <v/>
      </c>
      <c r="D355" s="13">
        <f>(B355-B343)/B343</f>
        <v/>
      </c>
    </row>
    <row r="356" customFormat="1" s="122">
      <c r="A356" s="11" t="n">
        <v>44228</v>
      </c>
      <c r="B356" s="15">
        <f>VLOOKUP(A356,Database!A:M,MATCH($A$1,Database!$A$1:$M$1,),)</f>
        <v/>
      </c>
      <c r="C356" s="12">
        <f>(B356-B355)/B355</f>
        <v/>
      </c>
      <c r="D356" s="13">
        <f>(B356-B344)/B344</f>
        <v/>
      </c>
    </row>
    <row r="357" customFormat="1" s="122">
      <c r="A357" s="10" t="n">
        <v>44256</v>
      </c>
      <c r="B357" s="15">
        <f>VLOOKUP(A357,Database!A:M,MATCH($A$1,Database!$A$1:$M$1,),)</f>
        <v/>
      </c>
      <c r="C357" s="12">
        <f>(B357-B356)/B356</f>
        <v/>
      </c>
      <c r="D357" s="13">
        <f>(B357-B345)/B345</f>
        <v/>
      </c>
    </row>
    <row r="358" customFormat="1" s="122">
      <c r="A358" s="11" t="n">
        <v>44287</v>
      </c>
      <c r="B358" s="15">
        <f>VLOOKUP(A358,Database!A:M,MATCH($A$1,Database!$A$1:$M$1,),)</f>
        <v/>
      </c>
      <c r="C358" s="12">
        <f>(B358-B357)/B357</f>
        <v/>
      </c>
      <c r="D358" s="13">
        <f>(B358-B346)/B346</f>
        <v/>
      </c>
    </row>
    <row r="359" customFormat="1" s="122">
      <c r="A359" s="10" t="n">
        <v>44317</v>
      </c>
      <c r="B359" s="15">
        <f>VLOOKUP(A359,Database!A:M,MATCH($A$1,Database!$A$1:$M$1,),)</f>
        <v/>
      </c>
      <c r="C359" s="12">
        <f>(B359-B358)/B358</f>
        <v/>
      </c>
      <c r="D359" s="13">
        <f>(B359-B347)/B347</f>
        <v/>
      </c>
    </row>
    <row r="360" customFormat="1" s="122">
      <c r="A360" s="11" t="n">
        <v>44348</v>
      </c>
      <c r="B360" s="15">
        <f>VLOOKUP(A360,Database!A:M,MATCH($A$1,Database!$A$1:$M$1,),)</f>
        <v/>
      </c>
      <c r="C360" s="12">
        <f>(B360-B359)/B359</f>
        <v/>
      </c>
      <c r="D360" s="13">
        <f>(B360-B348)/B348</f>
        <v/>
      </c>
    </row>
    <row r="361" customFormat="1" s="122">
      <c r="A361" s="10" t="n">
        <v>44378</v>
      </c>
      <c r="B361" s="15">
        <f>VLOOKUP(A361,Database!A:M,MATCH($A$1,Database!$A$1:$M$1,),)</f>
        <v/>
      </c>
      <c r="C361" s="12">
        <f>(B361-B360)/B360</f>
        <v/>
      </c>
      <c r="D361" s="13">
        <f>(B361-B349)/B349</f>
        <v/>
      </c>
    </row>
    <row r="362" customFormat="1" s="122">
      <c r="A362" s="11" t="n">
        <v>44409</v>
      </c>
      <c r="B362" s="15">
        <f>VLOOKUP(A362,Database!A:M,MATCH($A$1,Database!$A$1:$M$1,),)</f>
        <v/>
      </c>
      <c r="C362" s="12">
        <f>(B362-B361)/B361</f>
        <v/>
      </c>
      <c r="D362" s="13">
        <f>(B362-B350)/B350</f>
        <v/>
      </c>
    </row>
    <row r="363" customFormat="1" s="122">
      <c r="A363" s="11" t="n">
        <v>44440</v>
      </c>
      <c r="B363" s="15">
        <f>VLOOKUP(A363,Database!A:M,MATCH($A$1,Database!$A$1:$M$1,),)</f>
        <v/>
      </c>
      <c r="C363" s="12">
        <f>(B363-B362)/B362</f>
        <v/>
      </c>
      <c r="D363" s="13">
        <f>(B363-B351)/B351</f>
        <v/>
      </c>
    </row>
    <row r="364" customFormat="1" s="122">
      <c r="A364" s="10" t="n">
        <v>44470</v>
      </c>
      <c r="B364" s="15">
        <f>VLOOKUP(A364,Database!A:M,MATCH($A$1,Database!$A$1:$M$1,),)</f>
        <v/>
      </c>
      <c r="C364" s="12">
        <f>(B364-B363)/B363</f>
        <v/>
      </c>
      <c r="D364" s="13">
        <f>(B364-B352)/B352</f>
        <v/>
      </c>
    </row>
    <row r="365" customFormat="1" s="122">
      <c r="A365" s="11" t="n">
        <v>44501</v>
      </c>
      <c r="B365" s="15">
        <f>VLOOKUP(A365,Database!A:M,MATCH($A$1,Database!$A$1:$M$1,),)</f>
        <v/>
      </c>
      <c r="C365" s="12">
        <f>(B365-B364)/B364</f>
        <v/>
      </c>
      <c r="D365" s="13">
        <f>(B365-B353)/B353</f>
        <v/>
      </c>
    </row>
    <row r="366" customFormat="1" s="122">
      <c r="A366" s="11" t="n">
        <v>44531</v>
      </c>
      <c r="B366" s="15">
        <f>VLOOKUP(A366,Database!A:M,MATCH($A$1,Database!$A$1:$M$1,),)</f>
        <v/>
      </c>
      <c r="C366" s="12">
        <f>(B366-B365)/B365</f>
        <v/>
      </c>
      <c r="D366" s="13">
        <f>(B366-B354)/B354</f>
        <v/>
      </c>
    </row>
    <row r="367" customFormat="1" s="122">
      <c r="A367" s="11" t="n">
        <v>44562</v>
      </c>
      <c r="B367" s="15">
        <f>VLOOKUP(A367,Database!A:M,MATCH($A$1,Database!$A$1:$M$1,),)</f>
        <v/>
      </c>
      <c r="C367" s="12">
        <f>(B367-B366)/B366</f>
        <v/>
      </c>
      <c r="D367" s="13">
        <f>(B367-B355)/B355</f>
        <v/>
      </c>
    </row>
    <row r="368" customFormat="1" s="122"/>
    <row r="369" customFormat="1" s="122"/>
    <row r="370" customFormat="1" s="122"/>
    <row r="371" customFormat="1" s="122"/>
    <row r="372" customFormat="1" s="122"/>
    <row r="373" customFormat="1" s="122"/>
    <row r="374" customFormat="1" s="122"/>
    <row r="375" customFormat="1" s="122"/>
    <row r="376" customFormat="1" s="122"/>
    <row r="377" customFormat="1" s="122"/>
    <row r="378" customFormat="1" s="122"/>
    <row r="379" customFormat="1" s="122"/>
    <row r="380" customFormat="1" s="122"/>
    <row r="381" customFormat="1" s="122"/>
    <row r="382" customFormat="1" s="122"/>
    <row r="383" customFormat="1" s="122"/>
    <row r="384" customFormat="1" s="122"/>
    <row r="385" customFormat="1" s="122"/>
    <row r="386" customFormat="1" s="122"/>
    <row r="387" customFormat="1" s="122"/>
    <row r="388" customFormat="1" s="122"/>
    <row r="389" customFormat="1" s="122"/>
    <row r="390" customFormat="1" s="122"/>
    <row r="391" customFormat="1" s="122"/>
    <row r="392" customFormat="1" s="122"/>
    <row r="393" customFormat="1" s="122"/>
    <row r="394" customFormat="1" s="122"/>
    <row r="395" customFormat="1" s="122"/>
    <row r="396" customFormat="1" s="122"/>
    <row r="397" customFormat="1" s="122"/>
    <row r="398" customFormat="1" s="122"/>
    <row r="399" customFormat="1" s="122"/>
    <row r="400" customFormat="1" s="122"/>
    <row r="401" customFormat="1" s="122"/>
    <row r="402" customFormat="1" s="122"/>
    <row r="403" customFormat="1" s="122"/>
    <row r="404" customFormat="1" s="122"/>
    <row r="405" customFormat="1" s="122"/>
    <row r="406" customFormat="1" s="122"/>
    <row r="407" customFormat="1" s="122"/>
    <row r="408" customFormat="1" s="122"/>
    <row r="409" customFormat="1" s="122"/>
    <row r="410" customFormat="1" s="122"/>
    <row r="411" customFormat="1" s="122"/>
    <row r="412" customFormat="1" s="122"/>
    <row r="413" customFormat="1" s="122"/>
    <row r="414" customFormat="1" s="122"/>
    <row r="415" customFormat="1" s="122"/>
    <row r="416" customFormat="1" s="122"/>
    <row r="417" customFormat="1" s="122"/>
    <row r="418" customFormat="1" s="122"/>
    <row r="419" customFormat="1" s="122"/>
    <row r="420" customFormat="1" s="122"/>
    <row r="421" customFormat="1" s="122"/>
    <row r="422" customFormat="1" s="122"/>
    <row r="423" customFormat="1" s="122"/>
    <row r="424" customFormat="1" s="122"/>
    <row r="425" customFormat="1" s="122"/>
    <row r="426" customFormat="1" s="122"/>
    <row r="427" customFormat="1" s="122"/>
    <row r="428" customFormat="1" s="122"/>
    <row r="429" customFormat="1" s="122"/>
    <row r="430" customFormat="1" s="122"/>
    <row r="431" customFormat="1" s="122"/>
    <row r="432" customFormat="1" s="122"/>
    <row r="433" customFormat="1" s="122"/>
    <row r="434" customFormat="1" s="122"/>
    <row r="435" customFormat="1" s="122"/>
    <row r="436" customFormat="1" s="122"/>
    <row r="437" customFormat="1" s="122"/>
    <row r="438" customFormat="1" s="122"/>
    <row r="439" customFormat="1" s="122"/>
    <row r="440" customFormat="1" s="122"/>
    <row r="441" customFormat="1" s="122"/>
    <row r="442" customFormat="1" s="122"/>
    <row r="443" customFormat="1" s="122"/>
    <row r="444" customFormat="1" s="122"/>
    <row r="445" customFormat="1" s="122"/>
    <row r="446" customFormat="1" s="122"/>
    <row r="447" customFormat="1" s="122"/>
    <row r="448" customFormat="1" s="122"/>
    <row r="449" customFormat="1" s="122"/>
    <row r="450" customFormat="1" s="122"/>
    <row r="451" customFormat="1" s="122"/>
    <row r="452" customFormat="1" s="122"/>
    <row r="453" customFormat="1" s="122"/>
    <row r="454" customFormat="1" s="122"/>
    <row r="455" customFormat="1" s="122"/>
    <row r="456" customFormat="1" s="122"/>
    <row r="457" customFormat="1" s="122"/>
    <row r="458" customFormat="1" s="122"/>
    <row r="459" customFormat="1" s="122"/>
    <row r="460" customFormat="1" s="122"/>
    <row r="461" customFormat="1" s="122"/>
    <row r="462" customFormat="1" s="122"/>
    <row r="463" customFormat="1" s="122"/>
    <row r="464" customFormat="1" s="122"/>
    <row r="465" customFormat="1" s="122"/>
    <row r="466" customFormat="1" s="122"/>
    <row r="467" customFormat="1" s="122"/>
    <row r="468" customFormat="1" s="122"/>
    <row r="469" customFormat="1" s="122"/>
    <row r="470" customFormat="1" s="122"/>
    <row r="471" customFormat="1" s="122"/>
    <row r="472" customFormat="1" s="122"/>
    <row r="473" customFormat="1" s="122"/>
    <row r="474" customFormat="1" s="122"/>
    <row r="475" customFormat="1" s="122"/>
    <row r="476" customFormat="1" s="122"/>
    <row r="477" customFormat="1" s="122"/>
    <row r="478" customFormat="1" s="122"/>
    <row r="479" customFormat="1" s="122"/>
    <row r="480" customFormat="1" s="122"/>
    <row r="481" customFormat="1" s="122"/>
    <row r="482" customFormat="1" s="122"/>
    <row r="483" customFormat="1" s="122"/>
    <row r="484" customFormat="1" s="122"/>
    <row r="485" customFormat="1" s="122"/>
    <row r="486" customFormat="1" s="122"/>
    <row r="487" customFormat="1" s="122"/>
    <row r="488" customFormat="1" s="122"/>
    <row r="489" customFormat="1" s="122"/>
    <row r="490" customFormat="1" s="122"/>
    <row r="491" customFormat="1" s="122"/>
    <row r="492" customFormat="1" s="122"/>
    <row r="493" customFormat="1" s="122"/>
    <row r="494" customFormat="1" s="122"/>
    <row r="495" customFormat="1" s="122"/>
    <row r="496" customFormat="1" s="122"/>
    <row r="497" customFormat="1" s="122"/>
    <row r="498" customFormat="1" s="122"/>
    <row r="499" customFormat="1" s="122"/>
    <row r="500" customFormat="1" s="122"/>
    <row r="501" customFormat="1" s="122"/>
    <row r="502" customFormat="1" s="122"/>
    <row r="503" customFormat="1" s="122"/>
    <row r="504" customFormat="1" s="122"/>
    <row r="505" customFormat="1" s="122"/>
    <row r="506" customFormat="1" s="122"/>
    <row r="507" customFormat="1" s="122"/>
    <row r="508" customFormat="1" s="122"/>
    <row r="509" customFormat="1" s="122"/>
    <row r="510" customFormat="1" s="122"/>
    <row r="511" customFormat="1" s="122"/>
    <row r="512" customFormat="1" s="122"/>
    <row r="513" customFormat="1" s="122"/>
    <row r="514" customFormat="1" s="122"/>
    <row r="515" customFormat="1" s="122"/>
    <row r="516" customFormat="1" s="122"/>
    <row r="517" customFormat="1" s="122"/>
    <row r="518" customFormat="1" s="122"/>
    <row r="519" customFormat="1" s="122"/>
    <row r="520" customFormat="1" s="122"/>
    <row r="521" customFormat="1" s="122"/>
    <row r="522" customFormat="1" s="122"/>
    <row r="523" customFormat="1" s="122"/>
    <row r="524" customFormat="1" s="122"/>
    <row r="525" customFormat="1" s="122"/>
    <row r="526" customFormat="1" s="122"/>
    <row r="527" customFormat="1" s="122"/>
    <row r="528" customFormat="1" s="122"/>
    <row r="529" customFormat="1" s="122"/>
    <row r="530" customFormat="1" s="122"/>
    <row r="531" customFormat="1" s="122"/>
    <row r="532" customFormat="1" s="122"/>
    <row r="533" customFormat="1" s="122"/>
    <row r="534" customFormat="1" s="122"/>
    <row r="535" customFormat="1" s="122"/>
    <row r="536" customFormat="1" s="122"/>
    <row r="537" customFormat="1" s="122"/>
    <row r="538" customFormat="1" s="122"/>
    <row r="539" customFormat="1" s="122"/>
    <row r="540" customFormat="1" s="122"/>
    <row r="541" customFormat="1" s="122"/>
    <row r="542" customFormat="1" s="122"/>
    <row r="543" customFormat="1" s="122"/>
    <row r="544" customFormat="1" s="122"/>
    <row r="545" customFormat="1" s="122"/>
    <row r="546" customFormat="1" s="122"/>
    <row r="547" customFormat="1" s="122"/>
    <row r="548" customFormat="1" s="122"/>
    <row r="549" customFormat="1" s="122"/>
    <row r="550" customFormat="1" s="122"/>
    <row r="551" customFormat="1" s="122"/>
    <row r="552" customFormat="1" s="122"/>
    <row r="553" customFormat="1" s="122"/>
    <row r="554" customFormat="1" s="122"/>
    <row r="555" customFormat="1" s="122"/>
    <row r="556" customFormat="1" s="122"/>
    <row r="557" customFormat="1" s="122"/>
    <row r="558" customFormat="1" s="122"/>
    <row r="559" customFormat="1" s="122"/>
    <row r="560" customFormat="1" s="122"/>
    <row r="561" customFormat="1" s="122"/>
    <row r="562" customFormat="1" s="122"/>
    <row r="563" customFormat="1" s="122"/>
    <row r="564" customFormat="1" s="122"/>
    <row r="565" customFormat="1" s="122"/>
    <row r="566" customFormat="1" s="122"/>
    <row r="567" customFormat="1" s="122"/>
    <row r="568" customFormat="1" s="122"/>
    <row r="569" customFormat="1" s="122"/>
    <row r="570" customFormat="1" s="122"/>
    <row r="571" customFormat="1" s="122"/>
    <row r="572" customFormat="1" s="122"/>
    <row r="573" customFormat="1" s="122"/>
    <row r="574" customFormat="1" s="122"/>
    <row r="575" customFormat="1" s="122"/>
    <row r="576" customFormat="1" s="122"/>
    <row r="577" customFormat="1" s="122"/>
    <row r="578" customFormat="1" s="122"/>
    <row r="579" customFormat="1" s="122"/>
    <row r="580" customFormat="1" s="122"/>
    <row r="581" customFormat="1" s="122"/>
    <row r="582" customFormat="1" s="122"/>
    <row r="583" customFormat="1" s="122"/>
    <row r="584" customFormat="1" s="122"/>
    <row r="585" customFormat="1" s="122"/>
    <row r="586" customFormat="1" s="122"/>
    <row r="587" customFormat="1" s="122"/>
    <row r="588" customFormat="1" s="122"/>
    <row r="589" customFormat="1" s="122"/>
    <row r="590" customFormat="1" s="122"/>
    <row r="591" customFormat="1" s="122"/>
    <row r="592" customFormat="1" s="122"/>
    <row r="593" customFormat="1" s="122"/>
    <row r="594" customFormat="1" s="122"/>
    <row r="595" customFormat="1" s="122"/>
    <row r="596" customFormat="1" s="122"/>
    <row r="597" customFormat="1" s="122"/>
    <row r="598" customFormat="1" s="122"/>
    <row r="599" customFormat="1" s="122"/>
    <row r="600" customFormat="1" s="122"/>
    <row r="601" customFormat="1" s="122"/>
    <row r="602" customFormat="1" s="122"/>
    <row r="603" customFormat="1" s="122"/>
    <row r="604" customFormat="1" s="122"/>
    <row r="605" customFormat="1" s="122"/>
    <row r="606" customFormat="1" s="122"/>
    <row r="607" customFormat="1" s="122"/>
    <row r="608" customFormat="1" s="122"/>
    <row r="609" customFormat="1" s="122"/>
    <row r="610" customFormat="1" s="122"/>
    <row r="611" customFormat="1" s="122"/>
    <row r="612" customFormat="1" s="122"/>
    <row r="613" customFormat="1" s="122"/>
    <row r="614" customFormat="1" s="122"/>
    <row r="615" customFormat="1" s="122"/>
    <row r="616" customFormat="1" s="122"/>
    <row r="617" customFormat="1" s="122"/>
    <row r="618" customFormat="1" s="122"/>
    <row r="619" customFormat="1" s="122"/>
    <row r="620" customFormat="1" s="122"/>
    <row r="621" customFormat="1" s="122"/>
    <row r="622" customFormat="1" s="122"/>
    <row r="623" customFormat="1" s="122"/>
    <row r="624" customFormat="1" s="122"/>
    <row r="625" customFormat="1" s="122"/>
    <row r="626" customFormat="1" s="122"/>
    <row r="627" customFormat="1" s="122"/>
    <row r="628" customFormat="1" s="122"/>
    <row r="629" customFormat="1" s="122"/>
    <row r="630" customFormat="1" s="122"/>
    <row r="631" customFormat="1" s="122"/>
    <row r="632" customFormat="1" s="122"/>
    <row r="633">
      <c r="A633" s="122" t="n"/>
      <c r="B633" s="122" t="n"/>
      <c r="C633" s="122" t="n"/>
      <c r="D633" s="122" t="n"/>
    </row>
    <row r="634">
      <c r="A634" s="122" t="n"/>
      <c r="B634" s="122" t="n"/>
      <c r="C634" s="122" t="n"/>
      <c r="D634" s="122" t="n"/>
    </row>
    <row r="635">
      <c r="A635" s="122" t="n"/>
      <c r="B635" s="122" t="n"/>
      <c r="C635" s="122" t="n"/>
      <c r="D635" s="122" t="n"/>
    </row>
    <row r="636">
      <c r="A636" s="122" t="n"/>
      <c r="B636" s="122" t="n"/>
      <c r="C636" s="122" t="n"/>
      <c r="D636" s="122" t="n"/>
    </row>
    <row r="637">
      <c r="A637" s="122" t="n"/>
      <c r="B637" s="122" t="n"/>
      <c r="C637" s="122" t="n"/>
      <c r="D637" s="122" t="n"/>
    </row>
    <row r="638">
      <c r="A638" s="122" t="n"/>
      <c r="B638" s="122" t="n"/>
      <c r="C638" s="122" t="n"/>
      <c r="D638" s="122" t="n"/>
    </row>
    <row r="639">
      <c r="A639" s="122" t="n"/>
      <c r="B639" s="122" t="n"/>
      <c r="C639" s="122" t="n"/>
      <c r="D639" s="122" t="n"/>
    </row>
    <row r="640">
      <c r="A640" s="122" t="n"/>
      <c r="B640" s="122" t="n"/>
      <c r="C640" s="122" t="n"/>
      <c r="D640" s="122" t="n"/>
    </row>
    <row r="641">
      <c r="A641" s="122" t="n"/>
      <c r="B641" s="122" t="n"/>
      <c r="C641" s="122" t="n"/>
      <c r="D641" s="122" t="n"/>
    </row>
    <row r="642">
      <c r="A642" s="122" t="n"/>
      <c r="B642" s="122" t="n"/>
      <c r="C642" s="122" t="n"/>
      <c r="D642" s="122" t="n"/>
    </row>
    <row r="643">
      <c r="A643" s="122" t="n"/>
      <c r="B643" s="122" t="n"/>
      <c r="C643" s="122" t="n"/>
      <c r="D643" s="122" t="n"/>
    </row>
    <row r="644">
      <c r="A644" s="122" t="n"/>
      <c r="B644" s="122" t="n"/>
      <c r="C644" s="122" t="n"/>
      <c r="D644" s="122" t="n"/>
    </row>
    <row r="645">
      <c r="A645" s="122" t="n"/>
      <c r="B645" s="122" t="n"/>
      <c r="C645" s="122" t="n"/>
      <c r="D645" s="122" t="n"/>
    </row>
    <row r="646">
      <c r="A646" s="122" t="n"/>
      <c r="B646" s="122" t="n"/>
      <c r="C646" s="122" t="n"/>
      <c r="D646" s="122" t="n"/>
    </row>
    <row r="647">
      <c r="A647" s="122" t="n"/>
      <c r="B647" s="122" t="n"/>
      <c r="C647" s="122" t="n"/>
      <c r="D647" s="122" t="n"/>
    </row>
    <row r="648">
      <c r="A648" s="122" t="n"/>
      <c r="B648" s="122" t="n"/>
      <c r="C648" s="122" t="n"/>
      <c r="D648" s="122" t="n"/>
    </row>
    <row r="649">
      <c r="A649" s="122" t="n"/>
      <c r="B649" s="122" t="n"/>
      <c r="C649" s="122" t="n"/>
      <c r="D649" s="122" t="n"/>
    </row>
    <row r="650">
      <c r="A650" s="122" t="n"/>
      <c r="B650" s="122" t="n"/>
      <c r="C650" s="122" t="n"/>
      <c r="D650" s="122" t="n"/>
    </row>
    <row r="651">
      <c r="A651" s="122" t="n"/>
      <c r="B651" s="122" t="n"/>
      <c r="C651" s="122" t="n"/>
      <c r="D651" s="122" t="n"/>
    </row>
    <row r="652">
      <c r="A652" s="122" t="n"/>
      <c r="B652" s="122" t="n"/>
      <c r="C652" s="122" t="n"/>
      <c r="D652" s="122" t="n"/>
    </row>
    <row r="653">
      <c r="A653" s="122" t="n"/>
      <c r="B653" s="122" t="n"/>
      <c r="C653" s="122" t="n"/>
      <c r="D653" s="122" t="n"/>
    </row>
    <row r="654">
      <c r="A654" s="122" t="n"/>
      <c r="B654" s="122" t="n"/>
      <c r="C654" s="122" t="n"/>
      <c r="D654" s="122" t="n"/>
    </row>
    <row r="655">
      <c r="A655" s="122" t="n"/>
      <c r="B655" s="122" t="n"/>
      <c r="C655" s="122" t="n"/>
      <c r="D655" s="122" t="n"/>
    </row>
    <row r="656">
      <c r="A656" s="122" t="n"/>
      <c r="B656" s="122" t="n"/>
      <c r="C656" s="122" t="n"/>
      <c r="D656" s="122" t="n"/>
    </row>
    <row r="657">
      <c r="A657" s="122" t="n"/>
      <c r="B657" s="122" t="n"/>
      <c r="C657" s="122" t="n"/>
      <c r="D657" s="122" t="n"/>
    </row>
    <row r="658">
      <c r="A658" s="122" t="n"/>
      <c r="B658" s="122" t="n"/>
      <c r="C658" s="122" t="n"/>
      <c r="D658" s="122" t="n"/>
    </row>
    <row r="659">
      <c r="A659" s="122" t="n"/>
      <c r="B659" s="122" t="n"/>
      <c r="C659" s="122" t="n"/>
      <c r="D659" s="122" t="n"/>
    </row>
    <row r="660">
      <c r="A660" s="122" t="n"/>
      <c r="B660" s="122" t="n"/>
      <c r="C660" s="122" t="n"/>
      <c r="D660" s="122" t="n"/>
    </row>
    <row r="661">
      <c r="A661" s="122" t="n"/>
      <c r="B661" s="122" t="n"/>
      <c r="C661" s="122" t="n"/>
      <c r="D661" s="122" t="n"/>
    </row>
    <row r="662">
      <c r="A662" s="122" t="n"/>
      <c r="B662" s="122" t="n"/>
      <c r="C662" s="122" t="n"/>
      <c r="D662" s="122" t="n"/>
    </row>
    <row r="663">
      <c r="A663" s="122" t="n"/>
      <c r="B663" s="122" t="n"/>
      <c r="C663" s="122" t="n"/>
      <c r="D663" s="122" t="n"/>
    </row>
    <row r="664">
      <c r="A664" s="122" t="n"/>
      <c r="B664" s="122" t="n"/>
      <c r="C664" s="122" t="n"/>
      <c r="D664" s="122" t="n"/>
    </row>
  </sheetData>
  <conditionalFormatting sqref="C8:C367">
    <cfRule type="colorScale" priority="2">
      <colorScale>
        <cfvo type="min"/>
        <cfvo type="percentile" val="50"/>
        <cfvo type="max"/>
        <color rgb="FFF8696B"/>
        <color rgb="FFFFEB84"/>
        <color rgb="FF63BE7B"/>
      </colorScale>
    </cfRule>
  </conditionalFormatting>
  <conditionalFormatting sqref="D19:D36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540"/>
  <sheetViews>
    <sheetView zoomScale="160" zoomScaleNormal="160" workbookViewId="0">
      <pane ySplit="6" topLeftCell="A358" activePane="bottomLeft" state="frozen"/>
      <selection pane="bottomLeft" activeCell="D372" sqref="D372"/>
    </sheetView>
  </sheetViews>
  <sheetFormatPr baseColWidth="10" defaultColWidth="8.83203125" defaultRowHeight="15"/>
  <cols>
    <col width="14" customWidth="1" style="2" min="1" max="1"/>
    <col width="21.33203125" customWidth="1" style="16" min="2" max="2"/>
    <col width="21.33203125" customWidth="1" style="2" min="3" max="4"/>
    <col width="9.1640625" customWidth="1" style="122" min="5" max="140"/>
  </cols>
  <sheetData>
    <row r="1" customFormat="1" s="122">
      <c r="A1" s="27" t="inlineStr">
        <is>
          <t>RSAFS</t>
        </is>
      </c>
      <c r="B1" s="25" t="inlineStr">
        <is>
          <t>Retail and Food Services Sales (RSAFS), Millions of Dollars, Monthly, Seasonally Adjusted</t>
        </is>
      </c>
      <c r="C1" s="54" t="n"/>
      <c r="D1" s="54" t="n"/>
    </row>
    <row r="2" customFormat="1" s="122">
      <c r="A2" s="9" t="inlineStr">
        <is>
          <t>https://fred.stlouisfed.org/series/RSAFS</t>
        </is>
      </c>
      <c r="B2" s="14" t="n"/>
      <c r="C2" s="54" t="n"/>
      <c r="D2" s="54" t="n"/>
    </row>
    <row r="3" customFormat="1" s="122">
      <c r="A3" s="9" t="n"/>
      <c r="B3" s="14" t="n"/>
      <c r="C3" s="54" t="n"/>
      <c r="D3" s="54" t="n"/>
    </row>
    <row r="4" customFormat="1" s="122">
      <c r="A4" s="9" t="n"/>
      <c r="B4" s="14" t="n"/>
      <c r="C4" s="54" t="n"/>
      <c r="D4" s="54" t="n"/>
    </row>
    <row r="5" ht="16" customFormat="1" customHeight="1" s="122" thickBot="1">
      <c r="A5" s="54" t="n"/>
      <c r="B5" s="14" t="n"/>
      <c r="C5" s="54" t="n"/>
      <c r="D5" s="54" t="n"/>
    </row>
    <row r="6" ht="33" customHeight="1" s="95" thickBot="1">
      <c r="A6" s="78" t="inlineStr">
        <is>
          <t>Date</t>
        </is>
      </c>
      <c r="B6" s="79" t="inlineStr">
        <is>
          <t>Retail Sales (RSAFS), Millions of Dollars</t>
        </is>
      </c>
      <c r="C6" s="80" t="inlineStr">
        <is>
          <t>mom %</t>
        </is>
      </c>
      <c r="D6" s="81" t="inlineStr">
        <is>
          <t>yoy %</t>
        </is>
      </c>
    </row>
    <row r="7">
      <c r="A7" s="17" t="n">
        <v>33604</v>
      </c>
      <c r="B7" s="18">
        <f>VLOOKUP(A7,Database!A:K,MATCH('Retail Sales'!$A$1,Database!$A$1:$K$1,),)</f>
        <v/>
      </c>
      <c r="C7" s="19" t="n"/>
      <c r="D7" s="19" t="n"/>
    </row>
    <row r="8">
      <c r="A8" s="11" t="n">
        <v>33635</v>
      </c>
      <c r="B8" s="15">
        <f>VLOOKUP(A8,Database!A:K,MATCH('Retail Sales'!$A$1,Database!$A$1:$K$1,),)</f>
        <v/>
      </c>
      <c r="C8" s="12">
        <f>(B8-B7)/B7</f>
        <v/>
      </c>
      <c r="D8" s="1" t="n"/>
    </row>
    <row r="9">
      <c r="A9" s="10" t="n">
        <v>33664</v>
      </c>
      <c r="B9" s="15">
        <f>VLOOKUP(A9,Database!A:K,MATCH('Retail Sales'!$A$1,Database!$A$1:$K$1,),)</f>
        <v/>
      </c>
      <c r="C9" s="12">
        <f>(B9-B8)/B8</f>
        <v/>
      </c>
      <c r="D9" s="1" t="n"/>
    </row>
    <row r="10">
      <c r="A10" s="11" t="n">
        <v>33695</v>
      </c>
      <c r="B10" s="15">
        <f>VLOOKUP(A10,Database!A:K,MATCH('Retail Sales'!$A$1,Database!$A$1:$K$1,),)</f>
        <v/>
      </c>
      <c r="C10" s="12">
        <f>(B10-B9)/B9</f>
        <v/>
      </c>
      <c r="D10" s="1" t="n"/>
    </row>
    <row r="11">
      <c r="A11" s="10" t="n">
        <v>33725</v>
      </c>
      <c r="B11" s="15">
        <f>VLOOKUP(A11,Database!A:K,MATCH('Retail Sales'!$A$1,Database!$A$1:$K$1,),)</f>
        <v/>
      </c>
      <c r="C11" s="12">
        <f>(B11-B10)/B10</f>
        <v/>
      </c>
      <c r="D11" s="1" t="n"/>
    </row>
    <row r="12">
      <c r="A12" s="11" t="n">
        <v>33756</v>
      </c>
      <c r="B12" s="15">
        <f>VLOOKUP(A12,Database!A:K,MATCH('Retail Sales'!$A$1,Database!$A$1:$K$1,),)</f>
        <v/>
      </c>
      <c r="C12" s="12">
        <f>(B12-B11)/B11</f>
        <v/>
      </c>
      <c r="D12" s="1" t="n"/>
    </row>
    <row r="13">
      <c r="A13" s="10" t="n">
        <v>33786</v>
      </c>
      <c r="B13" s="15">
        <f>VLOOKUP(A13,Database!A:K,MATCH('Retail Sales'!$A$1,Database!$A$1:$K$1,),)</f>
        <v/>
      </c>
      <c r="C13" s="12">
        <f>(B13-B12)/B12</f>
        <v/>
      </c>
      <c r="D13" s="1" t="n"/>
    </row>
    <row r="14">
      <c r="A14" s="11" t="n">
        <v>33817</v>
      </c>
      <c r="B14" s="15">
        <f>VLOOKUP(A14,Database!A:K,MATCH('Retail Sales'!$A$1,Database!$A$1:$K$1,),)</f>
        <v/>
      </c>
      <c r="C14" s="12">
        <f>(B14-B13)/B13</f>
        <v/>
      </c>
      <c r="D14" s="1" t="n"/>
    </row>
    <row r="15">
      <c r="A15" s="10" t="n">
        <v>33848</v>
      </c>
      <c r="B15" s="15">
        <f>VLOOKUP(A15,Database!A:K,MATCH('Retail Sales'!$A$1,Database!$A$1:$K$1,),)</f>
        <v/>
      </c>
      <c r="C15" s="12">
        <f>(B15-B14)/B14</f>
        <v/>
      </c>
      <c r="D15" s="1" t="n"/>
    </row>
    <row r="16">
      <c r="A16" s="11" t="n">
        <v>33878</v>
      </c>
      <c r="B16" s="15">
        <f>VLOOKUP(A16,Database!A:K,MATCH('Retail Sales'!$A$1,Database!$A$1:$K$1,),)</f>
        <v/>
      </c>
      <c r="C16" s="12">
        <f>(B16-B15)/B15</f>
        <v/>
      </c>
      <c r="D16" s="1" t="n"/>
    </row>
    <row r="17">
      <c r="A17" s="10" t="n">
        <v>33909</v>
      </c>
      <c r="B17" s="15">
        <f>VLOOKUP(A17,Database!A:K,MATCH('Retail Sales'!$A$1,Database!$A$1:$K$1,),)</f>
        <v/>
      </c>
      <c r="C17" s="12">
        <f>(B17-B16)/B16</f>
        <v/>
      </c>
      <c r="D17" s="1" t="n"/>
    </row>
    <row r="18">
      <c r="A18" s="11" t="n">
        <v>33939</v>
      </c>
      <c r="B18" s="15">
        <f>VLOOKUP(A18,Database!A:K,MATCH('Retail Sales'!$A$1,Database!$A$1:$K$1,),)</f>
        <v/>
      </c>
      <c r="C18" s="12">
        <f>(B18-B17)/B17</f>
        <v/>
      </c>
      <c r="D18" s="1" t="n"/>
    </row>
    <row r="19">
      <c r="A19" s="10" t="n">
        <v>33970</v>
      </c>
      <c r="B19" s="15">
        <f>VLOOKUP(A19,Database!A:K,MATCH('Retail Sales'!$A$1,Database!$A$1:$K$1,),)</f>
        <v/>
      </c>
      <c r="C19" s="12">
        <f>(B19-B18)/B18</f>
        <v/>
      </c>
      <c r="D19" s="13">
        <f>(B19-B7)/B7</f>
        <v/>
      </c>
    </row>
    <row r="20">
      <c r="A20" s="11" t="n">
        <v>34001</v>
      </c>
      <c r="B20" s="15">
        <f>VLOOKUP(A20,Database!A:K,MATCH('Retail Sales'!$A$1,Database!$A$1:$K$1,),)</f>
        <v/>
      </c>
      <c r="C20" s="12">
        <f>(B20-B19)/B19</f>
        <v/>
      </c>
      <c r="D20" s="13">
        <f>(B20-B8)/B8</f>
        <v/>
      </c>
    </row>
    <row r="21">
      <c r="A21" s="10" t="n">
        <v>34029</v>
      </c>
      <c r="B21" s="15">
        <f>VLOOKUP(A21,Database!A:K,MATCH('Retail Sales'!$A$1,Database!$A$1:$K$1,),)</f>
        <v/>
      </c>
      <c r="C21" s="12">
        <f>(B21-B20)/B20</f>
        <v/>
      </c>
      <c r="D21" s="13">
        <f>(B21-B9)/B9</f>
        <v/>
      </c>
    </row>
    <row r="22">
      <c r="A22" s="11" t="n">
        <v>34060</v>
      </c>
      <c r="B22" s="15">
        <f>VLOOKUP(A22,Database!A:K,MATCH('Retail Sales'!$A$1,Database!$A$1:$K$1,),)</f>
        <v/>
      </c>
      <c r="C22" s="12">
        <f>(B22-B21)/B21</f>
        <v/>
      </c>
      <c r="D22" s="13">
        <f>(B22-B10)/B10</f>
        <v/>
      </c>
    </row>
    <row r="23">
      <c r="A23" s="10" t="n">
        <v>34090</v>
      </c>
      <c r="B23" s="15">
        <f>VLOOKUP(A23,Database!A:K,MATCH('Retail Sales'!$A$1,Database!$A$1:$K$1,),)</f>
        <v/>
      </c>
      <c r="C23" s="12">
        <f>(B23-B22)/B22</f>
        <v/>
      </c>
      <c r="D23" s="13">
        <f>(B23-B11)/B11</f>
        <v/>
      </c>
    </row>
    <row r="24">
      <c r="A24" s="11" t="n">
        <v>34121</v>
      </c>
      <c r="B24" s="15">
        <f>VLOOKUP(A24,Database!A:K,MATCH('Retail Sales'!$A$1,Database!$A$1:$K$1,),)</f>
        <v/>
      </c>
      <c r="C24" s="12">
        <f>(B24-B23)/B23</f>
        <v/>
      </c>
      <c r="D24" s="13">
        <f>(B24-B12)/B12</f>
        <v/>
      </c>
    </row>
    <row r="25">
      <c r="A25" s="10" t="n">
        <v>34151</v>
      </c>
      <c r="B25" s="15">
        <f>VLOOKUP(A25,Database!A:K,MATCH('Retail Sales'!$A$1,Database!$A$1:$K$1,),)</f>
        <v/>
      </c>
      <c r="C25" s="12">
        <f>(B25-B24)/B24</f>
        <v/>
      </c>
      <c r="D25" s="13">
        <f>(B25-B13)/B13</f>
        <v/>
      </c>
    </row>
    <row r="26">
      <c r="A26" s="11" t="n">
        <v>34182</v>
      </c>
      <c r="B26" s="15">
        <f>VLOOKUP(A26,Database!A:K,MATCH('Retail Sales'!$A$1,Database!$A$1:$K$1,),)</f>
        <v/>
      </c>
      <c r="C26" s="12">
        <f>(B26-B25)/B25</f>
        <v/>
      </c>
      <c r="D26" s="13">
        <f>(B26-B14)/B14</f>
        <v/>
      </c>
    </row>
    <row r="27">
      <c r="A27" s="10" t="n">
        <v>34213</v>
      </c>
      <c r="B27" s="15">
        <f>VLOOKUP(A27,Database!A:K,MATCH('Retail Sales'!$A$1,Database!$A$1:$K$1,),)</f>
        <v/>
      </c>
      <c r="C27" s="12">
        <f>(B27-B26)/B26</f>
        <v/>
      </c>
      <c r="D27" s="13">
        <f>(B27-B15)/B15</f>
        <v/>
      </c>
    </row>
    <row r="28">
      <c r="A28" s="11" t="n">
        <v>34243</v>
      </c>
      <c r="B28" s="15">
        <f>VLOOKUP(A28,Database!A:K,MATCH('Retail Sales'!$A$1,Database!$A$1:$K$1,),)</f>
        <v/>
      </c>
      <c r="C28" s="12">
        <f>(B28-B27)/B27</f>
        <v/>
      </c>
      <c r="D28" s="13">
        <f>(B28-B16)/B16</f>
        <v/>
      </c>
    </row>
    <row r="29">
      <c r="A29" s="10" t="n">
        <v>34274</v>
      </c>
      <c r="B29" s="15">
        <f>VLOOKUP(A29,Database!A:K,MATCH('Retail Sales'!$A$1,Database!$A$1:$K$1,),)</f>
        <v/>
      </c>
      <c r="C29" s="12">
        <f>(B29-B28)/B28</f>
        <v/>
      </c>
      <c r="D29" s="13">
        <f>(B29-B17)/B17</f>
        <v/>
      </c>
    </row>
    <row r="30">
      <c r="A30" s="11" t="n">
        <v>34304</v>
      </c>
      <c r="B30" s="15">
        <f>VLOOKUP(A30,Database!A:K,MATCH('Retail Sales'!$A$1,Database!$A$1:$K$1,),)</f>
        <v/>
      </c>
      <c r="C30" s="12">
        <f>(B30-B29)/B29</f>
        <v/>
      </c>
      <c r="D30" s="13">
        <f>(B30-B18)/B18</f>
        <v/>
      </c>
    </row>
    <row r="31">
      <c r="A31" s="10" t="n">
        <v>34335</v>
      </c>
      <c r="B31" s="15">
        <f>VLOOKUP(A31,Database!A:K,MATCH('Retail Sales'!$A$1,Database!$A$1:$K$1,),)</f>
        <v/>
      </c>
      <c r="C31" s="12">
        <f>(B31-B30)/B30</f>
        <v/>
      </c>
      <c r="D31" s="13">
        <f>(B31-B19)/B19</f>
        <v/>
      </c>
    </row>
    <row r="32">
      <c r="A32" s="11" t="n">
        <v>34366</v>
      </c>
      <c r="B32" s="15">
        <f>VLOOKUP(A32,Database!A:K,MATCH('Retail Sales'!$A$1,Database!$A$1:$K$1,),)</f>
        <v/>
      </c>
      <c r="C32" s="12">
        <f>(B32-B31)/B31</f>
        <v/>
      </c>
      <c r="D32" s="13">
        <f>(B32-B20)/B20</f>
        <v/>
      </c>
    </row>
    <row r="33">
      <c r="A33" s="10" t="n">
        <v>34394</v>
      </c>
      <c r="B33" s="15">
        <f>VLOOKUP(A33,Database!A:K,MATCH('Retail Sales'!$A$1,Database!$A$1:$K$1,),)</f>
        <v/>
      </c>
      <c r="C33" s="12">
        <f>(B33-B32)/B32</f>
        <v/>
      </c>
      <c r="D33" s="13">
        <f>(B33-B21)/B21</f>
        <v/>
      </c>
    </row>
    <row r="34">
      <c r="A34" s="11" t="n">
        <v>34425</v>
      </c>
      <c r="B34" s="15">
        <f>VLOOKUP(A34,Database!A:K,MATCH('Retail Sales'!$A$1,Database!$A$1:$K$1,),)</f>
        <v/>
      </c>
      <c r="C34" s="12">
        <f>(B34-B33)/B33</f>
        <v/>
      </c>
      <c r="D34" s="13">
        <f>(B34-B22)/B22</f>
        <v/>
      </c>
    </row>
    <row r="35">
      <c r="A35" s="10" t="n">
        <v>34455</v>
      </c>
      <c r="B35" s="15">
        <f>VLOOKUP(A35,Database!A:K,MATCH('Retail Sales'!$A$1,Database!$A$1:$K$1,),)</f>
        <v/>
      </c>
      <c r="C35" s="12">
        <f>(B35-B34)/B34</f>
        <v/>
      </c>
      <c r="D35" s="13">
        <f>(B35-B23)/B23</f>
        <v/>
      </c>
    </row>
    <row r="36">
      <c r="A36" s="11" t="n">
        <v>34486</v>
      </c>
      <c r="B36" s="15">
        <f>VLOOKUP(A36,Database!A:K,MATCH('Retail Sales'!$A$1,Database!$A$1:$K$1,),)</f>
        <v/>
      </c>
      <c r="C36" s="12">
        <f>(B36-B35)/B35</f>
        <v/>
      </c>
      <c r="D36" s="13">
        <f>(B36-B24)/B24</f>
        <v/>
      </c>
    </row>
    <row r="37">
      <c r="A37" s="10" t="n">
        <v>34516</v>
      </c>
      <c r="B37" s="15">
        <f>VLOOKUP(A37,Database!A:K,MATCH('Retail Sales'!$A$1,Database!$A$1:$K$1,),)</f>
        <v/>
      </c>
      <c r="C37" s="12">
        <f>(B37-B36)/B36</f>
        <v/>
      </c>
      <c r="D37" s="13">
        <f>(B37-B25)/B25</f>
        <v/>
      </c>
    </row>
    <row r="38">
      <c r="A38" s="11" t="n">
        <v>34547</v>
      </c>
      <c r="B38" s="15">
        <f>VLOOKUP(A38,Database!A:K,MATCH('Retail Sales'!$A$1,Database!$A$1:$K$1,),)</f>
        <v/>
      </c>
      <c r="C38" s="12">
        <f>(B38-B37)/B37</f>
        <v/>
      </c>
      <c r="D38" s="13">
        <f>(B38-B26)/B26</f>
        <v/>
      </c>
    </row>
    <row r="39">
      <c r="A39" s="10" t="n">
        <v>34578</v>
      </c>
      <c r="B39" s="15">
        <f>VLOOKUP(A39,Database!A:K,MATCH('Retail Sales'!$A$1,Database!$A$1:$K$1,),)</f>
        <v/>
      </c>
      <c r="C39" s="12">
        <f>(B39-B38)/B38</f>
        <v/>
      </c>
      <c r="D39" s="13">
        <f>(B39-B27)/B27</f>
        <v/>
      </c>
    </row>
    <row r="40">
      <c r="A40" s="11" t="n">
        <v>34608</v>
      </c>
      <c r="B40" s="15">
        <f>VLOOKUP(A40,Database!A:K,MATCH('Retail Sales'!$A$1,Database!$A$1:$K$1,),)</f>
        <v/>
      </c>
      <c r="C40" s="12">
        <f>(B40-B39)/B39</f>
        <v/>
      </c>
      <c r="D40" s="13">
        <f>(B40-B28)/B28</f>
        <v/>
      </c>
    </row>
    <row r="41">
      <c r="A41" s="10" t="n">
        <v>34639</v>
      </c>
      <c r="B41" s="15">
        <f>VLOOKUP(A41,Database!A:K,MATCH('Retail Sales'!$A$1,Database!$A$1:$K$1,),)</f>
        <v/>
      </c>
      <c r="C41" s="12">
        <f>(B41-B40)/B40</f>
        <v/>
      </c>
      <c r="D41" s="13">
        <f>(B41-B29)/B29</f>
        <v/>
      </c>
    </row>
    <row r="42">
      <c r="A42" s="11" t="n">
        <v>34669</v>
      </c>
      <c r="B42" s="15">
        <f>VLOOKUP(A42,Database!A:K,MATCH('Retail Sales'!$A$1,Database!$A$1:$K$1,),)</f>
        <v/>
      </c>
      <c r="C42" s="12">
        <f>(B42-B41)/B41</f>
        <v/>
      </c>
      <c r="D42" s="13">
        <f>(B42-B30)/B30</f>
        <v/>
      </c>
    </row>
    <row r="43">
      <c r="A43" s="10" t="n">
        <v>34700</v>
      </c>
      <c r="B43" s="15">
        <f>VLOOKUP(A43,Database!A:K,MATCH('Retail Sales'!$A$1,Database!$A$1:$K$1,),)</f>
        <v/>
      </c>
      <c r="C43" s="12">
        <f>(B43-B42)/B42</f>
        <v/>
      </c>
      <c r="D43" s="13">
        <f>(B43-B31)/B31</f>
        <v/>
      </c>
    </row>
    <row r="44">
      <c r="A44" s="11" t="n">
        <v>34731</v>
      </c>
      <c r="B44" s="15">
        <f>VLOOKUP(A44,Database!A:K,MATCH('Retail Sales'!$A$1,Database!$A$1:$K$1,),)</f>
        <v/>
      </c>
      <c r="C44" s="12">
        <f>(B44-B43)/B43</f>
        <v/>
      </c>
      <c r="D44" s="13">
        <f>(B44-B32)/B32</f>
        <v/>
      </c>
    </row>
    <row r="45">
      <c r="A45" s="10" t="n">
        <v>34759</v>
      </c>
      <c r="B45" s="15">
        <f>VLOOKUP(A45,Database!A:K,MATCH('Retail Sales'!$A$1,Database!$A$1:$K$1,),)</f>
        <v/>
      </c>
      <c r="C45" s="12">
        <f>(B45-B44)/B44</f>
        <v/>
      </c>
      <c r="D45" s="13">
        <f>(B45-B33)/B33</f>
        <v/>
      </c>
    </row>
    <row r="46">
      <c r="A46" s="11" t="n">
        <v>34790</v>
      </c>
      <c r="B46" s="15">
        <f>VLOOKUP(A46,Database!A:K,MATCH('Retail Sales'!$A$1,Database!$A$1:$K$1,),)</f>
        <v/>
      </c>
      <c r="C46" s="12">
        <f>(B46-B45)/B45</f>
        <v/>
      </c>
      <c r="D46" s="13">
        <f>(B46-B34)/B34</f>
        <v/>
      </c>
    </row>
    <row r="47">
      <c r="A47" s="10" t="n">
        <v>34820</v>
      </c>
      <c r="B47" s="15">
        <f>VLOOKUP(A47,Database!A:K,MATCH('Retail Sales'!$A$1,Database!$A$1:$K$1,),)</f>
        <v/>
      </c>
      <c r="C47" s="12">
        <f>(B47-B46)/B46</f>
        <v/>
      </c>
      <c r="D47" s="13">
        <f>(B47-B35)/B35</f>
        <v/>
      </c>
    </row>
    <row r="48">
      <c r="A48" s="11" t="n">
        <v>34851</v>
      </c>
      <c r="B48" s="15">
        <f>VLOOKUP(A48,Database!A:K,MATCH('Retail Sales'!$A$1,Database!$A$1:$K$1,),)</f>
        <v/>
      </c>
      <c r="C48" s="12">
        <f>(B48-B47)/B47</f>
        <v/>
      </c>
      <c r="D48" s="13">
        <f>(B48-B36)/B36</f>
        <v/>
      </c>
    </row>
    <row r="49">
      <c r="A49" s="10" t="n">
        <v>34881</v>
      </c>
      <c r="B49" s="15">
        <f>VLOOKUP(A49,Database!A:K,MATCH('Retail Sales'!$A$1,Database!$A$1:$K$1,),)</f>
        <v/>
      </c>
      <c r="C49" s="12">
        <f>(B49-B48)/B48</f>
        <v/>
      </c>
      <c r="D49" s="13">
        <f>(B49-B37)/B37</f>
        <v/>
      </c>
    </row>
    <row r="50">
      <c r="A50" s="11" t="n">
        <v>34912</v>
      </c>
      <c r="B50" s="15">
        <f>VLOOKUP(A50,Database!A:K,MATCH('Retail Sales'!$A$1,Database!$A$1:$K$1,),)</f>
        <v/>
      </c>
      <c r="C50" s="12">
        <f>(B50-B49)/B49</f>
        <v/>
      </c>
      <c r="D50" s="13">
        <f>(B50-B38)/B38</f>
        <v/>
      </c>
    </row>
    <row r="51">
      <c r="A51" s="10" t="n">
        <v>34943</v>
      </c>
      <c r="B51" s="15">
        <f>VLOOKUP(A51,Database!A:K,MATCH('Retail Sales'!$A$1,Database!$A$1:$K$1,),)</f>
        <v/>
      </c>
      <c r="C51" s="12">
        <f>(B51-B50)/B50</f>
        <v/>
      </c>
      <c r="D51" s="13">
        <f>(B51-B39)/B39</f>
        <v/>
      </c>
    </row>
    <row r="52">
      <c r="A52" s="11" t="n">
        <v>34973</v>
      </c>
      <c r="B52" s="15">
        <f>VLOOKUP(A52,Database!A:K,MATCH('Retail Sales'!$A$1,Database!$A$1:$K$1,),)</f>
        <v/>
      </c>
      <c r="C52" s="12">
        <f>(B52-B51)/B51</f>
        <v/>
      </c>
      <c r="D52" s="13">
        <f>(B52-B40)/B40</f>
        <v/>
      </c>
    </row>
    <row r="53">
      <c r="A53" s="10" t="n">
        <v>35004</v>
      </c>
      <c r="B53" s="15">
        <f>VLOOKUP(A53,Database!A:K,MATCH('Retail Sales'!$A$1,Database!$A$1:$K$1,),)</f>
        <v/>
      </c>
      <c r="C53" s="12">
        <f>(B53-B52)/B52</f>
        <v/>
      </c>
      <c r="D53" s="13">
        <f>(B53-B41)/B41</f>
        <v/>
      </c>
    </row>
    <row r="54">
      <c r="A54" s="11" t="n">
        <v>35034</v>
      </c>
      <c r="B54" s="15">
        <f>VLOOKUP(A54,Database!A:K,MATCH('Retail Sales'!$A$1,Database!$A$1:$K$1,),)</f>
        <v/>
      </c>
      <c r="C54" s="12">
        <f>(B54-B53)/B53</f>
        <v/>
      </c>
      <c r="D54" s="13">
        <f>(B54-B42)/B42</f>
        <v/>
      </c>
    </row>
    <row r="55">
      <c r="A55" s="10" t="n">
        <v>35065</v>
      </c>
      <c r="B55" s="15">
        <f>VLOOKUP(A55,Database!A:K,MATCH('Retail Sales'!$A$1,Database!$A$1:$K$1,),)</f>
        <v/>
      </c>
      <c r="C55" s="12">
        <f>(B55-B54)/B54</f>
        <v/>
      </c>
      <c r="D55" s="13">
        <f>(B55-B43)/B43</f>
        <v/>
      </c>
    </row>
    <row r="56">
      <c r="A56" s="11" t="n">
        <v>35096</v>
      </c>
      <c r="B56" s="15">
        <f>VLOOKUP(A56,Database!A:K,MATCH('Retail Sales'!$A$1,Database!$A$1:$K$1,),)</f>
        <v/>
      </c>
      <c r="C56" s="12">
        <f>(B56-B55)/B55</f>
        <v/>
      </c>
      <c r="D56" s="13">
        <f>(B56-B44)/B44</f>
        <v/>
      </c>
    </row>
    <row r="57">
      <c r="A57" s="10" t="n">
        <v>35125</v>
      </c>
      <c r="B57" s="15">
        <f>VLOOKUP(A57,Database!A:K,MATCH('Retail Sales'!$A$1,Database!$A$1:$K$1,),)</f>
        <v/>
      </c>
      <c r="C57" s="12">
        <f>(B57-B56)/B56</f>
        <v/>
      </c>
      <c r="D57" s="13">
        <f>(B57-B45)/B45</f>
        <v/>
      </c>
    </row>
    <row r="58">
      <c r="A58" s="11" t="n">
        <v>35156</v>
      </c>
      <c r="B58" s="15">
        <f>VLOOKUP(A58,Database!A:K,MATCH('Retail Sales'!$A$1,Database!$A$1:$K$1,),)</f>
        <v/>
      </c>
      <c r="C58" s="12">
        <f>(B58-B57)/B57</f>
        <v/>
      </c>
      <c r="D58" s="13">
        <f>(B58-B46)/B46</f>
        <v/>
      </c>
    </row>
    <row r="59">
      <c r="A59" s="10" t="n">
        <v>35186</v>
      </c>
      <c r="B59" s="15">
        <f>VLOOKUP(A59,Database!A:K,MATCH('Retail Sales'!$A$1,Database!$A$1:$K$1,),)</f>
        <v/>
      </c>
      <c r="C59" s="12">
        <f>(B59-B58)/B58</f>
        <v/>
      </c>
      <c r="D59" s="13">
        <f>(B59-B47)/B47</f>
        <v/>
      </c>
    </row>
    <row r="60">
      <c r="A60" s="11" t="n">
        <v>35217</v>
      </c>
      <c r="B60" s="15">
        <f>VLOOKUP(A60,Database!A:K,MATCH('Retail Sales'!$A$1,Database!$A$1:$K$1,),)</f>
        <v/>
      </c>
      <c r="C60" s="12">
        <f>(B60-B59)/B59</f>
        <v/>
      </c>
      <c r="D60" s="13">
        <f>(B60-B48)/B48</f>
        <v/>
      </c>
    </row>
    <row r="61">
      <c r="A61" s="10" t="n">
        <v>35247</v>
      </c>
      <c r="B61" s="15">
        <f>VLOOKUP(A61,Database!A:K,MATCH('Retail Sales'!$A$1,Database!$A$1:$K$1,),)</f>
        <v/>
      </c>
      <c r="C61" s="12">
        <f>(B61-B60)/B60</f>
        <v/>
      </c>
      <c r="D61" s="13">
        <f>(B61-B49)/B49</f>
        <v/>
      </c>
    </row>
    <row r="62">
      <c r="A62" s="11" t="n">
        <v>35278</v>
      </c>
      <c r="B62" s="15">
        <f>VLOOKUP(A62,Database!A:K,MATCH('Retail Sales'!$A$1,Database!$A$1:$K$1,),)</f>
        <v/>
      </c>
      <c r="C62" s="12">
        <f>(B62-B61)/B61</f>
        <v/>
      </c>
      <c r="D62" s="13">
        <f>(B62-B50)/B50</f>
        <v/>
      </c>
    </row>
    <row r="63">
      <c r="A63" s="10" t="n">
        <v>35309</v>
      </c>
      <c r="B63" s="15">
        <f>VLOOKUP(A63,Database!A:K,MATCH('Retail Sales'!$A$1,Database!$A$1:$K$1,),)</f>
        <v/>
      </c>
      <c r="C63" s="12">
        <f>(B63-B62)/B62</f>
        <v/>
      </c>
      <c r="D63" s="13">
        <f>(B63-B51)/B51</f>
        <v/>
      </c>
    </row>
    <row r="64">
      <c r="A64" s="11" t="n">
        <v>35339</v>
      </c>
      <c r="B64" s="15">
        <f>VLOOKUP(A64,Database!A:K,MATCH('Retail Sales'!$A$1,Database!$A$1:$K$1,),)</f>
        <v/>
      </c>
      <c r="C64" s="12">
        <f>(B64-B63)/B63</f>
        <v/>
      </c>
      <c r="D64" s="13">
        <f>(B64-B52)/B52</f>
        <v/>
      </c>
    </row>
    <row r="65">
      <c r="A65" s="10" t="n">
        <v>35370</v>
      </c>
      <c r="B65" s="15">
        <f>VLOOKUP(A65,Database!A:K,MATCH('Retail Sales'!$A$1,Database!$A$1:$K$1,),)</f>
        <v/>
      </c>
      <c r="C65" s="12">
        <f>(B65-B64)/B64</f>
        <v/>
      </c>
      <c r="D65" s="13">
        <f>(B65-B53)/B53</f>
        <v/>
      </c>
    </row>
    <row r="66">
      <c r="A66" s="11" t="n">
        <v>35400</v>
      </c>
      <c r="B66" s="15">
        <f>VLOOKUP(A66,Database!A:K,MATCH('Retail Sales'!$A$1,Database!$A$1:$K$1,),)</f>
        <v/>
      </c>
      <c r="C66" s="12">
        <f>(B66-B65)/B65</f>
        <v/>
      </c>
      <c r="D66" s="13">
        <f>(B66-B54)/B54</f>
        <v/>
      </c>
    </row>
    <row r="67">
      <c r="A67" s="10" t="n">
        <v>35431</v>
      </c>
      <c r="B67" s="15">
        <f>VLOOKUP(A67,Database!A:K,MATCH('Retail Sales'!$A$1,Database!$A$1:$K$1,),)</f>
        <v/>
      </c>
      <c r="C67" s="12">
        <f>(B67-B66)/B66</f>
        <v/>
      </c>
      <c r="D67" s="13">
        <f>(B67-B55)/B55</f>
        <v/>
      </c>
    </row>
    <row r="68">
      <c r="A68" s="11" t="n">
        <v>35462</v>
      </c>
      <c r="B68" s="15">
        <f>VLOOKUP(A68,Database!A:K,MATCH('Retail Sales'!$A$1,Database!$A$1:$K$1,),)</f>
        <v/>
      </c>
      <c r="C68" s="12">
        <f>(B68-B67)/B67</f>
        <v/>
      </c>
      <c r="D68" s="13">
        <f>(B68-B56)/B56</f>
        <v/>
      </c>
    </row>
    <row r="69">
      <c r="A69" s="10" t="n">
        <v>35490</v>
      </c>
      <c r="B69" s="15">
        <f>VLOOKUP(A69,Database!A:K,MATCH('Retail Sales'!$A$1,Database!$A$1:$K$1,),)</f>
        <v/>
      </c>
      <c r="C69" s="12">
        <f>(B69-B68)/B68</f>
        <v/>
      </c>
      <c r="D69" s="13">
        <f>(B69-B57)/B57</f>
        <v/>
      </c>
    </row>
    <row r="70">
      <c r="A70" s="11" t="n">
        <v>35521</v>
      </c>
      <c r="B70" s="15">
        <f>VLOOKUP(A70,Database!A:K,MATCH('Retail Sales'!$A$1,Database!$A$1:$K$1,),)</f>
        <v/>
      </c>
      <c r="C70" s="12">
        <f>(B70-B69)/B69</f>
        <v/>
      </c>
      <c r="D70" s="13">
        <f>(B70-B58)/B58</f>
        <v/>
      </c>
    </row>
    <row r="71">
      <c r="A71" s="10" t="n">
        <v>35551</v>
      </c>
      <c r="B71" s="15">
        <f>VLOOKUP(A71,Database!A:K,MATCH('Retail Sales'!$A$1,Database!$A$1:$K$1,),)</f>
        <v/>
      </c>
      <c r="C71" s="12">
        <f>(B71-B70)/B70</f>
        <v/>
      </c>
      <c r="D71" s="13">
        <f>(B71-B59)/B59</f>
        <v/>
      </c>
    </row>
    <row r="72">
      <c r="A72" s="11" t="n">
        <v>35582</v>
      </c>
      <c r="B72" s="15">
        <f>VLOOKUP(A72,Database!A:K,MATCH('Retail Sales'!$A$1,Database!$A$1:$K$1,),)</f>
        <v/>
      </c>
      <c r="C72" s="12">
        <f>(B72-B71)/B71</f>
        <v/>
      </c>
      <c r="D72" s="13">
        <f>(B72-B60)/B60</f>
        <v/>
      </c>
    </row>
    <row r="73">
      <c r="A73" s="10" t="n">
        <v>35612</v>
      </c>
      <c r="B73" s="15">
        <f>VLOOKUP(A73,Database!A:K,MATCH('Retail Sales'!$A$1,Database!$A$1:$K$1,),)</f>
        <v/>
      </c>
      <c r="C73" s="12">
        <f>(B73-B72)/B72</f>
        <v/>
      </c>
      <c r="D73" s="13">
        <f>(B73-B61)/B61</f>
        <v/>
      </c>
    </row>
    <row r="74">
      <c r="A74" s="11" t="n">
        <v>35643</v>
      </c>
      <c r="B74" s="15">
        <f>VLOOKUP(A74,Database!A:K,MATCH('Retail Sales'!$A$1,Database!$A$1:$K$1,),)</f>
        <v/>
      </c>
      <c r="C74" s="12">
        <f>(B74-B73)/B73</f>
        <v/>
      </c>
      <c r="D74" s="13">
        <f>(B74-B62)/B62</f>
        <v/>
      </c>
    </row>
    <row r="75">
      <c r="A75" s="10" t="n">
        <v>35674</v>
      </c>
      <c r="B75" s="15">
        <f>VLOOKUP(A75,Database!A:K,MATCH('Retail Sales'!$A$1,Database!$A$1:$K$1,),)</f>
        <v/>
      </c>
      <c r="C75" s="12">
        <f>(B75-B74)/B74</f>
        <v/>
      </c>
      <c r="D75" s="13">
        <f>(B75-B63)/B63</f>
        <v/>
      </c>
    </row>
    <row r="76">
      <c r="A76" s="11" t="n">
        <v>35704</v>
      </c>
      <c r="B76" s="15">
        <f>VLOOKUP(A76,Database!A:K,MATCH('Retail Sales'!$A$1,Database!$A$1:$K$1,),)</f>
        <v/>
      </c>
      <c r="C76" s="12">
        <f>(B76-B75)/B75</f>
        <v/>
      </c>
      <c r="D76" s="13">
        <f>(B76-B64)/B64</f>
        <v/>
      </c>
    </row>
    <row r="77">
      <c r="A77" s="10" t="n">
        <v>35735</v>
      </c>
      <c r="B77" s="15">
        <f>VLOOKUP(A77,Database!A:K,MATCH('Retail Sales'!$A$1,Database!$A$1:$K$1,),)</f>
        <v/>
      </c>
      <c r="C77" s="12">
        <f>(B77-B76)/B76</f>
        <v/>
      </c>
      <c r="D77" s="13">
        <f>(B77-B65)/B65</f>
        <v/>
      </c>
    </row>
    <row r="78">
      <c r="A78" s="11" t="n">
        <v>35765</v>
      </c>
      <c r="B78" s="15">
        <f>VLOOKUP(A78,Database!A:K,MATCH('Retail Sales'!$A$1,Database!$A$1:$K$1,),)</f>
        <v/>
      </c>
      <c r="C78" s="12">
        <f>(B78-B77)/B77</f>
        <v/>
      </c>
      <c r="D78" s="13">
        <f>(B78-B66)/B66</f>
        <v/>
      </c>
    </row>
    <row r="79">
      <c r="A79" s="10" t="n">
        <v>35796</v>
      </c>
      <c r="B79" s="15">
        <f>VLOOKUP(A79,Database!A:K,MATCH('Retail Sales'!$A$1,Database!$A$1:$K$1,),)</f>
        <v/>
      </c>
      <c r="C79" s="12">
        <f>(B79-B78)/B78</f>
        <v/>
      </c>
      <c r="D79" s="13">
        <f>(B79-B67)/B67</f>
        <v/>
      </c>
    </row>
    <row r="80">
      <c r="A80" s="11" t="n">
        <v>35827</v>
      </c>
      <c r="B80" s="15">
        <f>VLOOKUP(A80,Database!A:K,MATCH('Retail Sales'!$A$1,Database!$A$1:$K$1,),)</f>
        <v/>
      </c>
      <c r="C80" s="12">
        <f>(B80-B79)/B79</f>
        <v/>
      </c>
      <c r="D80" s="13">
        <f>(B80-B68)/B68</f>
        <v/>
      </c>
    </row>
    <row r="81">
      <c r="A81" s="10" t="n">
        <v>35855</v>
      </c>
      <c r="B81" s="15">
        <f>VLOOKUP(A81,Database!A:K,MATCH('Retail Sales'!$A$1,Database!$A$1:$K$1,),)</f>
        <v/>
      </c>
      <c r="C81" s="12">
        <f>(B81-B80)/B80</f>
        <v/>
      </c>
      <c r="D81" s="13">
        <f>(B81-B69)/B69</f>
        <v/>
      </c>
    </row>
    <row r="82">
      <c r="A82" s="11" t="n">
        <v>35886</v>
      </c>
      <c r="B82" s="15">
        <f>VLOOKUP(A82,Database!A:K,MATCH('Retail Sales'!$A$1,Database!$A$1:$K$1,),)</f>
        <v/>
      </c>
      <c r="C82" s="12">
        <f>(B82-B81)/B81</f>
        <v/>
      </c>
      <c r="D82" s="13">
        <f>(B82-B70)/B70</f>
        <v/>
      </c>
    </row>
    <row r="83">
      <c r="A83" s="10" t="n">
        <v>35916</v>
      </c>
      <c r="B83" s="15">
        <f>VLOOKUP(A83,Database!A:K,MATCH('Retail Sales'!$A$1,Database!$A$1:$K$1,),)</f>
        <v/>
      </c>
      <c r="C83" s="12">
        <f>(B83-B82)/B82</f>
        <v/>
      </c>
      <c r="D83" s="13">
        <f>(B83-B71)/B71</f>
        <v/>
      </c>
    </row>
    <row r="84">
      <c r="A84" s="11" t="n">
        <v>35947</v>
      </c>
      <c r="B84" s="15">
        <f>VLOOKUP(A84,Database!A:K,MATCH('Retail Sales'!$A$1,Database!$A$1:$K$1,),)</f>
        <v/>
      </c>
      <c r="C84" s="12">
        <f>(B84-B83)/B83</f>
        <v/>
      </c>
      <c r="D84" s="13">
        <f>(B84-B72)/B72</f>
        <v/>
      </c>
    </row>
    <row r="85">
      <c r="A85" s="10" t="n">
        <v>35977</v>
      </c>
      <c r="B85" s="15">
        <f>VLOOKUP(A85,Database!A:K,MATCH('Retail Sales'!$A$1,Database!$A$1:$K$1,),)</f>
        <v/>
      </c>
      <c r="C85" s="12">
        <f>(B85-B84)/B84</f>
        <v/>
      </c>
      <c r="D85" s="13">
        <f>(B85-B73)/B73</f>
        <v/>
      </c>
    </row>
    <row r="86">
      <c r="A86" s="11" t="n">
        <v>36008</v>
      </c>
      <c r="B86" s="15">
        <f>VLOOKUP(A86,Database!A:K,MATCH('Retail Sales'!$A$1,Database!$A$1:$K$1,),)</f>
        <v/>
      </c>
      <c r="C86" s="12">
        <f>(B86-B85)/B85</f>
        <v/>
      </c>
      <c r="D86" s="13">
        <f>(B86-B74)/B74</f>
        <v/>
      </c>
    </row>
    <row r="87">
      <c r="A87" s="10" t="n">
        <v>36039</v>
      </c>
      <c r="B87" s="15">
        <f>VLOOKUP(A87,Database!A:K,MATCH('Retail Sales'!$A$1,Database!$A$1:$K$1,),)</f>
        <v/>
      </c>
      <c r="C87" s="12">
        <f>(B87-B86)/B86</f>
        <v/>
      </c>
      <c r="D87" s="13">
        <f>(B87-B75)/B75</f>
        <v/>
      </c>
    </row>
    <row r="88">
      <c r="A88" s="11" t="n">
        <v>36069</v>
      </c>
      <c r="B88" s="15">
        <f>VLOOKUP(A88,Database!A:K,MATCH('Retail Sales'!$A$1,Database!$A$1:$K$1,),)</f>
        <v/>
      </c>
      <c r="C88" s="12">
        <f>(B88-B87)/B87</f>
        <v/>
      </c>
      <c r="D88" s="13">
        <f>(B88-B76)/B76</f>
        <v/>
      </c>
    </row>
    <row r="89">
      <c r="A89" s="10" t="n">
        <v>36100</v>
      </c>
      <c r="B89" s="15">
        <f>VLOOKUP(A89,Database!A:K,MATCH('Retail Sales'!$A$1,Database!$A$1:$K$1,),)</f>
        <v/>
      </c>
      <c r="C89" s="12">
        <f>(B89-B88)/B88</f>
        <v/>
      </c>
      <c r="D89" s="13">
        <f>(B89-B77)/B77</f>
        <v/>
      </c>
    </row>
    <row r="90">
      <c r="A90" s="11" t="n">
        <v>36130</v>
      </c>
      <c r="B90" s="15">
        <f>VLOOKUP(A90,Database!A:K,MATCH('Retail Sales'!$A$1,Database!$A$1:$K$1,),)</f>
        <v/>
      </c>
      <c r="C90" s="12">
        <f>(B90-B89)/B89</f>
        <v/>
      </c>
      <c r="D90" s="13">
        <f>(B90-B78)/B78</f>
        <v/>
      </c>
    </row>
    <row r="91">
      <c r="A91" s="10" t="n">
        <v>36161</v>
      </c>
      <c r="B91" s="15">
        <f>VLOOKUP(A91,Database!A:K,MATCH('Retail Sales'!$A$1,Database!$A$1:$K$1,),)</f>
        <v/>
      </c>
      <c r="C91" s="12">
        <f>(B91-B90)/B90</f>
        <v/>
      </c>
      <c r="D91" s="13">
        <f>(B91-B79)/B79</f>
        <v/>
      </c>
    </row>
    <row r="92">
      <c r="A92" s="11" t="n">
        <v>36192</v>
      </c>
      <c r="B92" s="15">
        <f>VLOOKUP(A92,Database!A:K,MATCH('Retail Sales'!$A$1,Database!$A$1:$K$1,),)</f>
        <v/>
      </c>
      <c r="C92" s="12">
        <f>(B92-B91)/B91</f>
        <v/>
      </c>
      <c r="D92" s="13">
        <f>(B92-B80)/B80</f>
        <v/>
      </c>
    </row>
    <row r="93">
      <c r="A93" s="10" t="n">
        <v>36220</v>
      </c>
      <c r="B93" s="15">
        <f>VLOOKUP(A93,Database!A:K,MATCH('Retail Sales'!$A$1,Database!$A$1:$K$1,),)</f>
        <v/>
      </c>
      <c r="C93" s="12">
        <f>(B93-B92)/B92</f>
        <v/>
      </c>
      <c r="D93" s="13">
        <f>(B93-B81)/B81</f>
        <v/>
      </c>
    </row>
    <row r="94">
      <c r="A94" s="11" t="n">
        <v>36251</v>
      </c>
      <c r="B94" s="15">
        <f>VLOOKUP(A94,Database!A:K,MATCH('Retail Sales'!$A$1,Database!$A$1:$K$1,),)</f>
        <v/>
      </c>
      <c r="C94" s="12">
        <f>(B94-B93)/B93</f>
        <v/>
      </c>
      <c r="D94" s="13">
        <f>(B94-B82)/B82</f>
        <v/>
      </c>
    </row>
    <row r="95">
      <c r="A95" s="10" t="n">
        <v>36281</v>
      </c>
      <c r="B95" s="15">
        <f>VLOOKUP(A95,Database!A:K,MATCH('Retail Sales'!$A$1,Database!$A$1:$K$1,),)</f>
        <v/>
      </c>
      <c r="C95" s="12">
        <f>(B95-B94)/B94</f>
        <v/>
      </c>
      <c r="D95" s="13">
        <f>(B95-B83)/B83</f>
        <v/>
      </c>
    </row>
    <row r="96">
      <c r="A96" s="11" t="n">
        <v>36312</v>
      </c>
      <c r="B96" s="15">
        <f>VLOOKUP(A96,Database!A:K,MATCH('Retail Sales'!$A$1,Database!$A$1:$K$1,),)</f>
        <v/>
      </c>
      <c r="C96" s="12">
        <f>(B96-B95)/B95</f>
        <v/>
      </c>
      <c r="D96" s="13">
        <f>(B96-B84)/B84</f>
        <v/>
      </c>
    </row>
    <row r="97">
      <c r="A97" s="10" t="n">
        <v>36342</v>
      </c>
      <c r="B97" s="15">
        <f>VLOOKUP(A97,Database!A:K,MATCH('Retail Sales'!$A$1,Database!$A$1:$K$1,),)</f>
        <v/>
      </c>
      <c r="C97" s="12">
        <f>(B97-B96)/B96</f>
        <v/>
      </c>
      <c r="D97" s="13">
        <f>(B97-B85)/B85</f>
        <v/>
      </c>
    </row>
    <row r="98">
      <c r="A98" s="11" t="n">
        <v>36373</v>
      </c>
      <c r="B98" s="15">
        <f>VLOOKUP(A98,Database!A:K,MATCH('Retail Sales'!$A$1,Database!$A$1:$K$1,),)</f>
        <v/>
      </c>
      <c r="C98" s="12">
        <f>(B98-B97)/B97</f>
        <v/>
      </c>
      <c r="D98" s="13">
        <f>(B98-B86)/B86</f>
        <v/>
      </c>
    </row>
    <row r="99">
      <c r="A99" s="10" t="n">
        <v>36404</v>
      </c>
      <c r="B99" s="15">
        <f>VLOOKUP(A99,Database!A:K,MATCH('Retail Sales'!$A$1,Database!$A$1:$K$1,),)</f>
        <v/>
      </c>
      <c r="C99" s="12">
        <f>(B99-B98)/B98</f>
        <v/>
      </c>
      <c r="D99" s="13">
        <f>(B99-B87)/B87</f>
        <v/>
      </c>
    </row>
    <row r="100">
      <c r="A100" s="11" t="n">
        <v>36434</v>
      </c>
      <c r="B100" s="15">
        <f>VLOOKUP(A100,Database!A:K,MATCH('Retail Sales'!$A$1,Database!$A$1:$K$1,),)</f>
        <v/>
      </c>
      <c r="C100" s="12">
        <f>(B100-B99)/B99</f>
        <v/>
      </c>
      <c r="D100" s="13">
        <f>(B100-B88)/B88</f>
        <v/>
      </c>
    </row>
    <row r="101">
      <c r="A101" s="10" t="n">
        <v>36465</v>
      </c>
      <c r="B101" s="15">
        <f>VLOOKUP(A101,Database!A:K,MATCH('Retail Sales'!$A$1,Database!$A$1:$K$1,),)</f>
        <v/>
      </c>
      <c r="C101" s="12">
        <f>(B101-B100)/B100</f>
        <v/>
      </c>
      <c r="D101" s="13">
        <f>(B101-B89)/B89</f>
        <v/>
      </c>
    </row>
    <row r="102">
      <c r="A102" s="11" t="n">
        <v>36495</v>
      </c>
      <c r="B102" s="15">
        <f>VLOOKUP(A102,Database!A:K,MATCH('Retail Sales'!$A$1,Database!$A$1:$K$1,),)</f>
        <v/>
      </c>
      <c r="C102" s="12">
        <f>(B102-B101)/B101</f>
        <v/>
      </c>
      <c r="D102" s="13">
        <f>(B102-B90)/B90</f>
        <v/>
      </c>
    </row>
    <row r="103">
      <c r="A103" s="10" t="n">
        <v>36526</v>
      </c>
      <c r="B103" s="15">
        <f>VLOOKUP(A103,Database!A:K,MATCH('Retail Sales'!$A$1,Database!$A$1:$K$1,),)</f>
        <v/>
      </c>
      <c r="C103" s="12">
        <f>(B103-B102)/B102</f>
        <v/>
      </c>
      <c r="D103" s="13">
        <f>(B103-B91)/B91</f>
        <v/>
      </c>
    </row>
    <row r="104">
      <c r="A104" s="11" t="n">
        <v>36557</v>
      </c>
      <c r="B104" s="15">
        <f>VLOOKUP(A104,Database!A:K,MATCH('Retail Sales'!$A$1,Database!$A$1:$K$1,),)</f>
        <v/>
      </c>
      <c r="C104" s="12">
        <f>(B104-B103)/B103</f>
        <v/>
      </c>
      <c r="D104" s="13">
        <f>(B104-B92)/B92</f>
        <v/>
      </c>
    </row>
    <row r="105">
      <c r="A105" s="10" t="n">
        <v>36586</v>
      </c>
      <c r="B105" s="15">
        <f>VLOOKUP(A105,Database!A:K,MATCH('Retail Sales'!$A$1,Database!$A$1:$K$1,),)</f>
        <v/>
      </c>
      <c r="C105" s="12">
        <f>(B105-B104)/B104</f>
        <v/>
      </c>
      <c r="D105" s="13">
        <f>(B105-B93)/B93</f>
        <v/>
      </c>
    </row>
    <row r="106">
      <c r="A106" s="11" t="n">
        <v>36617</v>
      </c>
      <c r="B106" s="15">
        <f>VLOOKUP(A106,Database!A:K,MATCH('Retail Sales'!$A$1,Database!$A$1:$K$1,),)</f>
        <v/>
      </c>
      <c r="C106" s="12">
        <f>(B106-B105)/B105</f>
        <v/>
      </c>
      <c r="D106" s="13">
        <f>(B106-B94)/B94</f>
        <v/>
      </c>
    </row>
    <row r="107">
      <c r="A107" s="10" t="n">
        <v>36647</v>
      </c>
      <c r="B107" s="15">
        <f>VLOOKUP(A107,Database!A:K,MATCH('Retail Sales'!$A$1,Database!$A$1:$K$1,),)</f>
        <v/>
      </c>
      <c r="C107" s="12">
        <f>(B107-B106)/B106</f>
        <v/>
      </c>
      <c r="D107" s="13">
        <f>(B107-B95)/B95</f>
        <v/>
      </c>
    </row>
    <row r="108">
      <c r="A108" s="11" t="n">
        <v>36678</v>
      </c>
      <c r="B108" s="15">
        <f>VLOOKUP(A108,Database!A:K,MATCH('Retail Sales'!$A$1,Database!$A$1:$K$1,),)</f>
        <v/>
      </c>
      <c r="C108" s="12">
        <f>(B108-B107)/B107</f>
        <v/>
      </c>
      <c r="D108" s="13">
        <f>(B108-B96)/B96</f>
        <v/>
      </c>
    </row>
    <row r="109">
      <c r="A109" s="10" t="n">
        <v>36708</v>
      </c>
      <c r="B109" s="15">
        <f>VLOOKUP(A109,Database!A:K,MATCH('Retail Sales'!$A$1,Database!$A$1:$K$1,),)</f>
        <v/>
      </c>
      <c r="C109" s="12">
        <f>(B109-B108)/B108</f>
        <v/>
      </c>
      <c r="D109" s="13">
        <f>(B109-B97)/B97</f>
        <v/>
      </c>
    </row>
    <row r="110">
      <c r="A110" s="11" t="n">
        <v>36739</v>
      </c>
      <c r="B110" s="15">
        <f>VLOOKUP(A110,Database!A:K,MATCH('Retail Sales'!$A$1,Database!$A$1:$K$1,),)</f>
        <v/>
      </c>
      <c r="C110" s="12">
        <f>(B110-B109)/B109</f>
        <v/>
      </c>
      <c r="D110" s="13">
        <f>(B110-B98)/B98</f>
        <v/>
      </c>
    </row>
    <row r="111">
      <c r="A111" s="10" t="n">
        <v>36770</v>
      </c>
      <c r="B111" s="15">
        <f>VLOOKUP(A111,Database!A:K,MATCH('Retail Sales'!$A$1,Database!$A$1:$K$1,),)</f>
        <v/>
      </c>
      <c r="C111" s="12">
        <f>(B111-B110)/B110</f>
        <v/>
      </c>
      <c r="D111" s="13">
        <f>(B111-B99)/B99</f>
        <v/>
      </c>
    </row>
    <row r="112">
      <c r="A112" s="11" t="n">
        <v>36800</v>
      </c>
      <c r="B112" s="15">
        <f>VLOOKUP(A112,Database!A:K,MATCH('Retail Sales'!$A$1,Database!$A$1:$K$1,),)</f>
        <v/>
      </c>
      <c r="C112" s="12">
        <f>(B112-B111)/B111</f>
        <v/>
      </c>
      <c r="D112" s="13">
        <f>(B112-B100)/B100</f>
        <v/>
      </c>
    </row>
    <row r="113">
      <c r="A113" s="10" t="n">
        <v>36831</v>
      </c>
      <c r="B113" s="15">
        <f>VLOOKUP(A113,Database!A:K,MATCH('Retail Sales'!$A$1,Database!$A$1:$K$1,),)</f>
        <v/>
      </c>
      <c r="C113" s="12">
        <f>(B113-B112)/B112</f>
        <v/>
      </c>
      <c r="D113" s="13">
        <f>(B113-B101)/B101</f>
        <v/>
      </c>
    </row>
    <row r="114">
      <c r="A114" s="11" t="n">
        <v>36861</v>
      </c>
      <c r="B114" s="15">
        <f>VLOOKUP(A114,Database!A:K,MATCH('Retail Sales'!$A$1,Database!$A$1:$K$1,),)</f>
        <v/>
      </c>
      <c r="C114" s="12">
        <f>(B114-B113)/B113</f>
        <v/>
      </c>
      <c r="D114" s="13">
        <f>(B114-B102)/B102</f>
        <v/>
      </c>
    </row>
    <row r="115">
      <c r="A115" s="10" t="n">
        <v>36892</v>
      </c>
      <c r="B115" s="15">
        <f>VLOOKUP(A115,Database!A:K,MATCH('Retail Sales'!$A$1,Database!$A$1:$K$1,),)</f>
        <v/>
      </c>
      <c r="C115" s="12">
        <f>(B115-B114)/B114</f>
        <v/>
      </c>
      <c r="D115" s="13">
        <f>(B115-B103)/B103</f>
        <v/>
      </c>
    </row>
    <row r="116">
      <c r="A116" s="11" t="n">
        <v>36923</v>
      </c>
      <c r="B116" s="15">
        <f>VLOOKUP(A116,Database!A:K,MATCH('Retail Sales'!$A$1,Database!$A$1:$K$1,),)</f>
        <v/>
      </c>
      <c r="C116" s="12">
        <f>(B116-B115)/B115</f>
        <v/>
      </c>
      <c r="D116" s="13">
        <f>(B116-B104)/B104</f>
        <v/>
      </c>
    </row>
    <row r="117">
      <c r="A117" s="10" t="n">
        <v>36951</v>
      </c>
      <c r="B117" s="15">
        <f>VLOOKUP(A117,Database!A:K,MATCH('Retail Sales'!$A$1,Database!$A$1:$K$1,),)</f>
        <v/>
      </c>
      <c r="C117" s="12">
        <f>(B117-B116)/B116</f>
        <v/>
      </c>
      <c r="D117" s="13">
        <f>(B117-B105)/B105</f>
        <v/>
      </c>
    </row>
    <row r="118">
      <c r="A118" s="11" t="n">
        <v>36982</v>
      </c>
      <c r="B118" s="15">
        <f>VLOOKUP(A118,Database!A:K,MATCH('Retail Sales'!$A$1,Database!$A$1:$K$1,),)</f>
        <v/>
      </c>
      <c r="C118" s="12">
        <f>(B118-B117)/B117</f>
        <v/>
      </c>
      <c r="D118" s="13">
        <f>(B118-B106)/B106</f>
        <v/>
      </c>
    </row>
    <row r="119">
      <c r="A119" s="10" t="n">
        <v>37012</v>
      </c>
      <c r="B119" s="15">
        <f>VLOOKUP(A119,Database!A:K,MATCH('Retail Sales'!$A$1,Database!$A$1:$K$1,),)</f>
        <v/>
      </c>
      <c r="C119" s="12">
        <f>(B119-B118)/B118</f>
        <v/>
      </c>
      <c r="D119" s="13">
        <f>(B119-B107)/B107</f>
        <v/>
      </c>
    </row>
    <row r="120">
      <c r="A120" s="11" t="n">
        <v>37043</v>
      </c>
      <c r="B120" s="15">
        <f>VLOOKUP(A120,Database!A:K,MATCH('Retail Sales'!$A$1,Database!$A$1:$K$1,),)</f>
        <v/>
      </c>
      <c r="C120" s="12">
        <f>(B120-B119)/B119</f>
        <v/>
      </c>
      <c r="D120" s="13">
        <f>(B120-B108)/B108</f>
        <v/>
      </c>
    </row>
    <row r="121">
      <c r="A121" s="10" t="n">
        <v>37073</v>
      </c>
      <c r="B121" s="15">
        <f>VLOOKUP(A121,Database!A:K,MATCH('Retail Sales'!$A$1,Database!$A$1:$K$1,),)</f>
        <v/>
      </c>
      <c r="C121" s="12">
        <f>(B121-B120)/B120</f>
        <v/>
      </c>
      <c r="D121" s="13">
        <f>(B121-B109)/B109</f>
        <v/>
      </c>
    </row>
    <row r="122">
      <c r="A122" s="11" t="n">
        <v>37104</v>
      </c>
      <c r="B122" s="15">
        <f>VLOOKUP(A122,Database!A:K,MATCH('Retail Sales'!$A$1,Database!$A$1:$K$1,),)</f>
        <v/>
      </c>
      <c r="C122" s="12">
        <f>(B122-B121)/B121</f>
        <v/>
      </c>
      <c r="D122" s="13">
        <f>(B122-B110)/B110</f>
        <v/>
      </c>
    </row>
    <row r="123">
      <c r="A123" s="10" t="n">
        <v>37135</v>
      </c>
      <c r="B123" s="15">
        <f>VLOOKUP(A123,Database!A:K,MATCH('Retail Sales'!$A$1,Database!$A$1:$K$1,),)</f>
        <v/>
      </c>
      <c r="C123" s="12">
        <f>(B123-B122)/B122</f>
        <v/>
      </c>
      <c r="D123" s="13">
        <f>(B123-B111)/B111</f>
        <v/>
      </c>
    </row>
    <row r="124">
      <c r="A124" s="11" t="n">
        <v>37165</v>
      </c>
      <c r="B124" s="15">
        <f>VLOOKUP(A124,Database!A:K,MATCH('Retail Sales'!$A$1,Database!$A$1:$K$1,),)</f>
        <v/>
      </c>
      <c r="C124" s="12">
        <f>(B124-B123)/B123</f>
        <v/>
      </c>
      <c r="D124" s="13">
        <f>(B124-B112)/B112</f>
        <v/>
      </c>
    </row>
    <row r="125">
      <c r="A125" s="10" t="n">
        <v>37196</v>
      </c>
      <c r="B125" s="15">
        <f>VLOOKUP(A125,Database!A:K,MATCH('Retail Sales'!$A$1,Database!$A$1:$K$1,),)</f>
        <v/>
      </c>
      <c r="C125" s="12">
        <f>(B125-B124)/B124</f>
        <v/>
      </c>
      <c r="D125" s="13">
        <f>(B125-B113)/B113</f>
        <v/>
      </c>
    </row>
    <row r="126">
      <c r="A126" s="11" t="n">
        <v>37226</v>
      </c>
      <c r="B126" s="15">
        <f>VLOOKUP(A126,Database!A:K,MATCH('Retail Sales'!$A$1,Database!$A$1:$K$1,),)</f>
        <v/>
      </c>
      <c r="C126" s="12">
        <f>(B126-B125)/B125</f>
        <v/>
      </c>
      <c r="D126" s="13">
        <f>(B126-B114)/B114</f>
        <v/>
      </c>
    </row>
    <row r="127">
      <c r="A127" s="10" t="n">
        <v>37257</v>
      </c>
      <c r="B127" s="15">
        <f>VLOOKUP(A127,Database!A:K,MATCH('Retail Sales'!$A$1,Database!$A$1:$K$1,),)</f>
        <v/>
      </c>
      <c r="C127" s="12">
        <f>(B127-B126)/B126</f>
        <v/>
      </c>
      <c r="D127" s="13">
        <f>(B127-B115)/B115</f>
        <v/>
      </c>
    </row>
    <row r="128">
      <c r="A128" s="11" t="n">
        <v>37288</v>
      </c>
      <c r="B128" s="15">
        <f>VLOOKUP(A128,Database!A:K,MATCH('Retail Sales'!$A$1,Database!$A$1:$K$1,),)</f>
        <v/>
      </c>
      <c r="C128" s="12">
        <f>(B128-B127)/B127</f>
        <v/>
      </c>
      <c r="D128" s="13">
        <f>(B128-B116)/B116</f>
        <v/>
      </c>
    </row>
    <row r="129">
      <c r="A129" s="10" t="n">
        <v>37316</v>
      </c>
      <c r="B129" s="15">
        <f>VLOOKUP(A129,Database!A:K,MATCH('Retail Sales'!$A$1,Database!$A$1:$K$1,),)</f>
        <v/>
      </c>
      <c r="C129" s="12">
        <f>(B129-B128)/B128</f>
        <v/>
      </c>
      <c r="D129" s="13">
        <f>(B129-B117)/B117</f>
        <v/>
      </c>
    </row>
    <row r="130">
      <c r="A130" s="11" t="n">
        <v>37347</v>
      </c>
      <c r="B130" s="15">
        <f>VLOOKUP(A130,Database!A:K,MATCH('Retail Sales'!$A$1,Database!$A$1:$K$1,),)</f>
        <v/>
      </c>
      <c r="C130" s="12">
        <f>(B130-B129)/B129</f>
        <v/>
      </c>
      <c r="D130" s="13">
        <f>(B130-B118)/B118</f>
        <v/>
      </c>
    </row>
    <row r="131">
      <c r="A131" s="10" t="n">
        <v>37377</v>
      </c>
      <c r="B131" s="15">
        <f>VLOOKUP(A131,Database!A:K,MATCH('Retail Sales'!$A$1,Database!$A$1:$K$1,),)</f>
        <v/>
      </c>
      <c r="C131" s="12">
        <f>(B131-B130)/B130</f>
        <v/>
      </c>
      <c r="D131" s="13">
        <f>(B131-B119)/B119</f>
        <v/>
      </c>
    </row>
    <row r="132">
      <c r="A132" s="11" t="n">
        <v>37408</v>
      </c>
      <c r="B132" s="15">
        <f>VLOOKUP(A132,Database!A:K,MATCH('Retail Sales'!$A$1,Database!$A$1:$K$1,),)</f>
        <v/>
      </c>
      <c r="C132" s="12">
        <f>(B132-B131)/B131</f>
        <v/>
      </c>
      <c r="D132" s="13">
        <f>(B132-B120)/B120</f>
        <v/>
      </c>
    </row>
    <row r="133">
      <c r="A133" s="10" t="n">
        <v>37438</v>
      </c>
      <c r="B133" s="15">
        <f>VLOOKUP(A133,Database!A:K,MATCH('Retail Sales'!$A$1,Database!$A$1:$K$1,),)</f>
        <v/>
      </c>
      <c r="C133" s="12">
        <f>(B133-B132)/B132</f>
        <v/>
      </c>
      <c r="D133" s="13">
        <f>(B133-B121)/B121</f>
        <v/>
      </c>
    </row>
    <row r="134">
      <c r="A134" s="11" t="n">
        <v>37469</v>
      </c>
      <c r="B134" s="15">
        <f>VLOOKUP(A134,Database!A:K,MATCH('Retail Sales'!$A$1,Database!$A$1:$K$1,),)</f>
        <v/>
      </c>
      <c r="C134" s="12">
        <f>(B134-B133)/B133</f>
        <v/>
      </c>
      <c r="D134" s="13">
        <f>(B134-B122)/B122</f>
        <v/>
      </c>
    </row>
    <row r="135">
      <c r="A135" s="10" t="n">
        <v>37500</v>
      </c>
      <c r="B135" s="15">
        <f>VLOOKUP(A135,Database!A:K,MATCH('Retail Sales'!$A$1,Database!$A$1:$K$1,),)</f>
        <v/>
      </c>
      <c r="C135" s="12">
        <f>(B135-B134)/B134</f>
        <v/>
      </c>
      <c r="D135" s="13">
        <f>(B135-B123)/B123</f>
        <v/>
      </c>
    </row>
    <row r="136">
      <c r="A136" s="11" t="n">
        <v>37530</v>
      </c>
      <c r="B136" s="15">
        <f>VLOOKUP(A136,Database!A:K,MATCH('Retail Sales'!$A$1,Database!$A$1:$K$1,),)</f>
        <v/>
      </c>
      <c r="C136" s="12">
        <f>(B136-B135)/B135</f>
        <v/>
      </c>
      <c r="D136" s="13">
        <f>(B136-B124)/B124</f>
        <v/>
      </c>
    </row>
    <row r="137">
      <c r="A137" s="10" t="n">
        <v>37561</v>
      </c>
      <c r="B137" s="15">
        <f>VLOOKUP(A137,Database!A:K,MATCH('Retail Sales'!$A$1,Database!$A$1:$K$1,),)</f>
        <v/>
      </c>
      <c r="C137" s="12">
        <f>(B137-B136)/B136</f>
        <v/>
      </c>
      <c r="D137" s="13">
        <f>(B137-B125)/B125</f>
        <v/>
      </c>
    </row>
    <row r="138">
      <c r="A138" s="11" t="n">
        <v>37591</v>
      </c>
      <c r="B138" s="15">
        <f>VLOOKUP(A138,Database!A:K,MATCH('Retail Sales'!$A$1,Database!$A$1:$K$1,),)</f>
        <v/>
      </c>
      <c r="C138" s="12">
        <f>(B138-B137)/B137</f>
        <v/>
      </c>
      <c r="D138" s="13">
        <f>(B138-B126)/B126</f>
        <v/>
      </c>
    </row>
    <row r="139">
      <c r="A139" s="10" t="n">
        <v>37622</v>
      </c>
      <c r="B139" s="15">
        <f>VLOOKUP(A139,Database!A:K,MATCH('Retail Sales'!$A$1,Database!$A$1:$K$1,),)</f>
        <v/>
      </c>
      <c r="C139" s="12">
        <f>(B139-B138)/B138</f>
        <v/>
      </c>
      <c r="D139" s="13">
        <f>(B139-B127)/B127</f>
        <v/>
      </c>
    </row>
    <row r="140">
      <c r="A140" s="11" t="n">
        <v>37653</v>
      </c>
      <c r="B140" s="15">
        <f>VLOOKUP(A140,Database!A:K,MATCH('Retail Sales'!$A$1,Database!$A$1:$K$1,),)</f>
        <v/>
      </c>
      <c r="C140" s="12">
        <f>(B140-B139)/B139</f>
        <v/>
      </c>
      <c r="D140" s="13">
        <f>(B140-B128)/B128</f>
        <v/>
      </c>
    </row>
    <row r="141">
      <c r="A141" s="10" t="n">
        <v>37681</v>
      </c>
      <c r="B141" s="15">
        <f>VLOOKUP(A141,Database!A:K,MATCH('Retail Sales'!$A$1,Database!$A$1:$K$1,),)</f>
        <v/>
      </c>
      <c r="C141" s="12">
        <f>(B141-B140)/B140</f>
        <v/>
      </c>
      <c r="D141" s="13">
        <f>(B141-B129)/B129</f>
        <v/>
      </c>
    </row>
    <row r="142">
      <c r="A142" s="11" t="n">
        <v>37712</v>
      </c>
      <c r="B142" s="15">
        <f>VLOOKUP(A142,Database!A:K,MATCH('Retail Sales'!$A$1,Database!$A$1:$K$1,),)</f>
        <v/>
      </c>
      <c r="C142" s="12">
        <f>(B142-B141)/B141</f>
        <v/>
      </c>
      <c r="D142" s="13">
        <f>(B142-B130)/B130</f>
        <v/>
      </c>
    </row>
    <row r="143">
      <c r="A143" s="10" t="n">
        <v>37742</v>
      </c>
      <c r="B143" s="15">
        <f>VLOOKUP(A143,Database!A:K,MATCH('Retail Sales'!$A$1,Database!$A$1:$K$1,),)</f>
        <v/>
      </c>
      <c r="C143" s="12">
        <f>(B143-B142)/B142</f>
        <v/>
      </c>
      <c r="D143" s="13">
        <f>(B143-B131)/B131</f>
        <v/>
      </c>
    </row>
    <row r="144">
      <c r="A144" s="11" t="n">
        <v>37773</v>
      </c>
      <c r="B144" s="15">
        <f>VLOOKUP(A144,Database!A:K,MATCH('Retail Sales'!$A$1,Database!$A$1:$K$1,),)</f>
        <v/>
      </c>
      <c r="C144" s="12">
        <f>(B144-B143)/B143</f>
        <v/>
      </c>
      <c r="D144" s="13">
        <f>(B144-B132)/B132</f>
        <v/>
      </c>
    </row>
    <row r="145">
      <c r="A145" s="10" t="n">
        <v>37803</v>
      </c>
      <c r="B145" s="15">
        <f>VLOOKUP(A145,Database!A:K,MATCH('Retail Sales'!$A$1,Database!$A$1:$K$1,),)</f>
        <v/>
      </c>
      <c r="C145" s="12">
        <f>(B145-B144)/B144</f>
        <v/>
      </c>
      <c r="D145" s="13">
        <f>(B145-B133)/B133</f>
        <v/>
      </c>
    </row>
    <row r="146">
      <c r="A146" s="11" t="n">
        <v>37834</v>
      </c>
      <c r="B146" s="15">
        <f>VLOOKUP(A146,Database!A:K,MATCH('Retail Sales'!$A$1,Database!$A$1:$K$1,),)</f>
        <v/>
      </c>
      <c r="C146" s="12">
        <f>(B146-B145)/B145</f>
        <v/>
      </c>
      <c r="D146" s="13">
        <f>(B146-B134)/B134</f>
        <v/>
      </c>
    </row>
    <row r="147">
      <c r="A147" s="10" t="n">
        <v>37865</v>
      </c>
      <c r="B147" s="15">
        <f>VLOOKUP(A147,Database!A:K,MATCH('Retail Sales'!$A$1,Database!$A$1:$K$1,),)</f>
        <v/>
      </c>
      <c r="C147" s="12">
        <f>(B147-B146)/B146</f>
        <v/>
      </c>
      <c r="D147" s="13">
        <f>(B147-B135)/B135</f>
        <v/>
      </c>
    </row>
    <row r="148">
      <c r="A148" s="11" t="n">
        <v>37895</v>
      </c>
      <c r="B148" s="15">
        <f>VLOOKUP(A148,Database!A:K,MATCH('Retail Sales'!$A$1,Database!$A$1:$K$1,),)</f>
        <v/>
      </c>
      <c r="C148" s="12">
        <f>(B148-B147)/B147</f>
        <v/>
      </c>
      <c r="D148" s="13">
        <f>(B148-B136)/B136</f>
        <v/>
      </c>
    </row>
    <row r="149">
      <c r="A149" s="10" t="n">
        <v>37926</v>
      </c>
      <c r="B149" s="15">
        <f>VLOOKUP(A149,Database!A:K,MATCH('Retail Sales'!$A$1,Database!$A$1:$K$1,),)</f>
        <v/>
      </c>
      <c r="C149" s="12">
        <f>(B149-B148)/B148</f>
        <v/>
      </c>
      <c r="D149" s="13">
        <f>(B149-B137)/B137</f>
        <v/>
      </c>
    </row>
    <row r="150">
      <c r="A150" s="11" t="n">
        <v>37956</v>
      </c>
      <c r="B150" s="15">
        <f>VLOOKUP(A150,Database!A:K,MATCH('Retail Sales'!$A$1,Database!$A$1:$K$1,),)</f>
        <v/>
      </c>
      <c r="C150" s="12">
        <f>(B150-B149)/B149</f>
        <v/>
      </c>
      <c r="D150" s="13">
        <f>(B150-B138)/B138</f>
        <v/>
      </c>
    </row>
    <row r="151">
      <c r="A151" s="10" t="n">
        <v>37987</v>
      </c>
      <c r="B151" s="15">
        <f>VLOOKUP(A151,Database!A:K,MATCH('Retail Sales'!$A$1,Database!$A$1:$K$1,),)</f>
        <v/>
      </c>
      <c r="C151" s="12">
        <f>(B151-B150)/B150</f>
        <v/>
      </c>
      <c r="D151" s="13">
        <f>(B151-B139)/B139</f>
        <v/>
      </c>
    </row>
    <row r="152">
      <c r="A152" s="11" t="n">
        <v>38018</v>
      </c>
      <c r="B152" s="15">
        <f>VLOOKUP(A152,Database!A:K,MATCH('Retail Sales'!$A$1,Database!$A$1:$K$1,),)</f>
        <v/>
      </c>
      <c r="C152" s="12">
        <f>(B152-B151)/B151</f>
        <v/>
      </c>
      <c r="D152" s="13">
        <f>(B152-B140)/B140</f>
        <v/>
      </c>
    </row>
    <row r="153">
      <c r="A153" s="10" t="n">
        <v>38047</v>
      </c>
      <c r="B153" s="15">
        <f>VLOOKUP(A153,Database!A:K,MATCH('Retail Sales'!$A$1,Database!$A$1:$K$1,),)</f>
        <v/>
      </c>
      <c r="C153" s="12">
        <f>(B153-B152)/B152</f>
        <v/>
      </c>
      <c r="D153" s="13">
        <f>(B153-B141)/B141</f>
        <v/>
      </c>
    </row>
    <row r="154">
      <c r="A154" s="11" t="n">
        <v>38078</v>
      </c>
      <c r="B154" s="15">
        <f>VLOOKUP(A154,Database!A:K,MATCH('Retail Sales'!$A$1,Database!$A$1:$K$1,),)</f>
        <v/>
      </c>
      <c r="C154" s="12">
        <f>(B154-B153)/B153</f>
        <v/>
      </c>
      <c r="D154" s="13">
        <f>(B154-B142)/B142</f>
        <v/>
      </c>
    </row>
    <row r="155">
      <c r="A155" s="10" t="n">
        <v>38108</v>
      </c>
      <c r="B155" s="15">
        <f>VLOOKUP(A155,Database!A:K,MATCH('Retail Sales'!$A$1,Database!$A$1:$K$1,),)</f>
        <v/>
      </c>
      <c r="C155" s="12">
        <f>(B155-B154)/B154</f>
        <v/>
      </c>
      <c r="D155" s="13">
        <f>(B155-B143)/B143</f>
        <v/>
      </c>
    </row>
    <row r="156">
      <c r="A156" s="11" t="n">
        <v>38139</v>
      </c>
      <c r="B156" s="15">
        <f>VLOOKUP(A156,Database!A:K,MATCH('Retail Sales'!$A$1,Database!$A$1:$K$1,),)</f>
        <v/>
      </c>
      <c r="C156" s="12">
        <f>(B156-B155)/B155</f>
        <v/>
      </c>
      <c r="D156" s="13">
        <f>(B156-B144)/B144</f>
        <v/>
      </c>
    </row>
    <row r="157">
      <c r="A157" s="10" t="n">
        <v>38169</v>
      </c>
      <c r="B157" s="15">
        <f>VLOOKUP(A157,Database!A:K,MATCH('Retail Sales'!$A$1,Database!$A$1:$K$1,),)</f>
        <v/>
      </c>
      <c r="C157" s="12">
        <f>(B157-B156)/B156</f>
        <v/>
      </c>
      <c r="D157" s="13">
        <f>(B157-B145)/B145</f>
        <v/>
      </c>
    </row>
    <row r="158">
      <c r="A158" s="11" t="n">
        <v>38200</v>
      </c>
      <c r="B158" s="15">
        <f>VLOOKUP(A158,Database!A:K,MATCH('Retail Sales'!$A$1,Database!$A$1:$K$1,),)</f>
        <v/>
      </c>
      <c r="C158" s="12">
        <f>(B158-B157)/B157</f>
        <v/>
      </c>
      <c r="D158" s="13">
        <f>(B158-B146)/B146</f>
        <v/>
      </c>
    </row>
    <row r="159">
      <c r="A159" s="10" t="n">
        <v>38231</v>
      </c>
      <c r="B159" s="15">
        <f>VLOOKUP(A159,Database!A:K,MATCH('Retail Sales'!$A$1,Database!$A$1:$K$1,),)</f>
        <v/>
      </c>
      <c r="C159" s="12">
        <f>(B159-B158)/B158</f>
        <v/>
      </c>
      <c r="D159" s="13">
        <f>(B159-B147)/B147</f>
        <v/>
      </c>
    </row>
    <row r="160">
      <c r="A160" s="11" t="n">
        <v>38261</v>
      </c>
      <c r="B160" s="15">
        <f>VLOOKUP(A160,Database!A:K,MATCH('Retail Sales'!$A$1,Database!$A$1:$K$1,),)</f>
        <v/>
      </c>
      <c r="C160" s="12">
        <f>(B160-B159)/B159</f>
        <v/>
      </c>
      <c r="D160" s="13">
        <f>(B160-B148)/B148</f>
        <v/>
      </c>
    </row>
    <row r="161">
      <c r="A161" s="10" t="n">
        <v>38292</v>
      </c>
      <c r="B161" s="15">
        <f>VLOOKUP(A161,Database!A:K,MATCH('Retail Sales'!$A$1,Database!$A$1:$K$1,),)</f>
        <v/>
      </c>
      <c r="C161" s="12">
        <f>(B161-B160)/B160</f>
        <v/>
      </c>
      <c r="D161" s="13">
        <f>(B161-B149)/B149</f>
        <v/>
      </c>
    </row>
    <row r="162">
      <c r="A162" s="11" t="n">
        <v>38322</v>
      </c>
      <c r="B162" s="15">
        <f>VLOOKUP(A162,Database!A:K,MATCH('Retail Sales'!$A$1,Database!$A$1:$K$1,),)</f>
        <v/>
      </c>
      <c r="C162" s="12">
        <f>(B162-B161)/B161</f>
        <v/>
      </c>
      <c r="D162" s="13">
        <f>(B162-B150)/B150</f>
        <v/>
      </c>
    </row>
    <row r="163">
      <c r="A163" s="10" t="n">
        <v>38353</v>
      </c>
      <c r="B163" s="15">
        <f>VLOOKUP(A163,Database!A:K,MATCH('Retail Sales'!$A$1,Database!$A$1:$K$1,),)</f>
        <v/>
      </c>
      <c r="C163" s="12">
        <f>(B163-B162)/B162</f>
        <v/>
      </c>
      <c r="D163" s="13">
        <f>(B163-B151)/B151</f>
        <v/>
      </c>
    </row>
    <row r="164">
      <c r="A164" s="11" t="n">
        <v>38384</v>
      </c>
      <c r="B164" s="15">
        <f>VLOOKUP(A164,Database!A:K,MATCH('Retail Sales'!$A$1,Database!$A$1:$K$1,),)</f>
        <v/>
      </c>
      <c r="C164" s="12">
        <f>(B164-B163)/B163</f>
        <v/>
      </c>
      <c r="D164" s="13">
        <f>(B164-B152)/B152</f>
        <v/>
      </c>
    </row>
    <row r="165">
      <c r="A165" s="10" t="n">
        <v>38412</v>
      </c>
      <c r="B165" s="15">
        <f>VLOOKUP(A165,Database!A:K,MATCH('Retail Sales'!$A$1,Database!$A$1:$K$1,),)</f>
        <v/>
      </c>
      <c r="C165" s="12">
        <f>(B165-B164)/B164</f>
        <v/>
      </c>
      <c r="D165" s="13">
        <f>(B165-B153)/B153</f>
        <v/>
      </c>
    </row>
    <row r="166">
      <c r="A166" s="11" t="n">
        <v>38443</v>
      </c>
      <c r="B166" s="15">
        <f>VLOOKUP(A166,Database!A:K,MATCH('Retail Sales'!$A$1,Database!$A$1:$K$1,),)</f>
        <v/>
      </c>
      <c r="C166" s="12">
        <f>(B166-B165)/B165</f>
        <v/>
      </c>
      <c r="D166" s="13">
        <f>(B166-B154)/B154</f>
        <v/>
      </c>
    </row>
    <row r="167">
      <c r="A167" s="10" t="n">
        <v>38473</v>
      </c>
      <c r="B167" s="15">
        <f>VLOOKUP(A167,Database!A:K,MATCH('Retail Sales'!$A$1,Database!$A$1:$K$1,),)</f>
        <v/>
      </c>
      <c r="C167" s="12">
        <f>(B167-B166)/B166</f>
        <v/>
      </c>
      <c r="D167" s="13">
        <f>(B167-B155)/B155</f>
        <v/>
      </c>
    </row>
    <row r="168">
      <c r="A168" s="11" t="n">
        <v>38504</v>
      </c>
      <c r="B168" s="15">
        <f>VLOOKUP(A168,Database!A:K,MATCH('Retail Sales'!$A$1,Database!$A$1:$K$1,),)</f>
        <v/>
      </c>
      <c r="C168" s="12">
        <f>(B168-B167)/B167</f>
        <v/>
      </c>
      <c r="D168" s="13">
        <f>(B168-B156)/B156</f>
        <v/>
      </c>
    </row>
    <row r="169">
      <c r="A169" s="10" t="n">
        <v>38534</v>
      </c>
      <c r="B169" s="15">
        <f>VLOOKUP(A169,Database!A:K,MATCH('Retail Sales'!$A$1,Database!$A$1:$K$1,),)</f>
        <v/>
      </c>
      <c r="C169" s="12">
        <f>(B169-B168)/B168</f>
        <v/>
      </c>
      <c r="D169" s="13">
        <f>(B169-B157)/B157</f>
        <v/>
      </c>
    </row>
    <row r="170">
      <c r="A170" s="11" t="n">
        <v>38565</v>
      </c>
      <c r="B170" s="15">
        <f>VLOOKUP(A170,Database!A:K,MATCH('Retail Sales'!$A$1,Database!$A$1:$K$1,),)</f>
        <v/>
      </c>
      <c r="C170" s="12">
        <f>(B170-B169)/B169</f>
        <v/>
      </c>
      <c r="D170" s="13">
        <f>(B170-B158)/B158</f>
        <v/>
      </c>
    </row>
    <row r="171">
      <c r="A171" s="10" t="n">
        <v>38596</v>
      </c>
      <c r="B171" s="15">
        <f>VLOOKUP(A171,Database!A:K,MATCH('Retail Sales'!$A$1,Database!$A$1:$K$1,),)</f>
        <v/>
      </c>
      <c r="C171" s="12">
        <f>(B171-B170)/B170</f>
        <v/>
      </c>
      <c r="D171" s="13">
        <f>(B171-B159)/B159</f>
        <v/>
      </c>
    </row>
    <row r="172">
      <c r="A172" s="11" t="n">
        <v>38626</v>
      </c>
      <c r="B172" s="15">
        <f>VLOOKUP(A172,Database!A:K,MATCH('Retail Sales'!$A$1,Database!$A$1:$K$1,),)</f>
        <v/>
      </c>
      <c r="C172" s="12">
        <f>(B172-B171)/B171</f>
        <v/>
      </c>
      <c r="D172" s="13">
        <f>(B172-B160)/B160</f>
        <v/>
      </c>
    </row>
    <row r="173">
      <c r="A173" s="10" t="n">
        <v>38657</v>
      </c>
      <c r="B173" s="15">
        <f>VLOOKUP(A173,Database!A:K,MATCH('Retail Sales'!$A$1,Database!$A$1:$K$1,),)</f>
        <v/>
      </c>
      <c r="C173" s="12">
        <f>(B173-B172)/B172</f>
        <v/>
      </c>
      <c r="D173" s="13">
        <f>(B173-B161)/B161</f>
        <v/>
      </c>
    </row>
    <row r="174">
      <c r="A174" s="11" t="n">
        <v>38687</v>
      </c>
      <c r="B174" s="15">
        <f>VLOOKUP(A174,Database!A:K,MATCH('Retail Sales'!$A$1,Database!$A$1:$K$1,),)</f>
        <v/>
      </c>
      <c r="C174" s="12">
        <f>(B174-B173)/B173</f>
        <v/>
      </c>
      <c r="D174" s="13">
        <f>(B174-B162)/B162</f>
        <v/>
      </c>
    </row>
    <row r="175">
      <c r="A175" s="10" t="n">
        <v>38718</v>
      </c>
      <c r="B175" s="15">
        <f>VLOOKUP(A175,Database!A:K,MATCH('Retail Sales'!$A$1,Database!$A$1:$K$1,),)</f>
        <v/>
      </c>
      <c r="C175" s="12">
        <f>(B175-B174)/B174</f>
        <v/>
      </c>
      <c r="D175" s="13">
        <f>(B175-B163)/B163</f>
        <v/>
      </c>
    </row>
    <row r="176">
      <c r="A176" s="11" t="n">
        <v>38749</v>
      </c>
      <c r="B176" s="15">
        <f>VLOOKUP(A176,Database!A:K,MATCH('Retail Sales'!$A$1,Database!$A$1:$K$1,),)</f>
        <v/>
      </c>
      <c r="C176" s="12">
        <f>(B176-B175)/B175</f>
        <v/>
      </c>
      <c r="D176" s="13">
        <f>(B176-B164)/B164</f>
        <v/>
      </c>
    </row>
    <row r="177">
      <c r="A177" s="10" t="n">
        <v>38777</v>
      </c>
      <c r="B177" s="15">
        <f>VLOOKUP(A177,Database!A:K,MATCH('Retail Sales'!$A$1,Database!$A$1:$K$1,),)</f>
        <v/>
      </c>
      <c r="C177" s="12">
        <f>(B177-B176)/B176</f>
        <v/>
      </c>
      <c r="D177" s="13">
        <f>(B177-B165)/B165</f>
        <v/>
      </c>
    </row>
    <row r="178">
      <c r="A178" s="11" t="n">
        <v>38808</v>
      </c>
      <c r="B178" s="15">
        <f>VLOOKUP(A178,Database!A:K,MATCH('Retail Sales'!$A$1,Database!$A$1:$K$1,),)</f>
        <v/>
      </c>
      <c r="C178" s="12">
        <f>(B178-B177)/B177</f>
        <v/>
      </c>
      <c r="D178" s="13">
        <f>(B178-B166)/B166</f>
        <v/>
      </c>
    </row>
    <row r="179">
      <c r="A179" s="10" t="n">
        <v>38838</v>
      </c>
      <c r="B179" s="15">
        <f>VLOOKUP(A179,Database!A:K,MATCH('Retail Sales'!$A$1,Database!$A$1:$K$1,),)</f>
        <v/>
      </c>
      <c r="C179" s="12">
        <f>(B179-B178)/B178</f>
        <v/>
      </c>
      <c r="D179" s="13">
        <f>(B179-B167)/B167</f>
        <v/>
      </c>
    </row>
    <row r="180">
      <c r="A180" s="11" t="n">
        <v>38869</v>
      </c>
      <c r="B180" s="15">
        <f>VLOOKUP(A180,Database!A:K,MATCH('Retail Sales'!$A$1,Database!$A$1:$K$1,),)</f>
        <v/>
      </c>
      <c r="C180" s="12">
        <f>(B180-B179)/B179</f>
        <v/>
      </c>
      <c r="D180" s="13">
        <f>(B180-B168)/B168</f>
        <v/>
      </c>
    </row>
    <row r="181">
      <c r="A181" s="10" t="n">
        <v>38899</v>
      </c>
      <c r="B181" s="15">
        <f>VLOOKUP(A181,Database!A:K,MATCH('Retail Sales'!$A$1,Database!$A$1:$K$1,),)</f>
        <v/>
      </c>
      <c r="C181" s="12">
        <f>(B181-B180)/B180</f>
        <v/>
      </c>
      <c r="D181" s="13">
        <f>(B181-B169)/B169</f>
        <v/>
      </c>
    </row>
    <row r="182">
      <c r="A182" s="11" t="n">
        <v>38930</v>
      </c>
      <c r="B182" s="15">
        <f>VLOOKUP(A182,Database!A:K,MATCH('Retail Sales'!$A$1,Database!$A$1:$K$1,),)</f>
        <v/>
      </c>
      <c r="C182" s="12">
        <f>(B182-B181)/B181</f>
        <v/>
      </c>
      <c r="D182" s="13">
        <f>(B182-B170)/B170</f>
        <v/>
      </c>
    </row>
    <row r="183">
      <c r="A183" s="10" t="n">
        <v>38961</v>
      </c>
      <c r="B183" s="15">
        <f>VLOOKUP(A183,Database!A:K,MATCH('Retail Sales'!$A$1,Database!$A$1:$K$1,),)</f>
        <v/>
      </c>
      <c r="C183" s="12">
        <f>(B183-B182)/B182</f>
        <v/>
      </c>
      <c r="D183" s="13">
        <f>(B183-B171)/B171</f>
        <v/>
      </c>
    </row>
    <row r="184">
      <c r="A184" s="11" t="n">
        <v>38991</v>
      </c>
      <c r="B184" s="15">
        <f>VLOOKUP(A184,Database!A:K,MATCH('Retail Sales'!$A$1,Database!$A$1:$K$1,),)</f>
        <v/>
      </c>
      <c r="C184" s="12">
        <f>(B184-B183)/B183</f>
        <v/>
      </c>
      <c r="D184" s="13">
        <f>(B184-B172)/B172</f>
        <v/>
      </c>
    </row>
    <row r="185">
      <c r="A185" s="10" t="n">
        <v>39022</v>
      </c>
      <c r="B185" s="15">
        <f>VLOOKUP(A185,Database!A:K,MATCH('Retail Sales'!$A$1,Database!$A$1:$K$1,),)</f>
        <v/>
      </c>
      <c r="C185" s="12">
        <f>(B185-B184)/B184</f>
        <v/>
      </c>
      <c r="D185" s="13">
        <f>(B185-B173)/B173</f>
        <v/>
      </c>
    </row>
    <row r="186">
      <c r="A186" s="11" t="n">
        <v>39052</v>
      </c>
      <c r="B186" s="15">
        <f>VLOOKUP(A186,Database!A:K,MATCH('Retail Sales'!$A$1,Database!$A$1:$K$1,),)</f>
        <v/>
      </c>
      <c r="C186" s="12">
        <f>(B186-B185)/B185</f>
        <v/>
      </c>
      <c r="D186" s="13">
        <f>(B186-B174)/B174</f>
        <v/>
      </c>
    </row>
    <row r="187">
      <c r="A187" s="10" t="n">
        <v>39083</v>
      </c>
      <c r="B187" s="15">
        <f>VLOOKUP(A187,Database!A:K,MATCH('Retail Sales'!$A$1,Database!$A$1:$K$1,),)</f>
        <v/>
      </c>
      <c r="C187" s="12">
        <f>(B187-B186)/B186</f>
        <v/>
      </c>
      <c r="D187" s="13">
        <f>(B187-B175)/B175</f>
        <v/>
      </c>
    </row>
    <row r="188">
      <c r="A188" s="11" t="n">
        <v>39114</v>
      </c>
      <c r="B188" s="15">
        <f>VLOOKUP(A188,Database!A:K,MATCH('Retail Sales'!$A$1,Database!$A$1:$K$1,),)</f>
        <v/>
      </c>
      <c r="C188" s="12">
        <f>(B188-B187)/B187</f>
        <v/>
      </c>
      <c r="D188" s="13">
        <f>(B188-B176)/B176</f>
        <v/>
      </c>
    </row>
    <row r="189">
      <c r="A189" s="10" t="n">
        <v>39142</v>
      </c>
      <c r="B189" s="15">
        <f>VLOOKUP(A189,Database!A:K,MATCH('Retail Sales'!$A$1,Database!$A$1:$K$1,),)</f>
        <v/>
      </c>
      <c r="C189" s="12">
        <f>(B189-B188)/B188</f>
        <v/>
      </c>
      <c r="D189" s="13">
        <f>(B189-B177)/B177</f>
        <v/>
      </c>
    </row>
    <row r="190">
      <c r="A190" s="11" t="n">
        <v>39173</v>
      </c>
      <c r="B190" s="15">
        <f>VLOOKUP(A190,Database!A:K,MATCH('Retail Sales'!$A$1,Database!$A$1:$K$1,),)</f>
        <v/>
      </c>
      <c r="C190" s="12">
        <f>(B190-B189)/B189</f>
        <v/>
      </c>
      <c r="D190" s="13">
        <f>(B190-B178)/B178</f>
        <v/>
      </c>
    </row>
    <row r="191">
      <c r="A191" s="10" t="n">
        <v>39203</v>
      </c>
      <c r="B191" s="15">
        <f>VLOOKUP(A191,Database!A:K,MATCH('Retail Sales'!$A$1,Database!$A$1:$K$1,),)</f>
        <v/>
      </c>
      <c r="C191" s="12">
        <f>(B191-B190)/B190</f>
        <v/>
      </c>
      <c r="D191" s="13">
        <f>(B191-B179)/B179</f>
        <v/>
      </c>
    </row>
    <row r="192">
      <c r="A192" s="11" t="n">
        <v>39234</v>
      </c>
      <c r="B192" s="15">
        <f>VLOOKUP(A192,Database!A:K,MATCH('Retail Sales'!$A$1,Database!$A$1:$K$1,),)</f>
        <v/>
      </c>
      <c r="C192" s="12">
        <f>(B192-B191)/B191</f>
        <v/>
      </c>
      <c r="D192" s="13">
        <f>(B192-B180)/B180</f>
        <v/>
      </c>
    </row>
    <row r="193">
      <c r="A193" s="10" t="n">
        <v>39264</v>
      </c>
      <c r="B193" s="15">
        <f>VLOOKUP(A193,Database!A:K,MATCH('Retail Sales'!$A$1,Database!$A$1:$K$1,),)</f>
        <v/>
      </c>
      <c r="C193" s="12">
        <f>(B193-B192)/B192</f>
        <v/>
      </c>
      <c r="D193" s="13">
        <f>(B193-B181)/B181</f>
        <v/>
      </c>
    </row>
    <row r="194">
      <c r="A194" s="11" t="n">
        <v>39295</v>
      </c>
      <c r="B194" s="15">
        <f>VLOOKUP(A194,Database!A:K,MATCH('Retail Sales'!$A$1,Database!$A$1:$K$1,),)</f>
        <v/>
      </c>
      <c r="C194" s="12">
        <f>(B194-B193)/B193</f>
        <v/>
      </c>
      <c r="D194" s="13">
        <f>(B194-B182)/B182</f>
        <v/>
      </c>
    </row>
    <row r="195">
      <c r="A195" s="10" t="n">
        <v>39326</v>
      </c>
      <c r="B195" s="15">
        <f>VLOOKUP(A195,Database!A:K,MATCH('Retail Sales'!$A$1,Database!$A$1:$K$1,),)</f>
        <v/>
      </c>
      <c r="C195" s="12">
        <f>(B195-B194)/B194</f>
        <v/>
      </c>
      <c r="D195" s="13">
        <f>(B195-B183)/B183</f>
        <v/>
      </c>
    </row>
    <row r="196">
      <c r="A196" s="11" t="n">
        <v>39356</v>
      </c>
      <c r="B196" s="15">
        <f>VLOOKUP(A196,Database!A:K,MATCH('Retail Sales'!$A$1,Database!$A$1:$K$1,),)</f>
        <v/>
      </c>
      <c r="C196" s="12">
        <f>(B196-B195)/B195</f>
        <v/>
      </c>
      <c r="D196" s="13">
        <f>(B196-B184)/B184</f>
        <v/>
      </c>
    </row>
    <row r="197">
      <c r="A197" s="10" t="n">
        <v>39387</v>
      </c>
      <c r="B197" s="15">
        <f>VLOOKUP(A197,Database!A:K,MATCH('Retail Sales'!$A$1,Database!$A$1:$K$1,),)</f>
        <v/>
      </c>
      <c r="C197" s="12">
        <f>(B197-B196)/B196</f>
        <v/>
      </c>
      <c r="D197" s="13">
        <f>(B197-B185)/B185</f>
        <v/>
      </c>
    </row>
    <row r="198">
      <c r="A198" s="11" t="n">
        <v>39417</v>
      </c>
      <c r="B198" s="15">
        <f>VLOOKUP(A198,Database!A:K,MATCH('Retail Sales'!$A$1,Database!$A$1:$K$1,),)</f>
        <v/>
      </c>
      <c r="C198" s="12">
        <f>(B198-B197)/B197</f>
        <v/>
      </c>
      <c r="D198" s="13">
        <f>(B198-B186)/B186</f>
        <v/>
      </c>
    </row>
    <row r="199">
      <c r="A199" s="10" t="n">
        <v>39448</v>
      </c>
      <c r="B199" s="15">
        <f>VLOOKUP(A199,Database!A:K,MATCH('Retail Sales'!$A$1,Database!$A$1:$K$1,),)</f>
        <v/>
      </c>
      <c r="C199" s="12">
        <f>(B199-B198)/B198</f>
        <v/>
      </c>
      <c r="D199" s="13">
        <f>(B199-B187)/B187</f>
        <v/>
      </c>
    </row>
    <row r="200">
      <c r="A200" s="11" t="n">
        <v>39479</v>
      </c>
      <c r="B200" s="15">
        <f>VLOOKUP(A200,Database!A:K,MATCH('Retail Sales'!$A$1,Database!$A$1:$K$1,),)</f>
        <v/>
      </c>
      <c r="C200" s="12">
        <f>(B200-B199)/B199</f>
        <v/>
      </c>
      <c r="D200" s="13">
        <f>(B200-B188)/B188</f>
        <v/>
      </c>
    </row>
    <row r="201">
      <c r="A201" s="10" t="n">
        <v>39508</v>
      </c>
      <c r="B201" s="15">
        <f>VLOOKUP(A201,Database!A:K,MATCH('Retail Sales'!$A$1,Database!$A$1:$K$1,),)</f>
        <v/>
      </c>
      <c r="C201" s="12">
        <f>(B201-B200)/B200</f>
        <v/>
      </c>
      <c r="D201" s="13">
        <f>(B201-B189)/B189</f>
        <v/>
      </c>
    </row>
    <row r="202">
      <c r="A202" s="11" t="n">
        <v>39539</v>
      </c>
      <c r="B202" s="15">
        <f>VLOOKUP(A202,Database!A:K,MATCH('Retail Sales'!$A$1,Database!$A$1:$K$1,),)</f>
        <v/>
      </c>
      <c r="C202" s="12">
        <f>(B202-B201)/B201</f>
        <v/>
      </c>
      <c r="D202" s="13">
        <f>(B202-B190)/B190</f>
        <v/>
      </c>
    </row>
    <row r="203">
      <c r="A203" s="10" t="n">
        <v>39569</v>
      </c>
      <c r="B203" s="15">
        <f>VLOOKUP(A203,Database!A:K,MATCH('Retail Sales'!$A$1,Database!$A$1:$K$1,),)</f>
        <v/>
      </c>
      <c r="C203" s="12">
        <f>(B203-B202)/B202</f>
        <v/>
      </c>
      <c r="D203" s="13">
        <f>(B203-B191)/B191</f>
        <v/>
      </c>
    </row>
    <row r="204">
      <c r="A204" s="11" t="n">
        <v>39600</v>
      </c>
      <c r="B204" s="15">
        <f>VLOOKUP(A204,Database!A:K,MATCH('Retail Sales'!$A$1,Database!$A$1:$K$1,),)</f>
        <v/>
      </c>
      <c r="C204" s="12">
        <f>(B204-B203)/B203</f>
        <v/>
      </c>
      <c r="D204" s="13">
        <f>(B204-B192)/B192</f>
        <v/>
      </c>
    </row>
    <row r="205">
      <c r="A205" s="10" t="n">
        <v>39630</v>
      </c>
      <c r="B205" s="15">
        <f>VLOOKUP(A205,Database!A:K,MATCH('Retail Sales'!$A$1,Database!$A$1:$K$1,),)</f>
        <v/>
      </c>
      <c r="C205" s="12">
        <f>(B205-B204)/B204</f>
        <v/>
      </c>
      <c r="D205" s="13">
        <f>(B205-B193)/B193</f>
        <v/>
      </c>
    </row>
    <row r="206">
      <c r="A206" s="11" t="n">
        <v>39661</v>
      </c>
      <c r="B206" s="15">
        <f>VLOOKUP(A206,Database!A:K,MATCH('Retail Sales'!$A$1,Database!$A$1:$K$1,),)</f>
        <v/>
      </c>
      <c r="C206" s="12">
        <f>(B206-B205)/B205</f>
        <v/>
      </c>
      <c r="D206" s="13">
        <f>(B206-B194)/B194</f>
        <v/>
      </c>
    </row>
    <row r="207">
      <c r="A207" s="10" t="n">
        <v>39692</v>
      </c>
      <c r="B207" s="15">
        <f>VLOOKUP(A207,Database!A:K,MATCH('Retail Sales'!$A$1,Database!$A$1:$K$1,),)</f>
        <v/>
      </c>
      <c r="C207" s="12">
        <f>(B207-B206)/B206</f>
        <v/>
      </c>
      <c r="D207" s="13">
        <f>(B207-B195)/B195</f>
        <v/>
      </c>
    </row>
    <row r="208">
      <c r="A208" s="11" t="n">
        <v>39722</v>
      </c>
      <c r="B208" s="15">
        <f>VLOOKUP(A208,Database!A:K,MATCH('Retail Sales'!$A$1,Database!$A$1:$K$1,),)</f>
        <v/>
      </c>
      <c r="C208" s="12">
        <f>(B208-B207)/B207</f>
        <v/>
      </c>
      <c r="D208" s="13">
        <f>(B208-B196)/B196</f>
        <v/>
      </c>
    </row>
    <row r="209">
      <c r="A209" s="10" t="n">
        <v>39753</v>
      </c>
      <c r="B209" s="15">
        <f>VLOOKUP(A209,Database!A:K,MATCH('Retail Sales'!$A$1,Database!$A$1:$K$1,),)</f>
        <v/>
      </c>
      <c r="C209" s="12">
        <f>(B209-B208)/B208</f>
        <v/>
      </c>
      <c r="D209" s="13">
        <f>(B209-B197)/B197</f>
        <v/>
      </c>
    </row>
    <row r="210">
      <c r="A210" s="11" t="n">
        <v>39783</v>
      </c>
      <c r="B210" s="15">
        <f>VLOOKUP(A210,Database!A:K,MATCH('Retail Sales'!$A$1,Database!$A$1:$K$1,),)</f>
        <v/>
      </c>
      <c r="C210" s="12">
        <f>(B210-B209)/B209</f>
        <v/>
      </c>
      <c r="D210" s="13">
        <f>(B210-B198)/B198</f>
        <v/>
      </c>
    </row>
    <row r="211">
      <c r="A211" s="10" t="n">
        <v>39814</v>
      </c>
      <c r="B211" s="15">
        <f>VLOOKUP(A211,Database!A:K,MATCH('Retail Sales'!$A$1,Database!$A$1:$K$1,),)</f>
        <v/>
      </c>
      <c r="C211" s="12">
        <f>(B211-B210)/B210</f>
        <v/>
      </c>
      <c r="D211" s="13">
        <f>(B211-B199)/B199</f>
        <v/>
      </c>
    </row>
    <row r="212">
      <c r="A212" s="11" t="n">
        <v>39845</v>
      </c>
      <c r="B212" s="15">
        <f>VLOOKUP(A212,Database!A:K,MATCH('Retail Sales'!$A$1,Database!$A$1:$K$1,),)</f>
        <v/>
      </c>
      <c r="C212" s="12">
        <f>(B212-B211)/B211</f>
        <v/>
      </c>
      <c r="D212" s="13">
        <f>(B212-B200)/B200</f>
        <v/>
      </c>
    </row>
    <row r="213">
      <c r="A213" s="10" t="n">
        <v>39873</v>
      </c>
      <c r="B213" s="15">
        <f>VLOOKUP(A213,Database!A:K,MATCH('Retail Sales'!$A$1,Database!$A$1:$K$1,),)</f>
        <v/>
      </c>
      <c r="C213" s="12">
        <f>(B213-B212)/B212</f>
        <v/>
      </c>
      <c r="D213" s="13">
        <f>(B213-B201)/B201</f>
        <v/>
      </c>
    </row>
    <row r="214">
      <c r="A214" s="11" t="n">
        <v>39904</v>
      </c>
      <c r="B214" s="15">
        <f>VLOOKUP(A214,Database!A:K,MATCH('Retail Sales'!$A$1,Database!$A$1:$K$1,),)</f>
        <v/>
      </c>
      <c r="C214" s="12">
        <f>(B214-B213)/B213</f>
        <v/>
      </c>
      <c r="D214" s="13">
        <f>(B214-B202)/B202</f>
        <v/>
      </c>
    </row>
    <row r="215">
      <c r="A215" s="10" t="n">
        <v>39934</v>
      </c>
      <c r="B215" s="15">
        <f>VLOOKUP(A215,Database!A:K,MATCH('Retail Sales'!$A$1,Database!$A$1:$K$1,),)</f>
        <v/>
      </c>
      <c r="C215" s="12">
        <f>(B215-B214)/B214</f>
        <v/>
      </c>
      <c r="D215" s="13">
        <f>(B215-B203)/B203</f>
        <v/>
      </c>
    </row>
    <row r="216">
      <c r="A216" s="11" t="n">
        <v>39965</v>
      </c>
      <c r="B216" s="15">
        <f>VLOOKUP(A216,Database!A:K,MATCH('Retail Sales'!$A$1,Database!$A$1:$K$1,),)</f>
        <v/>
      </c>
      <c r="C216" s="12">
        <f>(B216-B215)/B215</f>
        <v/>
      </c>
      <c r="D216" s="13">
        <f>(B216-B204)/B204</f>
        <v/>
      </c>
    </row>
    <row r="217">
      <c r="A217" s="10" t="n">
        <v>39995</v>
      </c>
      <c r="B217" s="15">
        <f>VLOOKUP(A217,Database!A:K,MATCH('Retail Sales'!$A$1,Database!$A$1:$K$1,),)</f>
        <v/>
      </c>
      <c r="C217" s="12">
        <f>(B217-B216)/B216</f>
        <v/>
      </c>
      <c r="D217" s="13">
        <f>(B217-B205)/B205</f>
        <v/>
      </c>
    </row>
    <row r="218">
      <c r="A218" s="11" t="n">
        <v>40026</v>
      </c>
      <c r="B218" s="15">
        <f>VLOOKUP(A218,Database!A:K,MATCH('Retail Sales'!$A$1,Database!$A$1:$K$1,),)</f>
        <v/>
      </c>
      <c r="C218" s="12">
        <f>(B218-B217)/B217</f>
        <v/>
      </c>
      <c r="D218" s="13">
        <f>(B218-B206)/B206</f>
        <v/>
      </c>
    </row>
    <row r="219">
      <c r="A219" s="10" t="n">
        <v>40057</v>
      </c>
      <c r="B219" s="15">
        <f>VLOOKUP(A219,Database!A:K,MATCH('Retail Sales'!$A$1,Database!$A$1:$K$1,),)</f>
        <v/>
      </c>
      <c r="C219" s="12">
        <f>(B219-B218)/B218</f>
        <v/>
      </c>
      <c r="D219" s="13">
        <f>(B219-B207)/B207</f>
        <v/>
      </c>
    </row>
    <row r="220">
      <c r="A220" s="11" t="n">
        <v>40087</v>
      </c>
      <c r="B220" s="15">
        <f>VLOOKUP(A220,Database!A:K,MATCH('Retail Sales'!$A$1,Database!$A$1:$K$1,),)</f>
        <v/>
      </c>
      <c r="C220" s="12">
        <f>(B220-B219)/B219</f>
        <v/>
      </c>
      <c r="D220" s="13">
        <f>(B220-B208)/B208</f>
        <v/>
      </c>
    </row>
    <row r="221">
      <c r="A221" s="10" t="n">
        <v>40118</v>
      </c>
      <c r="B221" s="15">
        <f>VLOOKUP(A221,Database!A:K,MATCH('Retail Sales'!$A$1,Database!$A$1:$K$1,),)</f>
        <v/>
      </c>
      <c r="C221" s="12">
        <f>(B221-B220)/B220</f>
        <v/>
      </c>
      <c r="D221" s="13">
        <f>(B221-B209)/B209</f>
        <v/>
      </c>
    </row>
    <row r="222">
      <c r="A222" s="11" t="n">
        <v>40148</v>
      </c>
      <c r="B222" s="15">
        <f>VLOOKUP(A222,Database!A:K,MATCH('Retail Sales'!$A$1,Database!$A$1:$K$1,),)</f>
        <v/>
      </c>
      <c r="C222" s="12">
        <f>(B222-B221)/B221</f>
        <v/>
      </c>
      <c r="D222" s="13">
        <f>(B222-B210)/B210</f>
        <v/>
      </c>
    </row>
    <row r="223">
      <c r="A223" s="10" t="n">
        <v>40179</v>
      </c>
      <c r="B223" s="15">
        <f>VLOOKUP(A223,Database!A:K,MATCH('Retail Sales'!$A$1,Database!$A$1:$K$1,),)</f>
        <v/>
      </c>
      <c r="C223" s="12">
        <f>(B223-B222)/B222</f>
        <v/>
      </c>
      <c r="D223" s="13">
        <f>(B223-B211)/B211</f>
        <v/>
      </c>
    </row>
    <row r="224">
      <c r="A224" s="11" t="n">
        <v>40210</v>
      </c>
      <c r="B224" s="15">
        <f>VLOOKUP(A224,Database!A:K,MATCH('Retail Sales'!$A$1,Database!$A$1:$K$1,),)</f>
        <v/>
      </c>
      <c r="C224" s="12">
        <f>(B224-B223)/B223</f>
        <v/>
      </c>
      <c r="D224" s="13">
        <f>(B224-B212)/B212</f>
        <v/>
      </c>
    </row>
    <row r="225">
      <c r="A225" s="10" t="n">
        <v>40238</v>
      </c>
      <c r="B225" s="15">
        <f>VLOOKUP(A225,Database!A:K,MATCH('Retail Sales'!$A$1,Database!$A$1:$K$1,),)</f>
        <v/>
      </c>
      <c r="C225" s="12">
        <f>(B225-B224)/B224</f>
        <v/>
      </c>
      <c r="D225" s="13">
        <f>(B225-B213)/B213</f>
        <v/>
      </c>
    </row>
    <row r="226">
      <c r="A226" s="11" t="n">
        <v>40269</v>
      </c>
      <c r="B226" s="15">
        <f>VLOOKUP(A226,Database!A:K,MATCH('Retail Sales'!$A$1,Database!$A$1:$K$1,),)</f>
        <v/>
      </c>
      <c r="C226" s="12">
        <f>(B226-B225)/B225</f>
        <v/>
      </c>
      <c r="D226" s="13">
        <f>(B226-B214)/B214</f>
        <v/>
      </c>
    </row>
    <row r="227">
      <c r="A227" s="10" t="n">
        <v>40299</v>
      </c>
      <c r="B227" s="15">
        <f>VLOOKUP(A227,Database!A:K,MATCH('Retail Sales'!$A$1,Database!$A$1:$K$1,),)</f>
        <v/>
      </c>
      <c r="C227" s="12">
        <f>(B227-B226)/B226</f>
        <v/>
      </c>
      <c r="D227" s="13">
        <f>(B227-B215)/B215</f>
        <v/>
      </c>
    </row>
    <row r="228">
      <c r="A228" s="11" t="n">
        <v>40330</v>
      </c>
      <c r="B228" s="15">
        <f>VLOOKUP(A228,Database!A:K,MATCH('Retail Sales'!$A$1,Database!$A$1:$K$1,),)</f>
        <v/>
      </c>
      <c r="C228" s="12">
        <f>(B228-B227)/B227</f>
        <v/>
      </c>
      <c r="D228" s="13">
        <f>(B228-B216)/B216</f>
        <v/>
      </c>
    </row>
    <row r="229">
      <c r="A229" s="10" t="n">
        <v>40360</v>
      </c>
      <c r="B229" s="15">
        <f>VLOOKUP(A229,Database!A:K,MATCH('Retail Sales'!$A$1,Database!$A$1:$K$1,),)</f>
        <v/>
      </c>
      <c r="C229" s="12">
        <f>(B229-B228)/B228</f>
        <v/>
      </c>
      <c r="D229" s="13">
        <f>(B229-B217)/B217</f>
        <v/>
      </c>
    </row>
    <row r="230">
      <c r="A230" s="11" t="n">
        <v>40391</v>
      </c>
      <c r="B230" s="15">
        <f>VLOOKUP(A230,Database!A:K,MATCH('Retail Sales'!$A$1,Database!$A$1:$K$1,),)</f>
        <v/>
      </c>
      <c r="C230" s="12">
        <f>(B230-B229)/B229</f>
        <v/>
      </c>
      <c r="D230" s="13">
        <f>(B230-B218)/B218</f>
        <v/>
      </c>
    </row>
    <row r="231">
      <c r="A231" s="10" t="n">
        <v>40422</v>
      </c>
      <c r="B231" s="15">
        <f>VLOOKUP(A231,Database!A:K,MATCH('Retail Sales'!$A$1,Database!$A$1:$K$1,),)</f>
        <v/>
      </c>
      <c r="C231" s="12">
        <f>(B231-B230)/B230</f>
        <v/>
      </c>
      <c r="D231" s="13">
        <f>(B231-B219)/B219</f>
        <v/>
      </c>
    </row>
    <row r="232">
      <c r="A232" s="11" t="n">
        <v>40452</v>
      </c>
      <c r="B232" s="15">
        <f>VLOOKUP(A232,Database!A:K,MATCH('Retail Sales'!$A$1,Database!$A$1:$K$1,),)</f>
        <v/>
      </c>
      <c r="C232" s="12">
        <f>(B232-B231)/B231</f>
        <v/>
      </c>
      <c r="D232" s="13">
        <f>(B232-B220)/B220</f>
        <v/>
      </c>
    </row>
    <row r="233">
      <c r="A233" s="10" t="n">
        <v>40483</v>
      </c>
      <c r="B233" s="15">
        <f>VLOOKUP(A233,Database!A:K,MATCH('Retail Sales'!$A$1,Database!$A$1:$K$1,),)</f>
        <v/>
      </c>
      <c r="C233" s="12">
        <f>(B233-B232)/B232</f>
        <v/>
      </c>
      <c r="D233" s="13">
        <f>(B233-B221)/B221</f>
        <v/>
      </c>
    </row>
    <row r="234">
      <c r="A234" s="11" t="n">
        <v>40513</v>
      </c>
      <c r="B234" s="15">
        <f>VLOOKUP(A234,Database!A:K,MATCH('Retail Sales'!$A$1,Database!$A$1:$K$1,),)</f>
        <v/>
      </c>
      <c r="C234" s="12">
        <f>(B234-B233)/B233</f>
        <v/>
      </c>
      <c r="D234" s="13">
        <f>(B234-B222)/B222</f>
        <v/>
      </c>
    </row>
    <row r="235">
      <c r="A235" s="10" t="n">
        <v>40544</v>
      </c>
      <c r="B235" s="15">
        <f>VLOOKUP(A235,Database!A:K,MATCH('Retail Sales'!$A$1,Database!$A$1:$K$1,),)</f>
        <v/>
      </c>
      <c r="C235" s="12">
        <f>(B235-B234)/B234</f>
        <v/>
      </c>
      <c r="D235" s="13">
        <f>(B235-B223)/B223</f>
        <v/>
      </c>
    </row>
    <row r="236">
      <c r="A236" s="11" t="n">
        <v>40575</v>
      </c>
      <c r="B236" s="15">
        <f>VLOOKUP(A236,Database!A:K,MATCH('Retail Sales'!$A$1,Database!$A$1:$K$1,),)</f>
        <v/>
      </c>
      <c r="C236" s="12">
        <f>(B236-B235)/B235</f>
        <v/>
      </c>
      <c r="D236" s="13">
        <f>(B236-B224)/B224</f>
        <v/>
      </c>
    </row>
    <row r="237">
      <c r="A237" s="10" t="n">
        <v>40603</v>
      </c>
      <c r="B237" s="15">
        <f>VLOOKUP(A237,Database!A:K,MATCH('Retail Sales'!$A$1,Database!$A$1:$K$1,),)</f>
        <v/>
      </c>
      <c r="C237" s="12">
        <f>(B237-B236)/B236</f>
        <v/>
      </c>
      <c r="D237" s="13">
        <f>(B237-B225)/B225</f>
        <v/>
      </c>
    </row>
    <row r="238">
      <c r="A238" s="11" t="n">
        <v>40634</v>
      </c>
      <c r="B238" s="15">
        <f>VLOOKUP(A238,Database!A:K,MATCH('Retail Sales'!$A$1,Database!$A$1:$K$1,),)</f>
        <v/>
      </c>
      <c r="C238" s="12">
        <f>(B238-B237)/B237</f>
        <v/>
      </c>
      <c r="D238" s="13">
        <f>(B238-B226)/B226</f>
        <v/>
      </c>
    </row>
    <row r="239">
      <c r="A239" s="10" t="n">
        <v>40664</v>
      </c>
      <c r="B239" s="15">
        <f>VLOOKUP(A239,Database!A:K,MATCH('Retail Sales'!$A$1,Database!$A$1:$K$1,),)</f>
        <v/>
      </c>
      <c r="C239" s="12">
        <f>(B239-B238)/B238</f>
        <v/>
      </c>
      <c r="D239" s="13">
        <f>(B239-B227)/B227</f>
        <v/>
      </c>
    </row>
    <row r="240">
      <c r="A240" s="11" t="n">
        <v>40695</v>
      </c>
      <c r="B240" s="15">
        <f>VLOOKUP(A240,Database!A:K,MATCH('Retail Sales'!$A$1,Database!$A$1:$K$1,),)</f>
        <v/>
      </c>
      <c r="C240" s="12">
        <f>(B240-B239)/B239</f>
        <v/>
      </c>
      <c r="D240" s="13">
        <f>(B240-B228)/B228</f>
        <v/>
      </c>
    </row>
    <row r="241">
      <c r="A241" s="10" t="n">
        <v>40725</v>
      </c>
      <c r="B241" s="15">
        <f>VLOOKUP(A241,Database!A:K,MATCH('Retail Sales'!$A$1,Database!$A$1:$K$1,),)</f>
        <v/>
      </c>
      <c r="C241" s="12">
        <f>(B241-B240)/B240</f>
        <v/>
      </c>
      <c r="D241" s="13">
        <f>(B241-B229)/B229</f>
        <v/>
      </c>
    </row>
    <row r="242">
      <c r="A242" s="11" t="n">
        <v>40756</v>
      </c>
      <c r="B242" s="15">
        <f>VLOOKUP(A242,Database!A:K,MATCH('Retail Sales'!$A$1,Database!$A$1:$K$1,),)</f>
        <v/>
      </c>
      <c r="C242" s="12">
        <f>(B242-B241)/B241</f>
        <v/>
      </c>
      <c r="D242" s="13">
        <f>(B242-B230)/B230</f>
        <v/>
      </c>
    </row>
    <row r="243">
      <c r="A243" s="10" t="n">
        <v>40787</v>
      </c>
      <c r="B243" s="15">
        <f>VLOOKUP(A243,Database!A:K,MATCH('Retail Sales'!$A$1,Database!$A$1:$K$1,),)</f>
        <v/>
      </c>
      <c r="C243" s="12">
        <f>(B243-B242)/B242</f>
        <v/>
      </c>
      <c r="D243" s="13">
        <f>(B243-B231)/B231</f>
        <v/>
      </c>
    </row>
    <row r="244">
      <c r="A244" s="11" t="n">
        <v>40817</v>
      </c>
      <c r="B244" s="15">
        <f>VLOOKUP(A244,Database!A:K,MATCH('Retail Sales'!$A$1,Database!$A$1:$K$1,),)</f>
        <v/>
      </c>
      <c r="C244" s="12">
        <f>(B244-B243)/B243</f>
        <v/>
      </c>
      <c r="D244" s="13">
        <f>(B244-B232)/B232</f>
        <v/>
      </c>
    </row>
    <row r="245">
      <c r="A245" s="10" t="n">
        <v>40848</v>
      </c>
      <c r="B245" s="15">
        <f>VLOOKUP(A245,Database!A:K,MATCH('Retail Sales'!$A$1,Database!$A$1:$K$1,),)</f>
        <v/>
      </c>
      <c r="C245" s="12">
        <f>(B245-B244)/B244</f>
        <v/>
      </c>
      <c r="D245" s="13">
        <f>(B245-B233)/B233</f>
        <v/>
      </c>
    </row>
    <row r="246">
      <c r="A246" s="11" t="n">
        <v>40878</v>
      </c>
      <c r="B246" s="15">
        <f>VLOOKUP(A246,Database!A:K,MATCH('Retail Sales'!$A$1,Database!$A$1:$K$1,),)</f>
        <v/>
      </c>
      <c r="C246" s="12">
        <f>(B246-B245)/B245</f>
        <v/>
      </c>
      <c r="D246" s="13">
        <f>(B246-B234)/B234</f>
        <v/>
      </c>
    </row>
    <row r="247">
      <c r="A247" s="10" t="n">
        <v>40909</v>
      </c>
      <c r="B247" s="15">
        <f>VLOOKUP(A247,Database!A:K,MATCH('Retail Sales'!$A$1,Database!$A$1:$K$1,),)</f>
        <v/>
      </c>
      <c r="C247" s="12">
        <f>(B247-B246)/B246</f>
        <v/>
      </c>
      <c r="D247" s="13">
        <f>(B247-B235)/B235</f>
        <v/>
      </c>
    </row>
    <row r="248">
      <c r="A248" s="11" t="n">
        <v>40940</v>
      </c>
      <c r="B248" s="15">
        <f>VLOOKUP(A248,Database!A:K,MATCH('Retail Sales'!$A$1,Database!$A$1:$K$1,),)</f>
        <v/>
      </c>
      <c r="C248" s="12">
        <f>(B248-B247)/B247</f>
        <v/>
      </c>
      <c r="D248" s="13">
        <f>(B248-B236)/B236</f>
        <v/>
      </c>
    </row>
    <row r="249">
      <c r="A249" s="10" t="n">
        <v>40969</v>
      </c>
      <c r="B249" s="15">
        <f>VLOOKUP(A249,Database!A:K,MATCH('Retail Sales'!$A$1,Database!$A$1:$K$1,),)</f>
        <v/>
      </c>
      <c r="C249" s="12">
        <f>(B249-B248)/B248</f>
        <v/>
      </c>
      <c r="D249" s="13">
        <f>(B249-B237)/B237</f>
        <v/>
      </c>
    </row>
    <row r="250">
      <c r="A250" s="11" t="n">
        <v>41000</v>
      </c>
      <c r="B250" s="15">
        <f>VLOOKUP(A250,Database!A:K,MATCH('Retail Sales'!$A$1,Database!$A$1:$K$1,),)</f>
        <v/>
      </c>
      <c r="C250" s="12">
        <f>(B250-B249)/B249</f>
        <v/>
      </c>
      <c r="D250" s="13">
        <f>(B250-B238)/B238</f>
        <v/>
      </c>
    </row>
    <row r="251">
      <c r="A251" s="10" t="n">
        <v>41030</v>
      </c>
      <c r="B251" s="15">
        <f>VLOOKUP(A251,Database!A:K,MATCH('Retail Sales'!$A$1,Database!$A$1:$K$1,),)</f>
        <v/>
      </c>
      <c r="C251" s="12">
        <f>(B251-B250)/B250</f>
        <v/>
      </c>
      <c r="D251" s="13">
        <f>(B251-B239)/B239</f>
        <v/>
      </c>
    </row>
    <row r="252">
      <c r="A252" s="11" t="n">
        <v>41061</v>
      </c>
      <c r="B252" s="15">
        <f>VLOOKUP(A252,Database!A:K,MATCH('Retail Sales'!$A$1,Database!$A$1:$K$1,),)</f>
        <v/>
      </c>
      <c r="C252" s="12">
        <f>(B252-B251)/B251</f>
        <v/>
      </c>
      <c r="D252" s="13">
        <f>(B252-B240)/B240</f>
        <v/>
      </c>
    </row>
    <row r="253">
      <c r="A253" s="10" t="n">
        <v>41091</v>
      </c>
      <c r="B253" s="15">
        <f>VLOOKUP(A253,Database!A:K,MATCH('Retail Sales'!$A$1,Database!$A$1:$K$1,),)</f>
        <v/>
      </c>
      <c r="C253" s="12">
        <f>(B253-B252)/B252</f>
        <v/>
      </c>
      <c r="D253" s="13">
        <f>(B253-B241)/B241</f>
        <v/>
      </c>
    </row>
    <row r="254">
      <c r="A254" s="11" t="n">
        <v>41122</v>
      </c>
      <c r="B254" s="15">
        <f>VLOOKUP(A254,Database!A:K,MATCH('Retail Sales'!$A$1,Database!$A$1:$K$1,),)</f>
        <v/>
      </c>
      <c r="C254" s="12">
        <f>(B254-B253)/B253</f>
        <v/>
      </c>
      <c r="D254" s="13">
        <f>(B254-B242)/B242</f>
        <v/>
      </c>
    </row>
    <row r="255">
      <c r="A255" s="10" t="n">
        <v>41153</v>
      </c>
      <c r="B255" s="15">
        <f>VLOOKUP(A255,Database!A:K,MATCH('Retail Sales'!$A$1,Database!$A$1:$K$1,),)</f>
        <v/>
      </c>
      <c r="C255" s="12">
        <f>(B255-B254)/B254</f>
        <v/>
      </c>
      <c r="D255" s="13">
        <f>(B255-B243)/B243</f>
        <v/>
      </c>
    </row>
    <row r="256">
      <c r="A256" s="11" t="n">
        <v>41183</v>
      </c>
      <c r="B256" s="15">
        <f>VLOOKUP(A256,Database!A:K,MATCH('Retail Sales'!$A$1,Database!$A$1:$K$1,),)</f>
        <v/>
      </c>
      <c r="C256" s="12">
        <f>(B256-B255)/B255</f>
        <v/>
      </c>
      <c r="D256" s="13">
        <f>(B256-B244)/B244</f>
        <v/>
      </c>
    </row>
    <row r="257">
      <c r="A257" s="10" t="n">
        <v>41214</v>
      </c>
      <c r="B257" s="15">
        <f>VLOOKUP(A257,Database!A:K,MATCH('Retail Sales'!$A$1,Database!$A$1:$K$1,),)</f>
        <v/>
      </c>
      <c r="C257" s="12">
        <f>(B257-B256)/B256</f>
        <v/>
      </c>
      <c r="D257" s="13">
        <f>(B257-B245)/B245</f>
        <v/>
      </c>
    </row>
    <row r="258">
      <c r="A258" s="11" t="n">
        <v>41244</v>
      </c>
      <c r="B258" s="15">
        <f>VLOOKUP(A258,Database!A:K,MATCH('Retail Sales'!$A$1,Database!$A$1:$K$1,),)</f>
        <v/>
      </c>
      <c r="C258" s="12">
        <f>(B258-B257)/B257</f>
        <v/>
      </c>
      <c r="D258" s="13">
        <f>(B258-B246)/B246</f>
        <v/>
      </c>
    </row>
    <row r="259">
      <c r="A259" s="10" t="n">
        <v>41275</v>
      </c>
      <c r="B259" s="15">
        <f>VLOOKUP(A259,Database!A:K,MATCH('Retail Sales'!$A$1,Database!$A$1:$K$1,),)</f>
        <v/>
      </c>
      <c r="C259" s="12">
        <f>(B259-B258)/B258</f>
        <v/>
      </c>
      <c r="D259" s="13">
        <f>(B259-B247)/B247</f>
        <v/>
      </c>
    </row>
    <row r="260">
      <c r="A260" s="11" t="n">
        <v>41306</v>
      </c>
      <c r="B260" s="15">
        <f>VLOOKUP(A260,Database!A:K,MATCH('Retail Sales'!$A$1,Database!$A$1:$K$1,),)</f>
        <v/>
      </c>
      <c r="C260" s="12">
        <f>(B260-B259)/B259</f>
        <v/>
      </c>
      <c r="D260" s="13">
        <f>(B260-B248)/B248</f>
        <v/>
      </c>
    </row>
    <row r="261">
      <c r="A261" s="10" t="n">
        <v>41334</v>
      </c>
      <c r="B261" s="15">
        <f>VLOOKUP(A261,Database!A:K,MATCH('Retail Sales'!$A$1,Database!$A$1:$K$1,),)</f>
        <v/>
      </c>
      <c r="C261" s="12">
        <f>(B261-B260)/B260</f>
        <v/>
      </c>
      <c r="D261" s="13">
        <f>(B261-B249)/B249</f>
        <v/>
      </c>
    </row>
    <row r="262">
      <c r="A262" s="11" t="n">
        <v>41365</v>
      </c>
      <c r="B262" s="15">
        <f>VLOOKUP(A262,Database!A:K,MATCH('Retail Sales'!$A$1,Database!$A$1:$K$1,),)</f>
        <v/>
      </c>
      <c r="C262" s="12">
        <f>(B262-B261)/B261</f>
        <v/>
      </c>
      <c r="D262" s="13">
        <f>(B262-B250)/B250</f>
        <v/>
      </c>
    </row>
    <row r="263">
      <c r="A263" s="10" t="n">
        <v>41395</v>
      </c>
      <c r="B263" s="15">
        <f>VLOOKUP(A263,Database!A:K,MATCH('Retail Sales'!$A$1,Database!$A$1:$K$1,),)</f>
        <v/>
      </c>
      <c r="C263" s="12">
        <f>(B263-B262)/B262</f>
        <v/>
      </c>
      <c r="D263" s="13">
        <f>(B263-B251)/B251</f>
        <v/>
      </c>
    </row>
    <row r="264">
      <c r="A264" s="11" t="n">
        <v>41426</v>
      </c>
      <c r="B264" s="15">
        <f>VLOOKUP(A264,Database!A:K,MATCH('Retail Sales'!$A$1,Database!$A$1:$K$1,),)</f>
        <v/>
      </c>
      <c r="C264" s="12">
        <f>(B264-B263)/B263</f>
        <v/>
      </c>
      <c r="D264" s="13">
        <f>(B264-B252)/B252</f>
        <v/>
      </c>
    </row>
    <row r="265">
      <c r="A265" s="10" t="n">
        <v>41456</v>
      </c>
      <c r="B265" s="15">
        <f>VLOOKUP(A265,Database!A:K,MATCH('Retail Sales'!$A$1,Database!$A$1:$K$1,),)</f>
        <v/>
      </c>
      <c r="C265" s="12">
        <f>(B265-B264)/B264</f>
        <v/>
      </c>
      <c r="D265" s="13">
        <f>(B265-B253)/B253</f>
        <v/>
      </c>
    </row>
    <row r="266">
      <c r="A266" s="11" t="n">
        <v>41487</v>
      </c>
      <c r="B266" s="15">
        <f>VLOOKUP(A266,Database!A:K,MATCH('Retail Sales'!$A$1,Database!$A$1:$K$1,),)</f>
        <v/>
      </c>
      <c r="C266" s="12">
        <f>(B266-B265)/B265</f>
        <v/>
      </c>
      <c r="D266" s="13">
        <f>(B266-B254)/B254</f>
        <v/>
      </c>
    </row>
    <row r="267">
      <c r="A267" s="10" t="n">
        <v>41518</v>
      </c>
      <c r="B267" s="15">
        <f>VLOOKUP(A267,Database!A:K,MATCH('Retail Sales'!$A$1,Database!$A$1:$K$1,),)</f>
        <v/>
      </c>
      <c r="C267" s="12">
        <f>(B267-B266)/B266</f>
        <v/>
      </c>
      <c r="D267" s="13">
        <f>(B267-B255)/B255</f>
        <v/>
      </c>
    </row>
    <row r="268">
      <c r="A268" s="11" t="n">
        <v>41548</v>
      </c>
      <c r="B268" s="15">
        <f>VLOOKUP(A268,Database!A:K,MATCH('Retail Sales'!$A$1,Database!$A$1:$K$1,),)</f>
        <v/>
      </c>
      <c r="C268" s="12">
        <f>(B268-B267)/B267</f>
        <v/>
      </c>
      <c r="D268" s="13">
        <f>(B268-B256)/B256</f>
        <v/>
      </c>
    </row>
    <row r="269">
      <c r="A269" s="10" t="n">
        <v>41579</v>
      </c>
      <c r="B269" s="15">
        <f>VLOOKUP(A269,Database!A:K,MATCH('Retail Sales'!$A$1,Database!$A$1:$K$1,),)</f>
        <v/>
      </c>
      <c r="C269" s="12">
        <f>(B269-B268)/B268</f>
        <v/>
      </c>
      <c r="D269" s="13">
        <f>(B269-B257)/B257</f>
        <v/>
      </c>
    </row>
    <row r="270">
      <c r="A270" s="11" t="n">
        <v>41609</v>
      </c>
      <c r="B270" s="15">
        <f>VLOOKUP(A270,Database!A:K,MATCH('Retail Sales'!$A$1,Database!$A$1:$K$1,),)</f>
        <v/>
      </c>
      <c r="C270" s="12">
        <f>(B270-B269)/B269</f>
        <v/>
      </c>
      <c r="D270" s="13">
        <f>(B270-B258)/B258</f>
        <v/>
      </c>
    </row>
    <row r="271">
      <c r="A271" s="10" t="n">
        <v>41640</v>
      </c>
      <c r="B271" s="15">
        <f>VLOOKUP(A271,Database!A:K,MATCH('Retail Sales'!$A$1,Database!$A$1:$K$1,),)</f>
        <v/>
      </c>
      <c r="C271" s="12">
        <f>(B271-B270)/B270</f>
        <v/>
      </c>
      <c r="D271" s="13">
        <f>(B271-B259)/B259</f>
        <v/>
      </c>
    </row>
    <row r="272">
      <c r="A272" s="11" t="n">
        <v>41671</v>
      </c>
      <c r="B272" s="15">
        <f>VLOOKUP(A272,Database!A:K,MATCH('Retail Sales'!$A$1,Database!$A$1:$K$1,),)</f>
        <v/>
      </c>
      <c r="C272" s="12">
        <f>(B272-B271)/B271</f>
        <v/>
      </c>
      <c r="D272" s="13">
        <f>(B272-B260)/B260</f>
        <v/>
      </c>
    </row>
    <row r="273">
      <c r="A273" s="10" t="n">
        <v>41699</v>
      </c>
      <c r="B273" s="15">
        <f>VLOOKUP(A273,Database!A:K,MATCH('Retail Sales'!$A$1,Database!$A$1:$K$1,),)</f>
        <v/>
      </c>
      <c r="C273" s="12">
        <f>(B273-B272)/B272</f>
        <v/>
      </c>
      <c r="D273" s="13">
        <f>(B273-B261)/B261</f>
        <v/>
      </c>
    </row>
    <row r="274">
      <c r="A274" s="11" t="n">
        <v>41730</v>
      </c>
      <c r="B274" s="15">
        <f>VLOOKUP(A274,Database!A:K,MATCH('Retail Sales'!$A$1,Database!$A$1:$K$1,),)</f>
        <v/>
      </c>
      <c r="C274" s="12">
        <f>(B274-B273)/B273</f>
        <v/>
      </c>
      <c r="D274" s="13">
        <f>(B274-B262)/B262</f>
        <v/>
      </c>
    </row>
    <row r="275">
      <c r="A275" s="10" t="n">
        <v>41760</v>
      </c>
      <c r="B275" s="15">
        <f>VLOOKUP(A275,Database!A:K,MATCH('Retail Sales'!$A$1,Database!$A$1:$K$1,),)</f>
        <v/>
      </c>
      <c r="C275" s="12">
        <f>(B275-B274)/B274</f>
        <v/>
      </c>
      <c r="D275" s="13">
        <f>(B275-B263)/B263</f>
        <v/>
      </c>
    </row>
    <row r="276">
      <c r="A276" s="11" t="n">
        <v>41791</v>
      </c>
      <c r="B276" s="15">
        <f>VLOOKUP(A276,Database!A:K,MATCH('Retail Sales'!$A$1,Database!$A$1:$K$1,),)</f>
        <v/>
      </c>
      <c r="C276" s="12">
        <f>(B276-B275)/B275</f>
        <v/>
      </c>
      <c r="D276" s="13">
        <f>(B276-B264)/B264</f>
        <v/>
      </c>
    </row>
    <row r="277">
      <c r="A277" s="10" t="n">
        <v>41821</v>
      </c>
      <c r="B277" s="15">
        <f>VLOOKUP(A277,Database!A:K,MATCH('Retail Sales'!$A$1,Database!$A$1:$K$1,),)</f>
        <v/>
      </c>
      <c r="C277" s="12">
        <f>(B277-B276)/B276</f>
        <v/>
      </c>
      <c r="D277" s="13">
        <f>(B277-B265)/B265</f>
        <v/>
      </c>
    </row>
    <row r="278">
      <c r="A278" s="11" t="n">
        <v>41852</v>
      </c>
      <c r="B278" s="15">
        <f>VLOOKUP(A278,Database!A:K,MATCH('Retail Sales'!$A$1,Database!$A$1:$K$1,),)</f>
        <v/>
      </c>
      <c r="C278" s="12">
        <f>(B278-B277)/B277</f>
        <v/>
      </c>
      <c r="D278" s="13">
        <f>(B278-B266)/B266</f>
        <v/>
      </c>
    </row>
    <row r="279">
      <c r="A279" s="10" t="n">
        <v>41883</v>
      </c>
      <c r="B279" s="15">
        <f>VLOOKUP(A279,Database!A:K,MATCH('Retail Sales'!$A$1,Database!$A$1:$K$1,),)</f>
        <v/>
      </c>
      <c r="C279" s="12">
        <f>(B279-B278)/B278</f>
        <v/>
      </c>
      <c r="D279" s="13">
        <f>(B279-B267)/B267</f>
        <v/>
      </c>
    </row>
    <row r="280">
      <c r="A280" s="11" t="n">
        <v>41913</v>
      </c>
      <c r="B280" s="15">
        <f>VLOOKUP(A280,Database!A:K,MATCH('Retail Sales'!$A$1,Database!$A$1:$K$1,),)</f>
        <v/>
      </c>
      <c r="C280" s="12">
        <f>(B280-B279)/B279</f>
        <v/>
      </c>
      <c r="D280" s="13">
        <f>(B280-B268)/B268</f>
        <v/>
      </c>
    </row>
    <row r="281">
      <c r="A281" s="10" t="n">
        <v>41944</v>
      </c>
      <c r="B281" s="15">
        <f>VLOOKUP(A281,Database!A:K,MATCH('Retail Sales'!$A$1,Database!$A$1:$K$1,),)</f>
        <v/>
      </c>
      <c r="C281" s="12">
        <f>(B281-B280)/B280</f>
        <v/>
      </c>
      <c r="D281" s="13">
        <f>(B281-B269)/B269</f>
        <v/>
      </c>
    </row>
    <row r="282">
      <c r="A282" s="11" t="n">
        <v>41974</v>
      </c>
      <c r="B282" s="15">
        <f>VLOOKUP(A282,Database!A:K,MATCH('Retail Sales'!$A$1,Database!$A$1:$K$1,),)</f>
        <v/>
      </c>
      <c r="C282" s="12">
        <f>(B282-B281)/B281</f>
        <v/>
      </c>
      <c r="D282" s="13">
        <f>(B282-B270)/B270</f>
        <v/>
      </c>
    </row>
    <row r="283">
      <c r="A283" s="10" t="n">
        <v>42005</v>
      </c>
      <c r="B283" s="15">
        <f>VLOOKUP(A283,Database!A:K,MATCH('Retail Sales'!$A$1,Database!$A$1:$K$1,),)</f>
        <v/>
      </c>
      <c r="C283" s="12">
        <f>(B283-B282)/B282</f>
        <v/>
      </c>
      <c r="D283" s="13">
        <f>(B283-B271)/B271</f>
        <v/>
      </c>
    </row>
    <row r="284">
      <c r="A284" s="11" t="n">
        <v>42036</v>
      </c>
      <c r="B284" s="15">
        <f>VLOOKUP(A284,Database!A:K,MATCH('Retail Sales'!$A$1,Database!$A$1:$K$1,),)</f>
        <v/>
      </c>
      <c r="C284" s="12">
        <f>(B284-B283)/B283</f>
        <v/>
      </c>
      <c r="D284" s="13">
        <f>(B284-B272)/B272</f>
        <v/>
      </c>
    </row>
    <row r="285">
      <c r="A285" s="10" t="n">
        <v>42064</v>
      </c>
      <c r="B285" s="15">
        <f>VLOOKUP(A285,Database!A:K,MATCH('Retail Sales'!$A$1,Database!$A$1:$K$1,),)</f>
        <v/>
      </c>
      <c r="C285" s="12">
        <f>(B285-B284)/B284</f>
        <v/>
      </c>
      <c r="D285" s="13">
        <f>(B285-B273)/B273</f>
        <v/>
      </c>
    </row>
    <row r="286">
      <c r="A286" s="11" t="n">
        <v>42095</v>
      </c>
      <c r="B286" s="15">
        <f>VLOOKUP(A286,Database!A:K,MATCH('Retail Sales'!$A$1,Database!$A$1:$K$1,),)</f>
        <v/>
      </c>
      <c r="C286" s="12">
        <f>(B286-B285)/B285</f>
        <v/>
      </c>
      <c r="D286" s="13">
        <f>(B286-B274)/B274</f>
        <v/>
      </c>
    </row>
    <row r="287">
      <c r="A287" s="10" t="n">
        <v>42125</v>
      </c>
      <c r="B287" s="15">
        <f>VLOOKUP(A287,Database!A:K,MATCH('Retail Sales'!$A$1,Database!$A$1:$K$1,),)</f>
        <v/>
      </c>
      <c r="C287" s="12">
        <f>(B287-B286)/B286</f>
        <v/>
      </c>
      <c r="D287" s="13">
        <f>(B287-B275)/B275</f>
        <v/>
      </c>
    </row>
    <row r="288">
      <c r="A288" s="11" t="n">
        <v>42156</v>
      </c>
      <c r="B288" s="15">
        <f>VLOOKUP(A288,Database!A:K,MATCH('Retail Sales'!$A$1,Database!$A$1:$K$1,),)</f>
        <v/>
      </c>
      <c r="C288" s="12">
        <f>(B288-B287)/B287</f>
        <v/>
      </c>
      <c r="D288" s="13">
        <f>(B288-B276)/B276</f>
        <v/>
      </c>
    </row>
    <row r="289">
      <c r="A289" s="10" t="n">
        <v>42186</v>
      </c>
      <c r="B289" s="15">
        <f>VLOOKUP(A289,Database!A:K,MATCH('Retail Sales'!$A$1,Database!$A$1:$K$1,),)</f>
        <v/>
      </c>
      <c r="C289" s="12">
        <f>(B289-B288)/B288</f>
        <v/>
      </c>
      <c r="D289" s="13">
        <f>(B289-B277)/B277</f>
        <v/>
      </c>
    </row>
    <row r="290">
      <c r="A290" s="11" t="n">
        <v>42217</v>
      </c>
      <c r="B290" s="15">
        <f>VLOOKUP(A290,Database!A:K,MATCH('Retail Sales'!$A$1,Database!$A$1:$K$1,),)</f>
        <v/>
      </c>
      <c r="C290" s="12">
        <f>(B290-B289)/B289</f>
        <v/>
      </c>
      <c r="D290" s="13">
        <f>(B290-B278)/B278</f>
        <v/>
      </c>
    </row>
    <row r="291">
      <c r="A291" s="10" t="n">
        <v>42248</v>
      </c>
      <c r="B291" s="15">
        <f>VLOOKUP(A291,Database!A:K,MATCH('Retail Sales'!$A$1,Database!$A$1:$K$1,),)</f>
        <v/>
      </c>
      <c r="C291" s="12">
        <f>(B291-B290)/B290</f>
        <v/>
      </c>
      <c r="D291" s="13">
        <f>(B291-B279)/B279</f>
        <v/>
      </c>
    </row>
    <row r="292">
      <c r="A292" s="11" t="n">
        <v>42278</v>
      </c>
      <c r="B292" s="15">
        <f>VLOOKUP(A292,Database!A:K,MATCH('Retail Sales'!$A$1,Database!$A$1:$K$1,),)</f>
        <v/>
      </c>
      <c r="C292" s="12">
        <f>(B292-B291)/B291</f>
        <v/>
      </c>
      <c r="D292" s="13">
        <f>(B292-B280)/B280</f>
        <v/>
      </c>
    </row>
    <row r="293">
      <c r="A293" s="10" t="n">
        <v>42309</v>
      </c>
      <c r="B293" s="15">
        <f>VLOOKUP(A293,Database!A:K,MATCH('Retail Sales'!$A$1,Database!$A$1:$K$1,),)</f>
        <v/>
      </c>
      <c r="C293" s="12">
        <f>(B293-B292)/B292</f>
        <v/>
      </c>
      <c r="D293" s="13">
        <f>(B293-B281)/B281</f>
        <v/>
      </c>
    </row>
    <row r="294">
      <c r="A294" s="11" t="n">
        <v>42339</v>
      </c>
      <c r="B294" s="15">
        <f>VLOOKUP(A294,Database!A:K,MATCH('Retail Sales'!$A$1,Database!$A$1:$K$1,),)</f>
        <v/>
      </c>
      <c r="C294" s="12">
        <f>(B294-B293)/B293</f>
        <v/>
      </c>
      <c r="D294" s="13">
        <f>(B294-B282)/B282</f>
        <v/>
      </c>
    </row>
    <row r="295">
      <c r="A295" s="10" t="n">
        <v>42370</v>
      </c>
      <c r="B295" s="15">
        <f>VLOOKUP(A295,Database!A:K,MATCH('Retail Sales'!$A$1,Database!$A$1:$K$1,),)</f>
        <v/>
      </c>
      <c r="C295" s="12">
        <f>(B295-B294)/B294</f>
        <v/>
      </c>
      <c r="D295" s="13">
        <f>(B295-B283)/B283</f>
        <v/>
      </c>
    </row>
    <row r="296">
      <c r="A296" s="11" t="n">
        <v>42401</v>
      </c>
      <c r="B296" s="15">
        <f>VLOOKUP(A296,Database!A:K,MATCH('Retail Sales'!$A$1,Database!$A$1:$K$1,),)</f>
        <v/>
      </c>
      <c r="C296" s="12">
        <f>(B296-B295)/B295</f>
        <v/>
      </c>
      <c r="D296" s="13">
        <f>(B296-B284)/B284</f>
        <v/>
      </c>
    </row>
    <row r="297">
      <c r="A297" s="10" t="n">
        <v>42430</v>
      </c>
      <c r="B297" s="15">
        <f>VLOOKUP(A297,Database!A:K,MATCH('Retail Sales'!$A$1,Database!$A$1:$K$1,),)</f>
        <v/>
      </c>
      <c r="C297" s="12">
        <f>(B297-B296)/B296</f>
        <v/>
      </c>
      <c r="D297" s="13">
        <f>(B297-B285)/B285</f>
        <v/>
      </c>
    </row>
    <row r="298">
      <c r="A298" s="11" t="n">
        <v>42461</v>
      </c>
      <c r="B298" s="15">
        <f>VLOOKUP(A298,Database!A:K,MATCH('Retail Sales'!$A$1,Database!$A$1:$K$1,),)</f>
        <v/>
      </c>
      <c r="C298" s="12">
        <f>(B298-B297)/B297</f>
        <v/>
      </c>
      <c r="D298" s="13">
        <f>(B298-B286)/B286</f>
        <v/>
      </c>
    </row>
    <row r="299">
      <c r="A299" s="10" t="n">
        <v>42491</v>
      </c>
      <c r="B299" s="15">
        <f>VLOOKUP(A299,Database!A:K,MATCH('Retail Sales'!$A$1,Database!$A$1:$K$1,),)</f>
        <v/>
      </c>
      <c r="C299" s="12">
        <f>(B299-B298)/B298</f>
        <v/>
      </c>
      <c r="D299" s="13">
        <f>(B299-B287)/B287</f>
        <v/>
      </c>
    </row>
    <row r="300">
      <c r="A300" s="11" t="n">
        <v>42522</v>
      </c>
      <c r="B300" s="15">
        <f>VLOOKUP(A300,Database!A:K,MATCH('Retail Sales'!$A$1,Database!$A$1:$K$1,),)</f>
        <v/>
      </c>
      <c r="C300" s="12">
        <f>(B300-B299)/B299</f>
        <v/>
      </c>
      <c r="D300" s="13">
        <f>(B300-B288)/B288</f>
        <v/>
      </c>
    </row>
    <row r="301">
      <c r="A301" s="10" t="n">
        <v>42552</v>
      </c>
      <c r="B301" s="15">
        <f>VLOOKUP(A301,Database!A:K,MATCH('Retail Sales'!$A$1,Database!$A$1:$K$1,),)</f>
        <v/>
      </c>
      <c r="C301" s="12">
        <f>(B301-B300)/B300</f>
        <v/>
      </c>
      <c r="D301" s="13">
        <f>(B301-B289)/B289</f>
        <v/>
      </c>
    </row>
    <row r="302">
      <c r="A302" s="11" t="n">
        <v>42583</v>
      </c>
      <c r="B302" s="15">
        <f>VLOOKUP(A302,Database!A:K,MATCH('Retail Sales'!$A$1,Database!$A$1:$K$1,),)</f>
        <v/>
      </c>
      <c r="C302" s="12">
        <f>(B302-B301)/B301</f>
        <v/>
      </c>
      <c r="D302" s="13">
        <f>(B302-B290)/B290</f>
        <v/>
      </c>
    </row>
    <row r="303">
      <c r="A303" s="10" t="n">
        <v>42614</v>
      </c>
      <c r="B303" s="15">
        <f>VLOOKUP(A303,Database!A:K,MATCH('Retail Sales'!$A$1,Database!$A$1:$K$1,),)</f>
        <v/>
      </c>
      <c r="C303" s="12">
        <f>(B303-B302)/B302</f>
        <v/>
      </c>
      <c r="D303" s="13">
        <f>(B303-B291)/B291</f>
        <v/>
      </c>
    </row>
    <row r="304">
      <c r="A304" s="11" t="n">
        <v>42644</v>
      </c>
      <c r="B304" s="15">
        <f>VLOOKUP(A304,Database!A:K,MATCH('Retail Sales'!$A$1,Database!$A$1:$K$1,),)</f>
        <v/>
      </c>
      <c r="C304" s="12">
        <f>(B304-B303)/B303</f>
        <v/>
      </c>
      <c r="D304" s="13">
        <f>(B304-B292)/B292</f>
        <v/>
      </c>
    </row>
    <row r="305">
      <c r="A305" s="10" t="n">
        <v>42675</v>
      </c>
      <c r="B305" s="15">
        <f>VLOOKUP(A305,Database!A:K,MATCH('Retail Sales'!$A$1,Database!$A$1:$K$1,),)</f>
        <v/>
      </c>
      <c r="C305" s="12">
        <f>(B305-B304)/B304</f>
        <v/>
      </c>
      <c r="D305" s="13">
        <f>(B305-B293)/B293</f>
        <v/>
      </c>
    </row>
    <row r="306">
      <c r="A306" s="11" t="n">
        <v>42705</v>
      </c>
      <c r="B306" s="15">
        <f>VLOOKUP(A306,Database!A:K,MATCH('Retail Sales'!$A$1,Database!$A$1:$K$1,),)</f>
        <v/>
      </c>
      <c r="C306" s="12">
        <f>(B306-B305)/B305</f>
        <v/>
      </c>
      <c r="D306" s="13">
        <f>(B306-B294)/B294</f>
        <v/>
      </c>
    </row>
    <row r="307">
      <c r="A307" s="10" t="n">
        <v>42736</v>
      </c>
      <c r="B307" s="15">
        <f>VLOOKUP(A307,Database!A:K,MATCH('Retail Sales'!$A$1,Database!$A$1:$K$1,),)</f>
        <v/>
      </c>
      <c r="C307" s="12">
        <f>(B307-B306)/B306</f>
        <v/>
      </c>
      <c r="D307" s="13">
        <f>(B307-B295)/B295</f>
        <v/>
      </c>
    </row>
    <row r="308">
      <c r="A308" s="11" t="n">
        <v>42767</v>
      </c>
      <c r="B308" s="15">
        <f>VLOOKUP(A308,Database!A:K,MATCH('Retail Sales'!$A$1,Database!$A$1:$K$1,),)</f>
        <v/>
      </c>
      <c r="C308" s="12">
        <f>(B308-B307)/B307</f>
        <v/>
      </c>
      <c r="D308" s="13">
        <f>(B308-B296)/B296</f>
        <v/>
      </c>
    </row>
    <row r="309">
      <c r="A309" s="10" t="n">
        <v>42795</v>
      </c>
      <c r="B309" s="15">
        <f>VLOOKUP(A309,Database!A:K,MATCH('Retail Sales'!$A$1,Database!$A$1:$K$1,),)</f>
        <v/>
      </c>
      <c r="C309" s="12">
        <f>(B309-B308)/B308</f>
        <v/>
      </c>
      <c r="D309" s="13">
        <f>(B309-B297)/B297</f>
        <v/>
      </c>
    </row>
    <row r="310">
      <c r="A310" s="11" t="n">
        <v>42826</v>
      </c>
      <c r="B310" s="15">
        <f>VLOOKUP(A310,Database!A:K,MATCH('Retail Sales'!$A$1,Database!$A$1:$K$1,),)</f>
        <v/>
      </c>
      <c r="C310" s="12">
        <f>(B310-B309)/B309</f>
        <v/>
      </c>
      <c r="D310" s="13">
        <f>(B310-B298)/B298</f>
        <v/>
      </c>
    </row>
    <row r="311">
      <c r="A311" s="10" t="n">
        <v>42856</v>
      </c>
      <c r="B311" s="15">
        <f>VLOOKUP(A311,Database!A:K,MATCH('Retail Sales'!$A$1,Database!$A$1:$K$1,),)</f>
        <v/>
      </c>
      <c r="C311" s="12">
        <f>(B311-B310)/B310</f>
        <v/>
      </c>
      <c r="D311" s="13">
        <f>(B311-B299)/B299</f>
        <v/>
      </c>
    </row>
    <row r="312">
      <c r="A312" s="11" t="n">
        <v>42887</v>
      </c>
      <c r="B312" s="15">
        <f>VLOOKUP(A312,Database!A:K,MATCH('Retail Sales'!$A$1,Database!$A$1:$K$1,),)</f>
        <v/>
      </c>
      <c r="C312" s="12">
        <f>(B312-B311)/B311</f>
        <v/>
      </c>
      <c r="D312" s="13">
        <f>(B312-B300)/B300</f>
        <v/>
      </c>
    </row>
    <row r="313">
      <c r="A313" s="10" t="n">
        <v>42917</v>
      </c>
      <c r="B313" s="15">
        <f>VLOOKUP(A313,Database!A:K,MATCH('Retail Sales'!$A$1,Database!$A$1:$K$1,),)</f>
        <v/>
      </c>
      <c r="C313" s="12">
        <f>(B313-B312)/B312</f>
        <v/>
      </c>
      <c r="D313" s="13">
        <f>(B313-B301)/B301</f>
        <v/>
      </c>
    </row>
    <row r="314">
      <c r="A314" s="11" t="n">
        <v>42948</v>
      </c>
      <c r="B314" s="15">
        <f>VLOOKUP(A314,Database!A:K,MATCH('Retail Sales'!$A$1,Database!$A$1:$K$1,),)</f>
        <v/>
      </c>
      <c r="C314" s="12">
        <f>(B314-B313)/B313</f>
        <v/>
      </c>
      <c r="D314" s="13">
        <f>(B314-B302)/B302</f>
        <v/>
      </c>
    </row>
    <row r="315">
      <c r="A315" s="10" t="n">
        <v>42979</v>
      </c>
      <c r="B315" s="15">
        <f>VLOOKUP(A315,Database!A:K,MATCH('Retail Sales'!$A$1,Database!$A$1:$K$1,),)</f>
        <v/>
      </c>
      <c r="C315" s="12">
        <f>(B315-B314)/B314</f>
        <v/>
      </c>
      <c r="D315" s="13">
        <f>(B315-B303)/B303</f>
        <v/>
      </c>
    </row>
    <row r="316">
      <c r="A316" s="11" t="n">
        <v>43009</v>
      </c>
      <c r="B316" s="15">
        <f>VLOOKUP(A316,Database!A:K,MATCH('Retail Sales'!$A$1,Database!$A$1:$K$1,),)</f>
        <v/>
      </c>
      <c r="C316" s="12">
        <f>(B316-B315)/B315</f>
        <v/>
      </c>
      <c r="D316" s="13">
        <f>(B316-B304)/B304</f>
        <v/>
      </c>
    </row>
    <row r="317">
      <c r="A317" s="10" t="n">
        <v>43040</v>
      </c>
      <c r="B317" s="15">
        <f>VLOOKUP(A317,Database!A:K,MATCH('Retail Sales'!$A$1,Database!$A$1:$K$1,),)</f>
        <v/>
      </c>
      <c r="C317" s="12">
        <f>(B317-B316)/B316</f>
        <v/>
      </c>
      <c r="D317" s="13">
        <f>(B317-B305)/B305</f>
        <v/>
      </c>
    </row>
    <row r="318">
      <c r="A318" s="11" t="n">
        <v>43070</v>
      </c>
      <c r="B318" s="15">
        <f>VLOOKUP(A318,Database!A:K,MATCH('Retail Sales'!$A$1,Database!$A$1:$K$1,),)</f>
        <v/>
      </c>
      <c r="C318" s="12">
        <f>(B318-B317)/B317</f>
        <v/>
      </c>
      <c r="D318" s="13">
        <f>(B318-B306)/B306</f>
        <v/>
      </c>
    </row>
    <row r="319">
      <c r="A319" s="10" t="n">
        <v>43101</v>
      </c>
      <c r="B319" s="15">
        <f>VLOOKUP(A319,Database!A:K,MATCH('Retail Sales'!$A$1,Database!$A$1:$K$1,),)</f>
        <v/>
      </c>
      <c r="C319" s="12">
        <f>(B319-B318)/B318</f>
        <v/>
      </c>
      <c r="D319" s="13">
        <f>(B319-B307)/B307</f>
        <v/>
      </c>
    </row>
    <row r="320">
      <c r="A320" s="11" t="n">
        <v>43132</v>
      </c>
      <c r="B320" s="15">
        <f>VLOOKUP(A320,Database!A:K,MATCH('Retail Sales'!$A$1,Database!$A$1:$K$1,),)</f>
        <v/>
      </c>
      <c r="C320" s="12">
        <f>(B320-B319)/B319</f>
        <v/>
      </c>
      <c r="D320" s="13">
        <f>(B320-B308)/B308</f>
        <v/>
      </c>
    </row>
    <row r="321">
      <c r="A321" s="10" t="n">
        <v>43160</v>
      </c>
      <c r="B321" s="15">
        <f>VLOOKUP(A321,Database!A:K,MATCH('Retail Sales'!$A$1,Database!$A$1:$K$1,),)</f>
        <v/>
      </c>
      <c r="C321" s="12">
        <f>(B321-B320)/B320</f>
        <v/>
      </c>
      <c r="D321" s="13">
        <f>(B321-B309)/B309</f>
        <v/>
      </c>
    </row>
    <row r="322">
      <c r="A322" s="11" t="n">
        <v>43191</v>
      </c>
      <c r="B322" s="15">
        <f>VLOOKUP(A322,Database!A:K,MATCH('Retail Sales'!$A$1,Database!$A$1:$K$1,),)</f>
        <v/>
      </c>
      <c r="C322" s="12">
        <f>(B322-B321)/B321</f>
        <v/>
      </c>
      <c r="D322" s="13">
        <f>(B322-B310)/B310</f>
        <v/>
      </c>
    </row>
    <row r="323">
      <c r="A323" s="10" t="n">
        <v>43221</v>
      </c>
      <c r="B323" s="15">
        <f>VLOOKUP(A323,Database!A:K,MATCH('Retail Sales'!$A$1,Database!$A$1:$K$1,),)</f>
        <v/>
      </c>
      <c r="C323" s="12">
        <f>(B323-B322)/B322</f>
        <v/>
      </c>
      <c r="D323" s="13">
        <f>(B323-B311)/B311</f>
        <v/>
      </c>
    </row>
    <row r="324">
      <c r="A324" s="11" t="n">
        <v>43252</v>
      </c>
      <c r="B324" s="15">
        <f>VLOOKUP(A324,Database!A:K,MATCH('Retail Sales'!$A$1,Database!$A$1:$K$1,),)</f>
        <v/>
      </c>
      <c r="C324" s="12">
        <f>(B324-B323)/B323</f>
        <v/>
      </c>
      <c r="D324" s="13">
        <f>(B324-B312)/B312</f>
        <v/>
      </c>
    </row>
    <row r="325">
      <c r="A325" s="10" t="n">
        <v>43282</v>
      </c>
      <c r="B325" s="15">
        <f>VLOOKUP(A325,Database!A:K,MATCH('Retail Sales'!$A$1,Database!$A$1:$K$1,),)</f>
        <v/>
      </c>
      <c r="C325" s="12">
        <f>(B325-B324)/B324</f>
        <v/>
      </c>
      <c r="D325" s="13">
        <f>(B325-B313)/B313</f>
        <v/>
      </c>
    </row>
    <row r="326">
      <c r="A326" s="11" t="n">
        <v>43313</v>
      </c>
      <c r="B326" s="15">
        <f>VLOOKUP(A326,Database!A:K,MATCH('Retail Sales'!$A$1,Database!$A$1:$K$1,),)</f>
        <v/>
      </c>
      <c r="C326" s="12">
        <f>(B326-B325)/B325</f>
        <v/>
      </c>
      <c r="D326" s="13">
        <f>(B326-B314)/B314</f>
        <v/>
      </c>
    </row>
    <row r="327">
      <c r="A327" s="10" t="n">
        <v>43344</v>
      </c>
      <c r="B327" s="15">
        <f>VLOOKUP(A327,Database!A:K,MATCH('Retail Sales'!$A$1,Database!$A$1:$K$1,),)</f>
        <v/>
      </c>
      <c r="C327" s="12">
        <f>(B327-B326)/B326</f>
        <v/>
      </c>
      <c r="D327" s="13">
        <f>(B327-B315)/B315</f>
        <v/>
      </c>
    </row>
    <row r="328">
      <c r="A328" s="11" t="n">
        <v>43374</v>
      </c>
      <c r="B328" s="15">
        <f>VLOOKUP(A328,Database!A:K,MATCH('Retail Sales'!$A$1,Database!$A$1:$K$1,),)</f>
        <v/>
      </c>
      <c r="C328" s="12">
        <f>(B328-B327)/B327</f>
        <v/>
      </c>
      <c r="D328" s="13">
        <f>(B328-B316)/B316</f>
        <v/>
      </c>
    </row>
    <row r="329">
      <c r="A329" s="10" t="n">
        <v>43405</v>
      </c>
      <c r="B329" s="15">
        <f>VLOOKUP(A329,Database!A:K,MATCH('Retail Sales'!$A$1,Database!$A$1:$K$1,),)</f>
        <v/>
      </c>
      <c r="C329" s="12">
        <f>(B329-B328)/B328</f>
        <v/>
      </c>
      <c r="D329" s="13">
        <f>(B329-B317)/B317</f>
        <v/>
      </c>
    </row>
    <row r="330">
      <c r="A330" s="11" t="n">
        <v>43435</v>
      </c>
      <c r="B330" s="15">
        <f>VLOOKUP(A330,Database!A:K,MATCH('Retail Sales'!$A$1,Database!$A$1:$K$1,),)</f>
        <v/>
      </c>
      <c r="C330" s="12">
        <f>(B330-B329)/B329</f>
        <v/>
      </c>
      <c r="D330" s="13">
        <f>(B330-B318)/B318</f>
        <v/>
      </c>
    </row>
    <row r="331">
      <c r="A331" s="10" t="n">
        <v>43466</v>
      </c>
      <c r="B331" s="15">
        <f>VLOOKUP(A331,Database!A:K,MATCH('Retail Sales'!$A$1,Database!$A$1:$K$1,),)</f>
        <v/>
      </c>
      <c r="C331" s="12">
        <f>(B331-B330)/B330</f>
        <v/>
      </c>
      <c r="D331" s="13">
        <f>(B331-B319)/B319</f>
        <v/>
      </c>
    </row>
    <row r="332">
      <c r="A332" s="11" t="n">
        <v>43497</v>
      </c>
      <c r="B332" s="15">
        <f>VLOOKUP(A332,Database!A:K,MATCH('Retail Sales'!$A$1,Database!$A$1:$K$1,),)</f>
        <v/>
      </c>
      <c r="C332" s="12">
        <f>(B332-B331)/B331</f>
        <v/>
      </c>
      <c r="D332" s="13">
        <f>(B332-B320)/B320</f>
        <v/>
      </c>
    </row>
    <row r="333">
      <c r="A333" s="10" t="n">
        <v>43525</v>
      </c>
      <c r="B333" s="15">
        <f>VLOOKUP(A333,Database!A:K,MATCH('Retail Sales'!$A$1,Database!$A$1:$K$1,),)</f>
        <v/>
      </c>
      <c r="C333" s="12">
        <f>(B333-B332)/B332</f>
        <v/>
      </c>
      <c r="D333" s="13">
        <f>(B333-B321)/B321</f>
        <v/>
      </c>
    </row>
    <row r="334">
      <c r="A334" s="11" t="n">
        <v>43556</v>
      </c>
      <c r="B334" s="15">
        <f>VLOOKUP(A334,Database!A:K,MATCH('Retail Sales'!$A$1,Database!$A$1:$K$1,),)</f>
        <v/>
      </c>
      <c r="C334" s="12">
        <f>(B334-B333)/B333</f>
        <v/>
      </c>
      <c r="D334" s="13">
        <f>(B334-B322)/B322</f>
        <v/>
      </c>
    </row>
    <row r="335">
      <c r="A335" s="10" t="n">
        <v>43586</v>
      </c>
      <c r="B335" s="15">
        <f>VLOOKUP(A335,Database!A:K,MATCH('Retail Sales'!$A$1,Database!$A$1:$K$1,),)</f>
        <v/>
      </c>
      <c r="C335" s="12">
        <f>(B335-B334)/B334</f>
        <v/>
      </c>
      <c r="D335" s="13">
        <f>(B335-B323)/B323</f>
        <v/>
      </c>
    </row>
    <row r="336">
      <c r="A336" s="11" t="n">
        <v>43617</v>
      </c>
      <c r="B336" s="15">
        <f>VLOOKUP(A336,Database!A:K,MATCH('Retail Sales'!$A$1,Database!$A$1:$K$1,),)</f>
        <v/>
      </c>
      <c r="C336" s="12">
        <f>(B336-B335)/B335</f>
        <v/>
      </c>
      <c r="D336" s="13">
        <f>(B336-B324)/B324</f>
        <v/>
      </c>
    </row>
    <row r="337">
      <c r="A337" s="10" t="n">
        <v>43647</v>
      </c>
      <c r="B337" s="15">
        <f>VLOOKUP(A337,Database!A:K,MATCH('Retail Sales'!$A$1,Database!$A$1:$K$1,),)</f>
        <v/>
      </c>
      <c r="C337" s="12">
        <f>(B337-B336)/B336</f>
        <v/>
      </c>
      <c r="D337" s="13">
        <f>(B337-B325)/B325</f>
        <v/>
      </c>
    </row>
    <row r="338" customFormat="1" s="122">
      <c r="A338" s="11" t="n">
        <v>43678</v>
      </c>
      <c r="B338" s="15">
        <f>VLOOKUP(A338,Database!A:K,MATCH('Retail Sales'!$A$1,Database!$A$1:$K$1,),)</f>
        <v/>
      </c>
      <c r="C338" s="12">
        <f>(B338-B337)/B337</f>
        <v/>
      </c>
      <c r="D338" s="13">
        <f>(B338-B326)/B326</f>
        <v/>
      </c>
    </row>
    <row r="339" customFormat="1" s="122">
      <c r="A339" s="10" t="n">
        <v>43709</v>
      </c>
      <c r="B339" s="15">
        <f>VLOOKUP(A339,Database!A:K,MATCH('Retail Sales'!$A$1,Database!$A$1:$K$1,),)</f>
        <v/>
      </c>
      <c r="C339" s="12">
        <f>(B339-B338)/B338</f>
        <v/>
      </c>
      <c r="D339" s="13">
        <f>(B339-B327)/B327</f>
        <v/>
      </c>
    </row>
    <row r="340" customFormat="1" s="122">
      <c r="A340" s="11" t="n">
        <v>43739</v>
      </c>
      <c r="B340" s="15">
        <f>VLOOKUP(A340,Database!A:K,MATCH('Retail Sales'!$A$1,Database!$A$1:$K$1,),)</f>
        <v/>
      </c>
      <c r="C340" s="12">
        <f>(B340-B339)/B339</f>
        <v/>
      </c>
      <c r="D340" s="13">
        <f>(B340-B328)/B328</f>
        <v/>
      </c>
    </row>
    <row r="341" customFormat="1" s="122">
      <c r="A341" s="10" t="n">
        <v>43770</v>
      </c>
      <c r="B341" s="15">
        <f>VLOOKUP(A341,Database!A:K,MATCH('Retail Sales'!$A$1,Database!$A$1:$K$1,),)</f>
        <v/>
      </c>
      <c r="C341" s="12">
        <f>(B341-B340)/B340</f>
        <v/>
      </c>
      <c r="D341" s="13">
        <f>(B341-B329)/B329</f>
        <v/>
      </c>
    </row>
    <row r="342" customFormat="1" s="122">
      <c r="A342" s="11" t="n">
        <v>43800</v>
      </c>
      <c r="B342" s="15">
        <f>VLOOKUP(A342,Database!A:K,MATCH('Retail Sales'!$A$1,Database!$A$1:$K$1,),)</f>
        <v/>
      </c>
      <c r="C342" s="12">
        <f>(B342-B341)/B341</f>
        <v/>
      </c>
      <c r="D342" s="13">
        <f>(B342-B330)/B330</f>
        <v/>
      </c>
    </row>
    <row r="343" customFormat="1" s="122">
      <c r="A343" s="10" t="n">
        <v>43831</v>
      </c>
      <c r="B343" s="15">
        <f>VLOOKUP(A343,Database!A:K,MATCH('Retail Sales'!$A$1,Database!$A$1:$K$1,),)</f>
        <v/>
      </c>
      <c r="C343" s="12">
        <f>(B343-B342)/B342</f>
        <v/>
      </c>
      <c r="D343" s="13">
        <f>(B343-B331)/B331</f>
        <v/>
      </c>
    </row>
    <row r="344" customFormat="1" s="122">
      <c r="A344" s="11" t="n">
        <v>43862</v>
      </c>
      <c r="B344" s="15">
        <f>VLOOKUP(A344,Database!A:K,MATCH('Retail Sales'!$A$1,Database!$A$1:$K$1,),)</f>
        <v/>
      </c>
      <c r="C344" s="12">
        <f>(B344-B343)/B343</f>
        <v/>
      </c>
      <c r="D344" s="13">
        <f>(B344-B332)/B332</f>
        <v/>
      </c>
    </row>
    <row r="345" customFormat="1" s="122">
      <c r="A345" s="10" t="n">
        <v>43891</v>
      </c>
      <c r="B345" s="15">
        <f>VLOOKUP(A345,Database!A:K,MATCH('Retail Sales'!$A$1,Database!$A$1:$K$1,),)</f>
        <v/>
      </c>
      <c r="C345" s="12">
        <f>(B345-B344)/B344</f>
        <v/>
      </c>
      <c r="D345" s="13">
        <f>(B345-B333)/B333</f>
        <v/>
      </c>
    </row>
    <row r="346" customFormat="1" s="122">
      <c r="A346" s="11" t="n">
        <v>43922</v>
      </c>
      <c r="B346" s="15">
        <f>VLOOKUP(A346,Database!A:K,MATCH('Retail Sales'!$A$1,Database!$A$1:$K$1,),)</f>
        <v/>
      </c>
      <c r="C346" s="12">
        <f>(B346-B345)/B345</f>
        <v/>
      </c>
      <c r="D346" s="13">
        <f>(B346-B334)/B334</f>
        <v/>
      </c>
    </row>
    <row r="347" customFormat="1" s="122">
      <c r="A347" s="10" t="n">
        <v>43952</v>
      </c>
      <c r="B347" s="15">
        <f>VLOOKUP(A347,Database!A:K,MATCH('Retail Sales'!$A$1,Database!$A$1:$K$1,),)</f>
        <v/>
      </c>
      <c r="C347" s="12">
        <f>(B347-B346)/B346</f>
        <v/>
      </c>
      <c r="D347" s="13">
        <f>(B347-B335)/B335</f>
        <v/>
      </c>
    </row>
    <row r="348" customFormat="1" s="122">
      <c r="A348" s="11" t="n">
        <v>43983</v>
      </c>
      <c r="B348" s="15">
        <f>VLOOKUP(A348,Database!A:K,MATCH('Retail Sales'!$A$1,Database!$A$1:$K$1,),)</f>
        <v/>
      </c>
      <c r="C348" s="12">
        <f>(B348-B347)/B347</f>
        <v/>
      </c>
      <c r="D348" s="13">
        <f>(B348-B336)/B336</f>
        <v/>
      </c>
    </row>
    <row r="349" customFormat="1" s="122">
      <c r="A349" s="10" t="n">
        <v>44013</v>
      </c>
      <c r="B349" s="15">
        <f>VLOOKUP(A349,Database!A:K,MATCH('Retail Sales'!$A$1,Database!$A$1:$K$1,),)</f>
        <v/>
      </c>
      <c r="C349" s="12">
        <f>(B349-B348)/B348</f>
        <v/>
      </c>
      <c r="D349" s="13">
        <f>(B349-B337)/B337</f>
        <v/>
      </c>
    </row>
    <row r="350" customFormat="1" s="122">
      <c r="A350" s="11" t="n">
        <v>44044</v>
      </c>
      <c r="B350" s="15">
        <f>VLOOKUP(A350,Database!A:K,MATCH('Retail Sales'!$A$1,Database!$A$1:$K$1,),)</f>
        <v/>
      </c>
      <c r="C350" s="12">
        <f>(B350-B349)/B349</f>
        <v/>
      </c>
      <c r="D350" s="13">
        <f>(B350-B338)/B338</f>
        <v/>
      </c>
    </row>
    <row r="351" customFormat="1" s="122">
      <c r="A351" s="10" t="n">
        <v>44075</v>
      </c>
      <c r="B351" s="15">
        <f>VLOOKUP(A351,Database!A:K,MATCH('Retail Sales'!$A$1,Database!$A$1:$K$1,),)</f>
        <v/>
      </c>
      <c r="C351" s="12">
        <f>(B351-B350)/B350</f>
        <v/>
      </c>
      <c r="D351" s="13">
        <f>(B351-B339)/B339</f>
        <v/>
      </c>
    </row>
    <row r="352" customFormat="1" s="122">
      <c r="A352" s="11" t="n">
        <v>44105</v>
      </c>
      <c r="B352" s="15">
        <f>VLOOKUP(A352,Database!A:K,MATCH('Retail Sales'!$A$1,Database!$A$1:$K$1,),)</f>
        <v/>
      </c>
      <c r="C352" s="12">
        <f>(B352-B351)/B351</f>
        <v/>
      </c>
      <c r="D352" s="13">
        <f>(B352-B340)/B340</f>
        <v/>
      </c>
    </row>
    <row r="353" customFormat="1" s="122">
      <c r="A353" s="10" t="n">
        <v>44136</v>
      </c>
      <c r="B353" s="15">
        <f>VLOOKUP(A353,Database!A:K,MATCH('Retail Sales'!$A$1,Database!$A$1:$K$1,),)</f>
        <v/>
      </c>
      <c r="C353" s="12">
        <f>(B353-B352)/B352</f>
        <v/>
      </c>
      <c r="D353" s="13">
        <f>(B353-B341)/B341</f>
        <v/>
      </c>
    </row>
    <row r="354" customFormat="1" s="122">
      <c r="A354" s="11" t="n">
        <v>44166</v>
      </c>
      <c r="B354" s="15">
        <f>VLOOKUP(A354,Database!A:K,MATCH('Retail Sales'!$A$1,Database!$A$1:$K$1,),)</f>
        <v/>
      </c>
      <c r="C354" s="12">
        <f>(B354-B353)/B353</f>
        <v/>
      </c>
      <c r="D354" s="13">
        <f>(B354-B342)/B342</f>
        <v/>
      </c>
    </row>
    <row r="355" customFormat="1" s="122">
      <c r="A355" s="10" t="n">
        <v>44197</v>
      </c>
      <c r="B355" s="15">
        <f>VLOOKUP(A355,Database!A:K,MATCH('Retail Sales'!$A$1,Database!$A$1:$K$1,),)</f>
        <v/>
      </c>
      <c r="C355" s="12">
        <f>(B355-B354)/B354</f>
        <v/>
      </c>
      <c r="D355" s="13">
        <f>(B355-B343)/B343</f>
        <v/>
      </c>
    </row>
    <row r="356" customFormat="1" s="122">
      <c r="A356" s="11" t="n">
        <v>44228</v>
      </c>
      <c r="B356" s="15">
        <f>VLOOKUP(A356,Database!A:K,MATCH('Retail Sales'!$A$1,Database!$A$1:$K$1,),)</f>
        <v/>
      </c>
      <c r="C356" s="12">
        <f>(B356-B355)/B355</f>
        <v/>
      </c>
      <c r="D356" s="13">
        <f>(B356-B344)/B344</f>
        <v/>
      </c>
    </row>
    <row r="357" customFormat="1" s="122">
      <c r="A357" s="10" t="n">
        <v>44256</v>
      </c>
      <c r="B357" s="15">
        <f>VLOOKUP(A357,Database!A:K,MATCH('Retail Sales'!$A$1,Database!$A$1:$K$1,),)</f>
        <v/>
      </c>
      <c r="C357" s="12">
        <f>(B357-B356)/B356</f>
        <v/>
      </c>
      <c r="D357" s="13">
        <f>(B357-B345)/B345</f>
        <v/>
      </c>
    </row>
    <row r="358" customFormat="1" s="122">
      <c r="A358" s="11" t="n">
        <v>44287</v>
      </c>
      <c r="B358" s="15">
        <f>VLOOKUP(A358,Database!A:K,MATCH('Retail Sales'!$A$1,Database!$A$1:$K$1,),)</f>
        <v/>
      </c>
      <c r="C358" s="12">
        <f>(B358-B357)/B357</f>
        <v/>
      </c>
      <c r="D358" s="13">
        <f>(B358-B346)/B346</f>
        <v/>
      </c>
    </row>
    <row r="359" customFormat="1" s="122">
      <c r="A359" s="10" t="n">
        <v>44317</v>
      </c>
      <c r="B359" s="15">
        <f>VLOOKUP(A359,Database!A:K,MATCH('Retail Sales'!$A$1,Database!$A$1:$K$1,),)</f>
        <v/>
      </c>
      <c r="C359" s="12">
        <f>(B359-B358)/B358</f>
        <v/>
      </c>
      <c r="D359" s="13">
        <f>(B359-B347)/B347</f>
        <v/>
      </c>
    </row>
    <row r="360" customFormat="1" s="122">
      <c r="A360" s="11" t="n">
        <v>44348</v>
      </c>
      <c r="B360" s="15">
        <f>VLOOKUP(A360,Database!A:K,MATCH('Retail Sales'!$A$1,Database!$A$1:$K$1,),)</f>
        <v/>
      </c>
      <c r="C360" s="12">
        <f>(B360-B359)/B359</f>
        <v/>
      </c>
      <c r="D360" s="13">
        <f>(B360-B348)/B348</f>
        <v/>
      </c>
    </row>
    <row r="361" customFormat="1" s="122">
      <c r="A361" s="10" t="n">
        <v>44378</v>
      </c>
      <c r="B361" s="15">
        <f>VLOOKUP(A361,Database!A:K,MATCH('Retail Sales'!$A$1,Database!$A$1:$K$1,),)</f>
        <v/>
      </c>
      <c r="C361" s="12">
        <f>(B361-B360)/B360</f>
        <v/>
      </c>
      <c r="D361" s="13">
        <f>(B361-B349)/B349</f>
        <v/>
      </c>
    </row>
    <row r="362" customFormat="1" s="122">
      <c r="A362" s="11" t="n">
        <v>44409</v>
      </c>
      <c r="B362" s="15">
        <f>VLOOKUP(A362,Database!A:K,MATCH('Retail Sales'!$A$1,Database!$A$1:$K$1,),)</f>
        <v/>
      </c>
      <c r="C362" s="12">
        <f>(B362-B361)/B361</f>
        <v/>
      </c>
      <c r="D362" s="13">
        <f>(B362-B350)/B350</f>
        <v/>
      </c>
    </row>
    <row r="363" customFormat="1" s="122">
      <c r="A363" s="11" t="n">
        <v>44440</v>
      </c>
      <c r="B363" s="15">
        <f>VLOOKUP(A363,Database!A:K,MATCH('Retail Sales'!$A$1,Database!$A$1:$K$1,),)</f>
        <v/>
      </c>
      <c r="C363" s="12">
        <f>(B363-B362)/B362</f>
        <v/>
      </c>
      <c r="D363" s="13">
        <f>(B363-B351)/B351</f>
        <v/>
      </c>
    </row>
    <row r="364" customFormat="1" s="122">
      <c r="A364" s="10" t="n">
        <v>44470</v>
      </c>
      <c r="B364" s="15">
        <f>VLOOKUP(A364,Database!A:K,MATCH('Retail Sales'!$A$1,Database!$A$1:$K$1,),)</f>
        <v/>
      </c>
      <c r="C364" s="12">
        <f>(B364-B363)/B363</f>
        <v/>
      </c>
      <c r="D364" s="13">
        <f>(B364-B352)/B352</f>
        <v/>
      </c>
    </row>
    <row r="365" customFormat="1" s="122">
      <c r="A365" s="11" t="n">
        <v>44501</v>
      </c>
      <c r="B365" s="15">
        <f>VLOOKUP(A365,Database!A:K,MATCH('Retail Sales'!$A$1,Database!$A$1:$K$1,),)</f>
        <v/>
      </c>
      <c r="C365" s="12">
        <f>(B365-B364)/B364</f>
        <v/>
      </c>
      <c r="D365" s="13">
        <f>(B365-B353)/B353</f>
        <v/>
      </c>
    </row>
    <row r="366" customFormat="1" s="122">
      <c r="A366" s="11" t="n">
        <v>44531</v>
      </c>
      <c r="B366" s="15">
        <f>VLOOKUP(A366,Database!A:K,MATCH('Retail Sales'!$A$1,Database!$A$1:$K$1,),)</f>
        <v/>
      </c>
      <c r="C366" s="12">
        <f>(B366-B365)/B365</f>
        <v/>
      </c>
      <c r="D366" s="13">
        <f>(B366-B354)/B354</f>
        <v/>
      </c>
    </row>
    <row r="367" customFormat="1" s="122">
      <c r="A367" s="11" t="n">
        <v>44562</v>
      </c>
      <c r="B367" s="15">
        <f>VLOOKUP(A367,Database!A:K,MATCH('Retail Sales'!$A$1,Database!$A$1:$K$1,),)</f>
        <v/>
      </c>
      <c r="C367" s="12">
        <f>(B367-B366)/B366</f>
        <v/>
      </c>
      <c r="D367" s="13">
        <f>(B367-B355)/B355</f>
        <v/>
      </c>
    </row>
    <row r="368" customFormat="1" s="122">
      <c r="A368" s="10" t="n">
        <v>44593</v>
      </c>
      <c r="B368" s="15">
        <f>VLOOKUP(A368,Database!A:K,MATCH('Retail Sales'!$A$1,Database!$A$1:$K$1,),)</f>
        <v/>
      </c>
      <c r="C368" s="12">
        <f>(B368-B367)/B367</f>
        <v/>
      </c>
      <c r="D368" s="13">
        <f>(B368-B356)/B356</f>
        <v/>
      </c>
    </row>
    <row r="369" customFormat="1" s="122">
      <c r="A369" s="54" t="n"/>
      <c r="B369" s="14" t="n"/>
      <c r="C369" s="54" t="n"/>
      <c r="D369" s="54" t="n"/>
    </row>
    <row r="370" customFormat="1" s="122">
      <c r="A370" s="54" t="n"/>
      <c r="B370" s="14" t="n"/>
      <c r="C370" s="54" t="n"/>
      <c r="D370" s="54" t="n"/>
    </row>
    <row r="371" customFormat="1" s="122">
      <c r="A371" s="54" t="n"/>
      <c r="B371" s="14" t="n"/>
      <c r="C371" s="54" t="n"/>
      <c r="D371" s="54" t="n"/>
    </row>
    <row r="372" customFormat="1" s="122">
      <c r="A372" s="54" t="n"/>
      <c r="B372" s="14" t="n"/>
      <c r="C372" s="54" t="n"/>
      <c r="D372" s="54" t="n"/>
    </row>
    <row r="373" customFormat="1" s="122">
      <c r="A373" s="54" t="n"/>
      <c r="B373" s="14" t="n"/>
      <c r="C373" s="54" t="n"/>
      <c r="D373" s="54" t="n"/>
    </row>
    <row r="374" customFormat="1" s="122">
      <c r="A374" s="54" t="n"/>
      <c r="B374" s="14" t="n"/>
      <c r="C374" s="54" t="n"/>
      <c r="D374" s="54" t="n"/>
    </row>
    <row r="375" customFormat="1" s="122">
      <c r="A375" s="54" t="n"/>
      <c r="B375" s="14" t="n"/>
      <c r="C375" s="54" t="n"/>
      <c r="D375" s="54" t="n"/>
    </row>
    <row r="376" customFormat="1" s="122">
      <c r="A376" s="54" t="n"/>
      <c r="B376" s="14" t="n"/>
      <c r="C376" s="54" t="n"/>
      <c r="D376" s="54" t="n"/>
    </row>
    <row r="377" customFormat="1" s="122">
      <c r="A377" s="54" t="n"/>
      <c r="B377" s="14" t="n"/>
      <c r="C377" s="54" t="n"/>
      <c r="D377" s="54" t="n"/>
    </row>
    <row r="378" customFormat="1" s="122">
      <c r="A378" s="54" t="n"/>
      <c r="B378" s="14" t="n"/>
      <c r="C378" s="54" t="n"/>
      <c r="D378" s="54" t="n"/>
    </row>
    <row r="379" customFormat="1" s="122">
      <c r="A379" s="54" t="n"/>
      <c r="B379" s="14" t="n"/>
      <c r="C379" s="54" t="n"/>
      <c r="D379" s="54" t="n"/>
    </row>
    <row r="380" customFormat="1" s="122">
      <c r="A380" s="54" t="n"/>
      <c r="B380" s="14" t="n"/>
      <c r="C380" s="54" t="n"/>
      <c r="D380" s="54" t="n"/>
    </row>
    <row r="381" customFormat="1" s="122">
      <c r="A381" s="54" t="n"/>
      <c r="B381" s="14" t="n"/>
      <c r="C381" s="54" t="n"/>
      <c r="D381" s="54" t="n"/>
    </row>
    <row r="382" customFormat="1" s="122">
      <c r="A382" s="54" t="n"/>
      <c r="B382" s="14" t="n"/>
      <c r="C382" s="54" t="n"/>
      <c r="D382" s="54" t="n"/>
    </row>
    <row r="383" customFormat="1" s="122">
      <c r="A383" s="54" t="n"/>
      <c r="B383" s="14" t="n"/>
      <c r="C383" s="54" t="n"/>
      <c r="D383" s="54" t="n"/>
    </row>
    <row r="384" customFormat="1" s="122">
      <c r="A384" s="54" t="n"/>
      <c r="B384" s="14" t="n"/>
      <c r="C384" s="54" t="n"/>
      <c r="D384" s="54" t="n"/>
    </row>
    <row r="385" customFormat="1" s="122">
      <c r="A385" s="54" t="n"/>
      <c r="B385" s="14" t="n"/>
      <c r="C385" s="54" t="n"/>
      <c r="D385" s="54" t="n"/>
    </row>
    <row r="386" customFormat="1" s="122">
      <c r="A386" s="54" t="n"/>
      <c r="B386" s="14" t="n"/>
      <c r="C386" s="54" t="n"/>
      <c r="D386" s="54" t="n"/>
    </row>
    <row r="387" customFormat="1" s="122">
      <c r="A387" s="54" t="n"/>
      <c r="B387" s="14" t="n"/>
      <c r="C387" s="54" t="n"/>
      <c r="D387" s="54" t="n"/>
    </row>
    <row r="388" customFormat="1" s="122">
      <c r="A388" s="54" t="n"/>
      <c r="B388" s="14" t="n"/>
      <c r="C388" s="54" t="n"/>
      <c r="D388" s="54" t="n"/>
    </row>
    <row r="389" customFormat="1" s="122">
      <c r="A389" s="54" t="n"/>
      <c r="B389" s="14" t="n"/>
      <c r="C389" s="54" t="n"/>
      <c r="D389" s="54" t="n"/>
    </row>
    <row r="390" customFormat="1" s="122">
      <c r="A390" s="54" t="n"/>
      <c r="B390" s="14" t="n"/>
      <c r="C390" s="54" t="n"/>
      <c r="D390" s="54" t="n"/>
    </row>
    <row r="391" customFormat="1" s="122">
      <c r="A391" s="54" t="n"/>
      <c r="B391" s="14" t="n"/>
      <c r="C391" s="54" t="n"/>
      <c r="D391" s="54" t="n"/>
    </row>
    <row r="392" customFormat="1" s="122">
      <c r="A392" s="54" t="n"/>
      <c r="B392" s="14" t="n"/>
      <c r="C392" s="54" t="n"/>
      <c r="D392" s="54" t="n"/>
    </row>
    <row r="393" customFormat="1" s="122">
      <c r="A393" s="54" t="n"/>
      <c r="B393" s="14" t="n"/>
      <c r="C393" s="54" t="n"/>
      <c r="D393" s="54" t="n"/>
    </row>
    <row r="394" customFormat="1" s="122">
      <c r="A394" s="54" t="n"/>
      <c r="B394" s="14" t="n"/>
      <c r="C394" s="54" t="n"/>
      <c r="D394" s="54" t="n"/>
    </row>
    <row r="395" customFormat="1" s="122">
      <c r="A395" s="54" t="n"/>
      <c r="B395" s="14" t="n"/>
      <c r="C395" s="54" t="n"/>
      <c r="D395" s="54" t="n"/>
    </row>
    <row r="396" customFormat="1" s="122">
      <c r="A396" s="54" t="n"/>
      <c r="B396" s="14" t="n"/>
      <c r="C396" s="54" t="n"/>
      <c r="D396" s="54" t="n"/>
    </row>
    <row r="397" customFormat="1" s="122">
      <c r="A397" s="54" t="n"/>
      <c r="B397" s="14" t="n"/>
      <c r="C397" s="54" t="n"/>
      <c r="D397" s="54" t="n"/>
    </row>
    <row r="398" customFormat="1" s="122">
      <c r="A398" s="54" t="n"/>
      <c r="B398" s="14" t="n"/>
      <c r="C398" s="54" t="n"/>
      <c r="D398" s="54" t="n"/>
    </row>
    <row r="399" customFormat="1" s="122">
      <c r="A399" s="54" t="n"/>
      <c r="B399" s="14" t="n"/>
      <c r="C399" s="54" t="n"/>
      <c r="D399" s="54" t="n"/>
    </row>
    <row r="400" customFormat="1" s="122">
      <c r="A400" s="54" t="n"/>
      <c r="B400" s="14" t="n"/>
      <c r="C400" s="54" t="n"/>
      <c r="D400" s="54" t="n"/>
    </row>
    <row r="401" customFormat="1" s="122">
      <c r="A401" s="54" t="n"/>
      <c r="B401" s="14" t="n"/>
      <c r="C401" s="54" t="n"/>
      <c r="D401" s="54" t="n"/>
    </row>
    <row r="402" customFormat="1" s="122">
      <c r="A402" s="54" t="n"/>
      <c r="B402" s="14" t="n"/>
      <c r="C402" s="54" t="n"/>
      <c r="D402" s="54" t="n"/>
    </row>
    <row r="403" customFormat="1" s="122">
      <c r="A403" s="54" t="n"/>
      <c r="B403" s="14" t="n"/>
      <c r="C403" s="54" t="n"/>
      <c r="D403" s="54" t="n"/>
    </row>
    <row r="404" customFormat="1" s="122">
      <c r="A404" s="54" t="n"/>
      <c r="B404" s="14" t="n"/>
      <c r="C404" s="54" t="n"/>
      <c r="D404" s="54" t="n"/>
    </row>
    <row r="405" customFormat="1" s="122">
      <c r="A405" s="54" t="n"/>
      <c r="B405" s="14" t="n"/>
      <c r="C405" s="54" t="n"/>
      <c r="D405" s="54" t="n"/>
    </row>
    <row r="406" customFormat="1" s="122">
      <c r="A406" s="54" t="n"/>
      <c r="B406" s="14" t="n"/>
      <c r="C406" s="54" t="n"/>
      <c r="D406" s="54" t="n"/>
    </row>
    <row r="407" customFormat="1" s="122">
      <c r="A407" s="54" t="n"/>
      <c r="B407" s="14" t="n"/>
      <c r="C407" s="54" t="n"/>
      <c r="D407" s="54" t="n"/>
    </row>
    <row r="408" customFormat="1" s="122">
      <c r="A408" s="54" t="n"/>
      <c r="B408" s="14" t="n"/>
      <c r="C408" s="54" t="n"/>
      <c r="D408" s="54" t="n"/>
    </row>
    <row r="409" customFormat="1" s="122">
      <c r="A409" s="54" t="n"/>
      <c r="B409" s="14" t="n"/>
      <c r="C409" s="54" t="n"/>
      <c r="D409" s="54" t="n"/>
    </row>
    <row r="410" customFormat="1" s="122">
      <c r="A410" s="54" t="n"/>
      <c r="B410" s="14" t="n"/>
      <c r="C410" s="54" t="n"/>
      <c r="D410" s="54" t="n"/>
    </row>
    <row r="411" customFormat="1" s="122">
      <c r="A411" s="54" t="n"/>
      <c r="B411" s="14" t="n"/>
      <c r="C411" s="54" t="n"/>
      <c r="D411" s="54" t="n"/>
    </row>
    <row r="412" customFormat="1" s="122">
      <c r="A412" s="54" t="n"/>
      <c r="B412" s="14" t="n"/>
      <c r="C412" s="54" t="n"/>
      <c r="D412" s="54" t="n"/>
    </row>
    <row r="413" customFormat="1" s="122">
      <c r="A413" s="54" t="n"/>
      <c r="B413" s="14" t="n"/>
      <c r="C413" s="54" t="n"/>
      <c r="D413" s="54" t="n"/>
    </row>
    <row r="414" customFormat="1" s="122">
      <c r="A414" s="54" t="n"/>
      <c r="B414" s="14" t="n"/>
      <c r="C414" s="54" t="n"/>
      <c r="D414" s="54" t="n"/>
    </row>
    <row r="415" customFormat="1" s="122">
      <c r="A415" s="54" t="n"/>
      <c r="B415" s="14" t="n"/>
      <c r="C415" s="54" t="n"/>
      <c r="D415" s="54" t="n"/>
    </row>
    <row r="416" customFormat="1" s="122">
      <c r="A416" s="54" t="n"/>
      <c r="B416" s="14" t="n"/>
      <c r="C416" s="54" t="n"/>
      <c r="D416" s="54" t="n"/>
    </row>
    <row r="417" customFormat="1" s="122">
      <c r="A417" s="54" t="n"/>
      <c r="B417" s="14" t="n"/>
      <c r="C417" s="54" t="n"/>
      <c r="D417" s="54" t="n"/>
    </row>
    <row r="418" customFormat="1" s="122">
      <c r="A418" s="54" t="n"/>
      <c r="B418" s="14" t="n"/>
      <c r="C418" s="54" t="n"/>
      <c r="D418" s="54" t="n"/>
    </row>
    <row r="419" customFormat="1" s="122">
      <c r="A419" s="54" t="n"/>
      <c r="B419" s="14" t="n"/>
      <c r="C419" s="54" t="n"/>
      <c r="D419" s="54" t="n"/>
    </row>
    <row r="420" customFormat="1" s="122">
      <c r="A420" s="54" t="n"/>
      <c r="B420" s="14" t="n"/>
      <c r="C420" s="54" t="n"/>
      <c r="D420" s="54" t="n"/>
    </row>
    <row r="421" customFormat="1" s="122">
      <c r="A421" s="54" t="n"/>
      <c r="B421" s="14" t="n"/>
      <c r="C421" s="54" t="n"/>
      <c r="D421" s="54" t="n"/>
    </row>
    <row r="422" customFormat="1" s="122">
      <c r="A422" s="54" t="n"/>
      <c r="B422" s="14" t="n"/>
      <c r="C422" s="54" t="n"/>
      <c r="D422" s="54" t="n"/>
    </row>
    <row r="423" customFormat="1" s="122">
      <c r="A423" s="54" t="n"/>
      <c r="B423" s="14" t="n"/>
      <c r="C423" s="54" t="n"/>
      <c r="D423" s="54" t="n"/>
    </row>
    <row r="424" customFormat="1" s="122">
      <c r="A424" s="54" t="n"/>
      <c r="B424" s="14" t="n"/>
      <c r="C424" s="54" t="n"/>
      <c r="D424" s="54" t="n"/>
    </row>
    <row r="425" customFormat="1" s="122">
      <c r="A425" s="54" t="n"/>
      <c r="B425" s="14" t="n"/>
      <c r="C425" s="54" t="n"/>
      <c r="D425" s="54" t="n"/>
    </row>
    <row r="426" customFormat="1" s="122">
      <c r="A426" s="54" t="n"/>
      <c r="B426" s="14" t="n"/>
      <c r="C426" s="54" t="n"/>
      <c r="D426" s="54" t="n"/>
    </row>
    <row r="427" customFormat="1" s="122">
      <c r="A427" s="54" t="n"/>
      <c r="B427" s="14" t="n"/>
      <c r="C427" s="54" t="n"/>
      <c r="D427" s="54" t="n"/>
    </row>
    <row r="428" customFormat="1" s="122">
      <c r="A428" s="54" t="n"/>
      <c r="B428" s="14" t="n"/>
      <c r="C428" s="54" t="n"/>
      <c r="D428" s="54" t="n"/>
    </row>
    <row r="429" customFormat="1" s="122">
      <c r="A429" s="54" t="n"/>
      <c r="B429" s="14" t="n"/>
      <c r="C429" s="54" t="n"/>
      <c r="D429" s="54" t="n"/>
    </row>
    <row r="430" customFormat="1" s="122">
      <c r="A430" s="54" t="n"/>
      <c r="B430" s="14" t="n"/>
      <c r="C430" s="54" t="n"/>
      <c r="D430" s="54" t="n"/>
    </row>
    <row r="431" customFormat="1" s="122">
      <c r="A431" s="54" t="n"/>
      <c r="B431" s="14" t="n"/>
      <c r="C431" s="54" t="n"/>
      <c r="D431" s="54" t="n"/>
    </row>
    <row r="432" customFormat="1" s="122">
      <c r="A432" s="54" t="n"/>
      <c r="B432" s="14" t="n"/>
      <c r="C432" s="54" t="n"/>
      <c r="D432" s="54" t="n"/>
    </row>
    <row r="433" customFormat="1" s="122">
      <c r="A433" s="54" t="n"/>
      <c r="B433" s="14" t="n"/>
      <c r="C433" s="54" t="n"/>
      <c r="D433" s="54" t="n"/>
    </row>
    <row r="434" customFormat="1" s="122">
      <c r="A434" s="54" t="n"/>
      <c r="B434" s="14" t="n"/>
      <c r="C434" s="54" t="n"/>
      <c r="D434" s="54" t="n"/>
    </row>
    <row r="435" customFormat="1" s="122">
      <c r="A435" s="54" t="n"/>
      <c r="B435" s="14" t="n"/>
      <c r="C435" s="54" t="n"/>
      <c r="D435" s="54" t="n"/>
    </row>
    <row r="436" customFormat="1" s="122">
      <c r="A436" s="54" t="n"/>
      <c r="B436" s="14" t="n"/>
      <c r="C436" s="54" t="n"/>
      <c r="D436" s="54" t="n"/>
    </row>
    <row r="437" customFormat="1" s="122">
      <c r="A437" s="54" t="n"/>
      <c r="B437" s="14" t="n"/>
      <c r="C437" s="54" t="n"/>
      <c r="D437" s="54" t="n"/>
    </row>
    <row r="438" customFormat="1" s="122">
      <c r="A438" s="54" t="n"/>
      <c r="B438" s="14" t="n"/>
      <c r="C438" s="54" t="n"/>
      <c r="D438" s="54" t="n"/>
    </row>
    <row r="439" customFormat="1" s="122">
      <c r="A439" s="54" t="n"/>
      <c r="B439" s="14" t="n"/>
      <c r="C439" s="54" t="n"/>
      <c r="D439" s="54" t="n"/>
    </row>
    <row r="440" customFormat="1" s="122">
      <c r="A440" s="54" t="n"/>
      <c r="B440" s="14" t="n"/>
      <c r="C440" s="54" t="n"/>
      <c r="D440" s="54" t="n"/>
    </row>
    <row r="441" customFormat="1" s="122">
      <c r="A441" s="54" t="n"/>
      <c r="B441" s="14" t="n"/>
      <c r="C441" s="54" t="n"/>
      <c r="D441" s="54" t="n"/>
    </row>
    <row r="442" customFormat="1" s="122">
      <c r="A442" s="54" t="n"/>
      <c r="B442" s="14" t="n"/>
      <c r="C442" s="54" t="n"/>
      <c r="D442" s="54" t="n"/>
    </row>
    <row r="443" customFormat="1" s="122">
      <c r="A443" s="54" t="n"/>
      <c r="B443" s="14" t="n"/>
      <c r="C443" s="54" t="n"/>
      <c r="D443" s="54" t="n"/>
    </row>
    <row r="444" customFormat="1" s="122">
      <c r="A444" s="54" t="n"/>
      <c r="B444" s="14" t="n"/>
      <c r="C444" s="54" t="n"/>
      <c r="D444" s="54" t="n"/>
    </row>
    <row r="445" customFormat="1" s="122">
      <c r="A445" s="54" t="n"/>
      <c r="B445" s="14" t="n"/>
      <c r="C445" s="54" t="n"/>
      <c r="D445" s="54" t="n"/>
    </row>
    <row r="446" customFormat="1" s="122">
      <c r="A446" s="54" t="n"/>
      <c r="B446" s="14" t="n"/>
      <c r="C446" s="54" t="n"/>
      <c r="D446" s="54" t="n"/>
    </row>
    <row r="447" customFormat="1" s="122">
      <c r="A447" s="54" t="n"/>
      <c r="B447" s="14" t="n"/>
      <c r="C447" s="54" t="n"/>
      <c r="D447" s="54" t="n"/>
    </row>
    <row r="448" customFormat="1" s="122">
      <c r="A448" s="54" t="n"/>
      <c r="B448" s="14" t="n"/>
      <c r="C448" s="54" t="n"/>
      <c r="D448" s="54" t="n"/>
    </row>
    <row r="449" customFormat="1" s="122">
      <c r="A449" s="54" t="n"/>
      <c r="B449" s="14" t="n"/>
      <c r="C449" s="54" t="n"/>
      <c r="D449" s="54" t="n"/>
    </row>
    <row r="450" customFormat="1" s="122">
      <c r="A450" s="54" t="n"/>
      <c r="B450" s="14" t="n"/>
      <c r="C450" s="54" t="n"/>
      <c r="D450" s="54" t="n"/>
    </row>
    <row r="451" customFormat="1" s="122">
      <c r="A451" s="54" t="n"/>
      <c r="B451" s="14" t="n"/>
      <c r="C451" s="54" t="n"/>
      <c r="D451" s="54" t="n"/>
    </row>
    <row r="452" customFormat="1" s="122">
      <c r="A452" s="54" t="n"/>
      <c r="B452" s="14" t="n"/>
      <c r="C452" s="54" t="n"/>
      <c r="D452" s="54" t="n"/>
    </row>
    <row r="453" customFormat="1" s="122">
      <c r="A453" s="54" t="n"/>
      <c r="B453" s="14" t="n"/>
      <c r="C453" s="54" t="n"/>
      <c r="D453" s="54" t="n"/>
    </row>
    <row r="454" customFormat="1" s="122">
      <c r="A454" s="54" t="n"/>
      <c r="B454" s="14" t="n"/>
      <c r="C454" s="54" t="n"/>
      <c r="D454" s="54" t="n"/>
    </row>
    <row r="455" customFormat="1" s="122">
      <c r="A455" s="54" t="n"/>
      <c r="B455" s="14" t="n"/>
      <c r="C455" s="54" t="n"/>
      <c r="D455" s="54" t="n"/>
    </row>
    <row r="456" customFormat="1" s="122">
      <c r="A456" s="54" t="n"/>
      <c r="B456" s="14" t="n"/>
      <c r="C456" s="54" t="n"/>
      <c r="D456" s="54" t="n"/>
    </row>
    <row r="457" customFormat="1" s="122">
      <c r="A457" s="54" t="n"/>
      <c r="B457" s="14" t="n"/>
      <c r="C457" s="54" t="n"/>
      <c r="D457" s="54" t="n"/>
    </row>
    <row r="458" customFormat="1" s="122">
      <c r="A458" s="54" t="n"/>
      <c r="B458" s="14" t="n"/>
      <c r="C458" s="54" t="n"/>
      <c r="D458" s="54" t="n"/>
    </row>
    <row r="459" customFormat="1" s="122">
      <c r="A459" s="54" t="n"/>
      <c r="B459" s="14" t="n"/>
      <c r="C459" s="54" t="n"/>
      <c r="D459" s="54" t="n"/>
    </row>
    <row r="460" customFormat="1" s="122">
      <c r="A460" s="54" t="n"/>
      <c r="B460" s="14" t="n"/>
      <c r="C460" s="54" t="n"/>
      <c r="D460" s="54" t="n"/>
    </row>
    <row r="461" customFormat="1" s="122">
      <c r="A461" s="54" t="n"/>
      <c r="B461" s="14" t="n"/>
      <c r="C461" s="54" t="n"/>
      <c r="D461" s="54" t="n"/>
    </row>
    <row r="462" customFormat="1" s="122">
      <c r="A462" s="54" t="n"/>
      <c r="B462" s="14" t="n"/>
      <c r="C462" s="54" t="n"/>
      <c r="D462" s="54" t="n"/>
    </row>
    <row r="463" customFormat="1" s="122">
      <c r="A463" s="54" t="n"/>
      <c r="B463" s="14" t="n"/>
      <c r="C463" s="54" t="n"/>
      <c r="D463" s="54" t="n"/>
    </row>
    <row r="464" customFormat="1" s="122">
      <c r="A464" s="54" t="n"/>
      <c r="B464" s="14" t="n"/>
      <c r="C464" s="54" t="n"/>
      <c r="D464" s="54" t="n"/>
    </row>
    <row r="465" customFormat="1" s="122">
      <c r="A465" s="54" t="n"/>
      <c r="B465" s="14" t="n"/>
      <c r="C465" s="54" t="n"/>
      <c r="D465" s="54" t="n"/>
    </row>
    <row r="466" customFormat="1" s="122">
      <c r="A466" s="54" t="n"/>
      <c r="B466" s="14" t="n"/>
      <c r="C466" s="54" t="n"/>
      <c r="D466" s="54" t="n"/>
    </row>
    <row r="467" customFormat="1" s="122">
      <c r="A467" s="54" t="n"/>
      <c r="B467" s="14" t="n"/>
      <c r="C467" s="54" t="n"/>
      <c r="D467" s="54" t="n"/>
    </row>
    <row r="468" customFormat="1" s="122">
      <c r="A468" s="54" t="n"/>
      <c r="B468" s="14" t="n"/>
      <c r="C468" s="54" t="n"/>
      <c r="D468" s="54" t="n"/>
    </row>
    <row r="469" customFormat="1" s="122">
      <c r="A469" s="54" t="n"/>
      <c r="B469" s="14" t="n"/>
      <c r="C469" s="54" t="n"/>
      <c r="D469" s="54" t="n"/>
    </row>
    <row r="470" customFormat="1" s="122">
      <c r="A470" s="54" t="n"/>
      <c r="B470" s="14" t="n"/>
      <c r="C470" s="54" t="n"/>
      <c r="D470" s="54" t="n"/>
    </row>
    <row r="471" customFormat="1" s="122">
      <c r="A471" s="54" t="n"/>
      <c r="B471" s="14" t="n"/>
      <c r="C471" s="54" t="n"/>
      <c r="D471" s="54" t="n"/>
    </row>
    <row r="472" customFormat="1" s="122">
      <c r="A472" s="54" t="n"/>
      <c r="B472" s="14" t="n"/>
      <c r="C472" s="54" t="n"/>
      <c r="D472" s="54" t="n"/>
    </row>
    <row r="473" customFormat="1" s="122">
      <c r="A473" s="54" t="n"/>
      <c r="B473" s="14" t="n"/>
      <c r="C473" s="54" t="n"/>
      <c r="D473" s="54" t="n"/>
    </row>
    <row r="474" customFormat="1" s="122">
      <c r="A474" s="54" t="n"/>
      <c r="B474" s="14" t="n"/>
      <c r="C474" s="54" t="n"/>
      <c r="D474" s="54" t="n"/>
    </row>
    <row r="475" customFormat="1" s="122">
      <c r="A475" s="54" t="n"/>
      <c r="B475" s="14" t="n"/>
      <c r="C475" s="54" t="n"/>
      <c r="D475" s="54" t="n"/>
    </row>
    <row r="476" customFormat="1" s="122">
      <c r="A476" s="54" t="n"/>
      <c r="B476" s="14" t="n"/>
      <c r="C476" s="54" t="n"/>
      <c r="D476" s="54" t="n"/>
    </row>
    <row r="477" customFormat="1" s="122">
      <c r="A477" s="54" t="n"/>
      <c r="B477" s="14" t="n"/>
      <c r="C477" s="54" t="n"/>
      <c r="D477" s="54" t="n"/>
    </row>
    <row r="478" customFormat="1" s="122">
      <c r="A478" s="54" t="n"/>
      <c r="B478" s="14" t="n"/>
      <c r="C478" s="54" t="n"/>
      <c r="D478" s="54" t="n"/>
    </row>
    <row r="479" customFormat="1" s="122">
      <c r="A479" s="54" t="n"/>
      <c r="B479" s="14" t="n"/>
      <c r="C479" s="54" t="n"/>
      <c r="D479" s="54" t="n"/>
    </row>
    <row r="480" customFormat="1" s="122">
      <c r="A480" s="54" t="n"/>
      <c r="B480" s="14" t="n"/>
      <c r="C480" s="54" t="n"/>
      <c r="D480" s="54" t="n"/>
    </row>
    <row r="481" customFormat="1" s="122">
      <c r="A481" s="54" t="n"/>
      <c r="B481" s="14" t="n"/>
      <c r="C481" s="54" t="n"/>
      <c r="D481" s="54" t="n"/>
    </row>
    <row r="482" customFormat="1" s="122">
      <c r="A482" s="54" t="n"/>
      <c r="B482" s="14" t="n"/>
      <c r="C482" s="54" t="n"/>
      <c r="D482" s="54" t="n"/>
    </row>
    <row r="483" customFormat="1" s="122">
      <c r="A483" s="54" t="n"/>
      <c r="B483" s="14" t="n"/>
      <c r="C483" s="54" t="n"/>
      <c r="D483" s="54" t="n"/>
    </row>
    <row r="484" customFormat="1" s="122">
      <c r="A484" s="54" t="n"/>
      <c r="B484" s="14" t="n"/>
      <c r="C484" s="54" t="n"/>
      <c r="D484" s="54" t="n"/>
    </row>
    <row r="485" customFormat="1" s="122">
      <c r="A485" s="54" t="n"/>
      <c r="B485" s="14" t="n"/>
      <c r="C485" s="54" t="n"/>
      <c r="D485" s="54" t="n"/>
    </row>
    <row r="486" customFormat="1" s="122">
      <c r="A486" s="54" t="n"/>
      <c r="B486" s="14" t="n"/>
      <c r="C486" s="54" t="n"/>
      <c r="D486" s="54" t="n"/>
    </row>
    <row r="487" customFormat="1" s="122">
      <c r="A487" s="54" t="n"/>
      <c r="B487" s="14" t="n"/>
      <c r="C487" s="54" t="n"/>
      <c r="D487" s="54" t="n"/>
    </row>
    <row r="488" customFormat="1" s="122">
      <c r="A488" s="54" t="n"/>
      <c r="B488" s="14" t="n"/>
      <c r="C488" s="54" t="n"/>
      <c r="D488" s="54" t="n"/>
    </row>
    <row r="489" customFormat="1" s="122">
      <c r="A489" s="54" t="n"/>
      <c r="B489" s="14" t="n"/>
      <c r="C489" s="54" t="n"/>
      <c r="D489" s="54" t="n"/>
    </row>
    <row r="490" customFormat="1" s="122">
      <c r="A490" s="54" t="n"/>
      <c r="B490" s="14" t="n"/>
      <c r="C490" s="54" t="n"/>
      <c r="D490" s="54" t="n"/>
    </row>
    <row r="491" customFormat="1" s="122">
      <c r="A491" s="54" t="n"/>
      <c r="B491" s="14" t="n"/>
      <c r="C491" s="54" t="n"/>
      <c r="D491" s="54" t="n"/>
    </row>
    <row r="492" customFormat="1" s="122">
      <c r="A492" s="54" t="n"/>
      <c r="B492" s="14" t="n"/>
      <c r="C492" s="54" t="n"/>
      <c r="D492" s="54" t="n"/>
    </row>
    <row r="493" customFormat="1" s="122">
      <c r="A493" s="54" t="n"/>
      <c r="B493" s="14" t="n"/>
      <c r="C493" s="54" t="n"/>
      <c r="D493" s="54" t="n"/>
    </row>
    <row r="494" customFormat="1" s="122">
      <c r="A494" s="54" t="n"/>
      <c r="B494" s="14" t="n"/>
      <c r="C494" s="54" t="n"/>
      <c r="D494" s="54" t="n"/>
    </row>
    <row r="495" customFormat="1" s="122">
      <c r="A495" s="54" t="n"/>
      <c r="B495" s="14" t="n"/>
      <c r="C495" s="54" t="n"/>
      <c r="D495" s="54" t="n"/>
    </row>
    <row r="496" customFormat="1" s="122">
      <c r="A496" s="54" t="n"/>
      <c r="B496" s="14" t="n"/>
      <c r="C496" s="54" t="n"/>
      <c r="D496" s="54" t="n"/>
    </row>
    <row r="497" customFormat="1" s="122">
      <c r="A497" s="54" t="n"/>
      <c r="B497" s="14" t="n"/>
      <c r="C497" s="54" t="n"/>
      <c r="D497" s="54" t="n"/>
    </row>
    <row r="498" customFormat="1" s="122">
      <c r="A498" s="54" t="n"/>
      <c r="B498" s="14" t="n"/>
      <c r="C498" s="54" t="n"/>
      <c r="D498" s="54" t="n"/>
    </row>
    <row r="499" customFormat="1" s="122">
      <c r="A499" s="54" t="n"/>
      <c r="B499" s="14" t="n"/>
      <c r="C499" s="54" t="n"/>
      <c r="D499" s="54" t="n"/>
    </row>
    <row r="500" customFormat="1" s="122">
      <c r="A500" s="54" t="n"/>
      <c r="B500" s="14" t="n"/>
      <c r="C500" s="54" t="n"/>
      <c r="D500" s="54" t="n"/>
    </row>
    <row r="501" customFormat="1" s="122">
      <c r="A501" s="54" t="n"/>
      <c r="B501" s="14" t="n"/>
      <c r="C501" s="54" t="n"/>
      <c r="D501" s="54" t="n"/>
    </row>
    <row r="502" customFormat="1" s="122">
      <c r="A502" s="54" t="n"/>
      <c r="B502" s="14" t="n"/>
      <c r="C502" s="54" t="n"/>
      <c r="D502" s="54" t="n"/>
    </row>
    <row r="503" customFormat="1" s="122">
      <c r="A503" s="54" t="n"/>
      <c r="B503" s="14" t="n"/>
      <c r="C503" s="54" t="n"/>
      <c r="D503" s="54" t="n"/>
    </row>
    <row r="504" customFormat="1" s="122">
      <c r="A504" s="54" t="n"/>
      <c r="B504" s="14" t="n"/>
      <c r="C504" s="54" t="n"/>
      <c r="D504" s="54" t="n"/>
    </row>
    <row r="505" customFormat="1" s="122">
      <c r="A505" s="54" t="n"/>
      <c r="B505" s="14" t="n"/>
      <c r="C505" s="54" t="n"/>
      <c r="D505" s="54" t="n"/>
    </row>
    <row r="506" customFormat="1" s="122">
      <c r="A506" s="54" t="n"/>
      <c r="B506" s="14" t="n"/>
      <c r="C506" s="54" t="n"/>
      <c r="D506" s="54" t="n"/>
    </row>
    <row r="507" customFormat="1" s="122">
      <c r="A507" s="54" t="n"/>
      <c r="B507" s="14" t="n"/>
      <c r="C507" s="54" t="n"/>
      <c r="D507" s="54" t="n"/>
    </row>
    <row r="508" customFormat="1" s="122">
      <c r="A508" s="54" t="n"/>
      <c r="B508" s="14" t="n"/>
      <c r="C508" s="54" t="n"/>
      <c r="D508" s="54" t="n"/>
    </row>
    <row r="509" customFormat="1" s="122">
      <c r="A509" s="54" t="n"/>
      <c r="B509" s="14" t="n"/>
      <c r="C509" s="54" t="n"/>
      <c r="D509" s="54" t="n"/>
    </row>
    <row r="510">
      <c r="A510" s="54" t="n"/>
      <c r="B510" s="14" t="n"/>
      <c r="C510" s="54" t="n"/>
      <c r="D510" s="54" t="n"/>
    </row>
    <row r="511">
      <c r="A511" s="54" t="n"/>
      <c r="B511" s="14" t="n"/>
      <c r="C511" s="54" t="n"/>
      <c r="D511" s="54" t="n"/>
    </row>
    <row r="512">
      <c r="A512" s="54" t="n"/>
      <c r="B512" s="14" t="n"/>
      <c r="C512" s="54" t="n"/>
      <c r="D512" s="54" t="n"/>
    </row>
    <row r="513">
      <c r="A513" s="54" t="n"/>
      <c r="B513" s="14" t="n"/>
      <c r="C513" s="54" t="n"/>
      <c r="D513" s="54" t="n"/>
    </row>
    <row r="514">
      <c r="A514" s="54" t="n"/>
      <c r="B514" s="14" t="n"/>
      <c r="C514" s="54" t="n"/>
      <c r="D514" s="54" t="n"/>
    </row>
    <row r="515">
      <c r="A515" s="54" t="n"/>
      <c r="B515" s="14" t="n"/>
      <c r="C515" s="54" t="n"/>
      <c r="D515" s="54" t="n"/>
    </row>
    <row r="516">
      <c r="A516" s="54" t="n"/>
      <c r="B516" s="14" t="n"/>
      <c r="C516" s="54" t="n"/>
      <c r="D516" s="54" t="n"/>
    </row>
    <row r="517">
      <c r="A517" s="54" t="n"/>
      <c r="B517" s="14" t="n"/>
      <c r="C517" s="54" t="n"/>
      <c r="D517" s="54" t="n"/>
    </row>
    <row r="518">
      <c r="A518" s="54" t="n"/>
      <c r="B518" s="14" t="n"/>
      <c r="C518" s="54" t="n"/>
      <c r="D518" s="54" t="n"/>
    </row>
    <row r="519">
      <c r="A519" s="54" t="n"/>
      <c r="B519" s="14" t="n"/>
      <c r="C519" s="54" t="n"/>
      <c r="D519" s="54" t="n"/>
    </row>
    <row r="520">
      <c r="A520" s="54" t="n"/>
      <c r="B520" s="14" t="n"/>
      <c r="C520" s="54" t="n"/>
      <c r="D520" s="54" t="n"/>
    </row>
    <row r="521">
      <c r="A521" s="54" t="n"/>
      <c r="B521" s="14" t="n"/>
      <c r="C521" s="54" t="n"/>
      <c r="D521" s="54" t="n"/>
    </row>
    <row r="522">
      <c r="A522" s="54" t="n"/>
      <c r="B522" s="14" t="n"/>
      <c r="C522" s="54" t="n"/>
      <c r="D522" s="54" t="n"/>
    </row>
    <row r="523">
      <c r="A523" s="54" t="n"/>
      <c r="B523" s="14" t="n"/>
      <c r="C523" s="54" t="n"/>
      <c r="D523" s="54" t="n"/>
    </row>
    <row r="524">
      <c r="A524" s="54" t="n"/>
      <c r="B524" s="14" t="n"/>
      <c r="C524" s="54" t="n"/>
      <c r="D524" s="54" t="n"/>
    </row>
    <row r="525">
      <c r="A525" s="54" t="n"/>
      <c r="B525" s="14" t="n"/>
      <c r="C525" s="54" t="n"/>
      <c r="D525" s="54" t="n"/>
    </row>
    <row r="526">
      <c r="A526" s="54" t="n"/>
      <c r="B526" s="14" t="n"/>
      <c r="C526" s="54" t="n"/>
      <c r="D526" s="54" t="n"/>
    </row>
    <row r="527">
      <c r="A527" s="54" t="n"/>
      <c r="B527" s="14" t="n"/>
      <c r="C527" s="54" t="n"/>
      <c r="D527" s="54" t="n"/>
    </row>
    <row r="528">
      <c r="A528" s="54" t="n"/>
      <c r="B528" s="14" t="n"/>
      <c r="C528" s="54" t="n"/>
      <c r="D528" s="54" t="n"/>
    </row>
    <row r="529">
      <c r="A529" s="54" t="n"/>
      <c r="B529" s="14" t="n"/>
      <c r="C529" s="54" t="n"/>
      <c r="D529" s="54" t="n"/>
    </row>
    <row r="530">
      <c r="A530" s="54" t="n"/>
      <c r="B530" s="14" t="n"/>
      <c r="C530" s="54" t="n"/>
      <c r="D530" s="54" t="n"/>
    </row>
    <row r="531">
      <c r="A531" s="54" t="n"/>
      <c r="B531" s="14" t="n"/>
      <c r="C531" s="54" t="n"/>
      <c r="D531" s="54" t="n"/>
    </row>
    <row r="532">
      <c r="A532" s="54" t="n"/>
      <c r="B532" s="14" t="n"/>
      <c r="C532" s="54" t="n"/>
      <c r="D532" s="54" t="n"/>
    </row>
    <row r="533">
      <c r="A533" s="54" t="n"/>
      <c r="B533" s="14" t="n"/>
      <c r="C533" s="54" t="n"/>
      <c r="D533" s="54" t="n"/>
    </row>
    <row r="534">
      <c r="A534" s="54" t="n"/>
      <c r="B534" s="14" t="n"/>
      <c r="C534" s="54" t="n"/>
      <c r="D534" s="54" t="n"/>
    </row>
    <row r="535">
      <c r="A535" s="54" t="n"/>
      <c r="B535" s="14" t="n"/>
      <c r="C535" s="54" t="n"/>
      <c r="D535" s="54" t="n"/>
    </row>
    <row r="536">
      <c r="A536" s="54" t="n"/>
      <c r="B536" s="14" t="n"/>
      <c r="C536" s="54" t="n"/>
      <c r="D536" s="54" t="n"/>
    </row>
    <row r="537">
      <c r="A537" s="54" t="n"/>
      <c r="B537" s="14" t="n"/>
      <c r="C537" s="54" t="n"/>
      <c r="D537" s="54" t="n"/>
    </row>
    <row r="538">
      <c r="A538" s="54" t="n"/>
      <c r="B538" s="14" t="n"/>
      <c r="C538" s="54" t="n"/>
      <c r="D538" s="54" t="n"/>
    </row>
    <row r="539">
      <c r="A539" s="54" t="n"/>
      <c r="B539" s="14" t="n"/>
      <c r="C539" s="54" t="n"/>
      <c r="D539" s="54" t="n"/>
    </row>
    <row r="540">
      <c r="A540" s="54" t="n"/>
      <c r="B540" s="14" t="n"/>
      <c r="C540" s="54" t="n"/>
      <c r="D540" s="54" t="n"/>
    </row>
  </sheetData>
  <conditionalFormatting sqref="C8:C368">
    <cfRule type="colorScale" priority="42">
      <colorScale>
        <cfvo type="min"/>
        <cfvo type="percentile" val="50"/>
        <cfvo type="max"/>
        <color rgb="FFF8696B"/>
        <color rgb="FFFFEB84"/>
        <color rgb="FF63BE7B"/>
      </colorScale>
    </cfRule>
  </conditionalFormatting>
  <conditionalFormatting sqref="D19:D368">
    <cfRule type="colorScale" priority="43">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pageSetup orientation="portrait" paperSize="9"/>
  <drawing xmlns:r="http://schemas.openxmlformats.org/officeDocument/2006/relationships" r:id="rId2"/>
  <tableParts count="1">
    <tablePart xmlns:r="http://schemas.openxmlformats.org/officeDocument/2006/relationships" r:id="rId3"/>
  </tableParts>
</worksheet>
</file>

<file path=xl/worksheets/sheet7.xml><?xml version="1.0" encoding="utf-8"?>
<worksheet xmlns="http://schemas.openxmlformats.org/spreadsheetml/2006/main">
  <sheetPr codeName="Sheet6">
    <outlinePr summaryBelow="1" summaryRight="1"/>
    <pageSetUpPr/>
  </sheetPr>
  <dimension ref="A1:J806"/>
  <sheetViews>
    <sheetView zoomScale="160" zoomScaleNormal="160" workbookViewId="0">
      <pane ySplit="6" topLeftCell="A356" activePane="bottomLeft" state="frozen"/>
      <selection pane="bottomLeft" activeCell="D371" sqref="D371"/>
    </sheetView>
  </sheetViews>
  <sheetFormatPr baseColWidth="10" defaultColWidth="8.83203125" defaultRowHeight="15"/>
  <cols>
    <col width="14" customWidth="1" style="95" min="1" max="1"/>
    <col width="23.6640625" customWidth="1" style="23" min="2" max="2"/>
    <col width="14.33203125" customWidth="1" style="95" min="3" max="3"/>
    <col width="14.1640625" customWidth="1" style="95" min="4" max="4"/>
    <col width="14.1640625" customWidth="1" style="122" min="5" max="5"/>
    <col width="9.1640625" customWidth="1" style="122" min="6" max="53"/>
  </cols>
  <sheetData>
    <row r="1" customFormat="1" s="122">
      <c r="A1" s="20" t="inlineStr">
        <is>
          <t>RSFSXMV</t>
        </is>
      </c>
      <c r="B1" s="24" t="inlineStr">
        <is>
          <t>Advance Retail Sales: Retail and Food Services Excluding Motor Vehicles and Parts Dealers</t>
        </is>
      </c>
      <c r="I1" s="21" t="n"/>
      <c r="J1" s="21" t="n"/>
    </row>
    <row r="2" customFormat="1" s="122">
      <c r="A2" s="128" t="inlineStr">
        <is>
          <t>https://fred.stlouisfed.org/series/RSFSXMV</t>
        </is>
      </c>
      <c r="B2" s="22" t="n"/>
    </row>
    <row r="3" customFormat="1" s="122">
      <c r="A3" s="128" t="n"/>
      <c r="B3" s="22" t="n"/>
    </row>
    <row r="4" customFormat="1" s="122">
      <c r="A4" s="128" t="n"/>
      <c r="B4" s="22" t="n"/>
    </row>
    <row r="5" ht="16" customFormat="1" customHeight="1" s="122" thickBot="1">
      <c r="B5" s="22" t="n"/>
      <c r="I5" s="21" t="n"/>
      <c r="J5" s="21" t="n"/>
    </row>
    <row r="6" ht="45.75" customHeight="1" s="95" thickBot="1">
      <c r="A6" s="78" t="inlineStr">
        <is>
          <t>Date</t>
        </is>
      </c>
      <c r="B6" s="79" t="inlineStr">
        <is>
          <t>Retail and Food Services Excluding Motor Vehicles and Parts Dealers, Retail Sales mil$</t>
        </is>
      </c>
      <c r="C6" s="80" t="inlineStr">
        <is>
          <t>mom %</t>
        </is>
      </c>
      <c r="D6" s="81" t="inlineStr">
        <is>
          <t>yoy %</t>
        </is>
      </c>
      <c r="I6" s="21" t="n"/>
      <c r="J6" s="21" t="n"/>
    </row>
    <row r="7">
      <c r="A7" s="17" t="n">
        <v>33604</v>
      </c>
      <c r="B7" s="18">
        <f>VLOOKUP(A7,Database!A:M,MATCH($A$1,Database!$A$1:$M$1,),)</f>
        <v/>
      </c>
      <c r="C7" s="19" t="n"/>
      <c r="D7" s="19"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22">
      <c r="A336" s="11" t="n">
        <v>43617</v>
      </c>
      <c r="B336" s="15">
        <f>VLOOKUP(A336,Database!A:M,MATCH($A$1,Database!$A$1:$M$1,),)</f>
        <v/>
      </c>
      <c r="C336" s="12">
        <f>(B336-B335)/B335</f>
        <v/>
      </c>
      <c r="D336" s="13">
        <f>(B336-B324)/B324</f>
        <v/>
      </c>
    </row>
    <row r="337" customFormat="1" s="122">
      <c r="A337" s="10" t="n">
        <v>43647</v>
      </c>
      <c r="B337" s="15">
        <f>VLOOKUP(A337,Database!A:M,MATCH($A$1,Database!$A$1:$M$1,),)</f>
        <v/>
      </c>
      <c r="C337" s="12">
        <f>(B337-B336)/B336</f>
        <v/>
      </c>
      <c r="D337" s="13">
        <f>(B337-B325)/B325</f>
        <v/>
      </c>
    </row>
    <row r="338" customFormat="1" s="122">
      <c r="A338" s="11" t="n">
        <v>43678</v>
      </c>
      <c r="B338" s="15">
        <f>VLOOKUP(A338,Database!A:M,MATCH($A$1,Database!$A$1:$M$1,),)</f>
        <v/>
      </c>
      <c r="C338" s="12">
        <f>(B338-B337)/B337</f>
        <v/>
      </c>
      <c r="D338" s="13">
        <f>(B338-B326)/B326</f>
        <v/>
      </c>
    </row>
    <row r="339" customFormat="1" s="122">
      <c r="A339" s="10" t="n">
        <v>43709</v>
      </c>
      <c r="B339" s="15">
        <f>VLOOKUP(A339,Database!A:M,MATCH($A$1,Database!$A$1:$M$1,),)</f>
        <v/>
      </c>
      <c r="C339" s="12">
        <f>(B339-B338)/B338</f>
        <v/>
      </c>
      <c r="D339" s="13">
        <f>(B339-B327)/B327</f>
        <v/>
      </c>
    </row>
    <row r="340" customFormat="1" s="122">
      <c r="A340" s="11" t="n">
        <v>43739</v>
      </c>
      <c r="B340" s="15">
        <f>VLOOKUP(A340,Database!A:M,MATCH($A$1,Database!$A$1:$M$1,),)</f>
        <v/>
      </c>
      <c r="C340" s="12">
        <f>(B340-B339)/B339</f>
        <v/>
      </c>
      <c r="D340" s="13">
        <f>(B340-B328)/B328</f>
        <v/>
      </c>
    </row>
    <row r="341" customFormat="1" s="122">
      <c r="A341" s="10" t="n">
        <v>43770</v>
      </c>
      <c r="B341" s="15">
        <f>VLOOKUP(A341,Database!A:M,MATCH($A$1,Database!$A$1:$M$1,),)</f>
        <v/>
      </c>
      <c r="C341" s="12">
        <f>(B341-B340)/B340</f>
        <v/>
      </c>
      <c r="D341" s="13">
        <f>(B341-B329)/B329</f>
        <v/>
      </c>
    </row>
    <row r="342" customFormat="1" s="122">
      <c r="A342" s="11" t="n">
        <v>43800</v>
      </c>
      <c r="B342" s="15">
        <f>VLOOKUP(A342,Database!A:M,MATCH($A$1,Database!$A$1:$M$1,),)</f>
        <v/>
      </c>
      <c r="C342" s="12">
        <f>(B342-B341)/B341</f>
        <v/>
      </c>
      <c r="D342" s="13">
        <f>(B342-B330)/B330</f>
        <v/>
      </c>
    </row>
    <row r="343" customFormat="1" s="122">
      <c r="A343" s="10" t="n">
        <v>43831</v>
      </c>
      <c r="B343" s="15">
        <f>VLOOKUP(A343,Database!A:M,MATCH($A$1,Database!$A$1:$M$1,),)</f>
        <v/>
      </c>
      <c r="C343" s="12">
        <f>(B343-B342)/B342</f>
        <v/>
      </c>
      <c r="D343" s="13">
        <f>(B343-B331)/B331</f>
        <v/>
      </c>
    </row>
    <row r="344" customFormat="1" s="122">
      <c r="A344" s="11" t="n">
        <v>43862</v>
      </c>
      <c r="B344" s="15">
        <f>VLOOKUP(A344,Database!A:M,MATCH($A$1,Database!$A$1:$M$1,),)</f>
        <v/>
      </c>
      <c r="C344" s="12">
        <f>(B344-B343)/B343</f>
        <v/>
      </c>
      <c r="D344" s="13">
        <f>(B344-B332)/B332</f>
        <v/>
      </c>
    </row>
    <row r="345" customFormat="1" s="122">
      <c r="A345" s="10" t="n">
        <v>43891</v>
      </c>
      <c r="B345" s="15">
        <f>VLOOKUP(A345,Database!A:M,MATCH($A$1,Database!$A$1:$M$1,),)</f>
        <v/>
      </c>
      <c r="C345" s="12">
        <f>(B345-B344)/B344</f>
        <v/>
      </c>
      <c r="D345" s="13">
        <f>(B345-B333)/B333</f>
        <v/>
      </c>
    </row>
    <row r="346" customFormat="1" s="122">
      <c r="A346" s="11" t="n">
        <v>43922</v>
      </c>
      <c r="B346" s="15">
        <f>VLOOKUP(A346,Database!A:M,MATCH($A$1,Database!$A$1:$M$1,),)</f>
        <v/>
      </c>
      <c r="C346" s="12">
        <f>(B346-B345)/B345</f>
        <v/>
      </c>
      <c r="D346" s="13">
        <f>(B346-B334)/B334</f>
        <v/>
      </c>
    </row>
    <row r="347" customFormat="1" s="122">
      <c r="A347" s="10" t="n">
        <v>43952</v>
      </c>
      <c r="B347" s="15">
        <f>VLOOKUP(A347,Database!A:M,MATCH($A$1,Database!$A$1:$M$1,),)</f>
        <v/>
      </c>
      <c r="C347" s="12">
        <f>(B347-B346)/B346</f>
        <v/>
      </c>
      <c r="D347" s="13">
        <f>(B347-B335)/B335</f>
        <v/>
      </c>
    </row>
    <row r="348" customFormat="1" s="122">
      <c r="A348" s="11" t="n">
        <v>43983</v>
      </c>
      <c r="B348" s="15">
        <f>VLOOKUP(A348,Database!A:M,MATCH($A$1,Database!$A$1:$M$1,),)</f>
        <v/>
      </c>
      <c r="C348" s="12">
        <f>(B348-B347)/B347</f>
        <v/>
      </c>
      <c r="D348" s="13">
        <f>(B348-B336)/B336</f>
        <v/>
      </c>
    </row>
    <row r="349" customFormat="1" s="122">
      <c r="A349" s="10" t="n">
        <v>44013</v>
      </c>
      <c r="B349" s="15">
        <f>VLOOKUP(A349,Database!A:M,MATCH($A$1,Database!$A$1:$M$1,),)</f>
        <v/>
      </c>
      <c r="C349" s="12">
        <f>(B349-B348)/B348</f>
        <v/>
      </c>
      <c r="D349" s="13">
        <f>(B349-B337)/B337</f>
        <v/>
      </c>
    </row>
    <row r="350" customFormat="1" s="122">
      <c r="A350" s="11" t="n">
        <v>44044</v>
      </c>
      <c r="B350" s="15">
        <f>VLOOKUP(A350,Database!A:M,MATCH($A$1,Database!$A$1:$M$1,),)</f>
        <v/>
      </c>
      <c r="C350" s="12">
        <f>(B350-B349)/B349</f>
        <v/>
      </c>
      <c r="D350" s="13">
        <f>(B350-B338)/B338</f>
        <v/>
      </c>
    </row>
    <row r="351" customFormat="1" s="122">
      <c r="A351" s="10" t="n">
        <v>44075</v>
      </c>
      <c r="B351" s="15">
        <f>VLOOKUP(A351,Database!A:M,MATCH($A$1,Database!$A$1:$M$1,),)</f>
        <v/>
      </c>
      <c r="C351" s="12">
        <f>(B351-B350)/B350</f>
        <v/>
      </c>
      <c r="D351" s="13">
        <f>(B351-B339)/B339</f>
        <v/>
      </c>
    </row>
    <row r="352" customFormat="1" s="122">
      <c r="A352" s="11" t="n">
        <v>44105</v>
      </c>
      <c r="B352" s="15">
        <f>VLOOKUP(A352,Database!A:M,MATCH($A$1,Database!$A$1:$M$1,),)</f>
        <v/>
      </c>
      <c r="C352" s="12">
        <f>(B352-B351)/B351</f>
        <v/>
      </c>
      <c r="D352" s="13">
        <f>(B352-B340)/B340</f>
        <v/>
      </c>
    </row>
    <row r="353" customFormat="1" s="122">
      <c r="A353" s="10" t="n">
        <v>44136</v>
      </c>
      <c r="B353" s="15">
        <f>VLOOKUP(A353,Database!A:M,MATCH($A$1,Database!$A$1:$M$1,),)</f>
        <v/>
      </c>
      <c r="C353" s="12">
        <f>(B353-B352)/B352</f>
        <v/>
      </c>
      <c r="D353" s="13">
        <f>(B353-B341)/B341</f>
        <v/>
      </c>
    </row>
    <row r="354" customFormat="1" s="122">
      <c r="A354" s="11" t="n">
        <v>44166</v>
      </c>
      <c r="B354" s="15">
        <f>VLOOKUP(A354,Database!A:M,MATCH($A$1,Database!$A$1:$M$1,),)</f>
        <v/>
      </c>
      <c r="C354" s="12">
        <f>(B354-B353)/B353</f>
        <v/>
      </c>
      <c r="D354" s="13">
        <f>(B354-B342)/B342</f>
        <v/>
      </c>
    </row>
    <row r="355" customFormat="1" s="122">
      <c r="A355" s="10" t="n">
        <v>44197</v>
      </c>
      <c r="B355" s="15">
        <f>VLOOKUP(A355,Database!A:M,MATCH($A$1,Database!$A$1:$M$1,),)</f>
        <v/>
      </c>
      <c r="C355" s="12">
        <f>(B355-B354)/B354</f>
        <v/>
      </c>
      <c r="D355" s="13">
        <f>(B355-B343)/B343</f>
        <v/>
      </c>
    </row>
    <row r="356" customFormat="1" s="122">
      <c r="A356" s="11" t="n">
        <v>44228</v>
      </c>
      <c r="B356" s="15">
        <f>VLOOKUP(A356,Database!A:M,MATCH($A$1,Database!$A$1:$M$1,),)</f>
        <v/>
      </c>
      <c r="C356" s="12">
        <f>(B356-B355)/B355</f>
        <v/>
      </c>
      <c r="D356" s="13">
        <f>(B356-B344)/B344</f>
        <v/>
      </c>
    </row>
    <row r="357" customFormat="1" s="122">
      <c r="A357" s="10" t="n">
        <v>44256</v>
      </c>
      <c r="B357" s="15">
        <f>VLOOKUP(A357,Database!A:M,MATCH($A$1,Database!$A$1:$M$1,),)</f>
        <v/>
      </c>
      <c r="C357" s="12">
        <f>(B357-B356)/B356</f>
        <v/>
      </c>
      <c r="D357" s="13">
        <f>(B357-B345)/B345</f>
        <v/>
      </c>
    </row>
    <row r="358" customFormat="1" s="122">
      <c r="A358" s="11" t="n">
        <v>44287</v>
      </c>
      <c r="B358" s="15">
        <f>VLOOKUP(A358,Database!A:M,MATCH($A$1,Database!$A$1:$M$1,),)</f>
        <v/>
      </c>
      <c r="C358" s="12">
        <f>(B358-B357)/B357</f>
        <v/>
      </c>
      <c r="D358" s="13">
        <f>(B358-B346)/B346</f>
        <v/>
      </c>
    </row>
    <row r="359" customFormat="1" s="122">
      <c r="A359" s="10" t="n">
        <v>44317</v>
      </c>
      <c r="B359" s="15">
        <f>VLOOKUP(A359,Database!A:M,MATCH($A$1,Database!$A$1:$M$1,),)</f>
        <v/>
      </c>
      <c r="C359" s="12">
        <f>(B359-B358)/B358</f>
        <v/>
      </c>
      <c r="D359" s="13">
        <f>(B359-B347)/B347</f>
        <v/>
      </c>
    </row>
    <row r="360" customFormat="1" s="122">
      <c r="A360" s="11" t="n">
        <v>44348</v>
      </c>
      <c r="B360" s="15">
        <f>VLOOKUP(A360,Database!A:M,MATCH($A$1,Database!$A$1:$M$1,),)</f>
        <v/>
      </c>
      <c r="C360" s="12">
        <f>(B360-B359)/B359</f>
        <v/>
      </c>
      <c r="D360" s="13">
        <f>(B360-B348)/B348</f>
        <v/>
      </c>
    </row>
    <row r="361" customFormat="1" s="122">
      <c r="A361" s="10" t="n">
        <v>44378</v>
      </c>
      <c r="B361" s="15">
        <f>VLOOKUP(A361,Database!A:M,MATCH($A$1,Database!$A$1:$M$1,),)</f>
        <v/>
      </c>
      <c r="C361" s="12">
        <f>(B361-B360)/B360</f>
        <v/>
      </c>
      <c r="D361" s="13">
        <f>(B361-B349)/B349</f>
        <v/>
      </c>
    </row>
    <row r="362" customFormat="1" s="122">
      <c r="A362" s="11" t="n">
        <v>44409</v>
      </c>
      <c r="B362" s="15">
        <f>VLOOKUP(A362,Database!A:M,MATCH($A$1,Database!$A$1:$M$1,),)</f>
        <v/>
      </c>
      <c r="C362" s="12">
        <f>(B362-B361)/B361</f>
        <v/>
      </c>
      <c r="D362" s="13">
        <f>(B362-B350)/B350</f>
        <v/>
      </c>
    </row>
    <row r="363" customFormat="1" s="122">
      <c r="A363" s="11" t="n">
        <v>44440</v>
      </c>
      <c r="B363" s="15">
        <f>VLOOKUP(A363,Database!A:M,MATCH($A$1,Database!$A$1:$M$1,),)</f>
        <v/>
      </c>
      <c r="C363" s="12">
        <f>(B363-B362)/B362</f>
        <v/>
      </c>
      <c r="D363" s="13">
        <f>(B363-B351)/B351</f>
        <v/>
      </c>
    </row>
    <row r="364" customFormat="1" s="122">
      <c r="A364" s="10" t="n">
        <v>44470</v>
      </c>
      <c r="B364" s="15">
        <f>VLOOKUP(A364,Database!A:M,MATCH($A$1,Database!$A$1:$M$1,),)</f>
        <v/>
      </c>
      <c r="C364" s="12">
        <f>(B364-B363)/B363</f>
        <v/>
      </c>
      <c r="D364" s="13">
        <f>(B364-B352)/B352</f>
        <v/>
      </c>
    </row>
    <row r="365" customFormat="1" s="122">
      <c r="A365" s="11" t="n">
        <v>44501</v>
      </c>
      <c r="B365" s="15">
        <f>VLOOKUP(A365,Database!A:M,MATCH($A$1,Database!$A$1:$M$1,),)</f>
        <v/>
      </c>
      <c r="C365" s="12">
        <f>(B365-B364)/B364</f>
        <v/>
      </c>
      <c r="D365" s="13">
        <f>(B365-B353)/B353</f>
        <v/>
      </c>
    </row>
    <row r="366" customFormat="1" s="122">
      <c r="A366" s="10" t="n">
        <v>44531</v>
      </c>
      <c r="B366" s="15">
        <f>VLOOKUP(A366,Database!A:M,MATCH($A$1,Database!$A$1:$M$1,),)</f>
        <v/>
      </c>
      <c r="C366" s="12">
        <f>(B366-B365)/B365</f>
        <v/>
      </c>
      <c r="D366" s="13">
        <f>(B366-B354)/B354</f>
        <v/>
      </c>
    </row>
    <row r="367" customFormat="1" s="122">
      <c r="A367" s="11" t="n">
        <v>44562</v>
      </c>
      <c r="B367" s="15">
        <f>VLOOKUP(A367,Database!A:M,MATCH($A$1,Database!$A$1:$M$1,),)</f>
        <v/>
      </c>
      <c r="C367" s="12">
        <f>(B367-B366)/B366</f>
        <v/>
      </c>
      <c r="D367" s="13">
        <f>(B367-B355)/B355</f>
        <v/>
      </c>
    </row>
    <row r="368" customFormat="1" s="122">
      <c r="A368" s="11" t="n">
        <v>44593</v>
      </c>
      <c r="B368" s="15">
        <f>VLOOKUP(A368,Database!A:M,MATCH($A$1,Database!$A$1:$M$1,),)</f>
        <v/>
      </c>
      <c r="C368" s="12">
        <f>(B368-B367)/B367</f>
        <v/>
      </c>
      <c r="D368" s="13">
        <f>(B368-B356)/B356</f>
        <v/>
      </c>
    </row>
    <row r="369" customFormat="1" s="122">
      <c r="B369" s="22" t="n"/>
    </row>
    <row r="370" customFormat="1" s="122">
      <c r="B370" s="22" t="n"/>
    </row>
    <row r="371" customFormat="1" s="122">
      <c r="B371" s="22" t="n"/>
    </row>
    <row r="372" customFormat="1" s="122">
      <c r="B372" s="22" t="n"/>
    </row>
    <row r="373" customFormat="1" s="122">
      <c r="B373" s="22" t="n"/>
    </row>
    <row r="374" customFormat="1" s="122">
      <c r="B374" s="22" t="n"/>
    </row>
    <row r="375" customFormat="1" s="122">
      <c r="B375" s="22" t="n"/>
    </row>
    <row r="376" customFormat="1" s="122">
      <c r="B376" s="22" t="n"/>
    </row>
    <row r="377" customFormat="1" s="122">
      <c r="B377" s="22" t="n"/>
    </row>
    <row r="378" customFormat="1" s="122">
      <c r="B378" s="22" t="n"/>
    </row>
    <row r="379" customFormat="1" s="122">
      <c r="B379" s="22" t="n"/>
    </row>
    <row r="380" customFormat="1" s="122">
      <c r="B380" s="22" t="n"/>
    </row>
    <row r="381" customFormat="1" s="122">
      <c r="B381" s="22" t="n"/>
    </row>
    <row r="382" customFormat="1" s="122">
      <c r="B382" s="22" t="n"/>
    </row>
    <row r="383" customFormat="1" s="122">
      <c r="B383" s="22" t="n"/>
    </row>
    <row r="384" customFormat="1" s="122">
      <c r="B384" s="22" t="n"/>
    </row>
    <row r="385" customFormat="1" s="122">
      <c r="B385" s="22" t="n"/>
    </row>
    <row r="386" customFormat="1" s="122">
      <c r="B386" s="22" t="n"/>
    </row>
    <row r="387" customFormat="1" s="122">
      <c r="B387" s="22" t="n"/>
    </row>
    <row r="388" customFormat="1" s="122">
      <c r="B388" s="22" t="n"/>
    </row>
    <row r="389" customFormat="1" s="122">
      <c r="B389" s="22" t="n"/>
    </row>
    <row r="390" customFormat="1" s="122">
      <c r="B390" s="22" t="n"/>
    </row>
    <row r="391" customFormat="1" s="122">
      <c r="B391" s="22" t="n"/>
    </row>
    <row r="392" customFormat="1" s="122">
      <c r="B392" s="22" t="n"/>
    </row>
    <row r="393" customFormat="1" s="122">
      <c r="B393" s="22" t="n"/>
    </row>
    <row r="394" customFormat="1" s="122">
      <c r="B394" s="22" t="n"/>
    </row>
    <row r="395" customFormat="1" s="122">
      <c r="B395" s="22" t="n"/>
    </row>
    <row r="396" customFormat="1" s="122">
      <c r="B396" s="22" t="n"/>
    </row>
    <row r="397" customFormat="1" s="122">
      <c r="B397" s="22" t="n"/>
    </row>
    <row r="398" customFormat="1" s="122">
      <c r="B398" s="22" t="n"/>
    </row>
    <row r="399" customFormat="1" s="122">
      <c r="B399" s="22" t="n"/>
    </row>
    <row r="400" customFormat="1" s="122">
      <c r="B400" s="22" t="n"/>
    </row>
    <row r="401" customFormat="1" s="122">
      <c r="B401" s="22" t="n"/>
    </row>
    <row r="402" customFormat="1" s="122">
      <c r="B402" s="22" t="n"/>
    </row>
    <row r="403" customFormat="1" s="122">
      <c r="B403" s="22" t="n"/>
    </row>
    <row r="404" customFormat="1" s="122">
      <c r="B404" s="22" t="n"/>
    </row>
    <row r="405" customFormat="1" s="122">
      <c r="B405" s="22" t="n"/>
    </row>
    <row r="406" customFormat="1" s="122">
      <c r="B406" s="22" t="n"/>
    </row>
    <row r="407" customFormat="1" s="122">
      <c r="B407" s="22" t="n"/>
    </row>
    <row r="408" customFormat="1" s="122">
      <c r="B408" s="22" t="n"/>
    </row>
    <row r="409" customFormat="1" s="122">
      <c r="B409" s="22" t="n"/>
    </row>
    <row r="410" customFormat="1" s="122">
      <c r="B410" s="22" t="n"/>
    </row>
    <row r="411" customFormat="1" s="122">
      <c r="B411" s="22" t="n"/>
    </row>
    <row r="412" customFormat="1" s="122">
      <c r="B412" s="22" t="n"/>
    </row>
    <row r="413" customFormat="1" s="122">
      <c r="B413" s="22" t="n"/>
    </row>
    <row r="414" customFormat="1" s="122">
      <c r="B414" s="22" t="n"/>
    </row>
    <row r="415" customFormat="1" s="122">
      <c r="B415" s="22" t="n"/>
    </row>
    <row r="416" customFormat="1" s="122">
      <c r="B416" s="22" t="n"/>
    </row>
    <row r="417" customFormat="1" s="122">
      <c r="B417" s="22" t="n"/>
    </row>
    <row r="418" customFormat="1" s="122">
      <c r="B418" s="22" t="n"/>
    </row>
    <row r="419" customFormat="1" s="122">
      <c r="B419" s="22" t="n"/>
    </row>
    <row r="420" customFormat="1" s="122">
      <c r="B420" s="22" t="n"/>
    </row>
    <row r="421" customFormat="1" s="122">
      <c r="B421" s="22" t="n"/>
    </row>
    <row r="422" customFormat="1" s="122">
      <c r="B422" s="22" t="n"/>
    </row>
    <row r="423" customFormat="1" s="122">
      <c r="B423" s="22" t="n"/>
    </row>
    <row r="424" customFormat="1" s="122">
      <c r="B424" s="22" t="n"/>
    </row>
    <row r="425" customFormat="1" s="122">
      <c r="B425" s="22" t="n"/>
    </row>
    <row r="426" customFormat="1" s="122">
      <c r="B426" s="22" t="n"/>
    </row>
    <row r="427" customFormat="1" s="122">
      <c r="B427" s="22" t="n"/>
    </row>
    <row r="428" customFormat="1" s="122">
      <c r="B428" s="22" t="n"/>
    </row>
    <row r="429" customFormat="1" s="122">
      <c r="B429" s="22" t="n"/>
    </row>
    <row r="430" customFormat="1" s="122">
      <c r="B430" s="22" t="n"/>
    </row>
    <row r="431" customFormat="1" s="122">
      <c r="B431" s="22" t="n"/>
    </row>
    <row r="432" customFormat="1" s="122">
      <c r="B432" s="22" t="n"/>
    </row>
    <row r="433" customFormat="1" s="122">
      <c r="B433" s="22" t="n"/>
    </row>
    <row r="434" customFormat="1" s="122">
      <c r="B434" s="22" t="n"/>
    </row>
    <row r="435" customFormat="1" s="122">
      <c r="B435" s="22" t="n"/>
    </row>
    <row r="436" customFormat="1" s="122">
      <c r="B436" s="22" t="n"/>
    </row>
    <row r="437" customFormat="1" s="122">
      <c r="B437" s="22" t="n"/>
    </row>
    <row r="438" customFormat="1" s="122">
      <c r="B438" s="22" t="n"/>
    </row>
    <row r="439" customFormat="1" s="122">
      <c r="B439" s="22" t="n"/>
    </row>
    <row r="440" customFormat="1" s="122">
      <c r="B440" s="22" t="n"/>
    </row>
    <row r="441" customFormat="1" s="122">
      <c r="B441" s="22" t="n"/>
    </row>
    <row r="442" customFormat="1" s="122">
      <c r="B442" s="22" t="n"/>
    </row>
    <row r="443" customFormat="1" s="122">
      <c r="B443" s="22" t="n"/>
    </row>
    <row r="444" customFormat="1" s="122">
      <c r="B444" s="22" t="n"/>
    </row>
    <row r="445" customFormat="1" s="122">
      <c r="B445" s="22" t="n"/>
    </row>
    <row r="446" customFormat="1" s="122">
      <c r="B446" s="22" t="n"/>
    </row>
    <row r="447" customFormat="1" s="122">
      <c r="B447" s="22" t="n"/>
    </row>
    <row r="448" customFormat="1" s="122">
      <c r="B448" s="22" t="n"/>
    </row>
    <row r="449" customFormat="1" s="122">
      <c r="B449" s="22" t="n"/>
    </row>
    <row r="450" customFormat="1" s="122">
      <c r="B450" s="22" t="n"/>
    </row>
    <row r="451" customFormat="1" s="122">
      <c r="B451" s="22" t="n"/>
    </row>
    <row r="452" customFormat="1" s="122">
      <c r="B452" s="22" t="n"/>
    </row>
    <row r="453" customFormat="1" s="122">
      <c r="B453" s="22" t="n"/>
    </row>
    <row r="454" customFormat="1" s="122">
      <c r="B454" s="22" t="n"/>
    </row>
    <row r="455" customFormat="1" s="122">
      <c r="B455" s="22" t="n"/>
    </row>
    <row r="456" customFormat="1" s="122">
      <c r="B456" s="22" t="n"/>
    </row>
    <row r="457" customFormat="1" s="122">
      <c r="B457" s="22" t="n"/>
    </row>
    <row r="458" customFormat="1" s="122">
      <c r="B458" s="22" t="n"/>
    </row>
    <row r="459" customFormat="1" s="122">
      <c r="B459" s="22" t="n"/>
    </row>
    <row r="460" customFormat="1" s="122">
      <c r="B460" s="22" t="n"/>
    </row>
    <row r="461" customFormat="1" s="122">
      <c r="B461" s="22" t="n"/>
    </row>
    <row r="462" customFormat="1" s="122">
      <c r="B462" s="22" t="n"/>
    </row>
    <row r="463" customFormat="1" s="122">
      <c r="B463" s="22" t="n"/>
    </row>
    <row r="464" customFormat="1" s="122">
      <c r="B464" s="22" t="n"/>
    </row>
    <row r="465" customFormat="1" s="122">
      <c r="B465" s="22" t="n"/>
    </row>
    <row r="466" customFormat="1" s="122">
      <c r="B466" s="22" t="n"/>
    </row>
    <row r="467" customFormat="1" s="122">
      <c r="B467" s="22" t="n"/>
    </row>
    <row r="468" customFormat="1" s="122">
      <c r="B468" s="22" t="n"/>
    </row>
    <row r="469" customFormat="1" s="122">
      <c r="B469" s="22" t="n"/>
    </row>
    <row r="470" customFormat="1" s="122">
      <c r="B470" s="22" t="n"/>
    </row>
    <row r="471" customFormat="1" s="122">
      <c r="B471" s="22" t="n"/>
    </row>
    <row r="472" customFormat="1" s="122">
      <c r="B472" s="22" t="n"/>
    </row>
    <row r="473" customFormat="1" s="122">
      <c r="B473" s="22" t="n"/>
    </row>
    <row r="474" customFormat="1" s="122">
      <c r="B474" s="22" t="n"/>
    </row>
    <row r="475" customFormat="1" s="122">
      <c r="B475" s="22" t="n"/>
    </row>
    <row r="476" customFormat="1" s="122">
      <c r="B476" s="22" t="n"/>
    </row>
    <row r="477" customFormat="1" s="122">
      <c r="B477" s="22" t="n"/>
    </row>
    <row r="478" customFormat="1" s="122">
      <c r="B478" s="22" t="n"/>
    </row>
    <row r="479" customFormat="1" s="122">
      <c r="B479" s="22" t="n"/>
    </row>
    <row r="480" customFormat="1" s="122">
      <c r="B480" s="22" t="n"/>
    </row>
    <row r="481" customFormat="1" s="122">
      <c r="B481" s="22" t="n"/>
    </row>
    <row r="482" customFormat="1" s="122">
      <c r="B482" s="22" t="n"/>
    </row>
    <row r="483" customFormat="1" s="122">
      <c r="B483" s="22" t="n"/>
    </row>
    <row r="484" customFormat="1" s="122">
      <c r="B484" s="22" t="n"/>
    </row>
    <row r="485" customFormat="1" s="122">
      <c r="B485" s="22" t="n"/>
    </row>
    <row r="486" customFormat="1" s="122">
      <c r="B486" s="22" t="n"/>
    </row>
    <row r="487" customFormat="1" s="122">
      <c r="B487" s="22" t="n"/>
    </row>
    <row r="488" customFormat="1" s="122">
      <c r="B488" s="22" t="n"/>
    </row>
    <row r="489" customFormat="1" s="122">
      <c r="B489" s="22" t="n"/>
    </row>
    <row r="490" customFormat="1" s="122">
      <c r="B490" s="22" t="n"/>
    </row>
    <row r="491" customFormat="1" s="122">
      <c r="B491" s="22" t="n"/>
    </row>
    <row r="492" customFormat="1" s="122">
      <c r="B492" s="22" t="n"/>
    </row>
    <row r="493" customFormat="1" s="122">
      <c r="B493" s="22" t="n"/>
    </row>
    <row r="494" customFormat="1" s="122">
      <c r="B494" s="22" t="n"/>
    </row>
    <row r="495" customFormat="1" s="122">
      <c r="B495" s="22" t="n"/>
    </row>
    <row r="496" customFormat="1" s="122">
      <c r="B496" s="22" t="n"/>
    </row>
    <row r="497" customFormat="1" s="122">
      <c r="B497" s="22" t="n"/>
    </row>
    <row r="498" customFormat="1" s="122">
      <c r="B498" s="22" t="n"/>
    </row>
    <row r="499" customFormat="1" s="122">
      <c r="B499" s="22" t="n"/>
    </row>
    <row r="500" customFormat="1" s="122">
      <c r="B500" s="22" t="n"/>
    </row>
    <row r="501" customFormat="1" s="122">
      <c r="B501" s="22" t="n"/>
    </row>
    <row r="502" customFormat="1" s="122">
      <c r="B502" s="22" t="n"/>
    </row>
    <row r="503" customFormat="1" s="122">
      <c r="B503" s="22" t="n"/>
    </row>
    <row r="504" customFormat="1" s="122">
      <c r="B504" s="22" t="n"/>
    </row>
    <row r="505" customFormat="1" s="122">
      <c r="B505" s="22" t="n"/>
    </row>
    <row r="506" customFormat="1" s="122">
      <c r="B506" s="22" t="n"/>
    </row>
    <row r="507" customFormat="1" s="122">
      <c r="B507" s="22" t="n"/>
    </row>
    <row r="508" customFormat="1" s="122">
      <c r="B508" s="22" t="n"/>
    </row>
    <row r="509" customFormat="1" s="122">
      <c r="B509" s="22" t="n"/>
    </row>
    <row r="510" customFormat="1" s="122">
      <c r="B510" s="22" t="n"/>
    </row>
    <row r="511" customFormat="1" s="122">
      <c r="B511" s="22" t="n"/>
    </row>
    <row r="512" customFormat="1" s="122">
      <c r="B512" s="22" t="n"/>
    </row>
    <row r="513" customFormat="1" s="122">
      <c r="B513" s="22" t="n"/>
    </row>
    <row r="514" customFormat="1" s="122">
      <c r="B514" s="22" t="n"/>
    </row>
    <row r="515" customFormat="1" s="122">
      <c r="B515" s="22" t="n"/>
    </row>
    <row r="516" customFormat="1" s="122">
      <c r="B516" s="22" t="n"/>
    </row>
    <row r="517" customFormat="1" s="122">
      <c r="B517" s="22" t="n"/>
    </row>
    <row r="518" customFormat="1" s="122">
      <c r="B518" s="22" t="n"/>
    </row>
    <row r="519" customFormat="1" s="122">
      <c r="B519" s="22" t="n"/>
    </row>
    <row r="520" customFormat="1" s="122">
      <c r="B520" s="22" t="n"/>
    </row>
    <row r="521" customFormat="1" s="122">
      <c r="B521" s="22" t="n"/>
    </row>
    <row r="522" customFormat="1" s="122">
      <c r="B522" s="22" t="n"/>
    </row>
    <row r="523" customFormat="1" s="122">
      <c r="B523" s="22" t="n"/>
    </row>
    <row r="524" customFormat="1" s="122">
      <c r="B524" s="22" t="n"/>
    </row>
    <row r="525" customFormat="1" s="122">
      <c r="B525" s="22" t="n"/>
    </row>
    <row r="526" customFormat="1" s="122">
      <c r="B526" s="22" t="n"/>
    </row>
    <row r="527" customFormat="1" s="122">
      <c r="B527" s="22" t="n"/>
    </row>
    <row r="528" customFormat="1" s="122">
      <c r="B528" s="22" t="n"/>
    </row>
    <row r="529" customFormat="1" s="122">
      <c r="B529" s="22" t="n"/>
    </row>
    <row r="530" customFormat="1" s="122">
      <c r="B530" s="22" t="n"/>
    </row>
    <row r="531" customFormat="1" s="122">
      <c r="B531" s="22" t="n"/>
    </row>
    <row r="532" customFormat="1" s="122">
      <c r="B532" s="22" t="n"/>
    </row>
    <row r="533" customFormat="1" s="122">
      <c r="B533" s="22" t="n"/>
    </row>
    <row r="534" customFormat="1" s="122">
      <c r="B534" s="22" t="n"/>
    </row>
    <row r="535" customFormat="1" s="122">
      <c r="B535" s="22" t="n"/>
    </row>
    <row r="536" customFormat="1" s="122">
      <c r="B536" s="22" t="n"/>
    </row>
    <row r="537" customFormat="1" s="122">
      <c r="B537" s="22" t="n"/>
    </row>
    <row r="538" customFormat="1" s="122">
      <c r="B538" s="22" t="n"/>
    </row>
    <row r="539" customFormat="1" s="122">
      <c r="B539" s="22" t="n"/>
    </row>
    <row r="540" customFormat="1" s="122">
      <c r="B540" s="22" t="n"/>
    </row>
    <row r="541" customFormat="1" s="122">
      <c r="B541" s="22" t="n"/>
    </row>
    <row r="542" customFormat="1" s="122">
      <c r="B542" s="22" t="n"/>
    </row>
    <row r="543" customFormat="1" s="122">
      <c r="B543" s="22" t="n"/>
    </row>
    <row r="544" customFormat="1" s="122">
      <c r="B544" s="22" t="n"/>
    </row>
    <row r="545" customFormat="1" s="122">
      <c r="B545" s="22" t="n"/>
    </row>
    <row r="546" customFormat="1" s="122">
      <c r="B546" s="22" t="n"/>
    </row>
    <row r="547" customFormat="1" s="122">
      <c r="B547" s="22" t="n"/>
    </row>
    <row r="548" customFormat="1" s="122">
      <c r="B548" s="22" t="n"/>
    </row>
    <row r="549" customFormat="1" s="122">
      <c r="B549" s="22" t="n"/>
    </row>
    <row r="550" customFormat="1" s="122">
      <c r="B550" s="22" t="n"/>
    </row>
    <row r="551" customFormat="1" s="122">
      <c r="B551" s="22" t="n"/>
    </row>
    <row r="552" customFormat="1" s="122">
      <c r="B552" s="22" t="n"/>
    </row>
    <row r="553" customFormat="1" s="122">
      <c r="B553" s="22" t="n"/>
    </row>
    <row r="554" customFormat="1" s="122">
      <c r="B554" s="22" t="n"/>
    </row>
    <row r="555" customFormat="1" s="122">
      <c r="B555" s="22" t="n"/>
    </row>
    <row r="556" customFormat="1" s="122">
      <c r="B556" s="22" t="n"/>
    </row>
    <row r="557" customFormat="1" s="122">
      <c r="B557" s="22" t="n"/>
    </row>
    <row r="558" customFormat="1" s="122">
      <c r="B558" s="22" t="n"/>
    </row>
    <row r="559" customFormat="1" s="122">
      <c r="B559" s="22" t="n"/>
    </row>
    <row r="560" customFormat="1" s="122">
      <c r="B560" s="22" t="n"/>
    </row>
    <row r="561" customFormat="1" s="122">
      <c r="B561" s="22" t="n"/>
    </row>
    <row r="562" customFormat="1" s="122">
      <c r="B562" s="22" t="n"/>
    </row>
    <row r="563" customFormat="1" s="122">
      <c r="B563" s="22" t="n"/>
    </row>
    <row r="564" customFormat="1" s="122">
      <c r="B564" s="22" t="n"/>
    </row>
    <row r="565" customFormat="1" s="122">
      <c r="B565" s="22" t="n"/>
    </row>
    <row r="566" customFormat="1" s="122">
      <c r="B566" s="22" t="n"/>
    </row>
    <row r="567" customFormat="1" s="122">
      <c r="B567" s="22" t="n"/>
    </row>
    <row r="568" customFormat="1" s="122">
      <c r="B568" s="22" t="n"/>
    </row>
    <row r="569" customFormat="1" s="122">
      <c r="B569" s="22" t="n"/>
    </row>
    <row r="570" customFormat="1" s="122">
      <c r="B570" s="22" t="n"/>
    </row>
    <row r="571" customFormat="1" s="122">
      <c r="B571" s="22" t="n"/>
    </row>
    <row r="572" customFormat="1" s="122">
      <c r="B572" s="22" t="n"/>
    </row>
    <row r="573" customFormat="1" s="122">
      <c r="B573" s="22" t="n"/>
    </row>
    <row r="574" customFormat="1" s="122">
      <c r="B574" s="22" t="n"/>
    </row>
    <row r="575" customFormat="1" s="122">
      <c r="B575" s="22" t="n"/>
    </row>
    <row r="576" customFormat="1" s="122">
      <c r="B576" s="22" t="n"/>
    </row>
    <row r="577" customFormat="1" s="122">
      <c r="B577" s="22" t="n"/>
    </row>
    <row r="578" customFormat="1" s="122">
      <c r="B578" s="22" t="n"/>
    </row>
    <row r="579" customFormat="1" s="122">
      <c r="B579" s="22" t="n"/>
    </row>
    <row r="580" customFormat="1" s="122">
      <c r="B580" s="22" t="n"/>
    </row>
    <row r="581" customFormat="1" s="122">
      <c r="B581" s="22" t="n"/>
    </row>
    <row r="582" customFormat="1" s="122">
      <c r="B582" s="22" t="n"/>
    </row>
    <row r="583" customFormat="1" s="122">
      <c r="B583" s="22" t="n"/>
    </row>
    <row r="584" customFormat="1" s="122">
      <c r="B584" s="22" t="n"/>
    </row>
    <row r="585" customFormat="1" s="122">
      <c r="B585" s="22" t="n"/>
    </row>
    <row r="586" customFormat="1" s="122">
      <c r="B586" s="22" t="n"/>
    </row>
    <row r="587" customFormat="1" s="122">
      <c r="B587" s="22" t="n"/>
    </row>
    <row r="588" customFormat="1" s="122">
      <c r="B588" s="22" t="n"/>
    </row>
    <row r="589" customFormat="1" s="122">
      <c r="B589" s="22" t="n"/>
    </row>
    <row r="590" customFormat="1" s="122">
      <c r="B590" s="22" t="n"/>
    </row>
    <row r="591" customFormat="1" s="122">
      <c r="B591" s="22" t="n"/>
    </row>
    <row r="592" customFormat="1" s="122">
      <c r="B592" s="22" t="n"/>
    </row>
    <row r="593" customFormat="1" s="122">
      <c r="B593" s="22" t="n"/>
    </row>
    <row r="594" customFormat="1" s="122">
      <c r="B594" s="22" t="n"/>
    </row>
    <row r="595" customFormat="1" s="122">
      <c r="B595" s="22" t="n"/>
    </row>
    <row r="596" customFormat="1" s="122">
      <c r="B596" s="22" t="n"/>
    </row>
    <row r="597" customFormat="1" s="122">
      <c r="B597" s="22" t="n"/>
    </row>
    <row r="598" customFormat="1" s="122">
      <c r="B598" s="22" t="n"/>
    </row>
    <row r="599" customFormat="1" s="122">
      <c r="B599" s="22" t="n"/>
    </row>
    <row r="600" customFormat="1" s="122">
      <c r="B600" s="22" t="n"/>
    </row>
    <row r="601" customFormat="1" s="122">
      <c r="B601" s="22" t="n"/>
    </row>
    <row r="602" customFormat="1" s="122">
      <c r="B602" s="22" t="n"/>
    </row>
    <row r="603" customFormat="1" s="122">
      <c r="B603" s="22" t="n"/>
    </row>
    <row r="604" customFormat="1" s="122">
      <c r="B604" s="22" t="n"/>
    </row>
    <row r="605" customFormat="1" s="122">
      <c r="B605" s="22" t="n"/>
    </row>
    <row r="606" customFormat="1" s="122">
      <c r="B606" s="22" t="n"/>
    </row>
    <row r="607" customFormat="1" s="122">
      <c r="B607" s="22" t="n"/>
    </row>
    <row r="608" customFormat="1" s="122">
      <c r="B608" s="22" t="n"/>
    </row>
    <row r="609" customFormat="1" s="122">
      <c r="B609" s="22" t="n"/>
    </row>
    <row r="610" customFormat="1" s="122">
      <c r="B610" s="22" t="n"/>
    </row>
    <row r="611" customFormat="1" s="122">
      <c r="B611" s="22" t="n"/>
    </row>
    <row r="612" customFormat="1" s="122">
      <c r="B612" s="22" t="n"/>
    </row>
    <row r="613" customFormat="1" s="122">
      <c r="B613" s="22" t="n"/>
    </row>
    <row r="614" customFormat="1" s="122">
      <c r="B614" s="22" t="n"/>
    </row>
    <row r="615" customFormat="1" s="122">
      <c r="B615" s="22" t="n"/>
    </row>
    <row r="616" customFormat="1" s="122">
      <c r="B616" s="22" t="n"/>
    </row>
    <row r="617" customFormat="1" s="122">
      <c r="B617" s="22" t="n"/>
    </row>
    <row r="618" customFormat="1" s="122">
      <c r="B618" s="22" t="n"/>
    </row>
    <row r="619" customFormat="1" s="122">
      <c r="B619" s="22" t="n"/>
    </row>
    <row r="620" customFormat="1" s="122">
      <c r="B620" s="22" t="n"/>
    </row>
    <row r="621" customFormat="1" s="122">
      <c r="B621" s="22" t="n"/>
    </row>
    <row r="622" customFormat="1" s="122">
      <c r="B622" s="22" t="n"/>
    </row>
    <row r="623" customFormat="1" s="122">
      <c r="B623" s="22" t="n"/>
    </row>
    <row r="624" customFormat="1" s="122">
      <c r="B624" s="22" t="n"/>
    </row>
    <row r="625" customFormat="1" s="122">
      <c r="B625" s="22" t="n"/>
    </row>
    <row r="626" customFormat="1" s="122">
      <c r="B626" s="22" t="n"/>
    </row>
    <row r="627" customFormat="1" s="122">
      <c r="B627" s="22" t="n"/>
    </row>
    <row r="628" customFormat="1" s="122">
      <c r="B628" s="22" t="n"/>
    </row>
    <row r="629" customFormat="1" s="122">
      <c r="B629" s="22" t="n"/>
    </row>
    <row r="630" customFormat="1" s="122">
      <c r="B630" s="22" t="n"/>
    </row>
    <row r="631" customFormat="1" s="122">
      <c r="B631" s="22" t="n"/>
    </row>
    <row r="632" customFormat="1" s="122">
      <c r="B632" s="22" t="n"/>
    </row>
    <row r="633" customFormat="1" s="122">
      <c r="B633" s="22" t="n"/>
    </row>
    <row r="634" customFormat="1" s="122">
      <c r="B634" s="22" t="n"/>
    </row>
    <row r="635" customFormat="1" s="122">
      <c r="B635" s="22" t="n"/>
    </row>
    <row r="636" customFormat="1" s="122">
      <c r="B636" s="22" t="n"/>
    </row>
    <row r="637" customFormat="1" s="122">
      <c r="B637" s="22" t="n"/>
    </row>
    <row r="638" customFormat="1" s="122">
      <c r="B638" s="22" t="n"/>
    </row>
    <row r="639" customFormat="1" s="122">
      <c r="B639" s="22" t="n"/>
    </row>
    <row r="640" customFormat="1" s="122">
      <c r="B640" s="22" t="n"/>
    </row>
    <row r="641" customFormat="1" s="122">
      <c r="B641" s="22" t="n"/>
    </row>
    <row r="642" customFormat="1" s="122">
      <c r="B642" s="22" t="n"/>
    </row>
    <row r="643" customFormat="1" s="122">
      <c r="B643" s="22" t="n"/>
    </row>
    <row r="644" customFormat="1" s="122">
      <c r="B644" s="22" t="n"/>
    </row>
    <row r="645" customFormat="1" s="122">
      <c r="B645" s="22" t="n"/>
    </row>
    <row r="646" customFormat="1" s="122">
      <c r="B646" s="22" t="n"/>
    </row>
    <row r="647" customFormat="1" s="122">
      <c r="B647" s="22" t="n"/>
    </row>
    <row r="648" customFormat="1" s="122">
      <c r="B648" s="22" t="n"/>
    </row>
    <row r="649" customFormat="1" s="122">
      <c r="B649" s="22" t="n"/>
    </row>
    <row r="650" customFormat="1" s="122">
      <c r="B650" s="22" t="n"/>
    </row>
    <row r="651" customFormat="1" s="122">
      <c r="B651" s="22" t="n"/>
    </row>
    <row r="652" customFormat="1" s="122">
      <c r="B652" s="22" t="n"/>
    </row>
    <row r="653" customFormat="1" s="122">
      <c r="B653" s="22" t="n"/>
    </row>
    <row r="654" customFormat="1" s="122">
      <c r="B654" s="22" t="n"/>
    </row>
    <row r="655" customFormat="1" s="122">
      <c r="B655" s="22" t="n"/>
    </row>
    <row r="656" customFormat="1" s="122">
      <c r="B656" s="22" t="n"/>
    </row>
    <row r="657" customFormat="1" s="122">
      <c r="B657" s="22" t="n"/>
    </row>
    <row r="658" customFormat="1" s="122">
      <c r="B658" s="22" t="n"/>
    </row>
    <row r="659" customFormat="1" s="122">
      <c r="B659" s="22" t="n"/>
    </row>
    <row r="660" customFormat="1" s="122">
      <c r="B660" s="22" t="n"/>
    </row>
    <row r="661" customFormat="1" s="122">
      <c r="B661" s="22" t="n"/>
    </row>
    <row r="662" customFormat="1" s="122">
      <c r="B662" s="22" t="n"/>
    </row>
    <row r="663" customFormat="1" s="122">
      <c r="B663" s="22" t="n"/>
    </row>
    <row r="664" customFormat="1" s="122">
      <c r="B664" s="22" t="n"/>
    </row>
    <row r="665" customFormat="1" s="122">
      <c r="B665" s="22" t="n"/>
    </row>
    <row r="666" customFormat="1" s="122">
      <c r="B666" s="22" t="n"/>
    </row>
    <row r="667" customFormat="1" s="122">
      <c r="B667" s="22" t="n"/>
    </row>
    <row r="668" customFormat="1" s="122">
      <c r="B668" s="22" t="n"/>
    </row>
    <row r="669" customFormat="1" s="122">
      <c r="B669" s="22" t="n"/>
    </row>
    <row r="670" customFormat="1" s="122">
      <c r="B670" s="22" t="n"/>
    </row>
    <row r="671" customFormat="1" s="122">
      <c r="B671" s="22" t="n"/>
    </row>
    <row r="672" customFormat="1" s="122">
      <c r="B672" s="22" t="n"/>
    </row>
    <row r="673" customFormat="1" s="122">
      <c r="B673" s="22" t="n"/>
    </row>
    <row r="674" customFormat="1" s="122">
      <c r="B674" s="22" t="n"/>
    </row>
    <row r="675" customFormat="1" s="122">
      <c r="B675" s="22" t="n"/>
    </row>
    <row r="676" customFormat="1" s="122">
      <c r="B676" s="22" t="n"/>
    </row>
    <row r="677" customFormat="1" s="122">
      <c r="B677" s="22" t="n"/>
    </row>
    <row r="678" customFormat="1" s="122">
      <c r="B678" s="22" t="n"/>
    </row>
    <row r="679" customFormat="1" s="122">
      <c r="B679" s="22" t="n"/>
    </row>
    <row r="680" customFormat="1" s="122">
      <c r="B680" s="22" t="n"/>
    </row>
    <row r="681" customFormat="1" s="122">
      <c r="B681" s="22" t="n"/>
    </row>
    <row r="682" customFormat="1" s="122">
      <c r="B682" s="22" t="n"/>
    </row>
    <row r="683" customFormat="1" s="122">
      <c r="B683" s="22" t="n"/>
    </row>
    <row r="684" customFormat="1" s="122">
      <c r="B684" s="22" t="n"/>
    </row>
    <row r="685" customFormat="1" s="122">
      <c r="B685" s="22" t="n"/>
    </row>
    <row r="686" customFormat="1" s="122">
      <c r="B686" s="22" t="n"/>
    </row>
    <row r="687" customFormat="1" s="122">
      <c r="B687" s="22" t="n"/>
    </row>
    <row r="688" customFormat="1" s="122">
      <c r="B688" s="22" t="n"/>
    </row>
    <row r="689" customFormat="1" s="122">
      <c r="B689" s="22" t="n"/>
    </row>
    <row r="690" customFormat="1" s="122">
      <c r="B690" s="22" t="n"/>
    </row>
    <row r="691" customFormat="1" s="122">
      <c r="B691" s="22" t="n"/>
    </row>
    <row r="692" customFormat="1" s="122">
      <c r="B692" s="22" t="n"/>
    </row>
    <row r="693" customFormat="1" s="122">
      <c r="B693" s="22" t="n"/>
    </row>
    <row r="694" customFormat="1" s="122">
      <c r="B694" s="22" t="n"/>
    </row>
    <row r="695" customFormat="1" s="122">
      <c r="B695" s="22" t="n"/>
    </row>
    <row r="696" customFormat="1" s="122">
      <c r="B696" s="22" t="n"/>
    </row>
    <row r="697" customFormat="1" s="122">
      <c r="B697" s="22" t="n"/>
    </row>
    <row r="698" customFormat="1" s="122">
      <c r="B698" s="22" t="n"/>
    </row>
    <row r="699" customFormat="1" s="122">
      <c r="B699" s="22" t="n"/>
    </row>
    <row r="700" customFormat="1" s="122">
      <c r="B700" s="22" t="n"/>
    </row>
    <row r="701" customFormat="1" s="122">
      <c r="B701" s="22" t="n"/>
    </row>
    <row r="702" customFormat="1" s="122">
      <c r="B702" s="22" t="n"/>
    </row>
    <row r="703" customFormat="1" s="122">
      <c r="B703" s="22" t="n"/>
    </row>
    <row r="704" customFormat="1" s="122">
      <c r="B704" s="22" t="n"/>
    </row>
    <row r="705" customFormat="1" s="122">
      <c r="B705" s="22" t="n"/>
    </row>
    <row r="706" customFormat="1" s="122">
      <c r="B706" s="22" t="n"/>
    </row>
    <row r="707" customFormat="1" s="122">
      <c r="B707" s="22" t="n"/>
    </row>
    <row r="708" customFormat="1" s="122">
      <c r="B708" s="22" t="n"/>
    </row>
    <row r="709" customFormat="1" s="122">
      <c r="B709" s="22" t="n"/>
    </row>
    <row r="710" customFormat="1" s="122">
      <c r="B710" s="22" t="n"/>
    </row>
    <row r="711" customFormat="1" s="122">
      <c r="B711" s="22" t="n"/>
    </row>
    <row r="712" customFormat="1" s="122">
      <c r="B712" s="22" t="n"/>
    </row>
    <row r="713" customFormat="1" s="122">
      <c r="B713" s="22" t="n"/>
    </row>
    <row r="714" customFormat="1" s="122">
      <c r="B714" s="22" t="n"/>
    </row>
    <row r="715" customFormat="1" s="122">
      <c r="B715" s="22" t="n"/>
    </row>
    <row r="716" customFormat="1" s="122">
      <c r="B716" s="22" t="n"/>
    </row>
    <row r="717" customFormat="1" s="122">
      <c r="B717" s="22" t="n"/>
    </row>
    <row r="718" customFormat="1" s="122">
      <c r="B718" s="22" t="n"/>
    </row>
    <row r="719" customFormat="1" s="122">
      <c r="B719" s="22" t="n"/>
    </row>
    <row r="720" customFormat="1" s="122">
      <c r="B720" s="22" t="n"/>
    </row>
    <row r="721" customFormat="1" s="122">
      <c r="B721" s="22" t="n"/>
    </row>
    <row r="722" customFormat="1" s="122">
      <c r="B722" s="22" t="n"/>
    </row>
    <row r="723" customFormat="1" s="122">
      <c r="B723" s="22" t="n"/>
    </row>
    <row r="724" customFormat="1" s="122">
      <c r="B724" s="22" t="n"/>
    </row>
    <row r="725" customFormat="1" s="122">
      <c r="B725" s="22" t="n"/>
    </row>
    <row r="726" customFormat="1" s="122">
      <c r="B726" s="22" t="n"/>
    </row>
    <row r="727" customFormat="1" s="122">
      <c r="B727" s="22" t="n"/>
    </row>
    <row r="728" customFormat="1" s="122">
      <c r="B728" s="22" t="n"/>
    </row>
    <row r="729" customFormat="1" s="122">
      <c r="B729" s="22" t="n"/>
    </row>
    <row r="730" customFormat="1" s="122">
      <c r="B730" s="22" t="n"/>
    </row>
    <row r="731" customFormat="1" s="122">
      <c r="B731" s="22" t="n"/>
    </row>
    <row r="732" customFormat="1" s="122">
      <c r="B732" s="22" t="n"/>
    </row>
    <row r="733" customFormat="1" s="122">
      <c r="B733" s="22" t="n"/>
    </row>
    <row r="734" customFormat="1" s="122">
      <c r="B734" s="22" t="n"/>
    </row>
    <row r="735" customFormat="1" s="122">
      <c r="B735" s="22" t="n"/>
    </row>
    <row r="736" customFormat="1" s="122">
      <c r="B736" s="22" t="n"/>
    </row>
    <row r="737" customFormat="1" s="122">
      <c r="B737" s="22" t="n"/>
    </row>
    <row r="738" customFormat="1" s="122">
      <c r="B738" s="22" t="n"/>
    </row>
    <row r="739" customFormat="1" s="122">
      <c r="B739" s="22" t="n"/>
    </row>
    <row r="740" customFormat="1" s="122">
      <c r="B740" s="22" t="n"/>
    </row>
    <row r="741" customFormat="1" s="122">
      <c r="B741" s="22" t="n"/>
    </row>
    <row r="742" customFormat="1" s="122">
      <c r="B742" s="22" t="n"/>
    </row>
    <row r="743" customFormat="1" s="122">
      <c r="B743" s="22" t="n"/>
    </row>
    <row r="744" customFormat="1" s="122">
      <c r="B744" s="22" t="n"/>
    </row>
    <row r="745" customFormat="1" s="122">
      <c r="B745" s="22" t="n"/>
    </row>
    <row r="746" customFormat="1" s="122">
      <c r="B746" s="22" t="n"/>
    </row>
    <row r="747" customFormat="1" s="122">
      <c r="B747" s="22" t="n"/>
    </row>
    <row r="748" customFormat="1" s="122">
      <c r="B748" s="22" t="n"/>
    </row>
    <row r="749" customFormat="1" s="122">
      <c r="B749" s="22" t="n"/>
    </row>
    <row r="750" customFormat="1" s="122">
      <c r="B750" s="22" t="n"/>
    </row>
    <row r="751" customFormat="1" s="122">
      <c r="B751" s="22" t="n"/>
    </row>
    <row r="752" customFormat="1" s="122">
      <c r="B752" s="22" t="n"/>
    </row>
    <row r="753" customFormat="1" s="122">
      <c r="B753" s="22" t="n"/>
    </row>
    <row r="754" customFormat="1" s="122">
      <c r="B754" s="22" t="n"/>
    </row>
    <row r="755" customFormat="1" s="122">
      <c r="B755" s="22" t="n"/>
    </row>
    <row r="756" customFormat="1" s="122">
      <c r="B756" s="22" t="n"/>
    </row>
    <row r="757" customFormat="1" s="122">
      <c r="B757" s="22" t="n"/>
    </row>
    <row r="758" customFormat="1" s="122">
      <c r="B758" s="22" t="n"/>
    </row>
    <row r="759" customFormat="1" s="122">
      <c r="B759" s="22" t="n"/>
    </row>
    <row r="760" customFormat="1" s="122">
      <c r="B760" s="22" t="n"/>
    </row>
    <row r="761" customFormat="1" s="122">
      <c r="B761" s="22" t="n"/>
    </row>
    <row r="762" customFormat="1" s="122">
      <c r="B762" s="22" t="n"/>
    </row>
    <row r="763" customFormat="1" s="122">
      <c r="B763" s="22" t="n"/>
    </row>
    <row r="764" customFormat="1" s="122">
      <c r="B764" s="22" t="n"/>
    </row>
    <row r="765" customFormat="1" s="122">
      <c r="B765" s="22" t="n"/>
    </row>
    <row r="766" customFormat="1" s="122">
      <c r="B766" s="22" t="n"/>
    </row>
    <row r="767" customFormat="1" s="122">
      <c r="B767" s="22" t="n"/>
    </row>
    <row r="768" customFormat="1" s="122">
      <c r="B768" s="22" t="n"/>
    </row>
    <row r="769" customFormat="1" s="122">
      <c r="B769" s="22" t="n"/>
    </row>
    <row r="770" customFormat="1" s="122">
      <c r="B770" s="22" t="n"/>
    </row>
    <row r="771" customFormat="1" s="122">
      <c r="B771" s="22" t="n"/>
    </row>
    <row r="772" customFormat="1" s="122">
      <c r="B772" s="22" t="n"/>
    </row>
    <row r="773" customFormat="1" s="122">
      <c r="B773" s="22" t="n"/>
    </row>
    <row r="774">
      <c r="A774" s="122" t="n"/>
      <c r="B774" s="22" t="n"/>
      <c r="C774" s="122" t="n"/>
      <c r="D774" s="122" t="n"/>
    </row>
    <row r="775">
      <c r="A775" s="122" t="n"/>
      <c r="B775" s="22" t="n"/>
      <c r="C775" s="122" t="n"/>
      <c r="D775" s="122" t="n"/>
    </row>
    <row r="776">
      <c r="A776" s="122" t="n"/>
      <c r="B776" s="22" t="n"/>
      <c r="C776" s="122" t="n"/>
      <c r="D776" s="122" t="n"/>
    </row>
    <row r="777">
      <c r="A777" s="122" t="n"/>
      <c r="B777" s="22" t="n"/>
      <c r="C777" s="122" t="n"/>
      <c r="D777" s="122" t="n"/>
    </row>
    <row r="778">
      <c r="A778" s="122" t="n"/>
      <c r="B778" s="22" t="n"/>
      <c r="C778" s="122" t="n"/>
      <c r="D778" s="122" t="n"/>
    </row>
    <row r="779">
      <c r="A779" s="122" t="n"/>
      <c r="B779" s="22" t="n"/>
      <c r="C779" s="122" t="n"/>
      <c r="D779" s="122" t="n"/>
    </row>
    <row r="780">
      <c r="A780" s="122" t="n"/>
      <c r="B780" s="22" t="n"/>
      <c r="C780" s="122" t="n"/>
      <c r="D780" s="122" t="n"/>
    </row>
    <row r="781">
      <c r="A781" s="122" t="n"/>
      <c r="B781" s="22" t="n"/>
      <c r="C781" s="122" t="n"/>
      <c r="D781" s="122" t="n"/>
    </row>
    <row r="782">
      <c r="A782" s="122" t="n"/>
      <c r="B782" s="22" t="n"/>
      <c r="C782" s="122" t="n"/>
      <c r="D782" s="122" t="n"/>
    </row>
    <row r="783">
      <c r="A783" s="122" t="n"/>
      <c r="B783" s="22" t="n"/>
      <c r="C783" s="122" t="n"/>
      <c r="D783" s="122" t="n"/>
    </row>
    <row r="784">
      <c r="A784" s="122" t="n"/>
      <c r="B784" s="22" t="n"/>
      <c r="C784" s="122" t="n"/>
      <c r="D784" s="122" t="n"/>
    </row>
    <row r="785">
      <c r="A785" s="122" t="n"/>
      <c r="B785" s="22" t="n"/>
      <c r="C785" s="122" t="n"/>
      <c r="D785" s="122" t="n"/>
    </row>
    <row r="786">
      <c r="A786" s="122" t="n"/>
      <c r="B786" s="22" t="n"/>
      <c r="C786" s="122" t="n"/>
      <c r="D786" s="122" t="n"/>
    </row>
    <row r="787">
      <c r="A787" s="122" t="n"/>
      <c r="B787" s="22" t="n"/>
      <c r="C787" s="122" t="n"/>
      <c r="D787" s="122" t="n"/>
    </row>
    <row r="788">
      <c r="A788" s="122" t="n"/>
      <c r="B788" s="22" t="n"/>
      <c r="C788" s="122" t="n"/>
      <c r="D788" s="122" t="n"/>
    </row>
    <row r="789">
      <c r="A789" s="122" t="n"/>
      <c r="B789" s="22" t="n"/>
      <c r="C789" s="122" t="n"/>
      <c r="D789" s="122" t="n"/>
    </row>
    <row r="790">
      <c r="A790" s="122" t="n"/>
      <c r="B790" s="22" t="n"/>
      <c r="C790" s="122" t="n"/>
      <c r="D790" s="122" t="n"/>
    </row>
    <row r="791">
      <c r="A791" s="122" t="n"/>
      <c r="B791" s="22" t="n"/>
      <c r="C791" s="122" t="n"/>
      <c r="D791" s="122" t="n"/>
    </row>
    <row r="792">
      <c r="A792" s="122" t="n"/>
      <c r="B792" s="22" t="n"/>
      <c r="C792" s="122" t="n"/>
      <c r="D792" s="122" t="n"/>
    </row>
    <row r="793">
      <c r="A793" s="122" t="n"/>
      <c r="B793" s="22" t="n"/>
      <c r="C793" s="122" t="n"/>
      <c r="D793" s="122" t="n"/>
    </row>
    <row r="794">
      <c r="A794" s="122" t="n"/>
      <c r="B794" s="22" t="n"/>
      <c r="C794" s="122" t="n"/>
      <c r="D794" s="122" t="n"/>
    </row>
    <row r="795">
      <c r="A795" s="122" t="n"/>
      <c r="B795" s="22" t="n"/>
      <c r="C795" s="122" t="n"/>
      <c r="D795" s="122" t="n"/>
    </row>
    <row r="796">
      <c r="A796" s="122" t="n"/>
      <c r="B796" s="22" t="n"/>
      <c r="C796" s="122" t="n"/>
      <c r="D796" s="122" t="n"/>
    </row>
    <row r="797">
      <c r="A797" s="122" t="n"/>
      <c r="B797" s="22" t="n"/>
      <c r="C797" s="122" t="n"/>
      <c r="D797" s="122" t="n"/>
    </row>
    <row r="798">
      <c r="A798" s="122" t="n"/>
      <c r="B798" s="22" t="n"/>
      <c r="C798" s="122" t="n"/>
      <c r="D798" s="122" t="n"/>
    </row>
    <row r="799">
      <c r="A799" s="122" t="n"/>
      <c r="B799" s="22" t="n"/>
      <c r="C799" s="122" t="n"/>
      <c r="D799" s="122" t="n"/>
    </row>
    <row r="800">
      <c r="A800" s="122" t="n"/>
      <c r="B800" s="22" t="n"/>
      <c r="C800" s="122" t="n"/>
      <c r="D800" s="122" t="n"/>
    </row>
    <row r="801">
      <c r="A801" s="122" t="n"/>
      <c r="B801" s="22" t="n"/>
      <c r="C801" s="122" t="n"/>
      <c r="D801" s="122" t="n"/>
    </row>
    <row r="802">
      <c r="A802" s="122" t="n"/>
      <c r="B802" s="22" t="n"/>
      <c r="C802" s="122" t="n"/>
      <c r="D802" s="122" t="n"/>
    </row>
    <row r="803">
      <c r="A803" s="122" t="n"/>
      <c r="B803" s="22" t="n"/>
      <c r="C803" s="122" t="n"/>
      <c r="D803" s="122" t="n"/>
    </row>
    <row r="804">
      <c r="A804" s="122" t="n"/>
      <c r="B804" s="22" t="n"/>
      <c r="C804" s="122" t="n"/>
      <c r="D804" s="122" t="n"/>
    </row>
    <row r="805">
      <c r="A805" s="122" t="n"/>
      <c r="B805" s="22" t="n"/>
      <c r="C805" s="122" t="n"/>
      <c r="D805" s="122" t="n"/>
    </row>
    <row r="806">
      <c r="A806" s="122" t="n"/>
      <c r="B806" s="22" t="n"/>
      <c r="C806" s="122" t="n"/>
      <c r="D806" s="122" t="n"/>
    </row>
  </sheetData>
  <conditionalFormatting sqref="C8:C368">
    <cfRule type="colorScale" priority="2">
      <colorScale>
        <cfvo type="min"/>
        <cfvo type="percentile" val="50"/>
        <cfvo type="max"/>
        <color rgb="FFF8696B"/>
        <color rgb="FFFFEB84"/>
        <color rgb="FF63BE7B"/>
      </colorScale>
    </cfRule>
  </conditionalFormatting>
  <conditionalFormatting sqref="D19:D368">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8">
    <outlinePr summaryBelow="1" summaryRight="1"/>
    <pageSetUpPr/>
  </sheetPr>
  <dimension ref="A1:D368"/>
  <sheetViews>
    <sheetView zoomScale="160" zoomScaleNormal="160" workbookViewId="0">
      <pane ySplit="6" topLeftCell="A358" activePane="bottomLeft" state="frozen"/>
      <selection pane="bottomLeft" activeCell="F373" sqref="F373"/>
    </sheetView>
  </sheetViews>
  <sheetFormatPr baseColWidth="10" defaultColWidth="8.83203125" defaultRowHeight="15"/>
  <cols>
    <col width="14" customWidth="1" style="54" min="1" max="1"/>
    <col width="23.1640625" customWidth="1" style="54" min="2" max="2"/>
    <col width="14.1640625" customWidth="1" style="54" min="3" max="4"/>
    <col width="9.1640625" customWidth="1" style="122" min="5" max="69"/>
  </cols>
  <sheetData>
    <row r="1" customFormat="1" s="122">
      <c r="A1" s="122" t="inlineStr">
        <is>
          <t>RSDBS</t>
        </is>
      </c>
      <c r="B1" s="29" t="inlineStr">
        <is>
          <t>Food and Beverage Stores (RSDBS), Millions of Dollars, Monthly, Seasonally Adjusted</t>
        </is>
      </c>
      <c r="C1" s="54" t="n"/>
      <c r="D1" s="54" t="n"/>
    </row>
    <row r="2" customFormat="1" s="122">
      <c r="A2" s="128" t="inlineStr">
        <is>
          <t>https://fred.stlouisfed.org/series/RSDBS</t>
        </is>
      </c>
      <c r="C2" s="54" t="n"/>
      <c r="D2" s="54" t="n"/>
    </row>
    <row r="3" customFormat="1" s="122">
      <c r="A3" s="9" t="n"/>
      <c r="B3" s="54" t="n"/>
      <c r="C3" s="54" t="n"/>
      <c r="D3" s="54" t="n"/>
    </row>
    <row r="4" customFormat="1" s="122">
      <c r="A4" s="9" t="n"/>
      <c r="B4" s="54" t="n"/>
      <c r="C4" s="54" t="n"/>
      <c r="D4" s="54" t="n"/>
    </row>
    <row r="5" ht="16" customFormat="1" customHeight="1" s="122" thickBot="1">
      <c r="A5" s="54" t="n"/>
      <c r="B5" s="54" t="n"/>
      <c r="C5" s="54" t="n"/>
      <c r="D5" s="54" t="n"/>
    </row>
    <row r="6" ht="43.5" customHeight="1" s="95">
      <c r="A6" s="82" t="inlineStr">
        <is>
          <t>Date</t>
        </is>
      </c>
      <c r="B6" s="83" t="inlineStr">
        <is>
          <t>Food and Beverage Stores,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sheetData>
  <conditionalFormatting sqref="C8:C368">
    <cfRule type="colorScale" priority="2">
      <colorScale>
        <cfvo type="min"/>
        <cfvo type="percentile" val="50"/>
        <cfvo type="max"/>
        <color rgb="FFF8696B"/>
        <color rgb="FFFFEB84"/>
        <color rgb="FF63BE7B"/>
      </colorScale>
    </cfRule>
  </conditionalFormatting>
  <conditionalFormatting sqref="D19:D368">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9.xml><?xml version="1.0" encoding="utf-8"?>
<worksheet xmlns="http://schemas.openxmlformats.org/spreadsheetml/2006/main">
  <sheetPr codeName="Sheet9">
    <outlinePr summaryBelow="1" summaryRight="1"/>
    <pageSetUpPr/>
  </sheetPr>
  <dimension ref="A1:D368"/>
  <sheetViews>
    <sheetView zoomScale="200" zoomScaleNormal="200" workbookViewId="0">
      <pane ySplit="6" topLeftCell="A361" activePane="bottomLeft" state="frozen"/>
      <selection pane="bottomLeft" activeCell="E371" sqref="E371"/>
    </sheetView>
  </sheetViews>
  <sheetFormatPr baseColWidth="10" defaultColWidth="9.1640625" defaultRowHeight="15"/>
  <cols>
    <col width="14" customWidth="1" style="54" min="1" max="1"/>
    <col width="14.1640625" customWidth="1" style="54" min="2" max="4"/>
    <col width="9.1640625" customWidth="1" style="122" min="5" max="10"/>
    <col width="9.1640625" customWidth="1" style="122" min="11" max="16384"/>
  </cols>
  <sheetData>
    <row r="1">
      <c r="A1" s="122" t="inlineStr">
        <is>
          <t>RSNSR</t>
        </is>
      </c>
      <c r="B1" s="29" t="inlineStr">
        <is>
          <t>Retail Trade: Nonstore Retailers (RSNSR), Millions of Dollars, Monthly, Seasonally Adjusted</t>
        </is>
      </c>
    </row>
    <row r="2">
      <c r="A2" s="128" t="inlineStr">
        <is>
          <t>https://fred.stlouisfed.org/series/RSNSR</t>
        </is>
      </c>
      <c r="B2" s="122" t="n"/>
    </row>
    <row r="3">
      <c r="A3" s="9" t="n"/>
    </row>
    <row r="4">
      <c r="A4" s="9" t="n"/>
    </row>
    <row r="5" ht="16" customHeight="1" s="95" thickBot="1"/>
    <row r="6" ht="57" customHeight="1" s="95">
      <c r="A6" s="86" t="inlineStr">
        <is>
          <t>Date</t>
        </is>
      </c>
      <c r="B6" s="87" t="inlineStr">
        <is>
          <t>Nonstore Retailers,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sheetData>
  <conditionalFormatting sqref="C8:C368">
    <cfRule type="colorScale" priority="2">
      <colorScale>
        <cfvo type="min"/>
        <cfvo type="percentile" val="50"/>
        <cfvo type="max"/>
        <color rgb="FFF8696B"/>
        <color rgb="FFFFEB84"/>
        <color rgb="FF63BE7B"/>
      </colorScale>
    </cfRule>
  </conditionalFormatting>
  <conditionalFormatting sqref="D19:D368">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0.xml><?xml version="1.0" encoding="utf-8"?>
<worksheet xmlns="http://schemas.openxmlformats.org/spreadsheetml/2006/main">
  <sheetPr codeName="Sheet10">
    <outlinePr summaryBelow="1" summaryRight="1"/>
    <pageSetUpPr/>
  </sheetPr>
  <dimension ref="A1:D368"/>
  <sheetViews>
    <sheetView zoomScale="160" zoomScaleNormal="160" workbookViewId="0">
      <pane ySplit="6" topLeftCell="A352" activePane="bottomLeft" state="frozen"/>
      <selection pane="bottomLeft" activeCell="A362" sqref="A362: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RSHPCS</t>
        </is>
      </c>
      <c r="B1" s="29" t="inlineStr">
        <is>
          <t>Retail Trade: Health and Personal Care Stores (RSHPCS), Millions of Dollars, Monthly, Seasonally Adjusted</t>
        </is>
      </c>
    </row>
    <row r="2">
      <c r="A2" s="128" t="inlineStr">
        <is>
          <t>https://fred.stlouisfed.org/series/RSHPCS</t>
        </is>
      </c>
      <c r="B2" s="122" t="n"/>
    </row>
    <row r="3">
      <c r="A3" s="9" t="n"/>
    </row>
    <row r="4">
      <c r="A4" s="9" t="n"/>
    </row>
    <row r="5" ht="16" customHeight="1" s="95" thickBot="1"/>
    <row r="6" ht="44.25" customHeight="1" s="95">
      <c r="A6" s="86" t="inlineStr">
        <is>
          <t>Date</t>
        </is>
      </c>
      <c r="B6" s="83" t="inlineStr">
        <is>
          <t>Health and Personal Care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sheetData>
  <conditionalFormatting sqref="C8:C368">
    <cfRule type="colorScale" priority="2">
      <colorScale>
        <cfvo type="min"/>
        <cfvo type="percentile" val="50"/>
        <cfvo type="max"/>
        <color rgb="FFF8696B"/>
        <color rgb="FFFFEB84"/>
        <color rgb="FF63BE7B"/>
      </colorScale>
    </cfRule>
  </conditionalFormatting>
  <conditionalFormatting sqref="D19:D368">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1.xml><?xml version="1.0" encoding="utf-8"?>
<worksheet xmlns="http://schemas.openxmlformats.org/spreadsheetml/2006/main">
  <sheetPr codeName="Sheet11">
    <outlinePr summaryBelow="1" summaryRight="1"/>
    <pageSetUpPr/>
  </sheetPr>
  <dimension ref="A1:D368"/>
  <sheetViews>
    <sheetView zoomScale="160" zoomScaleNormal="160" workbookViewId="0">
      <pane ySplit="6" topLeftCell="A353" activePane="bottomLeft" state="frozen"/>
      <selection pane="bottomLeft" activeCell="A361" sqref="A361: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RSSGHBMS</t>
        </is>
      </c>
      <c r="B1" s="29" t="inlineStr">
        <is>
          <t>Retail Trade: Sporting Goods, Hobby, Book, and Music Stores (RSSGHBMS), Millions of Dollars, Monthly, Seasonally Adjusted</t>
        </is>
      </c>
    </row>
    <row r="2">
      <c r="A2" s="128" t="inlineStr">
        <is>
          <t>https://fred.stlouisfed.org/series/RSSGHBMS</t>
        </is>
      </c>
      <c r="B2" s="122" t="n"/>
    </row>
    <row r="3">
      <c r="A3" s="9" t="n"/>
    </row>
    <row r="4">
      <c r="A4" s="9" t="n"/>
    </row>
    <row r="5" ht="16" customHeight="1" s="95" thickBot="1"/>
    <row r="6" ht="44.25" customHeight="1" s="95">
      <c r="A6" s="86" t="inlineStr">
        <is>
          <t>Date</t>
        </is>
      </c>
      <c r="B6" s="83" t="inlineStr">
        <is>
          <t>Sporting Goods,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0" t="n">
        <v>43617</v>
      </c>
      <c r="B336" s="15">
        <f>VLOOKUP(A336,Database!A:Q,MATCH($A$1,Database!$A$1:$Q$1,),)</f>
        <v/>
      </c>
      <c r="C336" s="12">
        <f>(B336-B335)/B335</f>
        <v/>
      </c>
      <c r="D336" s="13">
        <f>(B336-B324)/B324</f>
        <v/>
      </c>
    </row>
    <row r="337">
      <c r="A337" s="11" t="n">
        <v>43647</v>
      </c>
      <c r="B337" s="15">
        <f>VLOOKUP(A337,Database!A:Q,MATCH($A$1,Database!$A$1:$Q$1,),)</f>
        <v/>
      </c>
      <c r="C337" s="12">
        <f>(B337-B336)/B336</f>
        <v/>
      </c>
      <c r="D337" s="13">
        <f>(B337-B325)/B325</f>
        <v/>
      </c>
    </row>
    <row r="338">
      <c r="A338" s="10"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0" t="n">
        <v>44562</v>
      </c>
      <c r="B367" s="15">
        <f>VLOOKUP(A367,Database!A:Q,MATCH($A$1,Database!$A$1:$Q$1,),)</f>
        <v/>
      </c>
      <c r="C367" s="12">
        <f>(B367-B366)/B366</f>
        <v/>
      </c>
      <c r="D367" s="13">
        <f>(B367-B355)/B355</f>
        <v/>
      </c>
    </row>
    <row r="368">
      <c r="A368" s="10" t="n">
        <v>44593</v>
      </c>
      <c r="B368" s="15">
        <f>VLOOKUP(A368,Database!A:Q,MATCH($A$1,Database!$A$1:$Q$1,),)</f>
        <v/>
      </c>
      <c r="C368" s="12">
        <f>(B368-B367)/B367</f>
        <v/>
      </c>
      <c r="D368" s="13">
        <f>(B368-B356)/B356</f>
        <v/>
      </c>
    </row>
  </sheetData>
  <conditionalFormatting sqref="D19:D368">
    <cfRule type="colorScale" priority="1">
      <colorScale>
        <cfvo type="min"/>
        <cfvo type="percentile" val="50"/>
        <cfvo type="max"/>
        <color rgb="FFF8696B"/>
        <color rgb="FFFFEB84"/>
        <color rgb="FF63BE7B"/>
      </colorScale>
    </cfRule>
  </conditionalFormatting>
  <conditionalFormatting sqref="C8:C368">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2.xml><?xml version="1.0" encoding="utf-8"?>
<worksheet xmlns="http://schemas.openxmlformats.org/spreadsheetml/2006/main">
  <sheetPr codeName="Sheet12">
    <outlinePr summaryBelow="1" summaryRight="1"/>
    <pageSetUpPr/>
  </sheetPr>
  <dimension ref="A1:D368"/>
  <sheetViews>
    <sheetView zoomScale="150" zoomScaleNormal="150" workbookViewId="0">
      <pane ySplit="6" topLeftCell="A352" activePane="bottomLeft" state="frozen"/>
      <selection pane="bottomLeft" activeCell="A362" sqref="A362: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RSGMS</t>
        </is>
      </c>
      <c r="B1" s="29" t="inlineStr">
        <is>
          <t>Retail Trade: General Merchandise Stores (RSGMS), Millions of Dollars, Monthly, Seasonally Adjusted</t>
        </is>
      </c>
    </row>
    <row r="2">
      <c r="A2" s="128" t="inlineStr">
        <is>
          <t>https://fred.stlouisfed.org/series/RSGMS</t>
        </is>
      </c>
      <c r="B2" s="122" t="n"/>
    </row>
    <row r="3">
      <c r="A3" s="9" t="n"/>
    </row>
    <row r="4">
      <c r="A4" s="9" t="n"/>
    </row>
    <row r="5" ht="16" customHeight="1" s="95" thickBot="1"/>
    <row r="6" ht="44.25" customHeight="1" s="95">
      <c r="A6" s="86" t="inlineStr">
        <is>
          <t>Date</t>
        </is>
      </c>
      <c r="B6" s="83" t="inlineStr">
        <is>
          <t>General Merchandise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sheetData>
  <conditionalFormatting sqref="D19:D368">
    <cfRule type="colorScale" priority="1">
      <colorScale>
        <cfvo type="min"/>
        <cfvo type="percentile" val="50"/>
        <cfvo type="max"/>
        <color rgb="FFF8696B"/>
        <color rgb="FFFFEB84"/>
        <color rgb="FF63BE7B"/>
      </colorScale>
    </cfRule>
  </conditionalFormatting>
  <conditionalFormatting sqref="C8:C368">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3.xml><?xml version="1.0" encoding="utf-8"?>
<worksheet xmlns="http://schemas.openxmlformats.org/spreadsheetml/2006/main">
  <sheetPr codeName="Sheet13">
    <outlinePr summaryBelow="1" summaryRight="1"/>
    <pageSetUpPr/>
  </sheetPr>
  <dimension ref="A1:D368"/>
  <sheetViews>
    <sheetView zoomScale="190" zoomScaleNormal="190" workbookViewId="0">
      <pane ySplit="6" topLeftCell="A356" activePane="bottomLeft" state="frozen"/>
      <selection pane="bottomLeft" activeCell="A363" sqref="A363: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RSFSDP</t>
        </is>
      </c>
      <c r="B1" s="29" t="inlineStr">
        <is>
          <t>Advance Retail Sales: Food Services and Drinking Places</t>
        </is>
      </c>
    </row>
    <row r="2">
      <c r="A2" s="128" t="n"/>
      <c r="B2" s="122" t="n"/>
    </row>
    <row r="3">
      <c r="A3" s="9" t="n"/>
    </row>
    <row r="4">
      <c r="A4" s="9" t="n"/>
    </row>
    <row r="5" ht="16" customHeight="1" s="95" thickBot="1"/>
    <row r="6" ht="44.25" customHeight="1" s="95">
      <c r="A6" s="86" t="inlineStr">
        <is>
          <t>Date</t>
        </is>
      </c>
      <c r="B6" s="83" t="inlineStr">
        <is>
          <t>Food Services and Drinking Places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sheetData>
  <conditionalFormatting sqref="D19:D368">
    <cfRule type="colorScale" priority="1">
      <colorScale>
        <cfvo type="min"/>
        <cfvo type="percentile" val="50"/>
        <cfvo type="max"/>
        <color rgb="FFF8696B"/>
        <color rgb="FFFFEB84"/>
        <color rgb="FF63BE7B"/>
      </colorScale>
    </cfRule>
  </conditionalFormatting>
  <conditionalFormatting sqref="C8:C36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4.xml><?xml version="1.0" encoding="utf-8"?>
<worksheet xmlns="http://schemas.openxmlformats.org/spreadsheetml/2006/main">
  <sheetPr codeName="Sheet14">
    <outlinePr summaryBelow="1" summaryRight="1"/>
    <pageSetUpPr/>
  </sheetPr>
  <dimension ref="A1:D368"/>
  <sheetViews>
    <sheetView zoomScale="190" zoomScaleNormal="190" workbookViewId="0">
      <pane ySplit="6" topLeftCell="A358" activePane="bottomLeft" state="frozen"/>
      <selection pane="bottomLeft" activeCell="A358" sqref="A358: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RSGASS</t>
        </is>
      </c>
      <c r="B1" s="29" t="inlineStr">
        <is>
          <t>Retail Trade: Gasoline Stations (RSGASS), Millions of Dollars, Monthly, Seasonally Adjusted</t>
        </is>
      </c>
    </row>
    <row r="2">
      <c r="A2" s="128" t="inlineStr">
        <is>
          <t>https://fred.stlouisfed.org/series/RSGASS</t>
        </is>
      </c>
      <c r="B2" s="122" t="n"/>
    </row>
    <row r="3">
      <c r="A3" s="9" t="n"/>
    </row>
    <row r="4">
      <c r="A4" s="9" t="n"/>
    </row>
    <row r="5" ht="16" customHeight="1" s="95" thickBot="1"/>
    <row r="6" ht="44.25" customHeight="1" s="95">
      <c r="A6" s="86" t="inlineStr">
        <is>
          <t>Date</t>
        </is>
      </c>
      <c r="B6" s="83" t="inlineStr">
        <is>
          <t>Gasoline Stations,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0"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sheetData>
  <conditionalFormatting sqref="D19:D368">
    <cfRule type="colorScale" priority="1">
      <colorScale>
        <cfvo type="min"/>
        <cfvo type="percentile" val="50"/>
        <cfvo type="max"/>
        <color rgb="FFF8696B"/>
        <color rgb="FFFFEB84"/>
        <color rgb="FF63BE7B"/>
      </colorScale>
    </cfRule>
  </conditionalFormatting>
  <conditionalFormatting sqref="C8:C368">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5.xml><?xml version="1.0" encoding="utf-8"?>
<worksheet xmlns="http://schemas.openxmlformats.org/spreadsheetml/2006/main">
  <sheetPr codeName="Sheet15">
    <outlinePr summaryBelow="1" summaryRight="1"/>
    <pageSetUpPr/>
  </sheetPr>
  <dimension ref="A1:D368"/>
  <sheetViews>
    <sheetView zoomScale="200" zoomScaleNormal="200" workbookViewId="0">
      <pane ySplit="6" topLeftCell="A359" activePane="bottomLeft" state="frozen"/>
      <selection pane="bottomLeft" activeCell="A362" sqref="A362: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RSMVPD</t>
        </is>
      </c>
      <c r="B1" s="29" t="inlineStr">
        <is>
          <t>Retail Trade: Motor Vehicle and Parts Dealers (RSMVPD), Millions of Dollars, Monthly, Seasonally Adjusted</t>
        </is>
      </c>
    </row>
    <row r="2">
      <c r="A2" s="128" t="inlineStr">
        <is>
          <t>https://fred.stlouisfed.org/series/RSMVPD</t>
        </is>
      </c>
      <c r="B2" s="122" t="n"/>
    </row>
    <row r="3">
      <c r="A3" s="9" t="n"/>
    </row>
    <row r="4">
      <c r="A4" s="9" t="n"/>
    </row>
    <row r="5" ht="16" customHeight="1" s="95" thickBot="1"/>
    <row r="6" ht="44.25" customHeight="1" s="95">
      <c r="A6" s="86" t="inlineStr">
        <is>
          <t>Date</t>
        </is>
      </c>
      <c r="B6" s="83" t="inlineStr">
        <is>
          <t>Motor Vehicles, mil$</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sheetData>
  <conditionalFormatting sqref="D19:D368">
    <cfRule type="colorScale" priority="50">
      <colorScale>
        <cfvo type="min"/>
        <cfvo type="percentile" val="50"/>
        <cfvo type="max"/>
        <color rgb="FFF8696B"/>
        <color rgb="FFFFEB84"/>
        <color rgb="FF63BE7B"/>
      </colorScale>
    </cfRule>
  </conditionalFormatting>
  <conditionalFormatting sqref="C8:C368">
    <cfRule type="colorScale" priority="5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6.xml><?xml version="1.0" encoding="utf-8"?>
<worksheet xmlns="http://schemas.openxmlformats.org/spreadsheetml/2006/main">
  <sheetPr codeName="Sheet22">
    <outlinePr summaryBelow="1" summaryRight="1"/>
    <pageSetUpPr/>
  </sheetPr>
  <dimension ref="A1:D368"/>
  <sheetViews>
    <sheetView zoomScale="200" zoomScaleNormal="200" workbookViewId="0">
      <pane ySplit="6" topLeftCell="A361" activePane="bottomLeft" state="frozen"/>
      <selection pane="bottomLeft" activeCell="A363" sqref="A363:D368"/>
    </sheetView>
  </sheetViews>
  <sheetFormatPr baseColWidth="10" defaultColWidth="9.1640625" defaultRowHeight="15"/>
  <cols>
    <col width="14" customWidth="1" style="54" min="1" max="1"/>
    <col width="20.6640625" customWidth="1" style="54" min="2" max="2"/>
    <col width="14.33203125" customWidth="1" style="54" min="3" max="3"/>
    <col width="14.1640625" customWidth="1" style="54" min="4" max="4"/>
    <col width="9.1640625" customWidth="1" style="122" min="5" max="10"/>
    <col width="9.1640625" customWidth="1" style="122" min="11" max="16384"/>
  </cols>
  <sheetData>
    <row r="1">
      <c r="A1" s="122" t="inlineStr">
        <is>
          <t>RSBMGESD</t>
        </is>
      </c>
      <c r="B1" s="29" t="inlineStr">
        <is>
          <t>Retail Trade: Building Materials, Garden Equipment and Supplies Dealers (RSBMGESD), Millions of Dollars, Monthly, Seasonally Adjusted</t>
        </is>
      </c>
    </row>
    <row r="2">
      <c r="A2" s="128" t="inlineStr">
        <is>
          <t>https://fred.stlouisfed.org/series/RSBMGESD</t>
        </is>
      </c>
      <c r="B2" s="122" t="n"/>
    </row>
    <row r="3">
      <c r="A3" s="9" t="n"/>
    </row>
    <row r="4">
      <c r="A4" s="9" t="n"/>
    </row>
    <row r="5" ht="16" customHeight="1" s="95" thickBot="1">
      <c r="A5" s="9" t="n"/>
    </row>
    <row r="6" ht="16" customHeight="1" s="95" thickBot="1">
      <c r="A6" s="88" t="inlineStr">
        <is>
          <t>Date</t>
        </is>
      </c>
      <c r="B6" s="89" t="inlineStr">
        <is>
          <t>Building Materials. mil$</t>
        </is>
      </c>
      <c r="C6" s="89" t="inlineStr">
        <is>
          <t>Change m/m</t>
        </is>
      </c>
      <c r="D6" s="90" t="inlineStr">
        <is>
          <t xml:space="preserve">Change y/y </t>
        </is>
      </c>
    </row>
    <row r="7">
      <c r="A7" s="17" t="n">
        <v>33604</v>
      </c>
      <c r="B7" s="18">
        <f>VLOOKUP(A7,Database!A:K,MATCH($A$1,Database!$A$1:$K$1,),)</f>
        <v/>
      </c>
      <c r="C7" s="19" t="n"/>
      <c r="D7" s="19" t="n"/>
    </row>
    <row r="8">
      <c r="A8" s="11" t="n">
        <v>33635</v>
      </c>
      <c r="B8" s="15">
        <f>VLOOKUP(A8,Database!A:K,MATCH($A$1,Database!$A$1:$K$1,),)</f>
        <v/>
      </c>
      <c r="C8" s="12">
        <f>(B8-B7)/B7</f>
        <v/>
      </c>
      <c r="D8" s="1" t="n"/>
    </row>
    <row r="9">
      <c r="A9" s="17" t="n">
        <v>33664</v>
      </c>
      <c r="B9" s="15">
        <f>VLOOKUP(A9,Database!A:K,MATCH($A$1,Database!$A$1:$K$1,),)</f>
        <v/>
      </c>
      <c r="C9" s="12">
        <f>(B9-B8)/B8</f>
        <v/>
      </c>
      <c r="D9" s="1" t="n"/>
    </row>
    <row r="10">
      <c r="A10" s="11" t="n">
        <v>33695</v>
      </c>
      <c r="B10" s="15">
        <f>VLOOKUP(A10,Database!A:K,MATCH($A$1,Database!$A$1:$K$1,),)</f>
        <v/>
      </c>
      <c r="C10" s="12">
        <f>(B10-B9)/B9</f>
        <v/>
      </c>
      <c r="D10" s="1" t="n"/>
    </row>
    <row r="11">
      <c r="A11" s="17" t="n">
        <v>33725</v>
      </c>
      <c r="B11" s="15">
        <f>VLOOKUP(A11,Database!A:K,MATCH($A$1,Database!$A$1:$K$1,),)</f>
        <v/>
      </c>
      <c r="C11" s="12">
        <f>(B11-B10)/B10</f>
        <v/>
      </c>
      <c r="D11" s="1" t="n"/>
    </row>
    <row r="12">
      <c r="A12" s="11" t="n">
        <v>33756</v>
      </c>
      <c r="B12" s="15">
        <f>VLOOKUP(A12,Database!A:K,MATCH($A$1,Database!$A$1:$K$1,),)</f>
        <v/>
      </c>
      <c r="C12" s="12">
        <f>(B12-B11)/B11</f>
        <v/>
      </c>
      <c r="D12" s="1" t="n"/>
    </row>
    <row r="13">
      <c r="A13" s="17" t="n">
        <v>33786</v>
      </c>
      <c r="B13" s="15">
        <f>VLOOKUP(A13,Database!A:K,MATCH($A$1,Database!$A$1:$K$1,),)</f>
        <v/>
      </c>
      <c r="C13" s="12">
        <f>(B13-B12)/B12</f>
        <v/>
      </c>
      <c r="D13" s="1" t="n"/>
    </row>
    <row r="14">
      <c r="A14" s="11" t="n">
        <v>33817</v>
      </c>
      <c r="B14" s="15">
        <f>VLOOKUP(A14,Database!A:K,MATCH($A$1,Database!$A$1:$K$1,),)</f>
        <v/>
      </c>
      <c r="C14" s="12">
        <f>(B14-B13)/B13</f>
        <v/>
      </c>
      <c r="D14" s="1" t="n"/>
    </row>
    <row r="15">
      <c r="A15" s="17" t="n">
        <v>33848</v>
      </c>
      <c r="B15" s="15">
        <f>VLOOKUP(A15,Database!A:K,MATCH($A$1,Database!$A$1:$K$1,),)</f>
        <v/>
      </c>
      <c r="C15" s="12">
        <f>(B15-B14)/B14</f>
        <v/>
      </c>
      <c r="D15" s="1" t="n"/>
    </row>
    <row r="16">
      <c r="A16" s="11" t="n">
        <v>33878</v>
      </c>
      <c r="B16" s="15">
        <f>VLOOKUP(A16,Database!A:K,MATCH($A$1,Database!$A$1:$K$1,),)</f>
        <v/>
      </c>
      <c r="C16" s="12">
        <f>(B16-B15)/B15</f>
        <v/>
      </c>
      <c r="D16" s="1" t="n"/>
    </row>
    <row r="17">
      <c r="A17" s="17" t="n">
        <v>33909</v>
      </c>
      <c r="B17" s="15">
        <f>VLOOKUP(A17,Database!A:K,MATCH($A$1,Database!$A$1:$K$1,),)</f>
        <v/>
      </c>
      <c r="C17" s="12">
        <f>(B17-B16)/B16</f>
        <v/>
      </c>
      <c r="D17" s="1" t="n"/>
    </row>
    <row r="18">
      <c r="A18" s="11" t="n">
        <v>33939</v>
      </c>
      <c r="B18" s="15">
        <f>VLOOKUP(A18,Database!A:K,MATCH($A$1,Database!$A$1:$K$1,),)</f>
        <v/>
      </c>
      <c r="C18" s="12">
        <f>(B18-B17)/B17</f>
        <v/>
      </c>
      <c r="D18" s="1" t="n"/>
    </row>
    <row r="19">
      <c r="A19" s="17"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7"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7"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7"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7"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7"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7"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7"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7"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7"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7"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7"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7"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7"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7"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7"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7"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7"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7"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7"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7"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7"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7"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7"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7"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7"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7"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7"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7"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7"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7"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7"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7"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7"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7"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7"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7"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7"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7"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7"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7"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7"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7"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7"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7"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7"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7"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7"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7"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7"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7"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7"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7"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7"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7"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7"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7"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7"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7"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7"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7"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7"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7"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7"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7"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7"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7"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7"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7"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7"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7"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7"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7"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7"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7"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7"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7"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7"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7"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7"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7"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7"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7"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7"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7"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7"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7"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7"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7"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7"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7"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7"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7"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7"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7"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7"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7"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7"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7"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7"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7"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7"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7"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7"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7"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7"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7"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7"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7"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7"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7"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7"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7"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7"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7"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7"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7"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7"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7"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7"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7"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7"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7"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7"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7"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7"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7"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7"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7"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7"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7"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7"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7"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7"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7"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7"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7"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7"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7"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7"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7"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7"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7"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7"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7"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7"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7"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7"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7"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7"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7"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7"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7"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7"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7"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7"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7"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7" t="n">
        <v>43525</v>
      </c>
      <c r="B333" s="15">
        <f>VLOOKUP(A333,Database!A:K,MATCH($A$1,Database!$A$1:$K$1,),)</f>
        <v/>
      </c>
      <c r="C333" s="12">
        <f>(B333-B332)/B332</f>
        <v/>
      </c>
      <c r="D333" s="13">
        <f>(B333-B321)/B321</f>
        <v/>
      </c>
    </row>
    <row r="334">
      <c r="A334" s="11" t="n">
        <v>43556</v>
      </c>
      <c r="B334" s="31">
        <f>VLOOKUP(A334,Database!A:K,MATCH($A$1,Database!$A$1:$K$1,),)</f>
        <v/>
      </c>
      <c r="C334" s="32">
        <f>(B334-B333)/B333</f>
        <v/>
      </c>
      <c r="D334" s="33">
        <f>(B334-B322)/B322</f>
        <v/>
      </c>
    </row>
    <row r="335">
      <c r="A335" s="17" t="n">
        <v>43586</v>
      </c>
      <c r="B335" s="15">
        <f>VLOOKUP(A335,Database!A:K,MATCH($A$1,Database!$A$1:$K$1,),)</f>
        <v/>
      </c>
      <c r="C335" s="12">
        <f>(B335-B334)/B334</f>
        <v/>
      </c>
      <c r="D335" s="13">
        <f>(B335-B323)/B323</f>
        <v/>
      </c>
    </row>
    <row r="336">
      <c r="A336" s="11" t="n">
        <v>43617</v>
      </c>
      <c r="B336" s="31">
        <f>VLOOKUP(A336,Database!A:K,MATCH($A$1,Database!$A$1:$K$1,),)</f>
        <v/>
      </c>
      <c r="C336" s="32">
        <f>(B336-B335)/B335</f>
        <v/>
      </c>
      <c r="D336" s="33">
        <f>(B336-B324)/B324</f>
        <v/>
      </c>
    </row>
    <row r="337">
      <c r="A337" s="17" t="n">
        <v>43647</v>
      </c>
      <c r="B337" s="15">
        <f>VLOOKUP(A337,Database!A:K,MATCH($A$1,Database!$A$1:$K$1,),)</f>
        <v/>
      </c>
      <c r="C337" s="12">
        <f>(B337-B336)/B336</f>
        <v/>
      </c>
      <c r="D337" s="13">
        <f>(B337-B325)/B325</f>
        <v/>
      </c>
    </row>
    <row r="338">
      <c r="A338" s="11" t="n">
        <v>43678</v>
      </c>
      <c r="B338" s="31">
        <f>VLOOKUP(A338,Database!A:K,MATCH($A$1,Database!$A$1:$K$1,),)</f>
        <v/>
      </c>
      <c r="C338" s="32">
        <f>(B338-B337)/B337</f>
        <v/>
      </c>
      <c r="D338" s="33">
        <f>(B338-B326)/B326</f>
        <v/>
      </c>
    </row>
    <row r="339">
      <c r="A339" s="17" t="n">
        <v>43709</v>
      </c>
      <c r="B339" s="15">
        <f>VLOOKUP(A339,Database!A:K,MATCH($A$1,Database!$A$1:$K$1,),)</f>
        <v/>
      </c>
      <c r="C339" s="12">
        <f>(B339-B338)/B338</f>
        <v/>
      </c>
      <c r="D339" s="13">
        <f>(B339-B327)/B327</f>
        <v/>
      </c>
    </row>
    <row r="340">
      <c r="A340" s="11" t="n">
        <v>43739</v>
      </c>
      <c r="B340" s="31">
        <f>VLOOKUP(A340,Database!A:K,MATCH($A$1,Database!$A$1:$K$1,),)</f>
        <v/>
      </c>
      <c r="C340" s="32">
        <f>(B340-B339)/B339</f>
        <v/>
      </c>
      <c r="D340" s="33">
        <f>(B340-B328)/B328</f>
        <v/>
      </c>
    </row>
    <row r="341">
      <c r="A341" s="17" t="n">
        <v>43770</v>
      </c>
      <c r="B341" s="15">
        <f>VLOOKUP(A341,Database!A:K,MATCH($A$1,Database!$A$1:$K$1,),)</f>
        <v/>
      </c>
      <c r="C341" s="12">
        <f>(B341-B340)/B340</f>
        <v/>
      </c>
      <c r="D341" s="13">
        <f>(B341-B329)/B329</f>
        <v/>
      </c>
    </row>
    <row r="342">
      <c r="A342" s="11" t="n">
        <v>43800</v>
      </c>
      <c r="B342" s="31">
        <f>VLOOKUP(A342,Database!A:K,MATCH($A$1,Database!$A$1:$K$1,),)</f>
        <v/>
      </c>
      <c r="C342" s="32">
        <f>(B342-B341)/B341</f>
        <v/>
      </c>
      <c r="D342" s="33">
        <f>(B342-B330)/B330</f>
        <v/>
      </c>
    </row>
    <row r="343">
      <c r="A343" s="17" t="n">
        <v>43831</v>
      </c>
      <c r="B343" s="15">
        <f>VLOOKUP(A343,Database!A:K,MATCH($A$1,Database!$A$1:$K$1,),)</f>
        <v/>
      </c>
      <c r="C343" s="12">
        <f>(B343-B342)/B342</f>
        <v/>
      </c>
      <c r="D343" s="13">
        <f>(B343-B331)/B331</f>
        <v/>
      </c>
    </row>
    <row r="344">
      <c r="A344" s="11" t="n">
        <v>43862</v>
      </c>
      <c r="B344" s="31">
        <f>VLOOKUP(A344,Database!A:K,MATCH($A$1,Database!$A$1:$K$1,),)</f>
        <v/>
      </c>
      <c r="C344" s="32">
        <f>(B344-B343)/B343</f>
        <v/>
      </c>
      <c r="D344" s="33">
        <f>(B344-B332)/B332</f>
        <v/>
      </c>
    </row>
    <row r="345">
      <c r="A345" s="17" t="n">
        <v>43891</v>
      </c>
      <c r="B345" s="15">
        <f>VLOOKUP(A345,Database!A:K,MATCH($A$1,Database!$A$1:$K$1,),)</f>
        <v/>
      </c>
      <c r="C345" s="12">
        <f>(B345-B344)/B344</f>
        <v/>
      </c>
      <c r="D345" s="13">
        <f>(B345-B333)/B333</f>
        <v/>
      </c>
    </row>
    <row r="346">
      <c r="A346" s="11" t="n">
        <v>43922</v>
      </c>
      <c r="B346" s="31">
        <f>VLOOKUP(A346,Database!A:K,MATCH($A$1,Database!$A$1:$K$1,),)</f>
        <v/>
      </c>
      <c r="C346" s="32">
        <f>(B346-B345)/B345</f>
        <v/>
      </c>
      <c r="D346" s="33">
        <f>(B346-B334)/B334</f>
        <v/>
      </c>
    </row>
    <row r="347">
      <c r="A347" s="17" t="n">
        <v>43952</v>
      </c>
      <c r="B347" s="15">
        <f>VLOOKUP(A347,Database!A:K,MATCH($A$1,Database!$A$1:$K$1,),)</f>
        <v/>
      </c>
      <c r="C347" s="12">
        <f>(B347-B346)/B346</f>
        <v/>
      </c>
      <c r="D347" s="13">
        <f>(B347-B335)/B335</f>
        <v/>
      </c>
    </row>
    <row r="348">
      <c r="A348" s="11" t="n">
        <v>43983</v>
      </c>
      <c r="B348" s="31">
        <f>VLOOKUP(A348,Database!A:K,MATCH($A$1,Database!$A$1:$K$1,),)</f>
        <v/>
      </c>
      <c r="C348" s="32">
        <f>(B348-B347)/B347</f>
        <v/>
      </c>
      <c r="D348" s="33">
        <f>(B348-B336)/B336</f>
        <v/>
      </c>
    </row>
    <row r="349">
      <c r="A349" s="17" t="n">
        <v>44013</v>
      </c>
      <c r="B349" s="15">
        <f>VLOOKUP(A349,Database!A:K,MATCH($A$1,Database!$A$1:$K$1,),)</f>
        <v/>
      </c>
      <c r="C349" s="12">
        <f>(B349-B348)/B348</f>
        <v/>
      </c>
      <c r="D349" s="13">
        <f>(B349-B337)/B337</f>
        <v/>
      </c>
    </row>
    <row r="350">
      <c r="A350" s="11" t="n">
        <v>44044</v>
      </c>
      <c r="B350" s="31">
        <f>VLOOKUP(A350,Database!A:K,MATCH($A$1,Database!$A$1:$K$1,),)</f>
        <v/>
      </c>
      <c r="C350" s="32">
        <f>(B350-B349)/B349</f>
        <v/>
      </c>
      <c r="D350" s="33">
        <f>(B350-B338)/B338</f>
        <v/>
      </c>
    </row>
    <row r="351">
      <c r="A351" s="17" t="n">
        <v>44075</v>
      </c>
      <c r="B351" s="15">
        <f>VLOOKUP(A351,Database!A:K,MATCH($A$1,Database!$A$1:$K$1,),)</f>
        <v/>
      </c>
      <c r="C351" s="12">
        <f>(B351-B350)/B350</f>
        <v/>
      </c>
      <c r="D351" s="13">
        <f>(B351-B339)/B339</f>
        <v/>
      </c>
    </row>
    <row r="352">
      <c r="A352" s="11" t="n">
        <v>44105</v>
      </c>
      <c r="B352" s="31">
        <f>VLOOKUP(A352,Database!A:K,MATCH($A$1,Database!$A$1:$K$1,),)</f>
        <v/>
      </c>
      <c r="C352" s="32">
        <f>(B352-B351)/B351</f>
        <v/>
      </c>
      <c r="D352" s="33">
        <f>(B352-B340)/B340</f>
        <v/>
      </c>
    </row>
    <row r="353">
      <c r="A353" s="17" t="n">
        <v>44136</v>
      </c>
      <c r="B353" s="15">
        <f>VLOOKUP(A353,Database!A:K,MATCH($A$1,Database!$A$1:$K$1,),)</f>
        <v/>
      </c>
      <c r="C353" s="12">
        <f>(B353-B352)/B352</f>
        <v/>
      </c>
      <c r="D353" s="13">
        <f>(B353-B341)/B341</f>
        <v/>
      </c>
    </row>
    <row r="354">
      <c r="A354" s="11" t="n">
        <v>44166</v>
      </c>
      <c r="B354" s="31">
        <f>VLOOKUP(A354,Database!A:K,MATCH($A$1,Database!$A$1:$K$1,),)</f>
        <v/>
      </c>
      <c r="C354" s="32">
        <f>(B354-B353)/B353</f>
        <v/>
      </c>
      <c r="D354" s="33">
        <f>(B354-B342)/B342</f>
        <v/>
      </c>
    </row>
    <row r="355">
      <c r="A355" s="17" t="n">
        <v>44197</v>
      </c>
      <c r="B355" s="15">
        <f>VLOOKUP(A355,Database!A:K,MATCH($A$1,Database!$A$1:$K$1,),)</f>
        <v/>
      </c>
      <c r="C355" s="12">
        <f>(B355-B354)/B354</f>
        <v/>
      </c>
      <c r="D355" s="13">
        <f>(B355-B343)/B343</f>
        <v/>
      </c>
    </row>
    <row r="356">
      <c r="A356" s="11" t="n">
        <v>44228</v>
      </c>
      <c r="B356" s="31">
        <f>VLOOKUP(A356,Database!A:K,MATCH($A$1,Database!$A$1:$K$1,),)</f>
        <v/>
      </c>
      <c r="C356" s="32">
        <f>(B356-B355)/B355</f>
        <v/>
      </c>
      <c r="D356" s="33">
        <f>(B356-B344)/B344</f>
        <v/>
      </c>
    </row>
    <row r="357">
      <c r="A357" s="17" t="n">
        <v>44256</v>
      </c>
      <c r="B357" s="15">
        <f>VLOOKUP(A357,Database!A:K,MATCH($A$1,Database!$A$1:$K$1,),)</f>
        <v/>
      </c>
      <c r="C357" s="12">
        <f>(B357-B356)/B356</f>
        <v/>
      </c>
      <c r="D357" s="13">
        <f>(B357-B345)/B345</f>
        <v/>
      </c>
    </row>
    <row r="358">
      <c r="A358" s="11" t="n">
        <v>44287</v>
      </c>
      <c r="B358" s="31">
        <f>VLOOKUP(A358,Database!A:K,MATCH($A$1,Database!$A$1:$K$1,),)</f>
        <v/>
      </c>
      <c r="C358" s="32">
        <f>(B358-B357)/B357</f>
        <v/>
      </c>
      <c r="D358" s="33">
        <f>(B358-B346)/B346</f>
        <v/>
      </c>
    </row>
    <row r="359">
      <c r="A359" s="17" t="n">
        <v>44317</v>
      </c>
      <c r="B359" s="15">
        <f>VLOOKUP(A359,Database!A:K,MATCH($A$1,Database!$A$1:$K$1,),)</f>
        <v/>
      </c>
      <c r="C359" s="12">
        <f>(B359-B358)/B358</f>
        <v/>
      </c>
      <c r="D359" s="13">
        <f>(B359-B347)/B347</f>
        <v/>
      </c>
    </row>
    <row r="360">
      <c r="A360" s="11" t="n">
        <v>44348</v>
      </c>
      <c r="B360" s="31">
        <f>VLOOKUP(A360,Database!A:K,MATCH($A$1,Database!$A$1:$K$1,),)</f>
        <v/>
      </c>
      <c r="C360" s="32">
        <f>(B360-B359)/B359</f>
        <v/>
      </c>
      <c r="D360" s="33">
        <f>(B360-B348)/B348</f>
        <v/>
      </c>
    </row>
    <row r="361">
      <c r="A361" s="17" t="n">
        <v>44378</v>
      </c>
      <c r="B361" s="15">
        <f>VLOOKUP(A361,Database!A:K,MATCH($A$1,Database!$A$1:$K$1,),)</f>
        <v/>
      </c>
      <c r="C361" s="12">
        <f>(B361-B360)/B360</f>
        <v/>
      </c>
      <c r="D361" s="13">
        <f>(B361-B349)/B349</f>
        <v/>
      </c>
    </row>
    <row r="362">
      <c r="A362" s="11" t="n">
        <v>44409</v>
      </c>
      <c r="B362" s="31">
        <f>VLOOKUP(A362,Database!A:K,MATCH($A$1,Database!$A$1:$K$1,),)</f>
        <v/>
      </c>
      <c r="C362" s="32">
        <f>(B362-B361)/B361</f>
        <v/>
      </c>
      <c r="D362" s="33">
        <f>(B362-B350)/B350</f>
        <v/>
      </c>
    </row>
    <row r="363">
      <c r="A363" s="11" t="n">
        <v>44440</v>
      </c>
      <c r="B363" s="31">
        <f>VLOOKUP(A363,Database!A:K,MATCH($A$1,Database!$A$1:$K$1,),)</f>
        <v/>
      </c>
      <c r="C363" s="32">
        <f>(B363-B362)/B362</f>
        <v/>
      </c>
      <c r="D363" s="33">
        <f>(B363-B351)/B351</f>
        <v/>
      </c>
    </row>
    <row r="364">
      <c r="A364" s="17" t="n">
        <v>44470</v>
      </c>
      <c r="B364" s="15">
        <f>VLOOKUP(A364,Database!A:K,MATCH($A$1,Database!$A$1:$K$1,),)</f>
        <v/>
      </c>
      <c r="C364" s="12">
        <f>(B364-B363)/B363</f>
        <v/>
      </c>
      <c r="D364" s="13">
        <f>(B364-B352)/B352</f>
        <v/>
      </c>
    </row>
    <row r="365">
      <c r="A365" s="11" t="n">
        <v>44501</v>
      </c>
      <c r="B365" s="31">
        <f>VLOOKUP(A365,Database!A:K,MATCH($A$1,Database!$A$1:$K$1,),)</f>
        <v/>
      </c>
      <c r="C365" s="32">
        <f>(B365-B364)/B364</f>
        <v/>
      </c>
      <c r="D365" s="33">
        <f>(B365-B353)/B353</f>
        <v/>
      </c>
    </row>
    <row r="366">
      <c r="A366" s="11" t="n">
        <v>44531</v>
      </c>
      <c r="B366" s="31">
        <f>VLOOKUP(A366,Database!A:K,MATCH($A$1,Database!$A$1:$K$1,),)</f>
        <v/>
      </c>
      <c r="C366" s="32">
        <f>(B366-B365)/B365</f>
        <v/>
      </c>
      <c r="D366" s="33">
        <f>(B366-B354)/B354</f>
        <v/>
      </c>
    </row>
    <row r="367">
      <c r="A367" s="11" t="n">
        <v>44562</v>
      </c>
      <c r="B367" s="31">
        <f>VLOOKUP(A367,Database!A:K,MATCH($A$1,Database!$A$1:$K$1,),)</f>
        <v/>
      </c>
      <c r="C367" s="32">
        <f>(B367-B366)/B366</f>
        <v/>
      </c>
      <c r="D367" s="33">
        <f>(B367-B355)/B355</f>
        <v/>
      </c>
    </row>
    <row r="368">
      <c r="A368" s="11" t="n">
        <v>44593</v>
      </c>
      <c r="B368" s="31">
        <f>VLOOKUP(A368,Database!A:K,MATCH($A$1,Database!$A$1:$K$1,),)</f>
        <v/>
      </c>
      <c r="C368" s="32">
        <f>(B368-B367)/B367</f>
        <v/>
      </c>
      <c r="D368" s="33">
        <f>(B368-B356)/B356</f>
        <v/>
      </c>
    </row>
  </sheetData>
  <conditionalFormatting sqref="D19:D368">
    <cfRule type="colorScale" priority="48">
      <colorScale>
        <cfvo type="min"/>
        <cfvo type="percentile" val="50"/>
        <cfvo type="max"/>
        <color rgb="FFF8696B"/>
        <color rgb="FFFFEB84"/>
        <color rgb="FF63BE7B"/>
      </colorScale>
    </cfRule>
  </conditionalFormatting>
  <conditionalFormatting sqref="C8:C368">
    <cfRule type="colorScale" priority="49">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7.xml><?xml version="1.0" encoding="utf-8"?>
<worksheet xmlns="http://schemas.openxmlformats.org/spreadsheetml/2006/main">
  <sheetPr codeName="Sheet18">
    <outlinePr summaryBelow="1" summaryRight="1"/>
    <pageSetUpPr/>
  </sheetPr>
  <dimension ref="A1:D368"/>
  <sheetViews>
    <sheetView zoomScale="210" zoomScaleNormal="210" workbookViewId="0">
      <pane ySplit="6" topLeftCell="A360" activePane="bottomLeft" state="frozen"/>
      <selection pane="bottomLeft" activeCell="A363" sqref="A363: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RSFHFS</t>
        </is>
      </c>
      <c r="B1" s="29" t="inlineStr">
        <is>
          <t>RSEAS</t>
        </is>
      </c>
    </row>
    <row r="2">
      <c r="A2" s="128" t="n"/>
      <c r="B2" s="122" t="n"/>
    </row>
    <row r="3">
      <c r="A3" s="9" t="n"/>
    </row>
    <row r="4">
      <c r="A4" s="9" t="n"/>
    </row>
    <row r="5" ht="16" customHeight="1" s="95" thickBot="1"/>
    <row r="6" ht="44.25" customHeight="1" s="95">
      <c r="A6" s="91" t="inlineStr">
        <is>
          <t>Date</t>
        </is>
      </c>
      <c r="B6" s="92" t="inlineStr">
        <is>
          <t>Retail Sales mil$</t>
        </is>
      </c>
      <c r="C6" s="84" t="inlineStr">
        <is>
          <t>mom</t>
        </is>
      </c>
      <c r="D6" s="85" t="inlineStr">
        <is>
          <t>yoy</t>
        </is>
      </c>
    </row>
    <row r="7">
      <c r="A7" s="10" t="n">
        <v>33604</v>
      </c>
      <c r="B7" s="15">
        <f>VLOOKUP(A7,Database!A:K,MATCH($A$1,Database!$A$1:$K$1,),)+VLOOKUP(A7,Database!A:K,MATCH($B$1,Database!$A$1:$K$1,),)</f>
        <v/>
      </c>
      <c r="C7" s="1" t="n"/>
      <c r="D7" s="1" t="n"/>
    </row>
    <row r="8">
      <c r="A8" s="11" t="n">
        <v>33635</v>
      </c>
      <c r="B8" s="15">
        <f>VLOOKUP(A8,Database!A:K,MATCH($A$1,Database!$A$1:$K$1,),)+VLOOKUP(A8,Database!A:K,MATCH($B$1,Database!$A$1:$K$1,),)</f>
        <v/>
      </c>
      <c r="C8" s="12">
        <f>(B8-B7)/B7</f>
        <v/>
      </c>
      <c r="D8" s="1" t="n"/>
    </row>
    <row r="9">
      <c r="A9" s="10" t="n">
        <v>33664</v>
      </c>
      <c r="B9" s="15">
        <f>VLOOKUP(A9,Database!A:K,MATCH($A$1,Database!$A$1:$K$1,),)+VLOOKUP(A9,Database!A:K,MATCH($B$1,Database!$A$1:$K$1,),)</f>
        <v/>
      </c>
      <c r="C9" s="12">
        <f>(B9-B8)/B8</f>
        <v/>
      </c>
      <c r="D9" s="1" t="n"/>
    </row>
    <row r="10">
      <c r="A10" s="11" t="n">
        <v>33695</v>
      </c>
      <c r="B10" s="15">
        <f>VLOOKUP(A10,Database!A:K,MATCH($A$1,Database!$A$1:$K$1,),)+VLOOKUP(A10,Database!A:K,MATCH($B$1,Database!$A$1:$K$1,),)</f>
        <v/>
      </c>
      <c r="C10" s="12">
        <f>(B10-B9)/B9</f>
        <v/>
      </c>
      <c r="D10" s="1" t="n"/>
    </row>
    <row r="11">
      <c r="A11" s="10" t="n">
        <v>33725</v>
      </c>
      <c r="B11" s="15">
        <f>VLOOKUP(A11,Database!A:K,MATCH($A$1,Database!$A$1:$K$1,),)+VLOOKUP(A11,Database!A:K,MATCH($B$1,Database!$A$1:$K$1,),)</f>
        <v/>
      </c>
      <c r="C11" s="12">
        <f>(B11-B10)/B10</f>
        <v/>
      </c>
      <c r="D11" s="1" t="n"/>
    </row>
    <row r="12">
      <c r="A12" s="11" t="n">
        <v>33756</v>
      </c>
      <c r="B12" s="15">
        <f>VLOOKUP(A12,Database!A:K,MATCH($A$1,Database!$A$1:$K$1,),)+VLOOKUP(A12,Database!A:K,MATCH($B$1,Database!$A$1:$K$1,),)</f>
        <v/>
      </c>
      <c r="C12" s="12">
        <f>(B12-B11)/B11</f>
        <v/>
      </c>
      <c r="D12" s="1" t="n"/>
    </row>
    <row r="13">
      <c r="A13" s="10" t="n">
        <v>33786</v>
      </c>
      <c r="B13" s="15">
        <f>VLOOKUP(A13,Database!A:K,MATCH($A$1,Database!$A$1:$K$1,),)+VLOOKUP(A13,Database!A:K,MATCH($B$1,Database!$A$1:$K$1,),)</f>
        <v/>
      </c>
      <c r="C13" s="12">
        <f>(B13-B12)/B12</f>
        <v/>
      </c>
      <c r="D13" s="1" t="n"/>
    </row>
    <row r="14">
      <c r="A14" s="11" t="n">
        <v>33817</v>
      </c>
      <c r="B14" s="15">
        <f>VLOOKUP(A14,Database!A:K,MATCH($A$1,Database!$A$1:$K$1,),)+VLOOKUP(A14,Database!A:K,MATCH($B$1,Database!$A$1:$K$1,),)</f>
        <v/>
      </c>
      <c r="C14" s="12">
        <f>(B14-B13)/B13</f>
        <v/>
      </c>
      <c r="D14" s="1" t="n"/>
    </row>
    <row r="15">
      <c r="A15" s="10" t="n">
        <v>33848</v>
      </c>
      <c r="B15" s="15">
        <f>VLOOKUP(A15,Database!A:K,MATCH($A$1,Database!$A$1:$K$1,),)+VLOOKUP(A15,Database!A:K,MATCH($B$1,Database!$A$1:$K$1,),)</f>
        <v/>
      </c>
      <c r="C15" s="12">
        <f>(B15-B14)/B14</f>
        <v/>
      </c>
      <c r="D15" s="1" t="n"/>
    </row>
    <row r="16">
      <c r="A16" s="11" t="n">
        <v>33878</v>
      </c>
      <c r="B16" s="15">
        <f>VLOOKUP(A16,Database!A:K,MATCH($A$1,Database!$A$1:$K$1,),)+VLOOKUP(A16,Database!A:K,MATCH($B$1,Database!$A$1:$K$1,),)</f>
        <v/>
      </c>
      <c r="C16" s="12">
        <f>(B16-B15)/B15</f>
        <v/>
      </c>
      <c r="D16" s="1" t="n"/>
    </row>
    <row r="17">
      <c r="A17" s="10" t="n">
        <v>33909</v>
      </c>
      <c r="B17" s="15">
        <f>VLOOKUP(A17,Database!A:K,MATCH($A$1,Database!$A$1:$K$1,),)+VLOOKUP(A17,Database!A:K,MATCH($B$1,Database!$A$1:$K$1,),)</f>
        <v/>
      </c>
      <c r="C17" s="12">
        <f>(B17-B16)/B16</f>
        <v/>
      </c>
      <c r="D17" s="1" t="n"/>
    </row>
    <row r="18">
      <c r="A18" s="11" t="n">
        <v>33939</v>
      </c>
      <c r="B18" s="15">
        <f>VLOOKUP(A18,Database!A:K,MATCH($A$1,Database!$A$1:$K$1,),)+VLOOKUP(A18,Database!A:K,MATCH($B$1,Database!$A$1:$K$1,),)</f>
        <v/>
      </c>
      <c r="C18" s="12">
        <f>(B18-B17)/B17</f>
        <v/>
      </c>
      <c r="D18" s="1" t="n"/>
    </row>
    <row r="19">
      <c r="A19" s="10" t="n">
        <v>33970</v>
      </c>
      <c r="B19" s="15">
        <f>VLOOKUP(A19,Database!A:K,MATCH($A$1,Database!$A$1:$K$1,),)+VLOOKUP(A19,Database!A:K,MATCH($B$1,Database!$A$1:$K$1,),)</f>
        <v/>
      </c>
      <c r="C19" s="12">
        <f>(B19-B18)/B18</f>
        <v/>
      </c>
      <c r="D19" s="13">
        <f>(B19-B7)/B7</f>
        <v/>
      </c>
    </row>
    <row r="20">
      <c r="A20" s="11" t="n">
        <v>34001</v>
      </c>
      <c r="B20" s="15">
        <f>VLOOKUP(A20,Database!A:K,MATCH($A$1,Database!$A$1:$K$1,),)+VLOOKUP(A20,Database!A:K,MATCH($B$1,Database!$A$1:$K$1,),)</f>
        <v/>
      </c>
      <c r="C20" s="12">
        <f>(B20-B19)/B19</f>
        <v/>
      </c>
      <c r="D20" s="13">
        <f>(B20-B8)/B8</f>
        <v/>
      </c>
    </row>
    <row r="21">
      <c r="A21" s="10" t="n">
        <v>34029</v>
      </c>
      <c r="B21" s="15">
        <f>VLOOKUP(A21,Database!A:K,MATCH($A$1,Database!$A$1:$K$1,),)+VLOOKUP(A21,Database!A:K,MATCH($B$1,Database!$A$1:$K$1,),)</f>
        <v/>
      </c>
      <c r="C21" s="12">
        <f>(B21-B20)/B20</f>
        <v/>
      </c>
      <c r="D21" s="13">
        <f>(B21-B9)/B9</f>
        <v/>
      </c>
    </row>
    <row r="22">
      <c r="A22" s="11" t="n">
        <v>34060</v>
      </c>
      <c r="B22" s="15">
        <f>VLOOKUP(A22,Database!A:K,MATCH($A$1,Database!$A$1:$K$1,),)+VLOOKUP(A22,Database!A:K,MATCH($B$1,Database!$A$1:$K$1,),)</f>
        <v/>
      </c>
      <c r="C22" s="12">
        <f>(B22-B21)/B21</f>
        <v/>
      </c>
      <c r="D22" s="13">
        <f>(B22-B10)/B10</f>
        <v/>
      </c>
    </row>
    <row r="23">
      <c r="A23" s="10" t="n">
        <v>34090</v>
      </c>
      <c r="B23" s="15">
        <f>VLOOKUP(A23,Database!A:K,MATCH($A$1,Database!$A$1:$K$1,),)+VLOOKUP(A23,Database!A:K,MATCH($B$1,Database!$A$1:$K$1,),)</f>
        <v/>
      </c>
      <c r="C23" s="12">
        <f>(B23-B22)/B22</f>
        <v/>
      </c>
      <c r="D23" s="13">
        <f>(B23-B11)/B11</f>
        <v/>
      </c>
    </row>
    <row r="24">
      <c r="A24" s="11" t="n">
        <v>34121</v>
      </c>
      <c r="B24" s="15">
        <f>VLOOKUP(A24,Database!A:K,MATCH($A$1,Database!$A$1:$K$1,),)+VLOOKUP(A24,Database!A:K,MATCH($B$1,Database!$A$1:$K$1,),)</f>
        <v/>
      </c>
      <c r="C24" s="12">
        <f>(B24-B23)/B23</f>
        <v/>
      </c>
      <c r="D24" s="13">
        <f>(B24-B12)/B12</f>
        <v/>
      </c>
    </row>
    <row r="25">
      <c r="A25" s="10" t="n">
        <v>34151</v>
      </c>
      <c r="B25" s="15">
        <f>VLOOKUP(A25,Database!A:K,MATCH($A$1,Database!$A$1:$K$1,),)+VLOOKUP(A25,Database!A:K,MATCH($B$1,Database!$A$1:$K$1,),)</f>
        <v/>
      </c>
      <c r="C25" s="12">
        <f>(B25-B24)/B24</f>
        <v/>
      </c>
      <c r="D25" s="13">
        <f>(B25-B13)/B13</f>
        <v/>
      </c>
    </row>
    <row r="26">
      <c r="A26" s="11" t="n">
        <v>34182</v>
      </c>
      <c r="B26" s="15">
        <f>VLOOKUP(A26,Database!A:K,MATCH($A$1,Database!$A$1:$K$1,),)+VLOOKUP(A26,Database!A:K,MATCH($B$1,Database!$A$1:$K$1,),)</f>
        <v/>
      </c>
      <c r="C26" s="12">
        <f>(B26-B25)/B25</f>
        <v/>
      </c>
      <c r="D26" s="13">
        <f>(B26-B14)/B14</f>
        <v/>
      </c>
    </row>
    <row r="27">
      <c r="A27" s="10" t="n">
        <v>34213</v>
      </c>
      <c r="B27" s="15">
        <f>VLOOKUP(A27,Database!A:K,MATCH($A$1,Database!$A$1:$K$1,),)+VLOOKUP(A27,Database!A:K,MATCH($B$1,Database!$A$1:$K$1,),)</f>
        <v/>
      </c>
      <c r="C27" s="12">
        <f>(B27-B26)/B26</f>
        <v/>
      </c>
      <c r="D27" s="13">
        <f>(B27-B15)/B15</f>
        <v/>
      </c>
    </row>
    <row r="28">
      <c r="A28" s="11" t="n">
        <v>34243</v>
      </c>
      <c r="B28" s="15">
        <f>VLOOKUP(A28,Database!A:K,MATCH($A$1,Database!$A$1:$K$1,),)+VLOOKUP(A28,Database!A:K,MATCH($B$1,Database!$A$1:$K$1,),)</f>
        <v/>
      </c>
      <c r="C28" s="12">
        <f>(B28-B27)/B27</f>
        <v/>
      </c>
      <c r="D28" s="13">
        <f>(B28-B16)/B16</f>
        <v/>
      </c>
    </row>
    <row r="29">
      <c r="A29" s="10" t="n">
        <v>34274</v>
      </c>
      <c r="B29" s="15">
        <f>VLOOKUP(A29,Database!A:K,MATCH($A$1,Database!$A$1:$K$1,),)+VLOOKUP(A29,Database!A:K,MATCH($B$1,Database!$A$1:$K$1,),)</f>
        <v/>
      </c>
      <c r="C29" s="12">
        <f>(B29-B28)/B28</f>
        <v/>
      </c>
      <c r="D29" s="13">
        <f>(B29-B17)/B17</f>
        <v/>
      </c>
    </row>
    <row r="30">
      <c r="A30" s="11" t="n">
        <v>34304</v>
      </c>
      <c r="B30" s="15">
        <f>VLOOKUP(A30,Database!A:K,MATCH($A$1,Database!$A$1:$K$1,),)+VLOOKUP(A30,Database!A:K,MATCH($B$1,Database!$A$1:$K$1,),)</f>
        <v/>
      </c>
      <c r="C30" s="12">
        <f>(B30-B29)/B29</f>
        <v/>
      </c>
      <c r="D30" s="13">
        <f>(B30-B18)/B18</f>
        <v/>
      </c>
    </row>
    <row r="31">
      <c r="A31" s="10" t="n">
        <v>34335</v>
      </c>
      <c r="B31" s="15">
        <f>VLOOKUP(A31,Database!A:K,MATCH($A$1,Database!$A$1:$K$1,),)+VLOOKUP(A31,Database!A:K,MATCH($B$1,Database!$A$1:$K$1,),)</f>
        <v/>
      </c>
      <c r="C31" s="12">
        <f>(B31-B30)/B30</f>
        <v/>
      </c>
      <c r="D31" s="13">
        <f>(B31-B19)/B19</f>
        <v/>
      </c>
    </row>
    <row r="32">
      <c r="A32" s="11" t="n">
        <v>34366</v>
      </c>
      <c r="B32" s="15">
        <f>VLOOKUP(A32,Database!A:K,MATCH($A$1,Database!$A$1:$K$1,),)+VLOOKUP(A32,Database!A:K,MATCH($B$1,Database!$A$1:$K$1,),)</f>
        <v/>
      </c>
      <c r="C32" s="12">
        <f>(B32-B31)/B31</f>
        <v/>
      </c>
      <c r="D32" s="13">
        <f>(B32-B20)/B20</f>
        <v/>
      </c>
    </row>
    <row r="33">
      <c r="A33" s="10" t="n">
        <v>34394</v>
      </c>
      <c r="B33" s="15">
        <f>VLOOKUP(A33,Database!A:K,MATCH($A$1,Database!$A$1:$K$1,),)+VLOOKUP(A33,Database!A:K,MATCH($B$1,Database!$A$1:$K$1,),)</f>
        <v/>
      </c>
      <c r="C33" s="12">
        <f>(B33-B32)/B32</f>
        <v/>
      </c>
      <c r="D33" s="13">
        <f>(B33-B21)/B21</f>
        <v/>
      </c>
    </row>
    <row r="34">
      <c r="A34" s="11" t="n">
        <v>34425</v>
      </c>
      <c r="B34" s="15">
        <f>VLOOKUP(A34,Database!A:K,MATCH($A$1,Database!$A$1:$K$1,),)+VLOOKUP(A34,Database!A:K,MATCH($B$1,Database!$A$1:$K$1,),)</f>
        <v/>
      </c>
      <c r="C34" s="12">
        <f>(B34-B33)/B33</f>
        <v/>
      </c>
      <c r="D34" s="13">
        <f>(B34-B22)/B22</f>
        <v/>
      </c>
    </row>
    <row r="35">
      <c r="A35" s="10" t="n">
        <v>34455</v>
      </c>
      <c r="B35" s="15">
        <f>VLOOKUP(A35,Database!A:K,MATCH($A$1,Database!$A$1:$K$1,),)+VLOOKUP(A35,Database!A:K,MATCH($B$1,Database!$A$1:$K$1,),)</f>
        <v/>
      </c>
      <c r="C35" s="12">
        <f>(B35-B34)/B34</f>
        <v/>
      </c>
      <c r="D35" s="13">
        <f>(B35-B23)/B23</f>
        <v/>
      </c>
    </row>
    <row r="36">
      <c r="A36" s="11" t="n">
        <v>34486</v>
      </c>
      <c r="B36" s="15">
        <f>VLOOKUP(A36,Database!A:K,MATCH($A$1,Database!$A$1:$K$1,),)+VLOOKUP(A36,Database!A:K,MATCH($B$1,Database!$A$1:$K$1,),)</f>
        <v/>
      </c>
      <c r="C36" s="12">
        <f>(B36-B35)/B35</f>
        <v/>
      </c>
      <c r="D36" s="13">
        <f>(B36-B24)/B24</f>
        <v/>
      </c>
    </row>
    <row r="37">
      <c r="A37" s="10" t="n">
        <v>34516</v>
      </c>
      <c r="B37" s="15">
        <f>VLOOKUP(A37,Database!A:K,MATCH($A$1,Database!$A$1:$K$1,),)+VLOOKUP(A37,Database!A:K,MATCH($B$1,Database!$A$1:$K$1,),)</f>
        <v/>
      </c>
      <c r="C37" s="12">
        <f>(B37-B36)/B36</f>
        <v/>
      </c>
      <c r="D37" s="13">
        <f>(B37-B25)/B25</f>
        <v/>
      </c>
    </row>
    <row r="38">
      <c r="A38" s="11" t="n">
        <v>34547</v>
      </c>
      <c r="B38" s="15">
        <f>VLOOKUP(A38,Database!A:K,MATCH($A$1,Database!$A$1:$K$1,),)+VLOOKUP(A38,Database!A:K,MATCH($B$1,Database!$A$1:$K$1,),)</f>
        <v/>
      </c>
      <c r="C38" s="12">
        <f>(B38-B37)/B37</f>
        <v/>
      </c>
      <c r="D38" s="13">
        <f>(B38-B26)/B26</f>
        <v/>
      </c>
    </row>
    <row r="39">
      <c r="A39" s="10" t="n">
        <v>34578</v>
      </c>
      <c r="B39" s="15">
        <f>VLOOKUP(A39,Database!A:K,MATCH($A$1,Database!$A$1:$K$1,),)+VLOOKUP(A39,Database!A:K,MATCH($B$1,Database!$A$1:$K$1,),)</f>
        <v/>
      </c>
      <c r="C39" s="12">
        <f>(B39-B38)/B38</f>
        <v/>
      </c>
      <c r="D39" s="13">
        <f>(B39-B27)/B27</f>
        <v/>
      </c>
    </row>
    <row r="40">
      <c r="A40" s="11" t="n">
        <v>34608</v>
      </c>
      <c r="B40" s="15">
        <f>VLOOKUP(A40,Database!A:K,MATCH($A$1,Database!$A$1:$K$1,),)+VLOOKUP(A40,Database!A:K,MATCH($B$1,Database!$A$1:$K$1,),)</f>
        <v/>
      </c>
      <c r="C40" s="12">
        <f>(B40-B39)/B39</f>
        <v/>
      </c>
      <c r="D40" s="13">
        <f>(B40-B28)/B28</f>
        <v/>
      </c>
    </row>
    <row r="41">
      <c r="A41" s="10" t="n">
        <v>34639</v>
      </c>
      <c r="B41" s="15">
        <f>VLOOKUP(A41,Database!A:K,MATCH($A$1,Database!$A$1:$K$1,),)+VLOOKUP(A41,Database!A:K,MATCH($B$1,Database!$A$1:$K$1,),)</f>
        <v/>
      </c>
      <c r="C41" s="12">
        <f>(B41-B40)/B40</f>
        <v/>
      </c>
      <c r="D41" s="13">
        <f>(B41-B29)/B29</f>
        <v/>
      </c>
    </row>
    <row r="42">
      <c r="A42" s="11" t="n">
        <v>34669</v>
      </c>
      <c r="B42" s="15">
        <f>VLOOKUP(A42,Database!A:K,MATCH($A$1,Database!$A$1:$K$1,),)+VLOOKUP(A42,Database!A:K,MATCH($B$1,Database!$A$1:$K$1,),)</f>
        <v/>
      </c>
      <c r="C42" s="12">
        <f>(B42-B41)/B41</f>
        <v/>
      </c>
      <c r="D42" s="13">
        <f>(B42-B30)/B30</f>
        <v/>
      </c>
    </row>
    <row r="43">
      <c r="A43" s="10" t="n">
        <v>34700</v>
      </c>
      <c r="B43" s="15">
        <f>VLOOKUP(A43,Database!A:K,MATCH($A$1,Database!$A$1:$K$1,),)+VLOOKUP(A43,Database!A:K,MATCH($B$1,Database!$A$1:$K$1,),)</f>
        <v/>
      </c>
      <c r="C43" s="12">
        <f>(B43-B42)/B42</f>
        <v/>
      </c>
      <c r="D43" s="13">
        <f>(B43-B31)/B31</f>
        <v/>
      </c>
    </row>
    <row r="44">
      <c r="A44" s="11" t="n">
        <v>34731</v>
      </c>
      <c r="B44" s="15">
        <f>VLOOKUP(A44,Database!A:K,MATCH($A$1,Database!$A$1:$K$1,),)+VLOOKUP(A44,Database!A:K,MATCH($B$1,Database!$A$1:$K$1,),)</f>
        <v/>
      </c>
      <c r="C44" s="12">
        <f>(B44-B43)/B43</f>
        <v/>
      </c>
      <c r="D44" s="13">
        <f>(B44-B32)/B32</f>
        <v/>
      </c>
    </row>
    <row r="45">
      <c r="A45" s="10" t="n">
        <v>34759</v>
      </c>
      <c r="B45" s="15">
        <f>VLOOKUP(A45,Database!A:K,MATCH($A$1,Database!$A$1:$K$1,),)+VLOOKUP(A45,Database!A:K,MATCH($B$1,Database!$A$1:$K$1,),)</f>
        <v/>
      </c>
      <c r="C45" s="12">
        <f>(B45-B44)/B44</f>
        <v/>
      </c>
      <c r="D45" s="13">
        <f>(B45-B33)/B33</f>
        <v/>
      </c>
    </row>
    <row r="46">
      <c r="A46" s="11" t="n">
        <v>34790</v>
      </c>
      <c r="B46" s="15">
        <f>VLOOKUP(A46,Database!A:K,MATCH($A$1,Database!$A$1:$K$1,),)+VLOOKUP(A46,Database!A:K,MATCH($B$1,Database!$A$1:$K$1,),)</f>
        <v/>
      </c>
      <c r="C46" s="12">
        <f>(B46-B45)/B45</f>
        <v/>
      </c>
      <c r="D46" s="13">
        <f>(B46-B34)/B34</f>
        <v/>
      </c>
    </row>
    <row r="47">
      <c r="A47" s="10" t="n">
        <v>34820</v>
      </c>
      <c r="B47" s="15">
        <f>VLOOKUP(A47,Database!A:K,MATCH($A$1,Database!$A$1:$K$1,),)+VLOOKUP(A47,Database!A:K,MATCH($B$1,Database!$A$1:$K$1,),)</f>
        <v/>
      </c>
      <c r="C47" s="12">
        <f>(B47-B46)/B46</f>
        <v/>
      </c>
      <c r="D47" s="13">
        <f>(B47-B35)/B35</f>
        <v/>
      </c>
    </row>
    <row r="48">
      <c r="A48" s="11" t="n">
        <v>34851</v>
      </c>
      <c r="B48" s="15">
        <f>VLOOKUP(A48,Database!A:K,MATCH($A$1,Database!$A$1:$K$1,),)+VLOOKUP(A48,Database!A:K,MATCH($B$1,Database!$A$1:$K$1,),)</f>
        <v/>
      </c>
      <c r="C48" s="12">
        <f>(B48-B47)/B47</f>
        <v/>
      </c>
      <c r="D48" s="13">
        <f>(B48-B36)/B36</f>
        <v/>
      </c>
    </row>
    <row r="49">
      <c r="A49" s="10" t="n">
        <v>34881</v>
      </c>
      <c r="B49" s="15">
        <f>VLOOKUP(A49,Database!A:K,MATCH($A$1,Database!$A$1:$K$1,),)+VLOOKUP(A49,Database!A:K,MATCH($B$1,Database!$A$1:$K$1,),)</f>
        <v/>
      </c>
      <c r="C49" s="12">
        <f>(B49-B48)/B48</f>
        <v/>
      </c>
      <c r="D49" s="13">
        <f>(B49-B37)/B37</f>
        <v/>
      </c>
    </row>
    <row r="50">
      <c r="A50" s="11" t="n">
        <v>34912</v>
      </c>
      <c r="B50" s="15">
        <f>VLOOKUP(A50,Database!A:K,MATCH($A$1,Database!$A$1:$K$1,),)+VLOOKUP(A50,Database!A:K,MATCH($B$1,Database!$A$1:$K$1,),)</f>
        <v/>
      </c>
      <c r="C50" s="12">
        <f>(B50-B49)/B49</f>
        <v/>
      </c>
      <c r="D50" s="13">
        <f>(B50-B38)/B38</f>
        <v/>
      </c>
    </row>
    <row r="51">
      <c r="A51" s="10" t="n">
        <v>34943</v>
      </c>
      <c r="B51" s="15">
        <f>VLOOKUP(A51,Database!A:K,MATCH($A$1,Database!$A$1:$K$1,),)+VLOOKUP(A51,Database!A:K,MATCH($B$1,Database!$A$1:$K$1,),)</f>
        <v/>
      </c>
      <c r="C51" s="12">
        <f>(B51-B50)/B50</f>
        <v/>
      </c>
      <c r="D51" s="13">
        <f>(B51-B39)/B39</f>
        <v/>
      </c>
    </row>
    <row r="52">
      <c r="A52" s="11" t="n">
        <v>34973</v>
      </c>
      <c r="B52" s="15">
        <f>VLOOKUP(A52,Database!A:K,MATCH($A$1,Database!$A$1:$K$1,),)+VLOOKUP(A52,Database!A:K,MATCH($B$1,Database!$A$1:$K$1,),)</f>
        <v/>
      </c>
      <c r="C52" s="12">
        <f>(B52-B51)/B51</f>
        <v/>
      </c>
      <c r="D52" s="13">
        <f>(B52-B40)/B40</f>
        <v/>
      </c>
    </row>
    <row r="53">
      <c r="A53" s="10" t="n">
        <v>35004</v>
      </c>
      <c r="B53" s="15">
        <f>VLOOKUP(A53,Database!A:K,MATCH($A$1,Database!$A$1:$K$1,),)+VLOOKUP(A53,Database!A:K,MATCH($B$1,Database!$A$1:$K$1,),)</f>
        <v/>
      </c>
      <c r="C53" s="12">
        <f>(B53-B52)/B52</f>
        <v/>
      </c>
      <c r="D53" s="13">
        <f>(B53-B41)/B41</f>
        <v/>
      </c>
    </row>
    <row r="54">
      <c r="A54" s="11" t="n">
        <v>35034</v>
      </c>
      <c r="B54" s="15">
        <f>VLOOKUP(A54,Database!A:K,MATCH($A$1,Database!$A$1:$K$1,),)+VLOOKUP(A54,Database!A:K,MATCH($B$1,Database!$A$1:$K$1,),)</f>
        <v/>
      </c>
      <c r="C54" s="12">
        <f>(B54-B53)/B53</f>
        <v/>
      </c>
      <c r="D54" s="13">
        <f>(B54-B42)/B42</f>
        <v/>
      </c>
    </row>
    <row r="55">
      <c r="A55" s="10" t="n">
        <v>35065</v>
      </c>
      <c r="B55" s="15">
        <f>VLOOKUP(A55,Database!A:K,MATCH($A$1,Database!$A$1:$K$1,),)+VLOOKUP(A55,Database!A:K,MATCH($B$1,Database!$A$1:$K$1,),)</f>
        <v/>
      </c>
      <c r="C55" s="12">
        <f>(B55-B54)/B54</f>
        <v/>
      </c>
      <c r="D55" s="13">
        <f>(B55-B43)/B43</f>
        <v/>
      </c>
    </row>
    <row r="56">
      <c r="A56" s="11" t="n">
        <v>35096</v>
      </c>
      <c r="B56" s="15">
        <f>VLOOKUP(A56,Database!A:K,MATCH($A$1,Database!$A$1:$K$1,),)+VLOOKUP(A56,Database!A:K,MATCH($B$1,Database!$A$1:$K$1,),)</f>
        <v/>
      </c>
      <c r="C56" s="12">
        <f>(B56-B55)/B55</f>
        <v/>
      </c>
      <c r="D56" s="13">
        <f>(B56-B44)/B44</f>
        <v/>
      </c>
    </row>
    <row r="57">
      <c r="A57" s="10" t="n">
        <v>35125</v>
      </c>
      <c r="B57" s="15">
        <f>VLOOKUP(A57,Database!A:K,MATCH($A$1,Database!$A$1:$K$1,),)+VLOOKUP(A57,Database!A:K,MATCH($B$1,Database!$A$1:$K$1,),)</f>
        <v/>
      </c>
      <c r="C57" s="12">
        <f>(B57-B56)/B56</f>
        <v/>
      </c>
      <c r="D57" s="13">
        <f>(B57-B45)/B45</f>
        <v/>
      </c>
    </row>
    <row r="58">
      <c r="A58" s="11" t="n">
        <v>35156</v>
      </c>
      <c r="B58" s="15">
        <f>VLOOKUP(A58,Database!A:K,MATCH($A$1,Database!$A$1:$K$1,),)+VLOOKUP(A58,Database!A:K,MATCH($B$1,Database!$A$1:$K$1,),)</f>
        <v/>
      </c>
      <c r="C58" s="12">
        <f>(B58-B57)/B57</f>
        <v/>
      </c>
      <c r="D58" s="13">
        <f>(B58-B46)/B46</f>
        <v/>
      </c>
    </row>
    <row r="59">
      <c r="A59" s="10" t="n">
        <v>35186</v>
      </c>
      <c r="B59" s="15">
        <f>VLOOKUP(A59,Database!A:K,MATCH($A$1,Database!$A$1:$K$1,),)+VLOOKUP(A59,Database!A:K,MATCH($B$1,Database!$A$1:$K$1,),)</f>
        <v/>
      </c>
      <c r="C59" s="12">
        <f>(B59-B58)/B58</f>
        <v/>
      </c>
      <c r="D59" s="13">
        <f>(B59-B47)/B47</f>
        <v/>
      </c>
    </row>
    <row r="60">
      <c r="A60" s="11" t="n">
        <v>35217</v>
      </c>
      <c r="B60" s="15">
        <f>VLOOKUP(A60,Database!A:K,MATCH($A$1,Database!$A$1:$K$1,),)+VLOOKUP(A60,Database!A:K,MATCH($B$1,Database!$A$1:$K$1,),)</f>
        <v/>
      </c>
      <c r="C60" s="12">
        <f>(B60-B59)/B59</f>
        <v/>
      </c>
      <c r="D60" s="13">
        <f>(B60-B48)/B48</f>
        <v/>
      </c>
    </row>
    <row r="61">
      <c r="A61" s="10" t="n">
        <v>35247</v>
      </c>
      <c r="B61" s="15">
        <f>VLOOKUP(A61,Database!A:K,MATCH($A$1,Database!$A$1:$K$1,),)+VLOOKUP(A61,Database!A:K,MATCH($B$1,Database!$A$1:$K$1,),)</f>
        <v/>
      </c>
      <c r="C61" s="12">
        <f>(B61-B60)/B60</f>
        <v/>
      </c>
      <c r="D61" s="13">
        <f>(B61-B49)/B49</f>
        <v/>
      </c>
    </row>
    <row r="62">
      <c r="A62" s="11" t="n">
        <v>35278</v>
      </c>
      <c r="B62" s="15">
        <f>VLOOKUP(A62,Database!A:K,MATCH($A$1,Database!$A$1:$K$1,),)+VLOOKUP(A62,Database!A:K,MATCH($B$1,Database!$A$1:$K$1,),)</f>
        <v/>
      </c>
      <c r="C62" s="12">
        <f>(B62-B61)/B61</f>
        <v/>
      </c>
      <c r="D62" s="13">
        <f>(B62-B50)/B50</f>
        <v/>
      </c>
    </row>
    <row r="63">
      <c r="A63" s="10" t="n">
        <v>35309</v>
      </c>
      <c r="B63" s="15">
        <f>VLOOKUP(A63,Database!A:K,MATCH($A$1,Database!$A$1:$K$1,),)+VLOOKUP(A63,Database!A:K,MATCH($B$1,Database!$A$1:$K$1,),)</f>
        <v/>
      </c>
      <c r="C63" s="12">
        <f>(B63-B62)/B62</f>
        <v/>
      </c>
      <c r="D63" s="13">
        <f>(B63-B51)/B51</f>
        <v/>
      </c>
    </row>
    <row r="64">
      <c r="A64" s="11" t="n">
        <v>35339</v>
      </c>
      <c r="B64" s="15">
        <f>VLOOKUP(A64,Database!A:K,MATCH($A$1,Database!$A$1:$K$1,),)+VLOOKUP(A64,Database!A:K,MATCH($B$1,Database!$A$1:$K$1,),)</f>
        <v/>
      </c>
      <c r="C64" s="12">
        <f>(B64-B63)/B63</f>
        <v/>
      </c>
      <c r="D64" s="13">
        <f>(B64-B52)/B52</f>
        <v/>
      </c>
    </row>
    <row r="65">
      <c r="A65" s="10" t="n">
        <v>35370</v>
      </c>
      <c r="B65" s="15">
        <f>VLOOKUP(A65,Database!A:K,MATCH($A$1,Database!$A$1:$K$1,),)+VLOOKUP(A65,Database!A:K,MATCH($B$1,Database!$A$1:$K$1,),)</f>
        <v/>
      </c>
      <c r="C65" s="12">
        <f>(B65-B64)/B64</f>
        <v/>
      </c>
      <c r="D65" s="13">
        <f>(B65-B53)/B53</f>
        <v/>
      </c>
    </row>
    <row r="66">
      <c r="A66" s="11" t="n">
        <v>35400</v>
      </c>
      <c r="B66" s="15">
        <f>VLOOKUP(A66,Database!A:K,MATCH($A$1,Database!$A$1:$K$1,),)+VLOOKUP(A66,Database!A:K,MATCH($B$1,Database!$A$1:$K$1,),)</f>
        <v/>
      </c>
      <c r="C66" s="12">
        <f>(B66-B65)/B65</f>
        <v/>
      </c>
      <c r="D66" s="13">
        <f>(B66-B54)/B54</f>
        <v/>
      </c>
    </row>
    <row r="67">
      <c r="A67" s="10" t="n">
        <v>35431</v>
      </c>
      <c r="B67" s="15">
        <f>VLOOKUP(A67,Database!A:K,MATCH($A$1,Database!$A$1:$K$1,),)+VLOOKUP(A67,Database!A:K,MATCH($B$1,Database!$A$1:$K$1,),)</f>
        <v/>
      </c>
      <c r="C67" s="12">
        <f>(B67-B66)/B66</f>
        <v/>
      </c>
      <c r="D67" s="13">
        <f>(B67-B55)/B55</f>
        <v/>
      </c>
    </row>
    <row r="68">
      <c r="A68" s="11" t="n">
        <v>35462</v>
      </c>
      <c r="B68" s="15">
        <f>VLOOKUP(A68,Database!A:K,MATCH($A$1,Database!$A$1:$K$1,),)+VLOOKUP(A68,Database!A:K,MATCH($B$1,Database!$A$1:$K$1,),)</f>
        <v/>
      </c>
      <c r="C68" s="12">
        <f>(B68-B67)/B67</f>
        <v/>
      </c>
      <c r="D68" s="13">
        <f>(B68-B56)/B56</f>
        <v/>
      </c>
    </row>
    <row r="69">
      <c r="A69" s="10" t="n">
        <v>35490</v>
      </c>
      <c r="B69" s="15">
        <f>VLOOKUP(A69,Database!A:K,MATCH($A$1,Database!$A$1:$K$1,),)+VLOOKUP(A69,Database!A:K,MATCH($B$1,Database!$A$1:$K$1,),)</f>
        <v/>
      </c>
      <c r="C69" s="12">
        <f>(B69-B68)/B68</f>
        <v/>
      </c>
      <c r="D69" s="13">
        <f>(B69-B57)/B57</f>
        <v/>
      </c>
    </row>
    <row r="70">
      <c r="A70" s="11" t="n">
        <v>35521</v>
      </c>
      <c r="B70" s="15">
        <f>VLOOKUP(A70,Database!A:K,MATCH($A$1,Database!$A$1:$K$1,),)+VLOOKUP(A70,Database!A:K,MATCH($B$1,Database!$A$1:$K$1,),)</f>
        <v/>
      </c>
      <c r="C70" s="12">
        <f>(B70-B69)/B69</f>
        <v/>
      </c>
      <c r="D70" s="13">
        <f>(B70-B58)/B58</f>
        <v/>
      </c>
    </row>
    <row r="71">
      <c r="A71" s="10" t="n">
        <v>35551</v>
      </c>
      <c r="B71" s="15">
        <f>VLOOKUP(A71,Database!A:K,MATCH($A$1,Database!$A$1:$K$1,),)+VLOOKUP(A71,Database!A:K,MATCH($B$1,Database!$A$1:$K$1,),)</f>
        <v/>
      </c>
      <c r="C71" s="12">
        <f>(B71-B70)/B70</f>
        <v/>
      </c>
      <c r="D71" s="13">
        <f>(B71-B59)/B59</f>
        <v/>
      </c>
    </row>
    <row r="72">
      <c r="A72" s="11" t="n">
        <v>35582</v>
      </c>
      <c r="B72" s="15">
        <f>VLOOKUP(A72,Database!A:K,MATCH($A$1,Database!$A$1:$K$1,),)+VLOOKUP(A72,Database!A:K,MATCH($B$1,Database!$A$1:$K$1,),)</f>
        <v/>
      </c>
      <c r="C72" s="12">
        <f>(B72-B71)/B71</f>
        <v/>
      </c>
      <c r="D72" s="13">
        <f>(B72-B60)/B60</f>
        <v/>
      </c>
    </row>
    <row r="73">
      <c r="A73" s="10" t="n">
        <v>35612</v>
      </c>
      <c r="B73" s="15">
        <f>VLOOKUP(A73,Database!A:K,MATCH($A$1,Database!$A$1:$K$1,),)+VLOOKUP(A73,Database!A:K,MATCH($B$1,Database!$A$1:$K$1,),)</f>
        <v/>
      </c>
      <c r="C73" s="12">
        <f>(B73-B72)/B72</f>
        <v/>
      </c>
      <c r="D73" s="13">
        <f>(B73-B61)/B61</f>
        <v/>
      </c>
    </row>
    <row r="74">
      <c r="A74" s="11" t="n">
        <v>35643</v>
      </c>
      <c r="B74" s="15">
        <f>VLOOKUP(A74,Database!A:K,MATCH($A$1,Database!$A$1:$K$1,),)+VLOOKUP(A74,Database!A:K,MATCH($B$1,Database!$A$1:$K$1,),)</f>
        <v/>
      </c>
      <c r="C74" s="12">
        <f>(B74-B73)/B73</f>
        <v/>
      </c>
      <c r="D74" s="13">
        <f>(B74-B62)/B62</f>
        <v/>
      </c>
    </row>
    <row r="75">
      <c r="A75" s="10" t="n">
        <v>35674</v>
      </c>
      <c r="B75" s="15">
        <f>VLOOKUP(A75,Database!A:K,MATCH($A$1,Database!$A$1:$K$1,),)+VLOOKUP(A75,Database!A:K,MATCH($B$1,Database!$A$1:$K$1,),)</f>
        <v/>
      </c>
      <c r="C75" s="12">
        <f>(B75-B74)/B74</f>
        <v/>
      </c>
      <c r="D75" s="13">
        <f>(B75-B63)/B63</f>
        <v/>
      </c>
    </row>
    <row r="76">
      <c r="A76" s="11" t="n">
        <v>35704</v>
      </c>
      <c r="B76" s="15">
        <f>VLOOKUP(A76,Database!A:K,MATCH($A$1,Database!$A$1:$K$1,),)+VLOOKUP(A76,Database!A:K,MATCH($B$1,Database!$A$1:$K$1,),)</f>
        <v/>
      </c>
      <c r="C76" s="12">
        <f>(B76-B75)/B75</f>
        <v/>
      </c>
      <c r="D76" s="13">
        <f>(B76-B64)/B64</f>
        <v/>
      </c>
    </row>
    <row r="77">
      <c r="A77" s="10" t="n">
        <v>35735</v>
      </c>
      <c r="B77" s="15">
        <f>VLOOKUP(A77,Database!A:K,MATCH($A$1,Database!$A$1:$K$1,),)+VLOOKUP(A77,Database!A:K,MATCH($B$1,Database!$A$1:$K$1,),)</f>
        <v/>
      </c>
      <c r="C77" s="12">
        <f>(B77-B76)/B76</f>
        <v/>
      </c>
      <c r="D77" s="13">
        <f>(B77-B65)/B65</f>
        <v/>
      </c>
    </row>
    <row r="78">
      <c r="A78" s="11" t="n">
        <v>35765</v>
      </c>
      <c r="B78" s="15">
        <f>VLOOKUP(A78,Database!A:K,MATCH($A$1,Database!$A$1:$K$1,),)+VLOOKUP(A78,Database!A:K,MATCH($B$1,Database!$A$1:$K$1,),)</f>
        <v/>
      </c>
      <c r="C78" s="12">
        <f>(B78-B77)/B77</f>
        <v/>
      </c>
      <c r="D78" s="13">
        <f>(B78-B66)/B66</f>
        <v/>
      </c>
    </row>
    <row r="79">
      <c r="A79" s="10" t="n">
        <v>35796</v>
      </c>
      <c r="B79" s="15">
        <f>VLOOKUP(A79,Database!A:K,MATCH($A$1,Database!$A$1:$K$1,),)+VLOOKUP(A79,Database!A:K,MATCH($B$1,Database!$A$1:$K$1,),)</f>
        <v/>
      </c>
      <c r="C79" s="12">
        <f>(B79-B78)/B78</f>
        <v/>
      </c>
      <c r="D79" s="13">
        <f>(B79-B67)/B67</f>
        <v/>
      </c>
    </row>
    <row r="80">
      <c r="A80" s="11" t="n">
        <v>35827</v>
      </c>
      <c r="B80" s="15">
        <f>VLOOKUP(A80,Database!A:K,MATCH($A$1,Database!$A$1:$K$1,),)+VLOOKUP(A80,Database!A:K,MATCH($B$1,Database!$A$1:$K$1,),)</f>
        <v/>
      </c>
      <c r="C80" s="12">
        <f>(B80-B79)/B79</f>
        <v/>
      </c>
      <c r="D80" s="13">
        <f>(B80-B68)/B68</f>
        <v/>
      </c>
    </row>
    <row r="81">
      <c r="A81" s="10" t="n">
        <v>35855</v>
      </c>
      <c r="B81" s="15">
        <f>VLOOKUP(A81,Database!A:K,MATCH($A$1,Database!$A$1:$K$1,),)+VLOOKUP(A81,Database!A:K,MATCH($B$1,Database!$A$1:$K$1,),)</f>
        <v/>
      </c>
      <c r="C81" s="12">
        <f>(B81-B80)/B80</f>
        <v/>
      </c>
      <c r="D81" s="13">
        <f>(B81-B69)/B69</f>
        <v/>
      </c>
    </row>
    <row r="82">
      <c r="A82" s="11" t="n">
        <v>35886</v>
      </c>
      <c r="B82" s="15">
        <f>VLOOKUP(A82,Database!A:K,MATCH($A$1,Database!$A$1:$K$1,),)+VLOOKUP(A82,Database!A:K,MATCH($B$1,Database!$A$1:$K$1,),)</f>
        <v/>
      </c>
      <c r="C82" s="12">
        <f>(B82-B81)/B81</f>
        <v/>
      </c>
      <c r="D82" s="13">
        <f>(B82-B70)/B70</f>
        <v/>
      </c>
    </row>
    <row r="83">
      <c r="A83" s="10" t="n">
        <v>35916</v>
      </c>
      <c r="B83" s="15">
        <f>VLOOKUP(A83,Database!A:K,MATCH($A$1,Database!$A$1:$K$1,),)+VLOOKUP(A83,Database!A:K,MATCH($B$1,Database!$A$1:$K$1,),)</f>
        <v/>
      </c>
      <c r="C83" s="12">
        <f>(B83-B82)/B82</f>
        <v/>
      </c>
      <c r="D83" s="13">
        <f>(B83-B71)/B71</f>
        <v/>
      </c>
    </row>
    <row r="84">
      <c r="A84" s="11" t="n">
        <v>35947</v>
      </c>
      <c r="B84" s="15">
        <f>VLOOKUP(A84,Database!A:K,MATCH($A$1,Database!$A$1:$K$1,),)+VLOOKUP(A84,Database!A:K,MATCH($B$1,Database!$A$1:$K$1,),)</f>
        <v/>
      </c>
      <c r="C84" s="12">
        <f>(B84-B83)/B83</f>
        <v/>
      </c>
      <c r="D84" s="13">
        <f>(B84-B72)/B72</f>
        <v/>
      </c>
    </row>
    <row r="85">
      <c r="A85" s="10" t="n">
        <v>35977</v>
      </c>
      <c r="B85" s="15">
        <f>VLOOKUP(A85,Database!A:K,MATCH($A$1,Database!$A$1:$K$1,),)+VLOOKUP(A85,Database!A:K,MATCH($B$1,Database!$A$1:$K$1,),)</f>
        <v/>
      </c>
      <c r="C85" s="12">
        <f>(B85-B84)/B84</f>
        <v/>
      </c>
      <c r="D85" s="13">
        <f>(B85-B73)/B73</f>
        <v/>
      </c>
    </row>
    <row r="86">
      <c r="A86" s="11" t="n">
        <v>36008</v>
      </c>
      <c r="B86" s="15">
        <f>VLOOKUP(A86,Database!A:K,MATCH($A$1,Database!$A$1:$K$1,),)+VLOOKUP(A86,Database!A:K,MATCH($B$1,Database!$A$1:$K$1,),)</f>
        <v/>
      </c>
      <c r="C86" s="12">
        <f>(B86-B85)/B85</f>
        <v/>
      </c>
      <c r="D86" s="13">
        <f>(B86-B74)/B74</f>
        <v/>
      </c>
    </row>
    <row r="87">
      <c r="A87" s="10" t="n">
        <v>36039</v>
      </c>
      <c r="B87" s="15">
        <f>VLOOKUP(A87,Database!A:K,MATCH($A$1,Database!$A$1:$K$1,),)+VLOOKUP(A87,Database!A:K,MATCH($B$1,Database!$A$1:$K$1,),)</f>
        <v/>
      </c>
      <c r="C87" s="12">
        <f>(B87-B86)/B86</f>
        <v/>
      </c>
      <c r="D87" s="13">
        <f>(B87-B75)/B75</f>
        <v/>
      </c>
    </row>
    <row r="88">
      <c r="A88" s="11" t="n">
        <v>36069</v>
      </c>
      <c r="B88" s="15">
        <f>VLOOKUP(A88,Database!A:K,MATCH($A$1,Database!$A$1:$K$1,),)+VLOOKUP(A88,Database!A:K,MATCH($B$1,Database!$A$1:$K$1,),)</f>
        <v/>
      </c>
      <c r="C88" s="12">
        <f>(B88-B87)/B87</f>
        <v/>
      </c>
      <c r="D88" s="13">
        <f>(B88-B76)/B76</f>
        <v/>
      </c>
    </row>
    <row r="89">
      <c r="A89" s="10" t="n">
        <v>36100</v>
      </c>
      <c r="B89" s="15">
        <f>VLOOKUP(A89,Database!A:K,MATCH($A$1,Database!$A$1:$K$1,),)+VLOOKUP(A89,Database!A:K,MATCH($B$1,Database!$A$1:$K$1,),)</f>
        <v/>
      </c>
      <c r="C89" s="12">
        <f>(B89-B88)/B88</f>
        <v/>
      </c>
      <c r="D89" s="13">
        <f>(B89-B77)/B77</f>
        <v/>
      </c>
    </row>
    <row r="90">
      <c r="A90" s="11" t="n">
        <v>36130</v>
      </c>
      <c r="B90" s="15">
        <f>VLOOKUP(A90,Database!A:K,MATCH($A$1,Database!$A$1:$K$1,),)+VLOOKUP(A90,Database!A:K,MATCH($B$1,Database!$A$1:$K$1,),)</f>
        <v/>
      </c>
      <c r="C90" s="12">
        <f>(B90-B89)/B89</f>
        <v/>
      </c>
      <c r="D90" s="13">
        <f>(B90-B78)/B78</f>
        <v/>
      </c>
    </row>
    <row r="91">
      <c r="A91" s="10" t="n">
        <v>36161</v>
      </c>
      <c r="B91" s="15">
        <f>VLOOKUP(A91,Database!A:K,MATCH($A$1,Database!$A$1:$K$1,),)+VLOOKUP(A91,Database!A:K,MATCH($B$1,Database!$A$1:$K$1,),)</f>
        <v/>
      </c>
      <c r="C91" s="12">
        <f>(B91-B90)/B90</f>
        <v/>
      </c>
      <c r="D91" s="13">
        <f>(B91-B79)/B79</f>
        <v/>
      </c>
    </row>
    <row r="92">
      <c r="A92" s="11" t="n">
        <v>36192</v>
      </c>
      <c r="B92" s="15">
        <f>VLOOKUP(A92,Database!A:K,MATCH($A$1,Database!$A$1:$K$1,),)+VLOOKUP(A92,Database!A:K,MATCH($B$1,Database!$A$1:$K$1,),)</f>
        <v/>
      </c>
      <c r="C92" s="12">
        <f>(B92-B91)/B91</f>
        <v/>
      </c>
      <c r="D92" s="13">
        <f>(B92-B80)/B80</f>
        <v/>
      </c>
    </row>
    <row r="93">
      <c r="A93" s="10" t="n">
        <v>36220</v>
      </c>
      <c r="B93" s="15">
        <f>VLOOKUP(A93,Database!A:K,MATCH($A$1,Database!$A$1:$K$1,),)+VLOOKUP(A93,Database!A:K,MATCH($B$1,Database!$A$1:$K$1,),)</f>
        <v/>
      </c>
      <c r="C93" s="12">
        <f>(B93-B92)/B92</f>
        <v/>
      </c>
      <c r="D93" s="13">
        <f>(B93-B81)/B81</f>
        <v/>
      </c>
    </row>
    <row r="94">
      <c r="A94" s="11" t="n">
        <v>36251</v>
      </c>
      <c r="B94" s="15">
        <f>VLOOKUP(A94,Database!A:K,MATCH($A$1,Database!$A$1:$K$1,),)+VLOOKUP(A94,Database!A:K,MATCH($B$1,Database!$A$1:$K$1,),)</f>
        <v/>
      </c>
      <c r="C94" s="12">
        <f>(B94-B93)/B93</f>
        <v/>
      </c>
      <c r="D94" s="13">
        <f>(B94-B82)/B82</f>
        <v/>
      </c>
    </row>
    <row r="95">
      <c r="A95" s="10" t="n">
        <v>36281</v>
      </c>
      <c r="B95" s="15">
        <f>VLOOKUP(A95,Database!A:K,MATCH($A$1,Database!$A$1:$K$1,),)+VLOOKUP(A95,Database!A:K,MATCH($B$1,Database!$A$1:$K$1,),)</f>
        <v/>
      </c>
      <c r="C95" s="12">
        <f>(B95-B94)/B94</f>
        <v/>
      </c>
      <c r="D95" s="13">
        <f>(B95-B83)/B83</f>
        <v/>
      </c>
    </row>
    <row r="96">
      <c r="A96" s="11" t="n">
        <v>36312</v>
      </c>
      <c r="B96" s="15">
        <f>VLOOKUP(A96,Database!A:K,MATCH($A$1,Database!$A$1:$K$1,),)+VLOOKUP(A96,Database!A:K,MATCH($B$1,Database!$A$1:$K$1,),)</f>
        <v/>
      </c>
      <c r="C96" s="12">
        <f>(B96-B95)/B95</f>
        <v/>
      </c>
      <c r="D96" s="13">
        <f>(B96-B84)/B84</f>
        <v/>
      </c>
    </row>
    <row r="97">
      <c r="A97" s="10" t="n">
        <v>36342</v>
      </c>
      <c r="B97" s="15">
        <f>VLOOKUP(A97,Database!A:K,MATCH($A$1,Database!$A$1:$K$1,),)+VLOOKUP(A97,Database!A:K,MATCH($B$1,Database!$A$1:$K$1,),)</f>
        <v/>
      </c>
      <c r="C97" s="12">
        <f>(B97-B96)/B96</f>
        <v/>
      </c>
      <c r="D97" s="13">
        <f>(B97-B85)/B85</f>
        <v/>
      </c>
    </row>
    <row r="98">
      <c r="A98" s="11" t="n">
        <v>36373</v>
      </c>
      <c r="B98" s="15">
        <f>VLOOKUP(A98,Database!A:K,MATCH($A$1,Database!$A$1:$K$1,),)+VLOOKUP(A98,Database!A:K,MATCH($B$1,Database!$A$1:$K$1,),)</f>
        <v/>
      </c>
      <c r="C98" s="12">
        <f>(B98-B97)/B97</f>
        <v/>
      </c>
      <c r="D98" s="13">
        <f>(B98-B86)/B86</f>
        <v/>
      </c>
    </row>
    <row r="99">
      <c r="A99" s="10" t="n">
        <v>36404</v>
      </c>
      <c r="B99" s="15">
        <f>VLOOKUP(A99,Database!A:K,MATCH($A$1,Database!$A$1:$K$1,),)+VLOOKUP(A99,Database!A:K,MATCH($B$1,Database!$A$1:$K$1,),)</f>
        <v/>
      </c>
      <c r="C99" s="12">
        <f>(B99-B98)/B98</f>
        <v/>
      </c>
      <c r="D99" s="13">
        <f>(B99-B87)/B87</f>
        <v/>
      </c>
    </row>
    <row r="100">
      <c r="A100" s="11" t="n">
        <v>36434</v>
      </c>
      <c r="B100" s="15">
        <f>VLOOKUP(A100,Database!A:K,MATCH($A$1,Database!$A$1:$K$1,),)+VLOOKUP(A100,Database!A:K,MATCH($B$1,Database!$A$1:$K$1,),)</f>
        <v/>
      </c>
      <c r="C100" s="12">
        <f>(B100-B99)/B99</f>
        <v/>
      </c>
      <c r="D100" s="13">
        <f>(B100-B88)/B88</f>
        <v/>
      </c>
    </row>
    <row r="101">
      <c r="A101" s="10" t="n">
        <v>36465</v>
      </c>
      <c r="B101" s="15">
        <f>VLOOKUP(A101,Database!A:K,MATCH($A$1,Database!$A$1:$K$1,),)+VLOOKUP(A101,Database!A:K,MATCH($B$1,Database!$A$1:$K$1,),)</f>
        <v/>
      </c>
      <c r="C101" s="12">
        <f>(B101-B100)/B100</f>
        <v/>
      </c>
      <c r="D101" s="13">
        <f>(B101-B89)/B89</f>
        <v/>
      </c>
    </row>
    <row r="102">
      <c r="A102" s="11" t="n">
        <v>36495</v>
      </c>
      <c r="B102" s="15">
        <f>VLOOKUP(A102,Database!A:K,MATCH($A$1,Database!$A$1:$K$1,),)+VLOOKUP(A102,Database!A:K,MATCH($B$1,Database!$A$1:$K$1,),)</f>
        <v/>
      </c>
      <c r="C102" s="12">
        <f>(B102-B101)/B101</f>
        <v/>
      </c>
      <c r="D102" s="13">
        <f>(B102-B90)/B90</f>
        <v/>
      </c>
    </row>
    <row r="103">
      <c r="A103" s="10" t="n">
        <v>36526</v>
      </c>
      <c r="B103" s="15">
        <f>VLOOKUP(A103,Database!A:K,MATCH($A$1,Database!$A$1:$K$1,),)+VLOOKUP(A103,Database!A:K,MATCH($B$1,Database!$A$1:$K$1,),)</f>
        <v/>
      </c>
      <c r="C103" s="12">
        <f>(B103-B102)/B102</f>
        <v/>
      </c>
      <c r="D103" s="13">
        <f>(B103-B91)/B91</f>
        <v/>
      </c>
    </row>
    <row r="104">
      <c r="A104" s="11" t="n">
        <v>36557</v>
      </c>
      <c r="B104" s="15">
        <f>VLOOKUP(A104,Database!A:K,MATCH($A$1,Database!$A$1:$K$1,),)+VLOOKUP(A104,Database!A:K,MATCH($B$1,Database!$A$1:$K$1,),)</f>
        <v/>
      </c>
      <c r="C104" s="12">
        <f>(B104-B103)/B103</f>
        <v/>
      </c>
      <c r="D104" s="13">
        <f>(B104-B92)/B92</f>
        <v/>
      </c>
    </row>
    <row r="105">
      <c r="A105" s="10" t="n">
        <v>36586</v>
      </c>
      <c r="B105" s="15">
        <f>VLOOKUP(A105,Database!A:K,MATCH($A$1,Database!$A$1:$K$1,),)+VLOOKUP(A105,Database!A:K,MATCH($B$1,Database!$A$1:$K$1,),)</f>
        <v/>
      </c>
      <c r="C105" s="12">
        <f>(B105-B104)/B104</f>
        <v/>
      </c>
      <c r="D105" s="13">
        <f>(B105-B93)/B93</f>
        <v/>
      </c>
    </row>
    <row r="106">
      <c r="A106" s="11" t="n">
        <v>36617</v>
      </c>
      <c r="B106" s="15">
        <f>VLOOKUP(A106,Database!A:K,MATCH($A$1,Database!$A$1:$K$1,),)+VLOOKUP(A106,Database!A:K,MATCH($B$1,Database!$A$1:$K$1,),)</f>
        <v/>
      </c>
      <c r="C106" s="12">
        <f>(B106-B105)/B105</f>
        <v/>
      </c>
      <c r="D106" s="13">
        <f>(B106-B94)/B94</f>
        <v/>
      </c>
    </row>
    <row r="107">
      <c r="A107" s="10" t="n">
        <v>36647</v>
      </c>
      <c r="B107" s="15">
        <f>VLOOKUP(A107,Database!A:K,MATCH($A$1,Database!$A$1:$K$1,),)+VLOOKUP(A107,Database!A:K,MATCH($B$1,Database!$A$1:$K$1,),)</f>
        <v/>
      </c>
      <c r="C107" s="12">
        <f>(B107-B106)/B106</f>
        <v/>
      </c>
      <c r="D107" s="13">
        <f>(B107-B95)/B95</f>
        <v/>
      </c>
    </row>
    <row r="108">
      <c r="A108" s="11" t="n">
        <v>36678</v>
      </c>
      <c r="B108" s="15">
        <f>VLOOKUP(A108,Database!A:K,MATCH($A$1,Database!$A$1:$K$1,),)+VLOOKUP(A108,Database!A:K,MATCH($B$1,Database!$A$1:$K$1,),)</f>
        <v/>
      </c>
      <c r="C108" s="12">
        <f>(B108-B107)/B107</f>
        <v/>
      </c>
      <c r="D108" s="13">
        <f>(B108-B96)/B96</f>
        <v/>
      </c>
    </row>
    <row r="109">
      <c r="A109" s="10" t="n">
        <v>36708</v>
      </c>
      <c r="B109" s="15">
        <f>VLOOKUP(A109,Database!A:K,MATCH($A$1,Database!$A$1:$K$1,),)+VLOOKUP(A109,Database!A:K,MATCH($B$1,Database!$A$1:$K$1,),)</f>
        <v/>
      </c>
      <c r="C109" s="12">
        <f>(B109-B108)/B108</f>
        <v/>
      </c>
      <c r="D109" s="13">
        <f>(B109-B97)/B97</f>
        <v/>
      </c>
    </row>
    <row r="110">
      <c r="A110" s="11" t="n">
        <v>36739</v>
      </c>
      <c r="B110" s="15">
        <f>VLOOKUP(A110,Database!A:K,MATCH($A$1,Database!$A$1:$K$1,),)+VLOOKUP(A110,Database!A:K,MATCH($B$1,Database!$A$1:$K$1,),)</f>
        <v/>
      </c>
      <c r="C110" s="12">
        <f>(B110-B109)/B109</f>
        <v/>
      </c>
      <c r="D110" s="13">
        <f>(B110-B98)/B98</f>
        <v/>
      </c>
    </row>
    <row r="111">
      <c r="A111" s="10" t="n">
        <v>36770</v>
      </c>
      <c r="B111" s="15">
        <f>VLOOKUP(A111,Database!A:K,MATCH($A$1,Database!$A$1:$K$1,),)+VLOOKUP(A111,Database!A:K,MATCH($B$1,Database!$A$1:$K$1,),)</f>
        <v/>
      </c>
      <c r="C111" s="12">
        <f>(B111-B110)/B110</f>
        <v/>
      </c>
      <c r="D111" s="13">
        <f>(B111-B99)/B99</f>
        <v/>
      </c>
    </row>
    <row r="112">
      <c r="A112" s="11" t="n">
        <v>36800</v>
      </c>
      <c r="B112" s="15">
        <f>VLOOKUP(A112,Database!A:K,MATCH($A$1,Database!$A$1:$K$1,),)+VLOOKUP(A112,Database!A:K,MATCH($B$1,Database!$A$1:$K$1,),)</f>
        <v/>
      </c>
      <c r="C112" s="12">
        <f>(B112-B111)/B111</f>
        <v/>
      </c>
      <c r="D112" s="13">
        <f>(B112-B100)/B100</f>
        <v/>
      </c>
    </row>
    <row r="113">
      <c r="A113" s="10" t="n">
        <v>36831</v>
      </c>
      <c r="B113" s="15">
        <f>VLOOKUP(A113,Database!A:K,MATCH($A$1,Database!$A$1:$K$1,),)+VLOOKUP(A113,Database!A:K,MATCH($B$1,Database!$A$1:$K$1,),)</f>
        <v/>
      </c>
      <c r="C113" s="12">
        <f>(B113-B112)/B112</f>
        <v/>
      </c>
      <c r="D113" s="13">
        <f>(B113-B101)/B101</f>
        <v/>
      </c>
    </row>
    <row r="114">
      <c r="A114" s="11" t="n">
        <v>36861</v>
      </c>
      <c r="B114" s="15">
        <f>VLOOKUP(A114,Database!A:K,MATCH($A$1,Database!$A$1:$K$1,),)+VLOOKUP(A114,Database!A:K,MATCH($B$1,Database!$A$1:$K$1,),)</f>
        <v/>
      </c>
      <c r="C114" s="12">
        <f>(B114-B113)/B113</f>
        <v/>
      </c>
      <c r="D114" s="13">
        <f>(B114-B102)/B102</f>
        <v/>
      </c>
    </row>
    <row r="115">
      <c r="A115" s="10" t="n">
        <v>36892</v>
      </c>
      <c r="B115" s="15">
        <f>VLOOKUP(A115,Database!A:K,MATCH($A$1,Database!$A$1:$K$1,),)+VLOOKUP(A115,Database!A:K,MATCH($B$1,Database!$A$1:$K$1,),)</f>
        <v/>
      </c>
      <c r="C115" s="12">
        <f>(B115-B114)/B114</f>
        <v/>
      </c>
      <c r="D115" s="13">
        <f>(B115-B103)/B103</f>
        <v/>
      </c>
    </row>
    <row r="116">
      <c r="A116" s="11" t="n">
        <v>36923</v>
      </c>
      <c r="B116" s="15">
        <f>VLOOKUP(A116,Database!A:K,MATCH($A$1,Database!$A$1:$K$1,),)+VLOOKUP(A116,Database!A:K,MATCH($B$1,Database!$A$1:$K$1,),)</f>
        <v/>
      </c>
      <c r="C116" s="12">
        <f>(B116-B115)/B115</f>
        <v/>
      </c>
      <c r="D116" s="13">
        <f>(B116-B104)/B104</f>
        <v/>
      </c>
    </row>
    <row r="117">
      <c r="A117" s="10" t="n">
        <v>36951</v>
      </c>
      <c r="B117" s="15">
        <f>VLOOKUP(A117,Database!A:K,MATCH($A$1,Database!$A$1:$K$1,),)+VLOOKUP(A117,Database!A:K,MATCH($B$1,Database!$A$1:$K$1,),)</f>
        <v/>
      </c>
      <c r="C117" s="12">
        <f>(B117-B116)/B116</f>
        <v/>
      </c>
      <c r="D117" s="13">
        <f>(B117-B105)/B105</f>
        <v/>
      </c>
    </row>
    <row r="118">
      <c r="A118" s="11" t="n">
        <v>36982</v>
      </c>
      <c r="B118" s="15">
        <f>VLOOKUP(A118,Database!A:K,MATCH($A$1,Database!$A$1:$K$1,),)+VLOOKUP(A118,Database!A:K,MATCH($B$1,Database!$A$1:$K$1,),)</f>
        <v/>
      </c>
      <c r="C118" s="12">
        <f>(B118-B117)/B117</f>
        <v/>
      </c>
      <c r="D118" s="13">
        <f>(B118-B106)/B106</f>
        <v/>
      </c>
    </row>
    <row r="119">
      <c r="A119" s="10" t="n">
        <v>37012</v>
      </c>
      <c r="B119" s="15">
        <f>VLOOKUP(A119,Database!A:K,MATCH($A$1,Database!$A$1:$K$1,),)+VLOOKUP(A119,Database!A:K,MATCH($B$1,Database!$A$1:$K$1,),)</f>
        <v/>
      </c>
      <c r="C119" s="12">
        <f>(B119-B118)/B118</f>
        <v/>
      </c>
      <c r="D119" s="13">
        <f>(B119-B107)/B107</f>
        <v/>
      </c>
    </row>
    <row r="120">
      <c r="A120" s="11" t="n">
        <v>37043</v>
      </c>
      <c r="B120" s="15">
        <f>VLOOKUP(A120,Database!A:K,MATCH($A$1,Database!$A$1:$K$1,),)+VLOOKUP(A120,Database!A:K,MATCH($B$1,Database!$A$1:$K$1,),)</f>
        <v/>
      </c>
      <c r="C120" s="12">
        <f>(B120-B119)/B119</f>
        <v/>
      </c>
      <c r="D120" s="13">
        <f>(B120-B108)/B108</f>
        <v/>
      </c>
    </row>
    <row r="121">
      <c r="A121" s="10" t="n">
        <v>37073</v>
      </c>
      <c r="B121" s="15">
        <f>VLOOKUP(A121,Database!A:K,MATCH($A$1,Database!$A$1:$K$1,),)+VLOOKUP(A121,Database!A:K,MATCH($B$1,Database!$A$1:$K$1,),)</f>
        <v/>
      </c>
      <c r="C121" s="12">
        <f>(B121-B120)/B120</f>
        <v/>
      </c>
      <c r="D121" s="13">
        <f>(B121-B109)/B109</f>
        <v/>
      </c>
    </row>
    <row r="122">
      <c r="A122" s="11" t="n">
        <v>37104</v>
      </c>
      <c r="B122" s="15">
        <f>VLOOKUP(A122,Database!A:K,MATCH($A$1,Database!$A$1:$K$1,),)+VLOOKUP(A122,Database!A:K,MATCH($B$1,Database!$A$1:$K$1,),)</f>
        <v/>
      </c>
      <c r="C122" s="12">
        <f>(B122-B121)/B121</f>
        <v/>
      </c>
      <c r="D122" s="13">
        <f>(B122-B110)/B110</f>
        <v/>
      </c>
    </row>
    <row r="123">
      <c r="A123" s="10" t="n">
        <v>37135</v>
      </c>
      <c r="B123" s="15">
        <f>VLOOKUP(A123,Database!A:K,MATCH($A$1,Database!$A$1:$K$1,),)+VLOOKUP(A123,Database!A:K,MATCH($B$1,Database!$A$1:$K$1,),)</f>
        <v/>
      </c>
      <c r="C123" s="12">
        <f>(B123-B122)/B122</f>
        <v/>
      </c>
      <c r="D123" s="13">
        <f>(B123-B111)/B111</f>
        <v/>
      </c>
    </row>
    <row r="124">
      <c r="A124" s="11" t="n">
        <v>37165</v>
      </c>
      <c r="B124" s="15">
        <f>VLOOKUP(A124,Database!A:K,MATCH($A$1,Database!$A$1:$K$1,),)+VLOOKUP(A124,Database!A:K,MATCH($B$1,Database!$A$1:$K$1,),)</f>
        <v/>
      </c>
      <c r="C124" s="12">
        <f>(B124-B123)/B123</f>
        <v/>
      </c>
      <c r="D124" s="13">
        <f>(B124-B112)/B112</f>
        <v/>
      </c>
    </row>
    <row r="125">
      <c r="A125" s="10" t="n">
        <v>37196</v>
      </c>
      <c r="B125" s="15">
        <f>VLOOKUP(A125,Database!A:K,MATCH($A$1,Database!$A$1:$K$1,),)+VLOOKUP(A125,Database!A:K,MATCH($B$1,Database!$A$1:$K$1,),)</f>
        <v/>
      </c>
      <c r="C125" s="12">
        <f>(B125-B124)/B124</f>
        <v/>
      </c>
      <c r="D125" s="13">
        <f>(B125-B113)/B113</f>
        <v/>
      </c>
    </row>
    <row r="126">
      <c r="A126" s="11" t="n">
        <v>37226</v>
      </c>
      <c r="B126" s="15">
        <f>VLOOKUP(A126,Database!A:K,MATCH($A$1,Database!$A$1:$K$1,),)+VLOOKUP(A126,Database!A:K,MATCH($B$1,Database!$A$1:$K$1,),)</f>
        <v/>
      </c>
      <c r="C126" s="12">
        <f>(B126-B125)/B125</f>
        <v/>
      </c>
      <c r="D126" s="13">
        <f>(B126-B114)/B114</f>
        <v/>
      </c>
    </row>
    <row r="127">
      <c r="A127" s="10" t="n">
        <v>37257</v>
      </c>
      <c r="B127" s="15">
        <f>VLOOKUP(A127,Database!A:K,MATCH($A$1,Database!$A$1:$K$1,),)+VLOOKUP(A127,Database!A:K,MATCH($B$1,Database!$A$1:$K$1,),)</f>
        <v/>
      </c>
      <c r="C127" s="12">
        <f>(B127-B126)/B126</f>
        <v/>
      </c>
      <c r="D127" s="13">
        <f>(B127-B115)/B115</f>
        <v/>
      </c>
    </row>
    <row r="128">
      <c r="A128" s="11" t="n">
        <v>37288</v>
      </c>
      <c r="B128" s="15">
        <f>VLOOKUP(A128,Database!A:K,MATCH($A$1,Database!$A$1:$K$1,),)+VLOOKUP(A128,Database!A:K,MATCH($B$1,Database!$A$1:$K$1,),)</f>
        <v/>
      </c>
      <c r="C128" s="12">
        <f>(B128-B127)/B127</f>
        <v/>
      </c>
      <c r="D128" s="13">
        <f>(B128-B116)/B116</f>
        <v/>
      </c>
    </row>
    <row r="129">
      <c r="A129" s="10" t="n">
        <v>37316</v>
      </c>
      <c r="B129" s="15">
        <f>VLOOKUP(A129,Database!A:K,MATCH($A$1,Database!$A$1:$K$1,),)+VLOOKUP(A129,Database!A:K,MATCH($B$1,Database!$A$1:$K$1,),)</f>
        <v/>
      </c>
      <c r="C129" s="12">
        <f>(B129-B128)/B128</f>
        <v/>
      </c>
      <c r="D129" s="13">
        <f>(B129-B117)/B117</f>
        <v/>
      </c>
    </row>
    <row r="130">
      <c r="A130" s="11" t="n">
        <v>37347</v>
      </c>
      <c r="B130" s="15">
        <f>VLOOKUP(A130,Database!A:K,MATCH($A$1,Database!$A$1:$K$1,),)+VLOOKUP(A130,Database!A:K,MATCH($B$1,Database!$A$1:$K$1,),)</f>
        <v/>
      </c>
      <c r="C130" s="12">
        <f>(B130-B129)/B129</f>
        <v/>
      </c>
      <c r="D130" s="13">
        <f>(B130-B118)/B118</f>
        <v/>
      </c>
    </row>
    <row r="131">
      <c r="A131" s="10" t="n">
        <v>37377</v>
      </c>
      <c r="B131" s="15">
        <f>VLOOKUP(A131,Database!A:K,MATCH($A$1,Database!$A$1:$K$1,),)+VLOOKUP(A131,Database!A:K,MATCH($B$1,Database!$A$1:$K$1,),)</f>
        <v/>
      </c>
      <c r="C131" s="12">
        <f>(B131-B130)/B130</f>
        <v/>
      </c>
      <c r="D131" s="13">
        <f>(B131-B119)/B119</f>
        <v/>
      </c>
    </row>
    <row r="132">
      <c r="A132" s="11" t="n">
        <v>37408</v>
      </c>
      <c r="B132" s="15">
        <f>VLOOKUP(A132,Database!A:K,MATCH($A$1,Database!$A$1:$K$1,),)+VLOOKUP(A132,Database!A:K,MATCH($B$1,Database!$A$1:$K$1,),)</f>
        <v/>
      </c>
      <c r="C132" s="12">
        <f>(B132-B131)/B131</f>
        <v/>
      </c>
      <c r="D132" s="13">
        <f>(B132-B120)/B120</f>
        <v/>
      </c>
    </row>
    <row r="133">
      <c r="A133" s="10" t="n">
        <v>37438</v>
      </c>
      <c r="B133" s="15">
        <f>VLOOKUP(A133,Database!A:K,MATCH($A$1,Database!$A$1:$K$1,),)+VLOOKUP(A133,Database!A:K,MATCH($B$1,Database!$A$1:$K$1,),)</f>
        <v/>
      </c>
      <c r="C133" s="12">
        <f>(B133-B132)/B132</f>
        <v/>
      </c>
      <c r="D133" s="13">
        <f>(B133-B121)/B121</f>
        <v/>
      </c>
    </row>
    <row r="134">
      <c r="A134" s="11" t="n">
        <v>37469</v>
      </c>
      <c r="B134" s="15">
        <f>VLOOKUP(A134,Database!A:K,MATCH($A$1,Database!$A$1:$K$1,),)+VLOOKUP(A134,Database!A:K,MATCH($B$1,Database!$A$1:$K$1,),)</f>
        <v/>
      </c>
      <c r="C134" s="12">
        <f>(B134-B133)/B133</f>
        <v/>
      </c>
      <c r="D134" s="13">
        <f>(B134-B122)/B122</f>
        <v/>
      </c>
    </row>
    <row r="135">
      <c r="A135" s="10" t="n">
        <v>37500</v>
      </c>
      <c r="B135" s="15">
        <f>VLOOKUP(A135,Database!A:K,MATCH($A$1,Database!$A$1:$K$1,),)+VLOOKUP(A135,Database!A:K,MATCH($B$1,Database!$A$1:$K$1,),)</f>
        <v/>
      </c>
      <c r="C135" s="12">
        <f>(B135-B134)/B134</f>
        <v/>
      </c>
      <c r="D135" s="13">
        <f>(B135-B123)/B123</f>
        <v/>
      </c>
    </row>
    <row r="136">
      <c r="A136" s="11" t="n">
        <v>37530</v>
      </c>
      <c r="B136" s="15">
        <f>VLOOKUP(A136,Database!A:K,MATCH($A$1,Database!$A$1:$K$1,),)+VLOOKUP(A136,Database!A:K,MATCH($B$1,Database!$A$1:$K$1,),)</f>
        <v/>
      </c>
      <c r="C136" s="12">
        <f>(B136-B135)/B135</f>
        <v/>
      </c>
      <c r="D136" s="13">
        <f>(B136-B124)/B124</f>
        <v/>
      </c>
    </row>
    <row r="137">
      <c r="A137" s="10" t="n">
        <v>37561</v>
      </c>
      <c r="B137" s="15">
        <f>VLOOKUP(A137,Database!A:K,MATCH($A$1,Database!$A$1:$K$1,),)+VLOOKUP(A137,Database!A:K,MATCH($B$1,Database!$A$1:$K$1,),)</f>
        <v/>
      </c>
      <c r="C137" s="12">
        <f>(B137-B136)/B136</f>
        <v/>
      </c>
      <c r="D137" s="13">
        <f>(B137-B125)/B125</f>
        <v/>
      </c>
    </row>
    <row r="138">
      <c r="A138" s="11" t="n">
        <v>37591</v>
      </c>
      <c r="B138" s="15">
        <f>VLOOKUP(A138,Database!A:K,MATCH($A$1,Database!$A$1:$K$1,),)+VLOOKUP(A138,Database!A:K,MATCH($B$1,Database!$A$1:$K$1,),)</f>
        <v/>
      </c>
      <c r="C138" s="12">
        <f>(B138-B137)/B137</f>
        <v/>
      </c>
      <c r="D138" s="13">
        <f>(B138-B126)/B126</f>
        <v/>
      </c>
    </row>
    <row r="139">
      <c r="A139" s="10" t="n">
        <v>37622</v>
      </c>
      <c r="B139" s="15">
        <f>VLOOKUP(A139,Database!A:K,MATCH($A$1,Database!$A$1:$K$1,),)+VLOOKUP(A139,Database!A:K,MATCH($B$1,Database!$A$1:$K$1,),)</f>
        <v/>
      </c>
      <c r="C139" s="12">
        <f>(B139-B138)/B138</f>
        <v/>
      </c>
      <c r="D139" s="13">
        <f>(B139-B127)/B127</f>
        <v/>
      </c>
    </row>
    <row r="140">
      <c r="A140" s="11" t="n">
        <v>37653</v>
      </c>
      <c r="B140" s="15">
        <f>VLOOKUP(A140,Database!A:K,MATCH($A$1,Database!$A$1:$K$1,),)+VLOOKUP(A140,Database!A:K,MATCH($B$1,Database!$A$1:$K$1,),)</f>
        <v/>
      </c>
      <c r="C140" s="12">
        <f>(B140-B139)/B139</f>
        <v/>
      </c>
      <c r="D140" s="13">
        <f>(B140-B128)/B128</f>
        <v/>
      </c>
    </row>
    <row r="141">
      <c r="A141" s="10" t="n">
        <v>37681</v>
      </c>
      <c r="B141" s="15">
        <f>VLOOKUP(A141,Database!A:K,MATCH($A$1,Database!$A$1:$K$1,),)+VLOOKUP(A141,Database!A:K,MATCH($B$1,Database!$A$1:$K$1,),)</f>
        <v/>
      </c>
      <c r="C141" s="12">
        <f>(B141-B140)/B140</f>
        <v/>
      </c>
      <c r="D141" s="13">
        <f>(B141-B129)/B129</f>
        <v/>
      </c>
    </row>
    <row r="142">
      <c r="A142" s="11" t="n">
        <v>37712</v>
      </c>
      <c r="B142" s="15">
        <f>VLOOKUP(A142,Database!A:K,MATCH($A$1,Database!$A$1:$K$1,),)+VLOOKUP(A142,Database!A:K,MATCH($B$1,Database!$A$1:$K$1,),)</f>
        <v/>
      </c>
      <c r="C142" s="12">
        <f>(B142-B141)/B141</f>
        <v/>
      </c>
      <c r="D142" s="13">
        <f>(B142-B130)/B130</f>
        <v/>
      </c>
    </row>
    <row r="143">
      <c r="A143" s="10" t="n">
        <v>37742</v>
      </c>
      <c r="B143" s="15">
        <f>VLOOKUP(A143,Database!A:K,MATCH($A$1,Database!$A$1:$K$1,),)+VLOOKUP(A143,Database!A:K,MATCH($B$1,Database!$A$1:$K$1,),)</f>
        <v/>
      </c>
      <c r="C143" s="12">
        <f>(B143-B142)/B142</f>
        <v/>
      </c>
      <c r="D143" s="13">
        <f>(B143-B131)/B131</f>
        <v/>
      </c>
    </row>
    <row r="144">
      <c r="A144" s="11" t="n">
        <v>37773</v>
      </c>
      <c r="B144" s="15">
        <f>VLOOKUP(A144,Database!A:K,MATCH($A$1,Database!$A$1:$K$1,),)+VLOOKUP(A144,Database!A:K,MATCH($B$1,Database!$A$1:$K$1,),)</f>
        <v/>
      </c>
      <c r="C144" s="12">
        <f>(B144-B143)/B143</f>
        <v/>
      </c>
      <c r="D144" s="13">
        <f>(B144-B132)/B132</f>
        <v/>
      </c>
    </row>
    <row r="145">
      <c r="A145" s="10" t="n">
        <v>37803</v>
      </c>
      <c r="B145" s="15">
        <f>VLOOKUP(A145,Database!A:K,MATCH($A$1,Database!$A$1:$K$1,),)+VLOOKUP(A145,Database!A:K,MATCH($B$1,Database!$A$1:$K$1,),)</f>
        <v/>
      </c>
      <c r="C145" s="12">
        <f>(B145-B144)/B144</f>
        <v/>
      </c>
      <c r="D145" s="13">
        <f>(B145-B133)/B133</f>
        <v/>
      </c>
    </row>
    <row r="146">
      <c r="A146" s="11" t="n">
        <v>37834</v>
      </c>
      <c r="B146" s="15">
        <f>VLOOKUP(A146,Database!A:K,MATCH($A$1,Database!$A$1:$K$1,),)+VLOOKUP(A146,Database!A:K,MATCH($B$1,Database!$A$1:$K$1,),)</f>
        <v/>
      </c>
      <c r="C146" s="12">
        <f>(B146-B145)/B145</f>
        <v/>
      </c>
      <c r="D146" s="13">
        <f>(B146-B134)/B134</f>
        <v/>
      </c>
    </row>
    <row r="147">
      <c r="A147" s="10" t="n">
        <v>37865</v>
      </c>
      <c r="B147" s="15">
        <f>VLOOKUP(A147,Database!A:K,MATCH($A$1,Database!$A$1:$K$1,),)+VLOOKUP(A147,Database!A:K,MATCH($B$1,Database!$A$1:$K$1,),)</f>
        <v/>
      </c>
      <c r="C147" s="12">
        <f>(B147-B146)/B146</f>
        <v/>
      </c>
      <c r="D147" s="13">
        <f>(B147-B135)/B135</f>
        <v/>
      </c>
    </row>
    <row r="148">
      <c r="A148" s="11" t="n">
        <v>37895</v>
      </c>
      <c r="B148" s="15">
        <f>VLOOKUP(A148,Database!A:K,MATCH($A$1,Database!$A$1:$K$1,),)+VLOOKUP(A148,Database!A:K,MATCH($B$1,Database!$A$1:$K$1,),)</f>
        <v/>
      </c>
      <c r="C148" s="12">
        <f>(B148-B147)/B147</f>
        <v/>
      </c>
      <c r="D148" s="13">
        <f>(B148-B136)/B136</f>
        <v/>
      </c>
    </row>
    <row r="149">
      <c r="A149" s="10" t="n">
        <v>37926</v>
      </c>
      <c r="B149" s="15">
        <f>VLOOKUP(A149,Database!A:K,MATCH($A$1,Database!$A$1:$K$1,),)+VLOOKUP(A149,Database!A:K,MATCH($B$1,Database!$A$1:$K$1,),)</f>
        <v/>
      </c>
      <c r="C149" s="12">
        <f>(B149-B148)/B148</f>
        <v/>
      </c>
      <c r="D149" s="13">
        <f>(B149-B137)/B137</f>
        <v/>
      </c>
    </row>
    <row r="150">
      <c r="A150" s="11" t="n">
        <v>37956</v>
      </c>
      <c r="B150" s="15">
        <f>VLOOKUP(A150,Database!A:K,MATCH($A$1,Database!$A$1:$K$1,),)+VLOOKUP(A150,Database!A:K,MATCH($B$1,Database!$A$1:$K$1,),)</f>
        <v/>
      </c>
      <c r="C150" s="12">
        <f>(B150-B149)/B149</f>
        <v/>
      </c>
      <c r="D150" s="13">
        <f>(B150-B138)/B138</f>
        <v/>
      </c>
    </row>
    <row r="151">
      <c r="A151" s="10" t="n">
        <v>37987</v>
      </c>
      <c r="B151" s="15">
        <f>VLOOKUP(A151,Database!A:K,MATCH($A$1,Database!$A$1:$K$1,),)+VLOOKUP(A151,Database!A:K,MATCH($B$1,Database!$A$1:$K$1,),)</f>
        <v/>
      </c>
      <c r="C151" s="12">
        <f>(B151-B150)/B150</f>
        <v/>
      </c>
      <c r="D151" s="13">
        <f>(B151-B139)/B139</f>
        <v/>
      </c>
    </row>
    <row r="152">
      <c r="A152" s="11" t="n">
        <v>38018</v>
      </c>
      <c r="B152" s="15">
        <f>VLOOKUP(A152,Database!A:K,MATCH($A$1,Database!$A$1:$K$1,),)+VLOOKUP(A152,Database!A:K,MATCH($B$1,Database!$A$1:$K$1,),)</f>
        <v/>
      </c>
      <c r="C152" s="12">
        <f>(B152-B151)/B151</f>
        <v/>
      </c>
      <c r="D152" s="13">
        <f>(B152-B140)/B140</f>
        <v/>
      </c>
    </row>
    <row r="153">
      <c r="A153" s="10" t="n">
        <v>38047</v>
      </c>
      <c r="B153" s="15">
        <f>VLOOKUP(A153,Database!A:K,MATCH($A$1,Database!$A$1:$K$1,),)+VLOOKUP(A153,Database!A:K,MATCH($B$1,Database!$A$1:$K$1,),)</f>
        <v/>
      </c>
      <c r="C153" s="12">
        <f>(B153-B152)/B152</f>
        <v/>
      </c>
      <c r="D153" s="13">
        <f>(B153-B141)/B141</f>
        <v/>
      </c>
    </row>
    <row r="154">
      <c r="A154" s="11" t="n">
        <v>38078</v>
      </c>
      <c r="B154" s="15">
        <f>VLOOKUP(A154,Database!A:K,MATCH($A$1,Database!$A$1:$K$1,),)+VLOOKUP(A154,Database!A:K,MATCH($B$1,Database!$A$1:$K$1,),)</f>
        <v/>
      </c>
      <c r="C154" s="12">
        <f>(B154-B153)/B153</f>
        <v/>
      </c>
      <c r="D154" s="13">
        <f>(B154-B142)/B142</f>
        <v/>
      </c>
    </row>
    <row r="155">
      <c r="A155" s="10" t="n">
        <v>38108</v>
      </c>
      <c r="B155" s="15">
        <f>VLOOKUP(A155,Database!A:K,MATCH($A$1,Database!$A$1:$K$1,),)+VLOOKUP(A155,Database!A:K,MATCH($B$1,Database!$A$1:$K$1,),)</f>
        <v/>
      </c>
      <c r="C155" s="12">
        <f>(B155-B154)/B154</f>
        <v/>
      </c>
      <c r="D155" s="13">
        <f>(B155-B143)/B143</f>
        <v/>
      </c>
    </row>
    <row r="156">
      <c r="A156" s="11" t="n">
        <v>38139</v>
      </c>
      <c r="B156" s="15">
        <f>VLOOKUP(A156,Database!A:K,MATCH($A$1,Database!$A$1:$K$1,),)+VLOOKUP(A156,Database!A:K,MATCH($B$1,Database!$A$1:$K$1,),)</f>
        <v/>
      </c>
      <c r="C156" s="12">
        <f>(B156-B155)/B155</f>
        <v/>
      </c>
      <c r="D156" s="13">
        <f>(B156-B144)/B144</f>
        <v/>
      </c>
    </row>
    <row r="157">
      <c r="A157" s="10" t="n">
        <v>38169</v>
      </c>
      <c r="B157" s="15">
        <f>VLOOKUP(A157,Database!A:K,MATCH($A$1,Database!$A$1:$K$1,),)+VLOOKUP(A157,Database!A:K,MATCH($B$1,Database!$A$1:$K$1,),)</f>
        <v/>
      </c>
      <c r="C157" s="12">
        <f>(B157-B156)/B156</f>
        <v/>
      </c>
      <c r="D157" s="13">
        <f>(B157-B145)/B145</f>
        <v/>
      </c>
    </row>
    <row r="158">
      <c r="A158" s="11" t="n">
        <v>38200</v>
      </c>
      <c r="B158" s="15">
        <f>VLOOKUP(A158,Database!A:K,MATCH($A$1,Database!$A$1:$K$1,),)+VLOOKUP(A158,Database!A:K,MATCH($B$1,Database!$A$1:$K$1,),)</f>
        <v/>
      </c>
      <c r="C158" s="12">
        <f>(B158-B157)/B157</f>
        <v/>
      </c>
      <c r="D158" s="13">
        <f>(B158-B146)/B146</f>
        <v/>
      </c>
    </row>
    <row r="159">
      <c r="A159" s="10" t="n">
        <v>38231</v>
      </c>
      <c r="B159" s="15">
        <f>VLOOKUP(A159,Database!A:K,MATCH($A$1,Database!$A$1:$K$1,),)+VLOOKUP(A159,Database!A:K,MATCH($B$1,Database!$A$1:$K$1,),)</f>
        <v/>
      </c>
      <c r="C159" s="12">
        <f>(B159-B158)/B158</f>
        <v/>
      </c>
      <c r="D159" s="13">
        <f>(B159-B147)/B147</f>
        <v/>
      </c>
    </row>
    <row r="160">
      <c r="A160" s="11" t="n">
        <v>38261</v>
      </c>
      <c r="B160" s="15">
        <f>VLOOKUP(A160,Database!A:K,MATCH($A$1,Database!$A$1:$K$1,),)+VLOOKUP(A160,Database!A:K,MATCH($B$1,Database!$A$1:$K$1,),)</f>
        <v/>
      </c>
      <c r="C160" s="12">
        <f>(B160-B159)/B159</f>
        <v/>
      </c>
      <c r="D160" s="13">
        <f>(B160-B148)/B148</f>
        <v/>
      </c>
    </row>
    <row r="161">
      <c r="A161" s="10" t="n">
        <v>38292</v>
      </c>
      <c r="B161" s="15">
        <f>VLOOKUP(A161,Database!A:K,MATCH($A$1,Database!$A$1:$K$1,),)+VLOOKUP(A161,Database!A:K,MATCH($B$1,Database!$A$1:$K$1,),)</f>
        <v/>
      </c>
      <c r="C161" s="12">
        <f>(B161-B160)/B160</f>
        <v/>
      </c>
      <c r="D161" s="13">
        <f>(B161-B149)/B149</f>
        <v/>
      </c>
    </row>
    <row r="162">
      <c r="A162" s="11" t="n">
        <v>38322</v>
      </c>
      <c r="B162" s="15">
        <f>VLOOKUP(A162,Database!A:K,MATCH($A$1,Database!$A$1:$K$1,),)+VLOOKUP(A162,Database!A:K,MATCH($B$1,Database!$A$1:$K$1,),)</f>
        <v/>
      </c>
      <c r="C162" s="12">
        <f>(B162-B161)/B161</f>
        <v/>
      </c>
      <c r="D162" s="13">
        <f>(B162-B150)/B150</f>
        <v/>
      </c>
    </row>
    <row r="163">
      <c r="A163" s="10" t="n">
        <v>38353</v>
      </c>
      <c r="B163" s="15">
        <f>VLOOKUP(A163,Database!A:K,MATCH($A$1,Database!$A$1:$K$1,),)+VLOOKUP(A163,Database!A:K,MATCH($B$1,Database!$A$1:$K$1,),)</f>
        <v/>
      </c>
      <c r="C163" s="12">
        <f>(B163-B162)/B162</f>
        <v/>
      </c>
      <c r="D163" s="13">
        <f>(B163-B151)/B151</f>
        <v/>
      </c>
    </row>
    <row r="164">
      <c r="A164" s="11" t="n">
        <v>38384</v>
      </c>
      <c r="B164" s="15">
        <f>VLOOKUP(A164,Database!A:K,MATCH($A$1,Database!$A$1:$K$1,),)+VLOOKUP(A164,Database!A:K,MATCH($B$1,Database!$A$1:$K$1,),)</f>
        <v/>
      </c>
      <c r="C164" s="12">
        <f>(B164-B163)/B163</f>
        <v/>
      </c>
      <c r="D164" s="13">
        <f>(B164-B152)/B152</f>
        <v/>
      </c>
    </row>
    <row r="165">
      <c r="A165" s="10" t="n">
        <v>38412</v>
      </c>
      <c r="B165" s="15">
        <f>VLOOKUP(A165,Database!A:K,MATCH($A$1,Database!$A$1:$K$1,),)+VLOOKUP(A165,Database!A:K,MATCH($B$1,Database!$A$1:$K$1,),)</f>
        <v/>
      </c>
      <c r="C165" s="12">
        <f>(B165-B164)/B164</f>
        <v/>
      </c>
      <c r="D165" s="13">
        <f>(B165-B153)/B153</f>
        <v/>
      </c>
    </row>
    <row r="166">
      <c r="A166" s="11" t="n">
        <v>38443</v>
      </c>
      <c r="B166" s="15">
        <f>VLOOKUP(A166,Database!A:K,MATCH($A$1,Database!$A$1:$K$1,),)+VLOOKUP(A166,Database!A:K,MATCH($B$1,Database!$A$1:$K$1,),)</f>
        <v/>
      </c>
      <c r="C166" s="12">
        <f>(B166-B165)/B165</f>
        <v/>
      </c>
      <c r="D166" s="13">
        <f>(B166-B154)/B154</f>
        <v/>
      </c>
    </row>
    <row r="167">
      <c r="A167" s="10" t="n">
        <v>38473</v>
      </c>
      <c r="B167" s="15">
        <f>VLOOKUP(A167,Database!A:K,MATCH($A$1,Database!$A$1:$K$1,),)+VLOOKUP(A167,Database!A:K,MATCH($B$1,Database!$A$1:$K$1,),)</f>
        <v/>
      </c>
      <c r="C167" s="12">
        <f>(B167-B166)/B166</f>
        <v/>
      </c>
      <c r="D167" s="13">
        <f>(B167-B155)/B155</f>
        <v/>
      </c>
    </row>
    <row r="168">
      <c r="A168" s="11" t="n">
        <v>38504</v>
      </c>
      <c r="B168" s="15">
        <f>VLOOKUP(A168,Database!A:K,MATCH($A$1,Database!$A$1:$K$1,),)+VLOOKUP(A168,Database!A:K,MATCH($B$1,Database!$A$1:$K$1,),)</f>
        <v/>
      </c>
      <c r="C168" s="12">
        <f>(B168-B167)/B167</f>
        <v/>
      </c>
      <c r="D168" s="13">
        <f>(B168-B156)/B156</f>
        <v/>
      </c>
    </row>
    <row r="169">
      <c r="A169" s="10" t="n">
        <v>38534</v>
      </c>
      <c r="B169" s="15">
        <f>VLOOKUP(A169,Database!A:K,MATCH($A$1,Database!$A$1:$K$1,),)+VLOOKUP(A169,Database!A:K,MATCH($B$1,Database!$A$1:$K$1,),)</f>
        <v/>
      </c>
      <c r="C169" s="12">
        <f>(B169-B168)/B168</f>
        <v/>
      </c>
      <c r="D169" s="13">
        <f>(B169-B157)/B157</f>
        <v/>
      </c>
    </row>
    <row r="170">
      <c r="A170" s="11" t="n">
        <v>38565</v>
      </c>
      <c r="B170" s="15">
        <f>VLOOKUP(A170,Database!A:K,MATCH($A$1,Database!$A$1:$K$1,),)+VLOOKUP(A170,Database!A:K,MATCH($B$1,Database!$A$1:$K$1,),)</f>
        <v/>
      </c>
      <c r="C170" s="12">
        <f>(B170-B169)/B169</f>
        <v/>
      </c>
      <c r="D170" s="13">
        <f>(B170-B158)/B158</f>
        <v/>
      </c>
    </row>
    <row r="171">
      <c r="A171" s="10" t="n">
        <v>38596</v>
      </c>
      <c r="B171" s="15">
        <f>VLOOKUP(A171,Database!A:K,MATCH($A$1,Database!$A$1:$K$1,),)+VLOOKUP(A171,Database!A:K,MATCH($B$1,Database!$A$1:$K$1,),)</f>
        <v/>
      </c>
      <c r="C171" s="12">
        <f>(B171-B170)/B170</f>
        <v/>
      </c>
      <c r="D171" s="13">
        <f>(B171-B159)/B159</f>
        <v/>
      </c>
    </row>
    <row r="172">
      <c r="A172" s="11" t="n">
        <v>38626</v>
      </c>
      <c r="B172" s="15">
        <f>VLOOKUP(A172,Database!A:K,MATCH($A$1,Database!$A$1:$K$1,),)+VLOOKUP(A172,Database!A:K,MATCH($B$1,Database!$A$1:$K$1,),)</f>
        <v/>
      </c>
      <c r="C172" s="12">
        <f>(B172-B171)/B171</f>
        <v/>
      </c>
      <c r="D172" s="13">
        <f>(B172-B160)/B160</f>
        <v/>
      </c>
    </row>
    <row r="173">
      <c r="A173" s="10" t="n">
        <v>38657</v>
      </c>
      <c r="B173" s="15">
        <f>VLOOKUP(A173,Database!A:K,MATCH($A$1,Database!$A$1:$K$1,),)+VLOOKUP(A173,Database!A:K,MATCH($B$1,Database!$A$1:$K$1,),)</f>
        <v/>
      </c>
      <c r="C173" s="12">
        <f>(B173-B172)/B172</f>
        <v/>
      </c>
      <c r="D173" s="13">
        <f>(B173-B161)/B161</f>
        <v/>
      </c>
    </row>
    <row r="174">
      <c r="A174" s="11" t="n">
        <v>38687</v>
      </c>
      <c r="B174" s="15">
        <f>VLOOKUP(A174,Database!A:K,MATCH($A$1,Database!$A$1:$K$1,),)+VLOOKUP(A174,Database!A:K,MATCH($B$1,Database!$A$1:$K$1,),)</f>
        <v/>
      </c>
      <c r="C174" s="12">
        <f>(B174-B173)/B173</f>
        <v/>
      </c>
      <c r="D174" s="13">
        <f>(B174-B162)/B162</f>
        <v/>
      </c>
    </row>
    <row r="175">
      <c r="A175" s="10" t="n">
        <v>38718</v>
      </c>
      <c r="B175" s="15">
        <f>VLOOKUP(A175,Database!A:K,MATCH($A$1,Database!$A$1:$K$1,),)+VLOOKUP(A175,Database!A:K,MATCH($B$1,Database!$A$1:$K$1,),)</f>
        <v/>
      </c>
      <c r="C175" s="12">
        <f>(B175-B174)/B174</f>
        <v/>
      </c>
      <c r="D175" s="13">
        <f>(B175-B163)/B163</f>
        <v/>
      </c>
    </row>
    <row r="176">
      <c r="A176" s="11" t="n">
        <v>38749</v>
      </c>
      <c r="B176" s="15">
        <f>VLOOKUP(A176,Database!A:K,MATCH($A$1,Database!$A$1:$K$1,),)+VLOOKUP(A176,Database!A:K,MATCH($B$1,Database!$A$1:$K$1,),)</f>
        <v/>
      </c>
      <c r="C176" s="12">
        <f>(B176-B175)/B175</f>
        <v/>
      </c>
      <c r="D176" s="13">
        <f>(B176-B164)/B164</f>
        <v/>
      </c>
    </row>
    <row r="177">
      <c r="A177" s="10" t="n">
        <v>38777</v>
      </c>
      <c r="B177" s="15">
        <f>VLOOKUP(A177,Database!A:K,MATCH($A$1,Database!$A$1:$K$1,),)+VLOOKUP(A177,Database!A:K,MATCH($B$1,Database!$A$1:$K$1,),)</f>
        <v/>
      </c>
      <c r="C177" s="12">
        <f>(B177-B176)/B176</f>
        <v/>
      </c>
      <c r="D177" s="13">
        <f>(B177-B165)/B165</f>
        <v/>
      </c>
    </row>
    <row r="178">
      <c r="A178" s="11" t="n">
        <v>38808</v>
      </c>
      <c r="B178" s="15">
        <f>VLOOKUP(A178,Database!A:K,MATCH($A$1,Database!$A$1:$K$1,),)+VLOOKUP(A178,Database!A:K,MATCH($B$1,Database!$A$1:$K$1,),)</f>
        <v/>
      </c>
      <c r="C178" s="12">
        <f>(B178-B177)/B177</f>
        <v/>
      </c>
      <c r="D178" s="13">
        <f>(B178-B166)/B166</f>
        <v/>
      </c>
    </row>
    <row r="179">
      <c r="A179" s="10" t="n">
        <v>38838</v>
      </c>
      <c r="B179" s="15">
        <f>VLOOKUP(A179,Database!A:K,MATCH($A$1,Database!$A$1:$K$1,),)+VLOOKUP(A179,Database!A:K,MATCH($B$1,Database!$A$1:$K$1,),)</f>
        <v/>
      </c>
      <c r="C179" s="12">
        <f>(B179-B178)/B178</f>
        <v/>
      </c>
      <c r="D179" s="13">
        <f>(B179-B167)/B167</f>
        <v/>
      </c>
    </row>
    <row r="180">
      <c r="A180" s="11" t="n">
        <v>38869</v>
      </c>
      <c r="B180" s="15">
        <f>VLOOKUP(A180,Database!A:K,MATCH($A$1,Database!$A$1:$K$1,),)+VLOOKUP(A180,Database!A:K,MATCH($B$1,Database!$A$1:$K$1,),)</f>
        <v/>
      </c>
      <c r="C180" s="12">
        <f>(B180-B179)/B179</f>
        <v/>
      </c>
      <c r="D180" s="13">
        <f>(B180-B168)/B168</f>
        <v/>
      </c>
    </row>
    <row r="181">
      <c r="A181" s="10" t="n">
        <v>38899</v>
      </c>
      <c r="B181" s="15">
        <f>VLOOKUP(A181,Database!A:K,MATCH($A$1,Database!$A$1:$K$1,),)+VLOOKUP(A181,Database!A:K,MATCH($B$1,Database!$A$1:$K$1,),)</f>
        <v/>
      </c>
      <c r="C181" s="12">
        <f>(B181-B180)/B180</f>
        <v/>
      </c>
      <c r="D181" s="13">
        <f>(B181-B169)/B169</f>
        <v/>
      </c>
    </row>
    <row r="182">
      <c r="A182" s="11" t="n">
        <v>38930</v>
      </c>
      <c r="B182" s="15">
        <f>VLOOKUP(A182,Database!A:K,MATCH($A$1,Database!$A$1:$K$1,),)+VLOOKUP(A182,Database!A:K,MATCH($B$1,Database!$A$1:$K$1,),)</f>
        <v/>
      </c>
      <c r="C182" s="12">
        <f>(B182-B181)/B181</f>
        <v/>
      </c>
      <c r="D182" s="13">
        <f>(B182-B170)/B170</f>
        <v/>
      </c>
    </row>
    <row r="183">
      <c r="A183" s="10" t="n">
        <v>38961</v>
      </c>
      <c r="B183" s="15">
        <f>VLOOKUP(A183,Database!A:K,MATCH($A$1,Database!$A$1:$K$1,),)+VLOOKUP(A183,Database!A:K,MATCH($B$1,Database!$A$1:$K$1,),)</f>
        <v/>
      </c>
      <c r="C183" s="12">
        <f>(B183-B182)/B182</f>
        <v/>
      </c>
      <c r="D183" s="13">
        <f>(B183-B171)/B171</f>
        <v/>
      </c>
    </row>
    <row r="184">
      <c r="A184" s="11" t="n">
        <v>38991</v>
      </c>
      <c r="B184" s="15">
        <f>VLOOKUP(A184,Database!A:K,MATCH($A$1,Database!$A$1:$K$1,),)+VLOOKUP(A184,Database!A:K,MATCH($B$1,Database!$A$1:$K$1,),)</f>
        <v/>
      </c>
      <c r="C184" s="12">
        <f>(B184-B183)/B183</f>
        <v/>
      </c>
      <c r="D184" s="13">
        <f>(B184-B172)/B172</f>
        <v/>
      </c>
    </row>
    <row r="185">
      <c r="A185" s="10" t="n">
        <v>39022</v>
      </c>
      <c r="B185" s="15">
        <f>VLOOKUP(A185,Database!A:K,MATCH($A$1,Database!$A$1:$K$1,),)+VLOOKUP(A185,Database!A:K,MATCH($B$1,Database!$A$1:$K$1,),)</f>
        <v/>
      </c>
      <c r="C185" s="12">
        <f>(B185-B184)/B184</f>
        <v/>
      </c>
      <c r="D185" s="13">
        <f>(B185-B173)/B173</f>
        <v/>
      </c>
    </row>
    <row r="186">
      <c r="A186" s="11" t="n">
        <v>39052</v>
      </c>
      <c r="B186" s="15">
        <f>VLOOKUP(A186,Database!A:K,MATCH($A$1,Database!$A$1:$K$1,),)+VLOOKUP(A186,Database!A:K,MATCH($B$1,Database!$A$1:$K$1,),)</f>
        <v/>
      </c>
      <c r="C186" s="12">
        <f>(B186-B185)/B185</f>
        <v/>
      </c>
      <c r="D186" s="13">
        <f>(B186-B174)/B174</f>
        <v/>
      </c>
    </row>
    <row r="187">
      <c r="A187" s="10" t="n">
        <v>39083</v>
      </c>
      <c r="B187" s="15">
        <f>VLOOKUP(A187,Database!A:K,MATCH($A$1,Database!$A$1:$K$1,),)+VLOOKUP(A187,Database!A:K,MATCH($B$1,Database!$A$1:$K$1,),)</f>
        <v/>
      </c>
      <c r="C187" s="12">
        <f>(B187-B186)/B186</f>
        <v/>
      </c>
      <c r="D187" s="13">
        <f>(B187-B175)/B175</f>
        <v/>
      </c>
    </row>
    <row r="188">
      <c r="A188" s="11" t="n">
        <v>39114</v>
      </c>
      <c r="B188" s="15">
        <f>VLOOKUP(A188,Database!A:K,MATCH($A$1,Database!$A$1:$K$1,),)+VLOOKUP(A188,Database!A:K,MATCH($B$1,Database!$A$1:$K$1,),)</f>
        <v/>
      </c>
      <c r="C188" s="12">
        <f>(B188-B187)/B187</f>
        <v/>
      </c>
      <c r="D188" s="13">
        <f>(B188-B176)/B176</f>
        <v/>
      </c>
    </row>
    <row r="189">
      <c r="A189" s="10" t="n">
        <v>39142</v>
      </c>
      <c r="B189" s="15">
        <f>VLOOKUP(A189,Database!A:K,MATCH($A$1,Database!$A$1:$K$1,),)+VLOOKUP(A189,Database!A:K,MATCH($B$1,Database!$A$1:$K$1,),)</f>
        <v/>
      </c>
      <c r="C189" s="12">
        <f>(B189-B188)/B188</f>
        <v/>
      </c>
      <c r="D189" s="13">
        <f>(B189-B177)/B177</f>
        <v/>
      </c>
    </row>
    <row r="190">
      <c r="A190" s="11" t="n">
        <v>39173</v>
      </c>
      <c r="B190" s="15">
        <f>VLOOKUP(A190,Database!A:K,MATCH($A$1,Database!$A$1:$K$1,),)+VLOOKUP(A190,Database!A:K,MATCH($B$1,Database!$A$1:$K$1,),)</f>
        <v/>
      </c>
      <c r="C190" s="12">
        <f>(B190-B189)/B189</f>
        <v/>
      </c>
      <c r="D190" s="13">
        <f>(B190-B178)/B178</f>
        <v/>
      </c>
    </row>
    <row r="191">
      <c r="A191" s="10" t="n">
        <v>39203</v>
      </c>
      <c r="B191" s="15">
        <f>VLOOKUP(A191,Database!A:K,MATCH($A$1,Database!$A$1:$K$1,),)+VLOOKUP(A191,Database!A:K,MATCH($B$1,Database!$A$1:$K$1,),)</f>
        <v/>
      </c>
      <c r="C191" s="12">
        <f>(B191-B190)/B190</f>
        <v/>
      </c>
      <c r="D191" s="13">
        <f>(B191-B179)/B179</f>
        <v/>
      </c>
    </row>
    <row r="192">
      <c r="A192" s="11" t="n">
        <v>39234</v>
      </c>
      <c r="B192" s="15">
        <f>VLOOKUP(A192,Database!A:K,MATCH($A$1,Database!$A$1:$K$1,),)+VLOOKUP(A192,Database!A:K,MATCH($B$1,Database!$A$1:$K$1,),)</f>
        <v/>
      </c>
      <c r="C192" s="12">
        <f>(B192-B191)/B191</f>
        <v/>
      </c>
      <c r="D192" s="13">
        <f>(B192-B180)/B180</f>
        <v/>
      </c>
    </row>
    <row r="193">
      <c r="A193" s="10" t="n">
        <v>39264</v>
      </c>
      <c r="B193" s="15">
        <f>VLOOKUP(A193,Database!A:K,MATCH($A$1,Database!$A$1:$K$1,),)+VLOOKUP(A193,Database!A:K,MATCH($B$1,Database!$A$1:$K$1,),)</f>
        <v/>
      </c>
      <c r="C193" s="12">
        <f>(B193-B192)/B192</f>
        <v/>
      </c>
      <c r="D193" s="13">
        <f>(B193-B181)/B181</f>
        <v/>
      </c>
    </row>
    <row r="194">
      <c r="A194" s="11" t="n">
        <v>39295</v>
      </c>
      <c r="B194" s="15">
        <f>VLOOKUP(A194,Database!A:K,MATCH($A$1,Database!$A$1:$K$1,),)+VLOOKUP(A194,Database!A:K,MATCH($B$1,Database!$A$1:$K$1,),)</f>
        <v/>
      </c>
      <c r="C194" s="12">
        <f>(B194-B193)/B193</f>
        <v/>
      </c>
      <c r="D194" s="13">
        <f>(B194-B182)/B182</f>
        <v/>
      </c>
    </row>
    <row r="195">
      <c r="A195" s="10" t="n">
        <v>39326</v>
      </c>
      <c r="B195" s="15">
        <f>VLOOKUP(A195,Database!A:K,MATCH($A$1,Database!$A$1:$K$1,),)+VLOOKUP(A195,Database!A:K,MATCH($B$1,Database!$A$1:$K$1,),)</f>
        <v/>
      </c>
      <c r="C195" s="12">
        <f>(B195-B194)/B194</f>
        <v/>
      </c>
      <c r="D195" s="13">
        <f>(B195-B183)/B183</f>
        <v/>
      </c>
    </row>
    <row r="196">
      <c r="A196" s="11" t="n">
        <v>39356</v>
      </c>
      <c r="B196" s="15">
        <f>VLOOKUP(A196,Database!A:K,MATCH($A$1,Database!$A$1:$K$1,),)+VLOOKUP(A196,Database!A:K,MATCH($B$1,Database!$A$1:$K$1,),)</f>
        <v/>
      </c>
      <c r="C196" s="12">
        <f>(B196-B195)/B195</f>
        <v/>
      </c>
      <c r="D196" s="13">
        <f>(B196-B184)/B184</f>
        <v/>
      </c>
    </row>
    <row r="197">
      <c r="A197" s="10" t="n">
        <v>39387</v>
      </c>
      <c r="B197" s="15">
        <f>VLOOKUP(A197,Database!A:K,MATCH($A$1,Database!$A$1:$K$1,),)+VLOOKUP(A197,Database!A:K,MATCH($B$1,Database!$A$1:$K$1,),)</f>
        <v/>
      </c>
      <c r="C197" s="12">
        <f>(B197-B196)/B196</f>
        <v/>
      </c>
      <c r="D197" s="13">
        <f>(B197-B185)/B185</f>
        <v/>
      </c>
    </row>
    <row r="198">
      <c r="A198" s="11" t="n">
        <v>39417</v>
      </c>
      <c r="B198" s="15">
        <f>VLOOKUP(A198,Database!A:K,MATCH($A$1,Database!$A$1:$K$1,),)+VLOOKUP(A198,Database!A:K,MATCH($B$1,Database!$A$1:$K$1,),)</f>
        <v/>
      </c>
      <c r="C198" s="12">
        <f>(B198-B197)/B197</f>
        <v/>
      </c>
      <c r="D198" s="13">
        <f>(B198-B186)/B186</f>
        <v/>
      </c>
    </row>
    <row r="199">
      <c r="A199" s="10" t="n">
        <v>39448</v>
      </c>
      <c r="B199" s="15">
        <f>VLOOKUP(A199,Database!A:K,MATCH($A$1,Database!$A$1:$K$1,),)+VLOOKUP(A199,Database!A:K,MATCH($B$1,Database!$A$1:$K$1,),)</f>
        <v/>
      </c>
      <c r="C199" s="12">
        <f>(B199-B198)/B198</f>
        <v/>
      </c>
      <c r="D199" s="13">
        <f>(B199-B187)/B187</f>
        <v/>
      </c>
    </row>
    <row r="200">
      <c r="A200" s="11" t="n">
        <v>39479</v>
      </c>
      <c r="B200" s="15">
        <f>VLOOKUP(A200,Database!A:K,MATCH($A$1,Database!$A$1:$K$1,),)+VLOOKUP(A200,Database!A:K,MATCH($B$1,Database!$A$1:$K$1,),)</f>
        <v/>
      </c>
      <c r="C200" s="12">
        <f>(B200-B199)/B199</f>
        <v/>
      </c>
      <c r="D200" s="13">
        <f>(B200-B188)/B188</f>
        <v/>
      </c>
    </row>
    <row r="201">
      <c r="A201" s="10" t="n">
        <v>39508</v>
      </c>
      <c r="B201" s="15">
        <f>VLOOKUP(A201,Database!A:K,MATCH($A$1,Database!$A$1:$K$1,),)+VLOOKUP(A201,Database!A:K,MATCH($B$1,Database!$A$1:$K$1,),)</f>
        <v/>
      </c>
      <c r="C201" s="12">
        <f>(B201-B200)/B200</f>
        <v/>
      </c>
      <c r="D201" s="13">
        <f>(B201-B189)/B189</f>
        <v/>
      </c>
    </row>
    <row r="202">
      <c r="A202" s="11" t="n">
        <v>39539</v>
      </c>
      <c r="B202" s="15">
        <f>VLOOKUP(A202,Database!A:K,MATCH($A$1,Database!$A$1:$K$1,),)+VLOOKUP(A202,Database!A:K,MATCH($B$1,Database!$A$1:$K$1,),)</f>
        <v/>
      </c>
      <c r="C202" s="12">
        <f>(B202-B201)/B201</f>
        <v/>
      </c>
      <c r="D202" s="13">
        <f>(B202-B190)/B190</f>
        <v/>
      </c>
    </row>
    <row r="203">
      <c r="A203" s="10" t="n">
        <v>39569</v>
      </c>
      <c r="B203" s="15">
        <f>VLOOKUP(A203,Database!A:K,MATCH($A$1,Database!$A$1:$K$1,),)+VLOOKUP(A203,Database!A:K,MATCH($B$1,Database!$A$1:$K$1,),)</f>
        <v/>
      </c>
      <c r="C203" s="12">
        <f>(B203-B202)/B202</f>
        <v/>
      </c>
      <c r="D203" s="13">
        <f>(B203-B191)/B191</f>
        <v/>
      </c>
    </row>
    <row r="204">
      <c r="A204" s="11" t="n">
        <v>39600</v>
      </c>
      <c r="B204" s="15">
        <f>VLOOKUP(A204,Database!A:K,MATCH($A$1,Database!$A$1:$K$1,),)+VLOOKUP(A204,Database!A:K,MATCH($B$1,Database!$A$1:$K$1,),)</f>
        <v/>
      </c>
      <c r="C204" s="12">
        <f>(B204-B203)/B203</f>
        <v/>
      </c>
      <c r="D204" s="13">
        <f>(B204-B192)/B192</f>
        <v/>
      </c>
    </row>
    <row r="205">
      <c r="A205" s="10" t="n">
        <v>39630</v>
      </c>
      <c r="B205" s="15">
        <f>VLOOKUP(A205,Database!A:K,MATCH($A$1,Database!$A$1:$K$1,),)+VLOOKUP(A205,Database!A:K,MATCH($B$1,Database!$A$1:$K$1,),)</f>
        <v/>
      </c>
      <c r="C205" s="12">
        <f>(B205-B204)/B204</f>
        <v/>
      </c>
      <c r="D205" s="13">
        <f>(B205-B193)/B193</f>
        <v/>
      </c>
    </row>
    <row r="206">
      <c r="A206" s="11" t="n">
        <v>39661</v>
      </c>
      <c r="B206" s="15">
        <f>VLOOKUP(A206,Database!A:K,MATCH($A$1,Database!$A$1:$K$1,),)+VLOOKUP(A206,Database!A:K,MATCH($B$1,Database!$A$1:$K$1,),)</f>
        <v/>
      </c>
      <c r="C206" s="12">
        <f>(B206-B205)/B205</f>
        <v/>
      </c>
      <c r="D206" s="13">
        <f>(B206-B194)/B194</f>
        <v/>
      </c>
    </row>
    <row r="207">
      <c r="A207" s="10" t="n">
        <v>39692</v>
      </c>
      <c r="B207" s="15">
        <f>VLOOKUP(A207,Database!A:K,MATCH($A$1,Database!$A$1:$K$1,),)+VLOOKUP(A207,Database!A:K,MATCH($B$1,Database!$A$1:$K$1,),)</f>
        <v/>
      </c>
      <c r="C207" s="12">
        <f>(B207-B206)/B206</f>
        <v/>
      </c>
      <c r="D207" s="13">
        <f>(B207-B195)/B195</f>
        <v/>
      </c>
    </row>
    <row r="208">
      <c r="A208" s="11" t="n">
        <v>39722</v>
      </c>
      <c r="B208" s="15">
        <f>VLOOKUP(A208,Database!A:K,MATCH($A$1,Database!$A$1:$K$1,),)+VLOOKUP(A208,Database!A:K,MATCH($B$1,Database!$A$1:$K$1,),)</f>
        <v/>
      </c>
      <c r="C208" s="12">
        <f>(B208-B207)/B207</f>
        <v/>
      </c>
      <c r="D208" s="13">
        <f>(B208-B196)/B196</f>
        <v/>
      </c>
    </row>
    <row r="209">
      <c r="A209" s="10" t="n">
        <v>39753</v>
      </c>
      <c r="B209" s="15">
        <f>VLOOKUP(A209,Database!A:K,MATCH($A$1,Database!$A$1:$K$1,),)+VLOOKUP(A209,Database!A:K,MATCH($B$1,Database!$A$1:$K$1,),)</f>
        <v/>
      </c>
      <c r="C209" s="12">
        <f>(B209-B208)/B208</f>
        <v/>
      </c>
      <c r="D209" s="13">
        <f>(B209-B197)/B197</f>
        <v/>
      </c>
    </row>
    <row r="210">
      <c r="A210" s="11" t="n">
        <v>39783</v>
      </c>
      <c r="B210" s="15">
        <f>VLOOKUP(A210,Database!A:K,MATCH($A$1,Database!$A$1:$K$1,),)+VLOOKUP(A210,Database!A:K,MATCH($B$1,Database!$A$1:$K$1,),)</f>
        <v/>
      </c>
      <c r="C210" s="12">
        <f>(B210-B209)/B209</f>
        <v/>
      </c>
      <c r="D210" s="13">
        <f>(B210-B198)/B198</f>
        <v/>
      </c>
    </row>
    <row r="211">
      <c r="A211" s="10" t="n">
        <v>39814</v>
      </c>
      <c r="B211" s="15">
        <f>VLOOKUP(A211,Database!A:K,MATCH($A$1,Database!$A$1:$K$1,),)+VLOOKUP(A211,Database!A:K,MATCH($B$1,Database!$A$1:$K$1,),)</f>
        <v/>
      </c>
      <c r="C211" s="12">
        <f>(B211-B210)/B210</f>
        <v/>
      </c>
      <c r="D211" s="13">
        <f>(B211-B199)/B199</f>
        <v/>
      </c>
    </row>
    <row r="212">
      <c r="A212" s="11" t="n">
        <v>39845</v>
      </c>
      <c r="B212" s="15">
        <f>VLOOKUP(A212,Database!A:K,MATCH($A$1,Database!$A$1:$K$1,),)+VLOOKUP(A212,Database!A:K,MATCH($B$1,Database!$A$1:$K$1,),)</f>
        <v/>
      </c>
      <c r="C212" s="12">
        <f>(B212-B211)/B211</f>
        <v/>
      </c>
      <c r="D212" s="13">
        <f>(B212-B200)/B200</f>
        <v/>
      </c>
    </row>
    <row r="213">
      <c r="A213" s="10" t="n">
        <v>39873</v>
      </c>
      <c r="B213" s="15">
        <f>VLOOKUP(A213,Database!A:K,MATCH($A$1,Database!$A$1:$K$1,),)+VLOOKUP(A213,Database!A:K,MATCH($B$1,Database!$A$1:$K$1,),)</f>
        <v/>
      </c>
      <c r="C213" s="12">
        <f>(B213-B212)/B212</f>
        <v/>
      </c>
      <c r="D213" s="13">
        <f>(B213-B201)/B201</f>
        <v/>
      </c>
    </row>
    <row r="214">
      <c r="A214" s="11" t="n">
        <v>39904</v>
      </c>
      <c r="B214" s="15">
        <f>VLOOKUP(A214,Database!A:K,MATCH($A$1,Database!$A$1:$K$1,),)+VLOOKUP(A214,Database!A:K,MATCH($B$1,Database!$A$1:$K$1,),)</f>
        <v/>
      </c>
      <c r="C214" s="12">
        <f>(B214-B213)/B213</f>
        <v/>
      </c>
      <c r="D214" s="13">
        <f>(B214-B202)/B202</f>
        <v/>
      </c>
    </row>
    <row r="215">
      <c r="A215" s="10" t="n">
        <v>39934</v>
      </c>
      <c r="B215" s="15">
        <f>VLOOKUP(A215,Database!A:K,MATCH($A$1,Database!$A$1:$K$1,),)+VLOOKUP(A215,Database!A:K,MATCH($B$1,Database!$A$1:$K$1,),)</f>
        <v/>
      </c>
      <c r="C215" s="12">
        <f>(B215-B214)/B214</f>
        <v/>
      </c>
      <c r="D215" s="13">
        <f>(B215-B203)/B203</f>
        <v/>
      </c>
    </row>
    <row r="216">
      <c r="A216" s="11" t="n">
        <v>39965</v>
      </c>
      <c r="B216" s="15">
        <f>VLOOKUP(A216,Database!A:K,MATCH($A$1,Database!$A$1:$K$1,),)+VLOOKUP(A216,Database!A:K,MATCH($B$1,Database!$A$1:$K$1,),)</f>
        <v/>
      </c>
      <c r="C216" s="12">
        <f>(B216-B215)/B215</f>
        <v/>
      </c>
      <c r="D216" s="13">
        <f>(B216-B204)/B204</f>
        <v/>
      </c>
    </row>
    <row r="217">
      <c r="A217" s="10" t="n">
        <v>39995</v>
      </c>
      <c r="B217" s="15">
        <f>VLOOKUP(A217,Database!A:K,MATCH($A$1,Database!$A$1:$K$1,),)+VLOOKUP(A217,Database!A:K,MATCH($B$1,Database!$A$1:$K$1,),)</f>
        <v/>
      </c>
      <c r="C217" s="12">
        <f>(B217-B216)/B216</f>
        <v/>
      </c>
      <c r="D217" s="13">
        <f>(B217-B205)/B205</f>
        <v/>
      </c>
    </row>
    <row r="218">
      <c r="A218" s="11" t="n">
        <v>40026</v>
      </c>
      <c r="B218" s="15">
        <f>VLOOKUP(A218,Database!A:K,MATCH($A$1,Database!$A$1:$K$1,),)+VLOOKUP(A218,Database!A:K,MATCH($B$1,Database!$A$1:$K$1,),)</f>
        <v/>
      </c>
      <c r="C218" s="12">
        <f>(B218-B217)/B217</f>
        <v/>
      </c>
      <c r="D218" s="13">
        <f>(B218-B206)/B206</f>
        <v/>
      </c>
    </row>
    <row r="219">
      <c r="A219" s="10" t="n">
        <v>40057</v>
      </c>
      <c r="B219" s="15">
        <f>VLOOKUP(A219,Database!A:K,MATCH($A$1,Database!$A$1:$K$1,),)+VLOOKUP(A219,Database!A:K,MATCH($B$1,Database!$A$1:$K$1,),)</f>
        <v/>
      </c>
      <c r="C219" s="12">
        <f>(B219-B218)/B218</f>
        <v/>
      </c>
      <c r="D219" s="13">
        <f>(B219-B207)/B207</f>
        <v/>
      </c>
    </row>
    <row r="220">
      <c r="A220" s="11" t="n">
        <v>40087</v>
      </c>
      <c r="B220" s="15">
        <f>VLOOKUP(A220,Database!A:K,MATCH($A$1,Database!$A$1:$K$1,),)+VLOOKUP(A220,Database!A:K,MATCH($B$1,Database!$A$1:$K$1,),)</f>
        <v/>
      </c>
      <c r="C220" s="12">
        <f>(B220-B219)/B219</f>
        <v/>
      </c>
      <c r="D220" s="13">
        <f>(B220-B208)/B208</f>
        <v/>
      </c>
    </row>
    <row r="221">
      <c r="A221" s="10" t="n">
        <v>40118</v>
      </c>
      <c r="B221" s="15">
        <f>VLOOKUP(A221,Database!A:K,MATCH($A$1,Database!$A$1:$K$1,),)+VLOOKUP(A221,Database!A:K,MATCH($B$1,Database!$A$1:$K$1,),)</f>
        <v/>
      </c>
      <c r="C221" s="12">
        <f>(B221-B220)/B220</f>
        <v/>
      </c>
      <c r="D221" s="13">
        <f>(B221-B209)/B209</f>
        <v/>
      </c>
    </row>
    <row r="222">
      <c r="A222" s="11" t="n">
        <v>40148</v>
      </c>
      <c r="B222" s="15">
        <f>VLOOKUP(A222,Database!A:K,MATCH($A$1,Database!$A$1:$K$1,),)+VLOOKUP(A222,Database!A:K,MATCH($B$1,Database!$A$1:$K$1,),)</f>
        <v/>
      </c>
      <c r="C222" s="12">
        <f>(B222-B221)/B221</f>
        <v/>
      </c>
      <c r="D222" s="13">
        <f>(B222-B210)/B210</f>
        <v/>
      </c>
    </row>
    <row r="223">
      <c r="A223" s="10" t="n">
        <v>40179</v>
      </c>
      <c r="B223" s="15">
        <f>VLOOKUP(A223,Database!A:K,MATCH($A$1,Database!$A$1:$K$1,),)+VLOOKUP(A223,Database!A:K,MATCH($B$1,Database!$A$1:$K$1,),)</f>
        <v/>
      </c>
      <c r="C223" s="12">
        <f>(B223-B222)/B222</f>
        <v/>
      </c>
      <c r="D223" s="13">
        <f>(B223-B211)/B211</f>
        <v/>
      </c>
    </row>
    <row r="224">
      <c r="A224" s="11" t="n">
        <v>40210</v>
      </c>
      <c r="B224" s="15">
        <f>VLOOKUP(A224,Database!A:K,MATCH($A$1,Database!$A$1:$K$1,),)+VLOOKUP(A224,Database!A:K,MATCH($B$1,Database!$A$1:$K$1,),)</f>
        <v/>
      </c>
      <c r="C224" s="12">
        <f>(B224-B223)/B223</f>
        <v/>
      </c>
      <c r="D224" s="13">
        <f>(B224-B212)/B212</f>
        <v/>
      </c>
    </row>
    <row r="225">
      <c r="A225" s="10" t="n">
        <v>40238</v>
      </c>
      <c r="B225" s="15">
        <f>VLOOKUP(A225,Database!A:K,MATCH($A$1,Database!$A$1:$K$1,),)+VLOOKUP(A225,Database!A:K,MATCH($B$1,Database!$A$1:$K$1,),)</f>
        <v/>
      </c>
      <c r="C225" s="12">
        <f>(B225-B224)/B224</f>
        <v/>
      </c>
      <c r="D225" s="13">
        <f>(B225-B213)/B213</f>
        <v/>
      </c>
    </row>
    <row r="226">
      <c r="A226" s="11" t="n">
        <v>40269</v>
      </c>
      <c r="B226" s="15">
        <f>VLOOKUP(A226,Database!A:K,MATCH($A$1,Database!$A$1:$K$1,),)+VLOOKUP(A226,Database!A:K,MATCH($B$1,Database!$A$1:$K$1,),)</f>
        <v/>
      </c>
      <c r="C226" s="12">
        <f>(B226-B225)/B225</f>
        <v/>
      </c>
      <c r="D226" s="13">
        <f>(B226-B214)/B214</f>
        <v/>
      </c>
    </row>
    <row r="227">
      <c r="A227" s="10" t="n">
        <v>40299</v>
      </c>
      <c r="B227" s="15">
        <f>VLOOKUP(A227,Database!A:K,MATCH($A$1,Database!$A$1:$K$1,),)+VLOOKUP(A227,Database!A:K,MATCH($B$1,Database!$A$1:$K$1,),)</f>
        <v/>
      </c>
      <c r="C227" s="12">
        <f>(B227-B226)/B226</f>
        <v/>
      </c>
      <c r="D227" s="13">
        <f>(B227-B215)/B215</f>
        <v/>
      </c>
    </row>
    <row r="228">
      <c r="A228" s="11" t="n">
        <v>40330</v>
      </c>
      <c r="B228" s="15">
        <f>VLOOKUP(A228,Database!A:K,MATCH($A$1,Database!$A$1:$K$1,),)+VLOOKUP(A228,Database!A:K,MATCH($B$1,Database!$A$1:$K$1,),)</f>
        <v/>
      </c>
      <c r="C228" s="12">
        <f>(B228-B227)/B227</f>
        <v/>
      </c>
      <c r="D228" s="13">
        <f>(B228-B216)/B216</f>
        <v/>
      </c>
    </row>
    <row r="229">
      <c r="A229" s="10" t="n">
        <v>40360</v>
      </c>
      <c r="B229" s="15">
        <f>VLOOKUP(A229,Database!A:K,MATCH($A$1,Database!$A$1:$K$1,),)+VLOOKUP(A229,Database!A:K,MATCH($B$1,Database!$A$1:$K$1,),)</f>
        <v/>
      </c>
      <c r="C229" s="12">
        <f>(B229-B228)/B228</f>
        <v/>
      </c>
      <c r="D229" s="13">
        <f>(B229-B217)/B217</f>
        <v/>
      </c>
    </row>
    <row r="230">
      <c r="A230" s="11" t="n">
        <v>40391</v>
      </c>
      <c r="B230" s="15">
        <f>VLOOKUP(A230,Database!A:K,MATCH($A$1,Database!$A$1:$K$1,),)+VLOOKUP(A230,Database!A:K,MATCH($B$1,Database!$A$1:$K$1,),)</f>
        <v/>
      </c>
      <c r="C230" s="12">
        <f>(B230-B229)/B229</f>
        <v/>
      </c>
      <c r="D230" s="13">
        <f>(B230-B218)/B218</f>
        <v/>
      </c>
    </row>
    <row r="231">
      <c r="A231" s="10" t="n">
        <v>40422</v>
      </c>
      <c r="B231" s="15">
        <f>VLOOKUP(A231,Database!A:K,MATCH($A$1,Database!$A$1:$K$1,),)+VLOOKUP(A231,Database!A:K,MATCH($B$1,Database!$A$1:$K$1,),)</f>
        <v/>
      </c>
      <c r="C231" s="12">
        <f>(B231-B230)/B230</f>
        <v/>
      </c>
      <c r="D231" s="13">
        <f>(B231-B219)/B219</f>
        <v/>
      </c>
    </row>
    <row r="232">
      <c r="A232" s="11" t="n">
        <v>40452</v>
      </c>
      <c r="B232" s="15">
        <f>VLOOKUP(A232,Database!A:K,MATCH($A$1,Database!$A$1:$K$1,),)+VLOOKUP(A232,Database!A:K,MATCH($B$1,Database!$A$1:$K$1,),)</f>
        <v/>
      </c>
      <c r="C232" s="12">
        <f>(B232-B231)/B231</f>
        <v/>
      </c>
      <c r="D232" s="13">
        <f>(B232-B220)/B220</f>
        <v/>
      </c>
    </row>
    <row r="233">
      <c r="A233" s="10" t="n">
        <v>40483</v>
      </c>
      <c r="B233" s="15">
        <f>VLOOKUP(A233,Database!A:K,MATCH($A$1,Database!$A$1:$K$1,),)+VLOOKUP(A233,Database!A:K,MATCH($B$1,Database!$A$1:$K$1,),)</f>
        <v/>
      </c>
      <c r="C233" s="12">
        <f>(B233-B232)/B232</f>
        <v/>
      </c>
      <c r="D233" s="13">
        <f>(B233-B221)/B221</f>
        <v/>
      </c>
    </row>
    <row r="234">
      <c r="A234" s="11" t="n">
        <v>40513</v>
      </c>
      <c r="B234" s="15">
        <f>VLOOKUP(A234,Database!A:K,MATCH($A$1,Database!$A$1:$K$1,),)+VLOOKUP(A234,Database!A:K,MATCH($B$1,Database!$A$1:$K$1,),)</f>
        <v/>
      </c>
      <c r="C234" s="12">
        <f>(B234-B233)/B233</f>
        <v/>
      </c>
      <c r="D234" s="13">
        <f>(B234-B222)/B222</f>
        <v/>
      </c>
    </row>
    <row r="235">
      <c r="A235" s="10" t="n">
        <v>40544</v>
      </c>
      <c r="B235" s="15">
        <f>VLOOKUP(A235,Database!A:K,MATCH($A$1,Database!$A$1:$K$1,),)+VLOOKUP(A235,Database!A:K,MATCH($B$1,Database!$A$1:$K$1,),)</f>
        <v/>
      </c>
      <c r="C235" s="12">
        <f>(B235-B234)/B234</f>
        <v/>
      </c>
      <c r="D235" s="13">
        <f>(B235-B223)/B223</f>
        <v/>
      </c>
    </row>
    <row r="236">
      <c r="A236" s="11" t="n">
        <v>40575</v>
      </c>
      <c r="B236" s="15">
        <f>VLOOKUP(A236,Database!A:K,MATCH($A$1,Database!$A$1:$K$1,),)+VLOOKUP(A236,Database!A:K,MATCH($B$1,Database!$A$1:$K$1,),)</f>
        <v/>
      </c>
      <c r="C236" s="12">
        <f>(B236-B235)/B235</f>
        <v/>
      </c>
      <c r="D236" s="13">
        <f>(B236-B224)/B224</f>
        <v/>
      </c>
    </row>
    <row r="237">
      <c r="A237" s="10" t="n">
        <v>40603</v>
      </c>
      <c r="B237" s="15">
        <f>VLOOKUP(A237,Database!A:K,MATCH($A$1,Database!$A$1:$K$1,),)+VLOOKUP(A237,Database!A:K,MATCH($B$1,Database!$A$1:$K$1,),)</f>
        <v/>
      </c>
      <c r="C237" s="12">
        <f>(B237-B236)/B236</f>
        <v/>
      </c>
      <c r="D237" s="13">
        <f>(B237-B225)/B225</f>
        <v/>
      </c>
    </row>
    <row r="238">
      <c r="A238" s="11" t="n">
        <v>40634</v>
      </c>
      <c r="B238" s="15">
        <f>VLOOKUP(A238,Database!A:K,MATCH($A$1,Database!$A$1:$K$1,),)+VLOOKUP(A238,Database!A:K,MATCH($B$1,Database!$A$1:$K$1,),)</f>
        <v/>
      </c>
      <c r="C238" s="12">
        <f>(B238-B237)/B237</f>
        <v/>
      </c>
      <c r="D238" s="13">
        <f>(B238-B226)/B226</f>
        <v/>
      </c>
    </row>
    <row r="239">
      <c r="A239" s="10" t="n">
        <v>40664</v>
      </c>
      <c r="B239" s="15">
        <f>VLOOKUP(A239,Database!A:K,MATCH($A$1,Database!$A$1:$K$1,),)+VLOOKUP(A239,Database!A:K,MATCH($B$1,Database!$A$1:$K$1,),)</f>
        <v/>
      </c>
      <c r="C239" s="12">
        <f>(B239-B238)/B238</f>
        <v/>
      </c>
      <c r="D239" s="13">
        <f>(B239-B227)/B227</f>
        <v/>
      </c>
    </row>
    <row r="240">
      <c r="A240" s="11" t="n">
        <v>40695</v>
      </c>
      <c r="B240" s="15">
        <f>VLOOKUP(A240,Database!A:K,MATCH($A$1,Database!$A$1:$K$1,),)+VLOOKUP(A240,Database!A:K,MATCH($B$1,Database!$A$1:$K$1,),)</f>
        <v/>
      </c>
      <c r="C240" s="12">
        <f>(B240-B239)/B239</f>
        <v/>
      </c>
      <c r="D240" s="13">
        <f>(B240-B228)/B228</f>
        <v/>
      </c>
    </row>
    <row r="241">
      <c r="A241" s="10" t="n">
        <v>40725</v>
      </c>
      <c r="B241" s="15">
        <f>VLOOKUP(A241,Database!A:K,MATCH($A$1,Database!$A$1:$K$1,),)+VLOOKUP(A241,Database!A:K,MATCH($B$1,Database!$A$1:$K$1,),)</f>
        <v/>
      </c>
      <c r="C241" s="12">
        <f>(B241-B240)/B240</f>
        <v/>
      </c>
      <c r="D241" s="13">
        <f>(B241-B229)/B229</f>
        <v/>
      </c>
    </row>
    <row r="242">
      <c r="A242" s="11" t="n">
        <v>40756</v>
      </c>
      <c r="B242" s="15">
        <f>VLOOKUP(A242,Database!A:K,MATCH($A$1,Database!$A$1:$K$1,),)+VLOOKUP(A242,Database!A:K,MATCH($B$1,Database!$A$1:$K$1,),)</f>
        <v/>
      </c>
      <c r="C242" s="12">
        <f>(B242-B241)/B241</f>
        <v/>
      </c>
      <c r="D242" s="13">
        <f>(B242-B230)/B230</f>
        <v/>
      </c>
    </row>
    <row r="243">
      <c r="A243" s="10" t="n">
        <v>40787</v>
      </c>
      <c r="B243" s="15">
        <f>VLOOKUP(A243,Database!A:K,MATCH($A$1,Database!$A$1:$K$1,),)+VLOOKUP(A243,Database!A:K,MATCH($B$1,Database!$A$1:$K$1,),)</f>
        <v/>
      </c>
      <c r="C243" s="12">
        <f>(B243-B242)/B242</f>
        <v/>
      </c>
      <c r="D243" s="13">
        <f>(B243-B231)/B231</f>
        <v/>
      </c>
    </row>
    <row r="244">
      <c r="A244" s="11" t="n">
        <v>40817</v>
      </c>
      <c r="B244" s="15">
        <f>VLOOKUP(A244,Database!A:K,MATCH($A$1,Database!$A$1:$K$1,),)+VLOOKUP(A244,Database!A:K,MATCH($B$1,Database!$A$1:$K$1,),)</f>
        <v/>
      </c>
      <c r="C244" s="12">
        <f>(B244-B243)/B243</f>
        <v/>
      </c>
      <c r="D244" s="13">
        <f>(B244-B232)/B232</f>
        <v/>
      </c>
    </row>
    <row r="245">
      <c r="A245" s="10" t="n">
        <v>40848</v>
      </c>
      <c r="B245" s="15">
        <f>VLOOKUP(A245,Database!A:K,MATCH($A$1,Database!$A$1:$K$1,),)+VLOOKUP(A245,Database!A:K,MATCH($B$1,Database!$A$1:$K$1,),)</f>
        <v/>
      </c>
      <c r="C245" s="12">
        <f>(B245-B244)/B244</f>
        <v/>
      </c>
      <c r="D245" s="13">
        <f>(B245-B233)/B233</f>
        <v/>
      </c>
    </row>
    <row r="246">
      <c r="A246" s="11" t="n">
        <v>40878</v>
      </c>
      <c r="B246" s="15">
        <f>VLOOKUP(A246,Database!A:K,MATCH($A$1,Database!$A$1:$K$1,),)+VLOOKUP(A246,Database!A:K,MATCH($B$1,Database!$A$1:$K$1,),)</f>
        <v/>
      </c>
      <c r="C246" s="12">
        <f>(B246-B245)/B245</f>
        <v/>
      </c>
      <c r="D246" s="13">
        <f>(B246-B234)/B234</f>
        <v/>
      </c>
    </row>
    <row r="247">
      <c r="A247" s="10" t="n">
        <v>40909</v>
      </c>
      <c r="B247" s="15">
        <f>VLOOKUP(A247,Database!A:K,MATCH($A$1,Database!$A$1:$K$1,),)+VLOOKUP(A247,Database!A:K,MATCH($B$1,Database!$A$1:$K$1,),)</f>
        <v/>
      </c>
      <c r="C247" s="12">
        <f>(B247-B246)/B246</f>
        <v/>
      </c>
      <c r="D247" s="13">
        <f>(B247-B235)/B235</f>
        <v/>
      </c>
    </row>
    <row r="248">
      <c r="A248" s="11" t="n">
        <v>40940</v>
      </c>
      <c r="B248" s="15">
        <f>VLOOKUP(A248,Database!A:K,MATCH($A$1,Database!$A$1:$K$1,),)+VLOOKUP(A248,Database!A:K,MATCH($B$1,Database!$A$1:$K$1,),)</f>
        <v/>
      </c>
      <c r="C248" s="12">
        <f>(B248-B247)/B247</f>
        <v/>
      </c>
      <c r="D248" s="13">
        <f>(B248-B236)/B236</f>
        <v/>
      </c>
    </row>
    <row r="249">
      <c r="A249" s="10" t="n">
        <v>40969</v>
      </c>
      <c r="B249" s="15">
        <f>VLOOKUP(A249,Database!A:K,MATCH($A$1,Database!$A$1:$K$1,),)+VLOOKUP(A249,Database!A:K,MATCH($B$1,Database!$A$1:$K$1,),)</f>
        <v/>
      </c>
      <c r="C249" s="12">
        <f>(B249-B248)/B248</f>
        <v/>
      </c>
      <c r="D249" s="13">
        <f>(B249-B237)/B237</f>
        <v/>
      </c>
    </row>
    <row r="250">
      <c r="A250" s="11" t="n">
        <v>41000</v>
      </c>
      <c r="B250" s="15">
        <f>VLOOKUP(A250,Database!A:K,MATCH($A$1,Database!$A$1:$K$1,),)+VLOOKUP(A250,Database!A:K,MATCH($B$1,Database!$A$1:$K$1,),)</f>
        <v/>
      </c>
      <c r="C250" s="12">
        <f>(B250-B249)/B249</f>
        <v/>
      </c>
      <c r="D250" s="13">
        <f>(B250-B238)/B238</f>
        <v/>
      </c>
    </row>
    <row r="251">
      <c r="A251" s="10" t="n">
        <v>41030</v>
      </c>
      <c r="B251" s="15">
        <f>VLOOKUP(A251,Database!A:K,MATCH($A$1,Database!$A$1:$K$1,),)+VLOOKUP(A251,Database!A:K,MATCH($B$1,Database!$A$1:$K$1,),)</f>
        <v/>
      </c>
      <c r="C251" s="12">
        <f>(B251-B250)/B250</f>
        <v/>
      </c>
      <c r="D251" s="13">
        <f>(B251-B239)/B239</f>
        <v/>
      </c>
    </row>
    <row r="252">
      <c r="A252" s="11" t="n">
        <v>41061</v>
      </c>
      <c r="B252" s="15">
        <f>VLOOKUP(A252,Database!A:K,MATCH($A$1,Database!$A$1:$K$1,),)+VLOOKUP(A252,Database!A:K,MATCH($B$1,Database!$A$1:$K$1,),)</f>
        <v/>
      </c>
      <c r="C252" s="12">
        <f>(B252-B251)/B251</f>
        <v/>
      </c>
      <c r="D252" s="13">
        <f>(B252-B240)/B240</f>
        <v/>
      </c>
    </row>
    <row r="253">
      <c r="A253" s="10" t="n">
        <v>41091</v>
      </c>
      <c r="B253" s="15">
        <f>VLOOKUP(A253,Database!A:K,MATCH($A$1,Database!$A$1:$K$1,),)+VLOOKUP(A253,Database!A:K,MATCH($B$1,Database!$A$1:$K$1,),)</f>
        <v/>
      </c>
      <c r="C253" s="12">
        <f>(B253-B252)/B252</f>
        <v/>
      </c>
      <c r="D253" s="13">
        <f>(B253-B241)/B241</f>
        <v/>
      </c>
    </row>
    <row r="254">
      <c r="A254" s="11" t="n">
        <v>41122</v>
      </c>
      <c r="B254" s="15">
        <f>VLOOKUP(A254,Database!A:K,MATCH($A$1,Database!$A$1:$K$1,),)+VLOOKUP(A254,Database!A:K,MATCH($B$1,Database!$A$1:$K$1,),)</f>
        <v/>
      </c>
      <c r="C254" s="12">
        <f>(B254-B253)/B253</f>
        <v/>
      </c>
      <c r="D254" s="13">
        <f>(B254-B242)/B242</f>
        <v/>
      </c>
    </row>
    <row r="255">
      <c r="A255" s="10" t="n">
        <v>41153</v>
      </c>
      <c r="B255" s="15">
        <f>VLOOKUP(A255,Database!A:K,MATCH($A$1,Database!$A$1:$K$1,),)+VLOOKUP(A255,Database!A:K,MATCH($B$1,Database!$A$1:$K$1,),)</f>
        <v/>
      </c>
      <c r="C255" s="12">
        <f>(B255-B254)/B254</f>
        <v/>
      </c>
      <c r="D255" s="13">
        <f>(B255-B243)/B243</f>
        <v/>
      </c>
    </row>
    <row r="256">
      <c r="A256" s="11" t="n">
        <v>41183</v>
      </c>
      <c r="B256" s="15">
        <f>VLOOKUP(A256,Database!A:K,MATCH($A$1,Database!$A$1:$K$1,),)+VLOOKUP(A256,Database!A:K,MATCH($B$1,Database!$A$1:$K$1,),)</f>
        <v/>
      </c>
      <c r="C256" s="12">
        <f>(B256-B255)/B255</f>
        <v/>
      </c>
      <c r="D256" s="13">
        <f>(B256-B244)/B244</f>
        <v/>
      </c>
    </row>
    <row r="257">
      <c r="A257" s="10" t="n">
        <v>41214</v>
      </c>
      <c r="B257" s="15">
        <f>VLOOKUP(A257,Database!A:K,MATCH($A$1,Database!$A$1:$K$1,),)+VLOOKUP(A257,Database!A:K,MATCH($B$1,Database!$A$1:$K$1,),)</f>
        <v/>
      </c>
      <c r="C257" s="12">
        <f>(B257-B256)/B256</f>
        <v/>
      </c>
      <c r="D257" s="13">
        <f>(B257-B245)/B245</f>
        <v/>
      </c>
    </row>
    <row r="258">
      <c r="A258" s="11" t="n">
        <v>41244</v>
      </c>
      <c r="B258" s="15">
        <f>VLOOKUP(A258,Database!A:K,MATCH($A$1,Database!$A$1:$K$1,),)+VLOOKUP(A258,Database!A:K,MATCH($B$1,Database!$A$1:$K$1,),)</f>
        <v/>
      </c>
      <c r="C258" s="12">
        <f>(B258-B257)/B257</f>
        <v/>
      </c>
      <c r="D258" s="13">
        <f>(B258-B246)/B246</f>
        <v/>
      </c>
    </row>
    <row r="259">
      <c r="A259" s="10" t="n">
        <v>41275</v>
      </c>
      <c r="B259" s="15">
        <f>VLOOKUP(A259,Database!A:K,MATCH($A$1,Database!$A$1:$K$1,),)+VLOOKUP(A259,Database!A:K,MATCH($B$1,Database!$A$1:$K$1,),)</f>
        <v/>
      </c>
      <c r="C259" s="12">
        <f>(B259-B258)/B258</f>
        <v/>
      </c>
      <c r="D259" s="13">
        <f>(B259-B247)/B247</f>
        <v/>
      </c>
    </row>
    <row r="260">
      <c r="A260" s="11" t="n">
        <v>41306</v>
      </c>
      <c r="B260" s="15">
        <f>VLOOKUP(A260,Database!A:K,MATCH($A$1,Database!$A$1:$K$1,),)+VLOOKUP(A260,Database!A:K,MATCH($B$1,Database!$A$1:$K$1,),)</f>
        <v/>
      </c>
      <c r="C260" s="12">
        <f>(B260-B259)/B259</f>
        <v/>
      </c>
      <c r="D260" s="13">
        <f>(B260-B248)/B248</f>
        <v/>
      </c>
    </row>
    <row r="261">
      <c r="A261" s="10" t="n">
        <v>41334</v>
      </c>
      <c r="B261" s="15">
        <f>VLOOKUP(A261,Database!A:K,MATCH($A$1,Database!$A$1:$K$1,),)+VLOOKUP(A261,Database!A:K,MATCH($B$1,Database!$A$1:$K$1,),)</f>
        <v/>
      </c>
      <c r="C261" s="12">
        <f>(B261-B260)/B260</f>
        <v/>
      </c>
      <c r="D261" s="13">
        <f>(B261-B249)/B249</f>
        <v/>
      </c>
    </row>
    <row r="262">
      <c r="A262" s="11" t="n">
        <v>41365</v>
      </c>
      <c r="B262" s="15">
        <f>VLOOKUP(A262,Database!A:K,MATCH($A$1,Database!$A$1:$K$1,),)+VLOOKUP(A262,Database!A:K,MATCH($B$1,Database!$A$1:$K$1,),)</f>
        <v/>
      </c>
      <c r="C262" s="12">
        <f>(B262-B261)/B261</f>
        <v/>
      </c>
      <c r="D262" s="13">
        <f>(B262-B250)/B250</f>
        <v/>
      </c>
    </row>
    <row r="263">
      <c r="A263" s="10" t="n">
        <v>41395</v>
      </c>
      <c r="B263" s="15">
        <f>VLOOKUP(A263,Database!A:K,MATCH($A$1,Database!$A$1:$K$1,),)+VLOOKUP(A263,Database!A:K,MATCH($B$1,Database!$A$1:$K$1,),)</f>
        <v/>
      </c>
      <c r="C263" s="12">
        <f>(B263-B262)/B262</f>
        <v/>
      </c>
      <c r="D263" s="13">
        <f>(B263-B251)/B251</f>
        <v/>
      </c>
    </row>
    <row r="264">
      <c r="A264" s="11" t="n">
        <v>41426</v>
      </c>
      <c r="B264" s="15">
        <f>VLOOKUP(A264,Database!A:K,MATCH($A$1,Database!$A$1:$K$1,),)+VLOOKUP(A264,Database!A:K,MATCH($B$1,Database!$A$1:$K$1,),)</f>
        <v/>
      </c>
      <c r="C264" s="12">
        <f>(B264-B263)/B263</f>
        <v/>
      </c>
      <c r="D264" s="13">
        <f>(B264-B252)/B252</f>
        <v/>
      </c>
    </row>
    <row r="265">
      <c r="A265" s="10" t="n">
        <v>41456</v>
      </c>
      <c r="B265" s="15">
        <f>VLOOKUP(A265,Database!A:K,MATCH($A$1,Database!$A$1:$K$1,),)+VLOOKUP(A265,Database!A:K,MATCH($B$1,Database!$A$1:$K$1,),)</f>
        <v/>
      </c>
      <c r="C265" s="12">
        <f>(B265-B264)/B264</f>
        <v/>
      </c>
      <c r="D265" s="13">
        <f>(B265-B253)/B253</f>
        <v/>
      </c>
    </row>
    <row r="266">
      <c r="A266" s="11" t="n">
        <v>41487</v>
      </c>
      <c r="B266" s="15">
        <f>VLOOKUP(A266,Database!A:K,MATCH($A$1,Database!$A$1:$K$1,),)+VLOOKUP(A266,Database!A:K,MATCH($B$1,Database!$A$1:$K$1,),)</f>
        <v/>
      </c>
      <c r="C266" s="12">
        <f>(B266-B265)/B265</f>
        <v/>
      </c>
      <c r="D266" s="13">
        <f>(B266-B254)/B254</f>
        <v/>
      </c>
    </row>
    <row r="267">
      <c r="A267" s="10" t="n">
        <v>41518</v>
      </c>
      <c r="B267" s="15">
        <f>VLOOKUP(A267,Database!A:K,MATCH($A$1,Database!$A$1:$K$1,),)+VLOOKUP(A267,Database!A:K,MATCH($B$1,Database!$A$1:$K$1,),)</f>
        <v/>
      </c>
      <c r="C267" s="12">
        <f>(B267-B266)/B266</f>
        <v/>
      </c>
      <c r="D267" s="13">
        <f>(B267-B255)/B255</f>
        <v/>
      </c>
    </row>
    <row r="268">
      <c r="A268" s="11" t="n">
        <v>41548</v>
      </c>
      <c r="B268" s="15">
        <f>VLOOKUP(A268,Database!A:K,MATCH($A$1,Database!$A$1:$K$1,),)+VLOOKUP(A268,Database!A:K,MATCH($B$1,Database!$A$1:$K$1,),)</f>
        <v/>
      </c>
      <c r="C268" s="12">
        <f>(B268-B267)/B267</f>
        <v/>
      </c>
      <c r="D268" s="13">
        <f>(B268-B256)/B256</f>
        <v/>
      </c>
    </row>
    <row r="269">
      <c r="A269" s="10" t="n">
        <v>41579</v>
      </c>
      <c r="B269" s="15">
        <f>VLOOKUP(A269,Database!A:K,MATCH($A$1,Database!$A$1:$K$1,),)+VLOOKUP(A269,Database!A:K,MATCH($B$1,Database!$A$1:$K$1,),)</f>
        <v/>
      </c>
      <c r="C269" s="12">
        <f>(B269-B268)/B268</f>
        <v/>
      </c>
      <c r="D269" s="13">
        <f>(B269-B257)/B257</f>
        <v/>
      </c>
    </row>
    <row r="270">
      <c r="A270" s="11" t="n">
        <v>41609</v>
      </c>
      <c r="B270" s="15">
        <f>VLOOKUP(A270,Database!A:K,MATCH($A$1,Database!$A$1:$K$1,),)+VLOOKUP(A270,Database!A:K,MATCH($B$1,Database!$A$1:$K$1,),)</f>
        <v/>
      </c>
      <c r="C270" s="12">
        <f>(B270-B269)/B269</f>
        <v/>
      </c>
      <c r="D270" s="13">
        <f>(B270-B258)/B258</f>
        <v/>
      </c>
    </row>
    <row r="271">
      <c r="A271" s="10" t="n">
        <v>41640</v>
      </c>
      <c r="B271" s="15">
        <f>VLOOKUP(A271,Database!A:K,MATCH($A$1,Database!$A$1:$K$1,),)+VLOOKUP(A271,Database!A:K,MATCH($B$1,Database!$A$1:$K$1,),)</f>
        <v/>
      </c>
      <c r="C271" s="12">
        <f>(B271-B270)/B270</f>
        <v/>
      </c>
      <c r="D271" s="13">
        <f>(B271-B259)/B259</f>
        <v/>
      </c>
    </row>
    <row r="272">
      <c r="A272" s="11" t="n">
        <v>41671</v>
      </c>
      <c r="B272" s="15">
        <f>VLOOKUP(A272,Database!A:K,MATCH($A$1,Database!$A$1:$K$1,),)+VLOOKUP(A272,Database!A:K,MATCH($B$1,Database!$A$1:$K$1,),)</f>
        <v/>
      </c>
      <c r="C272" s="12">
        <f>(B272-B271)/B271</f>
        <v/>
      </c>
      <c r="D272" s="13">
        <f>(B272-B260)/B260</f>
        <v/>
      </c>
    </row>
    <row r="273">
      <c r="A273" s="10" t="n">
        <v>41699</v>
      </c>
      <c r="B273" s="15">
        <f>VLOOKUP(A273,Database!A:K,MATCH($A$1,Database!$A$1:$K$1,),)+VLOOKUP(A273,Database!A:K,MATCH($B$1,Database!$A$1:$K$1,),)</f>
        <v/>
      </c>
      <c r="C273" s="12">
        <f>(B273-B272)/B272</f>
        <v/>
      </c>
      <c r="D273" s="13">
        <f>(B273-B261)/B261</f>
        <v/>
      </c>
    </row>
    <row r="274">
      <c r="A274" s="11" t="n">
        <v>41730</v>
      </c>
      <c r="B274" s="15">
        <f>VLOOKUP(A274,Database!A:K,MATCH($A$1,Database!$A$1:$K$1,),)+VLOOKUP(A274,Database!A:K,MATCH($B$1,Database!$A$1:$K$1,),)</f>
        <v/>
      </c>
      <c r="C274" s="12">
        <f>(B274-B273)/B273</f>
        <v/>
      </c>
      <c r="D274" s="13">
        <f>(B274-B262)/B262</f>
        <v/>
      </c>
    </row>
    <row r="275">
      <c r="A275" s="10" t="n">
        <v>41760</v>
      </c>
      <c r="B275" s="15">
        <f>VLOOKUP(A275,Database!A:K,MATCH($A$1,Database!$A$1:$K$1,),)+VLOOKUP(A275,Database!A:K,MATCH($B$1,Database!$A$1:$K$1,),)</f>
        <v/>
      </c>
      <c r="C275" s="12">
        <f>(B275-B274)/B274</f>
        <v/>
      </c>
      <c r="D275" s="13">
        <f>(B275-B263)/B263</f>
        <v/>
      </c>
    </row>
    <row r="276">
      <c r="A276" s="11" t="n">
        <v>41791</v>
      </c>
      <c r="B276" s="15">
        <f>VLOOKUP(A276,Database!A:K,MATCH($A$1,Database!$A$1:$K$1,),)+VLOOKUP(A276,Database!A:K,MATCH($B$1,Database!$A$1:$K$1,),)</f>
        <v/>
      </c>
      <c r="C276" s="12">
        <f>(B276-B275)/B275</f>
        <v/>
      </c>
      <c r="D276" s="13">
        <f>(B276-B264)/B264</f>
        <v/>
      </c>
    </row>
    <row r="277">
      <c r="A277" s="10" t="n">
        <v>41821</v>
      </c>
      <c r="B277" s="15">
        <f>VLOOKUP(A277,Database!A:K,MATCH($A$1,Database!$A$1:$K$1,),)+VLOOKUP(A277,Database!A:K,MATCH($B$1,Database!$A$1:$K$1,),)</f>
        <v/>
      </c>
      <c r="C277" s="12">
        <f>(B277-B276)/B276</f>
        <v/>
      </c>
      <c r="D277" s="13">
        <f>(B277-B265)/B265</f>
        <v/>
      </c>
    </row>
    <row r="278">
      <c r="A278" s="11" t="n">
        <v>41852</v>
      </c>
      <c r="B278" s="15">
        <f>VLOOKUP(A278,Database!A:K,MATCH($A$1,Database!$A$1:$K$1,),)+VLOOKUP(A278,Database!A:K,MATCH($B$1,Database!$A$1:$K$1,),)</f>
        <v/>
      </c>
      <c r="C278" s="12">
        <f>(B278-B277)/B277</f>
        <v/>
      </c>
      <c r="D278" s="13">
        <f>(B278-B266)/B266</f>
        <v/>
      </c>
    </row>
    <row r="279">
      <c r="A279" s="10" t="n">
        <v>41883</v>
      </c>
      <c r="B279" s="15">
        <f>VLOOKUP(A279,Database!A:K,MATCH($A$1,Database!$A$1:$K$1,),)+VLOOKUP(A279,Database!A:K,MATCH($B$1,Database!$A$1:$K$1,),)</f>
        <v/>
      </c>
      <c r="C279" s="12">
        <f>(B279-B278)/B278</f>
        <v/>
      </c>
      <c r="D279" s="13">
        <f>(B279-B267)/B267</f>
        <v/>
      </c>
    </row>
    <row r="280">
      <c r="A280" s="11" t="n">
        <v>41913</v>
      </c>
      <c r="B280" s="15">
        <f>VLOOKUP(A280,Database!A:K,MATCH($A$1,Database!$A$1:$K$1,),)+VLOOKUP(A280,Database!A:K,MATCH($B$1,Database!$A$1:$K$1,),)</f>
        <v/>
      </c>
      <c r="C280" s="12">
        <f>(B280-B279)/B279</f>
        <v/>
      </c>
      <c r="D280" s="13">
        <f>(B280-B268)/B268</f>
        <v/>
      </c>
    </row>
    <row r="281">
      <c r="A281" s="10" t="n">
        <v>41944</v>
      </c>
      <c r="B281" s="15">
        <f>VLOOKUP(A281,Database!A:K,MATCH($A$1,Database!$A$1:$K$1,),)+VLOOKUP(A281,Database!A:K,MATCH($B$1,Database!$A$1:$K$1,),)</f>
        <v/>
      </c>
      <c r="C281" s="12">
        <f>(B281-B280)/B280</f>
        <v/>
      </c>
      <c r="D281" s="13">
        <f>(B281-B269)/B269</f>
        <v/>
      </c>
    </row>
    <row r="282">
      <c r="A282" s="11" t="n">
        <v>41974</v>
      </c>
      <c r="B282" s="15">
        <f>VLOOKUP(A282,Database!A:K,MATCH($A$1,Database!$A$1:$K$1,),)+VLOOKUP(A282,Database!A:K,MATCH($B$1,Database!$A$1:$K$1,),)</f>
        <v/>
      </c>
      <c r="C282" s="12">
        <f>(B282-B281)/B281</f>
        <v/>
      </c>
      <c r="D282" s="13">
        <f>(B282-B270)/B270</f>
        <v/>
      </c>
    </row>
    <row r="283">
      <c r="A283" s="10" t="n">
        <v>42005</v>
      </c>
      <c r="B283" s="15">
        <f>VLOOKUP(A283,Database!A:K,MATCH($A$1,Database!$A$1:$K$1,),)+VLOOKUP(A283,Database!A:K,MATCH($B$1,Database!$A$1:$K$1,),)</f>
        <v/>
      </c>
      <c r="C283" s="12">
        <f>(B283-B282)/B282</f>
        <v/>
      </c>
      <c r="D283" s="13">
        <f>(B283-B271)/B271</f>
        <v/>
      </c>
    </row>
    <row r="284">
      <c r="A284" s="11" t="n">
        <v>42036</v>
      </c>
      <c r="B284" s="15">
        <f>VLOOKUP(A284,Database!A:K,MATCH($A$1,Database!$A$1:$K$1,),)+VLOOKUP(A284,Database!A:K,MATCH($B$1,Database!$A$1:$K$1,),)</f>
        <v/>
      </c>
      <c r="C284" s="12">
        <f>(B284-B283)/B283</f>
        <v/>
      </c>
      <c r="D284" s="13">
        <f>(B284-B272)/B272</f>
        <v/>
      </c>
    </row>
    <row r="285">
      <c r="A285" s="10" t="n">
        <v>42064</v>
      </c>
      <c r="B285" s="15">
        <f>VLOOKUP(A285,Database!A:K,MATCH($A$1,Database!$A$1:$K$1,),)+VLOOKUP(A285,Database!A:K,MATCH($B$1,Database!$A$1:$K$1,),)</f>
        <v/>
      </c>
      <c r="C285" s="12">
        <f>(B285-B284)/B284</f>
        <v/>
      </c>
      <c r="D285" s="13">
        <f>(B285-B273)/B273</f>
        <v/>
      </c>
    </row>
    <row r="286">
      <c r="A286" s="11" t="n">
        <v>42095</v>
      </c>
      <c r="B286" s="15">
        <f>VLOOKUP(A286,Database!A:K,MATCH($A$1,Database!$A$1:$K$1,),)+VLOOKUP(A286,Database!A:K,MATCH($B$1,Database!$A$1:$K$1,),)</f>
        <v/>
      </c>
      <c r="C286" s="12">
        <f>(B286-B285)/B285</f>
        <v/>
      </c>
      <c r="D286" s="13">
        <f>(B286-B274)/B274</f>
        <v/>
      </c>
    </row>
    <row r="287">
      <c r="A287" s="10" t="n">
        <v>42125</v>
      </c>
      <c r="B287" s="15">
        <f>VLOOKUP(A287,Database!A:K,MATCH($A$1,Database!$A$1:$K$1,),)+VLOOKUP(A287,Database!A:K,MATCH($B$1,Database!$A$1:$K$1,),)</f>
        <v/>
      </c>
      <c r="C287" s="12">
        <f>(B287-B286)/B286</f>
        <v/>
      </c>
      <c r="D287" s="13">
        <f>(B287-B275)/B275</f>
        <v/>
      </c>
    </row>
    <row r="288">
      <c r="A288" s="11" t="n">
        <v>42156</v>
      </c>
      <c r="B288" s="15">
        <f>VLOOKUP(A288,Database!A:K,MATCH($A$1,Database!$A$1:$K$1,),)+VLOOKUP(A288,Database!A:K,MATCH($B$1,Database!$A$1:$K$1,),)</f>
        <v/>
      </c>
      <c r="C288" s="12">
        <f>(B288-B287)/B287</f>
        <v/>
      </c>
      <c r="D288" s="13">
        <f>(B288-B276)/B276</f>
        <v/>
      </c>
    </row>
    <row r="289">
      <c r="A289" s="10" t="n">
        <v>42186</v>
      </c>
      <c r="B289" s="15">
        <f>VLOOKUP(A289,Database!A:K,MATCH($A$1,Database!$A$1:$K$1,),)+VLOOKUP(A289,Database!A:K,MATCH($B$1,Database!$A$1:$K$1,),)</f>
        <v/>
      </c>
      <c r="C289" s="12">
        <f>(B289-B288)/B288</f>
        <v/>
      </c>
      <c r="D289" s="13">
        <f>(B289-B277)/B277</f>
        <v/>
      </c>
    </row>
    <row r="290">
      <c r="A290" s="11" t="n">
        <v>42217</v>
      </c>
      <c r="B290" s="15">
        <f>VLOOKUP(A290,Database!A:K,MATCH($A$1,Database!$A$1:$K$1,),)+VLOOKUP(A290,Database!A:K,MATCH($B$1,Database!$A$1:$K$1,),)</f>
        <v/>
      </c>
      <c r="C290" s="12">
        <f>(B290-B289)/B289</f>
        <v/>
      </c>
      <c r="D290" s="13">
        <f>(B290-B278)/B278</f>
        <v/>
      </c>
    </row>
    <row r="291">
      <c r="A291" s="10" t="n">
        <v>42248</v>
      </c>
      <c r="B291" s="15">
        <f>VLOOKUP(A291,Database!A:K,MATCH($A$1,Database!$A$1:$K$1,),)+VLOOKUP(A291,Database!A:K,MATCH($B$1,Database!$A$1:$K$1,),)</f>
        <v/>
      </c>
      <c r="C291" s="12">
        <f>(B291-B290)/B290</f>
        <v/>
      </c>
      <c r="D291" s="13">
        <f>(B291-B279)/B279</f>
        <v/>
      </c>
    </row>
    <row r="292">
      <c r="A292" s="11" t="n">
        <v>42278</v>
      </c>
      <c r="B292" s="15">
        <f>VLOOKUP(A292,Database!A:K,MATCH($A$1,Database!$A$1:$K$1,),)+VLOOKUP(A292,Database!A:K,MATCH($B$1,Database!$A$1:$K$1,),)</f>
        <v/>
      </c>
      <c r="C292" s="12">
        <f>(B292-B291)/B291</f>
        <v/>
      </c>
      <c r="D292" s="13">
        <f>(B292-B280)/B280</f>
        <v/>
      </c>
    </row>
    <row r="293">
      <c r="A293" s="10" t="n">
        <v>42309</v>
      </c>
      <c r="B293" s="15">
        <f>VLOOKUP(A293,Database!A:K,MATCH($A$1,Database!$A$1:$K$1,),)+VLOOKUP(A293,Database!A:K,MATCH($B$1,Database!$A$1:$K$1,),)</f>
        <v/>
      </c>
      <c r="C293" s="12">
        <f>(B293-B292)/B292</f>
        <v/>
      </c>
      <c r="D293" s="13">
        <f>(B293-B281)/B281</f>
        <v/>
      </c>
    </row>
    <row r="294">
      <c r="A294" s="11" t="n">
        <v>42339</v>
      </c>
      <c r="B294" s="15">
        <f>VLOOKUP(A294,Database!A:K,MATCH($A$1,Database!$A$1:$K$1,),)+VLOOKUP(A294,Database!A:K,MATCH($B$1,Database!$A$1:$K$1,),)</f>
        <v/>
      </c>
      <c r="C294" s="12">
        <f>(B294-B293)/B293</f>
        <v/>
      </c>
      <c r="D294" s="13">
        <f>(B294-B282)/B282</f>
        <v/>
      </c>
    </row>
    <row r="295">
      <c r="A295" s="10" t="n">
        <v>42370</v>
      </c>
      <c r="B295" s="15">
        <f>VLOOKUP(A295,Database!A:K,MATCH($A$1,Database!$A$1:$K$1,),)+VLOOKUP(A295,Database!A:K,MATCH($B$1,Database!$A$1:$K$1,),)</f>
        <v/>
      </c>
      <c r="C295" s="12">
        <f>(B295-B294)/B294</f>
        <v/>
      </c>
      <c r="D295" s="13">
        <f>(B295-B283)/B283</f>
        <v/>
      </c>
    </row>
    <row r="296">
      <c r="A296" s="11" t="n">
        <v>42401</v>
      </c>
      <c r="B296" s="15">
        <f>VLOOKUP(A296,Database!A:K,MATCH($A$1,Database!$A$1:$K$1,),)+VLOOKUP(A296,Database!A:K,MATCH($B$1,Database!$A$1:$K$1,),)</f>
        <v/>
      </c>
      <c r="C296" s="12">
        <f>(B296-B295)/B295</f>
        <v/>
      </c>
      <c r="D296" s="13">
        <f>(B296-B284)/B284</f>
        <v/>
      </c>
    </row>
    <row r="297">
      <c r="A297" s="10" t="n">
        <v>42430</v>
      </c>
      <c r="B297" s="15">
        <f>VLOOKUP(A297,Database!A:K,MATCH($A$1,Database!$A$1:$K$1,),)+VLOOKUP(A297,Database!A:K,MATCH($B$1,Database!$A$1:$K$1,),)</f>
        <v/>
      </c>
      <c r="C297" s="12">
        <f>(B297-B296)/B296</f>
        <v/>
      </c>
      <c r="D297" s="13">
        <f>(B297-B285)/B285</f>
        <v/>
      </c>
    </row>
    <row r="298">
      <c r="A298" s="11" t="n">
        <v>42461</v>
      </c>
      <c r="B298" s="15">
        <f>VLOOKUP(A298,Database!A:K,MATCH($A$1,Database!$A$1:$K$1,),)+VLOOKUP(A298,Database!A:K,MATCH($B$1,Database!$A$1:$K$1,),)</f>
        <v/>
      </c>
      <c r="C298" s="12">
        <f>(B298-B297)/B297</f>
        <v/>
      </c>
      <c r="D298" s="13">
        <f>(B298-B286)/B286</f>
        <v/>
      </c>
    </row>
    <row r="299">
      <c r="A299" s="10" t="n">
        <v>42491</v>
      </c>
      <c r="B299" s="15">
        <f>VLOOKUP(A299,Database!A:K,MATCH($A$1,Database!$A$1:$K$1,),)+VLOOKUP(A299,Database!A:K,MATCH($B$1,Database!$A$1:$K$1,),)</f>
        <v/>
      </c>
      <c r="C299" s="12">
        <f>(B299-B298)/B298</f>
        <v/>
      </c>
      <c r="D299" s="13">
        <f>(B299-B287)/B287</f>
        <v/>
      </c>
    </row>
    <row r="300">
      <c r="A300" s="11" t="n">
        <v>42522</v>
      </c>
      <c r="B300" s="15">
        <f>VLOOKUP(A300,Database!A:K,MATCH($A$1,Database!$A$1:$K$1,),)+VLOOKUP(A300,Database!A:K,MATCH($B$1,Database!$A$1:$K$1,),)</f>
        <v/>
      </c>
      <c r="C300" s="12">
        <f>(B300-B299)/B299</f>
        <v/>
      </c>
      <c r="D300" s="13">
        <f>(B300-B288)/B288</f>
        <v/>
      </c>
    </row>
    <row r="301">
      <c r="A301" s="10" t="n">
        <v>42552</v>
      </c>
      <c r="B301" s="15">
        <f>VLOOKUP(A301,Database!A:K,MATCH($A$1,Database!$A$1:$K$1,),)+VLOOKUP(A301,Database!A:K,MATCH($B$1,Database!$A$1:$K$1,),)</f>
        <v/>
      </c>
      <c r="C301" s="12">
        <f>(B301-B300)/B300</f>
        <v/>
      </c>
      <c r="D301" s="13">
        <f>(B301-B289)/B289</f>
        <v/>
      </c>
    </row>
    <row r="302">
      <c r="A302" s="11" t="n">
        <v>42583</v>
      </c>
      <c r="B302" s="15">
        <f>VLOOKUP(A302,Database!A:K,MATCH($A$1,Database!$A$1:$K$1,),)+VLOOKUP(A302,Database!A:K,MATCH($B$1,Database!$A$1:$K$1,),)</f>
        <v/>
      </c>
      <c r="C302" s="12">
        <f>(B302-B301)/B301</f>
        <v/>
      </c>
      <c r="D302" s="13">
        <f>(B302-B290)/B290</f>
        <v/>
      </c>
    </row>
    <row r="303">
      <c r="A303" s="10" t="n">
        <v>42614</v>
      </c>
      <c r="B303" s="15">
        <f>VLOOKUP(A303,Database!A:K,MATCH($A$1,Database!$A$1:$K$1,),)+VLOOKUP(A303,Database!A:K,MATCH($B$1,Database!$A$1:$K$1,),)</f>
        <v/>
      </c>
      <c r="C303" s="12">
        <f>(B303-B302)/B302</f>
        <v/>
      </c>
      <c r="D303" s="13">
        <f>(B303-B291)/B291</f>
        <v/>
      </c>
    </row>
    <row r="304">
      <c r="A304" s="11" t="n">
        <v>42644</v>
      </c>
      <c r="B304" s="15">
        <f>VLOOKUP(A304,Database!A:K,MATCH($A$1,Database!$A$1:$K$1,),)+VLOOKUP(A304,Database!A:K,MATCH($B$1,Database!$A$1:$K$1,),)</f>
        <v/>
      </c>
      <c r="C304" s="12">
        <f>(B304-B303)/B303</f>
        <v/>
      </c>
      <c r="D304" s="13">
        <f>(B304-B292)/B292</f>
        <v/>
      </c>
    </row>
    <row r="305">
      <c r="A305" s="10" t="n">
        <v>42675</v>
      </c>
      <c r="B305" s="15">
        <f>VLOOKUP(A305,Database!A:K,MATCH($A$1,Database!$A$1:$K$1,),)+VLOOKUP(A305,Database!A:K,MATCH($B$1,Database!$A$1:$K$1,),)</f>
        <v/>
      </c>
      <c r="C305" s="12">
        <f>(B305-B304)/B304</f>
        <v/>
      </c>
      <c r="D305" s="13">
        <f>(B305-B293)/B293</f>
        <v/>
      </c>
    </row>
    <row r="306">
      <c r="A306" s="11" t="n">
        <v>42705</v>
      </c>
      <c r="B306" s="15">
        <f>VLOOKUP(A306,Database!A:K,MATCH($A$1,Database!$A$1:$K$1,),)+VLOOKUP(A306,Database!A:K,MATCH($B$1,Database!$A$1:$K$1,),)</f>
        <v/>
      </c>
      <c r="C306" s="12">
        <f>(B306-B305)/B305</f>
        <v/>
      </c>
      <c r="D306" s="13">
        <f>(B306-B294)/B294</f>
        <v/>
      </c>
    </row>
    <row r="307">
      <c r="A307" s="10" t="n">
        <v>42736</v>
      </c>
      <c r="B307" s="15">
        <f>VLOOKUP(A307,Database!A:K,MATCH($A$1,Database!$A$1:$K$1,),)+VLOOKUP(A307,Database!A:K,MATCH($B$1,Database!$A$1:$K$1,),)</f>
        <v/>
      </c>
      <c r="C307" s="12">
        <f>(B307-B306)/B306</f>
        <v/>
      </c>
      <c r="D307" s="13">
        <f>(B307-B295)/B295</f>
        <v/>
      </c>
    </row>
    <row r="308">
      <c r="A308" s="11" t="n">
        <v>42767</v>
      </c>
      <c r="B308" s="15">
        <f>VLOOKUP(A308,Database!A:K,MATCH($A$1,Database!$A$1:$K$1,),)+VLOOKUP(A308,Database!A:K,MATCH($B$1,Database!$A$1:$K$1,),)</f>
        <v/>
      </c>
      <c r="C308" s="12">
        <f>(B308-B307)/B307</f>
        <v/>
      </c>
      <c r="D308" s="13">
        <f>(B308-B296)/B296</f>
        <v/>
      </c>
    </row>
    <row r="309">
      <c r="A309" s="10" t="n">
        <v>42795</v>
      </c>
      <c r="B309" s="15">
        <f>VLOOKUP(A309,Database!A:K,MATCH($A$1,Database!$A$1:$K$1,),)+VLOOKUP(A309,Database!A:K,MATCH($B$1,Database!$A$1:$K$1,),)</f>
        <v/>
      </c>
      <c r="C309" s="12">
        <f>(B309-B308)/B308</f>
        <v/>
      </c>
      <c r="D309" s="13">
        <f>(B309-B297)/B297</f>
        <v/>
      </c>
    </row>
    <row r="310">
      <c r="A310" s="11" t="n">
        <v>42826</v>
      </c>
      <c r="B310" s="15">
        <f>VLOOKUP(A310,Database!A:K,MATCH($A$1,Database!$A$1:$K$1,),)+VLOOKUP(A310,Database!A:K,MATCH($B$1,Database!$A$1:$K$1,),)</f>
        <v/>
      </c>
      <c r="C310" s="12">
        <f>(B310-B309)/B309</f>
        <v/>
      </c>
      <c r="D310" s="13">
        <f>(B310-B298)/B298</f>
        <v/>
      </c>
    </row>
    <row r="311">
      <c r="A311" s="10" t="n">
        <v>42856</v>
      </c>
      <c r="B311" s="15">
        <f>VLOOKUP(A311,Database!A:K,MATCH($A$1,Database!$A$1:$K$1,),)+VLOOKUP(A311,Database!A:K,MATCH($B$1,Database!$A$1:$K$1,),)</f>
        <v/>
      </c>
      <c r="C311" s="12">
        <f>(B311-B310)/B310</f>
        <v/>
      </c>
      <c r="D311" s="13">
        <f>(B311-B299)/B299</f>
        <v/>
      </c>
    </row>
    <row r="312">
      <c r="A312" s="11" t="n">
        <v>42887</v>
      </c>
      <c r="B312" s="15">
        <f>VLOOKUP(A312,Database!A:K,MATCH($A$1,Database!$A$1:$K$1,),)+VLOOKUP(A312,Database!A:K,MATCH($B$1,Database!$A$1:$K$1,),)</f>
        <v/>
      </c>
      <c r="C312" s="12">
        <f>(B312-B311)/B311</f>
        <v/>
      </c>
      <c r="D312" s="13">
        <f>(B312-B300)/B300</f>
        <v/>
      </c>
    </row>
    <row r="313">
      <c r="A313" s="10" t="n">
        <v>42917</v>
      </c>
      <c r="B313" s="15">
        <f>VLOOKUP(A313,Database!A:K,MATCH($A$1,Database!$A$1:$K$1,),)+VLOOKUP(A313,Database!A:K,MATCH($B$1,Database!$A$1:$K$1,),)</f>
        <v/>
      </c>
      <c r="C313" s="12">
        <f>(B313-B312)/B312</f>
        <v/>
      </c>
      <c r="D313" s="13">
        <f>(B313-B301)/B301</f>
        <v/>
      </c>
    </row>
    <row r="314">
      <c r="A314" s="11" t="n">
        <v>42948</v>
      </c>
      <c r="B314" s="15">
        <f>VLOOKUP(A314,Database!A:K,MATCH($A$1,Database!$A$1:$K$1,),)+VLOOKUP(A314,Database!A:K,MATCH($B$1,Database!$A$1:$K$1,),)</f>
        <v/>
      </c>
      <c r="C314" s="12">
        <f>(B314-B313)/B313</f>
        <v/>
      </c>
      <c r="D314" s="13">
        <f>(B314-B302)/B302</f>
        <v/>
      </c>
    </row>
    <row r="315">
      <c r="A315" s="10" t="n">
        <v>42979</v>
      </c>
      <c r="B315" s="15">
        <f>VLOOKUP(A315,Database!A:K,MATCH($A$1,Database!$A$1:$K$1,),)+VLOOKUP(A315,Database!A:K,MATCH($B$1,Database!$A$1:$K$1,),)</f>
        <v/>
      </c>
      <c r="C315" s="12">
        <f>(B315-B314)/B314</f>
        <v/>
      </c>
      <c r="D315" s="13">
        <f>(B315-B303)/B303</f>
        <v/>
      </c>
    </row>
    <row r="316">
      <c r="A316" s="11" t="n">
        <v>43009</v>
      </c>
      <c r="B316" s="15">
        <f>VLOOKUP(A316,Database!A:K,MATCH($A$1,Database!$A$1:$K$1,),)+VLOOKUP(A316,Database!A:K,MATCH($B$1,Database!$A$1:$K$1,),)</f>
        <v/>
      </c>
      <c r="C316" s="12">
        <f>(B316-B315)/B315</f>
        <v/>
      </c>
      <c r="D316" s="13">
        <f>(B316-B304)/B304</f>
        <v/>
      </c>
    </row>
    <row r="317">
      <c r="A317" s="10" t="n">
        <v>43040</v>
      </c>
      <c r="B317" s="15">
        <f>VLOOKUP(A317,Database!A:K,MATCH($A$1,Database!$A$1:$K$1,),)+VLOOKUP(A317,Database!A:K,MATCH($B$1,Database!$A$1:$K$1,),)</f>
        <v/>
      </c>
      <c r="C317" s="12">
        <f>(B317-B316)/B316</f>
        <v/>
      </c>
      <c r="D317" s="13">
        <f>(B317-B305)/B305</f>
        <v/>
      </c>
    </row>
    <row r="318">
      <c r="A318" s="11" t="n">
        <v>43070</v>
      </c>
      <c r="B318" s="15">
        <f>VLOOKUP(A318,Database!A:K,MATCH($A$1,Database!$A$1:$K$1,),)+VLOOKUP(A318,Database!A:K,MATCH($B$1,Database!$A$1:$K$1,),)</f>
        <v/>
      </c>
      <c r="C318" s="12">
        <f>(B318-B317)/B317</f>
        <v/>
      </c>
      <c r="D318" s="13">
        <f>(B318-B306)/B306</f>
        <v/>
      </c>
    </row>
    <row r="319">
      <c r="A319" s="10" t="n">
        <v>43101</v>
      </c>
      <c r="B319" s="15">
        <f>VLOOKUP(A319,Database!A:K,MATCH($A$1,Database!$A$1:$K$1,),)+VLOOKUP(A319,Database!A:K,MATCH($B$1,Database!$A$1:$K$1,),)</f>
        <v/>
      </c>
      <c r="C319" s="12">
        <f>(B319-B318)/B318</f>
        <v/>
      </c>
      <c r="D319" s="13">
        <f>(B319-B307)/B307</f>
        <v/>
      </c>
    </row>
    <row r="320">
      <c r="A320" s="11" t="n">
        <v>43132</v>
      </c>
      <c r="B320" s="15">
        <f>VLOOKUP(A320,Database!A:K,MATCH($A$1,Database!$A$1:$K$1,),)+VLOOKUP(A320,Database!A:K,MATCH($B$1,Database!$A$1:$K$1,),)</f>
        <v/>
      </c>
      <c r="C320" s="12">
        <f>(B320-B319)/B319</f>
        <v/>
      </c>
      <c r="D320" s="13">
        <f>(B320-B308)/B308</f>
        <v/>
      </c>
    </row>
    <row r="321">
      <c r="A321" s="10" t="n">
        <v>43160</v>
      </c>
      <c r="B321" s="15">
        <f>VLOOKUP(A321,Database!A:K,MATCH($A$1,Database!$A$1:$K$1,),)+VLOOKUP(A321,Database!A:K,MATCH($B$1,Database!$A$1:$K$1,),)</f>
        <v/>
      </c>
      <c r="C321" s="12">
        <f>(B321-B320)/B320</f>
        <v/>
      </c>
      <c r="D321" s="13">
        <f>(B321-B309)/B309</f>
        <v/>
      </c>
    </row>
    <row r="322">
      <c r="A322" s="11" t="n">
        <v>43191</v>
      </c>
      <c r="B322" s="15">
        <f>VLOOKUP(A322,Database!A:K,MATCH($A$1,Database!$A$1:$K$1,),)+VLOOKUP(A322,Database!A:K,MATCH($B$1,Database!$A$1:$K$1,),)</f>
        <v/>
      </c>
      <c r="C322" s="12">
        <f>(B322-B321)/B321</f>
        <v/>
      </c>
      <c r="D322" s="13">
        <f>(B322-B310)/B310</f>
        <v/>
      </c>
    </row>
    <row r="323">
      <c r="A323" s="10" t="n">
        <v>43221</v>
      </c>
      <c r="B323" s="15">
        <f>VLOOKUP(A323,Database!A:K,MATCH($A$1,Database!$A$1:$K$1,),)+VLOOKUP(A323,Database!A:K,MATCH($B$1,Database!$A$1:$K$1,),)</f>
        <v/>
      </c>
      <c r="C323" s="12">
        <f>(B323-B322)/B322</f>
        <v/>
      </c>
      <c r="D323" s="13">
        <f>(B323-B311)/B311</f>
        <v/>
      </c>
    </row>
    <row r="324">
      <c r="A324" s="11" t="n">
        <v>43252</v>
      </c>
      <c r="B324" s="15">
        <f>VLOOKUP(A324,Database!A:K,MATCH($A$1,Database!$A$1:$K$1,),)+VLOOKUP(A324,Database!A:K,MATCH($B$1,Database!$A$1:$K$1,),)</f>
        <v/>
      </c>
      <c r="C324" s="12">
        <f>(B324-B323)/B323</f>
        <v/>
      </c>
      <c r="D324" s="13">
        <f>(B324-B312)/B312</f>
        <v/>
      </c>
    </row>
    <row r="325">
      <c r="A325" s="10" t="n">
        <v>43282</v>
      </c>
      <c r="B325" s="15">
        <f>VLOOKUP(A325,Database!A:K,MATCH($A$1,Database!$A$1:$K$1,),)+VLOOKUP(A325,Database!A:K,MATCH($B$1,Database!$A$1:$K$1,),)</f>
        <v/>
      </c>
      <c r="C325" s="12">
        <f>(B325-B324)/B324</f>
        <v/>
      </c>
      <c r="D325" s="13">
        <f>(B325-B313)/B313</f>
        <v/>
      </c>
    </row>
    <row r="326">
      <c r="A326" s="11" t="n">
        <v>43313</v>
      </c>
      <c r="B326" s="15">
        <f>VLOOKUP(A326,Database!A:K,MATCH($A$1,Database!$A$1:$K$1,),)+VLOOKUP(A326,Database!A:K,MATCH($B$1,Database!$A$1:$K$1,),)</f>
        <v/>
      </c>
      <c r="C326" s="12">
        <f>(B326-B325)/B325</f>
        <v/>
      </c>
      <c r="D326" s="13">
        <f>(B326-B314)/B314</f>
        <v/>
      </c>
    </row>
    <row r="327">
      <c r="A327" s="10" t="n">
        <v>43344</v>
      </c>
      <c r="B327" s="15">
        <f>VLOOKUP(A327,Database!A:K,MATCH($A$1,Database!$A$1:$K$1,),)+VLOOKUP(A327,Database!A:K,MATCH($B$1,Database!$A$1:$K$1,),)</f>
        <v/>
      </c>
      <c r="C327" s="12">
        <f>(B327-B326)/B326</f>
        <v/>
      </c>
      <c r="D327" s="13">
        <f>(B327-B315)/B315</f>
        <v/>
      </c>
    </row>
    <row r="328">
      <c r="A328" s="11" t="n">
        <v>43374</v>
      </c>
      <c r="B328" s="15">
        <f>VLOOKUP(A328,Database!A:K,MATCH($A$1,Database!$A$1:$K$1,),)+VLOOKUP(A328,Database!A:K,MATCH($B$1,Database!$A$1:$K$1,),)</f>
        <v/>
      </c>
      <c r="C328" s="12">
        <f>(B328-B327)/B327</f>
        <v/>
      </c>
      <c r="D328" s="13">
        <f>(B328-B316)/B316</f>
        <v/>
      </c>
    </row>
    <row r="329">
      <c r="A329" s="10" t="n">
        <v>43405</v>
      </c>
      <c r="B329" s="15">
        <f>VLOOKUP(A329,Database!A:K,MATCH($A$1,Database!$A$1:$K$1,),)+VLOOKUP(A329,Database!A:K,MATCH($B$1,Database!$A$1:$K$1,),)</f>
        <v/>
      </c>
      <c r="C329" s="12">
        <f>(B329-B328)/B328</f>
        <v/>
      </c>
      <c r="D329" s="13">
        <f>(B329-B317)/B317</f>
        <v/>
      </c>
    </row>
    <row r="330">
      <c r="A330" s="11" t="n">
        <v>43435</v>
      </c>
      <c r="B330" s="15">
        <f>VLOOKUP(A330,Database!A:K,MATCH($A$1,Database!$A$1:$K$1,),)+VLOOKUP(A330,Database!A:K,MATCH($B$1,Database!$A$1:$K$1,),)</f>
        <v/>
      </c>
      <c r="C330" s="12">
        <f>(B330-B329)/B329</f>
        <v/>
      </c>
      <c r="D330" s="13">
        <f>(B330-B318)/B318</f>
        <v/>
      </c>
    </row>
    <row r="331">
      <c r="A331" s="10" t="n">
        <v>43466</v>
      </c>
      <c r="B331" s="15">
        <f>VLOOKUP(A331,Database!A:K,MATCH($A$1,Database!$A$1:$K$1,),)+VLOOKUP(A331,Database!A:K,MATCH($B$1,Database!$A$1:$K$1,),)</f>
        <v/>
      </c>
      <c r="C331" s="12">
        <f>(B331-B330)/B330</f>
        <v/>
      </c>
      <c r="D331" s="13">
        <f>(B331-B319)/B319</f>
        <v/>
      </c>
    </row>
    <row r="332">
      <c r="A332" s="11" t="n">
        <v>43497</v>
      </c>
      <c r="B332" s="15">
        <f>VLOOKUP(A332,Database!A:K,MATCH($A$1,Database!$A$1:$K$1,),)+VLOOKUP(A332,Database!A:K,MATCH($B$1,Database!$A$1:$K$1,),)</f>
        <v/>
      </c>
      <c r="C332" s="12">
        <f>(B332-B331)/B331</f>
        <v/>
      </c>
      <c r="D332" s="13">
        <f>(B332-B320)/B320</f>
        <v/>
      </c>
    </row>
    <row r="333">
      <c r="A333" s="10" t="n">
        <v>43525</v>
      </c>
      <c r="B333" s="15">
        <f>VLOOKUP(A333,Database!A:K,MATCH($A$1,Database!$A$1:$K$1,),)+VLOOKUP(A333,Database!A:K,MATCH($B$1,Database!$A$1:$K$1,),)</f>
        <v/>
      </c>
      <c r="C333" s="12">
        <f>(B333-B332)/B332</f>
        <v/>
      </c>
      <c r="D333" s="13">
        <f>(B333-B321)/B321</f>
        <v/>
      </c>
    </row>
    <row r="334">
      <c r="A334" s="11" t="n">
        <v>43556</v>
      </c>
      <c r="B334" s="15">
        <f>VLOOKUP(A334,Database!A:K,MATCH($A$1,Database!$A$1:$K$1,),)+VLOOKUP(A334,Database!A:K,MATCH($B$1,Database!$A$1:$K$1,),)</f>
        <v/>
      </c>
      <c r="C334" s="12">
        <f>(B334-B333)/B333</f>
        <v/>
      </c>
      <c r="D334" s="13">
        <f>(B334-B322)/B322</f>
        <v/>
      </c>
    </row>
    <row r="335">
      <c r="A335" s="30" t="n">
        <v>43586</v>
      </c>
      <c r="B335" s="31">
        <f>VLOOKUP(A335,Database!A:K,MATCH($A$1,Database!$A$1:$K$1,),)+VLOOKUP(A335,Database!A:K,MATCH($B$1,Database!$A$1:$K$1,),)</f>
        <v/>
      </c>
      <c r="C335" s="32">
        <f>(B335-B334)/B334</f>
        <v/>
      </c>
      <c r="D335" s="33">
        <f>(B335-B323)/B323</f>
        <v/>
      </c>
    </row>
    <row r="336">
      <c r="A336" s="11" t="n">
        <v>43617</v>
      </c>
      <c r="B336" s="15">
        <f>VLOOKUP(A336,Database!A:K,MATCH($A$1,Database!$A$1:$K$1,),)+VLOOKUP(A336,Database!A:K,MATCH($B$1,Database!$A$1:$K$1,),)</f>
        <v/>
      </c>
      <c r="C336" s="12">
        <f>(B336-B335)/B335</f>
        <v/>
      </c>
      <c r="D336" s="13">
        <f>(B336-B324)/B324</f>
        <v/>
      </c>
    </row>
    <row r="337">
      <c r="A337" s="30" t="n">
        <v>43647</v>
      </c>
      <c r="B337" s="31">
        <f>VLOOKUP(A337,Database!A:K,MATCH($A$1,Database!$A$1:$K$1,),)+VLOOKUP(A337,Database!A:K,MATCH($B$1,Database!$A$1:$K$1,),)</f>
        <v/>
      </c>
      <c r="C337" s="32">
        <f>(B337-B336)/B336</f>
        <v/>
      </c>
      <c r="D337" s="33">
        <f>(B337-B325)/B325</f>
        <v/>
      </c>
    </row>
    <row r="338">
      <c r="A338" s="11" t="n">
        <v>43678</v>
      </c>
      <c r="B338" s="15">
        <f>VLOOKUP(A338,Database!A:K,MATCH($A$1,Database!$A$1:$K$1,),)+VLOOKUP(A338,Database!A:K,MATCH($B$1,Database!$A$1:$K$1,),)</f>
        <v/>
      </c>
      <c r="C338" s="12">
        <f>(B338-B337)/B337</f>
        <v/>
      </c>
      <c r="D338" s="13">
        <f>(B338-B326)/B326</f>
        <v/>
      </c>
    </row>
    <row r="339">
      <c r="A339" s="30" t="n">
        <v>43709</v>
      </c>
      <c r="B339" s="31">
        <f>VLOOKUP(A339,Database!A:K,MATCH($A$1,Database!$A$1:$K$1,),)+VLOOKUP(A339,Database!A:K,MATCH($B$1,Database!$A$1:$K$1,),)</f>
        <v/>
      </c>
      <c r="C339" s="32">
        <f>(B339-B338)/B338</f>
        <v/>
      </c>
      <c r="D339" s="33">
        <f>(B339-B327)/B327</f>
        <v/>
      </c>
    </row>
    <row r="340">
      <c r="A340" s="11" t="n">
        <v>43739</v>
      </c>
      <c r="B340" s="15">
        <f>VLOOKUP(A340,Database!A:K,MATCH($A$1,Database!$A$1:$K$1,),)+VLOOKUP(A340,Database!A:K,MATCH($B$1,Database!$A$1:$K$1,),)</f>
        <v/>
      </c>
      <c r="C340" s="12">
        <f>(B340-B339)/B339</f>
        <v/>
      </c>
      <c r="D340" s="13">
        <f>(B340-B328)/B328</f>
        <v/>
      </c>
    </row>
    <row r="341">
      <c r="A341" s="30" t="n">
        <v>43770</v>
      </c>
      <c r="B341" s="31">
        <f>VLOOKUP(A341,Database!A:K,MATCH($A$1,Database!$A$1:$K$1,),)+VLOOKUP(A341,Database!A:K,MATCH($B$1,Database!$A$1:$K$1,),)</f>
        <v/>
      </c>
      <c r="C341" s="32">
        <f>(B341-B340)/B340</f>
        <v/>
      </c>
      <c r="D341" s="33">
        <f>(B341-B329)/B329</f>
        <v/>
      </c>
    </row>
    <row r="342">
      <c r="A342" s="11" t="n">
        <v>43800</v>
      </c>
      <c r="B342" s="15">
        <f>VLOOKUP(A342,Database!A:K,MATCH($A$1,Database!$A$1:$K$1,),)+VLOOKUP(A342,Database!A:K,MATCH($B$1,Database!$A$1:$K$1,),)</f>
        <v/>
      </c>
      <c r="C342" s="12">
        <f>(B342-B341)/B341</f>
        <v/>
      </c>
      <c r="D342" s="13">
        <f>(B342-B330)/B330</f>
        <v/>
      </c>
    </row>
    <row r="343">
      <c r="A343" s="30" t="n">
        <v>43831</v>
      </c>
      <c r="B343" s="31">
        <f>VLOOKUP(A343,Database!A:K,MATCH($A$1,Database!$A$1:$K$1,),)+VLOOKUP(A343,Database!A:K,MATCH($B$1,Database!$A$1:$K$1,),)</f>
        <v/>
      </c>
      <c r="C343" s="32">
        <f>(B343-B342)/B342</f>
        <v/>
      </c>
      <c r="D343" s="33">
        <f>(B343-B331)/B331</f>
        <v/>
      </c>
    </row>
    <row r="344">
      <c r="A344" s="11" t="n">
        <v>43862</v>
      </c>
      <c r="B344" s="15">
        <f>VLOOKUP(A344,Database!A:K,MATCH($A$1,Database!$A$1:$K$1,),)+VLOOKUP(A344,Database!A:K,MATCH($B$1,Database!$A$1:$K$1,),)</f>
        <v/>
      </c>
      <c r="C344" s="12">
        <f>(B344-B343)/B343</f>
        <v/>
      </c>
      <c r="D344" s="13">
        <f>(B344-B332)/B332</f>
        <v/>
      </c>
    </row>
    <row r="345">
      <c r="A345" s="30" t="n">
        <v>43891</v>
      </c>
      <c r="B345" s="31">
        <f>VLOOKUP(A345,Database!A:K,MATCH($A$1,Database!$A$1:$K$1,),)+VLOOKUP(A345,Database!A:K,MATCH($B$1,Database!$A$1:$K$1,),)</f>
        <v/>
      </c>
      <c r="C345" s="32">
        <f>(B345-B344)/B344</f>
        <v/>
      </c>
      <c r="D345" s="33">
        <f>(B345-B333)/B333</f>
        <v/>
      </c>
    </row>
    <row r="346">
      <c r="A346" s="11" t="n">
        <v>43922</v>
      </c>
      <c r="B346" s="15">
        <f>VLOOKUP(A346,Database!A:K,MATCH($A$1,Database!$A$1:$K$1,),)+VLOOKUP(A346,Database!A:K,MATCH($B$1,Database!$A$1:$K$1,),)</f>
        <v/>
      </c>
      <c r="C346" s="12">
        <f>(B346-B345)/B345</f>
        <v/>
      </c>
      <c r="D346" s="13">
        <f>(B346-B334)/B334</f>
        <v/>
      </c>
    </row>
    <row r="347">
      <c r="A347" s="30" t="n">
        <v>43952</v>
      </c>
      <c r="B347" s="31">
        <f>VLOOKUP(A347,Database!A:K,MATCH($A$1,Database!$A$1:$K$1,),)+VLOOKUP(A347,Database!A:K,MATCH($B$1,Database!$A$1:$K$1,),)</f>
        <v/>
      </c>
      <c r="C347" s="32">
        <f>(B347-B346)/B346</f>
        <v/>
      </c>
      <c r="D347" s="33">
        <f>(B347-B335)/B335</f>
        <v/>
      </c>
    </row>
    <row r="348">
      <c r="A348" s="11" t="n">
        <v>43983</v>
      </c>
      <c r="B348" s="15">
        <f>VLOOKUP(A348,Database!A:K,MATCH($A$1,Database!$A$1:$K$1,),)+VLOOKUP(A348,Database!A:K,MATCH($B$1,Database!$A$1:$K$1,),)</f>
        <v/>
      </c>
      <c r="C348" s="12">
        <f>(B348-B347)/B347</f>
        <v/>
      </c>
      <c r="D348" s="13">
        <f>(B348-B336)/B336</f>
        <v/>
      </c>
    </row>
    <row r="349">
      <c r="A349" s="30" t="n">
        <v>44013</v>
      </c>
      <c r="B349" s="31">
        <f>VLOOKUP(A349,Database!A:K,MATCH($A$1,Database!$A$1:$K$1,),)+VLOOKUP(A349,Database!A:K,MATCH($B$1,Database!$A$1:$K$1,),)</f>
        <v/>
      </c>
      <c r="C349" s="32">
        <f>(B349-B348)/B348</f>
        <v/>
      </c>
      <c r="D349" s="33">
        <f>(B349-B337)/B337</f>
        <v/>
      </c>
    </row>
    <row r="350">
      <c r="A350" s="11" t="n">
        <v>44044</v>
      </c>
      <c r="B350" s="15">
        <f>VLOOKUP(A350,Database!A:K,MATCH($A$1,Database!$A$1:$K$1,),)+VLOOKUP(A350,Database!A:K,MATCH($B$1,Database!$A$1:$K$1,),)</f>
        <v/>
      </c>
      <c r="C350" s="12">
        <f>(B350-B349)/B349</f>
        <v/>
      </c>
      <c r="D350" s="13">
        <f>(B350-B338)/B338</f>
        <v/>
      </c>
    </row>
    <row r="351">
      <c r="A351" s="30" t="n">
        <v>44075</v>
      </c>
      <c r="B351" s="31">
        <f>VLOOKUP(A351,Database!A:K,MATCH($A$1,Database!$A$1:$K$1,),)+VLOOKUP(A351,Database!A:K,MATCH($B$1,Database!$A$1:$K$1,),)</f>
        <v/>
      </c>
      <c r="C351" s="32">
        <f>(B351-B350)/B350</f>
        <v/>
      </c>
      <c r="D351" s="33">
        <f>(B351-B339)/B339</f>
        <v/>
      </c>
    </row>
    <row r="352">
      <c r="A352" s="11" t="n">
        <v>44105</v>
      </c>
      <c r="B352" s="15">
        <f>VLOOKUP(A352,Database!A:K,MATCH($A$1,Database!$A$1:$K$1,),)+VLOOKUP(A352,Database!A:K,MATCH($B$1,Database!$A$1:$K$1,),)</f>
        <v/>
      </c>
      <c r="C352" s="12">
        <f>(B352-B351)/B351</f>
        <v/>
      </c>
      <c r="D352" s="13">
        <f>(B352-B340)/B340</f>
        <v/>
      </c>
    </row>
    <row r="353">
      <c r="A353" s="30" t="n">
        <v>44136</v>
      </c>
      <c r="B353" s="31">
        <f>VLOOKUP(A353,Database!A:K,MATCH($A$1,Database!$A$1:$K$1,),)+VLOOKUP(A353,Database!A:K,MATCH($B$1,Database!$A$1:$K$1,),)</f>
        <v/>
      </c>
      <c r="C353" s="32">
        <f>(B353-B352)/B352</f>
        <v/>
      </c>
      <c r="D353" s="33">
        <f>(B353-B341)/B341</f>
        <v/>
      </c>
    </row>
    <row r="354">
      <c r="A354" s="11" t="n">
        <v>44166</v>
      </c>
      <c r="B354" s="15">
        <f>VLOOKUP(A354,Database!A:K,MATCH($A$1,Database!$A$1:$K$1,),)+VLOOKUP(A354,Database!A:K,MATCH($B$1,Database!$A$1:$K$1,),)</f>
        <v/>
      </c>
      <c r="C354" s="12">
        <f>(B354-B353)/B353</f>
        <v/>
      </c>
      <c r="D354" s="13">
        <f>(B354-B342)/B342</f>
        <v/>
      </c>
    </row>
    <row r="355">
      <c r="A355" s="30" t="n">
        <v>44197</v>
      </c>
      <c r="B355" s="31">
        <f>VLOOKUP(A355,Database!A:K,MATCH($A$1,Database!$A$1:$K$1,),)+VLOOKUP(A355,Database!A:K,MATCH($B$1,Database!$A$1:$K$1,),)</f>
        <v/>
      </c>
      <c r="C355" s="32">
        <f>(B355-B354)/B354</f>
        <v/>
      </c>
      <c r="D355" s="33">
        <f>(B355-B343)/B343</f>
        <v/>
      </c>
    </row>
    <row r="356">
      <c r="A356" s="11" t="n">
        <v>44228</v>
      </c>
      <c r="B356" s="15">
        <f>VLOOKUP(A356,Database!A:K,MATCH($A$1,Database!$A$1:$K$1,),)+VLOOKUP(A356,Database!A:K,MATCH($B$1,Database!$A$1:$K$1,),)</f>
        <v/>
      </c>
      <c r="C356" s="12">
        <f>(B356-B355)/B355</f>
        <v/>
      </c>
      <c r="D356" s="13">
        <f>(B356-B344)/B344</f>
        <v/>
      </c>
    </row>
    <row r="357">
      <c r="A357" s="30" t="n">
        <v>44256</v>
      </c>
      <c r="B357" s="31">
        <f>VLOOKUP(A357,Database!A:K,MATCH($A$1,Database!$A$1:$K$1,),)+VLOOKUP(A357,Database!A:K,MATCH($B$1,Database!$A$1:$K$1,),)</f>
        <v/>
      </c>
      <c r="C357" s="32">
        <f>(B357-B356)/B356</f>
        <v/>
      </c>
      <c r="D357" s="33">
        <f>(B357-B345)/B345</f>
        <v/>
      </c>
    </row>
    <row r="358">
      <c r="A358" s="11" t="n">
        <v>44287</v>
      </c>
      <c r="B358" s="15">
        <f>VLOOKUP(A358,Database!A:K,MATCH($A$1,Database!$A$1:$K$1,),)+VLOOKUP(A358,Database!A:K,MATCH($B$1,Database!$A$1:$K$1,),)</f>
        <v/>
      </c>
      <c r="C358" s="12">
        <f>(B358-B357)/B357</f>
        <v/>
      </c>
      <c r="D358" s="13">
        <f>(B358-B346)/B346</f>
        <v/>
      </c>
    </row>
    <row r="359">
      <c r="A359" s="30" t="n">
        <v>44317</v>
      </c>
      <c r="B359" s="31">
        <f>VLOOKUP(A359,Database!A:K,MATCH($A$1,Database!$A$1:$K$1,),)+VLOOKUP(A359,Database!A:K,MATCH($B$1,Database!$A$1:$K$1,),)</f>
        <v/>
      </c>
      <c r="C359" s="32">
        <f>(B359-B358)/B358</f>
        <v/>
      </c>
      <c r="D359" s="33">
        <f>(B359-B347)/B347</f>
        <v/>
      </c>
    </row>
    <row r="360">
      <c r="A360" s="11" t="n">
        <v>44348</v>
      </c>
      <c r="B360" s="15">
        <f>VLOOKUP(A360,Database!A:K,MATCH($A$1,Database!$A$1:$K$1,),)+VLOOKUP(A360,Database!A:K,MATCH($B$1,Database!$A$1:$K$1,),)</f>
        <v/>
      </c>
      <c r="C360" s="12">
        <f>(B360-B359)/B359</f>
        <v/>
      </c>
      <c r="D360" s="13">
        <f>(B360-B348)/B348</f>
        <v/>
      </c>
    </row>
    <row r="361">
      <c r="A361" s="30" t="n">
        <v>44378</v>
      </c>
      <c r="B361" s="31">
        <f>VLOOKUP(A361,Database!A:K,MATCH($A$1,Database!$A$1:$K$1,),)+VLOOKUP(A361,Database!A:K,MATCH($B$1,Database!$A$1:$K$1,),)</f>
        <v/>
      </c>
      <c r="C361" s="32">
        <f>(B361-B360)/B360</f>
        <v/>
      </c>
      <c r="D361" s="33">
        <f>(B361-B349)/B349</f>
        <v/>
      </c>
    </row>
    <row r="362">
      <c r="A362" s="11" t="n">
        <v>44409</v>
      </c>
      <c r="B362" s="15">
        <f>VLOOKUP(A362,Database!A:K,MATCH($A$1,Database!$A$1:$K$1,),)+VLOOKUP(A362,Database!A:K,MATCH($B$1,Database!$A$1:$K$1,),)</f>
        <v/>
      </c>
      <c r="C362" s="12">
        <f>(B362-B361)/B361</f>
        <v/>
      </c>
      <c r="D362" s="13">
        <f>(B362-B350)/B350</f>
        <v/>
      </c>
    </row>
    <row r="363">
      <c r="A363" s="11" t="n">
        <v>44440</v>
      </c>
      <c r="B363" s="15">
        <f>VLOOKUP(A363,Database!A:K,MATCH($A$1,Database!$A$1:$K$1,),)+VLOOKUP(A363,Database!A:K,MATCH($B$1,Database!$A$1:$K$1,),)</f>
        <v/>
      </c>
      <c r="C363" s="12">
        <f>(B363-B362)/B362</f>
        <v/>
      </c>
      <c r="D363" s="13">
        <f>(B363-B351)/B351</f>
        <v/>
      </c>
    </row>
    <row r="364">
      <c r="A364" s="30" t="n">
        <v>44470</v>
      </c>
      <c r="B364" s="31">
        <f>VLOOKUP(A364,Database!A:K,MATCH($A$1,Database!$A$1:$K$1,),)+VLOOKUP(A364,Database!A:K,MATCH($B$1,Database!$A$1:$K$1,),)</f>
        <v/>
      </c>
      <c r="C364" s="32">
        <f>(B364-B363)/B363</f>
        <v/>
      </c>
      <c r="D364" s="33">
        <f>(B364-B352)/B352</f>
        <v/>
      </c>
    </row>
    <row r="365">
      <c r="A365" s="11" t="n">
        <v>44501</v>
      </c>
      <c r="B365" s="15">
        <f>VLOOKUP(A365,Database!A:K,MATCH($A$1,Database!$A$1:$K$1,),)+VLOOKUP(A365,Database!A:K,MATCH($B$1,Database!$A$1:$K$1,),)</f>
        <v/>
      </c>
      <c r="C365" s="12">
        <f>(B365-B364)/B364</f>
        <v/>
      </c>
      <c r="D365" s="13">
        <f>(B365-B353)/B353</f>
        <v/>
      </c>
    </row>
    <row r="366">
      <c r="A366" s="11" t="n">
        <v>44531</v>
      </c>
      <c r="B366" s="15">
        <f>VLOOKUP(A366,Database!A:K,MATCH($A$1,Database!$A$1:$K$1,),)+VLOOKUP(A366,Database!A:K,MATCH($B$1,Database!$A$1:$K$1,),)</f>
        <v/>
      </c>
      <c r="C366" s="12">
        <f>(B366-B365)/B365</f>
        <v/>
      </c>
      <c r="D366" s="13">
        <f>(B366-B354)/B354</f>
        <v/>
      </c>
    </row>
    <row r="367">
      <c r="A367" s="11" t="n">
        <v>44562</v>
      </c>
      <c r="B367" s="15">
        <f>VLOOKUP(A367,Database!A:K,MATCH($A$1,Database!$A$1:$K$1,),)+VLOOKUP(A367,Database!A:K,MATCH($B$1,Database!$A$1:$K$1,),)</f>
        <v/>
      </c>
      <c r="C367" s="12">
        <f>(B367-B366)/B366</f>
        <v/>
      </c>
      <c r="D367" s="13">
        <f>(B367-B355)/B355</f>
        <v/>
      </c>
    </row>
    <row r="368">
      <c r="A368" s="11" t="n">
        <v>44593</v>
      </c>
      <c r="B368" s="15">
        <f>VLOOKUP(A368,Database!A:K,MATCH($A$1,Database!$A$1:$K$1,),)+VLOOKUP(A368,Database!A:K,MATCH($B$1,Database!$A$1:$K$1,),)</f>
        <v/>
      </c>
      <c r="C368" s="12">
        <f>(B368-B367)/B367</f>
        <v/>
      </c>
      <c r="D368" s="13">
        <f>(B368-B356)/B356</f>
        <v/>
      </c>
    </row>
  </sheetData>
  <conditionalFormatting sqref="D19:D368">
    <cfRule type="colorScale" priority="46">
      <colorScale>
        <cfvo type="min"/>
        <cfvo type="percentile" val="50"/>
        <cfvo type="max"/>
        <color rgb="FFF8696B"/>
        <color rgb="FFFFEB84"/>
        <color rgb="FF63BE7B"/>
      </colorScale>
    </cfRule>
  </conditionalFormatting>
  <conditionalFormatting sqref="C8:C368">
    <cfRule type="colorScale" priority="4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codeName="Sheet19">
    <outlinePr summaryBelow="1" summaryRight="1"/>
    <pageSetUpPr/>
  </sheetPr>
  <dimension ref="A1:D368"/>
  <sheetViews>
    <sheetView zoomScale="170" zoomScaleNormal="170" workbookViewId="0">
      <pane ySplit="6" topLeftCell="A354" activePane="bottomLeft" state="frozen"/>
      <selection pane="bottomLeft" activeCell="A363" sqref="A363: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RSMSR</t>
        </is>
      </c>
      <c r="B1" s="29" t="inlineStr">
        <is>
          <t>Miscellaneous stores retailers</t>
        </is>
      </c>
    </row>
    <row r="2">
      <c r="A2" s="128" t="n"/>
      <c r="B2" s="122" t="n"/>
    </row>
    <row r="3">
      <c r="A3" s="9" t="n"/>
    </row>
    <row r="4">
      <c r="A4" s="9" t="n"/>
    </row>
    <row r="5" ht="16" customHeight="1" s="95" thickBot="1"/>
    <row r="6" ht="44.25" customHeight="1" s="95" thickBot="1">
      <c r="A6" s="78" t="inlineStr">
        <is>
          <t>Date</t>
        </is>
      </c>
      <c r="B6" s="80" t="inlineStr">
        <is>
          <t xml:space="preserve"> Miscellaneous stores retailers,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sheetData>
  <conditionalFormatting sqref="D19:D368">
    <cfRule type="colorScale" priority="44">
      <colorScale>
        <cfvo type="min"/>
        <cfvo type="percentile" val="50"/>
        <cfvo type="max"/>
        <color rgb="FFF8696B"/>
        <color rgb="FFFFEB84"/>
        <color rgb="FF63BE7B"/>
      </colorScale>
    </cfRule>
  </conditionalFormatting>
  <conditionalFormatting sqref="C8:C368">
    <cfRule type="colorScale" priority="4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codeName="Sheet20">
    <outlinePr summaryBelow="1" summaryRight="1"/>
    <pageSetUpPr/>
  </sheetPr>
  <dimension ref="A1:D368"/>
  <sheetViews>
    <sheetView zoomScale="190" zoomScaleNormal="190" workbookViewId="0">
      <pane ySplit="6" topLeftCell="A357" activePane="bottomLeft" state="frozen"/>
      <selection pane="bottomLeft" activeCell="A363" sqref="A363: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RSCCAS</t>
        </is>
      </c>
      <c r="B1" s="29" t="inlineStr">
        <is>
          <t>Clothing and clothing access. stores</t>
        </is>
      </c>
    </row>
    <row r="2">
      <c r="A2" s="128" t="n"/>
      <c r="B2" s="122" t="n"/>
    </row>
    <row r="3">
      <c r="A3" s="9" t="n"/>
    </row>
    <row r="4">
      <c r="A4" s="9" t="n"/>
    </row>
    <row r="5" ht="16" customHeight="1" s="95" thickBot="1"/>
    <row r="6" ht="44.25" customHeight="1" s="95" thickBot="1">
      <c r="A6" s="78" t="inlineStr">
        <is>
          <t>Date</t>
        </is>
      </c>
      <c r="B6" s="80" t="inlineStr">
        <is>
          <t>Clothing and clothing access. Stores,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30" t="n">
        <v>44531</v>
      </c>
      <c r="B366" s="31">
        <f>VLOOKUP(A366,Database!A:Q,MATCH($A$1,Database!$A$1:$Q$1,),)</f>
        <v/>
      </c>
      <c r="C366" s="32">
        <f>(B366-B365)/B365</f>
        <v/>
      </c>
      <c r="D366" s="3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sheetData>
  <conditionalFormatting sqref="C8:C368">
    <cfRule type="colorScale" priority="2">
      <colorScale>
        <cfvo type="min"/>
        <cfvo type="percentile" val="50"/>
        <cfvo type="max"/>
        <color rgb="FFF8696B"/>
        <color rgb="FFFFEB84"/>
        <color rgb="FF63BE7B"/>
      </colorScale>
    </cfRule>
  </conditionalFormatting>
  <conditionalFormatting sqref="D19:D36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2018-03-27T13:16:34Z</dcterms:created>
  <dcterms:modified xmlns:dcterms="http://purl.org/dc/terms/" xmlns:xsi="http://www.w3.org/2001/XMLSchema-instance" xsi:type="dcterms:W3CDTF">2022-04-02T12:57:59Z</dcterms:modified>
  <cp:lastModifiedBy>Mark Mukherjee</cp:lastModifiedBy>
</cp:coreProperties>
</file>