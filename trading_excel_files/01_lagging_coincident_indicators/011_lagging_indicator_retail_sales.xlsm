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drawings/drawing10.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drawings/drawing12.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5.xml" ContentType="application/vnd.openxmlformats-officedocument.drawingml.chart+xml"/>
  <Override PartName="/xl/charts/chart26.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0F7F4D5-479C-CB43-9F88-F26BD4B7724E}" xr6:coauthVersionLast="47" xr6:coauthVersionMax="47" xr10:uidLastSave="{00000000-0000-0000-0000-000000000000}"/>
  <bookViews>
    <workbookView xWindow="-63580" yWindow="260" windowWidth="42440" windowHeight="2740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3" i="4" l="1"/>
  <c r="D53" i="4"/>
  <c r="E53" i="4"/>
  <c r="F53" i="4"/>
  <c r="G53" i="4"/>
  <c r="H53" i="4"/>
  <c r="I53" i="4"/>
  <c r="J53" i="4"/>
  <c r="K53" i="4"/>
  <c r="L53" i="4"/>
  <c r="M53" i="4"/>
  <c r="N53" i="4"/>
  <c r="O53" i="4"/>
  <c r="P53" i="4"/>
  <c r="Q53" i="4"/>
  <c r="R53" i="4"/>
  <c r="S53" i="4"/>
  <c r="T53" i="4"/>
  <c r="U53" i="4"/>
  <c r="V53" i="4"/>
  <c r="W53" i="4"/>
  <c r="X53" i="4"/>
  <c r="Y53" i="4"/>
  <c r="Z53" i="4"/>
  <c r="AA53" i="4"/>
  <c r="AB53" i="4"/>
  <c r="AC53" i="4"/>
  <c r="AD53" i="4"/>
  <c r="AE53" i="4"/>
  <c r="AF53" i="4"/>
  <c r="C54" i="4"/>
  <c r="D54" i="4"/>
  <c r="E54" i="4"/>
  <c r="F54" i="4"/>
  <c r="G54" i="4"/>
  <c r="H54" i="4"/>
  <c r="I54" i="4"/>
  <c r="J54" i="4"/>
  <c r="K54" i="4"/>
  <c r="L54" i="4"/>
  <c r="M54" i="4"/>
  <c r="N54" i="4"/>
  <c r="O54" i="4"/>
  <c r="P54" i="4"/>
  <c r="Q54" i="4"/>
  <c r="R54" i="4"/>
  <c r="S54" i="4"/>
  <c r="T54" i="4"/>
  <c r="U54" i="4"/>
  <c r="V54" i="4"/>
  <c r="W54" i="4"/>
  <c r="X54" i="4"/>
  <c r="Y54" i="4"/>
  <c r="Z54" i="4"/>
  <c r="AA54" i="4"/>
  <c r="AB54" i="4"/>
  <c r="AC54" i="4"/>
  <c r="AD54" i="4"/>
  <c r="AE54" i="4"/>
  <c r="AF54" i="4"/>
  <c r="C55" i="4"/>
  <c r="D55" i="4"/>
  <c r="E55" i="4"/>
  <c r="F55" i="4"/>
  <c r="G55" i="4"/>
  <c r="H55" i="4"/>
  <c r="I55" i="4"/>
  <c r="J55" i="4"/>
  <c r="K55" i="4"/>
  <c r="L55" i="4"/>
  <c r="M55" i="4"/>
  <c r="N55" i="4"/>
  <c r="O55" i="4"/>
  <c r="P55" i="4"/>
  <c r="Q55" i="4"/>
  <c r="R55" i="4"/>
  <c r="S55" i="4"/>
  <c r="T55" i="4"/>
  <c r="U55" i="4"/>
  <c r="V55" i="4"/>
  <c r="W55" i="4"/>
  <c r="X55" i="4"/>
  <c r="Y55" i="4"/>
  <c r="Z55" i="4"/>
  <c r="AA55" i="4"/>
  <c r="AB55" i="4"/>
  <c r="AC55" i="4"/>
  <c r="AD55" i="4"/>
  <c r="AE55" i="4"/>
  <c r="AF55" i="4"/>
  <c r="B363" i="19"/>
  <c r="C363" i="19" s="1"/>
  <c r="B364" i="19"/>
  <c r="D364" i="19" s="1"/>
  <c r="C364" i="19"/>
  <c r="B365" i="19"/>
  <c r="D365" i="19" s="1"/>
  <c r="B363" i="18"/>
  <c r="C363" i="18" s="1"/>
  <c r="B364" i="18"/>
  <c r="C364" i="18" s="1"/>
  <c r="B365" i="18"/>
  <c r="B363" i="17"/>
  <c r="C363" i="17" s="1"/>
  <c r="B364" i="17"/>
  <c r="C364" i="17" s="1"/>
  <c r="B365" i="17"/>
  <c r="D365" i="17" s="1"/>
  <c r="B363" i="16"/>
  <c r="C363" i="16" s="1"/>
  <c r="B364" i="16"/>
  <c r="C364" i="16" s="1"/>
  <c r="B365" i="16"/>
  <c r="B363" i="15"/>
  <c r="C363" i="15" s="1"/>
  <c r="B364" i="15"/>
  <c r="C364" i="15" s="1"/>
  <c r="B365" i="15"/>
  <c r="D365" i="15"/>
  <c r="B363" i="14"/>
  <c r="C363" i="14" s="1"/>
  <c r="B364" i="14"/>
  <c r="C364" i="14" s="1"/>
  <c r="D364" i="14"/>
  <c r="B365" i="14"/>
  <c r="D365" i="14" s="1"/>
  <c r="B363" i="13"/>
  <c r="C363" i="13" s="1"/>
  <c r="B364" i="13"/>
  <c r="C364" i="13"/>
  <c r="D364" i="13"/>
  <c r="B365" i="13"/>
  <c r="C365" i="13"/>
  <c r="D365" i="13"/>
  <c r="B363" i="12"/>
  <c r="C363" i="12" s="1"/>
  <c r="B364" i="12"/>
  <c r="C364" i="12" s="1"/>
  <c r="D364" i="12"/>
  <c r="B365" i="12"/>
  <c r="D365" i="12" s="1"/>
  <c r="B363" i="11"/>
  <c r="C363" i="11" s="1"/>
  <c r="B364" i="11"/>
  <c r="C364" i="11" s="1"/>
  <c r="D364" i="11"/>
  <c r="B365" i="11"/>
  <c r="D365" i="11" s="1"/>
  <c r="B363" i="10"/>
  <c r="C363" i="10" s="1"/>
  <c r="B364" i="10"/>
  <c r="C364" i="10" s="1"/>
  <c r="B365" i="10"/>
  <c r="D365" i="10" s="1"/>
  <c r="B363" i="9"/>
  <c r="C363" i="9" s="1"/>
  <c r="B364" i="9"/>
  <c r="C364" i="9" s="1"/>
  <c r="B365" i="9"/>
  <c r="D365" i="9"/>
  <c r="B363" i="8"/>
  <c r="C363" i="8" s="1"/>
  <c r="B364" i="8"/>
  <c r="C364" i="8" s="1"/>
  <c r="B365" i="8"/>
  <c r="D365" i="8"/>
  <c r="B363" i="7"/>
  <c r="C363" i="7" s="1"/>
  <c r="B364" i="7"/>
  <c r="C364" i="7" s="1"/>
  <c r="B365" i="7"/>
  <c r="B363" i="6"/>
  <c r="C363" i="6" s="1"/>
  <c r="B364" i="6"/>
  <c r="C364" i="6" s="1"/>
  <c r="B365" i="6"/>
  <c r="D365" i="6" s="1"/>
  <c r="B365" i="5"/>
  <c r="D365" i="5" s="1"/>
  <c r="B364" i="5"/>
  <c r="D364" i="5" s="1"/>
  <c r="C363" i="5"/>
  <c r="B363" i="5"/>
  <c r="D363" i="5" s="1"/>
  <c r="B362" i="19"/>
  <c r="B361" i="19"/>
  <c r="D361" i="19" s="1"/>
  <c r="B360" i="19"/>
  <c r="B359" i="19"/>
  <c r="B358" i="19"/>
  <c r="C357" i="19"/>
  <c r="B357" i="19"/>
  <c r="B356" i="19"/>
  <c r="B355" i="19"/>
  <c r="C356" i="19" s="1"/>
  <c r="B354" i="19"/>
  <c r="B353" i="19"/>
  <c r="D353" i="19" s="1"/>
  <c r="Z43" i="4" s="1"/>
  <c r="B352" i="19"/>
  <c r="C353" i="19" s="1"/>
  <c r="B351" i="19"/>
  <c r="B350" i="19"/>
  <c r="D350" i="19" s="1"/>
  <c r="C349" i="19"/>
  <c r="B349" i="19"/>
  <c r="D349" i="19" s="1"/>
  <c r="Z39" i="4" s="1"/>
  <c r="B348" i="19"/>
  <c r="C348" i="19" s="1"/>
  <c r="Y38" i="4" s="1"/>
  <c r="B347" i="19"/>
  <c r="D346" i="19"/>
  <c r="B346" i="19"/>
  <c r="C346" i="19" s="1"/>
  <c r="B345" i="19"/>
  <c r="D345" i="19" s="1"/>
  <c r="Z35" i="4" s="1"/>
  <c r="B344" i="19"/>
  <c r="B343" i="19"/>
  <c r="B342" i="19"/>
  <c r="C341" i="19"/>
  <c r="B341" i="19"/>
  <c r="B340" i="19"/>
  <c r="B339" i="19"/>
  <c r="B338" i="19"/>
  <c r="B337" i="19"/>
  <c r="D337" i="19" s="1"/>
  <c r="Z27" i="4" s="1"/>
  <c r="B336" i="19"/>
  <c r="B335" i="19"/>
  <c r="B334" i="19"/>
  <c r="D334" i="19" s="1"/>
  <c r="C333" i="19"/>
  <c r="B333" i="19"/>
  <c r="B332" i="19"/>
  <c r="B331" i="19"/>
  <c r="D330" i="19"/>
  <c r="B330" i="19"/>
  <c r="C330" i="19" s="1"/>
  <c r="B329" i="19"/>
  <c r="D341" i="19" s="1"/>
  <c r="Z31" i="4" s="1"/>
  <c r="B328" i="19"/>
  <c r="B327" i="19"/>
  <c r="B326" i="19"/>
  <c r="D338" i="19" s="1"/>
  <c r="Z28" i="4" s="1"/>
  <c r="B325" i="19"/>
  <c r="D325" i="19" s="1"/>
  <c r="Z15" i="4" s="1"/>
  <c r="B324" i="19"/>
  <c r="B323" i="19"/>
  <c r="D322" i="19"/>
  <c r="B322" i="19"/>
  <c r="B321" i="19"/>
  <c r="D321" i="19" s="1"/>
  <c r="Z11" i="4" s="1"/>
  <c r="B320" i="19"/>
  <c r="B319" i="19"/>
  <c r="B318" i="19"/>
  <c r="D317" i="19"/>
  <c r="B317" i="19"/>
  <c r="B316" i="19"/>
  <c r="C317" i="19" s="1"/>
  <c r="Y7" i="4" s="1"/>
  <c r="B315" i="19"/>
  <c r="B314" i="19"/>
  <c r="C314" i="19" s="1"/>
  <c r="B313" i="19"/>
  <c r="B312" i="19"/>
  <c r="B311" i="19"/>
  <c r="B310" i="19"/>
  <c r="B309" i="19"/>
  <c r="D309" i="19" s="1"/>
  <c r="B308" i="19"/>
  <c r="B307" i="19"/>
  <c r="B306" i="19"/>
  <c r="C306" i="19" s="1"/>
  <c r="B305" i="19"/>
  <c r="B304" i="19"/>
  <c r="B303" i="19"/>
  <c r="B302" i="19"/>
  <c r="B301" i="19"/>
  <c r="D313" i="19" s="1"/>
  <c r="B300" i="19"/>
  <c r="B299" i="19"/>
  <c r="B298" i="19"/>
  <c r="B297" i="19"/>
  <c r="D297" i="19" s="1"/>
  <c r="B296" i="19"/>
  <c r="B295" i="19"/>
  <c r="B294" i="19"/>
  <c r="B293" i="19"/>
  <c r="D305" i="19" s="1"/>
  <c r="B292" i="19"/>
  <c r="C292" i="19" s="1"/>
  <c r="B291" i="19"/>
  <c r="B290" i="19"/>
  <c r="C290" i="19" s="1"/>
  <c r="D289" i="19"/>
  <c r="B289" i="19"/>
  <c r="B288" i="19"/>
  <c r="B287" i="19"/>
  <c r="B286" i="19"/>
  <c r="B285" i="19"/>
  <c r="B284" i="19"/>
  <c r="C285" i="19" s="1"/>
  <c r="B283" i="19"/>
  <c r="B282" i="19"/>
  <c r="B281" i="19"/>
  <c r="D281" i="19" s="1"/>
  <c r="B280" i="19"/>
  <c r="B279" i="19"/>
  <c r="B278" i="19"/>
  <c r="D277" i="19"/>
  <c r="B277" i="19"/>
  <c r="C277" i="19" s="1"/>
  <c r="B276" i="19"/>
  <c r="C276" i="19" s="1"/>
  <c r="B275" i="19"/>
  <c r="B274" i="19"/>
  <c r="C274" i="19" s="1"/>
  <c r="B273" i="19"/>
  <c r="D285" i="19" s="1"/>
  <c r="B272" i="19"/>
  <c r="B271" i="19"/>
  <c r="B270" i="19"/>
  <c r="C269" i="19"/>
  <c r="B269" i="19"/>
  <c r="D269" i="19" s="1"/>
  <c r="B268" i="19"/>
  <c r="B267" i="19"/>
  <c r="B266" i="19"/>
  <c r="B265" i="19"/>
  <c r="D265" i="19" s="1"/>
  <c r="B264" i="19"/>
  <c r="B263" i="19"/>
  <c r="B262" i="19"/>
  <c r="D261" i="19"/>
  <c r="C261" i="19"/>
  <c r="B261" i="19"/>
  <c r="B260" i="19"/>
  <c r="C260" i="19" s="1"/>
  <c r="B259" i="19"/>
  <c r="B258" i="19"/>
  <c r="C258" i="19" s="1"/>
  <c r="B257" i="19"/>
  <c r="B256" i="19"/>
  <c r="B255" i="19"/>
  <c r="B254" i="19"/>
  <c r="B253" i="19"/>
  <c r="D253" i="19" s="1"/>
  <c r="B252" i="19"/>
  <c r="B251" i="19"/>
  <c r="B250" i="19"/>
  <c r="C250" i="19" s="1"/>
  <c r="B249" i="19"/>
  <c r="B248" i="19"/>
  <c r="B247" i="19"/>
  <c r="B246" i="19"/>
  <c r="B245" i="19"/>
  <c r="D257" i="19" s="1"/>
  <c r="B244" i="19"/>
  <c r="C244" i="19" s="1"/>
  <c r="B243" i="19"/>
  <c r="B242" i="19"/>
  <c r="C242" i="19" s="1"/>
  <c r="D241" i="19"/>
  <c r="B241" i="19"/>
  <c r="B240" i="19"/>
  <c r="B239" i="19"/>
  <c r="B238" i="19"/>
  <c r="B237" i="19"/>
  <c r="D249" i="19" s="1"/>
  <c r="B236" i="19"/>
  <c r="B235" i="19"/>
  <c r="B234" i="19"/>
  <c r="C234" i="19" s="1"/>
  <c r="D233" i="19"/>
  <c r="B233" i="19"/>
  <c r="B232" i="19"/>
  <c r="B231" i="19"/>
  <c r="B230" i="19"/>
  <c r="C229" i="19"/>
  <c r="B229" i="19"/>
  <c r="C228" i="19"/>
  <c r="B228" i="19"/>
  <c r="B227" i="19"/>
  <c r="B226" i="19"/>
  <c r="B225" i="19"/>
  <c r="D225" i="19" s="1"/>
  <c r="B224" i="19"/>
  <c r="B223" i="19"/>
  <c r="B222" i="19"/>
  <c r="B221" i="19"/>
  <c r="D221" i="19" s="1"/>
  <c r="B220" i="19"/>
  <c r="B219" i="19"/>
  <c r="B218" i="19"/>
  <c r="C218" i="19" s="1"/>
  <c r="B217" i="19"/>
  <c r="D229" i="19" s="1"/>
  <c r="B216" i="19"/>
  <c r="B215" i="19"/>
  <c r="B214" i="19"/>
  <c r="C213" i="19"/>
  <c r="B213" i="19"/>
  <c r="D213" i="19" s="1"/>
  <c r="B212" i="19"/>
  <c r="C212" i="19" s="1"/>
  <c r="B211" i="19"/>
  <c r="B210" i="19"/>
  <c r="B209" i="19"/>
  <c r="D209" i="19" s="1"/>
  <c r="B208" i="19"/>
  <c r="B207" i="19"/>
  <c r="B206" i="19"/>
  <c r="D205" i="19"/>
  <c r="B205" i="19"/>
  <c r="C205" i="19" s="1"/>
  <c r="B204" i="19"/>
  <c r="B203" i="19"/>
  <c r="B202" i="19"/>
  <c r="C202" i="19" s="1"/>
  <c r="D201" i="19"/>
  <c r="B201" i="19"/>
  <c r="B200" i="19"/>
  <c r="B199" i="19"/>
  <c r="B198" i="19"/>
  <c r="B197" i="19"/>
  <c r="D197" i="19" s="1"/>
  <c r="B196" i="19"/>
  <c r="B195" i="19"/>
  <c r="C196" i="19" s="1"/>
  <c r="B194" i="19"/>
  <c r="B193" i="19"/>
  <c r="D193" i="19" s="1"/>
  <c r="B192" i="19"/>
  <c r="B191" i="19"/>
  <c r="B190" i="19"/>
  <c r="D189" i="19"/>
  <c r="C189" i="19"/>
  <c r="B189" i="19"/>
  <c r="B188" i="19"/>
  <c r="B187" i="19"/>
  <c r="B186" i="19"/>
  <c r="B185" i="19"/>
  <c r="B184" i="19"/>
  <c r="B183" i="19"/>
  <c r="B182" i="19"/>
  <c r="B181" i="19"/>
  <c r="D181" i="19" s="1"/>
  <c r="C180" i="19"/>
  <c r="B180" i="19"/>
  <c r="B179" i="19"/>
  <c r="B178" i="19"/>
  <c r="C178" i="19" s="1"/>
  <c r="B177" i="19"/>
  <c r="B176" i="19"/>
  <c r="B175" i="19"/>
  <c r="B174" i="19"/>
  <c r="B173" i="19"/>
  <c r="D185" i="19" s="1"/>
  <c r="B172" i="19"/>
  <c r="B171" i="19"/>
  <c r="B170" i="19"/>
  <c r="B169" i="19"/>
  <c r="B168" i="19"/>
  <c r="B167" i="19"/>
  <c r="B166" i="19"/>
  <c r="B165" i="19"/>
  <c r="D177" i="19" s="1"/>
  <c r="B164" i="19"/>
  <c r="C164" i="19" s="1"/>
  <c r="C163" i="19"/>
  <c r="B163" i="19"/>
  <c r="D162" i="19"/>
  <c r="B162" i="19"/>
  <c r="B161" i="19"/>
  <c r="D161" i="19" s="1"/>
  <c r="C160" i="19"/>
  <c r="B160" i="19"/>
  <c r="C161" i="19" s="1"/>
  <c r="B159" i="19"/>
  <c r="C159" i="19" s="1"/>
  <c r="B158" i="19"/>
  <c r="B157" i="19"/>
  <c r="B156" i="19"/>
  <c r="B155" i="19"/>
  <c r="D155" i="19" s="1"/>
  <c r="D154" i="19"/>
  <c r="B154" i="19"/>
  <c r="C154" i="19" s="1"/>
  <c r="B153" i="19"/>
  <c r="B152" i="19"/>
  <c r="C153" i="19" s="1"/>
  <c r="B151" i="19"/>
  <c r="C151" i="19" s="1"/>
  <c r="B150" i="19"/>
  <c r="B149" i="19"/>
  <c r="C149" i="19" s="1"/>
  <c r="B148" i="19"/>
  <c r="D160" i="19" s="1"/>
  <c r="B147" i="19"/>
  <c r="C148" i="19" s="1"/>
  <c r="B146" i="19"/>
  <c r="B145" i="19"/>
  <c r="D145" i="19" s="1"/>
  <c r="D144" i="19"/>
  <c r="C144" i="19"/>
  <c r="B144" i="19"/>
  <c r="D143" i="19"/>
  <c r="B143" i="19"/>
  <c r="C143" i="19" s="1"/>
  <c r="B142" i="19"/>
  <c r="B141" i="19"/>
  <c r="B140" i="19"/>
  <c r="B139" i="19"/>
  <c r="B138" i="19"/>
  <c r="B137" i="19"/>
  <c r="B136" i="19"/>
  <c r="B135" i="19"/>
  <c r="C135" i="19" s="1"/>
  <c r="B134" i="19"/>
  <c r="D146" i="19" s="1"/>
  <c r="B133" i="19"/>
  <c r="C133" i="19" s="1"/>
  <c r="D132" i="19"/>
  <c r="C132" i="19"/>
  <c r="B132" i="19"/>
  <c r="C131" i="19"/>
  <c r="B131" i="19"/>
  <c r="B130" i="19"/>
  <c r="D129" i="19"/>
  <c r="B129" i="19"/>
  <c r="B128" i="19"/>
  <c r="C129" i="19" s="1"/>
  <c r="B127" i="19"/>
  <c r="B126" i="19"/>
  <c r="B125" i="19"/>
  <c r="B124" i="19"/>
  <c r="B123" i="19"/>
  <c r="B122" i="19"/>
  <c r="B121" i="19"/>
  <c r="B120" i="19"/>
  <c r="B119" i="19"/>
  <c r="B118" i="19"/>
  <c r="D117" i="19"/>
  <c r="B117" i="19"/>
  <c r="C117" i="19" s="1"/>
  <c r="C116" i="19"/>
  <c r="B116" i="19"/>
  <c r="C115" i="19"/>
  <c r="B115" i="19"/>
  <c r="D127" i="19" s="1"/>
  <c r="B114" i="19"/>
  <c r="B113" i="19"/>
  <c r="D113" i="19" s="1"/>
  <c r="B112" i="19"/>
  <c r="C113" i="19" s="1"/>
  <c r="B111" i="19"/>
  <c r="B110" i="19"/>
  <c r="B109" i="19"/>
  <c r="D109" i="19" s="1"/>
  <c r="B108" i="19"/>
  <c r="B107" i="19"/>
  <c r="B106" i="19"/>
  <c r="B105" i="19"/>
  <c r="B104" i="19"/>
  <c r="B103" i="19"/>
  <c r="B102" i="19"/>
  <c r="B101" i="19"/>
  <c r="B100" i="19"/>
  <c r="D100" i="19" s="1"/>
  <c r="B99" i="19"/>
  <c r="D111" i="19" s="1"/>
  <c r="B98" i="19"/>
  <c r="C98" i="19" s="1"/>
  <c r="D97" i="19"/>
  <c r="B97" i="19"/>
  <c r="C96" i="19"/>
  <c r="B96" i="19"/>
  <c r="B95" i="19"/>
  <c r="B94" i="19"/>
  <c r="B93" i="19"/>
  <c r="B92" i="19"/>
  <c r="B91" i="19"/>
  <c r="B90" i="19"/>
  <c r="C90" i="19" s="1"/>
  <c r="B89" i="19"/>
  <c r="B88" i="19"/>
  <c r="B87" i="19"/>
  <c r="B86" i="19"/>
  <c r="D85" i="19"/>
  <c r="B85" i="19"/>
  <c r="B84" i="19"/>
  <c r="D96" i="19" s="1"/>
  <c r="B83" i="19"/>
  <c r="B82" i="19"/>
  <c r="C82" i="19" s="1"/>
  <c r="B81" i="19"/>
  <c r="D80" i="19"/>
  <c r="C80" i="19"/>
  <c r="B80" i="19"/>
  <c r="B79" i="19"/>
  <c r="B78" i="19"/>
  <c r="B77" i="19"/>
  <c r="D77" i="19" s="1"/>
  <c r="B76" i="19"/>
  <c r="B75" i="19"/>
  <c r="B74" i="19"/>
  <c r="B73" i="19"/>
  <c r="B72" i="19"/>
  <c r="B71" i="19"/>
  <c r="B70" i="19"/>
  <c r="D69" i="19"/>
  <c r="B69" i="19"/>
  <c r="C69" i="19" s="1"/>
  <c r="D68" i="19"/>
  <c r="C68" i="19"/>
  <c r="B68" i="19"/>
  <c r="B67" i="19"/>
  <c r="C67" i="19" s="1"/>
  <c r="B66" i="19"/>
  <c r="C66" i="19" s="1"/>
  <c r="D65" i="19"/>
  <c r="B65" i="19"/>
  <c r="D64" i="19"/>
  <c r="B64" i="19"/>
  <c r="B63" i="19"/>
  <c r="C63" i="19" s="1"/>
  <c r="B62" i="19"/>
  <c r="B61" i="19"/>
  <c r="B60" i="19"/>
  <c r="B59" i="19"/>
  <c r="B58" i="19"/>
  <c r="C58" i="19" s="1"/>
  <c r="B57" i="19"/>
  <c r="B56" i="19"/>
  <c r="B55" i="19"/>
  <c r="B54" i="19"/>
  <c r="D66" i="19" s="1"/>
  <c r="D53" i="19"/>
  <c r="B53" i="19"/>
  <c r="C53" i="19" s="1"/>
  <c r="C52" i="19"/>
  <c r="B52" i="19"/>
  <c r="B51" i="19"/>
  <c r="C51" i="19" s="1"/>
  <c r="B50" i="19"/>
  <c r="C50" i="19" s="1"/>
  <c r="B49" i="19"/>
  <c r="B48" i="19"/>
  <c r="C49" i="19" s="1"/>
  <c r="B47" i="19"/>
  <c r="B46" i="19"/>
  <c r="B45" i="19"/>
  <c r="D45" i="19" s="1"/>
  <c r="D44" i="19"/>
  <c r="B44" i="19"/>
  <c r="B43" i="19"/>
  <c r="B42" i="19"/>
  <c r="B41" i="19"/>
  <c r="D41" i="19" s="1"/>
  <c r="B40" i="19"/>
  <c r="C40" i="19" s="1"/>
  <c r="B39" i="19"/>
  <c r="B38" i="19"/>
  <c r="C39" i="19" s="1"/>
  <c r="B37" i="19"/>
  <c r="B36" i="19"/>
  <c r="B35" i="19"/>
  <c r="D47" i="19" s="1"/>
  <c r="B34" i="19"/>
  <c r="B33" i="19"/>
  <c r="C34" i="19" s="1"/>
  <c r="B32" i="19"/>
  <c r="B31" i="19"/>
  <c r="C31" i="19" s="1"/>
  <c r="B30" i="19"/>
  <c r="C30" i="19" s="1"/>
  <c r="D29" i="19"/>
  <c r="B29" i="19"/>
  <c r="C29" i="19" s="1"/>
  <c r="D28" i="19"/>
  <c r="B28" i="19"/>
  <c r="B27" i="19"/>
  <c r="C28" i="19" s="1"/>
  <c r="B26" i="19"/>
  <c r="B25" i="19"/>
  <c r="D25" i="19" s="1"/>
  <c r="B24" i="19"/>
  <c r="B23" i="19"/>
  <c r="B22" i="19"/>
  <c r="D22" i="19" s="1"/>
  <c r="D21" i="19"/>
  <c r="B21" i="19"/>
  <c r="B20" i="19"/>
  <c r="B19" i="19"/>
  <c r="C19" i="19" s="1"/>
  <c r="B18" i="19"/>
  <c r="C18" i="19" s="1"/>
  <c r="B17" i="19"/>
  <c r="B16" i="19"/>
  <c r="B15" i="19"/>
  <c r="C15" i="19" s="1"/>
  <c r="B14" i="19"/>
  <c r="D26" i="19" s="1"/>
  <c r="B13" i="19"/>
  <c r="B12" i="19"/>
  <c r="D24" i="19" s="1"/>
  <c r="B11" i="19"/>
  <c r="C11" i="19" s="1"/>
  <c r="B10" i="19"/>
  <c r="B9" i="19"/>
  <c r="B8" i="19"/>
  <c r="C8" i="19" s="1"/>
  <c r="B7" i="19"/>
  <c r="B362" i="18"/>
  <c r="C362" i="18" s="1"/>
  <c r="B361" i="18"/>
  <c r="B360" i="18"/>
  <c r="B359" i="18"/>
  <c r="C359" i="18" s="1"/>
  <c r="AC49" i="4" s="1"/>
  <c r="B358" i="18"/>
  <c r="C358" i="18" s="1"/>
  <c r="B357" i="18"/>
  <c r="C357" i="18" s="1"/>
  <c r="AC47" i="4" s="1"/>
  <c r="D356" i="18"/>
  <c r="B356" i="18"/>
  <c r="C356" i="18" s="1"/>
  <c r="B355" i="18"/>
  <c r="B354" i="18"/>
  <c r="C354" i="18" s="1"/>
  <c r="B353" i="18"/>
  <c r="D365" i="18" s="1"/>
  <c r="B352" i="18"/>
  <c r="B351" i="18"/>
  <c r="B350" i="18"/>
  <c r="C351" i="18" s="1"/>
  <c r="C349" i="18"/>
  <c r="B349" i="18"/>
  <c r="D348" i="18"/>
  <c r="B348" i="18"/>
  <c r="B347" i="18"/>
  <c r="B346" i="18"/>
  <c r="B345" i="18"/>
  <c r="D344" i="18"/>
  <c r="B344" i="18"/>
  <c r="B343" i="18"/>
  <c r="D355" i="18" s="1"/>
  <c r="AD45" i="4" s="1"/>
  <c r="B342" i="18"/>
  <c r="B341" i="18"/>
  <c r="D341" i="18" s="1"/>
  <c r="AD31" i="4" s="1"/>
  <c r="B340" i="18"/>
  <c r="B339" i="18"/>
  <c r="B338" i="18"/>
  <c r="B337" i="18"/>
  <c r="D349" i="18" s="1"/>
  <c r="AD39" i="4" s="1"/>
  <c r="B336" i="18"/>
  <c r="B335" i="18"/>
  <c r="C334" i="18"/>
  <c r="B334" i="18"/>
  <c r="C333" i="18"/>
  <c r="B333" i="18"/>
  <c r="B332" i="18"/>
  <c r="B331" i="18"/>
  <c r="D343" i="18" s="1"/>
  <c r="B330" i="18"/>
  <c r="C330" i="18" s="1"/>
  <c r="B329" i="18"/>
  <c r="B328" i="18"/>
  <c r="C327" i="18"/>
  <c r="B327" i="18"/>
  <c r="B326" i="18"/>
  <c r="B325" i="18"/>
  <c r="C325" i="18" s="1"/>
  <c r="AC15" i="4" s="1"/>
  <c r="D324" i="18"/>
  <c r="B324" i="18"/>
  <c r="B323" i="18"/>
  <c r="D335" i="18" s="1"/>
  <c r="B322" i="18"/>
  <c r="B321" i="18"/>
  <c r="C320" i="18"/>
  <c r="B320" i="18"/>
  <c r="D320" i="18" s="1"/>
  <c r="AD10" i="4" s="1"/>
  <c r="B319" i="18"/>
  <c r="B318" i="18"/>
  <c r="B317" i="18"/>
  <c r="B316" i="18"/>
  <c r="C317" i="18" s="1"/>
  <c r="AC7" i="4" s="1"/>
  <c r="B315" i="18"/>
  <c r="B314" i="18"/>
  <c r="B313" i="18"/>
  <c r="B312" i="18"/>
  <c r="B311" i="18"/>
  <c r="D311" i="18" s="1"/>
  <c r="B310" i="18"/>
  <c r="D310" i="18" s="1"/>
  <c r="B309" i="18"/>
  <c r="B308" i="18"/>
  <c r="C308" i="18" s="1"/>
  <c r="B307" i="18"/>
  <c r="B306" i="18"/>
  <c r="B305" i="18"/>
  <c r="D317" i="18" s="1"/>
  <c r="AD7" i="4" s="1"/>
  <c r="C304" i="18"/>
  <c r="B304" i="18"/>
  <c r="D303" i="18"/>
  <c r="B303" i="18"/>
  <c r="B302" i="18"/>
  <c r="C301" i="18"/>
  <c r="B301" i="18"/>
  <c r="D301" i="18" s="1"/>
  <c r="D300" i="18"/>
  <c r="B300" i="18"/>
  <c r="B299" i="18"/>
  <c r="B298" i="18"/>
  <c r="B297" i="18"/>
  <c r="C298" i="18" s="1"/>
  <c r="B296" i="18"/>
  <c r="B295" i="18"/>
  <c r="D307" i="18" s="1"/>
  <c r="B294" i="18"/>
  <c r="C294" i="18" s="1"/>
  <c r="B293" i="18"/>
  <c r="B292" i="18"/>
  <c r="C293" i="18" s="1"/>
  <c r="D291" i="18"/>
  <c r="B291" i="18"/>
  <c r="B290" i="18"/>
  <c r="D290" i="18" s="1"/>
  <c r="C289" i="18"/>
  <c r="B289" i="18"/>
  <c r="B288" i="18"/>
  <c r="C287" i="18"/>
  <c r="B287" i="18"/>
  <c r="B286" i="18"/>
  <c r="B285" i="18"/>
  <c r="D285" i="18" s="1"/>
  <c r="D284" i="18"/>
  <c r="B284" i="18"/>
  <c r="B283" i="18"/>
  <c r="B282" i="18"/>
  <c r="D294" i="18" s="1"/>
  <c r="B281" i="18"/>
  <c r="D281" i="18" s="1"/>
  <c r="B280" i="18"/>
  <c r="C280" i="18" s="1"/>
  <c r="B279" i="18"/>
  <c r="B278" i="18"/>
  <c r="B277" i="18"/>
  <c r="B276" i="18"/>
  <c r="D275" i="18"/>
  <c r="B275" i="18"/>
  <c r="B274" i="18"/>
  <c r="D274" i="18" s="1"/>
  <c r="B273" i="18"/>
  <c r="B272" i="18"/>
  <c r="B271" i="18"/>
  <c r="B270" i="18"/>
  <c r="C269" i="18"/>
  <c r="B269" i="18"/>
  <c r="D268" i="18"/>
  <c r="B268" i="18"/>
  <c r="B267" i="18"/>
  <c r="C266" i="18"/>
  <c r="B266" i="18"/>
  <c r="D266" i="18" s="1"/>
  <c r="B265" i="18"/>
  <c r="D277" i="18" s="1"/>
  <c r="B264" i="18"/>
  <c r="D263" i="18"/>
  <c r="C263" i="18"/>
  <c r="B263" i="18"/>
  <c r="B262" i="18"/>
  <c r="B261" i="18"/>
  <c r="C261" i="18" s="1"/>
  <c r="D260" i="18"/>
  <c r="B260" i="18"/>
  <c r="D259" i="18"/>
  <c r="B259" i="18"/>
  <c r="B258" i="18"/>
  <c r="B257" i="18"/>
  <c r="B256" i="18"/>
  <c r="B255" i="18"/>
  <c r="C255" i="18" s="1"/>
  <c r="D254" i="18"/>
  <c r="B254" i="18"/>
  <c r="C254" i="18" s="1"/>
  <c r="B253" i="18"/>
  <c r="B252" i="18"/>
  <c r="C252" i="18" s="1"/>
  <c r="B251" i="18"/>
  <c r="B250" i="18"/>
  <c r="B249" i="18"/>
  <c r="D249" i="18" s="1"/>
  <c r="B248" i="18"/>
  <c r="C248" i="18" s="1"/>
  <c r="B247" i="18"/>
  <c r="B246" i="18"/>
  <c r="C247" i="18" s="1"/>
  <c r="B245" i="18"/>
  <c r="B244" i="18"/>
  <c r="C243" i="18"/>
  <c r="B243" i="18"/>
  <c r="B242" i="18"/>
  <c r="B241" i="18"/>
  <c r="B240" i="18"/>
  <c r="D240" i="18" s="1"/>
  <c r="B239" i="18"/>
  <c r="D251" i="18" s="1"/>
  <c r="C238" i="18"/>
  <c r="B238" i="18"/>
  <c r="D237" i="18"/>
  <c r="B237" i="18"/>
  <c r="B236" i="18"/>
  <c r="D248" i="18" s="1"/>
  <c r="B235" i="18"/>
  <c r="B234" i="18"/>
  <c r="D234" i="18" s="1"/>
  <c r="B233" i="18"/>
  <c r="B232" i="18"/>
  <c r="B231" i="18"/>
  <c r="D231" i="18" s="1"/>
  <c r="B230" i="18"/>
  <c r="B229" i="18"/>
  <c r="D229" i="18" s="1"/>
  <c r="B228" i="18"/>
  <c r="B227" i="18"/>
  <c r="B226" i="18"/>
  <c r="D226" i="18" s="1"/>
  <c r="C225" i="18"/>
  <c r="B225" i="18"/>
  <c r="D225" i="18" s="1"/>
  <c r="B224" i="18"/>
  <c r="C224" i="18" s="1"/>
  <c r="B223" i="18"/>
  <c r="B222" i="18"/>
  <c r="C223" i="18" s="1"/>
  <c r="B221" i="18"/>
  <c r="B220" i="18"/>
  <c r="C220" i="18" s="1"/>
  <c r="D219" i="18"/>
  <c r="B219" i="18"/>
  <c r="C219" i="18" s="1"/>
  <c r="B218" i="18"/>
  <c r="B217" i="18"/>
  <c r="B216" i="18"/>
  <c r="C216" i="18" s="1"/>
  <c r="B215" i="18"/>
  <c r="D227" i="18" s="1"/>
  <c r="C214" i="18"/>
  <c r="B214" i="18"/>
  <c r="B213" i="18"/>
  <c r="B212" i="18"/>
  <c r="B211" i="18"/>
  <c r="D211" i="18" s="1"/>
  <c r="B210" i="18"/>
  <c r="D210" i="18" s="1"/>
  <c r="B209" i="18"/>
  <c r="B208" i="18"/>
  <c r="D208" i="18" s="1"/>
  <c r="B207" i="18"/>
  <c r="B206" i="18"/>
  <c r="C205" i="18"/>
  <c r="B205" i="18"/>
  <c r="C206" i="18" s="1"/>
  <c r="B204" i="18"/>
  <c r="D204" i="18" s="1"/>
  <c r="B203" i="18"/>
  <c r="B202" i="18"/>
  <c r="D202" i="18" s="1"/>
  <c r="B201" i="18"/>
  <c r="D213" i="18" s="1"/>
  <c r="B200" i="18"/>
  <c r="C199" i="18"/>
  <c r="B199" i="18"/>
  <c r="B198" i="18"/>
  <c r="B197" i="18"/>
  <c r="C197" i="18" s="1"/>
  <c r="D196" i="18"/>
  <c r="B196" i="18"/>
  <c r="B195" i="18"/>
  <c r="C195" i="18" s="1"/>
  <c r="B194" i="18"/>
  <c r="B193" i="18"/>
  <c r="C194" i="18" s="1"/>
  <c r="B192" i="18"/>
  <c r="C192" i="18" s="1"/>
  <c r="B191" i="18"/>
  <c r="D191" i="18" s="1"/>
  <c r="B190" i="18"/>
  <c r="C190" i="18" s="1"/>
  <c r="B189" i="18"/>
  <c r="B188" i="18"/>
  <c r="B187" i="18"/>
  <c r="D199" i="18" s="1"/>
  <c r="B186" i="18"/>
  <c r="B185" i="18"/>
  <c r="D185" i="18" s="1"/>
  <c r="B184" i="18"/>
  <c r="B183" i="18"/>
  <c r="C182" i="18"/>
  <c r="B182" i="18"/>
  <c r="D182" i="18" s="1"/>
  <c r="B181" i="18"/>
  <c r="C181" i="18" s="1"/>
  <c r="B180" i="18"/>
  <c r="B179" i="18"/>
  <c r="C179" i="18" s="1"/>
  <c r="B178" i="18"/>
  <c r="D190" i="18" s="1"/>
  <c r="B177" i="18"/>
  <c r="D177" i="18" s="1"/>
  <c r="B176" i="18"/>
  <c r="B175" i="18"/>
  <c r="C174" i="18"/>
  <c r="B174" i="18"/>
  <c r="D174" i="18" s="1"/>
  <c r="B173" i="18"/>
  <c r="B172" i="18"/>
  <c r="B171" i="18"/>
  <c r="C171" i="18" s="1"/>
  <c r="B170" i="18"/>
  <c r="B169" i="18"/>
  <c r="B168" i="18"/>
  <c r="B167" i="18"/>
  <c r="B166" i="18"/>
  <c r="B165" i="18"/>
  <c r="C166" i="18" s="1"/>
  <c r="D164" i="18"/>
  <c r="B164" i="18"/>
  <c r="B163" i="18"/>
  <c r="C163" i="18" s="1"/>
  <c r="B162" i="18"/>
  <c r="B161" i="18"/>
  <c r="B160" i="18"/>
  <c r="C160" i="18" s="1"/>
  <c r="C159" i="18"/>
  <c r="B159" i="18"/>
  <c r="B158" i="18"/>
  <c r="C158" i="18" s="1"/>
  <c r="B157" i="18"/>
  <c r="B156" i="18"/>
  <c r="D168" i="18" s="1"/>
  <c r="B155" i="18"/>
  <c r="B154" i="18"/>
  <c r="D166" i="18" s="1"/>
  <c r="B153" i="18"/>
  <c r="B152" i="18"/>
  <c r="B151" i="18"/>
  <c r="C152" i="18" s="1"/>
  <c r="D150" i="18"/>
  <c r="C150" i="18"/>
  <c r="B150" i="18"/>
  <c r="D149" i="18"/>
  <c r="B149" i="18"/>
  <c r="C149" i="18" s="1"/>
  <c r="B148" i="18"/>
  <c r="B147" i="18"/>
  <c r="B146" i="18"/>
  <c r="D145" i="18"/>
  <c r="B145" i="18"/>
  <c r="D157" i="18" s="1"/>
  <c r="B144" i="18"/>
  <c r="C145" i="18" s="1"/>
  <c r="B143" i="18"/>
  <c r="B142" i="18"/>
  <c r="D142" i="18" s="1"/>
  <c r="B141" i="18"/>
  <c r="D153" i="18" s="1"/>
  <c r="B140" i="18"/>
  <c r="B139" i="18"/>
  <c r="B138" i="18"/>
  <c r="B137" i="18"/>
  <c r="D137" i="18" s="1"/>
  <c r="B136" i="18"/>
  <c r="B135" i="18"/>
  <c r="B134" i="18"/>
  <c r="C134" i="18" s="1"/>
  <c r="B133" i="18"/>
  <c r="B132" i="18"/>
  <c r="B131" i="18"/>
  <c r="C131" i="18" s="1"/>
  <c r="B130" i="18"/>
  <c r="B129" i="18"/>
  <c r="B128" i="18"/>
  <c r="C128" i="18" s="1"/>
  <c r="B127" i="18"/>
  <c r="B126" i="18"/>
  <c r="C127" i="18" s="1"/>
  <c r="B125" i="18"/>
  <c r="B124" i="18"/>
  <c r="D136" i="18" s="1"/>
  <c r="B123" i="18"/>
  <c r="B122" i="18"/>
  <c r="B121" i="18"/>
  <c r="B120" i="18"/>
  <c r="B119" i="18"/>
  <c r="B118" i="18"/>
  <c r="D118" i="18" s="1"/>
  <c r="D117" i="18"/>
  <c r="B117" i="18"/>
  <c r="B116" i="18"/>
  <c r="D128" i="18" s="1"/>
  <c r="B115" i="18"/>
  <c r="B114" i="18"/>
  <c r="B113" i="18"/>
  <c r="D125" i="18" s="1"/>
  <c r="B112" i="18"/>
  <c r="B111" i="18"/>
  <c r="D110" i="18"/>
  <c r="C110" i="18"/>
  <c r="B110" i="18"/>
  <c r="B109" i="18"/>
  <c r="B108" i="18"/>
  <c r="B107" i="18"/>
  <c r="C107" i="18" s="1"/>
  <c r="B106" i="18"/>
  <c r="B105" i="18"/>
  <c r="D105" i="18" s="1"/>
  <c r="B104" i="18"/>
  <c r="B103" i="18"/>
  <c r="B102" i="18"/>
  <c r="B101" i="18"/>
  <c r="C102" i="18" s="1"/>
  <c r="D100" i="18"/>
  <c r="B100" i="18"/>
  <c r="B99" i="18"/>
  <c r="C99" i="18" s="1"/>
  <c r="B98" i="18"/>
  <c r="B97" i="18"/>
  <c r="B96" i="18"/>
  <c r="C96" i="18" s="1"/>
  <c r="C95" i="18"/>
  <c r="B95" i="18"/>
  <c r="B94" i="18"/>
  <c r="C94" i="18" s="1"/>
  <c r="B93" i="18"/>
  <c r="B92" i="18"/>
  <c r="B91" i="18"/>
  <c r="C92" i="18" s="1"/>
  <c r="B90" i="18"/>
  <c r="D102" i="18" s="1"/>
  <c r="B89" i="18"/>
  <c r="D101" i="18" s="1"/>
  <c r="B88" i="18"/>
  <c r="B87" i="18"/>
  <c r="B86" i="18"/>
  <c r="D86" i="18" s="1"/>
  <c r="B85" i="18"/>
  <c r="B84" i="18"/>
  <c r="D96" i="18" s="1"/>
  <c r="B83" i="18"/>
  <c r="B82" i="18"/>
  <c r="B81" i="18"/>
  <c r="D93" i="18" s="1"/>
  <c r="B80" i="18"/>
  <c r="B79" i="18"/>
  <c r="D78" i="18"/>
  <c r="C78" i="18"/>
  <c r="B78" i="18"/>
  <c r="B77" i="18"/>
  <c r="B76" i="18"/>
  <c r="D75" i="18"/>
  <c r="B75" i="18"/>
  <c r="C75" i="18" s="1"/>
  <c r="B74" i="18"/>
  <c r="B73" i="18"/>
  <c r="D73" i="18" s="1"/>
  <c r="B72" i="18"/>
  <c r="B71" i="18"/>
  <c r="B70" i="18"/>
  <c r="C70" i="18" s="1"/>
  <c r="D69" i="18"/>
  <c r="B69" i="18"/>
  <c r="B68" i="18"/>
  <c r="B67" i="18"/>
  <c r="C67" i="18" s="1"/>
  <c r="B66" i="18"/>
  <c r="B65" i="18"/>
  <c r="B64" i="18"/>
  <c r="C64" i="18" s="1"/>
  <c r="C63" i="18"/>
  <c r="B63" i="18"/>
  <c r="B62" i="18"/>
  <c r="C62" i="18" s="1"/>
  <c r="B61" i="18"/>
  <c r="B60" i="18"/>
  <c r="D72" i="18" s="1"/>
  <c r="B59" i="18"/>
  <c r="C60" i="18" s="1"/>
  <c r="B58" i="18"/>
  <c r="C57" i="18"/>
  <c r="B57" i="18"/>
  <c r="D57" i="18" s="1"/>
  <c r="B56" i="18"/>
  <c r="B55" i="18"/>
  <c r="C55" i="18" s="1"/>
  <c r="D54" i="18"/>
  <c r="B54" i="18"/>
  <c r="B53" i="18"/>
  <c r="C52" i="18"/>
  <c r="B52" i="18"/>
  <c r="B51" i="18"/>
  <c r="B50" i="18"/>
  <c r="C51" i="18" s="1"/>
  <c r="B49" i="18"/>
  <c r="D61" i="18" s="1"/>
  <c r="D48" i="18"/>
  <c r="B48" i="18"/>
  <c r="B47" i="18"/>
  <c r="D47" i="18" s="1"/>
  <c r="D46" i="18"/>
  <c r="B46" i="18"/>
  <c r="B45" i="18"/>
  <c r="C46" i="18" s="1"/>
  <c r="B44" i="18"/>
  <c r="D56" i="18" s="1"/>
  <c r="B43" i="18"/>
  <c r="D43" i="18" s="1"/>
  <c r="B42" i="18"/>
  <c r="B41" i="18"/>
  <c r="B40" i="18"/>
  <c r="D40" i="18" s="1"/>
  <c r="B39" i="18"/>
  <c r="D51" i="18" s="1"/>
  <c r="B38" i="18"/>
  <c r="B37" i="18"/>
  <c r="C37" i="18" s="1"/>
  <c r="B36" i="18"/>
  <c r="B35" i="18"/>
  <c r="B34" i="18"/>
  <c r="B33" i="18"/>
  <c r="C33" i="18" s="1"/>
  <c r="B32" i="18"/>
  <c r="D32" i="18" s="1"/>
  <c r="D31" i="18"/>
  <c r="B31" i="18"/>
  <c r="B30" i="18"/>
  <c r="B29" i="18"/>
  <c r="D29" i="18" s="1"/>
  <c r="D28" i="18"/>
  <c r="B28" i="18"/>
  <c r="B27" i="18"/>
  <c r="B26" i="18"/>
  <c r="B25" i="18"/>
  <c r="B24" i="18"/>
  <c r="C23" i="18"/>
  <c r="B23" i="18"/>
  <c r="D23" i="18" s="1"/>
  <c r="B22" i="18"/>
  <c r="B21" i="18"/>
  <c r="D20" i="18"/>
  <c r="B20" i="18"/>
  <c r="B19" i="18"/>
  <c r="B18" i="18"/>
  <c r="C17" i="18"/>
  <c r="B17" i="18"/>
  <c r="B16" i="18"/>
  <c r="B15" i="18"/>
  <c r="C16" i="18" s="1"/>
  <c r="B14" i="18"/>
  <c r="B13" i="18"/>
  <c r="D25" i="18" s="1"/>
  <c r="B12" i="18"/>
  <c r="B11" i="18"/>
  <c r="B10" i="18"/>
  <c r="C10" i="18" s="1"/>
  <c r="C9" i="18"/>
  <c r="B9" i="18"/>
  <c r="B8" i="18"/>
  <c r="B7" i="18"/>
  <c r="C8" i="18" s="1"/>
  <c r="B362" i="17"/>
  <c r="B361" i="17"/>
  <c r="D361" i="17" s="1"/>
  <c r="AB51" i="4" s="1"/>
  <c r="B360" i="17"/>
  <c r="D360" i="17" s="1"/>
  <c r="B359" i="17"/>
  <c r="C359" i="17" s="1"/>
  <c r="B358" i="17"/>
  <c r="B357" i="17"/>
  <c r="B356" i="17"/>
  <c r="D356" i="17" s="1"/>
  <c r="AB46" i="4" s="1"/>
  <c r="B355" i="17"/>
  <c r="B354" i="17"/>
  <c r="B353" i="17"/>
  <c r="B352" i="17"/>
  <c r="D352" i="17" s="1"/>
  <c r="D351" i="17"/>
  <c r="B351" i="17"/>
  <c r="B350" i="17"/>
  <c r="C351" i="17" s="1"/>
  <c r="AA41" i="4" s="1"/>
  <c r="B349" i="17"/>
  <c r="C348" i="17"/>
  <c r="B348" i="17"/>
  <c r="B347" i="17"/>
  <c r="B346" i="17"/>
  <c r="C346" i="17" s="1"/>
  <c r="AA36" i="4" s="1"/>
  <c r="B345" i="17"/>
  <c r="B344" i="17"/>
  <c r="B343" i="17"/>
  <c r="B342" i="17"/>
  <c r="B341" i="17"/>
  <c r="C340" i="17"/>
  <c r="B340" i="17"/>
  <c r="B339" i="17"/>
  <c r="B338" i="17"/>
  <c r="B337" i="17"/>
  <c r="B336" i="17"/>
  <c r="D336" i="17" s="1"/>
  <c r="B335" i="17"/>
  <c r="B334" i="17"/>
  <c r="B333" i="17"/>
  <c r="B332" i="17"/>
  <c r="D332" i="17" s="1"/>
  <c r="AB22" i="4" s="1"/>
  <c r="B331" i="17"/>
  <c r="D330" i="17"/>
  <c r="C330" i="17"/>
  <c r="B330" i="17"/>
  <c r="B329" i="17"/>
  <c r="B328" i="17"/>
  <c r="B327" i="17"/>
  <c r="B326" i="17"/>
  <c r="C325" i="17"/>
  <c r="B325" i="17"/>
  <c r="D324" i="17"/>
  <c r="B324" i="17"/>
  <c r="C324" i="17" s="1"/>
  <c r="AA14" i="4" s="1"/>
  <c r="B323" i="17"/>
  <c r="B322" i="17"/>
  <c r="B321" i="17"/>
  <c r="B320" i="17"/>
  <c r="B319" i="17"/>
  <c r="B318" i="17"/>
  <c r="B317" i="17"/>
  <c r="B316" i="17"/>
  <c r="D316" i="17" s="1"/>
  <c r="AB6" i="4" s="1"/>
  <c r="B315" i="17"/>
  <c r="B314" i="17"/>
  <c r="D313" i="17"/>
  <c r="B313" i="17"/>
  <c r="B312" i="17"/>
  <c r="B311" i="17"/>
  <c r="B310" i="17"/>
  <c r="B309" i="17"/>
  <c r="D321" i="17" s="1"/>
  <c r="AB11" i="4" s="1"/>
  <c r="B308" i="17"/>
  <c r="C308" i="17" s="1"/>
  <c r="B307" i="17"/>
  <c r="B306" i="17"/>
  <c r="D318" i="17" s="1"/>
  <c r="B305" i="17"/>
  <c r="B304" i="17"/>
  <c r="B303" i="17"/>
  <c r="B302" i="17"/>
  <c r="B301" i="17"/>
  <c r="D300" i="17"/>
  <c r="B300" i="17"/>
  <c r="C300" i="17" s="1"/>
  <c r="B299" i="17"/>
  <c r="C298" i="17"/>
  <c r="B298" i="17"/>
  <c r="D310" i="17" s="1"/>
  <c r="B297" i="17"/>
  <c r="B296" i="17"/>
  <c r="D308" i="17" s="1"/>
  <c r="B295" i="17"/>
  <c r="B294" i="17"/>
  <c r="B293" i="17"/>
  <c r="C293" i="17" s="1"/>
  <c r="D292" i="17"/>
  <c r="C292" i="17"/>
  <c r="B292" i="17"/>
  <c r="B291" i="17"/>
  <c r="B290" i="17"/>
  <c r="D289" i="17"/>
  <c r="B289" i="17"/>
  <c r="B288" i="17"/>
  <c r="B287" i="17"/>
  <c r="B286" i="17"/>
  <c r="B285" i="17"/>
  <c r="C285" i="17" s="1"/>
  <c r="C284" i="17"/>
  <c r="B284" i="17"/>
  <c r="B283" i="17"/>
  <c r="B282" i="17"/>
  <c r="D294" i="17" s="1"/>
  <c r="B281" i="17"/>
  <c r="B280" i="17"/>
  <c r="B279" i="17"/>
  <c r="B278" i="17"/>
  <c r="B277" i="17"/>
  <c r="C276" i="17"/>
  <c r="B276" i="17"/>
  <c r="D276" i="17" s="1"/>
  <c r="B275" i="17"/>
  <c r="B274" i="17"/>
  <c r="D286" i="17" s="1"/>
  <c r="B273" i="17"/>
  <c r="B272" i="17"/>
  <c r="D284" i="17" s="1"/>
  <c r="B271" i="17"/>
  <c r="B270" i="17"/>
  <c r="C269" i="17"/>
  <c r="B269" i="17"/>
  <c r="D281" i="17" s="1"/>
  <c r="D268" i="17"/>
  <c r="C268" i="17"/>
  <c r="B268" i="17"/>
  <c r="B267" i="17"/>
  <c r="B266" i="17"/>
  <c r="D278" i="17" s="1"/>
  <c r="B265" i="17"/>
  <c r="B264" i="17"/>
  <c r="B263" i="17"/>
  <c r="B262" i="17"/>
  <c r="B261" i="17"/>
  <c r="C260" i="17"/>
  <c r="B260" i="17"/>
  <c r="C261" i="17" s="1"/>
  <c r="B259" i="17"/>
  <c r="B258" i="17"/>
  <c r="B257" i="17"/>
  <c r="D257" i="17" s="1"/>
  <c r="B256" i="17"/>
  <c r="B255" i="17"/>
  <c r="B254" i="17"/>
  <c r="C253" i="17"/>
  <c r="B253" i="17"/>
  <c r="C252" i="17"/>
  <c r="B252" i="17"/>
  <c r="B251" i="17"/>
  <c r="B250" i="17"/>
  <c r="B249" i="17"/>
  <c r="C250" i="17" s="1"/>
  <c r="B248" i="17"/>
  <c r="B247" i="17"/>
  <c r="B246" i="17"/>
  <c r="B245" i="17"/>
  <c r="B244" i="17"/>
  <c r="D244" i="17" s="1"/>
  <c r="B243" i="17"/>
  <c r="D242" i="17"/>
  <c r="C242" i="17"/>
  <c r="B242" i="17"/>
  <c r="D241" i="17"/>
  <c r="B241" i="17"/>
  <c r="B240" i="17"/>
  <c r="B239" i="17"/>
  <c r="B238" i="17"/>
  <c r="B237" i="17"/>
  <c r="D249" i="17" s="1"/>
  <c r="B236" i="17"/>
  <c r="C236" i="17" s="1"/>
  <c r="B235" i="17"/>
  <c r="B234" i="17"/>
  <c r="B233" i="17"/>
  <c r="B232" i="17"/>
  <c r="B231" i="17"/>
  <c r="C231" i="17" s="1"/>
  <c r="B230" i="17"/>
  <c r="B229" i="17"/>
  <c r="B228" i="17"/>
  <c r="B227" i="17"/>
  <c r="B226" i="17"/>
  <c r="D238" i="17" s="1"/>
  <c r="B225" i="17"/>
  <c r="B224" i="17"/>
  <c r="B223" i="17"/>
  <c r="C223" i="17" s="1"/>
  <c r="B222" i="17"/>
  <c r="B221" i="17"/>
  <c r="D233" i="17" s="1"/>
  <c r="D220" i="17"/>
  <c r="C220" i="17"/>
  <c r="B220" i="17"/>
  <c r="B219" i="17"/>
  <c r="B218" i="17"/>
  <c r="B217" i="17"/>
  <c r="D229" i="17" s="1"/>
  <c r="B216" i="17"/>
  <c r="D228" i="17" s="1"/>
  <c r="B215" i="17"/>
  <c r="B214" i="17"/>
  <c r="D226" i="17" s="1"/>
  <c r="B213" i="17"/>
  <c r="D213" i="17" s="1"/>
  <c r="B212" i="17"/>
  <c r="B211" i="17"/>
  <c r="D210" i="17"/>
  <c r="C210" i="17"/>
  <c r="B210" i="17"/>
  <c r="B209" i="17"/>
  <c r="B208" i="17"/>
  <c r="B207" i="17"/>
  <c r="C207" i="17" s="1"/>
  <c r="B206" i="17"/>
  <c r="C205" i="17"/>
  <c r="B205" i="17"/>
  <c r="C204" i="17"/>
  <c r="B204" i="17"/>
  <c r="B203" i="17"/>
  <c r="B202" i="17"/>
  <c r="B201" i="17"/>
  <c r="D201" i="17" s="1"/>
  <c r="B200" i="17"/>
  <c r="B199" i="17"/>
  <c r="B198" i="17"/>
  <c r="B197" i="17"/>
  <c r="C197" i="17" s="1"/>
  <c r="B196" i="17"/>
  <c r="B195" i="17"/>
  <c r="D207" i="17" s="1"/>
  <c r="B194" i="17"/>
  <c r="D193" i="17"/>
  <c r="B193" i="17"/>
  <c r="B192" i="17"/>
  <c r="B191" i="17"/>
  <c r="D191" i="17" s="1"/>
  <c r="B190" i="17"/>
  <c r="B189" i="17"/>
  <c r="C189" i="17" s="1"/>
  <c r="B188" i="17"/>
  <c r="D188" i="17" s="1"/>
  <c r="B187" i="17"/>
  <c r="B186" i="17"/>
  <c r="B185" i="17"/>
  <c r="D197" i="17" s="1"/>
  <c r="B184" i="17"/>
  <c r="B183" i="17"/>
  <c r="B182" i="17"/>
  <c r="C181" i="17"/>
  <c r="B181" i="17"/>
  <c r="B180" i="17"/>
  <c r="B179" i="17"/>
  <c r="B178" i="17"/>
  <c r="B177" i="17"/>
  <c r="D177" i="17" s="1"/>
  <c r="C176" i="17"/>
  <c r="B176" i="17"/>
  <c r="B175" i="17"/>
  <c r="B174" i="17"/>
  <c r="C175" i="17" s="1"/>
  <c r="B173" i="17"/>
  <c r="C173" i="17" s="1"/>
  <c r="B172" i="17"/>
  <c r="D172" i="17" s="1"/>
  <c r="B171" i="17"/>
  <c r="B170" i="17"/>
  <c r="B169" i="17"/>
  <c r="B168" i="17"/>
  <c r="B167" i="17"/>
  <c r="B166" i="17"/>
  <c r="C166" i="17" s="1"/>
  <c r="C165" i="17"/>
  <c r="B165" i="17"/>
  <c r="B164" i="17"/>
  <c r="B163" i="17"/>
  <c r="B162" i="17"/>
  <c r="C162" i="17" s="1"/>
  <c r="C161" i="17"/>
  <c r="B161" i="17"/>
  <c r="B160" i="17"/>
  <c r="D159" i="17"/>
  <c r="C159" i="17"/>
  <c r="B159" i="17"/>
  <c r="C158" i="17"/>
  <c r="B158" i="17"/>
  <c r="B157" i="17"/>
  <c r="B156" i="17"/>
  <c r="C157" i="17" s="1"/>
  <c r="B155" i="17"/>
  <c r="B154" i="17"/>
  <c r="D154" i="17" s="1"/>
  <c r="B153" i="17"/>
  <c r="D165" i="17" s="1"/>
  <c r="B152" i="17"/>
  <c r="B151" i="17"/>
  <c r="C151" i="17" s="1"/>
  <c r="B150" i="17"/>
  <c r="D150" i="17" s="1"/>
  <c r="B149" i="17"/>
  <c r="D148" i="17"/>
  <c r="C148" i="17"/>
  <c r="B148" i="17"/>
  <c r="B147" i="17"/>
  <c r="B146" i="17"/>
  <c r="B145" i="17"/>
  <c r="C145" i="17" s="1"/>
  <c r="B144" i="17"/>
  <c r="B143" i="17"/>
  <c r="C142" i="17"/>
  <c r="B142" i="17"/>
  <c r="B141" i="17"/>
  <c r="B140" i="17"/>
  <c r="D140" i="17" s="1"/>
  <c r="C139" i="17"/>
  <c r="B139" i="17"/>
  <c r="D151" i="17" s="1"/>
  <c r="C138" i="17"/>
  <c r="B138" i="17"/>
  <c r="B137" i="17"/>
  <c r="B136" i="17"/>
  <c r="C137" i="17" s="1"/>
  <c r="D135" i="17"/>
  <c r="B135" i="17"/>
  <c r="C135" i="17" s="1"/>
  <c r="B134" i="17"/>
  <c r="D134" i="17" s="1"/>
  <c r="B133" i="17"/>
  <c r="B132" i="17"/>
  <c r="D132" i="17" s="1"/>
  <c r="B131" i="17"/>
  <c r="B130" i="17"/>
  <c r="B129" i="17"/>
  <c r="D129" i="17" s="1"/>
  <c r="B128" i="17"/>
  <c r="B127" i="17"/>
  <c r="B126" i="17"/>
  <c r="B125" i="17"/>
  <c r="C126" i="17" s="1"/>
  <c r="B124" i="17"/>
  <c r="D124" i="17" s="1"/>
  <c r="D123" i="17"/>
  <c r="C123" i="17"/>
  <c r="B123" i="17"/>
  <c r="C122" i="17"/>
  <c r="B122" i="17"/>
  <c r="B121" i="17"/>
  <c r="B120" i="17"/>
  <c r="D120" i="17" s="1"/>
  <c r="C119" i="17"/>
  <c r="B119" i="17"/>
  <c r="B118" i="17"/>
  <c r="B117" i="17"/>
  <c r="B116" i="17"/>
  <c r="B115" i="17"/>
  <c r="B114" i="17"/>
  <c r="D126" i="17" s="1"/>
  <c r="D113" i="17"/>
  <c r="C113" i="17"/>
  <c r="B113" i="17"/>
  <c r="B112" i="17"/>
  <c r="B111" i="17"/>
  <c r="B110" i="17"/>
  <c r="B109" i="17"/>
  <c r="B108" i="17"/>
  <c r="D108" i="17" s="1"/>
  <c r="B107" i="17"/>
  <c r="D119" i="17" s="1"/>
  <c r="C106" i="17"/>
  <c r="B106" i="17"/>
  <c r="B105" i="17"/>
  <c r="B104" i="17"/>
  <c r="D104" i="17" s="1"/>
  <c r="D103" i="17"/>
  <c r="B103" i="17"/>
  <c r="C104" i="17" s="1"/>
  <c r="B102" i="17"/>
  <c r="D102" i="17" s="1"/>
  <c r="B101" i="17"/>
  <c r="B100" i="17"/>
  <c r="D112" i="17" s="1"/>
  <c r="D99" i="17"/>
  <c r="B99" i="17"/>
  <c r="B98" i="17"/>
  <c r="B97" i="17"/>
  <c r="B96" i="17"/>
  <c r="B95" i="17"/>
  <c r="B94" i="17"/>
  <c r="B93" i="17"/>
  <c r="B92" i="17"/>
  <c r="D92" i="17" s="1"/>
  <c r="D91" i="17"/>
  <c r="C91" i="17"/>
  <c r="B91" i="17"/>
  <c r="B90" i="17"/>
  <c r="B89" i="17"/>
  <c r="D89" i="17" s="1"/>
  <c r="C88" i="17"/>
  <c r="B88" i="17"/>
  <c r="D87" i="17"/>
  <c r="B87" i="17"/>
  <c r="B86" i="17"/>
  <c r="B85" i="17"/>
  <c r="B84" i="17"/>
  <c r="D96" i="17" s="1"/>
  <c r="B83" i="17"/>
  <c r="B82" i="17"/>
  <c r="D82" i="17" s="1"/>
  <c r="D81" i="17"/>
  <c r="C81" i="17"/>
  <c r="B81" i="17"/>
  <c r="B80" i="17"/>
  <c r="C79" i="17"/>
  <c r="B79" i="17"/>
  <c r="C80" i="17" s="1"/>
  <c r="D78" i="17"/>
  <c r="B78" i="17"/>
  <c r="B77" i="17"/>
  <c r="B76" i="17"/>
  <c r="B75" i="17"/>
  <c r="B74" i="17"/>
  <c r="B73" i="17"/>
  <c r="D73" i="17" s="1"/>
  <c r="B72" i="17"/>
  <c r="B71" i="17"/>
  <c r="C70" i="17"/>
  <c r="B70" i="17"/>
  <c r="B69" i="17"/>
  <c r="B68" i="17"/>
  <c r="B67" i="17"/>
  <c r="D67" i="17" s="1"/>
  <c r="B66" i="17"/>
  <c r="B65" i="17"/>
  <c r="B64" i="17"/>
  <c r="C65" i="17" s="1"/>
  <c r="B63" i="17"/>
  <c r="D75" i="17" s="1"/>
  <c r="C62" i="17"/>
  <c r="B62" i="17"/>
  <c r="B61" i="17"/>
  <c r="C61" i="17" s="1"/>
  <c r="B60" i="17"/>
  <c r="B59" i="17"/>
  <c r="C58" i="17"/>
  <c r="B58" i="17"/>
  <c r="D58" i="17" s="1"/>
  <c r="B57" i="17"/>
  <c r="C56" i="17"/>
  <c r="B56" i="17"/>
  <c r="B55" i="17"/>
  <c r="B54" i="17"/>
  <c r="D53" i="17"/>
  <c r="B53" i="17"/>
  <c r="C53" i="17" s="1"/>
  <c r="D52" i="17"/>
  <c r="B52" i="17"/>
  <c r="B51" i="17"/>
  <c r="B50" i="17"/>
  <c r="B49" i="17"/>
  <c r="D61" i="17" s="1"/>
  <c r="B48" i="17"/>
  <c r="B47" i="17"/>
  <c r="B46" i="17"/>
  <c r="C46" i="17" s="1"/>
  <c r="B45" i="17"/>
  <c r="B44" i="17"/>
  <c r="B43" i="17"/>
  <c r="C43" i="17" s="1"/>
  <c r="B42" i="17"/>
  <c r="C41" i="17"/>
  <c r="B41" i="17"/>
  <c r="B40" i="17"/>
  <c r="B39" i="17"/>
  <c r="B38" i="17"/>
  <c r="D38" i="17" s="1"/>
  <c r="B37" i="17"/>
  <c r="C38" i="17" s="1"/>
  <c r="B36" i="17"/>
  <c r="B35" i="17"/>
  <c r="B34" i="17"/>
  <c r="C35" i="17" s="1"/>
  <c r="C33" i="17"/>
  <c r="B33" i="17"/>
  <c r="D33" i="17" s="1"/>
  <c r="C32" i="17"/>
  <c r="B32" i="17"/>
  <c r="B31" i="17"/>
  <c r="B30" i="17"/>
  <c r="B29" i="17"/>
  <c r="D29" i="17" s="1"/>
  <c r="B28" i="17"/>
  <c r="B27" i="17"/>
  <c r="B26" i="17"/>
  <c r="C26" i="17" s="1"/>
  <c r="B25" i="17"/>
  <c r="B24" i="17"/>
  <c r="C24" i="17" s="1"/>
  <c r="B23" i="17"/>
  <c r="D22" i="17"/>
  <c r="C22" i="17"/>
  <c r="B22" i="17"/>
  <c r="B21" i="17"/>
  <c r="B20" i="17"/>
  <c r="B19" i="17"/>
  <c r="D19" i="17" s="1"/>
  <c r="B18" i="17"/>
  <c r="C18" i="17" s="1"/>
  <c r="B17" i="17"/>
  <c r="B16" i="17"/>
  <c r="B15" i="17"/>
  <c r="B14" i="17"/>
  <c r="C14" i="17" s="1"/>
  <c r="B13" i="17"/>
  <c r="C13" i="17" s="1"/>
  <c r="B12" i="17"/>
  <c r="B11" i="17"/>
  <c r="C11" i="17" s="1"/>
  <c r="C10" i="17"/>
  <c r="B10" i="17"/>
  <c r="B9" i="17"/>
  <c r="C9" i="17" s="1"/>
  <c r="B8" i="17"/>
  <c r="B7" i="17"/>
  <c r="C8" i="17" s="1"/>
  <c r="B362" i="16"/>
  <c r="B361" i="16"/>
  <c r="B360" i="16"/>
  <c r="C360" i="16" s="1"/>
  <c r="U50" i="4" s="1"/>
  <c r="B359" i="16"/>
  <c r="B358" i="16"/>
  <c r="C357" i="16"/>
  <c r="B357" i="16"/>
  <c r="B356" i="16"/>
  <c r="B355" i="16"/>
  <c r="B354" i="16"/>
  <c r="B353" i="16"/>
  <c r="D365" i="16" s="1"/>
  <c r="C352" i="16"/>
  <c r="B352" i="16"/>
  <c r="D352" i="16" s="1"/>
  <c r="V42" i="4" s="1"/>
  <c r="B351" i="16"/>
  <c r="B350" i="16"/>
  <c r="B349" i="16"/>
  <c r="B348" i="16"/>
  <c r="D348" i="16" s="1"/>
  <c r="B347" i="16"/>
  <c r="D359" i="16" s="1"/>
  <c r="B346" i="16"/>
  <c r="B345" i="16"/>
  <c r="B344" i="16"/>
  <c r="D344" i="16" s="1"/>
  <c r="V34" i="4" s="1"/>
  <c r="B343" i="16"/>
  <c r="B342" i="16"/>
  <c r="B341" i="16"/>
  <c r="C341" i="16" s="1"/>
  <c r="U31" i="4" s="1"/>
  <c r="B340" i="16"/>
  <c r="D340" i="16" s="1"/>
  <c r="B339" i="16"/>
  <c r="D351" i="16" s="1"/>
  <c r="B338" i="16"/>
  <c r="B337" i="16"/>
  <c r="D336" i="16"/>
  <c r="B336" i="16"/>
  <c r="B335" i="16"/>
  <c r="C336" i="16" s="1"/>
  <c r="U26" i="4" s="1"/>
  <c r="B334" i="16"/>
  <c r="B333" i="16"/>
  <c r="C333" i="16" s="1"/>
  <c r="U23" i="4" s="1"/>
  <c r="B332" i="16"/>
  <c r="D332" i="16" s="1"/>
  <c r="B331" i="16"/>
  <c r="D343" i="16" s="1"/>
  <c r="B330" i="16"/>
  <c r="B329" i="16"/>
  <c r="D328" i="16"/>
  <c r="C328" i="16"/>
  <c r="B328" i="16"/>
  <c r="B327" i="16"/>
  <c r="B326" i="16"/>
  <c r="B325" i="16"/>
  <c r="C325" i="16" s="1"/>
  <c r="U15" i="4" s="1"/>
  <c r="B324" i="16"/>
  <c r="B323" i="16"/>
  <c r="D335" i="16" s="1"/>
  <c r="B322" i="16"/>
  <c r="B321" i="16"/>
  <c r="C320" i="16"/>
  <c r="B320" i="16"/>
  <c r="D320" i="16" s="1"/>
  <c r="V10" i="4" s="1"/>
  <c r="B319" i="16"/>
  <c r="B318" i="16"/>
  <c r="C317" i="16"/>
  <c r="B317" i="16"/>
  <c r="B316" i="16"/>
  <c r="B315" i="16"/>
  <c r="D327" i="16" s="1"/>
  <c r="B314" i="16"/>
  <c r="B313" i="16"/>
  <c r="B312" i="16"/>
  <c r="C312" i="16" s="1"/>
  <c r="B311" i="16"/>
  <c r="B310" i="16"/>
  <c r="B309" i="16"/>
  <c r="C309" i="16" s="1"/>
  <c r="B308" i="16"/>
  <c r="B307" i="16"/>
  <c r="D319" i="16" s="1"/>
  <c r="B306" i="16"/>
  <c r="B305" i="16"/>
  <c r="D304" i="16"/>
  <c r="B304" i="16"/>
  <c r="C304" i="16" s="1"/>
  <c r="B303" i="16"/>
  <c r="B302" i="16"/>
  <c r="C301" i="16"/>
  <c r="B301" i="16"/>
  <c r="B300" i="16"/>
  <c r="D300" i="16" s="1"/>
  <c r="B299" i="16"/>
  <c r="D311" i="16" s="1"/>
  <c r="B298" i="16"/>
  <c r="B297" i="16"/>
  <c r="B296" i="16"/>
  <c r="C296" i="16" s="1"/>
  <c r="B295" i="16"/>
  <c r="B294" i="16"/>
  <c r="C293" i="16"/>
  <c r="B293" i="16"/>
  <c r="B292" i="16"/>
  <c r="B291" i="16"/>
  <c r="D303" i="16" s="1"/>
  <c r="B290" i="16"/>
  <c r="B289" i="16"/>
  <c r="C288" i="16"/>
  <c r="B288" i="16"/>
  <c r="D288" i="16" s="1"/>
  <c r="B287" i="16"/>
  <c r="B286" i="16"/>
  <c r="C285" i="16"/>
  <c r="B285" i="16"/>
  <c r="B284" i="16"/>
  <c r="D284" i="16" s="1"/>
  <c r="B283" i="16"/>
  <c r="D295" i="16" s="1"/>
  <c r="B282" i="16"/>
  <c r="B281" i="16"/>
  <c r="B280" i="16"/>
  <c r="D280" i="16" s="1"/>
  <c r="B279" i="16"/>
  <c r="B278" i="16"/>
  <c r="B277" i="16"/>
  <c r="C277" i="16" s="1"/>
  <c r="B276" i="16"/>
  <c r="D276" i="16" s="1"/>
  <c r="B275" i="16"/>
  <c r="D287" i="16" s="1"/>
  <c r="B274" i="16"/>
  <c r="B273" i="16"/>
  <c r="D272" i="16"/>
  <c r="B272" i="16"/>
  <c r="B271" i="16"/>
  <c r="C272" i="16" s="1"/>
  <c r="B270" i="16"/>
  <c r="B269" i="16"/>
  <c r="C269" i="16" s="1"/>
  <c r="B268" i="16"/>
  <c r="D268" i="16" s="1"/>
  <c r="B267" i="16"/>
  <c r="D279" i="16" s="1"/>
  <c r="B266" i="16"/>
  <c r="B265" i="16"/>
  <c r="D264" i="16"/>
  <c r="C264" i="16"/>
  <c r="B264" i="16"/>
  <c r="B263" i="16"/>
  <c r="B262" i="16"/>
  <c r="B261" i="16"/>
  <c r="C261" i="16" s="1"/>
  <c r="B260" i="16"/>
  <c r="B259" i="16"/>
  <c r="D271" i="16" s="1"/>
  <c r="B258" i="16"/>
  <c r="B257" i="16"/>
  <c r="C256" i="16"/>
  <c r="B256" i="16"/>
  <c r="D256" i="16" s="1"/>
  <c r="B255" i="16"/>
  <c r="B254" i="16"/>
  <c r="C253" i="16"/>
  <c r="B253" i="16"/>
  <c r="B252" i="16"/>
  <c r="B251" i="16"/>
  <c r="D263" i="16" s="1"/>
  <c r="B250" i="16"/>
  <c r="B249" i="16"/>
  <c r="B248" i="16"/>
  <c r="C248" i="16" s="1"/>
  <c r="B247" i="16"/>
  <c r="B246" i="16"/>
  <c r="B245" i="16"/>
  <c r="C245" i="16" s="1"/>
  <c r="B244" i="16"/>
  <c r="B243" i="16"/>
  <c r="D255" i="16" s="1"/>
  <c r="B242" i="16"/>
  <c r="B241" i="16"/>
  <c r="D240" i="16"/>
  <c r="B240" i="16"/>
  <c r="C240" i="16" s="1"/>
  <c r="B239" i="16"/>
  <c r="B238" i="16"/>
  <c r="B237" i="16"/>
  <c r="B236" i="16"/>
  <c r="D236" i="16" s="1"/>
  <c r="B235" i="16"/>
  <c r="D247" i="16" s="1"/>
  <c r="B234" i="16"/>
  <c r="B233" i="16"/>
  <c r="D232" i="16"/>
  <c r="B232" i="16"/>
  <c r="C232" i="16" s="1"/>
  <c r="B231" i="16"/>
  <c r="B230" i="16"/>
  <c r="C229" i="16"/>
  <c r="B229" i="16"/>
  <c r="B228" i="16"/>
  <c r="B227" i="16"/>
  <c r="D239" i="16" s="1"/>
  <c r="B226" i="16"/>
  <c r="B225" i="16"/>
  <c r="C224" i="16"/>
  <c r="B224" i="16"/>
  <c r="D224" i="16" s="1"/>
  <c r="B223" i="16"/>
  <c r="B222" i="16"/>
  <c r="C221" i="16"/>
  <c r="B221" i="16"/>
  <c r="B220" i="16"/>
  <c r="D220" i="16" s="1"/>
  <c r="B219" i="16"/>
  <c r="D231" i="16" s="1"/>
  <c r="B218" i="16"/>
  <c r="B217" i="16"/>
  <c r="B216" i="16"/>
  <c r="D216" i="16" s="1"/>
  <c r="B215" i="16"/>
  <c r="B214" i="16"/>
  <c r="B213" i="16"/>
  <c r="C213" i="16" s="1"/>
  <c r="B212" i="16"/>
  <c r="B211" i="16"/>
  <c r="D223" i="16" s="1"/>
  <c r="B210" i="16"/>
  <c r="B209" i="16"/>
  <c r="D208" i="16"/>
  <c r="B208" i="16"/>
  <c r="B207" i="16"/>
  <c r="C208" i="16" s="1"/>
  <c r="B206" i="16"/>
  <c r="B205" i="16"/>
  <c r="D205" i="16" s="1"/>
  <c r="B204" i="16"/>
  <c r="D204" i="16" s="1"/>
  <c r="B203" i="16"/>
  <c r="D215" i="16" s="1"/>
  <c r="B202" i="16"/>
  <c r="D202" i="16" s="1"/>
  <c r="B201" i="16"/>
  <c r="B200" i="16"/>
  <c r="D200" i="16" s="1"/>
  <c r="B199" i="16"/>
  <c r="B198" i="16"/>
  <c r="C197" i="16"/>
  <c r="B197" i="16"/>
  <c r="D197" i="16" s="1"/>
  <c r="B196" i="16"/>
  <c r="B195" i="16"/>
  <c r="B194" i="16"/>
  <c r="B193" i="16"/>
  <c r="C194" i="16" s="1"/>
  <c r="B192" i="16"/>
  <c r="D191" i="16"/>
  <c r="B191" i="16"/>
  <c r="B190" i="16"/>
  <c r="D190" i="16" s="1"/>
  <c r="B189" i="16"/>
  <c r="D189" i="16" s="1"/>
  <c r="B188" i="16"/>
  <c r="B187" i="16"/>
  <c r="B186" i="16"/>
  <c r="B185" i="16"/>
  <c r="B184" i="16"/>
  <c r="B183" i="16"/>
  <c r="B182" i="16"/>
  <c r="D181" i="16"/>
  <c r="B181" i="16"/>
  <c r="C181" i="16" s="1"/>
  <c r="B180" i="16"/>
  <c r="B179" i="16"/>
  <c r="B178" i="16"/>
  <c r="D178" i="16" s="1"/>
  <c r="C177" i="16"/>
  <c r="B177" i="16"/>
  <c r="B176" i="16"/>
  <c r="B175" i="16"/>
  <c r="B174" i="16"/>
  <c r="D186" i="16" s="1"/>
  <c r="B173" i="16"/>
  <c r="B172" i="16"/>
  <c r="B171" i="16"/>
  <c r="D183" i="16" s="1"/>
  <c r="B170" i="16"/>
  <c r="B169" i="16"/>
  <c r="B168" i="16"/>
  <c r="B167" i="16"/>
  <c r="B166" i="16"/>
  <c r="B165" i="16"/>
  <c r="B164" i="16"/>
  <c r="B163" i="16"/>
  <c r="B162" i="16"/>
  <c r="D162" i="16" s="1"/>
  <c r="B161" i="16"/>
  <c r="C161" i="16" s="1"/>
  <c r="B160" i="16"/>
  <c r="D159" i="16"/>
  <c r="B159" i="16"/>
  <c r="B158" i="16"/>
  <c r="D170" i="16" s="1"/>
  <c r="B157" i="16"/>
  <c r="D157" i="16" s="1"/>
  <c r="B156" i="16"/>
  <c r="B155" i="16"/>
  <c r="B154" i="16"/>
  <c r="B153" i="16"/>
  <c r="B152" i="16"/>
  <c r="B151" i="16"/>
  <c r="C152" i="16" s="1"/>
  <c r="B150" i="16"/>
  <c r="D149" i="16"/>
  <c r="B149" i="16"/>
  <c r="C149" i="16" s="1"/>
  <c r="B148" i="16"/>
  <c r="B147" i="16"/>
  <c r="B146" i="16"/>
  <c r="D146" i="16" s="1"/>
  <c r="B145" i="16"/>
  <c r="B144" i="16"/>
  <c r="B143" i="16"/>
  <c r="B142" i="16"/>
  <c r="D154" i="16" s="1"/>
  <c r="B141" i="16"/>
  <c r="B140" i="16"/>
  <c r="B139" i="16"/>
  <c r="D151" i="16" s="1"/>
  <c r="B138" i="16"/>
  <c r="B137" i="16"/>
  <c r="B136" i="16"/>
  <c r="B135" i="16"/>
  <c r="B134" i="16"/>
  <c r="B133" i="16"/>
  <c r="B132" i="16"/>
  <c r="B131" i="16"/>
  <c r="B130" i="16"/>
  <c r="D130" i="16" s="1"/>
  <c r="C129" i="16"/>
  <c r="B129" i="16"/>
  <c r="B128" i="16"/>
  <c r="D127" i="16"/>
  <c r="B127" i="16"/>
  <c r="B126" i="16"/>
  <c r="D138" i="16" s="1"/>
  <c r="B125" i="16"/>
  <c r="B124" i="16"/>
  <c r="B123" i="16"/>
  <c r="B122" i="16"/>
  <c r="B121" i="16"/>
  <c r="B120" i="16"/>
  <c r="B119" i="16"/>
  <c r="C120" i="16" s="1"/>
  <c r="B118" i="16"/>
  <c r="B117" i="16"/>
  <c r="D117" i="16" s="1"/>
  <c r="B116" i="16"/>
  <c r="B115" i="16"/>
  <c r="B114" i="16"/>
  <c r="C114" i="16" s="1"/>
  <c r="C113" i="16"/>
  <c r="B113" i="16"/>
  <c r="D113" i="16" s="1"/>
  <c r="B112" i="16"/>
  <c r="B111" i="16"/>
  <c r="C111" i="16" s="1"/>
  <c r="B110" i="16"/>
  <c r="B109" i="16"/>
  <c r="C110" i="16" s="1"/>
  <c r="B108" i="16"/>
  <c r="C108" i="16" s="1"/>
  <c r="C107" i="16"/>
  <c r="B107" i="16"/>
  <c r="D107" i="16" s="1"/>
  <c r="B106" i="16"/>
  <c r="B105" i="16"/>
  <c r="C106" i="16" s="1"/>
  <c r="B104" i="16"/>
  <c r="D104" i="16" s="1"/>
  <c r="B103" i="16"/>
  <c r="C102" i="16"/>
  <c r="B102" i="16"/>
  <c r="B101" i="16"/>
  <c r="B100" i="16"/>
  <c r="B99" i="16"/>
  <c r="D111" i="16" s="1"/>
  <c r="B98" i="16"/>
  <c r="D110" i="16" s="1"/>
  <c r="B97" i="16"/>
  <c r="B96" i="16"/>
  <c r="B95" i="16"/>
  <c r="D95" i="16" s="1"/>
  <c r="B94" i="16"/>
  <c r="C93" i="16"/>
  <c r="B93" i="16"/>
  <c r="D93" i="16" s="1"/>
  <c r="B92" i="16"/>
  <c r="B91" i="16"/>
  <c r="B90" i="16"/>
  <c r="D90" i="16" s="1"/>
  <c r="B89" i="16"/>
  <c r="D101" i="16" s="1"/>
  <c r="B88" i="16"/>
  <c r="B87" i="16"/>
  <c r="C87" i="16" s="1"/>
  <c r="D86" i="16"/>
  <c r="B86" i="16"/>
  <c r="B85" i="16"/>
  <c r="B84" i="16"/>
  <c r="D84" i="16" s="1"/>
  <c r="B83" i="16"/>
  <c r="C83" i="16" s="1"/>
  <c r="B82" i="16"/>
  <c r="C82" i="16" s="1"/>
  <c r="B81" i="16"/>
  <c r="B80" i="16"/>
  <c r="D80" i="16" s="1"/>
  <c r="B79" i="16"/>
  <c r="C79" i="16" s="1"/>
  <c r="C78" i="16"/>
  <c r="B78" i="16"/>
  <c r="D78" i="16" s="1"/>
  <c r="B77" i="16"/>
  <c r="B76" i="16"/>
  <c r="B75" i="16"/>
  <c r="D75" i="16" s="1"/>
  <c r="B74" i="16"/>
  <c r="C73" i="16"/>
  <c r="B73" i="16"/>
  <c r="C74" i="16" s="1"/>
  <c r="B72" i="16"/>
  <c r="B71" i="16"/>
  <c r="B70" i="16"/>
  <c r="D82" i="16" s="1"/>
  <c r="B69" i="16"/>
  <c r="D81" i="16" s="1"/>
  <c r="B68" i="16"/>
  <c r="B67" i="16"/>
  <c r="B66" i="16"/>
  <c r="D66" i="16" s="1"/>
  <c r="B65" i="16"/>
  <c r="C64" i="16"/>
  <c r="B64" i="16"/>
  <c r="D64" i="16" s="1"/>
  <c r="D63" i="16"/>
  <c r="B63" i="16"/>
  <c r="B62" i="16"/>
  <c r="B61" i="16"/>
  <c r="C61" i="16" s="1"/>
  <c r="B60" i="16"/>
  <c r="D72" i="16" s="1"/>
  <c r="B59" i="16"/>
  <c r="C58" i="16"/>
  <c r="B58" i="16"/>
  <c r="D58" i="16" s="1"/>
  <c r="B57" i="16"/>
  <c r="B56" i="16"/>
  <c r="B55" i="16"/>
  <c r="C55" i="16" s="1"/>
  <c r="D54" i="16"/>
  <c r="B54" i="16"/>
  <c r="B53" i="16"/>
  <c r="C52" i="16"/>
  <c r="B52" i="16"/>
  <c r="B51" i="16"/>
  <c r="B50" i="16"/>
  <c r="D50" i="16" s="1"/>
  <c r="B49" i="16"/>
  <c r="D49" i="16" s="1"/>
  <c r="B48" i="16"/>
  <c r="B47" i="16"/>
  <c r="B46" i="16"/>
  <c r="D46" i="16" s="1"/>
  <c r="B45" i="16"/>
  <c r="B44" i="16"/>
  <c r="D43" i="16"/>
  <c r="C43" i="16"/>
  <c r="B43" i="16"/>
  <c r="B42" i="16"/>
  <c r="B41" i="16"/>
  <c r="C42" i="16" s="1"/>
  <c r="B40" i="16"/>
  <c r="B39" i="16"/>
  <c r="B38" i="16"/>
  <c r="B37" i="16"/>
  <c r="B36" i="16"/>
  <c r="B35" i="16"/>
  <c r="D47" i="16" s="1"/>
  <c r="B34" i="16"/>
  <c r="B33" i="16"/>
  <c r="B32" i="16"/>
  <c r="D32" i="16" s="1"/>
  <c r="B31" i="16"/>
  <c r="B30" i="16"/>
  <c r="D42" i="16" s="1"/>
  <c r="B29" i="16"/>
  <c r="C30" i="16" s="1"/>
  <c r="B28" i="16"/>
  <c r="B27" i="16"/>
  <c r="D26" i="16"/>
  <c r="B26" i="16"/>
  <c r="B25" i="16"/>
  <c r="B24" i="16"/>
  <c r="B23" i="16"/>
  <c r="B22" i="16"/>
  <c r="D34" i="16" s="1"/>
  <c r="C21" i="16"/>
  <c r="B21" i="16"/>
  <c r="D21" i="16" s="1"/>
  <c r="B20" i="16"/>
  <c r="B19" i="16"/>
  <c r="B18" i="16"/>
  <c r="C18" i="16" s="1"/>
  <c r="B17" i="16"/>
  <c r="C17" i="16" s="1"/>
  <c r="B16" i="16"/>
  <c r="C15" i="16"/>
  <c r="B15" i="16"/>
  <c r="B14" i="16"/>
  <c r="B13" i="16"/>
  <c r="B12" i="16"/>
  <c r="C12" i="16" s="1"/>
  <c r="B11" i="16"/>
  <c r="B10" i="16"/>
  <c r="C10" i="16" s="1"/>
  <c r="B9" i="16"/>
  <c r="B8" i="16"/>
  <c r="B7" i="16"/>
  <c r="C8" i="16" s="1"/>
  <c r="B362" i="15"/>
  <c r="D362" i="15" s="1"/>
  <c r="B361" i="15"/>
  <c r="C360" i="15"/>
  <c r="B360" i="15"/>
  <c r="D360" i="15" s="1"/>
  <c r="B359" i="15"/>
  <c r="B358" i="15"/>
  <c r="D358" i="15" s="1"/>
  <c r="C357" i="15"/>
  <c r="B357" i="15"/>
  <c r="D357" i="15" s="1"/>
  <c r="B356" i="15"/>
  <c r="B355" i="15"/>
  <c r="D355" i="15" s="1"/>
  <c r="B354" i="15"/>
  <c r="B353" i="15"/>
  <c r="C352" i="15"/>
  <c r="B352" i="15"/>
  <c r="D352" i="15" s="1"/>
  <c r="C351" i="15"/>
  <c r="B351" i="15"/>
  <c r="C350" i="15"/>
  <c r="B350" i="15"/>
  <c r="C349" i="15"/>
  <c r="B349" i="15"/>
  <c r="D349" i="15" s="1"/>
  <c r="D348" i="15"/>
  <c r="B348" i="15"/>
  <c r="C348" i="15" s="1"/>
  <c r="D347" i="15"/>
  <c r="C347" i="15"/>
  <c r="B347" i="15"/>
  <c r="D359" i="15" s="1"/>
  <c r="B346" i="15"/>
  <c r="D346" i="15" s="1"/>
  <c r="B345" i="15"/>
  <c r="B344" i="15"/>
  <c r="B343" i="15"/>
  <c r="B342" i="15"/>
  <c r="B341" i="15"/>
  <c r="C341" i="15" s="1"/>
  <c r="B340" i="15"/>
  <c r="B339" i="15"/>
  <c r="B338" i="15"/>
  <c r="D338" i="15" s="1"/>
  <c r="B337" i="15"/>
  <c r="B336" i="15"/>
  <c r="D336" i="15" s="1"/>
  <c r="C335" i="15"/>
  <c r="B335" i="15"/>
  <c r="C334" i="15"/>
  <c r="B334" i="15"/>
  <c r="B333" i="15"/>
  <c r="D333" i="15" s="1"/>
  <c r="D332" i="15"/>
  <c r="B332" i="15"/>
  <c r="C332" i="15" s="1"/>
  <c r="D331" i="15"/>
  <c r="C331" i="15"/>
  <c r="B331" i="15"/>
  <c r="D343" i="15" s="1"/>
  <c r="B330" i="15"/>
  <c r="D330" i="15" s="1"/>
  <c r="B329" i="15"/>
  <c r="C328" i="15"/>
  <c r="B328" i="15"/>
  <c r="B327" i="15"/>
  <c r="B326" i="15"/>
  <c r="B325" i="15"/>
  <c r="B324" i="15"/>
  <c r="B323" i="15"/>
  <c r="D335" i="15" s="1"/>
  <c r="C322" i="15"/>
  <c r="B322" i="15"/>
  <c r="D322" i="15" s="1"/>
  <c r="B321" i="15"/>
  <c r="B320" i="15"/>
  <c r="D320" i="15" s="1"/>
  <c r="C319" i="15"/>
  <c r="B319" i="15"/>
  <c r="C318" i="15"/>
  <c r="B318" i="15"/>
  <c r="B317" i="15"/>
  <c r="D317" i="15" s="1"/>
  <c r="D316" i="15"/>
  <c r="B316" i="15"/>
  <c r="C316" i="15" s="1"/>
  <c r="D315" i="15"/>
  <c r="C315" i="15"/>
  <c r="B315" i="15"/>
  <c r="D327" i="15" s="1"/>
  <c r="B314" i="15"/>
  <c r="D314" i="15" s="1"/>
  <c r="B313" i="15"/>
  <c r="C312" i="15"/>
  <c r="B312" i="15"/>
  <c r="B311" i="15"/>
  <c r="B310" i="15"/>
  <c r="B309" i="15"/>
  <c r="B308" i="15"/>
  <c r="B307" i="15"/>
  <c r="C306" i="15"/>
  <c r="B306" i="15"/>
  <c r="D306" i="15" s="1"/>
  <c r="B305" i="15"/>
  <c r="B304" i="15"/>
  <c r="D304" i="15" s="1"/>
  <c r="C303" i="15"/>
  <c r="B303" i="15"/>
  <c r="C302" i="15"/>
  <c r="B302" i="15"/>
  <c r="B301" i="15"/>
  <c r="D301" i="15" s="1"/>
  <c r="B300" i="15"/>
  <c r="C300" i="15" s="1"/>
  <c r="D299" i="15"/>
  <c r="C299" i="15"/>
  <c r="B299" i="15"/>
  <c r="D311" i="15" s="1"/>
  <c r="B298" i="15"/>
  <c r="D298" i="15" s="1"/>
  <c r="B297" i="15"/>
  <c r="C296" i="15"/>
  <c r="B296" i="15"/>
  <c r="D295" i="15"/>
  <c r="B295" i="15"/>
  <c r="B294" i="15"/>
  <c r="B293" i="15"/>
  <c r="D292" i="15"/>
  <c r="B292" i="15"/>
  <c r="B291" i="15"/>
  <c r="B290" i="15"/>
  <c r="D290" i="15" s="1"/>
  <c r="B289" i="15"/>
  <c r="B288" i="15"/>
  <c r="D287" i="15"/>
  <c r="C287" i="15"/>
  <c r="B287" i="15"/>
  <c r="B286" i="15"/>
  <c r="C286" i="15" s="1"/>
  <c r="B285" i="15"/>
  <c r="B284" i="15"/>
  <c r="D283" i="15"/>
  <c r="B283" i="15"/>
  <c r="C283" i="15" s="1"/>
  <c r="C282" i="15"/>
  <c r="B282" i="15"/>
  <c r="B281" i="15"/>
  <c r="D281" i="15" s="1"/>
  <c r="B280" i="15"/>
  <c r="C280" i="15" s="1"/>
  <c r="C279" i="15"/>
  <c r="B279" i="15"/>
  <c r="D278" i="15"/>
  <c r="C278" i="15"/>
  <c r="B278" i="15"/>
  <c r="B277" i="15"/>
  <c r="D277" i="15" s="1"/>
  <c r="B276" i="15"/>
  <c r="C276" i="15" s="1"/>
  <c r="D275" i="15"/>
  <c r="C275" i="15"/>
  <c r="B275" i="15"/>
  <c r="B274" i="15"/>
  <c r="D286" i="15" s="1"/>
  <c r="C273" i="15"/>
  <c r="B273" i="15"/>
  <c r="D272" i="15"/>
  <c r="C272" i="15"/>
  <c r="B272" i="15"/>
  <c r="B271" i="15"/>
  <c r="D270" i="15"/>
  <c r="C270" i="15"/>
  <c r="B270" i="15"/>
  <c r="C271" i="15" s="1"/>
  <c r="D269" i="15"/>
  <c r="B269" i="15"/>
  <c r="B268" i="15"/>
  <c r="B267" i="15"/>
  <c r="D279" i="15" s="1"/>
  <c r="D266" i="15"/>
  <c r="B266" i="15"/>
  <c r="B265" i="15"/>
  <c r="B264" i="15"/>
  <c r="D263" i="15"/>
  <c r="B263" i="15"/>
  <c r="B262" i="15"/>
  <c r="B261" i="15"/>
  <c r="C261" i="15" s="1"/>
  <c r="D260" i="15"/>
  <c r="B260" i="15"/>
  <c r="B259" i="15"/>
  <c r="D258" i="15"/>
  <c r="C258" i="15"/>
  <c r="B258" i="15"/>
  <c r="B257" i="15"/>
  <c r="B256" i="15"/>
  <c r="D255" i="15"/>
  <c r="C255" i="15"/>
  <c r="B255" i="15"/>
  <c r="B254" i="15"/>
  <c r="C254" i="15" s="1"/>
  <c r="C253" i="15"/>
  <c r="B253" i="15"/>
  <c r="B252" i="15"/>
  <c r="C252" i="15" s="1"/>
  <c r="D251" i="15"/>
  <c r="B251" i="15"/>
  <c r="C251" i="15" s="1"/>
  <c r="C250" i="15"/>
  <c r="B250" i="15"/>
  <c r="C249" i="15"/>
  <c r="B249" i="15"/>
  <c r="D249" i="15" s="1"/>
  <c r="B248" i="15"/>
  <c r="C248" i="15" s="1"/>
  <c r="C247" i="15"/>
  <c r="B247" i="15"/>
  <c r="D246" i="15"/>
  <c r="C246" i="15"/>
  <c r="B246" i="15"/>
  <c r="B245" i="15"/>
  <c r="D245" i="15" s="1"/>
  <c r="D244" i="15"/>
  <c r="B244" i="15"/>
  <c r="C244" i="15" s="1"/>
  <c r="D243" i="15"/>
  <c r="C243" i="15"/>
  <c r="B243" i="15"/>
  <c r="B242" i="15"/>
  <c r="D254" i="15" s="1"/>
  <c r="B241" i="15"/>
  <c r="D241" i="15" s="1"/>
  <c r="D240" i="15"/>
  <c r="C240" i="15"/>
  <c r="B240" i="15"/>
  <c r="B239" i="15"/>
  <c r="C238" i="15"/>
  <c r="B238" i="15"/>
  <c r="C239" i="15" s="1"/>
  <c r="D237" i="15"/>
  <c r="B237" i="15"/>
  <c r="B236" i="15"/>
  <c r="B235" i="15"/>
  <c r="D234" i="15"/>
  <c r="B234" i="15"/>
  <c r="B233" i="15"/>
  <c r="B232" i="15"/>
  <c r="C232" i="15" s="1"/>
  <c r="D231" i="15"/>
  <c r="B231" i="15"/>
  <c r="B230" i="15"/>
  <c r="D229" i="15"/>
  <c r="C229" i="15"/>
  <c r="B229" i="15"/>
  <c r="D228" i="15"/>
  <c r="B228" i="15"/>
  <c r="B227" i="15"/>
  <c r="B226" i="15"/>
  <c r="D226" i="15" s="1"/>
  <c r="B225" i="15"/>
  <c r="B224" i="15"/>
  <c r="D223" i="15"/>
  <c r="C223" i="15"/>
  <c r="B223" i="15"/>
  <c r="B222" i="15"/>
  <c r="B221" i="15"/>
  <c r="D221" i="15" s="1"/>
  <c r="D220" i="15"/>
  <c r="B220" i="15"/>
  <c r="C220" i="15" s="1"/>
  <c r="D219" i="15"/>
  <c r="B219" i="15"/>
  <c r="B218" i="15"/>
  <c r="B217" i="15"/>
  <c r="D217" i="15" s="1"/>
  <c r="B216" i="15"/>
  <c r="C216" i="15" s="1"/>
  <c r="C215" i="15"/>
  <c r="B215" i="15"/>
  <c r="D214" i="15"/>
  <c r="C214" i="15"/>
  <c r="B214" i="15"/>
  <c r="B213" i="15"/>
  <c r="D213" i="15" s="1"/>
  <c r="B212" i="15"/>
  <c r="C212" i="15" s="1"/>
  <c r="D211" i="15"/>
  <c r="C211" i="15"/>
  <c r="B211" i="15"/>
  <c r="B210" i="15"/>
  <c r="D222" i="15" s="1"/>
  <c r="C209" i="15"/>
  <c r="B209" i="15"/>
  <c r="D208" i="15"/>
  <c r="C208" i="15"/>
  <c r="B208" i="15"/>
  <c r="B207" i="15"/>
  <c r="B206" i="15"/>
  <c r="D205" i="15"/>
  <c r="B205" i="15"/>
  <c r="B204" i="15"/>
  <c r="D203" i="15"/>
  <c r="B203" i="15"/>
  <c r="D215" i="15" s="1"/>
  <c r="D202" i="15"/>
  <c r="B202" i="15"/>
  <c r="B201" i="15"/>
  <c r="C200" i="15"/>
  <c r="B200" i="15"/>
  <c r="D199" i="15"/>
  <c r="B199" i="15"/>
  <c r="B198" i="15"/>
  <c r="D197" i="15"/>
  <c r="C197" i="15"/>
  <c r="B197" i="15"/>
  <c r="D196" i="15"/>
  <c r="B196" i="15"/>
  <c r="B195" i="15"/>
  <c r="B194" i="15"/>
  <c r="B193" i="15"/>
  <c r="B192" i="15"/>
  <c r="D191" i="15"/>
  <c r="C191" i="15"/>
  <c r="B191" i="15"/>
  <c r="B190" i="15"/>
  <c r="B189" i="15"/>
  <c r="D188" i="15"/>
  <c r="B188" i="15"/>
  <c r="C188" i="15" s="1"/>
  <c r="D187" i="15"/>
  <c r="B187" i="15"/>
  <c r="C187" i="15" s="1"/>
  <c r="B186" i="15"/>
  <c r="B185" i="15"/>
  <c r="B184" i="15"/>
  <c r="C184" i="15" s="1"/>
  <c r="C183" i="15"/>
  <c r="B183" i="15"/>
  <c r="D182" i="15"/>
  <c r="C182" i="15"/>
  <c r="B182" i="15"/>
  <c r="B181" i="15"/>
  <c r="D181" i="15" s="1"/>
  <c r="D180" i="15"/>
  <c r="B180" i="15"/>
  <c r="C180" i="15" s="1"/>
  <c r="D179" i="15"/>
  <c r="C179" i="15"/>
  <c r="B179" i="15"/>
  <c r="B178" i="15"/>
  <c r="D190" i="15" s="1"/>
  <c r="C177" i="15"/>
  <c r="B177" i="15"/>
  <c r="D176" i="15"/>
  <c r="C176" i="15"/>
  <c r="B176" i="15"/>
  <c r="B175" i="15"/>
  <c r="D174" i="15"/>
  <c r="B174" i="15"/>
  <c r="C175" i="15" s="1"/>
  <c r="D173" i="15"/>
  <c r="B173" i="15"/>
  <c r="B172" i="15"/>
  <c r="D171" i="15"/>
  <c r="C171" i="15"/>
  <c r="B171" i="15"/>
  <c r="D183" i="15" s="1"/>
  <c r="D170" i="15"/>
  <c r="B170" i="15"/>
  <c r="B169" i="15"/>
  <c r="C168" i="15"/>
  <c r="B168" i="15"/>
  <c r="D168" i="15" s="1"/>
  <c r="D167" i="15"/>
  <c r="B167" i="15"/>
  <c r="B166" i="15"/>
  <c r="B165" i="15"/>
  <c r="D164" i="15"/>
  <c r="B164" i="15"/>
  <c r="B163" i="15"/>
  <c r="D162" i="15"/>
  <c r="B162" i="15"/>
  <c r="C162" i="15" s="1"/>
  <c r="B161" i="15"/>
  <c r="B160" i="15"/>
  <c r="D159" i="15"/>
  <c r="C159" i="15"/>
  <c r="B159" i="15"/>
  <c r="B158" i="15"/>
  <c r="C158" i="15" s="1"/>
  <c r="B157" i="15"/>
  <c r="D157" i="15" s="1"/>
  <c r="B156" i="15"/>
  <c r="D155" i="15"/>
  <c r="B155" i="15"/>
  <c r="C155" i="15" s="1"/>
  <c r="C154" i="15"/>
  <c r="B154" i="15"/>
  <c r="B153" i="15"/>
  <c r="D153" i="15" s="1"/>
  <c r="B152" i="15"/>
  <c r="C152" i="15" s="1"/>
  <c r="C151" i="15"/>
  <c r="B151" i="15"/>
  <c r="D150" i="15"/>
  <c r="C150" i="15"/>
  <c r="B150" i="15"/>
  <c r="B149" i="15"/>
  <c r="D149" i="15" s="1"/>
  <c r="B148" i="15"/>
  <c r="C148" i="15" s="1"/>
  <c r="D147" i="15"/>
  <c r="C147" i="15"/>
  <c r="B147" i="15"/>
  <c r="B146" i="15"/>
  <c r="D158" i="15" s="1"/>
  <c r="C145" i="15"/>
  <c r="B145" i="15"/>
  <c r="D144" i="15"/>
  <c r="C144" i="15"/>
  <c r="B144" i="15"/>
  <c r="B143" i="15"/>
  <c r="D142" i="15"/>
  <c r="C142" i="15"/>
  <c r="B142" i="15"/>
  <c r="C143" i="15" s="1"/>
  <c r="D141" i="15"/>
  <c r="B141" i="15"/>
  <c r="B140" i="15"/>
  <c r="B139" i="15"/>
  <c r="D151" i="15" s="1"/>
  <c r="D138" i="15"/>
  <c r="B138" i="15"/>
  <c r="B137" i="15"/>
  <c r="B136" i="15"/>
  <c r="D135" i="15"/>
  <c r="B135" i="15"/>
  <c r="B134" i="15"/>
  <c r="B133" i="15"/>
  <c r="C133" i="15" s="1"/>
  <c r="D132" i="15"/>
  <c r="B132" i="15"/>
  <c r="B131" i="15"/>
  <c r="D130" i="15"/>
  <c r="C130" i="15"/>
  <c r="B130" i="15"/>
  <c r="B129" i="15"/>
  <c r="B128" i="15"/>
  <c r="D127" i="15"/>
  <c r="C127" i="15"/>
  <c r="B127" i="15"/>
  <c r="B126" i="15"/>
  <c r="C126" i="15" s="1"/>
  <c r="C125" i="15"/>
  <c r="B125" i="15"/>
  <c r="B124" i="15"/>
  <c r="C124" i="15" s="1"/>
  <c r="D123" i="15"/>
  <c r="B123" i="15"/>
  <c r="C123" i="15" s="1"/>
  <c r="C122" i="15"/>
  <c r="B122" i="15"/>
  <c r="C121" i="15"/>
  <c r="B121" i="15"/>
  <c r="D121" i="15" s="1"/>
  <c r="B120" i="15"/>
  <c r="C120" i="15" s="1"/>
  <c r="C119" i="15"/>
  <c r="B119" i="15"/>
  <c r="D118" i="15"/>
  <c r="C118" i="15"/>
  <c r="B118" i="15"/>
  <c r="B117" i="15"/>
  <c r="D116" i="15"/>
  <c r="B116" i="15"/>
  <c r="C116" i="15" s="1"/>
  <c r="D115" i="15"/>
  <c r="C115" i="15"/>
  <c r="B115" i="15"/>
  <c r="B114" i="15"/>
  <c r="D126" i="15" s="1"/>
  <c r="C113" i="15"/>
  <c r="B113" i="15"/>
  <c r="D113" i="15" s="1"/>
  <c r="D112" i="15"/>
  <c r="C112" i="15"/>
  <c r="B112" i="15"/>
  <c r="B111" i="15"/>
  <c r="D110" i="15"/>
  <c r="C110" i="15"/>
  <c r="B110" i="15"/>
  <c r="C111" i="15" s="1"/>
  <c r="B109" i="15"/>
  <c r="B108" i="15"/>
  <c r="B107" i="15"/>
  <c r="D106" i="15"/>
  <c r="B106" i="15"/>
  <c r="B105" i="15"/>
  <c r="D104" i="15"/>
  <c r="B104" i="15"/>
  <c r="C104" i="15" s="1"/>
  <c r="B103" i="15"/>
  <c r="C102" i="15"/>
  <c r="B102" i="15"/>
  <c r="D102" i="15" s="1"/>
  <c r="D101" i="15"/>
  <c r="C101" i="15"/>
  <c r="B101" i="15"/>
  <c r="B100" i="15"/>
  <c r="B99" i="15"/>
  <c r="B98" i="15"/>
  <c r="B97" i="15"/>
  <c r="D109" i="15" s="1"/>
  <c r="D96" i="15"/>
  <c r="B96" i="15"/>
  <c r="C96" i="15" s="1"/>
  <c r="B95" i="15"/>
  <c r="C94" i="15"/>
  <c r="B94" i="15"/>
  <c r="D94" i="15" s="1"/>
  <c r="C93" i="15"/>
  <c r="B93" i="15"/>
  <c r="B92" i="15"/>
  <c r="B91" i="15"/>
  <c r="D90" i="15"/>
  <c r="B90" i="15"/>
  <c r="B89" i="15"/>
  <c r="D88" i="15"/>
  <c r="B88" i="15"/>
  <c r="C88" i="15" s="1"/>
  <c r="B87" i="15"/>
  <c r="B86" i="15"/>
  <c r="D86" i="15" s="1"/>
  <c r="D85" i="15"/>
  <c r="C85" i="15"/>
  <c r="B85" i="15"/>
  <c r="B84" i="15"/>
  <c r="B83" i="15"/>
  <c r="B82" i="15"/>
  <c r="B81" i="15"/>
  <c r="B80" i="15"/>
  <c r="C80" i="15" s="1"/>
  <c r="B79" i="15"/>
  <c r="C78" i="15"/>
  <c r="B78" i="15"/>
  <c r="D78" i="15" s="1"/>
  <c r="C77" i="15"/>
  <c r="B77" i="15"/>
  <c r="B76" i="15"/>
  <c r="B75" i="15"/>
  <c r="D74" i="15"/>
  <c r="B74" i="15"/>
  <c r="B73" i="15"/>
  <c r="B72" i="15"/>
  <c r="C72" i="15" s="1"/>
  <c r="B71" i="15"/>
  <c r="B70" i="15"/>
  <c r="D70" i="15" s="1"/>
  <c r="D69" i="15"/>
  <c r="C69" i="15"/>
  <c r="B69" i="15"/>
  <c r="B68" i="15"/>
  <c r="B67" i="15"/>
  <c r="B66" i="15"/>
  <c r="B65" i="15"/>
  <c r="B64" i="15"/>
  <c r="C64" i="15" s="1"/>
  <c r="B63" i="15"/>
  <c r="C62" i="15"/>
  <c r="B62" i="15"/>
  <c r="D62" i="15" s="1"/>
  <c r="C61" i="15"/>
  <c r="B61" i="15"/>
  <c r="B60" i="15"/>
  <c r="B59" i="15"/>
  <c r="D58" i="15"/>
  <c r="B58" i="15"/>
  <c r="B57" i="15"/>
  <c r="B56" i="15"/>
  <c r="C56" i="15" s="1"/>
  <c r="B55" i="15"/>
  <c r="B54" i="15"/>
  <c r="D54" i="15" s="1"/>
  <c r="D53" i="15"/>
  <c r="C53" i="15"/>
  <c r="B53" i="15"/>
  <c r="B52" i="15"/>
  <c r="B51" i="15"/>
  <c r="B50" i="15"/>
  <c r="B49" i="15"/>
  <c r="B48" i="15"/>
  <c r="C48" i="15" s="1"/>
  <c r="B47" i="15"/>
  <c r="C46" i="15"/>
  <c r="B46" i="15"/>
  <c r="D46" i="15" s="1"/>
  <c r="C45" i="15"/>
  <c r="B45" i="15"/>
  <c r="B44" i="15"/>
  <c r="B43" i="15"/>
  <c r="D42" i="15"/>
  <c r="B42" i="15"/>
  <c r="B41" i="15"/>
  <c r="B40" i="15"/>
  <c r="C40" i="15" s="1"/>
  <c r="B39" i="15"/>
  <c r="B38" i="15"/>
  <c r="D38" i="15" s="1"/>
  <c r="D37" i="15"/>
  <c r="C37" i="15"/>
  <c r="B37" i="15"/>
  <c r="B36" i="15"/>
  <c r="B35" i="15"/>
  <c r="B34" i="15"/>
  <c r="B33" i="15"/>
  <c r="B32" i="15"/>
  <c r="C32" i="15" s="1"/>
  <c r="B31" i="15"/>
  <c r="C30" i="15"/>
  <c r="B30" i="15"/>
  <c r="D30" i="15" s="1"/>
  <c r="D29" i="15"/>
  <c r="C29" i="15"/>
  <c r="B29" i="15"/>
  <c r="B28" i="15"/>
  <c r="B27" i="15"/>
  <c r="D26" i="15"/>
  <c r="B26" i="15"/>
  <c r="B25" i="15"/>
  <c r="B24" i="15"/>
  <c r="C24" i="15" s="1"/>
  <c r="B23" i="15"/>
  <c r="B22" i="15"/>
  <c r="D22" i="15" s="1"/>
  <c r="D21" i="15"/>
  <c r="C21" i="15"/>
  <c r="B21" i="15"/>
  <c r="B20" i="15"/>
  <c r="B19" i="15"/>
  <c r="C18" i="15"/>
  <c r="B18" i="15"/>
  <c r="B17" i="15"/>
  <c r="C17" i="15" s="1"/>
  <c r="B16" i="15"/>
  <c r="B15" i="15"/>
  <c r="C15" i="15" s="1"/>
  <c r="C14" i="15"/>
  <c r="B14" i="15"/>
  <c r="B13" i="15"/>
  <c r="C13" i="15" s="1"/>
  <c r="B12" i="15"/>
  <c r="C12" i="15" s="1"/>
  <c r="C11" i="15"/>
  <c r="B11" i="15"/>
  <c r="D23" i="15" s="1"/>
  <c r="C10" i="15"/>
  <c r="B10" i="15"/>
  <c r="B9" i="15"/>
  <c r="B8" i="15"/>
  <c r="B7" i="15"/>
  <c r="C362" i="14"/>
  <c r="B362" i="14"/>
  <c r="B361" i="14"/>
  <c r="B360" i="14"/>
  <c r="B359" i="14"/>
  <c r="B358" i="14"/>
  <c r="B357" i="14"/>
  <c r="C357" i="14" s="1"/>
  <c r="B356" i="14"/>
  <c r="C355" i="14"/>
  <c r="B355" i="14"/>
  <c r="D355" i="14" s="1"/>
  <c r="D354" i="14"/>
  <c r="C354" i="14"/>
  <c r="B354" i="14"/>
  <c r="B353" i="14"/>
  <c r="B352" i="14"/>
  <c r="B351" i="14"/>
  <c r="B350" i="14"/>
  <c r="B349" i="14"/>
  <c r="C349" i="14" s="1"/>
  <c r="B348" i="14"/>
  <c r="B347" i="14"/>
  <c r="D347" i="14" s="1"/>
  <c r="C346" i="14"/>
  <c r="B346" i="14"/>
  <c r="B345" i="14"/>
  <c r="B344" i="14"/>
  <c r="B343" i="14"/>
  <c r="B342" i="14"/>
  <c r="B341" i="14"/>
  <c r="C341" i="14" s="1"/>
  <c r="B340" i="14"/>
  <c r="C339" i="14"/>
  <c r="B339" i="14"/>
  <c r="D339" i="14" s="1"/>
  <c r="D338" i="14"/>
  <c r="C338" i="14"/>
  <c r="B338" i="14"/>
  <c r="B337" i="14"/>
  <c r="B336" i="14"/>
  <c r="B335" i="14"/>
  <c r="B334" i="14"/>
  <c r="B333" i="14"/>
  <c r="C333" i="14" s="1"/>
  <c r="B332" i="14"/>
  <c r="B331" i="14"/>
  <c r="D331" i="14" s="1"/>
  <c r="C330" i="14"/>
  <c r="B330" i="14"/>
  <c r="B329" i="14"/>
  <c r="B328" i="14"/>
  <c r="B327" i="14"/>
  <c r="B326" i="14"/>
  <c r="B325" i="14"/>
  <c r="C325" i="14" s="1"/>
  <c r="B324" i="14"/>
  <c r="B323" i="14"/>
  <c r="D323" i="14" s="1"/>
  <c r="D322" i="14"/>
  <c r="C322" i="14"/>
  <c r="B322" i="14"/>
  <c r="B321" i="14"/>
  <c r="B320" i="14"/>
  <c r="B319" i="14"/>
  <c r="B318" i="14"/>
  <c r="B317" i="14"/>
  <c r="C317" i="14" s="1"/>
  <c r="B316" i="14"/>
  <c r="B315" i="14"/>
  <c r="D315" i="14" s="1"/>
  <c r="C314" i="14"/>
  <c r="B314" i="14"/>
  <c r="B313" i="14"/>
  <c r="B312" i="14"/>
  <c r="B311" i="14"/>
  <c r="B310" i="14"/>
  <c r="B309" i="14"/>
  <c r="C309" i="14" s="1"/>
  <c r="B308" i="14"/>
  <c r="B307" i="14"/>
  <c r="D307" i="14" s="1"/>
  <c r="D306" i="14"/>
  <c r="C306" i="14"/>
  <c r="B306" i="14"/>
  <c r="B305" i="14"/>
  <c r="B304" i="14"/>
  <c r="B303" i="14"/>
  <c r="B302" i="14"/>
  <c r="B301" i="14"/>
  <c r="C301" i="14" s="1"/>
  <c r="B300" i="14"/>
  <c r="B299" i="14"/>
  <c r="D299" i="14" s="1"/>
  <c r="C298" i="14"/>
  <c r="B298" i="14"/>
  <c r="B297" i="14"/>
  <c r="B296" i="14"/>
  <c r="B295" i="14"/>
  <c r="B294" i="14"/>
  <c r="B293" i="14"/>
  <c r="C293" i="14" s="1"/>
  <c r="B292" i="14"/>
  <c r="B291" i="14"/>
  <c r="D291" i="14" s="1"/>
  <c r="D290" i="14"/>
  <c r="C290" i="14"/>
  <c r="B290" i="14"/>
  <c r="B289" i="14"/>
  <c r="B288" i="14"/>
  <c r="B287" i="14"/>
  <c r="B286" i="14"/>
  <c r="B285" i="14"/>
  <c r="C285" i="14" s="1"/>
  <c r="B284" i="14"/>
  <c r="B283" i="14"/>
  <c r="D283" i="14" s="1"/>
  <c r="C282" i="14"/>
  <c r="B282" i="14"/>
  <c r="B281" i="14"/>
  <c r="B280" i="14"/>
  <c r="B279" i="14"/>
  <c r="B278" i="14"/>
  <c r="B277" i="14"/>
  <c r="C277" i="14" s="1"/>
  <c r="B276" i="14"/>
  <c r="B275" i="14"/>
  <c r="D274" i="14"/>
  <c r="C274" i="14"/>
  <c r="B274" i="14"/>
  <c r="B273" i="14"/>
  <c r="B272" i="14"/>
  <c r="B271" i="14"/>
  <c r="B270" i="14"/>
  <c r="B269" i="14"/>
  <c r="C269" i="14" s="1"/>
  <c r="B268" i="14"/>
  <c r="B267" i="14"/>
  <c r="D267" i="14" s="1"/>
  <c r="C266" i="14"/>
  <c r="B266" i="14"/>
  <c r="B265" i="14"/>
  <c r="B264" i="14"/>
  <c r="B263" i="14"/>
  <c r="B262" i="14"/>
  <c r="B261" i="14"/>
  <c r="C261" i="14" s="1"/>
  <c r="B260" i="14"/>
  <c r="B259" i="14"/>
  <c r="D258" i="14"/>
  <c r="C258" i="14"/>
  <c r="B258" i="14"/>
  <c r="B257" i="14"/>
  <c r="B256" i="14"/>
  <c r="B255" i="14"/>
  <c r="B254" i="14"/>
  <c r="B253" i="14"/>
  <c r="C253" i="14" s="1"/>
  <c r="B252" i="14"/>
  <c r="B251" i="14"/>
  <c r="D251" i="14" s="1"/>
  <c r="C250" i="14"/>
  <c r="B250" i="14"/>
  <c r="B249" i="14"/>
  <c r="B248" i="14"/>
  <c r="B247" i="14"/>
  <c r="B246" i="14"/>
  <c r="B245" i="14"/>
  <c r="C245" i="14" s="1"/>
  <c r="B244" i="14"/>
  <c r="B243" i="14"/>
  <c r="D242" i="14"/>
  <c r="C242" i="14"/>
  <c r="B242" i="14"/>
  <c r="B241" i="14"/>
  <c r="B240" i="14"/>
  <c r="B239" i="14"/>
  <c r="B238" i="14"/>
  <c r="B237" i="14"/>
  <c r="C237" i="14" s="1"/>
  <c r="B236" i="14"/>
  <c r="B235" i="14"/>
  <c r="D235" i="14" s="1"/>
  <c r="D234" i="14"/>
  <c r="C234" i="14"/>
  <c r="B234" i="14"/>
  <c r="B233" i="14"/>
  <c r="B232" i="14"/>
  <c r="B231" i="14"/>
  <c r="B230" i="14"/>
  <c r="B229" i="14"/>
  <c r="C229" i="14" s="1"/>
  <c r="B228" i="14"/>
  <c r="B227" i="14"/>
  <c r="D226" i="14"/>
  <c r="C226" i="14"/>
  <c r="B226" i="14"/>
  <c r="B225" i="14"/>
  <c r="B224" i="14"/>
  <c r="D223" i="14"/>
  <c r="B223" i="14"/>
  <c r="C222" i="14"/>
  <c r="B222" i="14"/>
  <c r="C221" i="14"/>
  <c r="B221" i="14"/>
  <c r="B220" i="14"/>
  <c r="B219" i="14"/>
  <c r="D219" i="14" s="1"/>
  <c r="B218" i="14"/>
  <c r="B217" i="14"/>
  <c r="B216" i="14"/>
  <c r="D228" i="14" s="1"/>
  <c r="D215" i="14"/>
  <c r="B215" i="14"/>
  <c r="B214" i="14"/>
  <c r="C213" i="14"/>
  <c r="B213" i="14"/>
  <c r="D213" i="14" s="1"/>
  <c r="B212" i="14"/>
  <c r="C212" i="14" s="1"/>
  <c r="D211" i="14"/>
  <c r="C211" i="14"/>
  <c r="B211" i="14"/>
  <c r="B210" i="14"/>
  <c r="B209" i="14"/>
  <c r="D208" i="14"/>
  <c r="C208" i="14"/>
  <c r="B208" i="14"/>
  <c r="D220" i="14" s="1"/>
  <c r="B207" i="14"/>
  <c r="B206" i="14"/>
  <c r="B205" i="14"/>
  <c r="D205" i="14" s="1"/>
  <c r="B204" i="14"/>
  <c r="C204" i="14" s="1"/>
  <c r="C203" i="14"/>
  <c r="B203" i="14"/>
  <c r="D203" i="14" s="1"/>
  <c r="D202" i="14"/>
  <c r="B202" i="14"/>
  <c r="B201" i="14"/>
  <c r="B200" i="14"/>
  <c r="D212" i="14" s="1"/>
  <c r="B199" i="14"/>
  <c r="C198" i="14"/>
  <c r="B198" i="14"/>
  <c r="D197" i="14"/>
  <c r="C197" i="14"/>
  <c r="B197" i="14"/>
  <c r="B196" i="14"/>
  <c r="B195" i="14"/>
  <c r="C194" i="14"/>
  <c r="B194" i="14"/>
  <c r="B193" i="14"/>
  <c r="B192" i="14"/>
  <c r="D191" i="14"/>
  <c r="B191" i="14"/>
  <c r="C190" i="14"/>
  <c r="B190" i="14"/>
  <c r="C189" i="14"/>
  <c r="B189" i="14"/>
  <c r="B188" i="14"/>
  <c r="B187" i="14"/>
  <c r="B186" i="14"/>
  <c r="B185" i="14"/>
  <c r="C184" i="14"/>
  <c r="B184" i="14"/>
  <c r="D196" i="14" s="1"/>
  <c r="D183" i="14"/>
  <c r="B183" i="14"/>
  <c r="B182" i="14"/>
  <c r="C181" i="14"/>
  <c r="B181" i="14"/>
  <c r="B180" i="14"/>
  <c r="C180" i="14" s="1"/>
  <c r="D179" i="14"/>
  <c r="C179" i="14"/>
  <c r="B179" i="14"/>
  <c r="D178" i="14"/>
  <c r="B178" i="14"/>
  <c r="B177" i="14"/>
  <c r="D176" i="14"/>
  <c r="C176" i="14"/>
  <c r="B176" i="14"/>
  <c r="D188" i="14" s="1"/>
  <c r="B175" i="14"/>
  <c r="B174" i="14"/>
  <c r="B173" i="14"/>
  <c r="D173" i="14" s="1"/>
  <c r="B172" i="14"/>
  <c r="C172" i="14" s="1"/>
  <c r="C171" i="14"/>
  <c r="B171" i="14"/>
  <c r="D171" i="14" s="1"/>
  <c r="D170" i="14"/>
  <c r="B170" i="14"/>
  <c r="B169" i="14"/>
  <c r="B168" i="14"/>
  <c r="B167" i="14"/>
  <c r="B166" i="14"/>
  <c r="D165" i="14"/>
  <c r="C165" i="14"/>
  <c r="B165" i="14"/>
  <c r="B164" i="14"/>
  <c r="C164" i="14" s="1"/>
  <c r="C163" i="14"/>
  <c r="B163" i="14"/>
  <c r="D162" i="14"/>
  <c r="C162" i="14"/>
  <c r="B162" i="14"/>
  <c r="B161" i="14"/>
  <c r="B160" i="14"/>
  <c r="D159" i="14"/>
  <c r="B159" i="14"/>
  <c r="C158" i="14"/>
  <c r="B158" i="14"/>
  <c r="C157" i="14"/>
  <c r="B157" i="14"/>
  <c r="B156" i="14"/>
  <c r="C156" i="14" s="1"/>
  <c r="D155" i="14"/>
  <c r="C155" i="14"/>
  <c r="B155" i="14"/>
  <c r="D167" i="14" s="1"/>
  <c r="B154" i="14"/>
  <c r="B153" i="14"/>
  <c r="B152" i="14"/>
  <c r="D164" i="14" s="1"/>
  <c r="C151" i="14"/>
  <c r="B151" i="14"/>
  <c r="B150" i="14"/>
  <c r="B149" i="14"/>
  <c r="C150" i="14" s="1"/>
  <c r="D148" i="14"/>
  <c r="B148" i="14"/>
  <c r="C148" i="14" s="1"/>
  <c r="B147" i="14"/>
  <c r="D147" i="14" s="1"/>
  <c r="B146" i="14"/>
  <c r="D146" i="14" s="1"/>
  <c r="B145" i="14"/>
  <c r="B144" i="14"/>
  <c r="C143" i="14"/>
  <c r="B143" i="14"/>
  <c r="B142" i="14"/>
  <c r="B141" i="14"/>
  <c r="B140" i="14"/>
  <c r="B139" i="14"/>
  <c r="C139" i="14" s="1"/>
  <c r="B138" i="14"/>
  <c r="B137" i="14"/>
  <c r="B136" i="14"/>
  <c r="D136" i="14" s="1"/>
  <c r="D135" i="14"/>
  <c r="C135" i="14"/>
  <c r="B135" i="14"/>
  <c r="B134" i="14"/>
  <c r="B133" i="14"/>
  <c r="D133" i="14" s="1"/>
  <c r="D132" i="14"/>
  <c r="B132" i="14"/>
  <c r="C132" i="14" s="1"/>
  <c r="C131" i="14"/>
  <c r="B131" i="14"/>
  <c r="D131" i="14" s="1"/>
  <c r="B130" i="14"/>
  <c r="D130" i="14" s="1"/>
  <c r="B129" i="14"/>
  <c r="B128" i="14"/>
  <c r="C127" i="14"/>
  <c r="B127" i="14"/>
  <c r="B126" i="14"/>
  <c r="B125" i="14"/>
  <c r="C126" i="14" s="1"/>
  <c r="B124" i="14"/>
  <c r="C123" i="14"/>
  <c r="B123" i="14"/>
  <c r="D123" i="14" s="1"/>
  <c r="B122" i="14"/>
  <c r="B121" i="14"/>
  <c r="C120" i="14"/>
  <c r="B120" i="14"/>
  <c r="D120" i="14" s="1"/>
  <c r="C119" i="14"/>
  <c r="B119" i="14"/>
  <c r="C118" i="14"/>
  <c r="B118" i="14"/>
  <c r="C117" i="14"/>
  <c r="B117" i="14"/>
  <c r="D117" i="14" s="1"/>
  <c r="D116" i="14"/>
  <c r="B116" i="14"/>
  <c r="C116" i="14" s="1"/>
  <c r="C115" i="14"/>
  <c r="B115" i="14"/>
  <c r="D115" i="14" s="1"/>
  <c r="B114" i="14"/>
  <c r="C114" i="14" s="1"/>
  <c r="B113" i="14"/>
  <c r="B112" i="14"/>
  <c r="C111" i="14"/>
  <c r="B111" i="14"/>
  <c r="C110" i="14"/>
  <c r="B110" i="14"/>
  <c r="B109" i="14"/>
  <c r="B108" i="14"/>
  <c r="B107" i="14"/>
  <c r="B106" i="14"/>
  <c r="B105" i="14"/>
  <c r="B104" i="14"/>
  <c r="C104" i="14" s="1"/>
  <c r="B103" i="14"/>
  <c r="C102" i="14"/>
  <c r="B102" i="14"/>
  <c r="C103" i="14" s="1"/>
  <c r="D101" i="14"/>
  <c r="C101" i="14"/>
  <c r="B101" i="14"/>
  <c r="D100" i="14"/>
  <c r="B100" i="14"/>
  <c r="C99" i="14"/>
  <c r="B99" i="14"/>
  <c r="D99" i="14" s="1"/>
  <c r="D98" i="14"/>
  <c r="C98" i="14"/>
  <c r="B98" i="14"/>
  <c r="B97" i="14"/>
  <c r="B96" i="14"/>
  <c r="B95" i="14"/>
  <c r="C94" i="14"/>
  <c r="B94" i="14"/>
  <c r="B93" i="14"/>
  <c r="B92" i="14"/>
  <c r="B91" i="14"/>
  <c r="D91" i="14" s="1"/>
  <c r="B90" i="14"/>
  <c r="B89" i="14"/>
  <c r="D88" i="14"/>
  <c r="C88" i="14"/>
  <c r="B88" i="14"/>
  <c r="B87" i="14"/>
  <c r="B86" i="14"/>
  <c r="C87" i="14" s="1"/>
  <c r="B85" i="14"/>
  <c r="C86" i="14" s="1"/>
  <c r="B84" i="14"/>
  <c r="B83" i="14"/>
  <c r="D83" i="14" s="1"/>
  <c r="B82" i="14"/>
  <c r="B81" i="14"/>
  <c r="B80" i="14"/>
  <c r="B79" i="14"/>
  <c r="B78" i="14"/>
  <c r="B77" i="14"/>
  <c r="B76" i="14"/>
  <c r="C76" i="14" s="1"/>
  <c r="D75" i="14"/>
  <c r="B75" i="14"/>
  <c r="D87" i="14" s="1"/>
  <c r="B74" i="14"/>
  <c r="C75" i="14" s="1"/>
  <c r="B73" i="14"/>
  <c r="B72" i="14"/>
  <c r="B71" i="14"/>
  <c r="B70" i="14"/>
  <c r="C71" i="14" s="1"/>
  <c r="B69" i="14"/>
  <c r="B68" i="14"/>
  <c r="B67" i="14"/>
  <c r="D67" i="14" s="1"/>
  <c r="B66" i="14"/>
  <c r="B65" i="14"/>
  <c r="B64" i="14"/>
  <c r="C63" i="14"/>
  <c r="B63" i="14"/>
  <c r="B62" i="14"/>
  <c r="D62" i="14" s="1"/>
  <c r="B61" i="14"/>
  <c r="B60" i="14"/>
  <c r="B59" i="14"/>
  <c r="D59" i="14" s="1"/>
  <c r="B58" i="14"/>
  <c r="B57" i="14"/>
  <c r="B56" i="14"/>
  <c r="B55" i="14"/>
  <c r="B54" i="14"/>
  <c r="D53" i="14"/>
  <c r="B53" i="14"/>
  <c r="B52" i="14"/>
  <c r="B51" i="14"/>
  <c r="D50" i="14"/>
  <c r="C50" i="14"/>
  <c r="B50" i="14"/>
  <c r="B49" i="14"/>
  <c r="C48" i="14"/>
  <c r="B48" i="14"/>
  <c r="D47" i="14"/>
  <c r="C47" i="14"/>
  <c r="B47" i="14"/>
  <c r="C46" i="14"/>
  <c r="B46" i="14"/>
  <c r="C45" i="14"/>
  <c r="B45" i="14"/>
  <c r="D45" i="14" s="1"/>
  <c r="D44" i="14"/>
  <c r="B44" i="14"/>
  <c r="C43" i="14"/>
  <c r="B43" i="14"/>
  <c r="D43" i="14" s="1"/>
  <c r="B42" i="14"/>
  <c r="C42" i="14" s="1"/>
  <c r="C41" i="14"/>
  <c r="B41" i="14"/>
  <c r="C40" i="14"/>
  <c r="B40" i="14"/>
  <c r="D40" i="14" s="1"/>
  <c r="D39" i="14"/>
  <c r="C39" i="14"/>
  <c r="B39" i="14"/>
  <c r="D38" i="14"/>
  <c r="B38" i="14"/>
  <c r="B37" i="14"/>
  <c r="B36" i="14"/>
  <c r="C36" i="14" s="1"/>
  <c r="D35" i="14"/>
  <c r="B35" i="14"/>
  <c r="B34" i="14"/>
  <c r="C33" i="14"/>
  <c r="B33" i="14"/>
  <c r="D33" i="14" s="1"/>
  <c r="D32" i="14"/>
  <c r="C32" i="14"/>
  <c r="B32" i="14"/>
  <c r="B31" i="14"/>
  <c r="B30" i="14"/>
  <c r="B29" i="14"/>
  <c r="C30" i="14" s="1"/>
  <c r="B28" i="14"/>
  <c r="B27" i="14"/>
  <c r="C27" i="14" s="1"/>
  <c r="B26" i="14"/>
  <c r="B25" i="14"/>
  <c r="D24" i="14"/>
  <c r="C24" i="14"/>
  <c r="B24" i="14"/>
  <c r="B23" i="14"/>
  <c r="B22" i="14"/>
  <c r="D21" i="14"/>
  <c r="B21" i="14"/>
  <c r="B20" i="14"/>
  <c r="C19" i="14"/>
  <c r="B19" i="14"/>
  <c r="B18" i="14"/>
  <c r="C18" i="14" s="1"/>
  <c r="B17" i="14"/>
  <c r="C16" i="14"/>
  <c r="B16" i="14"/>
  <c r="C17" i="14" s="1"/>
  <c r="B15" i="14"/>
  <c r="C15" i="14" s="1"/>
  <c r="C14" i="14"/>
  <c r="B14" i="14"/>
  <c r="B13" i="14"/>
  <c r="B12" i="14"/>
  <c r="C13" i="14" s="1"/>
  <c r="C11" i="14"/>
  <c r="B11" i="14"/>
  <c r="C10" i="14"/>
  <c r="B10" i="14"/>
  <c r="B9" i="14"/>
  <c r="B8" i="14"/>
  <c r="C9" i="14" s="1"/>
  <c r="B7" i="14"/>
  <c r="C8" i="14" s="1"/>
  <c r="C362" i="13"/>
  <c r="B362" i="13"/>
  <c r="D362" i="13" s="1"/>
  <c r="B361" i="13"/>
  <c r="B360" i="13"/>
  <c r="C359" i="13"/>
  <c r="B359" i="13"/>
  <c r="B358" i="13"/>
  <c r="D357" i="13"/>
  <c r="B357" i="13"/>
  <c r="D356" i="13"/>
  <c r="B356" i="13"/>
  <c r="B355" i="13"/>
  <c r="C354" i="13"/>
  <c r="B354" i="13"/>
  <c r="D354" i="13" s="1"/>
  <c r="D353" i="13"/>
  <c r="C353" i="13"/>
  <c r="B353" i="13"/>
  <c r="B352" i="13"/>
  <c r="D351" i="13"/>
  <c r="C351" i="13"/>
  <c r="B351" i="13"/>
  <c r="C352" i="13" s="1"/>
  <c r="D350" i="13"/>
  <c r="B350" i="13"/>
  <c r="B349" i="13"/>
  <c r="C348" i="13"/>
  <c r="B348" i="13"/>
  <c r="D348" i="13" s="1"/>
  <c r="B347" i="13"/>
  <c r="C346" i="13"/>
  <c r="B346" i="13"/>
  <c r="D346" i="13" s="1"/>
  <c r="C345" i="13"/>
  <c r="B345" i="13"/>
  <c r="C344" i="13"/>
  <c r="B344" i="13"/>
  <c r="D344" i="13" s="1"/>
  <c r="D343" i="13"/>
  <c r="C343" i="13"/>
  <c r="B343" i="13"/>
  <c r="B342" i="13"/>
  <c r="B341" i="13"/>
  <c r="B340" i="13"/>
  <c r="D340" i="13" s="1"/>
  <c r="B339" i="13"/>
  <c r="B338" i="13"/>
  <c r="D338" i="13" s="1"/>
  <c r="D337" i="13"/>
  <c r="C337" i="13"/>
  <c r="B337" i="13"/>
  <c r="C336" i="13"/>
  <c r="B336" i="13"/>
  <c r="D336" i="13" s="1"/>
  <c r="B335" i="13"/>
  <c r="C335" i="13" s="1"/>
  <c r="B334" i="13"/>
  <c r="B333" i="13"/>
  <c r="D332" i="13"/>
  <c r="B332" i="13"/>
  <c r="B331" i="13"/>
  <c r="C332" i="13" s="1"/>
  <c r="B330" i="13"/>
  <c r="D329" i="13"/>
  <c r="C329" i="13"/>
  <c r="B329" i="13"/>
  <c r="B328" i="13"/>
  <c r="B327" i="13"/>
  <c r="D326" i="13"/>
  <c r="B326" i="13"/>
  <c r="D325" i="13"/>
  <c r="B325" i="13"/>
  <c r="B324" i="13"/>
  <c r="D324" i="13" s="1"/>
  <c r="B323" i="13"/>
  <c r="C322" i="13"/>
  <c r="B322" i="13"/>
  <c r="C321" i="13"/>
  <c r="B321" i="13"/>
  <c r="B320" i="13"/>
  <c r="B319" i="13"/>
  <c r="C320" i="13" s="1"/>
  <c r="D318" i="13"/>
  <c r="B318" i="13"/>
  <c r="B317" i="13"/>
  <c r="B316" i="13"/>
  <c r="D316" i="13" s="1"/>
  <c r="B315" i="13"/>
  <c r="C314" i="13"/>
  <c r="B314" i="13"/>
  <c r="D314" i="13" s="1"/>
  <c r="C313" i="13"/>
  <c r="B313" i="13"/>
  <c r="C312" i="13"/>
  <c r="B312" i="13"/>
  <c r="D312" i="13" s="1"/>
  <c r="D311" i="13"/>
  <c r="C311" i="13"/>
  <c r="B311" i="13"/>
  <c r="B310" i="13"/>
  <c r="B309" i="13"/>
  <c r="C308" i="13"/>
  <c r="B308" i="13"/>
  <c r="D308" i="13" s="1"/>
  <c r="B307" i="13"/>
  <c r="B306" i="13"/>
  <c r="D306" i="13" s="1"/>
  <c r="C305" i="13"/>
  <c r="B305" i="13"/>
  <c r="C304" i="13"/>
  <c r="B304" i="13"/>
  <c r="D304" i="13" s="1"/>
  <c r="B303" i="13"/>
  <c r="C303" i="13" s="1"/>
  <c r="B302" i="13"/>
  <c r="D301" i="13"/>
  <c r="B301" i="13"/>
  <c r="D300" i="13"/>
  <c r="B300" i="13"/>
  <c r="B299" i="13"/>
  <c r="C300" i="13" s="1"/>
  <c r="B298" i="13"/>
  <c r="D297" i="13"/>
  <c r="C297" i="13"/>
  <c r="B297" i="13"/>
  <c r="B296" i="13"/>
  <c r="B295" i="13"/>
  <c r="D294" i="13"/>
  <c r="B294" i="13"/>
  <c r="D293" i="13"/>
  <c r="B293" i="13"/>
  <c r="B292" i="13"/>
  <c r="B291" i="13"/>
  <c r="B290" i="13"/>
  <c r="C289" i="13"/>
  <c r="B289" i="13"/>
  <c r="B288" i="13"/>
  <c r="C287" i="13"/>
  <c r="B287" i="13"/>
  <c r="C288" i="13" s="1"/>
  <c r="D286" i="13"/>
  <c r="B286" i="13"/>
  <c r="B285" i="13"/>
  <c r="C286" i="13" s="1"/>
  <c r="B284" i="13"/>
  <c r="C285" i="13" s="1"/>
  <c r="B283" i="13"/>
  <c r="B282" i="13"/>
  <c r="C282" i="13" s="1"/>
  <c r="C281" i="13"/>
  <c r="B281" i="13"/>
  <c r="C280" i="13"/>
  <c r="B280" i="13"/>
  <c r="B279" i="13"/>
  <c r="C279" i="13" s="1"/>
  <c r="B278" i="13"/>
  <c r="B277" i="13"/>
  <c r="C278" i="13" s="1"/>
  <c r="B276" i="13"/>
  <c r="C276" i="13" s="1"/>
  <c r="B275" i="13"/>
  <c r="B274" i="13"/>
  <c r="D274" i="13" s="1"/>
  <c r="D273" i="13"/>
  <c r="B273" i="13"/>
  <c r="B272" i="13"/>
  <c r="C273" i="13" s="1"/>
  <c r="C271" i="13"/>
  <c r="B271" i="13"/>
  <c r="C272" i="13" s="1"/>
  <c r="D270" i="13"/>
  <c r="B270" i="13"/>
  <c r="B269" i="13"/>
  <c r="C268" i="13"/>
  <c r="B268" i="13"/>
  <c r="D268" i="13" s="1"/>
  <c r="B267" i="13"/>
  <c r="B266" i="13"/>
  <c r="B265" i="13"/>
  <c r="D265" i="13" s="1"/>
  <c r="B264" i="13"/>
  <c r="B263" i="13"/>
  <c r="D262" i="13"/>
  <c r="C262" i="13"/>
  <c r="B262" i="13"/>
  <c r="B261" i="13"/>
  <c r="B260" i="13"/>
  <c r="D260" i="13" s="1"/>
  <c r="B259" i="13"/>
  <c r="C259" i="13" s="1"/>
  <c r="B258" i="13"/>
  <c r="C258" i="13" s="1"/>
  <c r="B257" i="13"/>
  <c r="C257" i="13" s="1"/>
  <c r="B256" i="13"/>
  <c r="D256" i="13" s="1"/>
  <c r="B255" i="13"/>
  <c r="C255" i="13" s="1"/>
  <c r="C254" i="13"/>
  <c r="B254" i="13"/>
  <c r="D253" i="13"/>
  <c r="C253" i="13"/>
  <c r="B253" i="13"/>
  <c r="B252" i="13"/>
  <c r="D252" i="13" s="1"/>
  <c r="B251" i="13"/>
  <c r="D250" i="13"/>
  <c r="C250" i="13"/>
  <c r="B250" i="13"/>
  <c r="B249" i="13"/>
  <c r="C248" i="13"/>
  <c r="B248" i="13"/>
  <c r="D247" i="13"/>
  <c r="C247" i="13"/>
  <c r="B247" i="13"/>
  <c r="B246" i="13"/>
  <c r="D245" i="13"/>
  <c r="B245" i="13"/>
  <c r="C246" i="13" s="1"/>
  <c r="D244" i="13"/>
  <c r="B244" i="13"/>
  <c r="B243" i="13"/>
  <c r="C244" i="13" s="1"/>
  <c r="C242" i="13"/>
  <c r="B242" i="13"/>
  <c r="D254" i="13" s="1"/>
  <c r="D241" i="13"/>
  <c r="B241" i="13"/>
  <c r="B240" i="13"/>
  <c r="C241" i="13" s="1"/>
  <c r="C239" i="13"/>
  <c r="B239" i="13"/>
  <c r="C240" i="13" s="1"/>
  <c r="D238" i="13"/>
  <c r="B238" i="13"/>
  <c r="B237" i="13"/>
  <c r="B236" i="13"/>
  <c r="C236" i="13" s="1"/>
  <c r="B235" i="13"/>
  <c r="B234" i="13"/>
  <c r="D233" i="13"/>
  <c r="C233" i="13"/>
  <c r="B233" i="13"/>
  <c r="B232" i="13"/>
  <c r="B231" i="13"/>
  <c r="D230" i="13"/>
  <c r="C230" i="13"/>
  <c r="B230" i="13"/>
  <c r="B229" i="13"/>
  <c r="C229" i="13" s="1"/>
  <c r="C228" i="13"/>
  <c r="B228" i="13"/>
  <c r="D227" i="13"/>
  <c r="B227" i="13"/>
  <c r="C227" i="13" s="1"/>
  <c r="B226" i="13"/>
  <c r="C225" i="13"/>
  <c r="B225" i="13"/>
  <c r="C224" i="13"/>
  <c r="B224" i="13"/>
  <c r="D224" i="13" s="1"/>
  <c r="B223" i="13"/>
  <c r="C223" i="13" s="1"/>
  <c r="C222" i="13"/>
  <c r="B222" i="13"/>
  <c r="D221" i="13"/>
  <c r="C221" i="13"/>
  <c r="B221" i="13"/>
  <c r="B220" i="13"/>
  <c r="D220" i="13" s="1"/>
  <c r="D219" i="13"/>
  <c r="B219" i="13"/>
  <c r="D218" i="13"/>
  <c r="C218" i="13"/>
  <c r="B218" i="13"/>
  <c r="B217" i="13"/>
  <c r="B216" i="13"/>
  <c r="D215" i="13"/>
  <c r="C215" i="13"/>
  <c r="B215" i="13"/>
  <c r="B214" i="13"/>
  <c r="C213" i="13"/>
  <c r="B213" i="13"/>
  <c r="C214" i="13" s="1"/>
  <c r="D212" i="13"/>
  <c r="B212" i="13"/>
  <c r="B211" i="13"/>
  <c r="C212" i="13" s="1"/>
  <c r="D210" i="13"/>
  <c r="B210" i="13"/>
  <c r="D222" i="13" s="1"/>
  <c r="D209" i="13"/>
  <c r="B209" i="13"/>
  <c r="B208" i="13"/>
  <c r="C209" i="13" s="1"/>
  <c r="C207" i="13"/>
  <c r="B207" i="13"/>
  <c r="C208" i="13" s="1"/>
  <c r="D206" i="13"/>
  <c r="B206" i="13"/>
  <c r="B205" i="13"/>
  <c r="C204" i="13"/>
  <c r="B204" i="13"/>
  <c r="D204" i="13" s="1"/>
  <c r="B203" i="13"/>
  <c r="B202" i="13"/>
  <c r="B201" i="13"/>
  <c r="D201" i="13" s="1"/>
  <c r="B200" i="13"/>
  <c r="B199" i="13"/>
  <c r="D198" i="13"/>
  <c r="C198" i="13"/>
  <c r="B198" i="13"/>
  <c r="B197" i="13"/>
  <c r="B196" i="13"/>
  <c r="D196" i="13" s="1"/>
  <c r="B195" i="13"/>
  <c r="C195" i="13" s="1"/>
  <c r="B194" i="13"/>
  <c r="C194" i="13" s="1"/>
  <c r="B193" i="13"/>
  <c r="D193" i="13" s="1"/>
  <c r="B192" i="13"/>
  <c r="D192" i="13" s="1"/>
  <c r="B191" i="13"/>
  <c r="C191" i="13" s="1"/>
  <c r="B190" i="13"/>
  <c r="D190" i="13" s="1"/>
  <c r="D189" i="13"/>
  <c r="C189" i="13"/>
  <c r="B189" i="13"/>
  <c r="B188" i="13"/>
  <c r="C187" i="13"/>
  <c r="B187" i="13"/>
  <c r="C188" i="13" s="1"/>
  <c r="B186" i="13"/>
  <c r="B185" i="13"/>
  <c r="D184" i="13"/>
  <c r="B184" i="13"/>
  <c r="C184" i="13" s="1"/>
  <c r="B183" i="13"/>
  <c r="C183" i="13" s="1"/>
  <c r="B182" i="13"/>
  <c r="D182" i="13" s="1"/>
  <c r="D181" i="13"/>
  <c r="C181" i="13"/>
  <c r="B181" i="13"/>
  <c r="B180" i="13"/>
  <c r="C179" i="13"/>
  <c r="B179" i="13"/>
  <c r="C180" i="13" s="1"/>
  <c r="B178" i="13"/>
  <c r="B177" i="13"/>
  <c r="D176" i="13"/>
  <c r="B176" i="13"/>
  <c r="C176" i="13" s="1"/>
  <c r="B175" i="13"/>
  <c r="C175" i="13" s="1"/>
  <c r="B174" i="13"/>
  <c r="D174" i="13" s="1"/>
  <c r="D173" i="13"/>
  <c r="C173" i="13"/>
  <c r="B173" i="13"/>
  <c r="B172" i="13"/>
  <c r="C171" i="13"/>
  <c r="B171" i="13"/>
  <c r="C172" i="13" s="1"/>
  <c r="B170" i="13"/>
  <c r="B169" i="13"/>
  <c r="D168" i="13"/>
  <c r="B168" i="13"/>
  <c r="C168" i="13" s="1"/>
  <c r="B167" i="13"/>
  <c r="C167" i="13" s="1"/>
  <c r="B166" i="13"/>
  <c r="D166" i="13" s="1"/>
  <c r="D165" i="13"/>
  <c r="C165" i="13"/>
  <c r="B165" i="13"/>
  <c r="B164" i="13"/>
  <c r="C163" i="13"/>
  <c r="B163" i="13"/>
  <c r="C164" i="13" s="1"/>
  <c r="B162" i="13"/>
  <c r="B161" i="13"/>
  <c r="B160" i="13"/>
  <c r="D160" i="13" s="1"/>
  <c r="B159" i="13"/>
  <c r="C159" i="13" s="1"/>
  <c r="B158" i="13"/>
  <c r="D158" i="13" s="1"/>
  <c r="D157" i="13"/>
  <c r="C157" i="13"/>
  <c r="B157" i="13"/>
  <c r="B156" i="13"/>
  <c r="C155" i="13"/>
  <c r="B155" i="13"/>
  <c r="C156" i="13" s="1"/>
  <c r="B154" i="13"/>
  <c r="B153" i="13"/>
  <c r="B152" i="13"/>
  <c r="D152" i="13" s="1"/>
  <c r="B151" i="13"/>
  <c r="C151" i="13" s="1"/>
  <c r="B150" i="13"/>
  <c r="D150" i="13" s="1"/>
  <c r="D149" i="13"/>
  <c r="C149" i="13"/>
  <c r="B149" i="13"/>
  <c r="B148" i="13"/>
  <c r="C147" i="13"/>
  <c r="B147" i="13"/>
  <c r="C148" i="13" s="1"/>
  <c r="B146" i="13"/>
  <c r="B145" i="13"/>
  <c r="B144" i="13"/>
  <c r="D144" i="13" s="1"/>
  <c r="B143" i="13"/>
  <c r="C143" i="13" s="1"/>
  <c r="B142" i="13"/>
  <c r="D142" i="13" s="1"/>
  <c r="D141" i="13"/>
  <c r="C141" i="13"/>
  <c r="B141" i="13"/>
  <c r="B140" i="13"/>
  <c r="C139" i="13"/>
  <c r="B139" i="13"/>
  <c r="C140" i="13" s="1"/>
  <c r="B138" i="13"/>
  <c r="B137" i="13"/>
  <c r="B136" i="13"/>
  <c r="D136" i="13" s="1"/>
  <c r="B135" i="13"/>
  <c r="C135" i="13" s="1"/>
  <c r="B134" i="13"/>
  <c r="D134" i="13" s="1"/>
  <c r="D133" i="13"/>
  <c r="C133" i="13"/>
  <c r="B133" i="13"/>
  <c r="B132" i="13"/>
  <c r="C131" i="13"/>
  <c r="B131" i="13"/>
  <c r="C132" i="13" s="1"/>
  <c r="B130" i="13"/>
  <c r="B129" i="13"/>
  <c r="B128" i="13"/>
  <c r="D128" i="13" s="1"/>
  <c r="B127" i="13"/>
  <c r="C127" i="13" s="1"/>
  <c r="B126" i="13"/>
  <c r="D126" i="13" s="1"/>
  <c r="D125" i="13"/>
  <c r="C125" i="13"/>
  <c r="B125" i="13"/>
  <c r="B124" i="13"/>
  <c r="C123" i="13"/>
  <c r="B123" i="13"/>
  <c r="C124" i="13" s="1"/>
  <c r="B122" i="13"/>
  <c r="B121" i="13"/>
  <c r="B120" i="13"/>
  <c r="D120" i="13" s="1"/>
  <c r="B119" i="13"/>
  <c r="C119" i="13" s="1"/>
  <c r="B118" i="13"/>
  <c r="D118" i="13" s="1"/>
  <c r="D117" i="13"/>
  <c r="C117" i="13"/>
  <c r="B117" i="13"/>
  <c r="B116" i="13"/>
  <c r="C115" i="13"/>
  <c r="B115" i="13"/>
  <c r="C116" i="13" s="1"/>
  <c r="B114" i="13"/>
  <c r="B113" i="13"/>
  <c r="B112" i="13"/>
  <c r="D112" i="13" s="1"/>
  <c r="B111" i="13"/>
  <c r="C111" i="13" s="1"/>
  <c r="B110" i="13"/>
  <c r="D110" i="13" s="1"/>
  <c r="D109" i="13"/>
  <c r="C109" i="13"/>
  <c r="B109" i="13"/>
  <c r="B108" i="13"/>
  <c r="C107" i="13"/>
  <c r="B107" i="13"/>
  <c r="C108" i="13" s="1"/>
  <c r="B106" i="13"/>
  <c r="B105" i="13"/>
  <c r="B104" i="13"/>
  <c r="D104" i="13" s="1"/>
  <c r="B103" i="13"/>
  <c r="C103" i="13" s="1"/>
  <c r="B102" i="13"/>
  <c r="D102" i="13" s="1"/>
  <c r="D101" i="13"/>
  <c r="C101" i="13"/>
  <c r="B101" i="13"/>
  <c r="B100" i="13"/>
  <c r="C99" i="13"/>
  <c r="B99" i="13"/>
  <c r="C100" i="13" s="1"/>
  <c r="B98" i="13"/>
  <c r="B97" i="13"/>
  <c r="B96" i="13"/>
  <c r="D96" i="13" s="1"/>
  <c r="B95" i="13"/>
  <c r="C95" i="13" s="1"/>
  <c r="B94" i="13"/>
  <c r="D94" i="13" s="1"/>
  <c r="D93" i="13"/>
  <c r="C93" i="13"/>
  <c r="B93" i="13"/>
  <c r="B92" i="13"/>
  <c r="C91" i="13"/>
  <c r="B91" i="13"/>
  <c r="C92" i="13" s="1"/>
  <c r="B90" i="13"/>
  <c r="B89" i="13"/>
  <c r="B88" i="13"/>
  <c r="D88" i="13" s="1"/>
  <c r="B87" i="13"/>
  <c r="B86" i="13"/>
  <c r="D86" i="13" s="1"/>
  <c r="D85" i="13"/>
  <c r="C85" i="13"/>
  <c r="B85" i="13"/>
  <c r="B84" i="13"/>
  <c r="C83" i="13"/>
  <c r="B83" i="13"/>
  <c r="C84" i="13" s="1"/>
  <c r="B82" i="13"/>
  <c r="B81" i="13"/>
  <c r="B80" i="13"/>
  <c r="D80" i="13" s="1"/>
  <c r="B79" i="13"/>
  <c r="B78" i="13"/>
  <c r="D78" i="13" s="1"/>
  <c r="D77" i="13"/>
  <c r="C77" i="13"/>
  <c r="B77" i="13"/>
  <c r="B76" i="13"/>
  <c r="C75" i="13"/>
  <c r="B75" i="13"/>
  <c r="C76" i="13" s="1"/>
  <c r="B74" i="13"/>
  <c r="B73" i="13"/>
  <c r="B72" i="13"/>
  <c r="D72" i="13" s="1"/>
  <c r="B71" i="13"/>
  <c r="B70" i="13"/>
  <c r="D70" i="13" s="1"/>
  <c r="D69" i="13"/>
  <c r="C69" i="13"/>
  <c r="B69" i="13"/>
  <c r="B68" i="13"/>
  <c r="C67" i="13"/>
  <c r="B67" i="13"/>
  <c r="C68" i="13" s="1"/>
  <c r="B66" i="13"/>
  <c r="B65" i="13"/>
  <c r="B64" i="13"/>
  <c r="D64" i="13" s="1"/>
  <c r="B63" i="13"/>
  <c r="B62" i="13"/>
  <c r="D62" i="13" s="1"/>
  <c r="D61" i="13"/>
  <c r="C61" i="13"/>
  <c r="B61" i="13"/>
  <c r="B60" i="13"/>
  <c r="C59" i="13"/>
  <c r="B59" i="13"/>
  <c r="C60" i="13" s="1"/>
  <c r="B58" i="13"/>
  <c r="B57" i="13"/>
  <c r="B56" i="13"/>
  <c r="D56" i="13" s="1"/>
  <c r="B55" i="13"/>
  <c r="B54" i="13"/>
  <c r="D54" i="13" s="1"/>
  <c r="D53" i="13"/>
  <c r="C53" i="13"/>
  <c r="B53" i="13"/>
  <c r="B52" i="13"/>
  <c r="C51" i="13"/>
  <c r="B51" i="13"/>
  <c r="C52" i="13" s="1"/>
  <c r="B50" i="13"/>
  <c r="B49" i="13"/>
  <c r="B48" i="13"/>
  <c r="D48" i="13" s="1"/>
  <c r="B47" i="13"/>
  <c r="B46" i="13"/>
  <c r="D46" i="13" s="1"/>
  <c r="D45" i="13"/>
  <c r="C45" i="13"/>
  <c r="B45" i="13"/>
  <c r="B44" i="13"/>
  <c r="C43" i="13"/>
  <c r="B43" i="13"/>
  <c r="C44" i="13" s="1"/>
  <c r="B42" i="13"/>
  <c r="B41" i="13"/>
  <c r="B40" i="13"/>
  <c r="D40" i="13" s="1"/>
  <c r="B39" i="13"/>
  <c r="B38" i="13"/>
  <c r="D38" i="13" s="1"/>
  <c r="D37" i="13"/>
  <c r="C37" i="13"/>
  <c r="B37" i="13"/>
  <c r="B36" i="13"/>
  <c r="C35" i="13"/>
  <c r="B35" i="13"/>
  <c r="C36" i="13" s="1"/>
  <c r="B34" i="13"/>
  <c r="B33" i="13"/>
  <c r="B32" i="13"/>
  <c r="D32" i="13" s="1"/>
  <c r="B31" i="13"/>
  <c r="B30" i="13"/>
  <c r="D30" i="13" s="1"/>
  <c r="D29" i="13"/>
  <c r="C29" i="13"/>
  <c r="B29" i="13"/>
  <c r="B28" i="13"/>
  <c r="B27" i="13"/>
  <c r="C28" i="13" s="1"/>
  <c r="D26" i="13"/>
  <c r="B26" i="13"/>
  <c r="B25" i="13"/>
  <c r="B24" i="13"/>
  <c r="D24" i="13" s="1"/>
  <c r="B23" i="13"/>
  <c r="B22" i="13"/>
  <c r="D22" i="13" s="1"/>
  <c r="D21" i="13"/>
  <c r="C21" i="13"/>
  <c r="B21" i="13"/>
  <c r="B20" i="13"/>
  <c r="B19" i="13"/>
  <c r="C20" i="13" s="1"/>
  <c r="C18" i="13"/>
  <c r="B18" i="13"/>
  <c r="B17" i="13"/>
  <c r="C17" i="13" s="1"/>
  <c r="B16" i="13"/>
  <c r="B15" i="13"/>
  <c r="C15" i="13" s="1"/>
  <c r="C14" i="13"/>
  <c r="B14" i="13"/>
  <c r="B13" i="13"/>
  <c r="C13" i="13" s="1"/>
  <c r="B12" i="13"/>
  <c r="C12" i="13" s="1"/>
  <c r="C11" i="13"/>
  <c r="B11" i="13"/>
  <c r="C10" i="13"/>
  <c r="B10" i="13"/>
  <c r="B9" i="13"/>
  <c r="B8" i="13"/>
  <c r="B7" i="13"/>
  <c r="D362" i="12"/>
  <c r="C362" i="12"/>
  <c r="B362" i="12"/>
  <c r="B361" i="12"/>
  <c r="B360" i="12"/>
  <c r="C361" i="12" s="1"/>
  <c r="B359" i="12"/>
  <c r="B358" i="12"/>
  <c r="B357" i="12"/>
  <c r="D357" i="12" s="1"/>
  <c r="B356" i="12"/>
  <c r="B355" i="12"/>
  <c r="D355" i="12" s="1"/>
  <c r="D354" i="12"/>
  <c r="C354" i="12"/>
  <c r="B354" i="12"/>
  <c r="B353" i="12"/>
  <c r="B352" i="12"/>
  <c r="C353" i="12" s="1"/>
  <c r="B351" i="12"/>
  <c r="B350" i="12"/>
  <c r="B349" i="12"/>
  <c r="D349" i="12" s="1"/>
  <c r="B348" i="12"/>
  <c r="B347" i="12"/>
  <c r="D347" i="12" s="1"/>
  <c r="D346" i="12"/>
  <c r="C346" i="12"/>
  <c r="B346" i="12"/>
  <c r="B345" i="12"/>
  <c r="B344" i="12"/>
  <c r="C345" i="12" s="1"/>
  <c r="B343" i="12"/>
  <c r="B342" i="12"/>
  <c r="B341" i="12"/>
  <c r="D341" i="12" s="1"/>
  <c r="B340" i="12"/>
  <c r="B339" i="12"/>
  <c r="D339" i="12" s="1"/>
  <c r="D338" i="12"/>
  <c r="C338" i="12"/>
  <c r="B338" i="12"/>
  <c r="B337" i="12"/>
  <c r="B336" i="12"/>
  <c r="C337" i="12" s="1"/>
  <c r="B335" i="12"/>
  <c r="B334" i="12"/>
  <c r="B333" i="12"/>
  <c r="D333" i="12" s="1"/>
  <c r="B332" i="12"/>
  <c r="B331" i="12"/>
  <c r="D331" i="12" s="1"/>
  <c r="D330" i="12"/>
  <c r="C330" i="12"/>
  <c r="B330" i="12"/>
  <c r="B329" i="12"/>
  <c r="B328" i="12"/>
  <c r="C329" i="12" s="1"/>
  <c r="B327" i="12"/>
  <c r="B326" i="12"/>
  <c r="B325" i="12"/>
  <c r="D325" i="12" s="1"/>
  <c r="B324" i="12"/>
  <c r="B323" i="12"/>
  <c r="D322" i="12"/>
  <c r="C322" i="12"/>
  <c r="B322" i="12"/>
  <c r="B321" i="12"/>
  <c r="B320" i="12"/>
  <c r="C321" i="12" s="1"/>
  <c r="D319" i="12"/>
  <c r="B319" i="12"/>
  <c r="B318" i="12"/>
  <c r="B317" i="12"/>
  <c r="D317" i="12" s="1"/>
  <c r="B316" i="12"/>
  <c r="B315" i="12"/>
  <c r="D315" i="12" s="1"/>
  <c r="D314" i="12"/>
  <c r="C314" i="12"/>
  <c r="B314" i="12"/>
  <c r="B313" i="12"/>
  <c r="B312" i="12"/>
  <c r="B311" i="12"/>
  <c r="B310" i="12"/>
  <c r="B309" i="12"/>
  <c r="D309" i="12" s="1"/>
  <c r="B308" i="12"/>
  <c r="C307" i="12"/>
  <c r="B307" i="12"/>
  <c r="D307" i="12" s="1"/>
  <c r="D306" i="12"/>
  <c r="C306" i="12"/>
  <c r="B306" i="12"/>
  <c r="B305" i="12"/>
  <c r="B304" i="12"/>
  <c r="D303" i="12"/>
  <c r="B303" i="12"/>
  <c r="B302" i="12"/>
  <c r="B301" i="12"/>
  <c r="D301" i="12" s="1"/>
  <c r="B300" i="12"/>
  <c r="B299" i="12"/>
  <c r="D299" i="12" s="1"/>
  <c r="D298" i="12"/>
  <c r="C298" i="12"/>
  <c r="B298" i="12"/>
  <c r="B297" i="12"/>
  <c r="B296" i="12"/>
  <c r="B295" i="12"/>
  <c r="B294" i="12"/>
  <c r="B293" i="12"/>
  <c r="D293" i="12" s="1"/>
  <c r="B292" i="12"/>
  <c r="C291" i="12"/>
  <c r="B291" i="12"/>
  <c r="D291" i="12" s="1"/>
  <c r="D290" i="12"/>
  <c r="C290" i="12"/>
  <c r="B290" i="12"/>
  <c r="B289" i="12"/>
  <c r="B288" i="12"/>
  <c r="D287" i="12"/>
  <c r="B287" i="12"/>
  <c r="B286" i="12"/>
  <c r="B285" i="12"/>
  <c r="D285" i="12" s="1"/>
  <c r="B284" i="12"/>
  <c r="B283" i="12"/>
  <c r="D283" i="12" s="1"/>
  <c r="C282" i="12"/>
  <c r="B282" i="12"/>
  <c r="B281" i="12"/>
  <c r="C280" i="12"/>
  <c r="B280" i="12"/>
  <c r="D279" i="12"/>
  <c r="B279" i="12"/>
  <c r="D278" i="12"/>
  <c r="B278" i="12"/>
  <c r="B277" i="12"/>
  <c r="B276" i="12"/>
  <c r="C275" i="12"/>
  <c r="B275" i="12"/>
  <c r="D275" i="12" s="1"/>
  <c r="C274" i="12"/>
  <c r="B274" i="12"/>
  <c r="C273" i="12"/>
  <c r="B273" i="12"/>
  <c r="D273" i="12" s="1"/>
  <c r="D272" i="12"/>
  <c r="C272" i="12"/>
  <c r="B272" i="12"/>
  <c r="B271" i="12"/>
  <c r="B270" i="12"/>
  <c r="D282" i="12" s="1"/>
  <c r="D269" i="12"/>
  <c r="C269" i="12"/>
  <c r="B269" i="12"/>
  <c r="B268" i="12"/>
  <c r="C267" i="12"/>
  <c r="B267" i="12"/>
  <c r="D267" i="12" s="1"/>
  <c r="C266" i="12"/>
  <c r="B266" i="12"/>
  <c r="C265" i="12"/>
  <c r="B265" i="12"/>
  <c r="D265" i="12" s="1"/>
  <c r="C264" i="12"/>
  <c r="B264" i="12"/>
  <c r="B263" i="12"/>
  <c r="D262" i="12"/>
  <c r="B262" i="12"/>
  <c r="D261" i="12"/>
  <c r="C261" i="12"/>
  <c r="B261" i="12"/>
  <c r="B260" i="12"/>
  <c r="B259" i="12"/>
  <c r="D259" i="12" s="1"/>
  <c r="D258" i="12"/>
  <c r="C258" i="12"/>
  <c r="B258" i="12"/>
  <c r="B257" i="12"/>
  <c r="B256" i="12"/>
  <c r="D255" i="12"/>
  <c r="B255" i="12"/>
  <c r="D254" i="12"/>
  <c r="B254" i="12"/>
  <c r="B253" i="12"/>
  <c r="D253" i="12" s="1"/>
  <c r="B252" i="12"/>
  <c r="D264" i="12" s="1"/>
  <c r="B251" i="12"/>
  <c r="C250" i="12"/>
  <c r="B250" i="12"/>
  <c r="B249" i="12"/>
  <c r="C248" i="12"/>
  <c r="B248" i="12"/>
  <c r="D247" i="12"/>
  <c r="B247" i="12"/>
  <c r="D246" i="12"/>
  <c r="B246" i="12"/>
  <c r="B245" i="12"/>
  <c r="B244" i="12"/>
  <c r="C243" i="12"/>
  <c r="B243" i="12"/>
  <c r="D243" i="12" s="1"/>
  <c r="C242" i="12"/>
  <c r="B242" i="12"/>
  <c r="C241" i="12"/>
  <c r="B241" i="12"/>
  <c r="D241" i="12" s="1"/>
  <c r="D240" i="12"/>
  <c r="C240" i="12"/>
  <c r="B240" i="12"/>
  <c r="B239" i="12"/>
  <c r="B238" i="12"/>
  <c r="D250" i="12" s="1"/>
  <c r="D237" i="12"/>
  <c r="C237" i="12"/>
  <c r="B237" i="12"/>
  <c r="B236" i="12"/>
  <c r="B235" i="12"/>
  <c r="D235" i="12" s="1"/>
  <c r="C234" i="12"/>
  <c r="B234" i="12"/>
  <c r="C233" i="12"/>
  <c r="B233" i="12"/>
  <c r="D233" i="12" s="1"/>
  <c r="B232" i="12"/>
  <c r="C232" i="12" s="1"/>
  <c r="B231" i="12"/>
  <c r="D230" i="12"/>
  <c r="B230" i="12"/>
  <c r="D229" i="12"/>
  <c r="C229" i="12"/>
  <c r="B229" i="12"/>
  <c r="B228" i="12"/>
  <c r="B227" i="12"/>
  <c r="D227" i="12" s="1"/>
  <c r="D226" i="12"/>
  <c r="C226" i="12"/>
  <c r="B226" i="12"/>
  <c r="B225" i="12"/>
  <c r="B224" i="12"/>
  <c r="D223" i="12"/>
  <c r="B223" i="12"/>
  <c r="D222" i="12"/>
  <c r="B222" i="12"/>
  <c r="B221" i="12"/>
  <c r="D221" i="12" s="1"/>
  <c r="B220" i="12"/>
  <c r="D232" i="12" s="1"/>
  <c r="C219" i="12"/>
  <c r="B219" i="12"/>
  <c r="C218" i="12"/>
  <c r="B218" i="12"/>
  <c r="B217" i="12"/>
  <c r="B216" i="12"/>
  <c r="C217" i="12" s="1"/>
  <c r="D215" i="12"/>
  <c r="B215" i="12"/>
  <c r="B214" i="12"/>
  <c r="B213" i="12"/>
  <c r="D213" i="12" s="1"/>
  <c r="B212" i="12"/>
  <c r="C211" i="12"/>
  <c r="B211" i="12"/>
  <c r="D211" i="12" s="1"/>
  <c r="C210" i="12"/>
  <c r="B210" i="12"/>
  <c r="C209" i="12"/>
  <c r="B209" i="12"/>
  <c r="D209" i="12" s="1"/>
  <c r="D208" i="12"/>
  <c r="C208" i="12"/>
  <c r="B208" i="12"/>
  <c r="B207" i="12"/>
  <c r="B206" i="12"/>
  <c r="D205" i="12"/>
  <c r="C205" i="12"/>
  <c r="B205" i="12"/>
  <c r="B204" i="12"/>
  <c r="B203" i="12"/>
  <c r="D203" i="12" s="1"/>
  <c r="C202" i="12"/>
  <c r="B202" i="12"/>
  <c r="C201" i="12"/>
  <c r="B201" i="12"/>
  <c r="D201" i="12" s="1"/>
  <c r="B200" i="12"/>
  <c r="C200" i="12" s="1"/>
  <c r="B199" i="12"/>
  <c r="B198" i="12"/>
  <c r="D197" i="12"/>
  <c r="C197" i="12"/>
  <c r="B197" i="12"/>
  <c r="B196" i="12"/>
  <c r="B195" i="12"/>
  <c r="D194" i="12"/>
  <c r="C194" i="12"/>
  <c r="B194" i="12"/>
  <c r="B193" i="12"/>
  <c r="B192" i="12"/>
  <c r="D191" i="12"/>
  <c r="B191" i="12"/>
  <c r="D190" i="12"/>
  <c r="B190" i="12"/>
  <c r="B189" i="12"/>
  <c r="D189" i="12" s="1"/>
  <c r="B188" i="12"/>
  <c r="B187" i="12"/>
  <c r="C186" i="12"/>
  <c r="B186" i="12"/>
  <c r="B185" i="12"/>
  <c r="B184" i="12"/>
  <c r="C185" i="12" s="1"/>
  <c r="D183" i="12"/>
  <c r="B183" i="12"/>
  <c r="B182" i="12"/>
  <c r="C181" i="12"/>
  <c r="B181" i="12"/>
  <c r="D181" i="12" s="1"/>
  <c r="B180" i="12"/>
  <c r="C179" i="12"/>
  <c r="B179" i="12"/>
  <c r="D179" i="12" s="1"/>
  <c r="C178" i="12"/>
  <c r="B178" i="12"/>
  <c r="C177" i="12"/>
  <c r="B177" i="12"/>
  <c r="D177" i="12" s="1"/>
  <c r="D176" i="12"/>
  <c r="C176" i="12"/>
  <c r="B176" i="12"/>
  <c r="B175" i="12"/>
  <c r="B174" i="12"/>
  <c r="D173" i="12"/>
  <c r="C173" i="12"/>
  <c r="B173" i="12"/>
  <c r="B172" i="12"/>
  <c r="B171" i="12"/>
  <c r="D171" i="12" s="1"/>
  <c r="C170" i="12"/>
  <c r="B170" i="12"/>
  <c r="C169" i="12"/>
  <c r="B169" i="12"/>
  <c r="D169" i="12" s="1"/>
  <c r="B168" i="12"/>
  <c r="C168" i="12" s="1"/>
  <c r="B167" i="12"/>
  <c r="D166" i="12"/>
  <c r="B166" i="12"/>
  <c r="D165" i="12"/>
  <c r="C165" i="12"/>
  <c r="B165" i="12"/>
  <c r="B164" i="12"/>
  <c r="B163" i="12"/>
  <c r="D162" i="12"/>
  <c r="C162" i="12"/>
  <c r="B162" i="12"/>
  <c r="B161" i="12"/>
  <c r="B160" i="12"/>
  <c r="D159" i="12"/>
  <c r="B159" i="12"/>
  <c r="D158" i="12"/>
  <c r="B158" i="12"/>
  <c r="B157" i="12"/>
  <c r="D157" i="12" s="1"/>
  <c r="B156" i="12"/>
  <c r="B155" i="12"/>
  <c r="C154" i="12"/>
  <c r="B154" i="12"/>
  <c r="B153" i="12"/>
  <c r="D152" i="12"/>
  <c r="C152" i="12"/>
  <c r="B152" i="12"/>
  <c r="C153" i="12" s="1"/>
  <c r="D151" i="12"/>
  <c r="B151" i="12"/>
  <c r="B150" i="12"/>
  <c r="C149" i="12"/>
  <c r="B149" i="12"/>
  <c r="D149" i="12" s="1"/>
  <c r="B148" i="12"/>
  <c r="C147" i="12"/>
  <c r="B147" i="12"/>
  <c r="D147" i="12" s="1"/>
  <c r="C146" i="12"/>
  <c r="B146" i="12"/>
  <c r="C145" i="12"/>
  <c r="B145" i="12"/>
  <c r="D145" i="12" s="1"/>
  <c r="D144" i="12"/>
  <c r="C144" i="12"/>
  <c r="B144" i="12"/>
  <c r="B143" i="12"/>
  <c r="B142" i="12"/>
  <c r="D141" i="12"/>
  <c r="C141" i="12"/>
  <c r="B141" i="12"/>
  <c r="B140" i="12"/>
  <c r="B139" i="12"/>
  <c r="D139" i="12" s="1"/>
  <c r="D138" i="12"/>
  <c r="C138" i="12"/>
  <c r="B138" i="12"/>
  <c r="C137" i="12"/>
  <c r="B137" i="12"/>
  <c r="B136" i="12"/>
  <c r="C136" i="12" s="1"/>
  <c r="B135" i="12"/>
  <c r="D134" i="12"/>
  <c r="B134" i="12"/>
  <c r="C133" i="12"/>
  <c r="B133" i="12"/>
  <c r="B132" i="12"/>
  <c r="B131" i="12"/>
  <c r="C130" i="12"/>
  <c r="B130" i="12"/>
  <c r="B129" i="12"/>
  <c r="B128" i="12"/>
  <c r="B127" i="12"/>
  <c r="D126" i="12"/>
  <c r="B126" i="12"/>
  <c r="C127" i="12" s="1"/>
  <c r="B125" i="12"/>
  <c r="B124" i="12"/>
  <c r="D123" i="12"/>
  <c r="C123" i="12"/>
  <c r="B123" i="12"/>
  <c r="D135" i="12" s="1"/>
  <c r="B122" i="12"/>
  <c r="B121" i="12"/>
  <c r="C120" i="12"/>
  <c r="B120" i="12"/>
  <c r="B119" i="12"/>
  <c r="B118" i="12"/>
  <c r="D130" i="12" s="1"/>
  <c r="D117" i="12"/>
  <c r="C117" i="12"/>
  <c r="B117" i="12"/>
  <c r="B116" i="12"/>
  <c r="B115" i="12"/>
  <c r="D127" i="12" s="1"/>
  <c r="C114" i="12"/>
  <c r="B114" i="12"/>
  <c r="B113" i="12"/>
  <c r="B112" i="12"/>
  <c r="D111" i="12"/>
  <c r="B111" i="12"/>
  <c r="D110" i="12"/>
  <c r="B110" i="12"/>
  <c r="C111" i="12" s="1"/>
  <c r="B109" i="12"/>
  <c r="B108" i="12"/>
  <c r="D120" i="12" s="1"/>
  <c r="D107" i="12"/>
  <c r="C107" i="12"/>
  <c r="B107" i="12"/>
  <c r="D119" i="12" s="1"/>
  <c r="B106" i="12"/>
  <c r="D106" i="12" s="1"/>
  <c r="C105" i="12"/>
  <c r="B105" i="12"/>
  <c r="D105" i="12" s="1"/>
  <c r="D104" i="12"/>
  <c r="C104" i="12"/>
  <c r="B104" i="12"/>
  <c r="B103" i="12"/>
  <c r="D102" i="12"/>
  <c r="C102" i="12"/>
  <c r="B102" i="12"/>
  <c r="C103" i="12" s="1"/>
  <c r="D101" i="12"/>
  <c r="C101" i="12"/>
  <c r="B101" i="12"/>
  <c r="B100" i="12"/>
  <c r="D99" i="12"/>
  <c r="C99" i="12"/>
  <c r="B99" i="12"/>
  <c r="D98" i="12"/>
  <c r="C98" i="12"/>
  <c r="B98" i="12"/>
  <c r="B97" i="12"/>
  <c r="C96" i="12"/>
  <c r="B96" i="12"/>
  <c r="D96" i="12" s="1"/>
  <c r="D95" i="12"/>
  <c r="B95" i="12"/>
  <c r="B94" i="12"/>
  <c r="D93" i="12"/>
  <c r="C93" i="12"/>
  <c r="B93" i="12"/>
  <c r="D92" i="12"/>
  <c r="B92" i="12"/>
  <c r="B91" i="12"/>
  <c r="D90" i="12"/>
  <c r="C90" i="12"/>
  <c r="B90" i="12"/>
  <c r="B89" i="12"/>
  <c r="B88" i="12"/>
  <c r="D87" i="12"/>
  <c r="C87" i="12"/>
  <c r="B87" i="12"/>
  <c r="D86" i="12"/>
  <c r="B86" i="12"/>
  <c r="B85" i="12"/>
  <c r="D84" i="12"/>
  <c r="B84" i="12"/>
  <c r="C84" i="12" s="1"/>
  <c r="D83" i="12"/>
  <c r="B83" i="12"/>
  <c r="C83" i="12" s="1"/>
  <c r="C82" i="12"/>
  <c r="B82" i="12"/>
  <c r="D82" i="12" s="1"/>
  <c r="C81" i="12"/>
  <c r="B81" i="12"/>
  <c r="D81" i="12" s="1"/>
  <c r="D80" i="12"/>
  <c r="B80" i="12"/>
  <c r="C80" i="12" s="1"/>
  <c r="C79" i="12"/>
  <c r="B79" i="12"/>
  <c r="D78" i="12"/>
  <c r="C78" i="12"/>
  <c r="B78" i="12"/>
  <c r="B77" i="12"/>
  <c r="D77" i="12" s="1"/>
  <c r="B76" i="12"/>
  <c r="C76" i="12" s="1"/>
  <c r="D75" i="12"/>
  <c r="C75" i="12"/>
  <c r="B75" i="12"/>
  <c r="B74" i="12"/>
  <c r="B73" i="12"/>
  <c r="D73" i="12" s="1"/>
  <c r="D72" i="12"/>
  <c r="C72" i="12"/>
  <c r="B72" i="12"/>
  <c r="B71" i="12"/>
  <c r="D70" i="12"/>
  <c r="C70" i="12"/>
  <c r="B70" i="12"/>
  <c r="C71" i="12" s="1"/>
  <c r="D69" i="12"/>
  <c r="C69" i="12"/>
  <c r="B69" i="12"/>
  <c r="B68" i="12"/>
  <c r="D67" i="12"/>
  <c r="C67" i="12"/>
  <c r="B67" i="12"/>
  <c r="D79" i="12" s="1"/>
  <c r="D66" i="12"/>
  <c r="C66" i="12"/>
  <c r="B66" i="12"/>
  <c r="B65" i="12"/>
  <c r="D64" i="12"/>
  <c r="C64" i="12"/>
  <c r="B64" i="12"/>
  <c r="D63" i="12"/>
  <c r="B63" i="12"/>
  <c r="B62" i="12"/>
  <c r="D61" i="12"/>
  <c r="C61" i="12"/>
  <c r="B61" i="12"/>
  <c r="D60" i="12"/>
  <c r="B60" i="12"/>
  <c r="B59" i="12"/>
  <c r="D58" i="12"/>
  <c r="C58" i="12"/>
  <c r="B58" i="12"/>
  <c r="B57" i="12"/>
  <c r="B56" i="12"/>
  <c r="D55" i="12"/>
  <c r="C55" i="12"/>
  <c r="B55" i="12"/>
  <c r="D54" i="12"/>
  <c r="B54" i="12"/>
  <c r="C54" i="12" s="1"/>
  <c r="B53" i="12"/>
  <c r="D52" i="12"/>
  <c r="B52" i="12"/>
  <c r="C52" i="12" s="1"/>
  <c r="D51" i="12"/>
  <c r="B51" i="12"/>
  <c r="B50" i="12"/>
  <c r="D50" i="12" s="1"/>
  <c r="C49" i="12"/>
  <c r="B49" i="12"/>
  <c r="D49" i="12" s="1"/>
  <c r="D48" i="12"/>
  <c r="B48" i="12"/>
  <c r="C48" i="12" s="1"/>
  <c r="C47" i="12"/>
  <c r="B47" i="12"/>
  <c r="D46" i="12"/>
  <c r="C46" i="12"/>
  <c r="B46" i="12"/>
  <c r="B45" i="12"/>
  <c r="D45" i="12" s="1"/>
  <c r="D44" i="12"/>
  <c r="B44" i="12"/>
  <c r="C44" i="12" s="1"/>
  <c r="D43" i="12"/>
  <c r="C43" i="12"/>
  <c r="B43" i="12"/>
  <c r="B42" i="12"/>
  <c r="D42" i="12" s="1"/>
  <c r="B41" i="12"/>
  <c r="D41" i="12" s="1"/>
  <c r="D40" i="12"/>
  <c r="C40" i="12"/>
  <c r="B40" i="12"/>
  <c r="B39" i="12"/>
  <c r="C38" i="12"/>
  <c r="B38" i="12"/>
  <c r="C39" i="12" s="1"/>
  <c r="D37" i="12"/>
  <c r="C37" i="12"/>
  <c r="B37" i="12"/>
  <c r="B36" i="12"/>
  <c r="B35" i="12"/>
  <c r="D47" i="12" s="1"/>
  <c r="D34" i="12"/>
  <c r="C34" i="12"/>
  <c r="B34" i="12"/>
  <c r="B33" i="12"/>
  <c r="D32" i="12"/>
  <c r="C32" i="12"/>
  <c r="B32" i="12"/>
  <c r="D31" i="12"/>
  <c r="B31" i="12"/>
  <c r="B30" i="12"/>
  <c r="D29" i="12"/>
  <c r="C29" i="12"/>
  <c r="B29" i="12"/>
  <c r="B28" i="12"/>
  <c r="B27" i="12"/>
  <c r="D26" i="12"/>
  <c r="C26" i="12"/>
  <c r="B26" i="12"/>
  <c r="B25" i="12"/>
  <c r="D25" i="12" s="1"/>
  <c r="B24" i="12"/>
  <c r="D23" i="12"/>
  <c r="C23" i="12"/>
  <c r="B23" i="12"/>
  <c r="B22" i="12"/>
  <c r="C22" i="12" s="1"/>
  <c r="B21" i="12"/>
  <c r="D21" i="12" s="1"/>
  <c r="D20" i="12"/>
  <c r="B20" i="12"/>
  <c r="C20" i="12" s="1"/>
  <c r="D19" i="12"/>
  <c r="B19" i="12"/>
  <c r="C19" i="12" s="1"/>
  <c r="B18" i="12"/>
  <c r="C18" i="12" s="1"/>
  <c r="C17" i="12"/>
  <c r="B17" i="12"/>
  <c r="C16" i="12"/>
  <c r="B16" i="12"/>
  <c r="D28" i="12" s="1"/>
  <c r="B15" i="12"/>
  <c r="C15" i="12" s="1"/>
  <c r="B14" i="12"/>
  <c r="C14" i="12" s="1"/>
  <c r="C13" i="12"/>
  <c r="B13" i="12"/>
  <c r="C12" i="12"/>
  <c r="B12" i="12"/>
  <c r="B11" i="12"/>
  <c r="C11" i="12" s="1"/>
  <c r="B10" i="12"/>
  <c r="C9" i="12"/>
  <c r="B9" i="12"/>
  <c r="C8" i="12"/>
  <c r="B8" i="12"/>
  <c r="B7" i="12"/>
  <c r="B362" i="11"/>
  <c r="D361" i="11"/>
  <c r="B361" i="11"/>
  <c r="C361" i="11" s="1"/>
  <c r="D360" i="11"/>
  <c r="B360" i="11"/>
  <c r="B359" i="11"/>
  <c r="B358" i="11"/>
  <c r="D358" i="11" s="1"/>
  <c r="D357" i="11"/>
  <c r="C357" i="11"/>
  <c r="B357" i="11"/>
  <c r="B356" i="11"/>
  <c r="D355" i="11"/>
  <c r="C355" i="11"/>
  <c r="B355" i="11"/>
  <c r="C356" i="11" s="1"/>
  <c r="D354" i="11"/>
  <c r="B354" i="11"/>
  <c r="B353" i="11"/>
  <c r="D352" i="11"/>
  <c r="C352" i="11"/>
  <c r="B352" i="11"/>
  <c r="D351" i="11"/>
  <c r="B351" i="11"/>
  <c r="B350" i="11"/>
  <c r="D349" i="11"/>
  <c r="C349" i="11"/>
  <c r="B349" i="11"/>
  <c r="D348" i="11"/>
  <c r="B348" i="11"/>
  <c r="C347" i="11"/>
  <c r="B347" i="11"/>
  <c r="D346" i="11"/>
  <c r="C346" i="11"/>
  <c r="B346" i="11"/>
  <c r="B345" i="11"/>
  <c r="C344" i="11"/>
  <c r="B344" i="11"/>
  <c r="D343" i="11"/>
  <c r="C343" i="11"/>
  <c r="B343" i="11"/>
  <c r="B342" i="11"/>
  <c r="C341" i="11"/>
  <c r="B341" i="11"/>
  <c r="D340" i="11"/>
  <c r="C340" i="11"/>
  <c r="B340" i="11"/>
  <c r="B339" i="11"/>
  <c r="B338" i="11"/>
  <c r="C338" i="11" s="1"/>
  <c r="D337" i="11"/>
  <c r="B337" i="11"/>
  <c r="C337" i="11" s="1"/>
  <c r="B336" i="11"/>
  <c r="D336" i="11" s="1"/>
  <c r="B335" i="11"/>
  <c r="D335" i="11" s="1"/>
  <c r="C334" i="11"/>
  <c r="B334" i="11"/>
  <c r="D334" i="11" s="1"/>
  <c r="B333" i="11"/>
  <c r="C332" i="11"/>
  <c r="B332" i="11"/>
  <c r="D331" i="11"/>
  <c r="B331" i="11"/>
  <c r="B330" i="11"/>
  <c r="B329" i="11"/>
  <c r="C329" i="11" s="1"/>
  <c r="D328" i="11"/>
  <c r="B328" i="11"/>
  <c r="B327" i="11"/>
  <c r="B326" i="11"/>
  <c r="D326" i="11" s="1"/>
  <c r="D325" i="11"/>
  <c r="C325" i="11"/>
  <c r="B325" i="11"/>
  <c r="B324" i="11"/>
  <c r="D323" i="11"/>
  <c r="C323" i="11"/>
  <c r="B323" i="11"/>
  <c r="C324" i="11" s="1"/>
  <c r="B322" i="11"/>
  <c r="C322" i="11" s="1"/>
  <c r="B321" i="11"/>
  <c r="D320" i="11"/>
  <c r="C320" i="11"/>
  <c r="B320" i="11"/>
  <c r="D332" i="11" s="1"/>
  <c r="B319" i="11"/>
  <c r="B318" i="11"/>
  <c r="C317" i="11"/>
  <c r="B317" i="11"/>
  <c r="D317" i="11" s="1"/>
  <c r="B316" i="11"/>
  <c r="C315" i="11"/>
  <c r="B315" i="11"/>
  <c r="C314" i="11"/>
  <c r="B314" i="11"/>
  <c r="B313" i="11"/>
  <c r="D313" i="11" s="1"/>
  <c r="B312" i="11"/>
  <c r="D324" i="11" s="1"/>
  <c r="B311" i="11"/>
  <c r="B310" i="11"/>
  <c r="C309" i="11"/>
  <c r="B309" i="11"/>
  <c r="D309" i="11" s="1"/>
  <c r="B308" i="11"/>
  <c r="C308" i="11" s="1"/>
  <c r="C307" i="11"/>
  <c r="B307" i="11"/>
  <c r="C306" i="11"/>
  <c r="B306" i="11"/>
  <c r="B305" i="11"/>
  <c r="D305" i="11" s="1"/>
  <c r="B304" i="11"/>
  <c r="D316" i="11" s="1"/>
  <c r="B303" i="11"/>
  <c r="B302" i="11"/>
  <c r="C301" i="11"/>
  <c r="B301" i="11"/>
  <c r="D301" i="11" s="1"/>
  <c r="B300" i="11"/>
  <c r="C300" i="11" s="1"/>
  <c r="C299" i="11"/>
  <c r="B299" i="11"/>
  <c r="D299" i="11" s="1"/>
  <c r="C298" i="11"/>
  <c r="B298" i="11"/>
  <c r="B297" i="11"/>
  <c r="D297" i="11" s="1"/>
  <c r="B296" i="11"/>
  <c r="D308" i="11" s="1"/>
  <c r="B295" i="11"/>
  <c r="B294" i="11"/>
  <c r="C293" i="11"/>
  <c r="B293" i="11"/>
  <c r="D293" i="11" s="1"/>
  <c r="B292" i="11"/>
  <c r="C292" i="11" s="1"/>
  <c r="C291" i="11"/>
  <c r="B291" i="11"/>
  <c r="D291" i="11" s="1"/>
  <c r="C290" i="11"/>
  <c r="B290" i="11"/>
  <c r="B289" i="11"/>
  <c r="D289" i="11" s="1"/>
  <c r="B288" i="11"/>
  <c r="D300" i="11" s="1"/>
  <c r="B287" i="11"/>
  <c r="B286" i="11"/>
  <c r="C285" i="11"/>
  <c r="B285" i="11"/>
  <c r="D285" i="11" s="1"/>
  <c r="B284" i="11"/>
  <c r="C284" i="11" s="1"/>
  <c r="C283" i="11"/>
  <c r="B283" i="11"/>
  <c r="D283" i="11" s="1"/>
  <c r="C282" i="11"/>
  <c r="B282" i="11"/>
  <c r="B281" i="11"/>
  <c r="D281" i="11" s="1"/>
  <c r="B280" i="11"/>
  <c r="D292" i="11" s="1"/>
  <c r="B279" i="11"/>
  <c r="B278" i="11"/>
  <c r="C277" i="11"/>
  <c r="B277" i="11"/>
  <c r="D277" i="11" s="1"/>
  <c r="B276" i="11"/>
  <c r="C276" i="11" s="1"/>
  <c r="C275" i="11"/>
  <c r="B275" i="11"/>
  <c r="D275" i="11" s="1"/>
  <c r="C274" i="11"/>
  <c r="B274" i="11"/>
  <c r="B273" i="11"/>
  <c r="B272" i="11"/>
  <c r="D284" i="11" s="1"/>
  <c r="B271" i="11"/>
  <c r="B270" i="11"/>
  <c r="C269" i="11"/>
  <c r="B269" i="11"/>
  <c r="D269" i="11" s="1"/>
  <c r="B268" i="11"/>
  <c r="C268" i="11" s="1"/>
  <c r="C267" i="11"/>
  <c r="B267" i="11"/>
  <c r="D267" i="11" s="1"/>
  <c r="C266" i="11"/>
  <c r="B266" i="11"/>
  <c r="B265" i="11"/>
  <c r="B264" i="11"/>
  <c r="D276" i="11" s="1"/>
  <c r="B263" i="11"/>
  <c r="B262" i="11"/>
  <c r="B261" i="11"/>
  <c r="D261" i="11" s="1"/>
  <c r="B260" i="11"/>
  <c r="C260" i="11" s="1"/>
  <c r="C259" i="11"/>
  <c r="B259" i="11"/>
  <c r="D259" i="11" s="1"/>
  <c r="C258" i="11"/>
  <c r="B258" i="11"/>
  <c r="B257" i="11"/>
  <c r="B256" i="11"/>
  <c r="D268" i="11" s="1"/>
  <c r="B255" i="11"/>
  <c r="B254" i="11"/>
  <c r="B253" i="11"/>
  <c r="D253" i="11" s="1"/>
  <c r="B252" i="11"/>
  <c r="C252" i="11" s="1"/>
  <c r="C251" i="11"/>
  <c r="B251" i="11"/>
  <c r="D251" i="11" s="1"/>
  <c r="C250" i="11"/>
  <c r="B250" i="11"/>
  <c r="B249" i="11"/>
  <c r="B248" i="11"/>
  <c r="D260" i="11" s="1"/>
  <c r="B247" i="11"/>
  <c r="B246" i="11"/>
  <c r="B245" i="11"/>
  <c r="D245" i="11" s="1"/>
  <c r="B244" i="11"/>
  <c r="C244" i="11" s="1"/>
  <c r="C243" i="11"/>
  <c r="B243" i="11"/>
  <c r="D243" i="11" s="1"/>
  <c r="C242" i="11"/>
  <c r="B242" i="11"/>
  <c r="B241" i="11"/>
  <c r="B240" i="11"/>
  <c r="D252" i="11" s="1"/>
  <c r="B239" i="11"/>
  <c r="B238" i="11"/>
  <c r="B237" i="11"/>
  <c r="D237" i="11" s="1"/>
  <c r="B236" i="11"/>
  <c r="C236" i="11" s="1"/>
  <c r="C235" i="11"/>
  <c r="B235" i="11"/>
  <c r="D235" i="11" s="1"/>
  <c r="C234" i="11"/>
  <c r="B234" i="11"/>
  <c r="B233" i="11"/>
  <c r="B232" i="11"/>
  <c r="D244" i="11" s="1"/>
  <c r="B231" i="11"/>
  <c r="B230" i="11"/>
  <c r="B229" i="11"/>
  <c r="D229" i="11" s="1"/>
  <c r="B228" i="11"/>
  <c r="C228" i="11" s="1"/>
  <c r="C227" i="11"/>
  <c r="B227" i="11"/>
  <c r="D227" i="11" s="1"/>
  <c r="C226" i="11"/>
  <c r="B226" i="11"/>
  <c r="B225" i="11"/>
  <c r="B224" i="11"/>
  <c r="D236" i="11" s="1"/>
  <c r="B223" i="11"/>
  <c r="B222" i="11"/>
  <c r="B221" i="11"/>
  <c r="D221" i="11" s="1"/>
  <c r="B220" i="11"/>
  <c r="C220" i="11" s="1"/>
  <c r="C219" i="11"/>
  <c r="B219" i="11"/>
  <c r="D219" i="11" s="1"/>
  <c r="C218" i="11"/>
  <c r="B218" i="11"/>
  <c r="B217" i="11"/>
  <c r="B216" i="11"/>
  <c r="D228" i="11" s="1"/>
  <c r="B215" i="11"/>
  <c r="B214" i="11"/>
  <c r="B213" i="11"/>
  <c r="D213" i="11" s="1"/>
  <c r="B212" i="11"/>
  <c r="C212" i="11" s="1"/>
  <c r="C211" i="11"/>
  <c r="B211" i="11"/>
  <c r="D211" i="11" s="1"/>
  <c r="C210" i="11"/>
  <c r="B210" i="11"/>
  <c r="B209" i="11"/>
  <c r="B208" i="11"/>
  <c r="D220" i="11" s="1"/>
  <c r="B207" i="11"/>
  <c r="B206" i="11"/>
  <c r="B205" i="11"/>
  <c r="D205" i="11" s="1"/>
  <c r="B204" i="11"/>
  <c r="C204" i="11" s="1"/>
  <c r="C203" i="11"/>
  <c r="B203" i="11"/>
  <c r="D203" i="11" s="1"/>
  <c r="C202" i="11"/>
  <c r="B202" i="11"/>
  <c r="B201" i="11"/>
  <c r="B200" i="11"/>
  <c r="D212" i="11" s="1"/>
  <c r="B199" i="11"/>
  <c r="B198" i="11"/>
  <c r="B197" i="11"/>
  <c r="D197" i="11" s="1"/>
  <c r="B196" i="11"/>
  <c r="C196" i="11" s="1"/>
  <c r="C195" i="11"/>
  <c r="B195" i="11"/>
  <c r="D195" i="11" s="1"/>
  <c r="C194" i="11"/>
  <c r="B194" i="11"/>
  <c r="B193" i="11"/>
  <c r="B192" i="11"/>
  <c r="D204" i="11" s="1"/>
  <c r="B191" i="11"/>
  <c r="B190" i="11"/>
  <c r="B189" i="11"/>
  <c r="D189" i="11" s="1"/>
  <c r="B188" i="11"/>
  <c r="C188" i="11" s="1"/>
  <c r="C187" i="11"/>
  <c r="B187" i="11"/>
  <c r="D187" i="11" s="1"/>
  <c r="C186" i="11"/>
  <c r="B186" i="11"/>
  <c r="B185" i="11"/>
  <c r="B184" i="11"/>
  <c r="D196" i="11" s="1"/>
  <c r="B183" i="11"/>
  <c r="B182" i="11"/>
  <c r="B181" i="11"/>
  <c r="D181" i="11" s="1"/>
  <c r="B180" i="11"/>
  <c r="C180" i="11" s="1"/>
  <c r="C179" i="11"/>
  <c r="B179" i="11"/>
  <c r="D179" i="11" s="1"/>
  <c r="C178" i="11"/>
  <c r="B178" i="11"/>
  <c r="B177" i="11"/>
  <c r="B176" i="11"/>
  <c r="D188" i="11" s="1"/>
  <c r="B175" i="11"/>
  <c r="B174" i="11"/>
  <c r="B173" i="11"/>
  <c r="D173" i="11" s="1"/>
  <c r="B172" i="11"/>
  <c r="C172" i="11" s="1"/>
  <c r="C171" i="11"/>
  <c r="B171" i="11"/>
  <c r="D171" i="11" s="1"/>
  <c r="C170" i="11"/>
  <c r="B170" i="11"/>
  <c r="B169" i="11"/>
  <c r="B168" i="11"/>
  <c r="D180" i="11" s="1"/>
  <c r="B167" i="11"/>
  <c r="B166" i="11"/>
  <c r="B165" i="11"/>
  <c r="D165" i="11" s="1"/>
  <c r="B164" i="11"/>
  <c r="C164" i="11" s="1"/>
  <c r="C163" i="11"/>
  <c r="B163" i="11"/>
  <c r="D163" i="11" s="1"/>
  <c r="C162" i="11"/>
  <c r="B162" i="11"/>
  <c r="B161" i="11"/>
  <c r="B160" i="11"/>
  <c r="D172" i="11" s="1"/>
  <c r="B159" i="11"/>
  <c r="B158" i="11"/>
  <c r="B157" i="11"/>
  <c r="D157" i="11" s="1"/>
  <c r="B156" i="11"/>
  <c r="C156" i="11" s="1"/>
  <c r="C155" i="11"/>
  <c r="B155" i="11"/>
  <c r="D155" i="11" s="1"/>
  <c r="C154" i="11"/>
  <c r="B154" i="11"/>
  <c r="B153" i="11"/>
  <c r="B152" i="11"/>
  <c r="D164" i="11" s="1"/>
  <c r="B151" i="11"/>
  <c r="B150" i="11"/>
  <c r="B149" i="11"/>
  <c r="D149" i="11" s="1"/>
  <c r="B148" i="11"/>
  <c r="C148" i="11" s="1"/>
  <c r="C147" i="11"/>
  <c r="B147" i="11"/>
  <c r="D147" i="11" s="1"/>
  <c r="C146" i="11"/>
  <c r="B146" i="11"/>
  <c r="B145" i="11"/>
  <c r="B144" i="11"/>
  <c r="D156" i="11" s="1"/>
  <c r="B143" i="11"/>
  <c r="B142" i="11"/>
  <c r="B141" i="11"/>
  <c r="D141" i="11" s="1"/>
  <c r="B140" i="11"/>
  <c r="C140" i="11" s="1"/>
  <c r="C139" i="11"/>
  <c r="B139" i="11"/>
  <c r="D139" i="11" s="1"/>
  <c r="C138" i="11"/>
  <c r="B138" i="11"/>
  <c r="B137" i="11"/>
  <c r="B136" i="11"/>
  <c r="D148" i="11" s="1"/>
  <c r="B135" i="11"/>
  <c r="B134" i="11"/>
  <c r="B133" i="11"/>
  <c r="D133" i="11" s="1"/>
  <c r="B132" i="11"/>
  <c r="C132" i="11" s="1"/>
  <c r="C131" i="11"/>
  <c r="B131" i="11"/>
  <c r="D131" i="11" s="1"/>
  <c r="C130" i="11"/>
  <c r="B130" i="11"/>
  <c r="B129" i="11"/>
  <c r="B128" i="11"/>
  <c r="D140" i="11" s="1"/>
  <c r="B127" i="11"/>
  <c r="B126" i="11"/>
  <c r="B125" i="11"/>
  <c r="D125" i="11" s="1"/>
  <c r="B124" i="11"/>
  <c r="C124" i="11" s="1"/>
  <c r="C123" i="11"/>
  <c r="B123" i="11"/>
  <c r="D123" i="11" s="1"/>
  <c r="C122" i="11"/>
  <c r="B122" i="11"/>
  <c r="B121" i="11"/>
  <c r="B120" i="11"/>
  <c r="D132" i="11" s="1"/>
  <c r="B119" i="11"/>
  <c r="B118" i="11"/>
  <c r="B117" i="11"/>
  <c r="D117" i="11" s="1"/>
  <c r="B116" i="11"/>
  <c r="C116" i="11" s="1"/>
  <c r="C115" i="11"/>
  <c r="B115" i="11"/>
  <c r="D115" i="11" s="1"/>
  <c r="C114" i="11"/>
  <c r="B114" i="11"/>
  <c r="B113" i="11"/>
  <c r="B112" i="11"/>
  <c r="D124" i="11" s="1"/>
  <c r="B111" i="11"/>
  <c r="B110" i="11"/>
  <c r="B109" i="11"/>
  <c r="D109" i="11" s="1"/>
  <c r="B108" i="11"/>
  <c r="C108" i="11" s="1"/>
  <c r="C107" i="11"/>
  <c r="B107" i="11"/>
  <c r="D107" i="11" s="1"/>
  <c r="C106" i="11"/>
  <c r="B106" i="11"/>
  <c r="B105" i="11"/>
  <c r="B104" i="11"/>
  <c r="B103" i="11"/>
  <c r="B102" i="11"/>
  <c r="B101" i="11"/>
  <c r="D101" i="11" s="1"/>
  <c r="B100" i="11"/>
  <c r="C100" i="11" s="1"/>
  <c r="C99" i="11"/>
  <c r="B99" i="11"/>
  <c r="D99" i="11" s="1"/>
  <c r="C98" i="11"/>
  <c r="B98" i="11"/>
  <c r="B97" i="11"/>
  <c r="B96" i="11"/>
  <c r="B95" i="11"/>
  <c r="B94" i="11"/>
  <c r="B93" i="11"/>
  <c r="D93" i="11" s="1"/>
  <c r="B92" i="11"/>
  <c r="C92" i="11" s="1"/>
  <c r="C91" i="11"/>
  <c r="B91" i="11"/>
  <c r="D91" i="11" s="1"/>
  <c r="C90" i="11"/>
  <c r="B90" i="11"/>
  <c r="B89" i="11"/>
  <c r="B88" i="11"/>
  <c r="B87" i="11"/>
  <c r="B86" i="11"/>
  <c r="B85" i="11"/>
  <c r="D85" i="11" s="1"/>
  <c r="B84" i="11"/>
  <c r="C84" i="11" s="1"/>
  <c r="C83" i="11"/>
  <c r="B83" i="11"/>
  <c r="D83" i="11" s="1"/>
  <c r="C82" i="11"/>
  <c r="B82" i="11"/>
  <c r="B81" i="11"/>
  <c r="B80" i="11"/>
  <c r="B79" i="11"/>
  <c r="B78" i="11"/>
  <c r="B77" i="11"/>
  <c r="D77" i="11" s="1"/>
  <c r="B76" i="11"/>
  <c r="C76" i="11" s="1"/>
  <c r="C75" i="11"/>
  <c r="B75" i="11"/>
  <c r="D75" i="11" s="1"/>
  <c r="C74" i="11"/>
  <c r="B74" i="11"/>
  <c r="B73" i="11"/>
  <c r="B72" i="11"/>
  <c r="B71" i="11"/>
  <c r="B70" i="11"/>
  <c r="B69" i="11"/>
  <c r="D69" i="11" s="1"/>
  <c r="B68" i="11"/>
  <c r="C68" i="11" s="1"/>
  <c r="C67" i="11"/>
  <c r="B67" i="11"/>
  <c r="D67" i="11" s="1"/>
  <c r="C66" i="11"/>
  <c r="B66" i="11"/>
  <c r="B65" i="11"/>
  <c r="B64" i="11"/>
  <c r="B63" i="11"/>
  <c r="B62" i="11"/>
  <c r="B61" i="11"/>
  <c r="D61" i="11" s="1"/>
  <c r="B60" i="11"/>
  <c r="C60" i="11" s="1"/>
  <c r="C59" i="11"/>
  <c r="B59" i="11"/>
  <c r="D59" i="11" s="1"/>
  <c r="C58" i="11"/>
  <c r="B58" i="11"/>
  <c r="B57" i="11"/>
  <c r="B56" i="11"/>
  <c r="B55" i="11"/>
  <c r="B54" i="11"/>
  <c r="B53" i="11"/>
  <c r="B52" i="11"/>
  <c r="C52" i="11" s="1"/>
  <c r="C51" i="11"/>
  <c r="B51" i="11"/>
  <c r="D51" i="11" s="1"/>
  <c r="C50" i="11"/>
  <c r="B50" i="11"/>
  <c r="B49" i="11"/>
  <c r="B48" i="11"/>
  <c r="B47" i="11"/>
  <c r="B46" i="11"/>
  <c r="B45" i="11"/>
  <c r="B44" i="11"/>
  <c r="C44" i="11" s="1"/>
  <c r="C43" i="11"/>
  <c r="B43" i="11"/>
  <c r="D43" i="11" s="1"/>
  <c r="C42" i="11"/>
  <c r="B42" i="11"/>
  <c r="B41" i="11"/>
  <c r="D40" i="11"/>
  <c r="B40" i="11"/>
  <c r="D39" i="11"/>
  <c r="B39" i="11"/>
  <c r="B38" i="11"/>
  <c r="B37" i="11"/>
  <c r="B36" i="11"/>
  <c r="C36" i="11" s="1"/>
  <c r="C35" i="11"/>
  <c r="B35" i="11"/>
  <c r="D35" i="11" s="1"/>
  <c r="D34" i="11"/>
  <c r="C34" i="11"/>
  <c r="B34" i="11"/>
  <c r="B33" i="11"/>
  <c r="D33" i="11" s="1"/>
  <c r="B32" i="11"/>
  <c r="D31" i="11"/>
  <c r="B31" i="11"/>
  <c r="B30" i="11"/>
  <c r="B29" i="11"/>
  <c r="D28" i="11"/>
  <c r="B28" i="11"/>
  <c r="C28" i="11" s="1"/>
  <c r="C27" i="11"/>
  <c r="B27" i="11"/>
  <c r="D26" i="11"/>
  <c r="C26" i="11"/>
  <c r="B26" i="11"/>
  <c r="B25" i="11"/>
  <c r="D25" i="11" s="1"/>
  <c r="D24" i="11"/>
  <c r="C24" i="11"/>
  <c r="B24" i="11"/>
  <c r="D36" i="11" s="1"/>
  <c r="B23" i="11"/>
  <c r="B22" i="11"/>
  <c r="D21" i="11"/>
  <c r="C21" i="11"/>
  <c r="B21" i="11"/>
  <c r="D20" i="11"/>
  <c r="B20" i="11"/>
  <c r="C20" i="11" s="1"/>
  <c r="B19" i="11"/>
  <c r="B18" i="11"/>
  <c r="C18" i="11" s="1"/>
  <c r="C17" i="11"/>
  <c r="B17" i="11"/>
  <c r="B16" i="11"/>
  <c r="C16" i="11" s="1"/>
  <c r="C15" i="11"/>
  <c r="B15" i="11"/>
  <c r="C14" i="11"/>
  <c r="B14" i="11"/>
  <c r="C13" i="11"/>
  <c r="B13" i="11"/>
  <c r="B12" i="11"/>
  <c r="C12" i="11" s="1"/>
  <c r="C11" i="11"/>
  <c r="B11" i="11"/>
  <c r="D23" i="11" s="1"/>
  <c r="B10" i="11"/>
  <c r="C10" i="11" s="1"/>
  <c r="C9" i="11"/>
  <c r="B9" i="11"/>
  <c r="B8" i="11"/>
  <c r="C8" i="11" s="1"/>
  <c r="B7" i="11"/>
  <c r="D362" i="10"/>
  <c r="C362" i="10"/>
  <c r="B362" i="10"/>
  <c r="B361" i="10"/>
  <c r="B360" i="10"/>
  <c r="D360" i="10" s="1"/>
  <c r="D359" i="10"/>
  <c r="C359" i="10"/>
  <c r="B359" i="10"/>
  <c r="B358" i="10"/>
  <c r="D358" i="10" s="1"/>
  <c r="D357" i="10"/>
  <c r="C357" i="10"/>
  <c r="B357" i="10"/>
  <c r="B356" i="10"/>
  <c r="B355" i="10"/>
  <c r="D354" i="10"/>
  <c r="C354" i="10"/>
  <c r="B354" i="10"/>
  <c r="B353" i="10"/>
  <c r="B352" i="10"/>
  <c r="D352" i="10" s="1"/>
  <c r="D351" i="10"/>
  <c r="C351" i="10"/>
  <c r="B351" i="10"/>
  <c r="B350" i="10"/>
  <c r="D350" i="10" s="1"/>
  <c r="D349" i="10"/>
  <c r="C349" i="10"/>
  <c r="B349" i="10"/>
  <c r="D361" i="10" s="1"/>
  <c r="B348" i="10"/>
  <c r="B347" i="10"/>
  <c r="D346" i="10"/>
  <c r="C346" i="10"/>
  <c r="B346" i="10"/>
  <c r="B345" i="10"/>
  <c r="B344" i="10"/>
  <c r="D344" i="10" s="1"/>
  <c r="D343" i="10"/>
  <c r="C343" i="10"/>
  <c r="B343" i="10"/>
  <c r="B342" i="10"/>
  <c r="D342" i="10" s="1"/>
  <c r="D341" i="10"/>
  <c r="C341" i="10"/>
  <c r="B341" i="10"/>
  <c r="D353" i="10" s="1"/>
  <c r="B340" i="10"/>
  <c r="B339" i="10"/>
  <c r="D338" i="10"/>
  <c r="C338" i="10"/>
  <c r="B338" i="10"/>
  <c r="B337" i="10"/>
  <c r="B336" i="10"/>
  <c r="D336" i="10" s="1"/>
  <c r="D335" i="10"/>
  <c r="C335" i="10"/>
  <c r="B335" i="10"/>
  <c r="B334" i="10"/>
  <c r="D334" i="10" s="1"/>
  <c r="D333" i="10"/>
  <c r="C333" i="10"/>
  <c r="B333" i="10"/>
  <c r="D345" i="10" s="1"/>
  <c r="B332" i="10"/>
  <c r="B331" i="10"/>
  <c r="D330" i="10"/>
  <c r="C330" i="10"/>
  <c r="B330" i="10"/>
  <c r="B329" i="10"/>
  <c r="B328" i="10"/>
  <c r="D328" i="10" s="1"/>
  <c r="D327" i="10"/>
  <c r="C327" i="10"/>
  <c r="B327" i="10"/>
  <c r="B326" i="10"/>
  <c r="D326" i="10" s="1"/>
  <c r="D325" i="10"/>
  <c r="C325" i="10"/>
  <c r="B325" i="10"/>
  <c r="D337" i="10" s="1"/>
  <c r="B324" i="10"/>
  <c r="B323" i="10"/>
  <c r="D322" i="10"/>
  <c r="C322" i="10"/>
  <c r="B322" i="10"/>
  <c r="B321" i="10"/>
  <c r="B320" i="10"/>
  <c r="D320" i="10" s="1"/>
  <c r="D319" i="10"/>
  <c r="C319" i="10"/>
  <c r="B319" i="10"/>
  <c r="B318" i="10"/>
  <c r="D318" i="10" s="1"/>
  <c r="D317" i="10"/>
  <c r="C317" i="10"/>
  <c r="B317" i="10"/>
  <c r="D329" i="10" s="1"/>
  <c r="B316" i="10"/>
  <c r="B315" i="10"/>
  <c r="D314" i="10"/>
  <c r="C314" i="10"/>
  <c r="B314" i="10"/>
  <c r="B313" i="10"/>
  <c r="B312" i="10"/>
  <c r="D312" i="10" s="1"/>
  <c r="D311" i="10"/>
  <c r="C311" i="10"/>
  <c r="B311" i="10"/>
  <c r="B310" i="10"/>
  <c r="D310" i="10" s="1"/>
  <c r="D309" i="10"/>
  <c r="C309" i="10"/>
  <c r="B309" i="10"/>
  <c r="D321" i="10" s="1"/>
  <c r="B308" i="10"/>
  <c r="B307" i="10"/>
  <c r="D306" i="10"/>
  <c r="C306" i="10"/>
  <c r="B306" i="10"/>
  <c r="B305" i="10"/>
  <c r="B304" i="10"/>
  <c r="D304" i="10" s="1"/>
  <c r="D303" i="10"/>
  <c r="C303" i="10"/>
  <c r="B303" i="10"/>
  <c r="B302" i="10"/>
  <c r="D302" i="10" s="1"/>
  <c r="D301" i="10"/>
  <c r="C301" i="10"/>
  <c r="B301" i="10"/>
  <c r="D313" i="10" s="1"/>
  <c r="B300" i="10"/>
  <c r="B299" i="10"/>
  <c r="D298" i="10"/>
  <c r="C298" i="10"/>
  <c r="B298" i="10"/>
  <c r="B297" i="10"/>
  <c r="B296" i="10"/>
  <c r="D296" i="10" s="1"/>
  <c r="D295" i="10"/>
  <c r="C295" i="10"/>
  <c r="B295" i="10"/>
  <c r="B294" i="10"/>
  <c r="D294" i="10" s="1"/>
  <c r="D293" i="10"/>
  <c r="C293" i="10"/>
  <c r="B293" i="10"/>
  <c r="D305" i="10" s="1"/>
  <c r="B292" i="10"/>
  <c r="B291" i="10"/>
  <c r="D290" i="10"/>
  <c r="C290" i="10"/>
  <c r="B290" i="10"/>
  <c r="B289" i="10"/>
  <c r="B288" i="10"/>
  <c r="D288" i="10" s="1"/>
  <c r="D287" i="10"/>
  <c r="C287" i="10"/>
  <c r="B287" i="10"/>
  <c r="B286" i="10"/>
  <c r="D286" i="10" s="1"/>
  <c r="D285" i="10"/>
  <c r="C285" i="10"/>
  <c r="B285" i="10"/>
  <c r="D297" i="10" s="1"/>
  <c r="B284" i="10"/>
  <c r="B283" i="10"/>
  <c r="D282" i="10"/>
  <c r="C282" i="10"/>
  <c r="B282" i="10"/>
  <c r="B281" i="10"/>
  <c r="B280" i="10"/>
  <c r="D280" i="10" s="1"/>
  <c r="D279" i="10"/>
  <c r="C279" i="10"/>
  <c r="B279" i="10"/>
  <c r="B278" i="10"/>
  <c r="D278" i="10" s="1"/>
  <c r="D277" i="10"/>
  <c r="C277" i="10"/>
  <c r="B277" i="10"/>
  <c r="D289" i="10" s="1"/>
  <c r="B276" i="10"/>
  <c r="B275" i="10"/>
  <c r="D274" i="10"/>
  <c r="C274" i="10"/>
  <c r="B274" i="10"/>
  <c r="B273" i="10"/>
  <c r="B272" i="10"/>
  <c r="D272" i="10" s="1"/>
  <c r="D271" i="10"/>
  <c r="C271" i="10"/>
  <c r="B271" i="10"/>
  <c r="B270" i="10"/>
  <c r="D270" i="10" s="1"/>
  <c r="D269" i="10"/>
  <c r="C269" i="10"/>
  <c r="B269" i="10"/>
  <c r="D281" i="10" s="1"/>
  <c r="D268" i="10"/>
  <c r="B268" i="10"/>
  <c r="B267" i="10"/>
  <c r="D266" i="10"/>
  <c r="C266" i="10"/>
  <c r="B266" i="10"/>
  <c r="B265" i="10"/>
  <c r="B264" i="10"/>
  <c r="D263" i="10"/>
  <c r="C263" i="10"/>
  <c r="B263" i="10"/>
  <c r="B262" i="10"/>
  <c r="D262" i="10" s="1"/>
  <c r="D261" i="10"/>
  <c r="C261" i="10"/>
  <c r="B261" i="10"/>
  <c r="D273" i="10" s="1"/>
  <c r="D260" i="10"/>
  <c r="B260" i="10"/>
  <c r="B259" i="10"/>
  <c r="D258" i="10"/>
  <c r="C258" i="10"/>
  <c r="B258" i="10"/>
  <c r="B257" i="10"/>
  <c r="B256" i="10"/>
  <c r="D255" i="10"/>
  <c r="C255" i="10"/>
  <c r="B255" i="10"/>
  <c r="B254" i="10"/>
  <c r="D254" i="10" s="1"/>
  <c r="D253" i="10"/>
  <c r="C253" i="10"/>
  <c r="B253" i="10"/>
  <c r="D265" i="10" s="1"/>
  <c r="D252" i="10"/>
  <c r="B252" i="10"/>
  <c r="B251" i="10"/>
  <c r="D250" i="10"/>
  <c r="C250" i="10"/>
  <c r="B250" i="10"/>
  <c r="B249" i="10"/>
  <c r="B248" i="10"/>
  <c r="D247" i="10"/>
  <c r="C247" i="10"/>
  <c r="B247" i="10"/>
  <c r="B246" i="10"/>
  <c r="D246" i="10" s="1"/>
  <c r="D245" i="10"/>
  <c r="C245" i="10"/>
  <c r="B245" i="10"/>
  <c r="D257" i="10" s="1"/>
  <c r="B244" i="10"/>
  <c r="B243" i="10"/>
  <c r="D242" i="10"/>
  <c r="C242" i="10"/>
  <c r="B242" i="10"/>
  <c r="B241" i="10"/>
  <c r="B240" i="10"/>
  <c r="D239" i="10"/>
  <c r="C239" i="10"/>
  <c r="B239" i="10"/>
  <c r="B238" i="10"/>
  <c r="D238" i="10" s="1"/>
  <c r="D237" i="10"/>
  <c r="C237" i="10"/>
  <c r="B237" i="10"/>
  <c r="D249" i="10" s="1"/>
  <c r="B236" i="10"/>
  <c r="B235" i="10"/>
  <c r="D234" i="10"/>
  <c r="C234" i="10"/>
  <c r="B234" i="10"/>
  <c r="B233" i="10"/>
  <c r="B232" i="10"/>
  <c r="C231" i="10"/>
  <c r="B231" i="10"/>
  <c r="B230" i="10"/>
  <c r="D230" i="10" s="1"/>
  <c r="D229" i="10"/>
  <c r="C229" i="10"/>
  <c r="B229" i="10"/>
  <c r="D241" i="10" s="1"/>
  <c r="B228" i="10"/>
  <c r="B227" i="10"/>
  <c r="D226" i="10"/>
  <c r="C226" i="10"/>
  <c r="B226" i="10"/>
  <c r="B225" i="10"/>
  <c r="B224" i="10"/>
  <c r="C223" i="10"/>
  <c r="B223" i="10"/>
  <c r="B222" i="10"/>
  <c r="D222" i="10" s="1"/>
  <c r="D221" i="10"/>
  <c r="C221" i="10"/>
  <c r="B221" i="10"/>
  <c r="D233" i="10" s="1"/>
  <c r="B220" i="10"/>
  <c r="B219" i="10"/>
  <c r="D218" i="10"/>
  <c r="C218" i="10"/>
  <c r="B218" i="10"/>
  <c r="B217" i="10"/>
  <c r="B216" i="10"/>
  <c r="D228" i="10" s="1"/>
  <c r="C215" i="10"/>
  <c r="B215" i="10"/>
  <c r="B214" i="10"/>
  <c r="D214" i="10" s="1"/>
  <c r="D213" i="10"/>
  <c r="C213" i="10"/>
  <c r="B213" i="10"/>
  <c r="D225" i="10" s="1"/>
  <c r="B212" i="10"/>
  <c r="B211" i="10"/>
  <c r="D210" i="10"/>
  <c r="C210" i="10"/>
  <c r="B210" i="10"/>
  <c r="B209" i="10"/>
  <c r="B208" i="10"/>
  <c r="D220" i="10" s="1"/>
  <c r="C207" i="10"/>
  <c r="B207" i="10"/>
  <c r="B206" i="10"/>
  <c r="D206" i="10" s="1"/>
  <c r="D205" i="10"/>
  <c r="C205" i="10"/>
  <c r="B205" i="10"/>
  <c r="D217" i="10" s="1"/>
  <c r="D204" i="10"/>
  <c r="B204" i="10"/>
  <c r="B203" i="10"/>
  <c r="D202" i="10"/>
  <c r="C202" i="10"/>
  <c r="B202" i="10"/>
  <c r="B201" i="10"/>
  <c r="B200" i="10"/>
  <c r="D212" i="10" s="1"/>
  <c r="C199" i="10"/>
  <c r="B199" i="10"/>
  <c r="B198" i="10"/>
  <c r="D198" i="10" s="1"/>
  <c r="D197" i="10"/>
  <c r="C197" i="10"/>
  <c r="B197" i="10"/>
  <c r="D209" i="10" s="1"/>
  <c r="D196" i="10"/>
  <c r="B196" i="10"/>
  <c r="B195" i="10"/>
  <c r="D194" i="10"/>
  <c r="C194" i="10"/>
  <c r="B194" i="10"/>
  <c r="B193" i="10"/>
  <c r="B192" i="10"/>
  <c r="C191" i="10"/>
  <c r="B191" i="10"/>
  <c r="B190" i="10"/>
  <c r="D190" i="10" s="1"/>
  <c r="D189" i="10"/>
  <c r="C189" i="10"/>
  <c r="B189" i="10"/>
  <c r="D201" i="10" s="1"/>
  <c r="D188" i="10"/>
  <c r="B188" i="10"/>
  <c r="B187" i="10"/>
  <c r="D186" i="10"/>
  <c r="C186" i="10"/>
  <c r="B186" i="10"/>
  <c r="B185" i="10"/>
  <c r="B184" i="10"/>
  <c r="C183" i="10"/>
  <c r="B183" i="10"/>
  <c r="B182" i="10"/>
  <c r="D182" i="10" s="1"/>
  <c r="D181" i="10"/>
  <c r="C181" i="10"/>
  <c r="B181" i="10"/>
  <c r="D193" i="10" s="1"/>
  <c r="B180" i="10"/>
  <c r="B179" i="10"/>
  <c r="D178" i="10"/>
  <c r="C178" i="10"/>
  <c r="B178" i="10"/>
  <c r="B177" i="10"/>
  <c r="B176" i="10"/>
  <c r="C175" i="10"/>
  <c r="B175" i="10"/>
  <c r="B174" i="10"/>
  <c r="D174" i="10" s="1"/>
  <c r="D173" i="10"/>
  <c r="C173" i="10"/>
  <c r="B173" i="10"/>
  <c r="D185" i="10" s="1"/>
  <c r="B172" i="10"/>
  <c r="B171" i="10"/>
  <c r="D170" i="10"/>
  <c r="C170" i="10"/>
  <c r="B170" i="10"/>
  <c r="B169" i="10"/>
  <c r="B168" i="10"/>
  <c r="C167" i="10"/>
  <c r="B167" i="10"/>
  <c r="B166" i="10"/>
  <c r="D166" i="10" s="1"/>
  <c r="D165" i="10"/>
  <c r="C165" i="10"/>
  <c r="B165" i="10"/>
  <c r="D177" i="10" s="1"/>
  <c r="B164" i="10"/>
  <c r="B163" i="10"/>
  <c r="D162" i="10"/>
  <c r="C162" i="10"/>
  <c r="B162" i="10"/>
  <c r="B161" i="10"/>
  <c r="B160" i="10"/>
  <c r="C159" i="10"/>
  <c r="B159" i="10"/>
  <c r="B158" i="10"/>
  <c r="D158" i="10" s="1"/>
  <c r="D157" i="10"/>
  <c r="C157" i="10"/>
  <c r="B157" i="10"/>
  <c r="D169" i="10" s="1"/>
  <c r="B156" i="10"/>
  <c r="B155" i="10"/>
  <c r="D154" i="10"/>
  <c r="C154" i="10"/>
  <c r="B154" i="10"/>
  <c r="B153" i="10"/>
  <c r="B152" i="10"/>
  <c r="D164" i="10" s="1"/>
  <c r="C151" i="10"/>
  <c r="B151" i="10"/>
  <c r="B150" i="10"/>
  <c r="D150" i="10" s="1"/>
  <c r="D149" i="10"/>
  <c r="C149" i="10"/>
  <c r="B149" i="10"/>
  <c r="D161" i="10" s="1"/>
  <c r="B148" i="10"/>
  <c r="B147" i="10"/>
  <c r="D146" i="10"/>
  <c r="C146" i="10"/>
  <c r="B146" i="10"/>
  <c r="B145" i="10"/>
  <c r="B144" i="10"/>
  <c r="D156" i="10" s="1"/>
  <c r="C143" i="10"/>
  <c r="B143" i="10"/>
  <c r="B142" i="10"/>
  <c r="D142" i="10" s="1"/>
  <c r="D141" i="10"/>
  <c r="C141" i="10"/>
  <c r="B141" i="10"/>
  <c r="D153" i="10" s="1"/>
  <c r="D140" i="10"/>
  <c r="B140" i="10"/>
  <c r="B139" i="10"/>
  <c r="D138" i="10"/>
  <c r="C138" i="10"/>
  <c r="B138" i="10"/>
  <c r="B137" i="10"/>
  <c r="B136" i="10"/>
  <c r="D148" i="10" s="1"/>
  <c r="D135" i="10"/>
  <c r="C135" i="10"/>
  <c r="B135" i="10"/>
  <c r="B134" i="10"/>
  <c r="D133" i="10"/>
  <c r="C133" i="10"/>
  <c r="B133" i="10"/>
  <c r="D145" i="10" s="1"/>
  <c r="D132" i="10"/>
  <c r="C132" i="10"/>
  <c r="B132" i="10"/>
  <c r="B131" i="10"/>
  <c r="D130" i="10"/>
  <c r="B130" i="10"/>
  <c r="C130" i="10" s="1"/>
  <c r="B129" i="10"/>
  <c r="B128" i="10"/>
  <c r="D128" i="10" s="1"/>
  <c r="D127" i="10"/>
  <c r="C127" i="10"/>
  <c r="B127" i="10"/>
  <c r="B126" i="10"/>
  <c r="B125" i="10"/>
  <c r="D124" i="10"/>
  <c r="C124" i="10"/>
  <c r="B124" i="10"/>
  <c r="B123" i="10"/>
  <c r="B122" i="10"/>
  <c r="D121" i="10"/>
  <c r="B121" i="10"/>
  <c r="C121" i="10" s="1"/>
  <c r="C120" i="10"/>
  <c r="B120" i="10"/>
  <c r="D120" i="10" s="1"/>
  <c r="C119" i="10"/>
  <c r="B119" i="10"/>
  <c r="B118" i="10"/>
  <c r="D118" i="10" s="1"/>
  <c r="D117" i="10"/>
  <c r="C117" i="10"/>
  <c r="B117" i="10"/>
  <c r="D129" i="10" s="1"/>
  <c r="C116" i="10"/>
  <c r="B116" i="10"/>
  <c r="B115" i="10"/>
  <c r="D114" i="10"/>
  <c r="B114" i="10"/>
  <c r="C114" i="10" s="1"/>
  <c r="D113" i="10"/>
  <c r="B113" i="10"/>
  <c r="C113" i="10" s="1"/>
  <c r="B112" i="10"/>
  <c r="D112" i="10" s="1"/>
  <c r="B111" i="10"/>
  <c r="D111" i="10" s="1"/>
  <c r="B110" i="10"/>
  <c r="D110" i="10" s="1"/>
  <c r="D109" i="10"/>
  <c r="C109" i="10"/>
  <c r="B109" i="10"/>
  <c r="B108" i="10"/>
  <c r="B107" i="10"/>
  <c r="D106" i="10"/>
  <c r="C106" i="10"/>
  <c r="B106" i="10"/>
  <c r="B105" i="10"/>
  <c r="B104" i="10"/>
  <c r="D103" i="10"/>
  <c r="B103" i="10"/>
  <c r="C103" i="10" s="1"/>
  <c r="B102" i="10"/>
  <c r="D101" i="10"/>
  <c r="C101" i="10"/>
  <c r="B101" i="10"/>
  <c r="D100" i="10"/>
  <c r="B100" i="10"/>
  <c r="B99" i="10"/>
  <c r="C100" i="10" s="1"/>
  <c r="D98" i="10"/>
  <c r="B98" i="10"/>
  <c r="C98" i="10" s="1"/>
  <c r="B97" i="10"/>
  <c r="B96" i="10"/>
  <c r="D95" i="10"/>
  <c r="C95" i="10"/>
  <c r="B95" i="10"/>
  <c r="B94" i="10"/>
  <c r="B93" i="10"/>
  <c r="D92" i="10"/>
  <c r="C92" i="10"/>
  <c r="B92" i="10"/>
  <c r="B91" i="10"/>
  <c r="B90" i="10"/>
  <c r="D89" i="10"/>
  <c r="B89" i="10"/>
  <c r="C89" i="10" s="1"/>
  <c r="C88" i="10"/>
  <c r="B88" i="10"/>
  <c r="D88" i="10" s="1"/>
  <c r="C87" i="10"/>
  <c r="B87" i="10"/>
  <c r="B86" i="10"/>
  <c r="D86" i="10" s="1"/>
  <c r="B85" i="10"/>
  <c r="D97" i="10" s="1"/>
  <c r="C84" i="10"/>
  <c r="B84" i="10"/>
  <c r="B83" i="10"/>
  <c r="B82" i="10"/>
  <c r="C82" i="10" s="1"/>
  <c r="D81" i="10"/>
  <c r="B81" i="10"/>
  <c r="C81" i="10" s="1"/>
  <c r="B80" i="10"/>
  <c r="D80" i="10" s="1"/>
  <c r="B79" i="10"/>
  <c r="B78" i="10"/>
  <c r="D78" i="10" s="1"/>
  <c r="D77" i="10"/>
  <c r="C77" i="10"/>
  <c r="B77" i="10"/>
  <c r="B76" i="10"/>
  <c r="B75" i="10"/>
  <c r="D74" i="10"/>
  <c r="C74" i="10"/>
  <c r="B74" i="10"/>
  <c r="B73" i="10"/>
  <c r="B72" i="10"/>
  <c r="B71" i="10"/>
  <c r="D71" i="10" s="1"/>
  <c r="B70" i="10"/>
  <c r="D69" i="10"/>
  <c r="C69" i="10"/>
  <c r="B69" i="10"/>
  <c r="D68" i="10"/>
  <c r="B68" i="10"/>
  <c r="B67" i="10"/>
  <c r="D66" i="10"/>
  <c r="B66" i="10"/>
  <c r="C66" i="10" s="1"/>
  <c r="B65" i="10"/>
  <c r="B64" i="10"/>
  <c r="D63" i="10"/>
  <c r="C63" i="10"/>
  <c r="B63" i="10"/>
  <c r="B62" i="10"/>
  <c r="C61" i="10"/>
  <c r="B61" i="10"/>
  <c r="D60" i="10"/>
  <c r="C60" i="10"/>
  <c r="B60" i="10"/>
  <c r="B59" i="10"/>
  <c r="B58" i="10"/>
  <c r="D57" i="10"/>
  <c r="B57" i="10"/>
  <c r="C57" i="10" s="1"/>
  <c r="C56" i="10"/>
  <c r="B56" i="10"/>
  <c r="D56" i="10" s="1"/>
  <c r="C55" i="10"/>
  <c r="B55" i="10"/>
  <c r="B54" i="10"/>
  <c r="D54" i="10" s="1"/>
  <c r="D53" i="10"/>
  <c r="B53" i="10"/>
  <c r="D65" i="10" s="1"/>
  <c r="C52" i="10"/>
  <c r="B52" i="10"/>
  <c r="B51" i="10"/>
  <c r="B50" i="10"/>
  <c r="D50" i="10" s="1"/>
  <c r="D49" i="10"/>
  <c r="B49" i="10"/>
  <c r="C49" i="10" s="1"/>
  <c r="B48" i="10"/>
  <c r="D48" i="10" s="1"/>
  <c r="B47" i="10"/>
  <c r="D47" i="10" s="1"/>
  <c r="B46" i="10"/>
  <c r="D46" i="10" s="1"/>
  <c r="D45" i="10"/>
  <c r="C45" i="10"/>
  <c r="B45" i="10"/>
  <c r="B44" i="10"/>
  <c r="B43" i="10"/>
  <c r="D42" i="10"/>
  <c r="C42" i="10"/>
  <c r="B42" i="10"/>
  <c r="B41" i="10"/>
  <c r="B40" i="10"/>
  <c r="D39" i="10"/>
  <c r="C39" i="10"/>
  <c r="B39" i="10"/>
  <c r="B38" i="10"/>
  <c r="D37" i="10"/>
  <c r="C37" i="10"/>
  <c r="B37" i="10"/>
  <c r="D36" i="10"/>
  <c r="C36" i="10"/>
  <c r="B36" i="10"/>
  <c r="B35" i="10"/>
  <c r="D34" i="10"/>
  <c r="B34" i="10"/>
  <c r="C34" i="10" s="1"/>
  <c r="B33" i="10"/>
  <c r="B32" i="10"/>
  <c r="D31" i="10"/>
  <c r="C31" i="10"/>
  <c r="B31" i="10"/>
  <c r="B30" i="10"/>
  <c r="C29" i="10"/>
  <c r="B29" i="10"/>
  <c r="D28" i="10"/>
  <c r="C28" i="10"/>
  <c r="B28" i="10"/>
  <c r="B27" i="10"/>
  <c r="B26" i="10"/>
  <c r="B25" i="10"/>
  <c r="C25" i="10" s="1"/>
  <c r="C24" i="10"/>
  <c r="B24" i="10"/>
  <c r="D24" i="10" s="1"/>
  <c r="C23" i="10"/>
  <c r="B23" i="10"/>
  <c r="B22" i="10"/>
  <c r="D22" i="10" s="1"/>
  <c r="B21" i="10"/>
  <c r="D33" i="10" s="1"/>
  <c r="D20" i="10"/>
  <c r="C20" i="10"/>
  <c r="B20" i="10"/>
  <c r="B19" i="10"/>
  <c r="C18" i="10"/>
  <c r="B18" i="10"/>
  <c r="B17" i="10"/>
  <c r="C17" i="10" s="1"/>
  <c r="B16" i="10"/>
  <c r="C16" i="10" s="1"/>
  <c r="B15" i="10"/>
  <c r="C15" i="10" s="1"/>
  <c r="B14" i="10"/>
  <c r="B13" i="10"/>
  <c r="C14" i="10" s="1"/>
  <c r="B12" i="10"/>
  <c r="C12" i="10" s="1"/>
  <c r="B11" i="10"/>
  <c r="C10" i="10"/>
  <c r="B10" i="10"/>
  <c r="C9" i="10"/>
  <c r="B9" i="10"/>
  <c r="B8" i="10"/>
  <c r="C8" i="10" s="1"/>
  <c r="B7" i="10"/>
  <c r="D362" i="9"/>
  <c r="C362" i="9"/>
  <c r="B362" i="9"/>
  <c r="B361" i="9"/>
  <c r="B360" i="9"/>
  <c r="B359" i="9"/>
  <c r="D359" i="9" s="1"/>
  <c r="B358" i="9"/>
  <c r="C358" i="9" s="1"/>
  <c r="B357" i="9"/>
  <c r="D357" i="9" s="1"/>
  <c r="B356" i="9"/>
  <c r="C357" i="9" s="1"/>
  <c r="B355" i="9"/>
  <c r="D355" i="9" s="1"/>
  <c r="D354" i="9"/>
  <c r="C354" i="9"/>
  <c r="B354" i="9"/>
  <c r="B353" i="9"/>
  <c r="B352" i="9"/>
  <c r="D351" i="9"/>
  <c r="C351" i="9"/>
  <c r="B351" i="9"/>
  <c r="B350" i="9"/>
  <c r="C349" i="9"/>
  <c r="B349" i="9"/>
  <c r="D348" i="9"/>
  <c r="C348" i="9"/>
  <c r="B348" i="9"/>
  <c r="B347" i="9"/>
  <c r="B346" i="9"/>
  <c r="D345" i="9"/>
  <c r="C345" i="9"/>
  <c r="B345" i="9"/>
  <c r="B344" i="9"/>
  <c r="D343" i="9"/>
  <c r="C343" i="9"/>
  <c r="B343" i="9"/>
  <c r="D342" i="9"/>
  <c r="B342" i="9"/>
  <c r="C342" i="9" s="1"/>
  <c r="C341" i="9"/>
  <c r="B341" i="9"/>
  <c r="C340" i="9"/>
  <c r="B340" i="9"/>
  <c r="B339" i="9"/>
  <c r="B338" i="9"/>
  <c r="D350" i="9" s="1"/>
  <c r="D337" i="9"/>
  <c r="C337" i="9"/>
  <c r="B337" i="9"/>
  <c r="B336" i="9"/>
  <c r="B335" i="9"/>
  <c r="D335" i="9" s="1"/>
  <c r="D334" i="9"/>
  <c r="B334" i="9"/>
  <c r="C334" i="9" s="1"/>
  <c r="B333" i="9"/>
  <c r="D333" i="9" s="1"/>
  <c r="B332" i="9"/>
  <c r="B331" i="9"/>
  <c r="D331" i="9" s="1"/>
  <c r="D330" i="9"/>
  <c r="C330" i="9"/>
  <c r="B330" i="9"/>
  <c r="B329" i="9"/>
  <c r="B328" i="9"/>
  <c r="B327" i="9"/>
  <c r="C327" i="9" s="1"/>
  <c r="B326" i="9"/>
  <c r="C326" i="9" s="1"/>
  <c r="B325" i="9"/>
  <c r="D325" i="9" s="1"/>
  <c r="B324" i="9"/>
  <c r="C325" i="9" s="1"/>
  <c r="B323" i="9"/>
  <c r="D323" i="9" s="1"/>
  <c r="D322" i="9"/>
  <c r="B322" i="9"/>
  <c r="C322" i="9" s="1"/>
  <c r="B321" i="9"/>
  <c r="B320" i="9"/>
  <c r="D319" i="9"/>
  <c r="C319" i="9"/>
  <c r="B319" i="9"/>
  <c r="B318" i="9"/>
  <c r="C317" i="9"/>
  <c r="B317" i="9"/>
  <c r="D316" i="9"/>
  <c r="C316" i="9"/>
  <c r="B316" i="9"/>
  <c r="B315" i="9"/>
  <c r="B314" i="9"/>
  <c r="D313" i="9"/>
  <c r="C313" i="9"/>
  <c r="B313" i="9"/>
  <c r="B312" i="9"/>
  <c r="D311" i="9"/>
  <c r="C311" i="9"/>
  <c r="B311" i="9"/>
  <c r="D310" i="9"/>
  <c r="B310" i="9"/>
  <c r="C309" i="9"/>
  <c r="B309" i="9"/>
  <c r="B308" i="9"/>
  <c r="C308" i="9" s="1"/>
  <c r="B307" i="9"/>
  <c r="D306" i="9"/>
  <c r="C306" i="9"/>
  <c r="B306" i="9"/>
  <c r="D318" i="9" s="1"/>
  <c r="D305" i="9"/>
  <c r="C305" i="9"/>
  <c r="B305" i="9"/>
  <c r="B304" i="9"/>
  <c r="C303" i="9"/>
  <c r="B303" i="9"/>
  <c r="D303" i="9" s="1"/>
  <c r="D302" i="9"/>
  <c r="B302" i="9"/>
  <c r="C302" i="9" s="1"/>
  <c r="B301" i="9"/>
  <c r="D301" i="9" s="1"/>
  <c r="B300" i="9"/>
  <c r="B299" i="9"/>
  <c r="D299" i="9" s="1"/>
  <c r="D298" i="9"/>
  <c r="C298" i="9"/>
  <c r="B298" i="9"/>
  <c r="B297" i="9"/>
  <c r="B296" i="9"/>
  <c r="C295" i="9"/>
  <c r="B295" i="9"/>
  <c r="D295" i="9" s="1"/>
  <c r="B294" i="9"/>
  <c r="C294" i="9" s="1"/>
  <c r="B293" i="9"/>
  <c r="D293" i="9" s="1"/>
  <c r="D292" i="9"/>
  <c r="C292" i="9"/>
  <c r="B292" i="9"/>
  <c r="C293" i="9" s="1"/>
  <c r="B291" i="9"/>
  <c r="D291" i="9" s="1"/>
  <c r="D290" i="9"/>
  <c r="B290" i="9"/>
  <c r="C290" i="9" s="1"/>
  <c r="C289" i="9"/>
  <c r="B289" i="9"/>
  <c r="B288" i="9"/>
  <c r="D287" i="9"/>
  <c r="C287" i="9"/>
  <c r="B287" i="9"/>
  <c r="B286" i="9"/>
  <c r="B285" i="9"/>
  <c r="D284" i="9"/>
  <c r="C284" i="9"/>
  <c r="B284" i="9"/>
  <c r="B283" i="9"/>
  <c r="B282" i="9"/>
  <c r="D281" i="9"/>
  <c r="C281" i="9"/>
  <c r="B281" i="9"/>
  <c r="B280" i="9"/>
  <c r="D279" i="9"/>
  <c r="C279" i="9"/>
  <c r="B279" i="9"/>
  <c r="D278" i="9"/>
  <c r="B278" i="9"/>
  <c r="B277" i="9"/>
  <c r="B276" i="9"/>
  <c r="C276" i="9" s="1"/>
  <c r="B275" i="9"/>
  <c r="D274" i="9"/>
  <c r="C274" i="9"/>
  <c r="B274" i="9"/>
  <c r="D286" i="9" s="1"/>
  <c r="D273" i="9"/>
  <c r="C273" i="9"/>
  <c r="B273" i="9"/>
  <c r="B272" i="9"/>
  <c r="B271" i="9"/>
  <c r="D271" i="9" s="1"/>
  <c r="D270" i="9"/>
  <c r="B270" i="9"/>
  <c r="C270" i="9" s="1"/>
  <c r="B269" i="9"/>
  <c r="D269" i="9" s="1"/>
  <c r="B268" i="9"/>
  <c r="B267" i="9"/>
  <c r="D267" i="9" s="1"/>
  <c r="D266" i="9"/>
  <c r="C266" i="9"/>
  <c r="B266" i="9"/>
  <c r="B265" i="9"/>
  <c r="B264" i="9"/>
  <c r="B263" i="9"/>
  <c r="D263" i="9" s="1"/>
  <c r="B262" i="9"/>
  <c r="C262" i="9" s="1"/>
  <c r="B261" i="9"/>
  <c r="D261" i="9" s="1"/>
  <c r="D260" i="9"/>
  <c r="C260" i="9"/>
  <c r="B260" i="9"/>
  <c r="C261" i="9" s="1"/>
  <c r="B259" i="9"/>
  <c r="D258" i="9"/>
  <c r="B258" i="9"/>
  <c r="C258" i="9" s="1"/>
  <c r="B257" i="9"/>
  <c r="B256" i="9"/>
  <c r="C255" i="9"/>
  <c r="B255" i="9"/>
  <c r="B254" i="9"/>
  <c r="B253" i="9"/>
  <c r="D252" i="9"/>
  <c r="C252" i="9"/>
  <c r="B252" i="9"/>
  <c r="B251" i="9"/>
  <c r="B250" i="9"/>
  <c r="C249" i="9"/>
  <c r="B249" i="9"/>
  <c r="B248" i="9"/>
  <c r="B247" i="9"/>
  <c r="B246" i="9"/>
  <c r="C246" i="9" s="1"/>
  <c r="D245" i="9"/>
  <c r="B245" i="9"/>
  <c r="D257" i="9" s="1"/>
  <c r="B244" i="9"/>
  <c r="B243" i="9"/>
  <c r="D255" i="9" s="1"/>
  <c r="D242" i="9"/>
  <c r="C242" i="9"/>
  <c r="B242" i="9"/>
  <c r="D254" i="9" s="1"/>
  <c r="B241" i="9"/>
  <c r="C240" i="9"/>
  <c r="B240" i="9"/>
  <c r="D239" i="9"/>
  <c r="C239" i="9"/>
  <c r="B239" i="9"/>
  <c r="B238" i="9"/>
  <c r="B237" i="9"/>
  <c r="D237" i="9" s="1"/>
  <c r="C236" i="9"/>
  <c r="B236" i="9"/>
  <c r="B235" i="9"/>
  <c r="B234" i="9"/>
  <c r="D246" i="9" s="1"/>
  <c r="D233" i="9"/>
  <c r="C233" i="9"/>
  <c r="B233" i="9"/>
  <c r="B232" i="9"/>
  <c r="B231" i="9"/>
  <c r="D230" i="9"/>
  <c r="B230" i="9"/>
  <c r="C230" i="9" s="1"/>
  <c r="D229" i="9"/>
  <c r="B229" i="9"/>
  <c r="D241" i="9" s="1"/>
  <c r="B228" i="9"/>
  <c r="B227" i="9"/>
  <c r="D226" i="9"/>
  <c r="C226" i="9"/>
  <c r="B226" i="9"/>
  <c r="D238" i="9" s="1"/>
  <c r="B225" i="9"/>
  <c r="B224" i="9"/>
  <c r="C223" i="9"/>
  <c r="B223" i="9"/>
  <c r="B222" i="9"/>
  <c r="B221" i="9"/>
  <c r="D221" i="9" s="1"/>
  <c r="D220" i="9"/>
  <c r="C220" i="9"/>
  <c r="B220" i="9"/>
  <c r="B219" i="9"/>
  <c r="B218" i="9"/>
  <c r="C217" i="9"/>
  <c r="B217" i="9"/>
  <c r="B216" i="9"/>
  <c r="B215" i="9"/>
  <c r="B214" i="9"/>
  <c r="C214" i="9" s="1"/>
  <c r="D213" i="9"/>
  <c r="B213" i="9"/>
  <c r="D225" i="9" s="1"/>
  <c r="B212" i="9"/>
  <c r="B211" i="9"/>
  <c r="D223" i="9" s="1"/>
  <c r="C210" i="9"/>
  <c r="B210" i="9"/>
  <c r="D222" i="9" s="1"/>
  <c r="B209" i="9"/>
  <c r="C208" i="9"/>
  <c r="B208" i="9"/>
  <c r="D207" i="9"/>
  <c r="C207" i="9"/>
  <c r="B207" i="9"/>
  <c r="B206" i="9"/>
  <c r="B205" i="9"/>
  <c r="D205" i="9" s="1"/>
  <c r="C204" i="9"/>
  <c r="B204" i="9"/>
  <c r="B203" i="9"/>
  <c r="B202" i="9"/>
  <c r="D214" i="9" s="1"/>
  <c r="C201" i="9"/>
  <c r="B201" i="9"/>
  <c r="B200" i="9"/>
  <c r="D200" i="9" s="1"/>
  <c r="B199" i="9"/>
  <c r="B198" i="9"/>
  <c r="C198" i="9" s="1"/>
  <c r="D197" i="9"/>
  <c r="B197" i="9"/>
  <c r="D209" i="9" s="1"/>
  <c r="B196" i="9"/>
  <c r="C195" i="9"/>
  <c r="B195" i="9"/>
  <c r="D195" i="9" s="1"/>
  <c r="D194" i="9"/>
  <c r="C194" i="9"/>
  <c r="B194" i="9"/>
  <c r="D206" i="9" s="1"/>
  <c r="B193" i="9"/>
  <c r="D192" i="9"/>
  <c r="B192" i="9"/>
  <c r="C193" i="9" s="1"/>
  <c r="D191" i="9"/>
  <c r="B191" i="9"/>
  <c r="B190" i="9"/>
  <c r="B189" i="9"/>
  <c r="D189" i="9" s="1"/>
  <c r="D188" i="9"/>
  <c r="B188" i="9"/>
  <c r="B187" i="9"/>
  <c r="B186" i="9"/>
  <c r="D186" i="9" s="1"/>
  <c r="D185" i="9"/>
  <c r="B185" i="9"/>
  <c r="B184" i="9"/>
  <c r="C184" i="9" s="1"/>
  <c r="D183" i="9"/>
  <c r="C183" i="9"/>
  <c r="B183" i="9"/>
  <c r="D182" i="9"/>
  <c r="B182" i="9"/>
  <c r="C181" i="9"/>
  <c r="B181" i="9"/>
  <c r="D180" i="9"/>
  <c r="C180" i="9"/>
  <c r="B180" i="9"/>
  <c r="B179" i="9"/>
  <c r="C178" i="9"/>
  <c r="B178" i="9"/>
  <c r="D177" i="9"/>
  <c r="C177" i="9"/>
  <c r="B177" i="9"/>
  <c r="B176" i="9"/>
  <c r="B175" i="9"/>
  <c r="C176" i="9" s="1"/>
  <c r="D174" i="9"/>
  <c r="B174" i="9"/>
  <c r="C174" i="9" s="1"/>
  <c r="B173" i="9"/>
  <c r="D172" i="9"/>
  <c r="C172" i="9"/>
  <c r="B172" i="9"/>
  <c r="C173" i="9" s="1"/>
  <c r="C171" i="9"/>
  <c r="B171" i="9"/>
  <c r="D171" i="9" s="1"/>
  <c r="C170" i="9"/>
  <c r="B170" i="9"/>
  <c r="D169" i="9"/>
  <c r="C169" i="9"/>
  <c r="B169" i="9"/>
  <c r="B168" i="9"/>
  <c r="B167" i="9"/>
  <c r="B166" i="9"/>
  <c r="C166" i="9" s="1"/>
  <c r="B165" i="9"/>
  <c r="B164" i="9"/>
  <c r="B163" i="9"/>
  <c r="D163" i="9" s="1"/>
  <c r="B162" i="9"/>
  <c r="C161" i="9"/>
  <c r="B161" i="9"/>
  <c r="C160" i="9"/>
  <c r="B160" i="9"/>
  <c r="B159" i="9"/>
  <c r="B158" i="9"/>
  <c r="B157" i="9"/>
  <c r="B156" i="9"/>
  <c r="D168" i="9" s="1"/>
  <c r="B155" i="9"/>
  <c r="D155" i="9" s="1"/>
  <c r="B154" i="9"/>
  <c r="C153" i="9"/>
  <c r="B153" i="9"/>
  <c r="C152" i="9"/>
  <c r="B152" i="9"/>
  <c r="B151" i="9"/>
  <c r="B150" i="9"/>
  <c r="B149" i="9"/>
  <c r="B148" i="9"/>
  <c r="B147" i="9"/>
  <c r="D159" i="9" s="1"/>
  <c r="B146" i="9"/>
  <c r="C145" i="9"/>
  <c r="B145" i="9"/>
  <c r="C144" i="9"/>
  <c r="B144" i="9"/>
  <c r="B143" i="9"/>
  <c r="B142" i="9"/>
  <c r="B141" i="9"/>
  <c r="B140" i="9"/>
  <c r="B139" i="9"/>
  <c r="D151" i="9" s="1"/>
  <c r="B138" i="9"/>
  <c r="C137" i="9"/>
  <c r="B137" i="9"/>
  <c r="C136" i="9"/>
  <c r="B136" i="9"/>
  <c r="B135" i="9"/>
  <c r="B134" i="9"/>
  <c r="B133" i="9"/>
  <c r="B132" i="9"/>
  <c r="B131" i="9"/>
  <c r="D143" i="9" s="1"/>
  <c r="B130" i="9"/>
  <c r="C129" i="9"/>
  <c r="B129" i="9"/>
  <c r="C128" i="9"/>
  <c r="B128" i="9"/>
  <c r="B127" i="9"/>
  <c r="B126" i="9"/>
  <c r="B125" i="9"/>
  <c r="B124" i="9"/>
  <c r="B123" i="9"/>
  <c r="D135" i="9" s="1"/>
  <c r="B122" i="9"/>
  <c r="C121" i="9"/>
  <c r="B121" i="9"/>
  <c r="C120" i="9"/>
  <c r="B120" i="9"/>
  <c r="B119" i="9"/>
  <c r="B118" i="9"/>
  <c r="B117" i="9"/>
  <c r="B116" i="9"/>
  <c r="B115" i="9"/>
  <c r="D127" i="9" s="1"/>
  <c r="B114" i="9"/>
  <c r="C113" i="9"/>
  <c r="B113" i="9"/>
  <c r="C112" i="9"/>
  <c r="B112" i="9"/>
  <c r="B111" i="9"/>
  <c r="B110" i="9"/>
  <c r="B109" i="9"/>
  <c r="B108" i="9"/>
  <c r="B107" i="9"/>
  <c r="D119" i="9" s="1"/>
  <c r="B106" i="9"/>
  <c r="C105" i="9"/>
  <c r="B105" i="9"/>
  <c r="C104" i="9"/>
  <c r="B104" i="9"/>
  <c r="B103" i="9"/>
  <c r="B102" i="9"/>
  <c r="B101" i="9"/>
  <c r="B100" i="9"/>
  <c r="B99" i="9"/>
  <c r="D111" i="9" s="1"/>
  <c r="B98" i="9"/>
  <c r="C97" i="9"/>
  <c r="B97" i="9"/>
  <c r="C96" i="9"/>
  <c r="B96" i="9"/>
  <c r="B95" i="9"/>
  <c r="B94" i="9"/>
  <c r="B93" i="9"/>
  <c r="B92" i="9"/>
  <c r="B91" i="9"/>
  <c r="D103" i="9" s="1"/>
  <c r="B90" i="9"/>
  <c r="C89" i="9"/>
  <c r="B89" i="9"/>
  <c r="C88" i="9"/>
  <c r="B88" i="9"/>
  <c r="B87" i="9"/>
  <c r="B86" i="9"/>
  <c r="B85" i="9"/>
  <c r="B84" i="9"/>
  <c r="B83" i="9"/>
  <c r="D95" i="9" s="1"/>
  <c r="B82" i="9"/>
  <c r="C81" i="9"/>
  <c r="B81" i="9"/>
  <c r="C80" i="9"/>
  <c r="B80" i="9"/>
  <c r="B79" i="9"/>
  <c r="B78" i="9"/>
  <c r="B77" i="9"/>
  <c r="B76" i="9"/>
  <c r="B75" i="9"/>
  <c r="D87" i="9" s="1"/>
  <c r="B74" i="9"/>
  <c r="C73" i="9"/>
  <c r="B73" i="9"/>
  <c r="C72" i="9"/>
  <c r="B72" i="9"/>
  <c r="B71" i="9"/>
  <c r="B70" i="9"/>
  <c r="B69" i="9"/>
  <c r="B68" i="9"/>
  <c r="B67" i="9"/>
  <c r="D79" i="9" s="1"/>
  <c r="B66" i="9"/>
  <c r="C65" i="9"/>
  <c r="B65" i="9"/>
  <c r="C64" i="9"/>
  <c r="B64" i="9"/>
  <c r="B63" i="9"/>
  <c r="B62" i="9"/>
  <c r="B61" i="9"/>
  <c r="B60" i="9"/>
  <c r="B59" i="9"/>
  <c r="D71" i="9" s="1"/>
  <c r="B58" i="9"/>
  <c r="C57" i="9"/>
  <c r="B57" i="9"/>
  <c r="C56" i="9"/>
  <c r="B56" i="9"/>
  <c r="B55" i="9"/>
  <c r="B54" i="9"/>
  <c r="B53" i="9"/>
  <c r="B52" i="9"/>
  <c r="B51" i="9"/>
  <c r="D63" i="9" s="1"/>
  <c r="B50" i="9"/>
  <c r="C49" i="9"/>
  <c r="B49" i="9"/>
  <c r="C48" i="9"/>
  <c r="B48" i="9"/>
  <c r="B47" i="9"/>
  <c r="B46" i="9"/>
  <c r="B45" i="9"/>
  <c r="B44" i="9"/>
  <c r="B43" i="9"/>
  <c r="D55" i="9" s="1"/>
  <c r="B42" i="9"/>
  <c r="C41" i="9"/>
  <c r="B41" i="9"/>
  <c r="C40" i="9"/>
  <c r="B40" i="9"/>
  <c r="B39" i="9"/>
  <c r="B38" i="9"/>
  <c r="D37" i="9"/>
  <c r="B37" i="9"/>
  <c r="B36" i="9"/>
  <c r="B35" i="9"/>
  <c r="D47" i="9" s="1"/>
  <c r="B34" i="9"/>
  <c r="C33" i="9"/>
  <c r="B33" i="9"/>
  <c r="D32" i="9"/>
  <c r="C32" i="9"/>
  <c r="B32" i="9"/>
  <c r="B31" i="9"/>
  <c r="B30" i="9"/>
  <c r="D29" i="9"/>
  <c r="B29" i="9"/>
  <c r="B28" i="9"/>
  <c r="B27" i="9"/>
  <c r="D39" i="9" s="1"/>
  <c r="D26" i="9"/>
  <c r="B26" i="9"/>
  <c r="C25" i="9"/>
  <c r="B25" i="9"/>
  <c r="C24" i="9"/>
  <c r="B24" i="9"/>
  <c r="B23" i="9"/>
  <c r="D22" i="9"/>
  <c r="C22" i="9"/>
  <c r="B22" i="9"/>
  <c r="D21" i="9"/>
  <c r="B21" i="9"/>
  <c r="B20" i="9"/>
  <c r="D19" i="9"/>
  <c r="C19" i="9"/>
  <c r="B19" i="9"/>
  <c r="D31" i="9" s="1"/>
  <c r="C18" i="9"/>
  <c r="B18" i="9"/>
  <c r="B17" i="9"/>
  <c r="B16" i="9"/>
  <c r="C17" i="9" s="1"/>
  <c r="B15" i="9"/>
  <c r="C16" i="9" s="1"/>
  <c r="C14" i="9"/>
  <c r="B14" i="9"/>
  <c r="B13" i="9"/>
  <c r="B12" i="9"/>
  <c r="C13" i="9" s="1"/>
  <c r="B11" i="9"/>
  <c r="D23" i="9" s="1"/>
  <c r="C10" i="9"/>
  <c r="B10" i="9"/>
  <c r="B9" i="9"/>
  <c r="B8" i="9"/>
  <c r="C9" i="9" s="1"/>
  <c r="B7" i="9"/>
  <c r="C8" i="9" s="1"/>
  <c r="B362" i="8"/>
  <c r="B361" i="8"/>
  <c r="D360" i="8"/>
  <c r="C360" i="8"/>
  <c r="B360" i="8"/>
  <c r="B359" i="8"/>
  <c r="C358" i="8"/>
  <c r="B358" i="8"/>
  <c r="C357" i="8"/>
  <c r="B357" i="8"/>
  <c r="B356" i="8"/>
  <c r="B355" i="8"/>
  <c r="C356" i="8" s="1"/>
  <c r="B354" i="8"/>
  <c r="B353" i="8"/>
  <c r="D352" i="8"/>
  <c r="C352" i="8"/>
  <c r="B352" i="8"/>
  <c r="B351" i="8"/>
  <c r="C350" i="8"/>
  <c r="B350" i="8"/>
  <c r="C349" i="8"/>
  <c r="B349" i="8"/>
  <c r="B348" i="8"/>
  <c r="B347" i="8"/>
  <c r="D347" i="8" s="1"/>
  <c r="B346" i="8"/>
  <c r="B345" i="8"/>
  <c r="D344" i="8"/>
  <c r="C344" i="8"/>
  <c r="B344" i="8"/>
  <c r="D356" i="8" s="1"/>
  <c r="B343" i="8"/>
  <c r="C342" i="8"/>
  <c r="B342" i="8"/>
  <c r="C341" i="8"/>
  <c r="B341" i="8"/>
  <c r="B340" i="8"/>
  <c r="B339" i="8"/>
  <c r="D339" i="8" s="1"/>
  <c r="B338" i="8"/>
  <c r="B337" i="8"/>
  <c r="D336" i="8"/>
  <c r="C336" i="8"/>
  <c r="B336" i="8"/>
  <c r="D348" i="8" s="1"/>
  <c r="B335" i="8"/>
  <c r="C334" i="8"/>
  <c r="B334" i="8"/>
  <c r="C333" i="8"/>
  <c r="B333" i="8"/>
  <c r="B332" i="8"/>
  <c r="B331" i="8"/>
  <c r="D331" i="8" s="1"/>
  <c r="B330" i="8"/>
  <c r="B329" i="8"/>
  <c r="D328" i="8"/>
  <c r="C328" i="8"/>
  <c r="B328" i="8"/>
  <c r="D340" i="8" s="1"/>
  <c r="B327" i="8"/>
  <c r="C326" i="8"/>
  <c r="B326" i="8"/>
  <c r="C325" i="8"/>
  <c r="B325" i="8"/>
  <c r="B324" i="8"/>
  <c r="B323" i="8"/>
  <c r="D323" i="8" s="1"/>
  <c r="B322" i="8"/>
  <c r="B321" i="8"/>
  <c r="D320" i="8"/>
  <c r="C320" i="8"/>
  <c r="B320" i="8"/>
  <c r="D332" i="8" s="1"/>
  <c r="B319" i="8"/>
  <c r="C318" i="8"/>
  <c r="B318" i="8"/>
  <c r="C317" i="8"/>
  <c r="B317" i="8"/>
  <c r="B316" i="8"/>
  <c r="B315" i="8"/>
  <c r="D315" i="8" s="1"/>
  <c r="B314" i="8"/>
  <c r="B313" i="8"/>
  <c r="D312" i="8"/>
  <c r="C312" i="8"/>
  <c r="B312" i="8"/>
  <c r="D324" i="8" s="1"/>
  <c r="B311" i="8"/>
  <c r="C310" i="8"/>
  <c r="B310" i="8"/>
  <c r="C309" i="8"/>
  <c r="B309" i="8"/>
  <c r="B308" i="8"/>
  <c r="B307" i="8"/>
  <c r="D307" i="8" s="1"/>
  <c r="B306" i="8"/>
  <c r="B305" i="8"/>
  <c r="D304" i="8"/>
  <c r="C304" i="8"/>
  <c r="B304" i="8"/>
  <c r="D316" i="8" s="1"/>
  <c r="B303" i="8"/>
  <c r="C302" i="8"/>
  <c r="B302" i="8"/>
  <c r="C301" i="8"/>
  <c r="B301" i="8"/>
  <c r="B300" i="8"/>
  <c r="B299" i="8"/>
  <c r="D299" i="8" s="1"/>
  <c r="B298" i="8"/>
  <c r="B297" i="8"/>
  <c r="D296" i="8"/>
  <c r="C296" i="8"/>
  <c r="B296" i="8"/>
  <c r="D308" i="8" s="1"/>
  <c r="B295" i="8"/>
  <c r="C294" i="8"/>
  <c r="B294" i="8"/>
  <c r="C293" i="8"/>
  <c r="B293" i="8"/>
  <c r="B292" i="8"/>
  <c r="B291" i="8"/>
  <c r="D291" i="8" s="1"/>
  <c r="B290" i="8"/>
  <c r="B289" i="8"/>
  <c r="D288" i="8"/>
  <c r="C288" i="8"/>
  <c r="B288" i="8"/>
  <c r="D300" i="8" s="1"/>
  <c r="B287" i="8"/>
  <c r="C286" i="8"/>
  <c r="B286" i="8"/>
  <c r="C285" i="8"/>
  <c r="B285" i="8"/>
  <c r="B284" i="8"/>
  <c r="B283" i="8"/>
  <c r="D283" i="8" s="1"/>
  <c r="B282" i="8"/>
  <c r="B281" i="8"/>
  <c r="D280" i="8"/>
  <c r="C280" i="8"/>
  <c r="B280" i="8"/>
  <c r="D292" i="8" s="1"/>
  <c r="B279" i="8"/>
  <c r="C278" i="8"/>
  <c r="B278" i="8"/>
  <c r="C277" i="8"/>
  <c r="B277" i="8"/>
  <c r="B276" i="8"/>
  <c r="B275" i="8"/>
  <c r="D275" i="8" s="1"/>
  <c r="B274" i="8"/>
  <c r="B273" i="8"/>
  <c r="D272" i="8"/>
  <c r="C272" i="8"/>
  <c r="B272" i="8"/>
  <c r="D284" i="8" s="1"/>
  <c r="B271" i="8"/>
  <c r="C270" i="8"/>
  <c r="B270" i="8"/>
  <c r="C269" i="8"/>
  <c r="B269" i="8"/>
  <c r="B268" i="8"/>
  <c r="B267" i="8"/>
  <c r="D267" i="8" s="1"/>
  <c r="B266" i="8"/>
  <c r="B265" i="8"/>
  <c r="D264" i="8"/>
  <c r="C264" i="8"/>
  <c r="B264" i="8"/>
  <c r="D276" i="8" s="1"/>
  <c r="B263" i="8"/>
  <c r="C262" i="8"/>
  <c r="B262" i="8"/>
  <c r="C261" i="8"/>
  <c r="B261" i="8"/>
  <c r="B260" i="8"/>
  <c r="B259" i="8"/>
  <c r="D259" i="8" s="1"/>
  <c r="B258" i="8"/>
  <c r="B257" i="8"/>
  <c r="D256" i="8"/>
  <c r="C256" i="8"/>
  <c r="B256" i="8"/>
  <c r="D268" i="8" s="1"/>
  <c r="B255" i="8"/>
  <c r="C254" i="8"/>
  <c r="B254" i="8"/>
  <c r="C253" i="8"/>
  <c r="B253" i="8"/>
  <c r="B252" i="8"/>
  <c r="B251" i="8"/>
  <c r="D251" i="8" s="1"/>
  <c r="B250" i="8"/>
  <c r="B249" i="8"/>
  <c r="D248" i="8"/>
  <c r="C248" i="8"/>
  <c r="B248" i="8"/>
  <c r="D260" i="8" s="1"/>
  <c r="B247" i="8"/>
  <c r="C246" i="8"/>
  <c r="B246" i="8"/>
  <c r="C245" i="8"/>
  <c r="B245" i="8"/>
  <c r="B244" i="8"/>
  <c r="B243" i="8"/>
  <c r="D243" i="8" s="1"/>
  <c r="B242" i="8"/>
  <c r="B241" i="8"/>
  <c r="D240" i="8"/>
  <c r="C240" i="8"/>
  <c r="B240" i="8"/>
  <c r="D252" i="8" s="1"/>
  <c r="B239" i="8"/>
  <c r="C238" i="8"/>
  <c r="B238" i="8"/>
  <c r="C237" i="8"/>
  <c r="B237" i="8"/>
  <c r="B236" i="8"/>
  <c r="D235" i="8"/>
  <c r="B235" i="8"/>
  <c r="B234" i="8"/>
  <c r="B233" i="8"/>
  <c r="D232" i="8"/>
  <c r="C232" i="8"/>
  <c r="B232" i="8"/>
  <c r="D244" i="8" s="1"/>
  <c r="B231" i="8"/>
  <c r="C230" i="8"/>
  <c r="B230" i="8"/>
  <c r="C229" i="8"/>
  <c r="B229" i="8"/>
  <c r="B228" i="8"/>
  <c r="D227" i="8"/>
  <c r="B227" i="8"/>
  <c r="B226" i="8"/>
  <c r="B225" i="8"/>
  <c r="D224" i="8"/>
  <c r="C224" i="8"/>
  <c r="B224" i="8"/>
  <c r="D236" i="8" s="1"/>
  <c r="B223" i="8"/>
  <c r="C222" i="8"/>
  <c r="B222" i="8"/>
  <c r="C221" i="8"/>
  <c r="B221" i="8"/>
  <c r="B220" i="8"/>
  <c r="D219" i="8"/>
  <c r="B219" i="8"/>
  <c r="B218" i="8"/>
  <c r="B217" i="8"/>
  <c r="D216" i="8"/>
  <c r="C216" i="8"/>
  <c r="B216" i="8"/>
  <c r="D228" i="8" s="1"/>
  <c r="B215" i="8"/>
  <c r="C214" i="8"/>
  <c r="B214" i="8"/>
  <c r="C213" i="8"/>
  <c r="B213" i="8"/>
  <c r="B212" i="8"/>
  <c r="D211" i="8"/>
  <c r="B211" i="8"/>
  <c r="B210" i="8"/>
  <c r="B209" i="8"/>
  <c r="D208" i="8"/>
  <c r="C208" i="8"/>
  <c r="B208" i="8"/>
  <c r="D220" i="8" s="1"/>
  <c r="B207" i="8"/>
  <c r="C206" i="8"/>
  <c r="B206" i="8"/>
  <c r="C205" i="8"/>
  <c r="B205" i="8"/>
  <c r="B204" i="8"/>
  <c r="D203" i="8"/>
  <c r="B203" i="8"/>
  <c r="B202" i="8"/>
  <c r="B201" i="8"/>
  <c r="D200" i="8"/>
  <c r="C200" i="8"/>
  <c r="B200" i="8"/>
  <c r="D212" i="8" s="1"/>
  <c r="B199" i="8"/>
  <c r="C198" i="8"/>
  <c r="B198" i="8"/>
  <c r="C197" i="8"/>
  <c r="B197" i="8"/>
  <c r="B196" i="8"/>
  <c r="D195" i="8"/>
  <c r="B195" i="8"/>
  <c r="B194" i="8"/>
  <c r="B193" i="8"/>
  <c r="D192" i="8"/>
  <c r="C192" i="8"/>
  <c r="B192" i="8"/>
  <c r="D204" i="8" s="1"/>
  <c r="B191" i="8"/>
  <c r="C190" i="8"/>
  <c r="B190" i="8"/>
  <c r="C189" i="8"/>
  <c r="B189" i="8"/>
  <c r="B188" i="8"/>
  <c r="D187" i="8"/>
  <c r="B187" i="8"/>
  <c r="B186" i="8"/>
  <c r="B185" i="8"/>
  <c r="D184" i="8"/>
  <c r="C184" i="8"/>
  <c r="B184" i="8"/>
  <c r="D196" i="8" s="1"/>
  <c r="B183" i="8"/>
  <c r="C182" i="8"/>
  <c r="B182" i="8"/>
  <c r="C181" i="8"/>
  <c r="B181" i="8"/>
  <c r="B180" i="8"/>
  <c r="D179" i="8"/>
  <c r="B179" i="8"/>
  <c r="B178" i="8"/>
  <c r="B177" i="8"/>
  <c r="D176" i="8"/>
  <c r="C176" i="8"/>
  <c r="B176" i="8"/>
  <c r="D188" i="8" s="1"/>
  <c r="B175" i="8"/>
  <c r="C174" i="8"/>
  <c r="B174" i="8"/>
  <c r="C173" i="8"/>
  <c r="B173" i="8"/>
  <c r="B172" i="8"/>
  <c r="D171" i="8"/>
  <c r="B171" i="8"/>
  <c r="B170" i="8"/>
  <c r="B169" i="8"/>
  <c r="D168" i="8"/>
  <c r="C168" i="8"/>
  <c r="B168" i="8"/>
  <c r="D180" i="8" s="1"/>
  <c r="B167" i="8"/>
  <c r="C166" i="8"/>
  <c r="B166" i="8"/>
  <c r="C165" i="8"/>
  <c r="B165" i="8"/>
  <c r="B164" i="8"/>
  <c r="D163" i="8"/>
  <c r="B163" i="8"/>
  <c r="B162" i="8"/>
  <c r="B161" i="8"/>
  <c r="D160" i="8"/>
  <c r="C160" i="8"/>
  <c r="B160" i="8"/>
  <c r="D172" i="8" s="1"/>
  <c r="B159" i="8"/>
  <c r="C158" i="8"/>
  <c r="B158" i="8"/>
  <c r="C157" i="8"/>
  <c r="B157" i="8"/>
  <c r="B156" i="8"/>
  <c r="D155" i="8"/>
  <c r="B155" i="8"/>
  <c r="B154" i="8"/>
  <c r="B153" i="8"/>
  <c r="D152" i="8"/>
  <c r="C152" i="8"/>
  <c r="B152" i="8"/>
  <c r="D164" i="8" s="1"/>
  <c r="B151" i="8"/>
  <c r="C150" i="8"/>
  <c r="B150" i="8"/>
  <c r="C149" i="8"/>
  <c r="B149" i="8"/>
  <c r="B148" i="8"/>
  <c r="D147" i="8"/>
  <c r="B147" i="8"/>
  <c r="B146" i="8"/>
  <c r="B145" i="8"/>
  <c r="D144" i="8"/>
  <c r="C144" i="8"/>
  <c r="B144" i="8"/>
  <c r="D156" i="8" s="1"/>
  <c r="B143" i="8"/>
  <c r="C142" i="8"/>
  <c r="B142" i="8"/>
  <c r="C141" i="8"/>
  <c r="B141" i="8"/>
  <c r="B140" i="8"/>
  <c r="D139" i="8"/>
  <c r="B139" i="8"/>
  <c r="B138" i="8"/>
  <c r="B137" i="8"/>
  <c r="D136" i="8"/>
  <c r="C136" i="8"/>
  <c r="B136" i="8"/>
  <c r="D148" i="8" s="1"/>
  <c r="B135" i="8"/>
  <c r="C134" i="8"/>
  <c r="B134" i="8"/>
  <c r="C133" i="8"/>
  <c r="B133" i="8"/>
  <c r="B132" i="8"/>
  <c r="D131" i="8"/>
  <c r="B131" i="8"/>
  <c r="B130" i="8"/>
  <c r="B129" i="8"/>
  <c r="D128" i="8"/>
  <c r="C128" i="8"/>
  <c r="B128" i="8"/>
  <c r="D140" i="8" s="1"/>
  <c r="B127" i="8"/>
  <c r="C126" i="8"/>
  <c r="B126" i="8"/>
  <c r="C125" i="8"/>
  <c r="B125" i="8"/>
  <c r="B124" i="8"/>
  <c r="D123" i="8"/>
  <c r="B123" i="8"/>
  <c r="B122" i="8"/>
  <c r="B121" i="8"/>
  <c r="D120" i="8"/>
  <c r="C120" i="8"/>
  <c r="B120" i="8"/>
  <c r="D132" i="8" s="1"/>
  <c r="B119" i="8"/>
  <c r="C118" i="8"/>
  <c r="B118" i="8"/>
  <c r="C117" i="8"/>
  <c r="B117" i="8"/>
  <c r="B116" i="8"/>
  <c r="D115" i="8"/>
  <c r="B115" i="8"/>
  <c r="B114" i="8"/>
  <c r="B113" i="8"/>
  <c r="D112" i="8"/>
  <c r="C112" i="8"/>
  <c r="B112" i="8"/>
  <c r="D124" i="8" s="1"/>
  <c r="B111" i="8"/>
  <c r="C110" i="8"/>
  <c r="B110" i="8"/>
  <c r="C109" i="8"/>
  <c r="B109" i="8"/>
  <c r="B108" i="8"/>
  <c r="D107" i="8"/>
  <c r="B107" i="8"/>
  <c r="B106" i="8"/>
  <c r="B105" i="8"/>
  <c r="D104" i="8"/>
  <c r="C104" i="8"/>
  <c r="B104" i="8"/>
  <c r="D116" i="8" s="1"/>
  <c r="B103" i="8"/>
  <c r="C102" i="8"/>
  <c r="B102" i="8"/>
  <c r="C101" i="8"/>
  <c r="B101" i="8"/>
  <c r="B100" i="8"/>
  <c r="D99" i="8"/>
  <c r="B99" i="8"/>
  <c r="B98" i="8"/>
  <c r="B97" i="8"/>
  <c r="D96" i="8"/>
  <c r="C96" i="8"/>
  <c r="B96" i="8"/>
  <c r="D108" i="8" s="1"/>
  <c r="B95" i="8"/>
  <c r="C94" i="8"/>
  <c r="B94" i="8"/>
  <c r="C93" i="8"/>
  <c r="B93" i="8"/>
  <c r="B92" i="8"/>
  <c r="D91" i="8"/>
  <c r="B91" i="8"/>
  <c r="B90" i="8"/>
  <c r="B89" i="8"/>
  <c r="D88" i="8"/>
  <c r="C88" i="8"/>
  <c r="B88" i="8"/>
  <c r="D100" i="8" s="1"/>
  <c r="B87" i="8"/>
  <c r="C86" i="8"/>
  <c r="B86" i="8"/>
  <c r="C85" i="8"/>
  <c r="B85" i="8"/>
  <c r="B84" i="8"/>
  <c r="D83" i="8"/>
  <c r="B83" i="8"/>
  <c r="B82" i="8"/>
  <c r="B81" i="8"/>
  <c r="D80" i="8"/>
  <c r="C80" i="8"/>
  <c r="B80" i="8"/>
  <c r="D92" i="8" s="1"/>
  <c r="B79" i="8"/>
  <c r="C78" i="8"/>
  <c r="B78" i="8"/>
  <c r="C77" i="8"/>
  <c r="B77" i="8"/>
  <c r="B76" i="8"/>
  <c r="D75" i="8"/>
  <c r="B75" i="8"/>
  <c r="B74" i="8"/>
  <c r="B73" i="8"/>
  <c r="D72" i="8"/>
  <c r="C72" i="8"/>
  <c r="B72" i="8"/>
  <c r="D84" i="8" s="1"/>
  <c r="B71" i="8"/>
  <c r="C70" i="8"/>
  <c r="B70" i="8"/>
  <c r="C69" i="8"/>
  <c r="B69" i="8"/>
  <c r="B68" i="8"/>
  <c r="D67" i="8"/>
  <c r="B67" i="8"/>
  <c r="B66" i="8"/>
  <c r="B65" i="8"/>
  <c r="D64" i="8"/>
  <c r="C64" i="8"/>
  <c r="B64" i="8"/>
  <c r="D76" i="8" s="1"/>
  <c r="B63" i="8"/>
  <c r="C62" i="8"/>
  <c r="B62" i="8"/>
  <c r="C61" i="8"/>
  <c r="B61" i="8"/>
  <c r="B60" i="8"/>
  <c r="D59" i="8"/>
  <c r="B59" i="8"/>
  <c r="B58" i="8"/>
  <c r="B57" i="8"/>
  <c r="D56" i="8"/>
  <c r="C56" i="8"/>
  <c r="B56" i="8"/>
  <c r="D68" i="8" s="1"/>
  <c r="B55" i="8"/>
  <c r="C54" i="8"/>
  <c r="B54" i="8"/>
  <c r="C53" i="8"/>
  <c r="B53" i="8"/>
  <c r="B52" i="8"/>
  <c r="D51" i="8"/>
  <c r="B51" i="8"/>
  <c r="B50" i="8"/>
  <c r="B49" i="8"/>
  <c r="D48" i="8"/>
  <c r="C48" i="8"/>
  <c r="B48" i="8"/>
  <c r="D60" i="8" s="1"/>
  <c r="B47" i="8"/>
  <c r="C46" i="8"/>
  <c r="B46" i="8"/>
  <c r="C45" i="8"/>
  <c r="B45" i="8"/>
  <c r="B44" i="8"/>
  <c r="D43" i="8"/>
  <c r="B43" i="8"/>
  <c r="B42" i="8"/>
  <c r="B41" i="8"/>
  <c r="D40" i="8"/>
  <c r="C40" i="8"/>
  <c r="B40" i="8"/>
  <c r="D52" i="8" s="1"/>
  <c r="B39" i="8"/>
  <c r="C38" i="8"/>
  <c r="B38" i="8"/>
  <c r="C37" i="8"/>
  <c r="B37" i="8"/>
  <c r="B36" i="8"/>
  <c r="D35" i="8"/>
  <c r="B35" i="8"/>
  <c r="B34" i="8"/>
  <c r="B33" i="8"/>
  <c r="D32" i="8"/>
  <c r="C32" i="8"/>
  <c r="B32" i="8"/>
  <c r="D44" i="8" s="1"/>
  <c r="B31" i="8"/>
  <c r="C30" i="8"/>
  <c r="B30" i="8"/>
  <c r="D29" i="8"/>
  <c r="C29" i="8"/>
  <c r="B29" i="8"/>
  <c r="B28" i="8"/>
  <c r="B27" i="8"/>
  <c r="D26" i="8"/>
  <c r="B26" i="8"/>
  <c r="B25" i="8"/>
  <c r="C24" i="8"/>
  <c r="B24" i="8"/>
  <c r="D36" i="8" s="1"/>
  <c r="B23" i="8"/>
  <c r="C22" i="8"/>
  <c r="B22" i="8"/>
  <c r="D21" i="8"/>
  <c r="C21" i="8"/>
  <c r="B21" i="8"/>
  <c r="B20" i="8"/>
  <c r="D19" i="8"/>
  <c r="B19" i="8"/>
  <c r="C18" i="8"/>
  <c r="B18" i="8"/>
  <c r="B17" i="8"/>
  <c r="B16" i="8"/>
  <c r="C15" i="8"/>
  <c r="B15" i="8"/>
  <c r="D27" i="8" s="1"/>
  <c r="C14" i="8"/>
  <c r="B14" i="8"/>
  <c r="B13" i="8"/>
  <c r="B12" i="8"/>
  <c r="D24" i="8" s="1"/>
  <c r="C11" i="8"/>
  <c r="B11" i="8"/>
  <c r="D23" i="8" s="1"/>
  <c r="C10" i="8"/>
  <c r="B10" i="8"/>
  <c r="B9" i="8"/>
  <c r="B8" i="8"/>
  <c r="B7" i="8"/>
  <c r="B362" i="7"/>
  <c r="C362" i="7" s="1"/>
  <c r="E52" i="4" s="1"/>
  <c r="B361" i="7"/>
  <c r="B360" i="7"/>
  <c r="B359" i="7"/>
  <c r="B358" i="7"/>
  <c r="B357" i="7"/>
  <c r="D357" i="7" s="1"/>
  <c r="F47" i="4" s="1"/>
  <c r="B356" i="7"/>
  <c r="B355" i="7"/>
  <c r="C355" i="7" s="1"/>
  <c r="E45" i="4" s="1"/>
  <c r="B354" i="7"/>
  <c r="C354" i="7" s="1"/>
  <c r="E44" i="4" s="1"/>
  <c r="B353" i="7"/>
  <c r="D365" i="7" s="1"/>
  <c r="B352" i="7"/>
  <c r="C353" i="7" s="1"/>
  <c r="E43" i="4" s="1"/>
  <c r="B351" i="7"/>
  <c r="B350" i="7"/>
  <c r="B349" i="7"/>
  <c r="D361" i="7" s="1"/>
  <c r="B348" i="7"/>
  <c r="B347" i="7"/>
  <c r="C347" i="7" s="1"/>
  <c r="E37" i="4" s="1"/>
  <c r="D346" i="7"/>
  <c r="B346" i="7"/>
  <c r="C346" i="7" s="1"/>
  <c r="E36" i="4" s="1"/>
  <c r="B345" i="7"/>
  <c r="D344" i="7"/>
  <c r="F34" i="4" s="1"/>
  <c r="B344" i="7"/>
  <c r="B343" i="7"/>
  <c r="B342" i="7"/>
  <c r="B341" i="7"/>
  <c r="B340" i="7"/>
  <c r="B339" i="7"/>
  <c r="C339" i="7" s="1"/>
  <c r="E29" i="4" s="1"/>
  <c r="C338" i="7"/>
  <c r="B338" i="7"/>
  <c r="D338" i="7" s="1"/>
  <c r="F28" i="4" s="1"/>
  <c r="B337" i="7"/>
  <c r="B336" i="7"/>
  <c r="D336" i="7" s="1"/>
  <c r="F26" i="4" s="1"/>
  <c r="B335" i="7"/>
  <c r="C335" i="7" s="1"/>
  <c r="E25" i="4" s="1"/>
  <c r="B334" i="7"/>
  <c r="D333" i="7"/>
  <c r="F23" i="4" s="1"/>
  <c r="C333" i="7"/>
  <c r="B333" i="7"/>
  <c r="B332" i="7"/>
  <c r="B331" i="7"/>
  <c r="D330" i="7"/>
  <c r="B330" i="7"/>
  <c r="B329" i="7"/>
  <c r="D341" i="7" s="1"/>
  <c r="F31" i="4" s="1"/>
  <c r="B328" i="7"/>
  <c r="B327" i="7"/>
  <c r="D327" i="7" s="1"/>
  <c r="F17" i="4" s="1"/>
  <c r="B326" i="7"/>
  <c r="C325" i="7"/>
  <c r="B325" i="7"/>
  <c r="D337" i="7" s="1"/>
  <c r="D324" i="7"/>
  <c r="F14" i="4" s="1"/>
  <c r="B324" i="7"/>
  <c r="B323" i="7"/>
  <c r="B322" i="7"/>
  <c r="B321" i="7"/>
  <c r="D320" i="7"/>
  <c r="C320" i="7"/>
  <c r="B320" i="7"/>
  <c r="D319" i="7"/>
  <c r="F9" i="4" s="1"/>
  <c r="C319" i="7"/>
  <c r="B319" i="7"/>
  <c r="B318" i="7"/>
  <c r="B317" i="7"/>
  <c r="B316" i="7"/>
  <c r="D316" i="7" s="1"/>
  <c r="F6" i="4" s="1"/>
  <c r="B315" i="7"/>
  <c r="B314" i="7"/>
  <c r="D314" i="7" s="1"/>
  <c r="B313" i="7"/>
  <c r="B312" i="7"/>
  <c r="C313" i="7" s="1"/>
  <c r="B311" i="7"/>
  <c r="B310" i="7"/>
  <c r="D322" i="7" s="1"/>
  <c r="F12" i="4" s="1"/>
  <c r="B309" i="7"/>
  <c r="D321" i="7" s="1"/>
  <c r="B308" i="7"/>
  <c r="B307" i="7"/>
  <c r="B306" i="7"/>
  <c r="C307" i="7" s="1"/>
  <c r="B305" i="7"/>
  <c r="B304" i="7"/>
  <c r="C305" i="7" s="1"/>
  <c r="C303" i="7"/>
  <c r="B303" i="7"/>
  <c r="B302" i="7"/>
  <c r="B301" i="7"/>
  <c r="D313" i="7" s="1"/>
  <c r="B300" i="7"/>
  <c r="B299" i="7"/>
  <c r="D298" i="7"/>
  <c r="B298" i="7"/>
  <c r="C298" i="7" s="1"/>
  <c r="B297" i="7"/>
  <c r="B296" i="7"/>
  <c r="C297" i="7" s="1"/>
  <c r="B295" i="7"/>
  <c r="D295" i="7" s="1"/>
  <c r="B294" i="7"/>
  <c r="B293" i="7"/>
  <c r="B292" i="7"/>
  <c r="D292" i="7" s="1"/>
  <c r="B291" i="7"/>
  <c r="B290" i="7"/>
  <c r="B289" i="7"/>
  <c r="B288" i="7"/>
  <c r="B287" i="7"/>
  <c r="D287" i="7" s="1"/>
  <c r="B286" i="7"/>
  <c r="B285" i="7"/>
  <c r="B284" i="7"/>
  <c r="B283" i="7"/>
  <c r="B282" i="7"/>
  <c r="D282" i="7" s="1"/>
  <c r="B281" i="7"/>
  <c r="D280" i="7"/>
  <c r="B280" i="7"/>
  <c r="C281" i="7" s="1"/>
  <c r="B279" i="7"/>
  <c r="B278" i="7"/>
  <c r="B277" i="7"/>
  <c r="B276" i="7"/>
  <c r="D288" i="7" s="1"/>
  <c r="B275" i="7"/>
  <c r="C274" i="7"/>
  <c r="B274" i="7"/>
  <c r="D274" i="7" s="1"/>
  <c r="B273" i="7"/>
  <c r="B272" i="7"/>
  <c r="C273" i="7" s="1"/>
  <c r="B271" i="7"/>
  <c r="C271" i="7" s="1"/>
  <c r="B270" i="7"/>
  <c r="D269" i="7"/>
  <c r="C269" i="7"/>
  <c r="B269" i="7"/>
  <c r="B268" i="7"/>
  <c r="B267" i="7"/>
  <c r="D266" i="7"/>
  <c r="C266" i="7"/>
  <c r="B266" i="7"/>
  <c r="B265" i="7"/>
  <c r="B264" i="7"/>
  <c r="B263" i="7"/>
  <c r="D263" i="7" s="1"/>
  <c r="B262" i="7"/>
  <c r="C261" i="7"/>
  <c r="B261" i="7"/>
  <c r="D273" i="7" s="1"/>
  <c r="D260" i="7"/>
  <c r="B260" i="7"/>
  <c r="B259" i="7"/>
  <c r="B258" i="7"/>
  <c r="B257" i="7"/>
  <c r="D256" i="7"/>
  <c r="C256" i="7"/>
  <c r="B256" i="7"/>
  <c r="D255" i="7"/>
  <c r="C255" i="7"/>
  <c r="B255" i="7"/>
  <c r="B254" i="7"/>
  <c r="B253" i="7"/>
  <c r="B252" i="7"/>
  <c r="C252" i="7" s="1"/>
  <c r="B251" i="7"/>
  <c r="B250" i="7"/>
  <c r="B249" i="7"/>
  <c r="B248" i="7"/>
  <c r="B247" i="7"/>
  <c r="B246" i="7"/>
  <c r="D258" i="7" s="1"/>
  <c r="D245" i="7"/>
  <c r="B245" i="7"/>
  <c r="D257" i="7" s="1"/>
  <c r="B244" i="7"/>
  <c r="B243" i="7"/>
  <c r="C243" i="7" s="1"/>
  <c r="B242" i="7"/>
  <c r="D242" i="7" s="1"/>
  <c r="B241" i="7"/>
  <c r="D241" i="7" s="1"/>
  <c r="B240" i="7"/>
  <c r="B239" i="7"/>
  <c r="C240" i="7" s="1"/>
  <c r="B238" i="7"/>
  <c r="B237" i="7"/>
  <c r="C236" i="7"/>
  <c r="B236" i="7"/>
  <c r="B235" i="7"/>
  <c r="B234" i="7"/>
  <c r="B233" i="7"/>
  <c r="B232" i="7"/>
  <c r="C233" i="7" s="1"/>
  <c r="B231" i="7"/>
  <c r="B230" i="7"/>
  <c r="B229" i="7"/>
  <c r="C229" i="7" s="1"/>
  <c r="B228" i="7"/>
  <c r="B227" i="7"/>
  <c r="C227" i="7" s="1"/>
  <c r="C226" i="7"/>
  <c r="B226" i="7"/>
  <c r="D226" i="7" s="1"/>
  <c r="B225" i="7"/>
  <c r="D225" i="7" s="1"/>
  <c r="B224" i="7"/>
  <c r="C225" i="7" s="1"/>
  <c r="D223" i="7"/>
  <c r="B223" i="7"/>
  <c r="B222" i="7"/>
  <c r="C223" i="7" s="1"/>
  <c r="B221" i="7"/>
  <c r="B220" i="7"/>
  <c r="C220" i="7" s="1"/>
  <c r="B219" i="7"/>
  <c r="B218" i="7"/>
  <c r="B217" i="7"/>
  <c r="D229" i="7" s="1"/>
  <c r="B216" i="7"/>
  <c r="B215" i="7"/>
  <c r="B214" i="7"/>
  <c r="B213" i="7"/>
  <c r="D213" i="7" s="1"/>
  <c r="B212" i="7"/>
  <c r="C211" i="7"/>
  <c r="B211" i="7"/>
  <c r="D210" i="7"/>
  <c r="B210" i="7"/>
  <c r="B209" i="7"/>
  <c r="C210" i="7" s="1"/>
  <c r="B208" i="7"/>
  <c r="C209" i="7" s="1"/>
  <c r="B207" i="7"/>
  <c r="D207" i="7" s="1"/>
  <c r="B206" i="7"/>
  <c r="B205" i="7"/>
  <c r="B204" i="7"/>
  <c r="C204" i="7" s="1"/>
  <c r="B203" i="7"/>
  <c r="D203" i="7" s="1"/>
  <c r="B202" i="7"/>
  <c r="B201" i="7"/>
  <c r="B200" i="7"/>
  <c r="C201" i="7" s="1"/>
  <c r="B199" i="7"/>
  <c r="B198" i="7"/>
  <c r="B197" i="7"/>
  <c r="D197" i="7" s="1"/>
  <c r="B196" i="7"/>
  <c r="B195" i="7"/>
  <c r="C195" i="7" s="1"/>
  <c r="D194" i="7"/>
  <c r="B194" i="7"/>
  <c r="C194" i="7" s="1"/>
  <c r="B193" i="7"/>
  <c r="D193" i="7" s="1"/>
  <c r="C192" i="7"/>
  <c r="B192" i="7"/>
  <c r="D191" i="7"/>
  <c r="B191" i="7"/>
  <c r="B190" i="7"/>
  <c r="B189" i="7"/>
  <c r="B188" i="7"/>
  <c r="C188" i="7" s="1"/>
  <c r="B187" i="7"/>
  <c r="D187" i="7" s="1"/>
  <c r="B186" i="7"/>
  <c r="B185" i="7"/>
  <c r="B184" i="7"/>
  <c r="B183" i="7"/>
  <c r="B182" i="7"/>
  <c r="B181" i="7"/>
  <c r="D181" i="7" s="1"/>
  <c r="B180" i="7"/>
  <c r="D180" i="7" s="1"/>
  <c r="B179" i="7"/>
  <c r="B178" i="7"/>
  <c r="C179" i="7" s="1"/>
  <c r="D177" i="7"/>
  <c r="B177" i="7"/>
  <c r="C176" i="7"/>
  <c r="B176" i="7"/>
  <c r="C177" i="7" s="1"/>
  <c r="B175" i="7"/>
  <c r="D175" i="7" s="1"/>
  <c r="B174" i="7"/>
  <c r="C175" i="7" s="1"/>
  <c r="B173" i="7"/>
  <c r="D172" i="7"/>
  <c r="B172" i="7"/>
  <c r="C172" i="7" s="1"/>
  <c r="B171" i="7"/>
  <c r="B170" i="7"/>
  <c r="B169" i="7"/>
  <c r="C169" i="7" s="1"/>
  <c r="B168" i="7"/>
  <c r="D168" i="7" s="1"/>
  <c r="B167" i="7"/>
  <c r="C167" i="7" s="1"/>
  <c r="B166" i="7"/>
  <c r="B165" i="7"/>
  <c r="B164" i="7"/>
  <c r="C164" i="7" s="1"/>
  <c r="C163" i="7"/>
  <c r="B163" i="7"/>
  <c r="C162" i="7"/>
  <c r="B162" i="7"/>
  <c r="B161" i="7"/>
  <c r="C161" i="7" s="1"/>
  <c r="B160" i="7"/>
  <c r="D160" i="7" s="1"/>
  <c r="B159" i="7"/>
  <c r="D159" i="7" s="1"/>
  <c r="B158" i="7"/>
  <c r="C158" i="7" s="1"/>
  <c r="B157" i="7"/>
  <c r="B156" i="7"/>
  <c r="B155" i="7"/>
  <c r="D155" i="7" s="1"/>
  <c r="D154" i="7"/>
  <c r="B154" i="7"/>
  <c r="D166" i="7" s="1"/>
  <c r="B153" i="7"/>
  <c r="B152" i="7"/>
  <c r="B151" i="7"/>
  <c r="B150" i="7"/>
  <c r="D149" i="7"/>
  <c r="C149" i="7"/>
  <c r="B149" i="7"/>
  <c r="D161" i="7" s="1"/>
  <c r="B148" i="7"/>
  <c r="C148" i="7" s="1"/>
  <c r="B147" i="7"/>
  <c r="B146" i="7"/>
  <c r="D146" i="7" s="1"/>
  <c r="B145" i="7"/>
  <c r="D157" i="7" s="1"/>
  <c r="B144" i="7"/>
  <c r="C143" i="7"/>
  <c r="B143" i="7"/>
  <c r="B142" i="7"/>
  <c r="B141" i="7"/>
  <c r="D140" i="7"/>
  <c r="C140" i="7"/>
  <c r="B140" i="7"/>
  <c r="B139" i="7"/>
  <c r="B138" i="7"/>
  <c r="B137" i="7"/>
  <c r="D137" i="7" s="1"/>
  <c r="B136" i="7"/>
  <c r="C135" i="7"/>
  <c r="B135" i="7"/>
  <c r="D134" i="7"/>
  <c r="B134" i="7"/>
  <c r="C134" i="7" s="1"/>
  <c r="B133" i="7"/>
  <c r="B132" i="7"/>
  <c r="B131" i="7"/>
  <c r="C131" i="7" s="1"/>
  <c r="C130" i="7"/>
  <c r="B130" i="7"/>
  <c r="C129" i="7"/>
  <c r="B129" i="7"/>
  <c r="B128" i="7"/>
  <c r="D128" i="7" s="1"/>
  <c r="B127" i="7"/>
  <c r="B126" i="7"/>
  <c r="C126" i="7" s="1"/>
  <c r="D125" i="7"/>
  <c r="B125" i="7"/>
  <c r="B124" i="7"/>
  <c r="B123" i="7"/>
  <c r="D123" i="7" s="1"/>
  <c r="B122" i="7"/>
  <c r="D122" i="7" s="1"/>
  <c r="B121" i="7"/>
  <c r="C120" i="7"/>
  <c r="B120" i="7"/>
  <c r="B119" i="7"/>
  <c r="C119" i="7" s="1"/>
  <c r="B118" i="7"/>
  <c r="B117" i="7"/>
  <c r="B116" i="7"/>
  <c r="B115" i="7"/>
  <c r="B114" i="7"/>
  <c r="D114" i="7" s="1"/>
  <c r="B113" i="7"/>
  <c r="B112" i="7"/>
  <c r="B111" i="7"/>
  <c r="C111" i="7" s="1"/>
  <c r="B110" i="7"/>
  <c r="D110" i="7" s="1"/>
  <c r="B109" i="7"/>
  <c r="B108" i="7"/>
  <c r="B107" i="7"/>
  <c r="C106" i="7"/>
  <c r="B106" i="7"/>
  <c r="B105" i="7"/>
  <c r="B104" i="7"/>
  <c r="B103" i="7"/>
  <c r="D103" i="7" s="1"/>
  <c r="B102" i="7"/>
  <c r="C101" i="7"/>
  <c r="B101" i="7"/>
  <c r="B100" i="7"/>
  <c r="D100" i="7" s="1"/>
  <c r="B99" i="7"/>
  <c r="D99" i="7" s="1"/>
  <c r="D98" i="7"/>
  <c r="C98" i="7"/>
  <c r="B98" i="7"/>
  <c r="B97" i="7"/>
  <c r="C97" i="7" s="1"/>
  <c r="B96" i="7"/>
  <c r="B95" i="7"/>
  <c r="D95" i="7" s="1"/>
  <c r="B94" i="7"/>
  <c r="C93" i="7"/>
  <c r="B93" i="7"/>
  <c r="D92" i="7"/>
  <c r="B92" i="7"/>
  <c r="B91" i="7"/>
  <c r="B90" i="7"/>
  <c r="C90" i="7" s="1"/>
  <c r="B89" i="7"/>
  <c r="C89" i="7" s="1"/>
  <c r="B88" i="7"/>
  <c r="D87" i="7"/>
  <c r="C87" i="7"/>
  <c r="B87" i="7"/>
  <c r="B86" i="7"/>
  <c r="B85" i="7"/>
  <c r="C85" i="7" s="1"/>
  <c r="B84" i="7"/>
  <c r="B83" i="7"/>
  <c r="B82" i="7"/>
  <c r="D82" i="7" s="1"/>
  <c r="B81" i="7"/>
  <c r="C81" i="7" s="1"/>
  <c r="B80" i="7"/>
  <c r="B79" i="7"/>
  <c r="C79" i="7" s="1"/>
  <c r="B78" i="7"/>
  <c r="D78" i="7" s="1"/>
  <c r="B77" i="7"/>
  <c r="B76" i="7"/>
  <c r="B75" i="7"/>
  <c r="D75" i="7" s="1"/>
  <c r="B74" i="7"/>
  <c r="B73" i="7"/>
  <c r="B72" i="7"/>
  <c r="D71" i="7"/>
  <c r="B71" i="7"/>
  <c r="C71" i="7" s="1"/>
  <c r="B70" i="7"/>
  <c r="B69" i="7"/>
  <c r="B68" i="7"/>
  <c r="B67" i="7"/>
  <c r="D66" i="7"/>
  <c r="C66" i="7"/>
  <c r="B66" i="7"/>
  <c r="B65" i="7"/>
  <c r="B64" i="7"/>
  <c r="B63" i="7"/>
  <c r="C63" i="7" s="1"/>
  <c r="B62" i="7"/>
  <c r="B61" i="7"/>
  <c r="C61" i="7" s="1"/>
  <c r="B60" i="7"/>
  <c r="B59" i="7"/>
  <c r="D58" i="7"/>
  <c r="B58" i="7"/>
  <c r="C58" i="7" s="1"/>
  <c r="B57" i="7"/>
  <c r="B56" i="7"/>
  <c r="D56" i="7" s="1"/>
  <c r="D55" i="7"/>
  <c r="B55" i="7"/>
  <c r="C55" i="7" s="1"/>
  <c r="B54" i="7"/>
  <c r="D54" i="7" s="1"/>
  <c r="B53" i="7"/>
  <c r="C54" i="7" s="1"/>
  <c r="B52" i="7"/>
  <c r="B51" i="7"/>
  <c r="C50" i="7"/>
  <c r="B50" i="7"/>
  <c r="D50" i="7" s="1"/>
  <c r="B49" i="7"/>
  <c r="B48" i="7"/>
  <c r="B47" i="7"/>
  <c r="D47" i="7" s="1"/>
  <c r="B46" i="7"/>
  <c r="D45" i="7"/>
  <c r="C45" i="7"/>
  <c r="B45" i="7"/>
  <c r="B44" i="7"/>
  <c r="B43" i="7"/>
  <c r="D42" i="7"/>
  <c r="C42" i="7"/>
  <c r="B42" i="7"/>
  <c r="B41" i="7"/>
  <c r="B40" i="7"/>
  <c r="B39" i="7"/>
  <c r="D39" i="7" s="1"/>
  <c r="B38" i="7"/>
  <c r="D37" i="7"/>
  <c r="B37" i="7"/>
  <c r="C38" i="7" s="1"/>
  <c r="B36" i="7"/>
  <c r="B35" i="7"/>
  <c r="B34" i="7"/>
  <c r="D34" i="7" s="1"/>
  <c r="B33" i="7"/>
  <c r="B32" i="7"/>
  <c r="D32" i="7" s="1"/>
  <c r="B31" i="7"/>
  <c r="C31" i="7" s="1"/>
  <c r="B30" i="7"/>
  <c r="B29" i="7"/>
  <c r="C30" i="7" s="1"/>
  <c r="B28" i="7"/>
  <c r="D28" i="7" s="1"/>
  <c r="B27" i="7"/>
  <c r="B26" i="7"/>
  <c r="C26" i="7" s="1"/>
  <c r="B25" i="7"/>
  <c r="B24" i="7"/>
  <c r="B23" i="7"/>
  <c r="D23" i="7" s="1"/>
  <c r="B22" i="7"/>
  <c r="C21" i="7"/>
  <c r="B21" i="7"/>
  <c r="D21" i="7" s="1"/>
  <c r="B20" i="7"/>
  <c r="D20" i="7" s="1"/>
  <c r="B19" i="7"/>
  <c r="B18" i="7"/>
  <c r="C18" i="7" s="1"/>
  <c r="B17" i="7"/>
  <c r="C17" i="7" s="1"/>
  <c r="B16" i="7"/>
  <c r="B15" i="7"/>
  <c r="B14" i="7"/>
  <c r="B13" i="7"/>
  <c r="C13" i="7" s="1"/>
  <c r="B12" i="7"/>
  <c r="B11" i="7"/>
  <c r="B10" i="7"/>
  <c r="C10" i="7" s="1"/>
  <c r="C9" i="7"/>
  <c r="B9" i="7"/>
  <c r="B8" i="7"/>
  <c r="B7" i="7"/>
  <c r="B362" i="6"/>
  <c r="D362" i="6" s="1"/>
  <c r="B361" i="6"/>
  <c r="B360" i="6"/>
  <c r="D359" i="6"/>
  <c r="B359" i="6"/>
  <c r="C359" i="6" s="1"/>
  <c r="B358" i="6"/>
  <c r="B357" i="6"/>
  <c r="B356" i="6"/>
  <c r="C356" i="6" s="1"/>
  <c r="C46" i="4" s="1"/>
  <c r="B355" i="6"/>
  <c r="D354" i="6"/>
  <c r="C354" i="6"/>
  <c r="B354" i="6"/>
  <c r="B353" i="6"/>
  <c r="B352" i="6"/>
  <c r="B351" i="6"/>
  <c r="B350" i="6"/>
  <c r="B349" i="6"/>
  <c r="D349" i="6" s="1"/>
  <c r="C348" i="6"/>
  <c r="B348" i="6"/>
  <c r="B347" i="6"/>
  <c r="B346" i="6"/>
  <c r="C347" i="6" s="1"/>
  <c r="B345" i="6"/>
  <c r="B344" i="6"/>
  <c r="D343" i="6"/>
  <c r="B343" i="6"/>
  <c r="C343" i="6" s="1"/>
  <c r="B342" i="6"/>
  <c r="B341" i="6"/>
  <c r="B340" i="6"/>
  <c r="C340" i="6" s="1"/>
  <c r="C30" i="4" s="1"/>
  <c r="B339" i="6"/>
  <c r="D338" i="6"/>
  <c r="C338" i="6"/>
  <c r="B338" i="6"/>
  <c r="B337" i="6"/>
  <c r="B336" i="6"/>
  <c r="B335" i="6"/>
  <c r="B334" i="6"/>
  <c r="B333" i="6"/>
  <c r="D333" i="6" s="1"/>
  <c r="C332" i="6"/>
  <c r="B332" i="6"/>
  <c r="B331" i="6"/>
  <c r="B330" i="6"/>
  <c r="B329" i="6"/>
  <c r="B328" i="6"/>
  <c r="D327" i="6"/>
  <c r="B327" i="6"/>
  <c r="C327" i="6" s="1"/>
  <c r="B326" i="6"/>
  <c r="B325" i="6"/>
  <c r="D325" i="6" s="1"/>
  <c r="B324" i="6"/>
  <c r="C324" i="6" s="1"/>
  <c r="C14" i="4" s="1"/>
  <c r="B323" i="6"/>
  <c r="B322" i="6"/>
  <c r="B321" i="6"/>
  <c r="B320" i="6"/>
  <c r="D319" i="6"/>
  <c r="B319" i="6"/>
  <c r="B318" i="6"/>
  <c r="B317" i="6"/>
  <c r="C316" i="6"/>
  <c r="B316" i="6"/>
  <c r="B315" i="6"/>
  <c r="B314" i="6"/>
  <c r="B313" i="6"/>
  <c r="B312" i="6"/>
  <c r="B311" i="6"/>
  <c r="C311" i="6" s="1"/>
  <c r="B310" i="6"/>
  <c r="D322" i="6" s="1"/>
  <c r="D12" i="4" s="1"/>
  <c r="B309" i="6"/>
  <c r="D309" i="6" s="1"/>
  <c r="B308" i="6"/>
  <c r="C308" i="6" s="1"/>
  <c r="B307" i="6"/>
  <c r="B306" i="6"/>
  <c r="C307" i="6" s="1"/>
  <c r="B305" i="6"/>
  <c r="B304" i="6"/>
  <c r="D303" i="6"/>
  <c r="B303" i="6"/>
  <c r="B302" i="6"/>
  <c r="D314" i="6" s="1"/>
  <c r="D4" i="4" s="1"/>
  <c r="B301" i="6"/>
  <c r="B300" i="6"/>
  <c r="C300" i="6" s="1"/>
  <c r="B299" i="6"/>
  <c r="D311" i="6" s="1"/>
  <c r="D298" i="6"/>
  <c r="B298" i="6"/>
  <c r="B297" i="6"/>
  <c r="B296" i="6"/>
  <c r="B295" i="6"/>
  <c r="B294" i="6"/>
  <c r="B293" i="6"/>
  <c r="D293" i="6" s="1"/>
  <c r="C292" i="6"/>
  <c r="B292" i="6"/>
  <c r="B291" i="6"/>
  <c r="D290" i="6"/>
  <c r="B290" i="6"/>
  <c r="B289" i="6"/>
  <c r="B288" i="6"/>
  <c r="D287" i="6"/>
  <c r="B287" i="6"/>
  <c r="C287" i="6" s="1"/>
  <c r="B286" i="6"/>
  <c r="B285" i="6"/>
  <c r="C284" i="6"/>
  <c r="B284" i="6"/>
  <c r="B283" i="6"/>
  <c r="B282" i="6"/>
  <c r="C283" i="6" s="1"/>
  <c r="B281" i="6"/>
  <c r="B280" i="6"/>
  <c r="B279" i="6"/>
  <c r="C279" i="6" s="1"/>
  <c r="B278" i="6"/>
  <c r="B277" i="6"/>
  <c r="B276" i="6"/>
  <c r="C276" i="6" s="1"/>
  <c r="B275" i="6"/>
  <c r="D274" i="6"/>
  <c r="B274" i="6"/>
  <c r="B273" i="6"/>
  <c r="B272" i="6"/>
  <c r="B271" i="6"/>
  <c r="B270" i="6"/>
  <c r="B269" i="6"/>
  <c r="D269" i="6" s="1"/>
  <c r="C268" i="6"/>
  <c r="B268" i="6"/>
  <c r="B267" i="6"/>
  <c r="D279" i="6" s="1"/>
  <c r="B266" i="6"/>
  <c r="B265" i="6"/>
  <c r="B264" i="6"/>
  <c r="D263" i="6"/>
  <c r="B263" i="6"/>
  <c r="C263" i="6" s="1"/>
  <c r="B262" i="6"/>
  <c r="B261" i="6"/>
  <c r="D261" i="6" s="1"/>
  <c r="B260" i="6"/>
  <c r="C260" i="6" s="1"/>
  <c r="B259" i="6"/>
  <c r="D258" i="6"/>
  <c r="B258" i="6"/>
  <c r="C259" i="6" s="1"/>
  <c r="B257" i="6"/>
  <c r="B256" i="6"/>
  <c r="D255" i="6"/>
  <c r="B255" i="6"/>
  <c r="B254" i="6"/>
  <c r="B253" i="6"/>
  <c r="C252" i="6"/>
  <c r="B252" i="6"/>
  <c r="B251" i="6"/>
  <c r="B250" i="6"/>
  <c r="B249" i="6"/>
  <c r="B248" i="6"/>
  <c r="B247" i="6"/>
  <c r="C247" i="6" s="1"/>
  <c r="B246" i="6"/>
  <c r="B245" i="6"/>
  <c r="D245" i="6" s="1"/>
  <c r="B244" i="6"/>
  <c r="C244" i="6" s="1"/>
  <c r="B243" i="6"/>
  <c r="B242" i="6"/>
  <c r="C243" i="6" s="1"/>
  <c r="B241" i="6"/>
  <c r="B240" i="6"/>
  <c r="D239" i="6"/>
  <c r="B239" i="6"/>
  <c r="B238" i="6"/>
  <c r="D250" i="6" s="1"/>
  <c r="B237" i="6"/>
  <c r="B236" i="6"/>
  <c r="C236" i="6" s="1"/>
  <c r="B235" i="6"/>
  <c r="D234" i="6"/>
  <c r="B234" i="6"/>
  <c r="B233" i="6"/>
  <c r="B232" i="6"/>
  <c r="B231" i="6"/>
  <c r="B230" i="6"/>
  <c r="B229" i="6"/>
  <c r="D229" i="6" s="1"/>
  <c r="C228" i="6"/>
  <c r="B228" i="6"/>
  <c r="B227" i="6"/>
  <c r="D226" i="6"/>
  <c r="B226" i="6"/>
  <c r="B225" i="6"/>
  <c r="B224" i="6"/>
  <c r="D223" i="6"/>
  <c r="B223" i="6"/>
  <c r="C223" i="6" s="1"/>
  <c r="B222" i="6"/>
  <c r="B221" i="6"/>
  <c r="C220" i="6"/>
  <c r="B220" i="6"/>
  <c r="B219" i="6"/>
  <c r="B218" i="6"/>
  <c r="C219" i="6" s="1"/>
  <c r="B217" i="6"/>
  <c r="B216" i="6"/>
  <c r="B215" i="6"/>
  <c r="C215" i="6" s="1"/>
  <c r="B214" i="6"/>
  <c r="B213" i="6"/>
  <c r="B212" i="6"/>
  <c r="C212" i="6" s="1"/>
  <c r="B211" i="6"/>
  <c r="D210" i="6"/>
  <c r="B210" i="6"/>
  <c r="B209" i="6"/>
  <c r="B208" i="6"/>
  <c r="B207" i="6"/>
  <c r="B206" i="6"/>
  <c r="B205" i="6"/>
  <c r="D205" i="6" s="1"/>
  <c r="C204" i="6"/>
  <c r="B204" i="6"/>
  <c r="B203" i="6"/>
  <c r="D215" i="6" s="1"/>
  <c r="B202" i="6"/>
  <c r="B201" i="6"/>
  <c r="B200" i="6"/>
  <c r="D199" i="6"/>
  <c r="B199" i="6"/>
  <c r="C199" i="6" s="1"/>
  <c r="B198" i="6"/>
  <c r="B197" i="6"/>
  <c r="D197" i="6" s="1"/>
  <c r="B196" i="6"/>
  <c r="C196" i="6" s="1"/>
  <c r="B195" i="6"/>
  <c r="B194" i="6"/>
  <c r="C195" i="6" s="1"/>
  <c r="B193" i="6"/>
  <c r="B192" i="6"/>
  <c r="D191" i="6"/>
  <c r="B191" i="6"/>
  <c r="B190" i="6"/>
  <c r="B189" i="6"/>
  <c r="B188" i="6"/>
  <c r="C188" i="6" s="1"/>
  <c r="B187" i="6"/>
  <c r="D186" i="6"/>
  <c r="B186" i="6"/>
  <c r="B185" i="6"/>
  <c r="B184" i="6"/>
  <c r="B183" i="6"/>
  <c r="B182" i="6"/>
  <c r="D194" i="6" s="1"/>
  <c r="B181" i="6"/>
  <c r="D181" i="6" s="1"/>
  <c r="B180" i="6"/>
  <c r="C180" i="6" s="1"/>
  <c r="B179" i="6"/>
  <c r="B178" i="6"/>
  <c r="C179" i="6" s="1"/>
  <c r="B177" i="6"/>
  <c r="D177" i="6" s="1"/>
  <c r="B176" i="6"/>
  <c r="B175" i="6"/>
  <c r="C175" i="6" s="1"/>
  <c r="B174" i="6"/>
  <c r="B173" i="6"/>
  <c r="B172" i="6"/>
  <c r="C172" i="6" s="1"/>
  <c r="B171" i="6"/>
  <c r="D170" i="6"/>
  <c r="B170" i="6"/>
  <c r="B169" i="6"/>
  <c r="B168" i="6"/>
  <c r="B167" i="6"/>
  <c r="D167" i="6" s="1"/>
  <c r="B166" i="6"/>
  <c r="B165" i="6"/>
  <c r="C164" i="6"/>
  <c r="B164" i="6"/>
  <c r="B163" i="6"/>
  <c r="B162" i="6"/>
  <c r="B161" i="6"/>
  <c r="D161" i="6" s="1"/>
  <c r="B160" i="6"/>
  <c r="D159" i="6"/>
  <c r="B159" i="6"/>
  <c r="B158" i="6"/>
  <c r="B157" i="6"/>
  <c r="B156" i="6"/>
  <c r="C156" i="6" s="1"/>
  <c r="B155" i="6"/>
  <c r="D154" i="6"/>
  <c r="B154" i="6"/>
  <c r="B153" i="6"/>
  <c r="B152" i="6"/>
  <c r="B151" i="6"/>
  <c r="B150" i="6"/>
  <c r="B149" i="6"/>
  <c r="C148" i="6"/>
  <c r="B148" i="6"/>
  <c r="B147" i="6"/>
  <c r="D146" i="6"/>
  <c r="B146" i="6"/>
  <c r="B145" i="6"/>
  <c r="D145" i="6" s="1"/>
  <c r="B144" i="6"/>
  <c r="D143" i="6"/>
  <c r="B143" i="6"/>
  <c r="C143" i="6" s="1"/>
  <c r="B142" i="6"/>
  <c r="B141" i="6"/>
  <c r="B140" i="6"/>
  <c r="C140" i="6" s="1"/>
  <c r="B139" i="6"/>
  <c r="B138" i="6"/>
  <c r="C139" i="6" s="1"/>
  <c r="B137" i="6"/>
  <c r="B136" i="6"/>
  <c r="D135" i="6"/>
  <c r="B135" i="6"/>
  <c r="B134" i="6"/>
  <c r="B133" i="6"/>
  <c r="B132" i="6"/>
  <c r="C132" i="6" s="1"/>
  <c r="B131" i="6"/>
  <c r="D130" i="6"/>
  <c r="B130" i="6"/>
  <c r="B129" i="6"/>
  <c r="D129" i="6" s="1"/>
  <c r="B128" i="6"/>
  <c r="B127" i="6"/>
  <c r="C127" i="6" s="1"/>
  <c r="B126" i="6"/>
  <c r="B125" i="6"/>
  <c r="C124" i="6"/>
  <c r="B124" i="6"/>
  <c r="B123" i="6"/>
  <c r="B122" i="6"/>
  <c r="C123" i="6" s="1"/>
  <c r="B121" i="6"/>
  <c r="B120" i="6"/>
  <c r="D119" i="6"/>
  <c r="B119" i="6"/>
  <c r="C119" i="6" s="1"/>
  <c r="B118" i="6"/>
  <c r="B117" i="6"/>
  <c r="B116" i="6"/>
  <c r="C116" i="6" s="1"/>
  <c r="B115" i="6"/>
  <c r="D114" i="6"/>
  <c r="B114" i="6"/>
  <c r="D113" i="6"/>
  <c r="B113" i="6"/>
  <c r="B112" i="6"/>
  <c r="B111" i="6"/>
  <c r="B110" i="6"/>
  <c r="B109" i="6"/>
  <c r="C108" i="6"/>
  <c r="B108" i="6"/>
  <c r="B107" i="6"/>
  <c r="B106" i="6"/>
  <c r="C107" i="6" s="1"/>
  <c r="B105" i="6"/>
  <c r="B104" i="6"/>
  <c r="D103" i="6"/>
  <c r="B103" i="6"/>
  <c r="C103" i="6" s="1"/>
  <c r="B102" i="6"/>
  <c r="B101" i="6"/>
  <c r="B100" i="6"/>
  <c r="C100" i="6" s="1"/>
  <c r="B99" i="6"/>
  <c r="D98" i="6"/>
  <c r="B98" i="6"/>
  <c r="C99" i="6" s="1"/>
  <c r="B97" i="6"/>
  <c r="D97" i="6" s="1"/>
  <c r="B96" i="6"/>
  <c r="B95" i="6"/>
  <c r="D95" i="6" s="1"/>
  <c r="B94" i="6"/>
  <c r="B93" i="6"/>
  <c r="C92" i="6"/>
  <c r="B92" i="6"/>
  <c r="B91" i="6"/>
  <c r="B90" i="6"/>
  <c r="B89" i="6"/>
  <c r="B88" i="6"/>
  <c r="B87" i="6"/>
  <c r="C87" i="6" s="1"/>
  <c r="B86" i="6"/>
  <c r="B85" i="6"/>
  <c r="B84" i="6"/>
  <c r="C84" i="6" s="1"/>
  <c r="B83" i="6"/>
  <c r="B82" i="6"/>
  <c r="C83" i="6" s="1"/>
  <c r="D81" i="6"/>
  <c r="B81" i="6"/>
  <c r="B80" i="6"/>
  <c r="B79" i="6"/>
  <c r="B78" i="6"/>
  <c r="B77" i="6"/>
  <c r="B76" i="6"/>
  <c r="C76" i="6" s="1"/>
  <c r="B75" i="6"/>
  <c r="D74" i="6"/>
  <c r="B74" i="6"/>
  <c r="B73" i="6"/>
  <c r="B72" i="6"/>
  <c r="B71" i="6"/>
  <c r="B70" i="6"/>
  <c r="B69" i="6"/>
  <c r="C68" i="6"/>
  <c r="B68" i="6"/>
  <c r="B67" i="6"/>
  <c r="B66" i="6"/>
  <c r="C67" i="6" s="1"/>
  <c r="B65" i="6"/>
  <c r="D65" i="6" s="1"/>
  <c r="B64" i="6"/>
  <c r="D63" i="6"/>
  <c r="B63" i="6"/>
  <c r="B62" i="6"/>
  <c r="B61" i="6"/>
  <c r="B60" i="6"/>
  <c r="C60" i="6" s="1"/>
  <c r="B59" i="6"/>
  <c r="D58" i="6"/>
  <c r="B58" i="6"/>
  <c r="B57" i="6"/>
  <c r="B56" i="6"/>
  <c r="B55" i="6"/>
  <c r="B54" i="6"/>
  <c r="B53" i="6"/>
  <c r="C52" i="6"/>
  <c r="B52" i="6"/>
  <c r="B51" i="6"/>
  <c r="B50" i="6"/>
  <c r="C51" i="6" s="1"/>
  <c r="B49" i="6"/>
  <c r="D49" i="6" s="1"/>
  <c r="B48" i="6"/>
  <c r="B47" i="6"/>
  <c r="C47" i="6" s="1"/>
  <c r="B46" i="6"/>
  <c r="B45" i="6"/>
  <c r="B44" i="6"/>
  <c r="C44" i="6" s="1"/>
  <c r="B43" i="6"/>
  <c r="D42" i="6"/>
  <c r="B42" i="6"/>
  <c r="B41" i="6"/>
  <c r="B40" i="6"/>
  <c r="B39" i="6"/>
  <c r="D39" i="6" s="1"/>
  <c r="B38" i="6"/>
  <c r="B37" i="6"/>
  <c r="C36" i="6"/>
  <c r="B36" i="6"/>
  <c r="B35" i="6"/>
  <c r="D47" i="6" s="1"/>
  <c r="B34" i="6"/>
  <c r="B33" i="6"/>
  <c r="D33" i="6" s="1"/>
  <c r="B32" i="6"/>
  <c r="D31" i="6"/>
  <c r="B31" i="6"/>
  <c r="C31" i="6" s="1"/>
  <c r="B30" i="6"/>
  <c r="B29" i="6"/>
  <c r="B28" i="6"/>
  <c r="D28" i="6" s="1"/>
  <c r="B27" i="6"/>
  <c r="B26" i="6"/>
  <c r="C27" i="6" s="1"/>
  <c r="B25" i="6"/>
  <c r="B24" i="6"/>
  <c r="B23" i="6"/>
  <c r="B22" i="6"/>
  <c r="B21" i="6"/>
  <c r="D20" i="6"/>
  <c r="B20" i="6"/>
  <c r="C20" i="6" s="1"/>
  <c r="B19" i="6"/>
  <c r="B18" i="6"/>
  <c r="C19" i="6" s="1"/>
  <c r="B17" i="6"/>
  <c r="B16" i="6"/>
  <c r="C16" i="6" s="1"/>
  <c r="B15" i="6"/>
  <c r="B14" i="6"/>
  <c r="B13" i="6"/>
  <c r="C13" i="6" s="1"/>
  <c r="B12" i="6"/>
  <c r="C12" i="6" s="1"/>
  <c r="B11" i="6"/>
  <c r="B10" i="6"/>
  <c r="C11" i="6" s="1"/>
  <c r="C9" i="6"/>
  <c r="B9" i="6"/>
  <c r="B8" i="6"/>
  <c r="B7" i="6"/>
  <c r="B362" i="5"/>
  <c r="B361" i="5"/>
  <c r="C361" i="5" s="1"/>
  <c r="G51" i="4" s="1"/>
  <c r="B360" i="5"/>
  <c r="B359" i="5"/>
  <c r="B358" i="5"/>
  <c r="D358" i="5" s="1"/>
  <c r="H48" i="4" s="1"/>
  <c r="B357" i="5"/>
  <c r="B356" i="5"/>
  <c r="B355" i="5"/>
  <c r="B354" i="5"/>
  <c r="B353" i="5"/>
  <c r="D353" i="5" s="1"/>
  <c r="H43" i="4" s="1"/>
  <c r="B352" i="5"/>
  <c r="B351" i="5"/>
  <c r="B350" i="5"/>
  <c r="B349" i="5"/>
  <c r="B348" i="5"/>
  <c r="B347" i="5"/>
  <c r="B346" i="5"/>
  <c r="B345" i="5"/>
  <c r="B344" i="5"/>
  <c r="B343" i="5"/>
  <c r="B342" i="5"/>
  <c r="B341" i="5"/>
  <c r="B340" i="5"/>
  <c r="B339" i="5"/>
  <c r="B338" i="5"/>
  <c r="B337" i="5"/>
  <c r="D337" i="5" s="1"/>
  <c r="H27" i="4" s="1"/>
  <c r="B336" i="5"/>
  <c r="B335" i="5"/>
  <c r="B334" i="5"/>
  <c r="B333" i="5"/>
  <c r="B332" i="5"/>
  <c r="B331" i="5"/>
  <c r="B330" i="5"/>
  <c r="B329" i="5"/>
  <c r="D329" i="5" s="1"/>
  <c r="H19" i="4" s="1"/>
  <c r="B328" i="5"/>
  <c r="B327" i="5"/>
  <c r="B326" i="5"/>
  <c r="B325" i="5"/>
  <c r="B324" i="5"/>
  <c r="B323" i="5"/>
  <c r="B322" i="5"/>
  <c r="B321" i="5"/>
  <c r="B320" i="5"/>
  <c r="B319" i="5"/>
  <c r="B318" i="5"/>
  <c r="B317" i="5"/>
  <c r="B316" i="5"/>
  <c r="B315" i="5"/>
  <c r="B314" i="5"/>
  <c r="C313" i="5"/>
  <c r="B313" i="5"/>
  <c r="B312" i="5"/>
  <c r="B311" i="5"/>
  <c r="B310" i="5"/>
  <c r="B309" i="5"/>
  <c r="B308" i="5"/>
  <c r="B307" i="5"/>
  <c r="B306" i="5"/>
  <c r="B305" i="5"/>
  <c r="B304" i="5"/>
  <c r="C305" i="5" s="1"/>
  <c r="B303" i="5"/>
  <c r="B302" i="5"/>
  <c r="B301" i="5"/>
  <c r="B300" i="5"/>
  <c r="B299" i="5"/>
  <c r="B298" i="5"/>
  <c r="B297" i="5"/>
  <c r="B296" i="5"/>
  <c r="B295" i="5"/>
  <c r="B294" i="5"/>
  <c r="B293" i="5"/>
  <c r="B292" i="5"/>
  <c r="B291" i="5"/>
  <c r="B290" i="5"/>
  <c r="B289" i="5"/>
  <c r="B288" i="5"/>
  <c r="B287" i="5"/>
  <c r="C287" i="5" s="1"/>
  <c r="B286" i="5"/>
  <c r="B285" i="5"/>
  <c r="B284" i="5"/>
  <c r="B283" i="5"/>
  <c r="B282" i="5"/>
  <c r="B281" i="5"/>
  <c r="C281" i="5" s="1"/>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C247" i="5" s="1"/>
  <c r="B245" i="5"/>
  <c r="B244" i="5"/>
  <c r="B243" i="5"/>
  <c r="B242" i="5"/>
  <c r="B241" i="5"/>
  <c r="B240" i="5"/>
  <c r="B239" i="5"/>
  <c r="B238" i="5"/>
  <c r="B237" i="5"/>
  <c r="B236" i="5"/>
  <c r="B235" i="5"/>
  <c r="B234" i="5"/>
  <c r="B233" i="5"/>
  <c r="B232" i="5"/>
  <c r="B231" i="5"/>
  <c r="B230" i="5"/>
  <c r="B229" i="5"/>
  <c r="B228" i="5"/>
  <c r="B227" i="5"/>
  <c r="B226" i="5"/>
  <c r="B225" i="5"/>
  <c r="C225" i="5" s="1"/>
  <c r="B224" i="5"/>
  <c r="B223" i="5"/>
  <c r="B222" i="5"/>
  <c r="B221" i="5"/>
  <c r="B220" i="5"/>
  <c r="B219" i="5"/>
  <c r="B218" i="5"/>
  <c r="D230" i="5" s="1"/>
  <c r="B217" i="5"/>
  <c r="C218" i="5" s="1"/>
  <c r="B216" i="5"/>
  <c r="B215" i="5"/>
  <c r="B214" i="5"/>
  <c r="B213" i="5"/>
  <c r="B212" i="5"/>
  <c r="B211" i="5"/>
  <c r="B210" i="5"/>
  <c r="B209" i="5"/>
  <c r="B208" i="5"/>
  <c r="B207" i="5"/>
  <c r="C207" i="5" s="1"/>
  <c r="B206" i="5"/>
  <c r="B205" i="5"/>
  <c r="B204" i="5"/>
  <c r="B203" i="5"/>
  <c r="B202" i="5"/>
  <c r="C201" i="5"/>
  <c r="B201" i="5"/>
  <c r="B200" i="5"/>
  <c r="B199" i="5"/>
  <c r="B198" i="5"/>
  <c r="B197" i="5"/>
  <c r="B196" i="5"/>
  <c r="B195" i="5"/>
  <c r="C194" i="5"/>
  <c r="B194" i="5"/>
  <c r="D206" i="5" s="1"/>
  <c r="B193" i="5"/>
  <c r="B192" i="5"/>
  <c r="B191" i="5"/>
  <c r="B190" i="5"/>
  <c r="B189" i="5"/>
  <c r="B188" i="5"/>
  <c r="C188" i="5" s="1"/>
  <c r="B187" i="5"/>
  <c r="B186" i="5"/>
  <c r="B185" i="5"/>
  <c r="C185" i="5" s="1"/>
  <c r="B184" i="5"/>
  <c r="B183" i="5"/>
  <c r="B182" i="5"/>
  <c r="B181" i="5"/>
  <c r="B180" i="5"/>
  <c r="B179" i="5"/>
  <c r="B178" i="5"/>
  <c r="D178" i="5" s="1"/>
  <c r="B177" i="5"/>
  <c r="B176" i="5"/>
  <c r="B175" i="5"/>
  <c r="B174" i="5"/>
  <c r="B173" i="5"/>
  <c r="B172" i="5"/>
  <c r="D172" i="5" s="1"/>
  <c r="B171" i="5"/>
  <c r="B170" i="5"/>
  <c r="B169" i="5"/>
  <c r="B168" i="5"/>
  <c r="B167" i="5"/>
  <c r="B166" i="5"/>
  <c r="B165" i="5"/>
  <c r="C166" i="5" s="1"/>
  <c r="B164" i="5"/>
  <c r="B163" i="5"/>
  <c r="B162" i="5"/>
  <c r="C162" i="5" s="1"/>
  <c r="B161" i="5"/>
  <c r="B160" i="5"/>
  <c r="B159" i="5"/>
  <c r="B158" i="5"/>
  <c r="D158" i="5" s="1"/>
  <c r="B157" i="5"/>
  <c r="D157" i="5" s="1"/>
  <c r="B156" i="5"/>
  <c r="B155" i="5"/>
  <c r="B154" i="5"/>
  <c r="B153" i="5"/>
  <c r="B152" i="5"/>
  <c r="B151" i="5"/>
  <c r="B150" i="5"/>
  <c r="B149" i="5"/>
  <c r="B148" i="5"/>
  <c r="B147" i="5"/>
  <c r="B146" i="5"/>
  <c r="C146" i="5" s="1"/>
  <c r="B145" i="5"/>
  <c r="B144" i="5"/>
  <c r="B143" i="5"/>
  <c r="B142" i="5"/>
  <c r="D142" i="5" s="1"/>
  <c r="B141" i="5"/>
  <c r="B140" i="5"/>
  <c r="B139" i="5"/>
  <c r="D139" i="5" s="1"/>
  <c r="B138" i="5"/>
  <c r="B137" i="5"/>
  <c r="B136" i="5"/>
  <c r="B135" i="5"/>
  <c r="B134" i="5"/>
  <c r="B133" i="5"/>
  <c r="B132" i="5"/>
  <c r="B131" i="5"/>
  <c r="B130" i="5"/>
  <c r="C130" i="5" s="1"/>
  <c r="B129" i="5"/>
  <c r="B128" i="5"/>
  <c r="B127" i="5"/>
  <c r="C128" i="5" s="1"/>
  <c r="B126" i="5"/>
  <c r="D126" i="5" s="1"/>
  <c r="B125" i="5"/>
  <c r="B124" i="5"/>
  <c r="C124" i="5" s="1"/>
  <c r="B123" i="5"/>
  <c r="B122" i="5"/>
  <c r="B121" i="5"/>
  <c r="B120" i="5"/>
  <c r="B119" i="5"/>
  <c r="B118" i="5"/>
  <c r="B117" i="5"/>
  <c r="B116" i="5"/>
  <c r="B115" i="5"/>
  <c r="B114" i="5"/>
  <c r="B113" i="5"/>
  <c r="D113" i="5" s="1"/>
  <c r="B112" i="5"/>
  <c r="B111" i="5"/>
  <c r="B110" i="5"/>
  <c r="B109" i="5"/>
  <c r="B108" i="5"/>
  <c r="D108" i="5" s="1"/>
  <c r="B107" i="5"/>
  <c r="B106" i="5"/>
  <c r="B105" i="5"/>
  <c r="B104" i="5"/>
  <c r="B103" i="5"/>
  <c r="B102" i="5"/>
  <c r="C102" i="5" s="1"/>
  <c r="B101" i="5"/>
  <c r="B100" i="5"/>
  <c r="B99" i="5"/>
  <c r="B98" i="5"/>
  <c r="B97" i="5"/>
  <c r="B96" i="5"/>
  <c r="B95" i="5"/>
  <c r="C96" i="5" s="1"/>
  <c r="B94" i="5"/>
  <c r="C95" i="5" s="1"/>
  <c r="B93" i="5"/>
  <c r="B92" i="5"/>
  <c r="B91" i="5"/>
  <c r="B90" i="5"/>
  <c r="B89" i="5"/>
  <c r="B88" i="5"/>
  <c r="D88" i="5" s="1"/>
  <c r="B87" i="5"/>
  <c r="C86" i="5"/>
  <c r="B86" i="5"/>
  <c r="B85" i="5"/>
  <c r="B84" i="5"/>
  <c r="B83" i="5"/>
  <c r="B82" i="5"/>
  <c r="B81" i="5"/>
  <c r="B80" i="5"/>
  <c r="B79" i="5"/>
  <c r="B78" i="5"/>
  <c r="B77" i="5"/>
  <c r="B76" i="5"/>
  <c r="B75" i="5"/>
  <c r="B74" i="5"/>
  <c r="B73" i="5"/>
  <c r="D73" i="5" s="1"/>
  <c r="B72" i="5"/>
  <c r="B71" i="5"/>
  <c r="B70" i="5"/>
  <c r="C70" i="5" s="1"/>
  <c r="B69" i="5"/>
  <c r="B68" i="5"/>
  <c r="B67" i="5"/>
  <c r="B66" i="5"/>
  <c r="C66" i="5" s="1"/>
  <c r="B65" i="5"/>
  <c r="B64" i="5"/>
  <c r="D76" i="5" s="1"/>
  <c r="B63" i="5"/>
  <c r="C63" i="5" s="1"/>
  <c r="B62" i="5"/>
  <c r="B61" i="5"/>
  <c r="B60" i="5"/>
  <c r="D60" i="5" s="1"/>
  <c r="B59" i="5"/>
  <c r="D59" i="5" s="1"/>
  <c r="B58" i="5"/>
  <c r="C57" i="5"/>
  <c r="B57" i="5"/>
  <c r="B56" i="5"/>
  <c r="B55" i="5"/>
  <c r="B54" i="5"/>
  <c r="B53" i="5"/>
  <c r="B52" i="5"/>
  <c r="B51" i="5"/>
  <c r="C50" i="5"/>
  <c r="B50" i="5"/>
  <c r="B49" i="5"/>
  <c r="B48" i="5"/>
  <c r="B47" i="5"/>
  <c r="B46" i="5"/>
  <c r="D46" i="5" s="1"/>
  <c r="B45" i="5"/>
  <c r="B44" i="5"/>
  <c r="C44" i="5" s="1"/>
  <c r="B43" i="5"/>
  <c r="B42" i="5"/>
  <c r="B41" i="5"/>
  <c r="C41" i="5" s="1"/>
  <c r="B40" i="5"/>
  <c r="B39" i="5"/>
  <c r="B38" i="5"/>
  <c r="D38" i="5" s="1"/>
  <c r="B37" i="5"/>
  <c r="C38" i="5" s="1"/>
  <c r="B36" i="5"/>
  <c r="B35" i="5"/>
  <c r="B34" i="5"/>
  <c r="B33" i="5"/>
  <c r="B32" i="5"/>
  <c r="B31" i="5"/>
  <c r="C32" i="5" s="1"/>
  <c r="B30" i="5"/>
  <c r="B29" i="5"/>
  <c r="D29" i="5" s="1"/>
  <c r="B28" i="5"/>
  <c r="D28" i="5" s="1"/>
  <c r="B27" i="5"/>
  <c r="B26" i="5"/>
  <c r="B25" i="5"/>
  <c r="D25" i="5" s="1"/>
  <c r="B24" i="5"/>
  <c r="B23" i="5"/>
  <c r="B22" i="5"/>
  <c r="C22" i="5" s="1"/>
  <c r="B21" i="5"/>
  <c r="B20" i="5"/>
  <c r="B19" i="5"/>
  <c r="B18" i="5"/>
  <c r="B17" i="5"/>
  <c r="B16" i="5"/>
  <c r="B15" i="5"/>
  <c r="B14" i="5"/>
  <c r="C14" i="5" s="1"/>
  <c r="B13" i="5"/>
  <c r="B12" i="5"/>
  <c r="B11" i="5"/>
  <c r="B10" i="5"/>
  <c r="B9" i="5"/>
  <c r="B8" i="5"/>
  <c r="C8" i="5" s="1"/>
  <c r="B7" i="5"/>
  <c r="AC52" i="4"/>
  <c r="X52" i="4"/>
  <c r="W52" i="4"/>
  <c r="S52" i="4"/>
  <c r="R52" i="4"/>
  <c r="Q52" i="4"/>
  <c r="P52" i="4"/>
  <c r="O52" i="4"/>
  <c r="L52" i="4"/>
  <c r="K52" i="4"/>
  <c r="J52" i="4"/>
  <c r="AF51" i="4"/>
  <c r="AE51" i="4"/>
  <c r="Z51" i="4"/>
  <c r="X51" i="4"/>
  <c r="Q51" i="4"/>
  <c r="F51" i="4"/>
  <c r="AF50" i="4"/>
  <c r="AB50" i="4"/>
  <c r="X50" i="4"/>
  <c r="N50" i="4"/>
  <c r="M50" i="4"/>
  <c r="J50" i="4"/>
  <c r="I50" i="4"/>
  <c r="AA49" i="4"/>
  <c r="X49" i="4"/>
  <c r="W49" i="4"/>
  <c r="V49" i="4"/>
  <c r="O49" i="4"/>
  <c r="L49" i="4"/>
  <c r="J49" i="4"/>
  <c r="D49" i="4"/>
  <c r="C49" i="4"/>
  <c r="AF48" i="4"/>
  <c r="AC48" i="4"/>
  <c r="X48" i="4"/>
  <c r="M48" i="4"/>
  <c r="K48" i="4"/>
  <c r="J48" i="4"/>
  <c r="AF47" i="4"/>
  <c r="AE47" i="4"/>
  <c r="Y47" i="4"/>
  <c r="X47" i="4"/>
  <c r="W47" i="4"/>
  <c r="U47" i="4"/>
  <c r="S47" i="4"/>
  <c r="R47" i="4"/>
  <c r="P47" i="4"/>
  <c r="M47" i="4"/>
  <c r="L47" i="4"/>
  <c r="K47" i="4"/>
  <c r="J47" i="4"/>
  <c r="I47" i="4"/>
  <c r="AE46" i="4"/>
  <c r="AD46" i="4"/>
  <c r="AC46" i="4"/>
  <c r="Y46" i="4"/>
  <c r="P46" i="4"/>
  <c r="N46" i="4"/>
  <c r="M46" i="4"/>
  <c r="AF45" i="4"/>
  <c r="AE45" i="4"/>
  <c r="T45" i="4"/>
  <c r="S45" i="4"/>
  <c r="R45" i="4"/>
  <c r="L45" i="4"/>
  <c r="J45" i="4"/>
  <c r="AF44" i="4"/>
  <c r="AC44" i="4"/>
  <c r="X44" i="4"/>
  <c r="W44" i="4"/>
  <c r="T44" i="4"/>
  <c r="S44" i="4"/>
  <c r="R44" i="4"/>
  <c r="Q44" i="4"/>
  <c r="P44" i="4"/>
  <c r="O44" i="4"/>
  <c r="L44" i="4"/>
  <c r="K44" i="4"/>
  <c r="D44" i="4"/>
  <c r="C44" i="4"/>
  <c r="Y43" i="4"/>
  <c r="X43" i="4"/>
  <c r="Q43" i="4"/>
  <c r="P43" i="4"/>
  <c r="O43" i="4"/>
  <c r="AF42" i="4"/>
  <c r="AE42" i="4"/>
  <c r="AB42" i="4"/>
  <c r="X42" i="4"/>
  <c r="U42" i="4"/>
  <c r="O42" i="4"/>
  <c r="N42" i="4"/>
  <c r="M42" i="4"/>
  <c r="J42" i="4"/>
  <c r="I42" i="4"/>
  <c r="AF41" i="4"/>
  <c r="AC41" i="4"/>
  <c r="AB41" i="4"/>
  <c r="X41" i="4"/>
  <c r="W41" i="4"/>
  <c r="V41" i="4"/>
  <c r="P41" i="4"/>
  <c r="O41" i="4"/>
  <c r="L41" i="4"/>
  <c r="K41" i="4"/>
  <c r="I41" i="4"/>
  <c r="Z40" i="4"/>
  <c r="X40" i="4"/>
  <c r="P40" i="4"/>
  <c r="M40" i="4"/>
  <c r="L40" i="4"/>
  <c r="I40" i="4"/>
  <c r="AF39" i="4"/>
  <c r="AE39" i="4"/>
  <c r="AC39" i="4"/>
  <c r="Y39" i="4"/>
  <c r="X39" i="4"/>
  <c r="W39" i="4"/>
  <c r="S39" i="4"/>
  <c r="R39" i="4"/>
  <c r="M39" i="4"/>
  <c r="K39" i="4"/>
  <c r="J39" i="4"/>
  <c r="I39" i="4"/>
  <c r="D39" i="4"/>
  <c r="AF38" i="4"/>
  <c r="AD38" i="4"/>
  <c r="AA38" i="4"/>
  <c r="V38" i="4"/>
  <c r="P38" i="4"/>
  <c r="O38" i="4"/>
  <c r="N38" i="4"/>
  <c r="L38" i="4"/>
  <c r="K38" i="4"/>
  <c r="J38" i="4"/>
  <c r="I38" i="4"/>
  <c r="C38" i="4"/>
  <c r="AE37" i="4"/>
  <c r="T37" i="4"/>
  <c r="R37" i="4"/>
  <c r="N37" i="4"/>
  <c r="J37" i="4"/>
  <c r="I37" i="4"/>
  <c r="C37" i="4"/>
  <c r="AF36" i="4"/>
  <c r="AE36" i="4"/>
  <c r="Z36" i="4"/>
  <c r="Y36" i="4"/>
  <c r="X36" i="4"/>
  <c r="W36" i="4"/>
  <c r="S36" i="4"/>
  <c r="R36" i="4"/>
  <c r="Q36" i="4"/>
  <c r="P36" i="4"/>
  <c r="O36" i="4"/>
  <c r="J36" i="4"/>
  <c r="F36" i="4"/>
  <c r="X35" i="4"/>
  <c r="Q35" i="4"/>
  <c r="O35" i="4"/>
  <c r="L35" i="4"/>
  <c r="K35" i="4"/>
  <c r="AE34" i="4"/>
  <c r="AD34" i="4"/>
  <c r="X34" i="4"/>
  <c r="P34" i="4"/>
  <c r="O34" i="4"/>
  <c r="N34" i="4"/>
  <c r="M34" i="4"/>
  <c r="AF33" i="4"/>
  <c r="AE33" i="4"/>
  <c r="AD33" i="4"/>
  <c r="X33" i="4"/>
  <c r="W33" i="4"/>
  <c r="V33" i="4"/>
  <c r="P33" i="4"/>
  <c r="O33" i="4"/>
  <c r="L33" i="4"/>
  <c r="K33" i="4"/>
  <c r="J33" i="4"/>
  <c r="D33" i="4"/>
  <c r="C33" i="4"/>
  <c r="X32" i="4"/>
  <c r="M32" i="4"/>
  <c r="L32" i="4"/>
  <c r="K32" i="4"/>
  <c r="AE31" i="4"/>
  <c r="Y31" i="4"/>
  <c r="X31" i="4"/>
  <c r="W31" i="4"/>
  <c r="S31" i="4"/>
  <c r="R31" i="4"/>
  <c r="M31" i="4"/>
  <c r="K31" i="4"/>
  <c r="I31" i="4"/>
  <c r="AF30" i="4"/>
  <c r="AE30" i="4"/>
  <c r="AA30" i="4"/>
  <c r="V30" i="4"/>
  <c r="P30" i="4"/>
  <c r="N30" i="4"/>
  <c r="K30" i="4"/>
  <c r="T29" i="4"/>
  <c r="S29" i="4"/>
  <c r="R29" i="4"/>
  <c r="N29" i="4"/>
  <c r="AE28" i="4"/>
  <c r="X28" i="4"/>
  <c r="W28" i="4"/>
  <c r="T28" i="4"/>
  <c r="S28" i="4"/>
  <c r="R28" i="4"/>
  <c r="Q28" i="4"/>
  <c r="P28" i="4"/>
  <c r="J28" i="4"/>
  <c r="E28" i="4"/>
  <c r="D28" i="4"/>
  <c r="C28" i="4"/>
  <c r="AF27" i="4"/>
  <c r="AE27" i="4"/>
  <c r="X27" i="4"/>
  <c r="Q27" i="4"/>
  <c r="P27" i="4"/>
  <c r="O27" i="4"/>
  <c r="L27" i="4"/>
  <c r="K27" i="4"/>
  <c r="F27" i="4"/>
  <c r="AF26" i="4"/>
  <c r="AB26" i="4"/>
  <c r="X26" i="4"/>
  <c r="V26" i="4"/>
  <c r="P26" i="4"/>
  <c r="O26" i="4"/>
  <c r="N26" i="4"/>
  <c r="M26" i="4"/>
  <c r="J26" i="4"/>
  <c r="AF25" i="4"/>
  <c r="AD25" i="4"/>
  <c r="X25" i="4"/>
  <c r="W25" i="4"/>
  <c r="V25" i="4"/>
  <c r="O25" i="4"/>
  <c r="L25" i="4"/>
  <c r="J25" i="4"/>
  <c r="I25" i="4"/>
  <c r="AF24" i="4"/>
  <c r="AE24" i="4"/>
  <c r="AC24" i="4"/>
  <c r="Z24" i="4"/>
  <c r="X24" i="4"/>
  <c r="M24" i="4"/>
  <c r="L24" i="4"/>
  <c r="K24" i="4"/>
  <c r="I24" i="4"/>
  <c r="AC23" i="4"/>
  <c r="Y23" i="4"/>
  <c r="X23" i="4"/>
  <c r="W23" i="4"/>
  <c r="S23" i="4"/>
  <c r="R23" i="4"/>
  <c r="M23" i="4"/>
  <c r="L23" i="4"/>
  <c r="J23" i="4"/>
  <c r="E23" i="4"/>
  <c r="D23" i="4"/>
  <c r="AF22" i="4"/>
  <c r="AE22" i="4"/>
  <c r="V22" i="4"/>
  <c r="P22" i="4"/>
  <c r="O22" i="4"/>
  <c r="N22" i="4"/>
  <c r="J22" i="4"/>
  <c r="I22" i="4"/>
  <c r="C22" i="4"/>
  <c r="AF21" i="4"/>
  <c r="T21" i="4"/>
  <c r="R21" i="4"/>
  <c r="N21" i="4"/>
  <c r="L21" i="4"/>
  <c r="J21" i="4"/>
  <c r="I21" i="4"/>
  <c r="AC20" i="4"/>
  <c r="AB20" i="4"/>
  <c r="AA20" i="4"/>
  <c r="Z20" i="4"/>
  <c r="Y20" i="4"/>
  <c r="X20" i="4"/>
  <c r="W20" i="4"/>
  <c r="S20" i="4"/>
  <c r="R20" i="4"/>
  <c r="Q20" i="4"/>
  <c r="L20" i="4"/>
  <c r="K20" i="4"/>
  <c r="J20" i="4"/>
  <c r="F20" i="4"/>
  <c r="AE19" i="4"/>
  <c r="X19" i="4"/>
  <c r="Q19" i="4"/>
  <c r="P19" i="4"/>
  <c r="O19" i="4"/>
  <c r="AF18" i="4"/>
  <c r="X18" i="4"/>
  <c r="V18" i="4"/>
  <c r="U18" i="4"/>
  <c r="N18" i="4"/>
  <c r="M18" i="4"/>
  <c r="I18" i="4"/>
  <c r="AC17" i="4"/>
  <c r="X17" i="4"/>
  <c r="W17" i="4"/>
  <c r="V17" i="4"/>
  <c r="K17" i="4"/>
  <c r="J17" i="4"/>
  <c r="D17" i="4"/>
  <c r="C17" i="4"/>
  <c r="AF16" i="4"/>
  <c r="X16" i="4"/>
  <c r="P16" i="4"/>
  <c r="M16" i="4"/>
  <c r="K16" i="4"/>
  <c r="AF15" i="4"/>
  <c r="AE15" i="4"/>
  <c r="AA15" i="4"/>
  <c r="X15" i="4"/>
  <c r="W15" i="4"/>
  <c r="S15" i="4"/>
  <c r="R15" i="4"/>
  <c r="P15" i="4"/>
  <c r="M15" i="4"/>
  <c r="L15" i="4"/>
  <c r="K15" i="4"/>
  <c r="E15" i="4"/>
  <c r="D15" i="4"/>
  <c r="AF14" i="4"/>
  <c r="AE14" i="4"/>
  <c r="AD14" i="4"/>
  <c r="AB14" i="4"/>
  <c r="P14" i="4"/>
  <c r="N14" i="4"/>
  <c r="AF13" i="4"/>
  <c r="AE13" i="4"/>
  <c r="T13" i="4"/>
  <c r="N13" i="4"/>
  <c r="L13" i="4"/>
  <c r="AE12" i="4"/>
  <c r="Z12" i="4"/>
  <c r="X12" i="4"/>
  <c r="W12" i="4"/>
  <c r="T12" i="4"/>
  <c r="S12" i="4"/>
  <c r="R12" i="4"/>
  <c r="Q12" i="4"/>
  <c r="O12" i="4"/>
  <c r="L12" i="4"/>
  <c r="K12" i="4"/>
  <c r="J12" i="4"/>
  <c r="I12" i="4"/>
  <c r="X11" i="4"/>
  <c r="Q11" i="4"/>
  <c r="O11" i="4"/>
  <c r="F11" i="4"/>
  <c r="AF10" i="4"/>
  <c r="AE10" i="4"/>
  <c r="AC10" i="4"/>
  <c r="X10" i="4"/>
  <c r="U10" i="4"/>
  <c r="O10" i="4"/>
  <c r="N10" i="4"/>
  <c r="M10" i="4"/>
  <c r="J10" i="4"/>
  <c r="F10" i="4"/>
  <c r="E10" i="4"/>
  <c r="X9" i="4"/>
  <c r="W9" i="4"/>
  <c r="V9" i="4"/>
  <c r="R9" i="4"/>
  <c r="L9" i="4"/>
  <c r="K9" i="4"/>
  <c r="I9" i="4"/>
  <c r="E9" i="4"/>
  <c r="D9" i="4"/>
  <c r="AB8" i="4"/>
  <c r="X8" i="4"/>
  <c r="P8" i="4"/>
  <c r="M8" i="4"/>
  <c r="L8" i="4"/>
  <c r="I8" i="4"/>
  <c r="AF7" i="4"/>
  <c r="AE7" i="4"/>
  <c r="Z7" i="4"/>
  <c r="X7" i="4"/>
  <c r="W7" i="4"/>
  <c r="U7" i="4"/>
  <c r="S7" i="4"/>
  <c r="R7" i="4"/>
  <c r="M7" i="4"/>
  <c r="K7" i="4"/>
  <c r="J7" i="4"/>
  <c r="AF6" i="4"/>
  <c r="P6" i="4"/>
  <c r="N6" i="4"/>
  <c r="L6" i="4"/>
  <c r="K6" i="4"/>
  <c r="J6" i="4"/>
  <c r="I6" i="4"/>
  <c r="C6" i="4"/>
  <c r="AE5" i="4"/>
  <c r="T5" i="4"/>
  <c r="R5" i="4"/>
  <c r="N5" i="4"/>
  <c r="J5" i="4"/>
  <c r="I5" i="4"/>
  <c r="AE4" i="4"/>
  <c r="Y4" i="4"/>
  <c r="X4" i="4"/>
  <c r="W4" i="4"/>
  <c r="S4" i="4"/>
  <c r="R4" i="4"/>
  <c r="Q4" i="4"/>
  <c r="P4" i="4"/>
  <c r="O4" i="4"/>
  <c r="J4" i="4"/>
  <c r="F4" i="4"/>
  <c r="E21" i="3"/>
  <c r="E20" i="3"/>
  <c r="E19" i="3"/>
  <c r="E18" i="3"/>
  <c r="G17" i="3"/>
  <c r="Q26" i="1" s="1"/>
  <c r="E17" i="3"/>
  <c r="E16" i="3"/>
  <c r="E15" i="3"/>
  <c r="G14" i="3"/>
  <c r="Q23" i="1" s="1"/>
  <c r="E14" i="3"/>
  <c r="G13" i="3"/>
  <c r="Q22" i="1" s="1"/>
  <c r="E13" i="3"/>
  <c r="E12" i="3"/>
  <c r="G11" i="3"/>
  <c r="Q20" i="1" s="1"/>
  <c r="E11" i="3"/>
  <c r="G10" i="3"/>
  <c r="Q19" i="1" s="1"/>
  <c r="E10" i="3"/>
  <c r="D10" i="3"/>
  <c r="E9" i="3"/>
  <c r="E8" i="3"/>
  <c r="E7" i="3"/>
  <c r="E2" i="3"/>
  <c r="D19" i="3" s="1"/>
  <c r="N35" i="1"/>
  <c r="N34" i="1"/>
  <c r="D18" i="3" l="1"/>
  <c r="D15" i="3"/>
  <c r="F15" i="3" s="1"/>
  <c r="P24" i="1" s="1"/>
  <c r="D8" i="3"/>
  <c r="D16" i="3"/>
  <c r="F16" i="3" s="1"/>
  <c r="P25" i="1" s="1"/>
  <c r="D21" i="3"/>
  <c r="F8" i="3"/>
  <c r="P17" i="1" s="1"/>
  <c r="D13" i="3"/>
  <c r="F13" i="3" s="1"/>
  <c r="P22" i="1" s="1"/>
  <c r="D333" i="19"/>
  <c r="Z23" i="4" s="1"/>
  <c r="C365" i="19"/>
  <c r="F18" i="3"/>
  <c r="P27" i="1" s="1"/>
  <c r="C12" i="19"/>
  <c r="C25" i="19"/>
  <c r="C33" i="19"/>
  <c r="D38" i="19"/>
  <c r="C48" i="19"/>
  <c r="C84" i="19"/>
  <c r="C100" i="19"/>
  <c r="C112" i="19"/>
  <c r="C122" i="19"/>
  <c r="C128" i="19"/>
  <c r="C145" i="19"/>
  <c r="C147" i="19"/>
  <c r="D159" i="19"/>
  <c r="C173" i="19"/>
  <c r="D217" i="19"/>
  <c r="C245" i="19"/>
  <c r="D273" i="19"/>
  <c r="C301" i="19"/>
  <c r="D329" i="19"/>
  <c r="Z19" i="4" s="1"/>
  <c r="D362" i="19"/>
  <c r="D33" i="19"/>
  <c r="C85" i="19"/>
  <c r="D112" i="19"/>
  <c r="D128" i="19"/>
  <c r="D173" i="19"/>
  <c r="D245" i="19"/>
  <c r="D301" i="19"/>
  <c r="D357" i="19"/>
  <c r="Z47" i="4" s="1"/>
  <c r="C26" i="19"/>
  <c r="D81" i="19"/>
  <c r="C101" i="19"/>
  <c r="C325" i="19"/>
  <c r="Y15" i="4" s="1"/>
  <c r="D30" i="19"/>
  <c r="D50" i="19"/>
  <c r="D101" i="19"/>
  <c r="C170" i="19"/>
  <c r="C186" i="19"/>
  <c r="C197" i="19"/>
  <c r="C253" i="19"/>
  <c r="C309" i="19"/>
  <c r="D358" i="19"/>
  <c r="Z48" i="4" s="1"/>
  <c r="C9" i="19"/>
  <c r="C16" i="19"/>
  <c r="C27" i="19"/>
  <c r="D48" i="19"/>
  <c r="D63" i="19"/>
  <c r="C71" i="19"/>
  <c r="C79" i="19"/>
  <c r="D82" i="19"/>
  <c r="C95" i="19"/>
  <c r="D98" i="19"/>
  <c r="C114" i="19"/>
  <c r="C130" i="19"/>
  <c r="D133" i="19"/>
  <c r="D141" i="19"/>
  <c r="D149" i="19"/>
  <c r="C181" i="19"/>
  <c r="C226" i="19"/>
  <c r="C237" i="19"/>
  <c r="C298" i="19"/>
  <c r="D342" i="19"/>
  <c r="Z32" i="4" s="1"/>
  <c r="D359" i="19"/>
  <c r="Z49" i="4" s="1"/>
  <c r="D363" i="19"/>
  <c r="C10" i="19"/>
  <c r="C36" i="19"/>
  <c r="C65" i="19"/>
  <c r="D79" i="19"/>
  <c r="D95" i="19"/>
  <c r="C103" i="19"/>
  <c r="C111" i="19"/>
  <c r="D114" i="19"/>
  <c r="C127" i="19"/>
  <c r="D130" i="19"/>
  <c r="C146" i="19"/>
  <c r="C165" i="19"/>
  <c r="C210" i="19"/>
  <c r="C221" i="19"/>
  <c r="D237" i="19"/>
  <c r="C282" i="19"/>
  <c r="C293" i="19"/>
  <c r="C322" i="19"/>
  <c r="Y12" i="4" s="1"/>
  <c r="C338" i="19"/>
  <c r="Y28" i="4" s="1"/>
  <c r="C359" i="19"/>
  <c r="Y49" i="4" s="1"/>
  <c r="D36" i="19"/>
  <c r="C32" i="19"/>
  <c r="C64" i="19"/>
  <c r="C81" i="19"/>
  <c r="C83" i="19"/>
  <c r="C97" i="19"/>
  <c r="C99" i="19"/>
  <c r="C162" i="19"/>
  <c r="D165" i="19"/>
  <c r="D172" i="19"/>
  <c r="C194" i="19"/>
  <c r="C266" i="19"/>
  <c r="D293" i="19"/>
  <c r="D354" i="19"/>
  <c r="Z44" i="4" s="1"/>
  <c r="D360" i="19"/>
  <c r="Z50" i="4" s="1"/>
  <c r="D27" i="18"/>
  <c r="D194" i="18"/>
  <c r="D223" i="18"/>
  <c r="D228" i="18"/>
  <c r="D325" i="18"/>
  <c r="AD15" i="4" s="1"/>
  <c r="D332" i="18"/>
  <c r="AD22" i="4" s="1"/>
  <c r="C365" i="18"/>
  <c r="C32" i="18"/>
  <c r="D37" i="18"/>
  <c r="C54" i="18"/>
  <c r="D80" i="18"/>
  <c r="D89" i="18"/>
  <c r="D112" i="18"/>
  <c r="D134" i="18"/>
  <c r="C126" i="18"/>
  <c r="D163" i="18"/>
  <c r="D181" i="18"/>
  <c r="D192" i="18"/>
  <c r="C185" i="18"/>
  <c r="C191" i="18"/>
  <c r="D214" i="18"/>
  <c r="C234" i="18"/>
  <c r="D243" i="18"/>
  <c r="D287" i="18"/>
  <c r="D280" i="18"/>
  <c r="C286" i="18"/>
  <c r="C295" i="18"/>
  <c r="D308" i="18"/>
  <c r="D323" i="18"/>
  <c r="AD13" i="4" s="1"/>
  <c r="C338" i="18"/>
  <c r="AC28" i="4" s="1"/>
  <c r="C344" i="18"/>
  <c r="AC34" i="4" s="1"/>
  <c r="C355" i="18"/>
  <c r="AC45" i="4" s="1"/>
  <c r="C12" i="18"/>
  <c r="D85" i="18"/>
  <c r="C100" i="18"/>
  <c r="D176" i="18"/>
  <c r="D175" i="18"/>
  <c r="D220" i="18"/>
  <c r="C256" i="18"/>
  <c r="C275" i="18"/>
  <c r="D286" i="18"/>
  <c r="D295" i="18"/>
  <c r="D309" i="18"/>
  <c r="C314" i="18"/>
  <c r="AC4" i="4" s="1"/>
  <c r="C324" i="18"/>
  <c r="AC14" i="4" s="1"/>
  <c r="D364" i="18"/>
  <c r="D257" i="18"/>
  <c r="D269" i="18"/>
  <c r="D304" i="18"/>
  <c r="C81" i="18"/>
  <c r="C86" i="18"/>
  <c r="C156" i="18"/>
  <c r="D171" i="18"/>
  <c r="D205" i="18"/>
  <c r="C211" i="18"/>
  <c r="D216" i="18"/>
  <c r="C231" i="18"/>
  <c r="C257" i="18"/>
  <c r="C283" i="18"/>
  <c r="D292" i="18"/>
  <c r="D30" i="18"/>
  <c r="D104" i="18"/>
  <c r="C113" i="18"/>
  <c r="C118" i="18"/>
  <c r="C124" i="18"/>
  <c r="C187" i="18"/>
  <c r="C13" i="18"/>
  <c r="D19" i="18"/>
  <c r="D34" i="18"/>
  <c r="C40" i="18"/>
  <c r="D60" i="18"/>
  <c r="D81" i="18"/>
  <c r="D92" i="18"/>
  <c r="D113" i="18"/>
  <c r="D124" i="18"/>
  <c r="C142" i="18"/>
  <c r="D156" i="18"/>
  <c r="C177" i="18"/>
  <c r="C188" i="18"/>
  <c r="C193" i="18"/>
  <c r="D197" i="18"/>
  <c r="C202" i="18"/>
  <c r="D217" i="18"/>
  <c r="D222" i="18"/>
  <c r="C227" i="18"/>
  <c r="D236" i="18"/>
  <c r="D253" i="18"/>
  <c r="D258" i="18"/>
  <c r="C262" i="18"/>
  <c r="D283" i="18"/>
  <c r="C288" i="18"/>
  <c r="D306" i="18"/>
  <c r="C311" i="18"/>
  <c r="D316" i="18"/>
  <c r="AD6" i="4" s="1"/>
  <c r="C331" i="18"/>
  <c r="AC21" i="4" s="1"/>
  <c r="C341" i="18"/>
  <c r="AC31" i="4" s="1"/>
  <c r="D359" i="18"/>
  <c r="AD49" i="4" s="1"/>
  <c r="D362" i="18"/>
  <c r="D363" i="18"/>
  <c r="C18" i="18"/>
  <c r="D45" i="18"/>
  <c r="C31" i="18"/>
  <c r="C61" i="18"/>
  <c r="D99" i="18"/>
  <c r="C93" i="18"/>
  <c r="D131" i="18"/>
  <c r="C125" i="18"/>
  <c r="D160" i="18"/>
  <c r="C157" i="18"/>
  <c r="C198" i="18"/>
  <c r="D242" i="18"/>
  <c r="C258" i="18"/>
  <c r="D272" i="18"/>
  <c r="C279" i="18"/>
  <c r="C284" i="18"/>
  <c r="D319" i="18"/>
  <c r="AD9" i="4" s="1"/>
  <c r="D326" i="18"/>
  <c r="AD16" i="4" s="1"/>
  <c r="D331" i="18"/>
  <c r="AD21" i="4" s="1"/>
  <c r="C336" i="18"/>
  <c r="AC26" i="4" s="1"/>
  <c r="D347" i="18"/>
  <c r="AD37" i="4" s="1"/>
  <c r="D352" i="18"/>
  <c r="AD42" i="4" s="1"/>
  <c r="C14" i="18"/>
  <c r="D165" i="18"/>
  <c r="D167" i="18"/>
  <c r="C215" i="18"/>
  <c r="D245" i="18"/>
  <c r="C237" i="18"/>
  <c r="D255" i="18"/>
  <c r="D298" i="18"/>
  <c r="D312" i="18"/>
  <c r="D322" i="18"/>
  <c r="AD12" i="4" s="1"/>
  <c r="D336" i="18"/>
  <c r="AD26" i="4" s="1"/>
  <c r="D26" i="17"/>
  <c r="D46" i="17"/>
  <c r="D70" i="17"/>
  <c r="C120" i="17"/>
  <c r="D254" i="17"/>
  <c r="D302" i="17"/>
  <c r="D342" i="17"/>
  <c r="AB32" i="4" s="1"/>
  <c r="C365" i="17"/>
  <c r="D41" i="17"/>
  <c r="C12" i="17"/>
  <c r="D23" i="17"/>
  <c r="C67" i="17"/>
  <c r="C82" i="17"/>
  <c r="C103" i="17"/>
  <c r="C107" i="17"/>
  <c r="C150" i="17"/>
  <c r="D217" i="17"/>
  <c r="D222" i="17"/>
  <c r="C226" i="17"/>
  <c r="C237" i="17"/>
  <c r="D326" i="17"/>
  <c r="AB16" i="4" s="1"/>
  <c r="D343" i="17"/>
  <c r="AB33" i="4" s="1"/>
  <c r="D348" i="17"/>
  <c r="AB38" i="4" s="1"/>
  <c r="D354" i="17"/>
  <c r="AB44" i="4" s="1"/>
  <c r="D359" i="17"/>
  <c r="AB49" i="4" s="1"/>
  <c r="D364" i="17"/>
  <c r="D162" i="17"/>
  <c r="D344" i="17"/>
  <c r="AB34" i="4" s="1"/>
  <c r="C185" i="17"/>
  <c r="C201" i="17"/>
  <c r="D168" i="17"/>
  <c r="D174" i="17"/>
  <c r="D25" i="17"/>
  <c r="D30" i="17"/>
  <c r="D44" i="17"/>
  <c r="D49" i="17"/>
  <c r="D72" i="17"/>
  <c r="D64" i="17"/>
  <c r="C75" i="17"/>
  <c r="D84" i="17"/>
  <c r="D90" i="17"/>
  <c r="C100" i="17"/>
  <c r="D128" i="17"/>
  <c r="D121" i="17"/>
  <c r="C132" i="17"/>
  <c r="D136" i="17"/>
  <c r="C140" i="17"/>
  <c r="D156" i="17"/>
  <c r="D160" i="17"/>
  <c r="D169" i="17"/>
  <c r="D185" i="17"/>
  <c r="C191" i="17"/>
  <c r="C217" i="17"/>
  <c r="D252" i="17"/>
  <c r="C244" i="17"/>
  <c r="D262" i="17"/>
  <c r="D260" i="17"/>
  <c r="C266" i="17"/>
  <c r="D298" i="17"/>
  <c r="C316" i="17"/>
  <c r="AA6" i="4" s="1"/>
  <c r="D334" i="17"/>
  <c r="AB24" i="4" s="1"/>
  <c r="C332" i="17"/>
  <c r="AA22" i="4" s="1"/>
  <c r="C356" i="17"/>
  <c r="AA46" i="4" s="1"/>
  <c r="D363" i="17"/>
  <c r="D59" i="17"/>
  <c r="D79" i="17"/>
  <c r="D94" i="17"/>
  <c r="C15" i="17"/>
  <c r="D21" i="17"/>
  <c r="C25" i="17"/>
  <c r="C30" i="17"/>
  <c r="D50" i="17"/>
  <c r="D55" i="17"/>
  <c r="C85" i="17"/>
  <c r="C90" i="17"/>
  <c r="D100" i="17"/>
  <c r="D105" i="17"/>
  <c r="D137" i="17"/>
  <c r="D153" i="17"/>
  <c r="D157" i="17"/>
  <c r="C160" i="17"/>
  <c r="C182" i="17"/>
  <c r="D204" i="17"/>
  <c r="D214" i="17"/>
  <c r="C230" i="17"/>
  <c r="D266" i="17"/>
  <c r="D362" i="17"/>
  <c r="D43" i="17"/>
  <c r="C49" i="17"/>
  <c r="C64" i="17"/>
  <c r="D35" i="17"/>
  <c r="D118" i="17"/>
  <c r="D139" i="17"/>
  <c r="C192" i="17"/>
  <c r="C214" i="17"/>
  <c r="D144" i="16"/>
  <c r="D176" i="16"/>
  <c r="D230" i="16"/>
  <c r="D294" i="16"/>
  <c r="D358" i="16"/>
  <c r="V48" i="4" s="1"/>
  <c r="C365" i="16"/>
  <c r="D23" i="16"/>
  <c r="C16" i="16"/>
  <c r="D27" i="16"/>
  <c r="C32" i="16"/>
  <c r="D38" i="16"/>
  <c r="D69" i="16"/>
  <c r="D98" i="16"/>
  <c r="D112" i="16"/>
  <c r="C117" i="16"/>
  <c r="D135" i="16"/>
  <c r="D128" i="16"/>
  <c r="D133" i="16"/>
  <c r="D167" i="16"/>
  <c r="D160" i="16"/>
  <c r="D165" i="16"/>
  <c r="D199" i="16"/>
  <c r="D192" i="16"/>
  <c r="D254" i="16"/>
  <c r="D260" i="16"/>
  <c r="D318" i="16"/>
  <c r="V8" i="4" s="1"/>
  <c r="D324" i="16"/>
  <c r="V14" i="4" s="1"/>
  <c r="C88" i="16"/>
  <c r="D141" i="16"/>
  <c r="C145" i="16"/>
  <c r="D173" i="16"/>
  <c r="D214" i="16"/>
  <c r="C237" i="16"/>
  <c r="D248" i="16"/>
  <c r="D278" i="16"/>
  <c r="D312" i="16"/>
  <c r="D342" i="16"/>
  <c r="V32" i="4" s="1"/>
  <c r="D364" i="16"/>
  <c r="C50" i="16"/>
  <c r="C70" i="16"/>
  <c r="C75" i="16"/>
  <c r="D79" i="16"/>
  <c r="C99" i="16"/>
  <c r="D125" i="16"/>
  <c r="D238" i="16"/>
  <c r="D244" i="16"/>
  <c r="D302" i="16"/>
  <c r="D308" i="16"/>
  <c r="D168" i="16"/>
  <c r="C174" i="16"/>
  <c r="C178" i="16"/>
  <c r="D262" i="16"/>
  <c r="D296" i="16"/>
  <c r="D326" i="16"/>
  <c r="V16" i="4" s="1"/>
  <c r="C349" i="16"/>
  <c r="U39" i="4" s="1"/>
  <c r="D355" i="16"/>
  <c r="V45" i="4" s="1"/>
  <c r="D360" i="16"/>
  <c r="V50" i="4" s="1"/>
  <c r="C24" i="16"/>
  <c r="D29" i="16"/>
  <c r="D55" i="16"/>
  <c r="C84" i="16"/>
  <c r="D136" i="16"/>
  <c r="C142" i="16"/>
  <c r="C146" i="16"/>
  <c r="D31" i="16"/>
  <c r="D24" i="16"/>
  <c r="C35" i="16"/>
  <c r="C47" i="16"/>
  <c r="C51" i="16"/>
  <c r="C90" i="16"/>
  <c r="C105" i="16"/>
  <c r="D122" i="16"/>
  <c r="D120" i="16"/>
  <c r="C126" i="16"/>
  <c r="C130" i="16"/>
  <c r="C136" i="16"/>
  <c r="D142" i="16"/>
  <c r="D152" i="16"/>
  <c r="C158" i="16"/>
  <c r="C162" i="16"/>
  <c r="C168" i="16"/>
  <c r="D174" i="16"/>
  <c r="D184" i="16"/>
  <c r="C190" i="16"/>
  <c r="C200" i="16"/>
  <c r="C205" i="16"/>
  <c r="C216" i="16"/>
  <c r="D222" i="16"/>
  <c r="D228" i="16"/>
  <c r="C280" i="16"/>
  <c r="D286" i="16"/>
  <c r="D292" i="16"/>
  <c r="C344" i="16"/>
  <c r="U34" i="4" s="1"/>
  <c r="D350" i="16"/>
  <c r="V40" i="4" s="1"/>
  <c r="D356" i="16"/>
  <c r="V46" i="4" s="1"/>
  <c r="D363" i="16"/>
  <c r="C13" i="16"/>
  <c r="D61" i="16"/>
  <c r="C14" i="16"/>
  <c r="D35" i="16"/>
  <c r="D52" i="16"/>
  <c r="C67" i="16"/>
  <c r="D89" i="16"/>
  <c r="C81" i="16"/>
  <c r="C96" i="16"/>
  <c r="D115" i="16"/>
  <c r="D126" i="16"/>
  <c r="C143" i="16"/>
  <c r="D147" i="16"/>
  <c r="D158" i="16"/>
  <c r="C175" i="16"/>
  <c r="D179" i="16"/>
  <c r="C184" i="16"/>
  <c r="D246" i="16"/>
  <c r="D252" i="16"/>
  <c r="D310" i="16"/>
  <c r="D316" i="16"/>
  <c r="V6" i="4" s="1"/>
  <c r="D114" i="16"/>
  <c r="D119" i="16"/>
  <c r="C127" i="16"/>
  <c r="D131" i="16"/>
  <c r="D143" i="16"/>
  <c r="C159" i="16"/>
  <c r="D163" i="16"/>
  <c r="D175" i="16"/>
  <c r="C191" i="16"/>
  <c r="D206" i="16"/>
  <c r="D212" i="16"/>
  <c r="D270" i="16"/>
  <c r="D334" i="16"/>
  <c r="V24" i="4" s="1"/>
  <c r="C365" i="15"/>
  <c r="D364" i="15"/>
  <c r="D363" i="15"/>
  <c r="C365" i="14"/>
  <c r="D363" i="14"/>
  <c r="D363" i="13"/>
  <c r="C365" i="12"/>
  <c r="D363" i="12"/>
  <c r="C365" i="11"/>
  <c r="D363" i="11"/>
  <c r="F21" i="3"/>
  <c r="P30" i="1" s="1"/>
  <c r="C365" i="10"/>
  <c r="D364" i="10"/>
  <c r="D363" i="10"/>
  <c r="C365" i="9"/>
  <c r="D364" i="9"/>
  <c r="D363" i="9"/>
  <c r="C365" i="8"/>
  <c r="D364" i="8"/>
  <c r="D363" i="8"/>
  <c r="E22" i="3"/>
  <c r="D143" i="7"/>
  <c r="C365" i="7"/>
  <c r="D59" i="7"/>
  <c r="D124" i="7"/>
  <c r="C37" i="7"/>
  <c r="D83" i="7"/>
  <c r="D107" i="7"/>
  <c r="C113" i="7"/>
  <c r="C121" i="7"/>
  <c r="D130" i="7"/>
  <c r="C154" i="7"/>
  <c r="D158" i="7"/>
  <c r="C193" i="7"/>
  <c r="C217" i="7"/>
  <c r="C245" i="7"/>
  <c r="D251" i="7"/>
  <c r="C257" i="7"/>
  <c r="C280" i="7"/>
  <c r="C290" i="7"/>
  <c r="C295" i="7"/>
  <c r="D304" i="7"/>
  <c r="D309" i="7"/>
  <c r="C321" i="7"/>
  <c r="E11" i="4" s="1"/>
  <c r="D352" i="7"/>
  <c r="F42" i="4" s="1"/>
  <c r="C357" i="7"/>
  <c r="E47" i="4" s="1"/>
  <c r="C330" i="7"/>
  <c r="E20" i="4" s="1"/>
  <c r="D364" i="7"/>
  <c r="C181" i="7"/>
  <c r="C208" i="7"/>
  <c r="C242" i="7"/>
  <c r="C287" i="7"/>
  <c r="C301" i="7"/>
  <c r="D115" i="7"/>
  <c r="D289" i="7"/>
  <c r="C349" i="7"/>
  <c r="E39" i="4" s="1"/>
  <c r="C23" i="7"/>
  <c r="C178" i="7"/>
  <c r="C197" i="7"/>
  <c r="D219" i="7"/>
  <c r="C224" i="7"/>
  <c r="C239" i="7"/>
  <c r="D301" i="7"/>
  <c r="C306" i="7"/>
  <c r="C8" i="7"/>
  <c r="C14" i="7"/>
  <c r="C29" i="7"/>
  <c r="C39" i="7"/>
  <c r="D48" i="7"/>
  <c r="C53" i="7"/>
  <c r="D74" i="7"/>
  <c r="D79" i="7"/>
  <c r="D90" i="7"/>
  <c r="C95" i="7"/>
  <c r="C116" i="7"/>
  <c r="C122" i="7"/>
  <c r="C137" i="7"/>
  <c r="C146" i="7"/>
  <c r="C151" i="7"/>
  <c r="D165" i="7"/>
  <c r="D169" i="7"/>
  <c r="D178" i="7"/>
  <c r="D209" i="7"/>
  <c r="C213" i="7"/>
  <c r="D239" i="7"/>
  <c r="C249" i="7"/>
  <c r="C258" i="7"/>
  <c r="C263" i="7"/>
  <c r="D272" i="7"/>
  <c r="D277" i="7"/>
  <c r="C289" i="7"/>
  <c r="D305" i="7"/>
  <c r="D306" i="7"/>
  <c r="C312" i="7"/>
  <c r="C322" i="7"/>
  <c r="E12" i="4" s="1"/>
  <c r="C327" i="7"/>
  <c r="E17" i="4" s="1"/>
  <c r="D353" i="7"/>
  <c r="F43" i="4" s="1"/>
  <c r="D349" i="7"/>
  <c r="F39" i="4" s="1"/>
  <c r="C361" i="7"/>
  <c r="E51" i="4" s="1"/>
  <c r="D363" i="7"/>
  <c r="C47" i="7"/>
  <c r="C103" i="7"/>
  <c r="D232" i="7"/>
  <c r="D127" i="7"/>
  <c r="C155" i="7"/>
  <c r="C15" i="7"/>
  <c r="D24" i="7"/>
  <c r="D29" i="7"/>
  <c r="C46" i="7"/>
  <c r="D53" i="7"/>
  <c r="C74" i="7"/>
  <c r="D91" i="7"/>
  <c r="D129" i="7"/>
  <c r="D133" i="7"/>
  <c r="C153" i="7"/>
  <c r="C166" i="7"/>
  <c r="C191" i="7"/>
  <c r="D235" i="7"/>
  <c r="C241" i="7"/>
  <c r="D248" i="7"/>
  <c r="D281" i="7"/>
  <c r="D290" i="7"/>
  <c r="C288" i="7"/>
  <c r="C293" i="7"/>
  <c r="D312" i="7"/>
  <c r="D345" i="7"/>
  <c r="F35" i="4" s="1"/>
  <c r="C341" i="7"/>
  <c r="E31" i="4" s="1"/>
  <c r="D360" i="7"/>
  <c r="F50" i="4" s="1"/>
  <c r="C114" i="7"/>
  <c r="D136" i="7"/>
  <c r="D145" i="7"/>
  <c r="C34" i="7"/>
  <c r="D67" i="7"/>
  <c r="C22" i="7"/>
  <c r="D40" i="7"/>
  <c r="D76" i="7"/>
  <c r="D108" i="7"/>
  <c r="D106" i="7"/>
  <c r="D111" i="7"/>
  <c r="D162" i="7"/>
  <c r="C185" i="7"/>
  <c r="C207" i="7"/>
  <c r="C265" i="7"/>
  <c r="C275" i="7"/>
  <c r="D284" i="7"/>
  <c r="G7" i="3"/>
  <c r="Q16" i="1" s="1"/>
  <c r="D52" i="4"/>
  <c r="C71" i="6"/>
  <c r="C111" i="6"/>
  <c r="C28" i="6"/>
  <c r="D111" i="6"/>
  <c r="D122" i="6"/>
  <c r="C15" i="6"/>
  <c r="D25" i="6"/>
  <c r="C43" i="6"/>
  <c r="C115" i="6"/>
  <c r="C159" i="6"/>
  <c r="C171" i="6"/>
  <c r="D175" i="6"/>
  <c r="C211" i="6"/>
  <c r="D221" i="6"/>
  <c r="C239" i="6"/>
  <c r="C275" i="6"/>
  <c r="D285" i="6"/>
  <c r="C303" i="6"/>
  <c r="C339" i="6"/>
  <c r="C29" i="4" s="1"/>
  <c r="C355" i="6"/>
  <c r="C45" i="4" s="1"/>
  <c r="C365" i="6"/>
  <c r="C155" i="6"/>
  <c r="C235" i="6"/>
  <c r="C299" i="6"/>
  <c r="D87" i="6"/>
  <c r="C323" i="6"/>
  <c r="C13" i="4" s="1"/>
  <c r="D364" i="6"/>
  <c r="D138" i="6"/>
  <c r="D27" i="6"/>
  <c r="D253" i="6"/>
  <c r="C271" i="6"/>
  <c r="D282" i="6"/>
  <c r="D317" i="6"/>
  <c r="D7" i="4" s="1"/>
  <c r="C335" i="6"/>
  <c r="C25" i="4" s="1"/>
  <c r="C351" i="6"/>
  <c r="C41" i="4" s="1"/>
  <c r="C183" i="6"/>
  <c r="C23" i="6"/>
  <c r="D66" i="6"/>
  <c r="D183" i="6"/>
  <c r="C207" i="6"/>
  <c r="D218" i="6"/>
  <c r="D23" i="6"/>
  <c r="C35" i="6"/>
  <c r="D50" i="6"/>
  <c r="C79" i="6"/>
  <c r="C91" i="6"/>
  <c r="D106" i="6"/>
  <c r="C151" i="6"/>
  <c r="C163" i="6"/>
  <c r="D178" i="6"/>
  <c r="C203" i="6"/>
  <c r="D207" i="6"/>
  <c r="D213" i="6"/>
  <c r="C231" i="6"/>
  <c r="D242" i="6"/>
  <c r="C267" i="6"/>
  <c r="D271" i="6"/>
  <c r="D277" i="6"/>
  <c r="C295" i="6"/>
  <c r="D306" i="6"/>
  <c r="C331" i="6"/>
  <c r="C21" i="4" s="1"/>
  <c r="D335" i="6"/>
  <c r="D25" i="4" s="1"/>
  <c r="C346" i="6"/>
  <c r="C36" i="4" s="1"/>
  <c r="D351" i="6"/>
  <c r="D41" i="4" s="1"/>
  <c r="C362" i="6"/>
  <c r="C52" i="4" s="1"/>
  <c r="D363" i="6"/>
  <c r="C55" i="6"/>
  <c r="D71" i="6"/>
  <c r="D82" i="6"/>
  <c r="D127" i="6"/>
  <c r="C39" i="6"/>
  <c r="D55" i="6"/>
  <c r="C95" i="6"/>
  <c r="D189" i="6"/>
  <c r="C8" i="6"/>
  <c r="D19" i="6"/>
  <c r="D34" i="6"/>
  <c r="C63" i="6"/>
  <c r="C75" i="6"/>
  <c r="D79" i="6"/>
  <c r="D90" i="6"/>
  <c r="C135" i="6"/>
  <c r="C147" i="6"/>
  <c r="D151" i="6"/>
  <c r="D162" i="6"/>
  <c r="C191" i="6"/>
  <c r="D202" i="6"/>
  <c r="C227" i="6"/>
  <c r="D231" i="6"/>
  <c r="D237" i="6"/>
  <c r="C255" i="6"/>
  <c r="D266" i="6"/>
  <c r="C291" i="6"/>
  <c r="D295" i="6"/>
  <c r="D301" i="6"/>
  <c r="C319" i="6"/>
  <c r="C9" i="4" s="1"/>
  <c r="D330" i="6"/>
  <c r="D20" i="4" s="1"/>
  <c r="D341" i="6"/>
  <c r="D31" i="4" s="1"/>
  <c r="D346" i="6"/>
  <c r="D36" i="4" s="1"/>
  <c r="D357" i="6"/>
  <c r="D47" i="4" s="1"/>
  <c r="C10" i="6"/>
  <c r="C167" i="6"/>
  <c r="D247" i="6"/>
  <c r="C59" i="6"/>
  <c r="C131" i="6"/>
  <c r="C187" i="6"/>
  <c r="C251" i="6"/>
  <c r="C315" i="6"/>
  <c r="C5" i="4" s="1"/>
  <c r="D345" i="5"/>
  <c r="H35" i="4" s="1"/>
  <c r="C28" i="5"/>
  <c r="D78" i="5"/>
  <c r="D124" i="5"/>
  <c r="D171" i="5"/>
  <c r="D187" i="5"/>
  <c r="C208" i="5"/>
  <c r="D216" i="5"/>
  <c r="C231" i="5"/>
  <c r="C240" i="5"/>
  <c r="C256" i="5"/>
  <c r="C364" i="5"/>
  <c r="D188" i="5"/>
  <c r="C257" i="5"/>
  <c r="C295" i="5"/>
  <c r="C9" i="5"/>
  <c r="C105" i="5"/>
  <c r="C121" i="5"/>
  <c r="C144" i="5"/>
  <c r="D281" i="5"/>
  <c r="C134" i="5"/>
  <c r="C265" i="5"/>
  <c r="C143" i="5"/>
  <c r="C67" i="5"/>
  <c r="C82" i="5"/>
  <c r="D33" i="5"/>
  <c r="C47" i="5"/>
  <c r="C76" i="5"/>
  <c r="D98" i="5"/>
  <c r="D114" i="5"/>
  <c r="C137" i="5"/>
  <c r="C153" i="5"/>
  <c r="D252" i="5"/>
  <c r="D260" i="5"/>
  <c r="D276" i="5"/>
  <c r="D289" i="5"/>
  <c r="C351" i="5"/>
  <c r="G41" i="4" s="1"/>
  <c r="C360" i="5"/>
  <c r="G50" i="4" s="1"/>
  <c r="C365" i="5"/>
  <c r="C210" i="5"/>
  <c r="D223" i="5"/>
  <c r="D107" i="5"/>
  <c r="D123" i="5"/>
  <c r="D177" i="5"/>
  <c r="D257" i="5"/>
  <c r="D356" i="5"/>
  <c r="H46" i="4" s="1"/>
  <c r="D149" i="5"/>
  <c r="D222" i="5"/>
  <c r="D92" i="5"/>
  <c r="D156" i="5"/>
  <c r="D215" i="5"/>
  <c r="D249" i="5"/>
  <c r="C320" i="5"/>
  <c r="G10" i="4" s="1"/>
  <c r="D34" i="5"/>
  <c r="C51" i="5"/>
  <c r="C73" i="5"/>
  <c r="C80" i="5"/>
  <c r="C92" i="5"/>
  <c r="C112" i="5"/>
  <c r="D120" i="5"/>
  <c r="D137" i="5"/>
  <c r="C150" i="5"/>
  <c r="C169" i="5"/>
  <c r="C176" i="5"/>
  <c r="D184" i="5"/>
  <c r="C189" i="5"/>
  <c r="D209" i="5"/>
  <c r="C215" i="5"/>
  <c r="D265" i="5"/>
  <c r="C273" i="5"/>
  <c r="D313" i="5"/>
  <c r="C319" i="5"/>
  <c r="G9" i="4" s="1"/>
  <c r="C344" i="5"/>
  <c r="G34" i="4" s="1"/>
  <c r="D361" i="5"/>
  <c r="H51" i="4" s="1"/>
  <c r="D53" i="5"/>
  <c r="C54" i="5"/>
  <c r="C198" i="5"/>
  <c r="C17" i="5"/>
  <c r="C191" i="5"/>
  <c r="C321" i="5"/>
  <c r="G11" i="4" s="1"/>
  <c r="D22" i="5"/>
  <c r="C127" i="5"/>
  <c r="C345" i="5"/>
  <c r="G35" i="4" s="1"/>
  <c r="C31" i="5"/>
  <c r="C48" i="5"/>
  <c r="D62" i="5"/>
  <c r="D69" i="5"/>
  <c r="C89" i="5"/>
  <c r="D128" i="5"/>
  <c r="C160" i="5"/>
  <c r="C172" i="5"/>
  <c r="C192" i="5"/>
  <c r="C212" i="5"/>
  <c r="C248" i="5"/>
  <c r="C289" i="5"/>
  <c r="C304" i="5"/>
  <c r="D316" i="5"/>
  <c r="H6" i="4" s="1"/>
  <c r="C353" i="5"/>
  <c r="G43" i="4" s="1"/>
  <c r="C108" i="5"/>
  <c r="D191" i="5"/>
  <c r="D43" i="5"/>
  <c r="C83" i="5"/>
  <c r="D121" i="5"/>
  <c r="C147" i="5"/>
  <c r="C173" i="5"/>
  <c r="D233" i="5"/>
  <c r="D241" i="5"/>
  <c r="C312" i="5"/>
  <c r="D324" i="5"/>
  <c r="H14" i="4" s="1"/>
  <c r="D340" i="5"/>
  <c r="H30" i="4" s="1"/>
  <c r="D133" i="5"/>
  <c r="D197" i="5"/>
  <c r="D37" i="5"/>
  <c r="C140" i="5"/>
  <c r="D321" i="5"/>
  <c r="H11" i="4" s="1"/>
  <c r="D64" i="5"/>
  <c r="D97" i="5"/>
  <c r="D104" i="5"/>
  <c r="C111" i="5"/>
  <c r="C118" i="5"/>
  <c r="D129" i="5"/>
  <c r="D136" i="5"/>
  <c r="D155" i="5"/>
  <c r="C175" i="5"/>
  <c r="C182" i="5"/>
  <c r="D221" i="5"/>
  <c r="C241" i="5"/>
  <c r="C280" i="5"/>
  <c r="D297" i="5"/>
  <c r="D305" i="5"/>
  <c r="C311" i="5"/>
  <c r="D81" i="5"/>
  <c r="C272" i="5"/>
  <c r="D161" i="5"/>
  <c r="C336" i="5"/>
  <c r="G26" i="4" s="1"/>
  <c r="D89" i="5"/>
  <c r="D82" i="5"/>
  <c r="D162" i="5"/>
  <c r="D168" i="5"/>
  <c r="D220" i="5"/>
  <c r="C232" i="5"/>
  <c r="D236" i="5"/>
  <c r="C271" i="5"/>
  <c r="C296" i="5"/>
  <c r="D300" i="5"/>
  <c r="C329" i="5"/>
  <c r="G19" i="4" s="1"/>
  <c r="C335" i="5"/>
  <c r="G25" i="4" s="1"/>
  <c r="C249" i="5"/>
  <c r="D284" i="5"/>
  <c r="D348" i="5"/>
  <c r="H38" i="4" s="1"/>
  <c r="C204" i="5"/>
  <c r="C255" i="5"/>
  <c r="C12" i="5"/>
  <c r="C159" i="5"/>
  <c r="C337" i="5"/>
  <c r="G27" i="4" s="1"/>
  <c r="C359" i="5"/>
  <c r="G49" i="4" s="1"/>
  <c r="C19" i="5"/>
  <c r="D94" i="5"/>
  <c r="C178" i="5"/>
  <c r="D212" i="5"/>
  <c r="D308" i="5"/>
  <c r="C343" i="5"/>
  <c r="G33" i="4" s="1"/>
  <c r="C25" i="5"/>
  <c r="C34" i="5"/>
  <c r="D40" i="5"/>
  <c r="D44" i="5"/>
  <c r="D49" i="5"/>
  <c r="C60" i="5"/>
  <c r="C64" i="5"/>
  <c r="D75" i="5"/>
  <c r="C79" i="5"/>
  <c r="D85" i="5"/>
  <c r="D110" i="5"/>
  <c r="C115" i="5"/>
  <c r="D140" i="5"/>
  <c r="D145" i="5"/>
  <c r="C156" i="5"/>
  <c r="D159" i="5"/>
  <c r="D165" i="5"/>
  <c r="D174" i="5"/>
  <c r="D189" i="5"/>
  <c r="D193" i="5"/>
  <c r="C209" i="5"/>
  <c r="C217" i="5"/>
  <c r="D228" i="5"/>
  <c r="C233" i="5"/>
  <c r="C239" i="5"/>
  <c r="C264" i="5"/>
  <c r="D268" i="5"/>
  <c r="D273" i="5"/>
  <c r="C297" i="5"/>
  <c r="C303" i="5"/>
  <c r="C328" i="5"/>
  <c r="G18" i="4" s="1"/>
  <c r="D332" i="5"/>
  <c r="H22" i="4" s="1"/>
  <c r="C98" i="5"/>
  <c r="C216" i="5"/>
  <c r="D130" i="5"/>
  <c r="D204" i="5"/>
  <c r="D244" i="5"/>
  <c r="C279" i="5"/>
  <c r="C13" i="5"/>
  <c r="D21" i="5"/>
  <c r="C35" i="5"/>
  <c r="D57" i="5"/>
  <c r="D50" i="5"/>
  <c r="D56" i="5"/>
  <c r="D65" i="5"/>
  <c r="D91" i="5"/>
  <c r="D101" i="5"/>
  <c r="C131" i="5"/>
  <c r="D146" i="5"/>
  <c r="D152" i="5"/>
  <c r="D194" i="5"/>
  <c r="D200" i="5"/>
  <c r="D218" i="5"/>
  <c r="C263" i="5"/>
  <c r="C288" i="5"/>
  <c r="D292" i="5"/>
  <c r="C327" i="5"/>
  <c r="G17" i="4" s="1"/>
  <c r="C352" i="5"/>
  <c r="G42" i="4" s="1"/>
  <c r="C356" i="5"/>
  <c r="G46" i="4" s="1"/>
  <c r="C18" i="5"/>
  <c r="D173" i="5"/>
  <c r="C99" i="5"/>
  <c r="C114" i="5"/>
  <c r="D66" i="5"/>
  <c r="D72" i="5"/>
  <c r="D117" i="5"/>
  <c r="C157" i="5"/>
  <c r="D181" i="5"/>
  <c r="D190" i="5"/>
  <c r="D210" i="5"/>
  <c r="F19" i="3"/>
  <c r="P28" i="1" s="1"/>
  <c r="D42" i="5"/>
  <c r="C42" i="5"/>
  <c r="D54" i="5"/>
  <c r="D79" i="5"/>
  <c r="D84" i="5"/>
  <c r="C84" i="5"/>
  <c r="C93" i="5"/>
  <c r="C94" i="5"/>
  <c r="D106" i="5"/>
  <c r="C106" i="5"/>
  <c r="D118" i="5"/>
  <c r="D143" i="5"/>
  <c r="D148" i="5"/>
  <c r="C148" i="5"/>
  <c r="D154" i="5"/>
  <c r="C154" i="5"/>
  <c r="D166" i="5"/>
  <c r="C195" i="5"/>
  <c r="D195" i="5"/>
  <c r="D207" i="5"/>
  <c r="C219" i="5"/>
  <c r="D219" i="5"/>
  <c r="D234" i="5"/>
  <c r="C234" i="5"/>
  <c r="D250" i="5"/>
  <c r="C250" i="5"/>
  <c r="D266" i="5"/>
  <c r="C266" i="5"/>
  <c r="D282" i="5"/>
  <c r="C282" i="5"/>
  <c r="D298" i="5"/>
  <c r="C298" i="5"/>
  <c r="D314" i="5"/>
  <c r="H4" i="4" s="1"/>
  <c r="C314" i="5"/>
  <c r="G4" i="4" s="1"/>
  <c r="D330" i="5"/>
  <c r="H20" i="4" s="1"/>
  <c r="C330" i="5"/>
  <c r="G20" i="4" s="1"/>
  <c r="D346" i="5"/>
  <c r="H36" i="4" s="1"/>
  <c r="C346" i="5"/>
  <c r="G36" i="4" s="1"/>
  <c r="C18" i="6"/>
  <c r="C17" i="6"/>
  <c r="D19" i="5"/>
  <c r="C29" i="5"/>
  <c r="C30" i="5"/>
  <c r="D55" i="5"/>
  <c r="C55" i="5"/>
  <c r="C56" i="5"/>
  <c r="D67" i="5"/>
  <c r="D80" i="5"/>
  <c r="D93" i="5"/>
  <c r="D119" i="5"/>
  <c r="C119" i="5"/>
  <c r="C120" i="5"/>
  <c r="D131" i="5"/>
  <c r="D144" i="5"/>
  <c r="D196" i="5"/>
  <c r="C196" i="5"/>
  <c r="D202" i="5"/>
  <c r="D214" i="5"/>
  <c r="C202" i="5"/>
  <c r="C235" i="5"/>
  <c r="D246" i="5"/>
  <c r="C251" i="5"/>
  <c r="D262" i="5"/>
  <c r="C267" i="5"/>
  <c r="D278" i="5"/>
  <c r="C283" i="5"/>
  <c r="D294" i="5"/>
  <c r="C299" i="5"/>
  <c r="D310" i="5"/>
  <c r="C315" i="5"/>
  <c r="G5" i="4" s="1"/>
  <c r="D326" i="5"/>
  <c r="H16" i="4" s="1"/>
  <c r="C331" i="5"/>
  <c r="G21" i="4" s="1"/>
  <c r="D342" i="5"/>
  <c r="H32" i="4" s="1"/>
  <c r="C347" i="5"/>
  <c r="G37" i="4" s="1"/>
  <c r="D362" i="5"/>
  <c r="C362" i="5"/>
  <c r="G52" i="4" s="1"/>
  <c r="D20" i="5"/>
  <c r="C20" i="5"/>
  <c r="D63" i="5"/>
  <c r="D68" i="5"/>
  <c r="C68" i="5"/>
  <c r="C77" i="5"/>
  <c r="C78" i="5"/>
  <c r="D90" i="5"/>
  <c r="C90" i="5"/>
  <c r="D102" i="5"/>
  <c r="D127" i="5"/>
  <c r="D132" i="5"/>
  <c r="C132" i="5"/>
  <c r="C141" i="5"/>
  <c r="C142" i="5"/>
  <c r="D153" i="5"/>
  <c r="C163" i="5"/>
  <c r="D163" i="5"/>
  <c r="D183" i="5"/>
  <c r="C183" i="5"/>
  <c r="C184" i="5"/>
  <c r="C220" i="5"/>
  <c r="D24" i="6"/>
  <c r="C24" i="6"/>
  <c r="C25" i="6"/>
  <c r="D36" i="6"/>
  <c r="D29" i="6"/>
  <c r="C29" i="6"/>
  <c r="D40" i="6"/>
  <c r="C40" i="6"/>
  <c r="C41" i="6"/>
  <c r="D52" i="6"/>
  <c r="D45" i="6"/>
  <c r="C45" i="6"/>
  <c r="D56" i="6"/>
  <c r="C56" i="6"/>
  <c r="C57" i="6"/>
  <c r="D68" i="6"/>
  <c r="D61" i="6"/>
  <c r="C61" i="6"/>
  <c r="D72" i="6"/>
  <c r="C72" i="6"/>
  <c r="C73" i="6"/>
  <c r="D84" i="6"/>
  <c r="D77" i="6"/>
  <c r="C77" i="6"/>
  <c r="D88" i="6"/>
  <c r="C88" i="6"/>
  <c r="C89" i="6"/>
  <c r="D100" i="6"/>
  <c r="D93" i="6"/>
  <c r="C93" i="6"/>
  <c r="D104" i="6"/>
  <c r="C104" i="6"/>
  <c r="C105" i="6"/>
  <c r="D116" i="6"/>
  <c r="D109" i="6"/>
  <c r="C109" i="6"/>
  <c r="D120" i="6"/>
  <c r="C120" i="6"/>
  <c r="C121" i="6"/>
  <c r="D132" i="6"/>
  <c r="D125" i="6"/>
  <c r="C125" i="6"/>
  <c r="D136" i="6"/>
  <c r="C136" i="6"/>
  <c r="C137" i="6"/>
  <c r="D148" i="6"/>
  <c r="D141" i="6"/>
  <c r="C141" i="6"/>
  <c r="D157" i="6"/>
  <c r="C157" i="6"/>
  <c r="D173" i="6"/>
  <c r="C173" i="6"/>
  <c r="D185" i="6"/>
  <c r="D39" i="5"/>
  <c r="C39" i="5"/>
  <c r="C40" i="5"/>
  <c r="D51" i="5"/>
  <c r="D77" i="5"/>
  <c r="D103" i="5"/>
  <c r="C103" i="5"/>
  <c r="C104" i="5"/>
  <c r="D115" i="5"/>
  <c r="D141" i="5"/>
  <c r="D164" i="5"/>
  <c r="C164" i="5"/>
  <c r="D170" i="5"/>
  <c r="C170" i="5"/>
  <c r="D182" i="5"/>
  <c r="F10" i="3"/>
  <c r="P19" i="1" s="1"/>
  <c r="D12" i="3"/>
  <c r="C15" i="5"/>
  <c r="D27" i="5"/>
  <c r="D26" i="5"/>
  <c r="C26" i="5"/>
  <c r="D47" i="5"/>
  <c r="D52" i="5"/>
  <c r="C52" i="5"/>
  <c r="C61" i="5"/>
  <c r="C62" i="5"/>
  <c r="D74" i="5"/>
  <c r="C74" i="5"/>
  <c r="D86" i="5"/>
  <c r="D111" i="5"/>
  <c r="D116" i="5"/>
  <c r="C116" i="5"/>
  <c r="C125" i="5"/>
  <c r="C126" i="5"/>
  <c r="D138" i="5"/>
  <c r="C138" i="5"/>
  <c r="D150" i="5"/>
  <c r="D151" i="5"/>
  <c r="C151" i="5"/>
  <c r="C152" i="5"/>
  <c r="D226" i="5"/>
  <c r="C226" i="5"/>
  <c r="D242" i="5"/>
  <c r="C242" i="5"/>
  <c r="D258" i="5"/>
  <c r="C258" i="5"/>
  <c r="D274" i="5"/>
  <c r="C274" i="5"/>
  <c r="D290" i="5"/>
  <c r="C290" i="5"/>
  <c r="D306" i="5"/>
  <c r="C306" i="5"/>
  <c r="D322" i="5"/>
  <c r="H12" i="4" s="1"/>
  <c r="C322" i="5"/>
  <c r="G12" i="4" s="1"/>
  <c r="D338" i="5"/>
  <c r="H28" i="4" s="1"/>
  <c r="C338" i="5"/>
  <c r="G28" i="4" s="1"/>
  <c r="D354" i="5"/>
  <c r="H44" i="4" s="1"/>
  <c r="C354" i="5"/>
  <c r="G44" i="4" s="1"/>
  <c r="D41" i="6"/>
  <c r="D57" i="6"/>
  <c r="D73" i="6"/>
  <c r="D89" i="6"/>
  <c r="D105" i="6"/>
  <c r="D121" i="6"/>
  <c r="D137" i="6"/>
  <c r="D153" i="6"/>
  <c r="D169" i="6"/>
  <c r="D20" i="3"/>
  <c r="F20" i="3" s="1"/>
  <c r="P29" i="1" s="1"/>
  <c r="C16" i="5"/>
  <c r="D35" i="5"/>
  <c r="D48" i="5"/>
  <c r="D61" i="5"/>
  <c r="D87" i="5"/>
  <c r="C87" i="5"/>
  <c r="C88" i="5"/>
  <c r="D99" i="5"/>
  <c r="D112" i="5"/>
  <c r="D125" i="5"/>
  <c r="C179" i="5"/>
  <c r="D179" i="5"/>
  <c r="D199" i="5"/>
  <c r="C199" i="5"/>
  <c r="C200" i="5"/>
  <c r="C205" i="5"/>
  <c r="C206" i="5"/>
  <c r="D217" i="5"/>
  <c r="D205" i="5"/>
  <c r="C213" i="5"/>
  <c r="C214" i="5"/>
  <c r="D213" i="5"/>
  <c r="D225" i="5"/>
  <c r="C227" i="5"/>
  <c r="D238" i="5"/>
  <c r="C243" i="5"/>
  <c r="D254" i="5"/>
  <c r="C259" i="5"/>
  <c r="D270" i="5"/>
  <c r="C275" i="5"/>
  <c r="D286" i="5"/>
  <c r="C291" i="5"/>
  <c r="D302" i="5"/>
  <c r="C307" i="5"/>
  <c r="D318" i="5"/>
  <c r="H8" i="4" s="1"/>
  <c r="C323" i="5"/>
  <c r="G13" i="4" s="1"/>
  <c r="D334" i="5"/>
  <c r="H24" i="4" s="1"/>
  <c r="C339" i="5"/>
  <c r="G29" i="4" s="1"/>
  <c r="D350" i="5"/>
  <c r="H40" i="4" s="1"/>
  <c r="C355" i="5"/>
  <c r="G45" i="4" s="1"/>
  <c r="D7" i="3"/>
  <c r="F7" i="3" s="1"/>
  <c r="P16" i="1" s="1"/>
  <c r="D9" i="3"/>
  <c r="F9" i="3" s="1"/>
  <c r="P18" i="1" s="1"/>
  <c r="D14" i="3"/>
  <c r="D31" i="5"/>
  <c r="D36" i="5"/>
  <c r="C36" i="5"/>
  <c r="C45" i="5"/>
  <c r="C46" i="5"/>
  <c r="D58" i="5"/>
  <c r="C58" i="5"/>
  <c r="D70" i="5"/>
  <c r="D95" i="5"/>
  <c r="D100" i="5"/>
  <c r="C100" i="5"/>
  <c r="C109" i="5"/>
  <c r="C110" i="5"/>
  <c r="D122" i="5"/>
  <c r="C122" i="5"/>
  <c r="D134" i="5"/>
  <c r="D180" i="5"/>
  <c r="C180" i="5"/>
  <c r="D186" i="5"/>
  <c r="C186" i="5"/>
  <c r="D198" i="5"/>
  <c r="D21" i="6"/>
  <c r="C21" i="6"/>
  <c r="D32" i="6"/>
  <c r="C32" i="6"/>
  <c r="C33" i="6"/>
  <c r="D44" i="6"/>
  <c r="D37" i="6"/>
  <c r="C37" i="6"/>
  <c r="D48" i="6"/>
  <c r="C48" i="6"/>
  <c r="C49" i="6"/>
  <c r="D60" i="6"/>
  <c r="D53" i="6"/>
  <c r="C53" i="6"/>
  <c r="D64" i="6"/>
  <c r="C64" i="6"/>
  <c r="C65" i="6"/>
  <c r="D76" i="6"/>
  <c r="D69" i="6"/>
  <c r="C69" i="6"/>
  <c r="D80" i="6"/>
  <c r="C80" i="6"/>
  <c r="C81" i="6"/>
  <c r="D92" i="6"/>
  <c r="D85" i="6"/>
  <c r="C85" i="6"/>
  <c r="D96" i="6"/>
  <c r="C96" i="6"/>
  <c r="C97" i="6"/>
  <c r="D108" i="6"/>
  <c r="D101" i="6"/>
  <c r="C101" i="6"/>
  <c r="D112" i="6"/>
  <c r="C112" i="6"/>
  <c r="C113" i="6"/>
  <c r="D124" i="6"/>
  <c r="D117" i="6"/>
  <c r="C117" i="6"/>
  <c r="D128" i="6"/>
  <c r="C128" i="6"/>
  <c r="C129" i="6"/>
  <c r="D140" i="6"/>
  <c r="D133" i="6"/>
  <c r="C133" i="6"/>
  <c r="D149" i="6"/>
  <c r="C149" i="6"/>
  <c r="D165" i="6"/>
  <c r="C165" i="6"/>
  <c r="D17" i="3"/>
  <c r="D11" i="3"/>
  <c r="D23" i="5"/>
  <c r="C23" i="5"/>
  <c r="C24" i="5"/>
  <c r="D32" i="5"/>
  <c r="D41" i="5"/>
  <c r="D45" i="5"/>
  <c r="D71" i="5"/>
  <c r="C71" i="5"/>
  <c r="C72" i="5"/>
  <c r="D83" i="5"/>
  <c r="D96" i="5"/>
  <c r="D105" i="5"/>
  <c r="D109" i="5"/>
  <c r="D135" i="5"/>
  <c r="C135" i="5"/>
  <c r="C136" i="5"/>
  <c r="D147" i="5"/>
  <c r="D167" i="5"/>
  <c r="C167" i="5"/>
  <c r="C168" i="5"/>
  <c r="D175" i="5"/>
  <c r="C224" i="5"/>
  <c r="C223" i="5"/>
  <c r="C211" i="5"/>
  <c r="D211" i="5"/>
  <c r="D229" i="5"/>
  <c r="C229" i="5"/>
  <c r="C230" i="5"/>
  <c r="D237" i="5"/>
  <c r="C237" i="5"/>
  <c r="C238" i="5"/>
  <c r="D245" i="5"/>
  <c r="C245" i="5"/>
  <c r="C246" i="5"/>
  <c r="D253" i="5"/>
  <c r="C253" i="5"/>
  <c r="C254" i="5"/>
  <c r="D261" i="5"/>
  <c r="C261" i="5"/>
  <c r="C262" i="5"/>
  <c r="D269" i="5"/>
  <c r="C269" i="5"/>
  <c r="C270" i="5"/>
  <c r="D277" i="5"/>
  <c r="C277" i="5"/>
  <c r="C278" i="5"/>
  <c r="D285" i="5"/>
  <c r="C285" i="5"/>
  <c r="C286" i="5"/>
  <c r="D293" i="5"/>
  <c r="C293" i="5"/>
  <c r="C294" i="5"/>
  <c r="D301" i="5"/>
  <c r="C301" i="5"/>
  <c r="C302" i="5"/>
  <c r="D309" i="5"/>
  <c r="C309" i="5"/>
  <c r="C310" i="5"/>
  <c r="D317" i="5"/>
  <c r="H7" i="4" s="1"/>
  <c r="C317" i="5"/>
  <c r="G7" i="4" s="1"/>
  <c r="C318" i="5"/>
  <c r="G8" i="4" s="1"/>
  <c r="D325" i="5"/>
  <c r="H15" i="4" s="1"/>
  <c r="C325" i="5"/>
  <c r="G15" i="4" s="1"/>
  <c r="C326" i="5"/>
  <c r="G16" i="4" s="1"/>
  <c r="D333" i="5"/>
  <c r="H23" i="4" s="1"/>
  <c r="C333" i="5"/>
  <c r="G23" i="4" s="1"/>
  <c r="C334" i="5"/>
  <c r="G24" i="4" s="1"/>
  <c r="D341" i="5"/>
  <c r="H31" i="4" s="1"/>
  <c r="C341" i="5"/>
  <c r="G31" i="4" s="1"/>
  <c r="C342" i="5"/>
  <c r="G32" i="4" s="1"/>
  <c r="D349" i="5"/>
  <c r="H39" i="4" s="1"/>
  <c r="C349" i="5"/>
  <c r="G39" i="4" s="1"/>
  <c r="C350" i="5"/>
  <c r="G40" i="4" s="1"/>
  <c r="D357" i="5"/>
  <c r="H47" i="4" s="1"/>
  <c r="C357" i="5"/>
  <c r="G47" i="4" s="1"/>
  <c r="C358" i="5"/>
  <c r="G48" i="4" s="1"/>
  <c r="C14" i="6"/>
  <c r="D35" i="6"/>
  <c r="D43" i="6"/>
  <c r="D51" i="6"/>
  <c r="D59" i="6"/>
  <c r="D67" i="6"/>
  <c r="D75" i="6"/>
  <c r="D83" i="6"/>
  <c r="D91" i="6"/>
  <c r="D99" i="6"/>
  <c r="D107" i="6"/>
  <c r="D115" i="6"/>
  <c r="D123" i="6"/>
  <c r="D131" i="6"/>
  <c r="D139" i="6"/>
  <c r="D147" i="6"/>
  <c r="D155" i="6"/>
  <c r="D163" i="6"/>
  <c r="D171" i="6"/>
  <c r="D179" i="6"/>
  <c r="D187" i="6"/>
  <c r="D195" i="6"/>
  <c r="D203" i="6"/>
  <c r="D211" i="6"/>
  <c r="D219" i="6"/>
  <c r="D227" i="6"/>
  <c r="D235" i="6"/>
  <c r="D243" i="6"/>
  <c r="D251" i="6"/>
  <c r="D259" i="6"/>
  <c r="D267" i="6"/>
  <c r="D275" i="6"/>
  <c r="D283" i="6"/>
  <c r="D291" i="6"/>
  <c r="D299" i="6"/>
  <c r="D307" i="6"/>
  <c r="D315" i="6"/>
  <c r="D5" i="4" s="1"/>
  <c r="D323" i="6"/>
  <c r="D13" i="4" s="1"/>
  <c r="D331" i="6"/>
  <c r="D21" i="4" s="1"/>
  <c r="D339" i="6"/>
  <c r="D29" i="4" s="1"/>
  <c r="D347" i="6"/>
  <c r="D37" i="4" s="1"/>
  <c r="D355" i="6"/>
  <c r="D45" i="4" s="1"/>
  <c r="D22" i="7"/>
  <c r="D30" i="7"/>
  <c r="D38" i="7"/>
  <c r="D46" i="7"/>
  <c r="D117" i="7"/>
  <c r="D126" i="7"/>
  <c r="C168" i="7"/>
  <c r="D167" i="7"/>
  <c r="D215" i="7"/>
  <c r="C215" i="7"/>
  <c r="D250" i="7"/>
  <c r="C250" i="7"/>
  <c r="D297" i="7"/>
  <c r="D285" i="7"/>
  <c r="C285" i="7"/>
  <c r="C300" i="7"/>
  <c r="D299" i="7"/>
  <c r="D311" i="7"/>
  <c r="C299" i="7"/>
  <c r="D342" i="7"/>
  <c r="F32" i="4" s="1"/>
  <c r="C342" i="7"/>
  <c r="E32" i="4" s="1"/>
  <c r="C343" i="7"/>
  <c r="E33" i="4" s="1"/>
  <c r="D354" i="7"/>
  <c r="F44" i="4" s="1"/>
  <c r="D65" i="8"/>
  <c r="C65" i="8"/>
  <c r="C66" i="8"/>
  <c r="D77" i="8"/>
  <c r="D129" i="8"/>
  <c r="C129" i="8"/>
  <c r="C130" i="8"/>
  <c r="D141" i="8"/>
  <c r="D193" i="8"/>
  <c r="C193" i="8"/>
  <c r="C194" i="8"/>
  <c r="D205" i="8"/>
  <c r="D208" i="5"/>
  <c r="D26" i="7"/>
  <c r="D72" i="7"/>
  <c r="C72" i="7"/>
  <c r="C78" i="7"/>
  <c r="D77" i="7"/>
  <c r="D86" i="7"/>
  <c r="D104" i="7"/>
  <c r="C104" i="7"/>
  <c r="D121" i="7"/>
  <c r="C110" i="7"/>
  <c r="D109" i="7"/>
  <c r="D186" i="7"/>
  <c r="C186" i="7"/>
  <c r="D231" i="7"/>
  <c r="C231" i="7"/>
  <c r="D237" i="7"/>
  <c r="C237" i="7"/>
  <c r="D249" i="7"/>
  <c r="D41" i="8"/>
  <c r="C41" i="8"/>
  <c r="C42" i="8"/>
  <c r="D53" i="8"/>
  <c r="D105" i="8"/>
  <c r="C105" i="8"/>
  <c r="C106" i="8"/>
  <c r="D117" i="8"/>
  <c r="D169" i="8"/>
  <c r="C169" i="8"/>
  <c r="C170" i="8"/>
  <c r="D181" i="8"/>
  <c r="D233" i="8"/>
  <c r="C233" i="8"/>
  <c r="C234" i="8"/>
  <c r="D245" i="8"/>
  <c r="D144" i="6"/>
  <c r="C144" i="6"/>
  <c r="C145" i="6"/>
  <c r="D152" i="6"/>
  <c r="C152" i="6"/>
  <c r="C153" i="6"/>
  <c r="D160" i="6"/>
  <c r="C160" i="6"/>
  <c r="C161" i="6"/>
  <c r="D168" i="6"/>
  <c r="C168" i="6"/>
  <c r="C169" i="6"/>
  <c r="D176" i="6"/>
  <c r="C176" i="6"/>
  <c r="C177" i="6"/>
  <c r="D184" i="6"/>
  <c r="C184" i="6"/>
  <c r="C185" i="6"/>
  <c r="D192" i="6"/>
  <c r="C192" i="6"/>
  <c r="C193" i="6"/>
  <c r="D200" i="6"/>
  <c r="C200" i="6"/>
  <c r="C201" i="6"/>
  <c r="D208" i="6"/>
  <c r="C208" i="6"/>
  <c r="C209" i="6"/>
  <c r="D216" i="6"/>
  <c r="C216" i="6"/>
  <c r="C217" i="6"/>
  <c r="D224" i="6"/>
  <c r="C224" i="6"/>
  <c r="C225" i="6"/>
  <c r="D232" i="6"/>
  <c r="C232" i="6"/>
  <c r="C233" i="6"/>
  <c r="D240" i="6"/>
  <c r="C240" i="6"/>
  <c r="C241" i="6"/>
  <c r="D248" i="6"/>
  <c r="C248" i="6"/>
  <c r="C249" i="6"/>
  <c r="D256" i="6"/>
  <c r="C256" i="6"/>
  <c r="C257" i="6"/>
  <c r="D264" i="6"/>
  <c r="C264" i="6"/>
  <c r="C265" i="6"/>
  <c r="D272" i="6"/>
  <c r="C272" i="6"/>
  <c r="C273" i="6"/>
  <c r="D280" i="6"/>
  <c r="C280" i="6"/>
  <c r="C281" i="6"/>
  <c r="D288" i="6"/>
  <c r="C288" i="6"/>
  <c r="C289" i="6"/>
  <c r="D296" i="6"/>
  <c r="C296" i="6"/>
  <c r="C297" i="6"/>
  <c r="D304" i="6"/>
  <c r="C304" i="6"/>
  <c r="C305" i="6"/>
  <c r="D312" i="6"/>
  <c r="C312" i="6"/>
  <c r="C313" i="6"/>
  <c r="D320" i="6"/>
  <c r="D10" i="4" s="1"/>
  <c r="C320" i="6"/>
  <c r="C10" i="4" s="1"/>
  <c r="C321" i="6"/>
  <c r="C11" i="4" s="1"/>
  <c r="D328" i="6"/>
  <c r="D18" i="4" s="1"/>
  <c r="C328" i="6"/>
  <c r="C18" i="4" s="1"/>
  <c r="C329" i="6"/>
  <c r="C19" i="4" s="1"/>
  <c r="D336" i="6"/>
  <c r="D26" i="4" s="1"/>
  <c r="C336" i="6"/>
  <c r="C26" i="4" s="1"/>
  <c r="C337" i="6"/>
  <c r="C27" i="4" s="1"/>
  <c r="D344" i="6"/>
  <c r="D34" i="4" s="1"/>
  <c r="C344" i="6"/>
  <c r="C34" i="4" s="1"/>
  <c r="C345" i="6"/>
  <c r="C35" i="4" s="1"/>
  <c r="D352" i="6"/>
  <c r="D42" i="4" s="1"/>
  <c r="C352" i="6"/>
  <c r="C42" i="4" s="1"/>
  <c r="C353" i="6"/>
  <c r="C43" i="4" s="1"/>
  <c r="D360" i="6"/>
  <c r="D50" i="4" s="1"/>
  <c r="C360" i="6"/>
  <c r="C50" i="4" s="1"/>
  <c r="C361" i="6"/>
  <c r="C51" i="4" s="1"/>
  <c r="D19" i="7"/>
  <c r="C19" i="7"/>
  <c r="C20" i="7"/>
  <c r="D27" i="7"/>
  <c r="C27" i="7"/>
  <c r="C28" i="7"/>
  <c r="D35" i="7"/>
  <c r="C35" i="7"/>
  <c r="C36" i="7"/>
  <c r="D43" i="7"/>
  <c r="C43" i="7"/>
  <c r="C44" i="7"/>
  <c r="D51" i="7"/>
  <c r="C51" i="7"/>
  <c r="C52" i="7"/>
  <c r="D63" i="7"/>
  <c r="D68" i="7"/>
  <c r="C73" i="7"/>
  <c r="C77" i="7"/>
  <c r="C82" i="7"/>
  <c r="C105" i="7"/>
  <c r="C109" i="7"/>
  <c r="C133" i="7"/>
  <c r="D132" i="7"/>
  <c r="D153" i="7"/>
  <c r="D141" i="7"/>
  <c r="C141" i="7"/>
  <c r="D202" i="7"/>
  <c r="C202" i="7"/>
  <c r="D81" i="8"/>
  <c r="C81" i="8"/>
  <c r="C82" i="8"/>
  <c r="D93" i="8"/>
  <c r="D145" i="8"/>
  <c r="C145" i="8"/>
  <c r="C146" i="8"/>
  <c r="D157" i="8"/>
  <c r="D209" i="8"/>
  <c r="C209" i="8"/>
  <c r="C210" i="8"/>
  <c r="D221" i="8"/>
  <c r="D249" i="8"/>
  <c r="C249" i="8"/>
  <c r="C250" i="8"/>
  <c r="D261" i="8"/>
  <c r="D265" i="8"/>
  <c r="C265" i="8"/>
  <c r="C266" i="8"/>
  <c r="D277" i="8"/>
  <c r="D281" i="8"/>
  <c r="C281" i="8"/>
  <c r="C282" i="8"/>
  <c r="D293" i="8"/>
  <c r="D160" i="5"/>
  <c r="D169" i="5"/>
  <c r="D176" i="5"/>
  <c r="D185" i="5"/>
  <c r="D192" i="5"/>
  <c r="D201" i="5"/>
  <c r="D156" i="6"/>
  <c r="D164" i="6"/>
  <c r="D172" i="6"/>
  <c r="D180" i="6"/>
  <c r="D188" i="6"/>
  <c r="D196" i="6"/>
  <c r="D204" i="6"/>
  <c r="D212" i="6"/>
  <c r="D220" i="6"/>
  <c r="D228" i="6"/>
  <c r="D236" i="6"/>
  <c r="D244" i="6"/>
  <c r="D252" i="6"/>
  <c r="D260" i="6"/>
  <c r="D268" i="6"/>
  <c r="D276" i="6"/>
  <c r="D284" i="6"/>
  <c r="D292" i="6"/>
  <c r="D300" i="6"/>
  <c r="D308" i="6"/>
  <c r="D316" i="6"/>
  <c r="D6" i="4" s="1"/>
  <c r="D324" i="6"/>
  <c r="D14" i="4" s="1"/>
  <c r="D332" i="6"/>
  <c r="D22" i="4" s="1"/>
  <c r="D340" i="6"/>
  <c r="D30" i="4" s="1"/>
  <c r="D348" i="6"/>
  <c r="D38" i="4" s="1"/>
  <c r="D356" i="6"/>
  <c r="D46" i="4" s="1"/>
  <c r="D31" i="7"/>
  <c r="D64" i="7"/>
  <c r="C64" i="7"/>
  <c r="C70" i="7"/>
  <c r="D69" i="7"/>
  <c r="D96" i="7"/>
  <c r="C96" i="7"/>
  <c r="C102" i="7"/>
  <c r="D101" i="7"/>
  <c r="C123" i="7"/>
  <c r="C132" i="7"/>
  <c r="C165" i="7"/>
  <c r="D164" i="7"/>
  <c r="D173" i="7"/>
  <c r="C173" i="7"/>
  <c r="D185" i="7"/>
  <c r="D218" i="7"/>
  <c r="C218" i="7"/>
  <c r="D358" i="7"/>
  <c r="F48" i="4" s="1"/>
  <c r="C358" i="7"/>
  <c r="E48" i="4" s="1"/>
  <c r="C359" i="7"/>
  <c r="E49" i="4" s="1"/>
  <c r="D57" i="8"/>
  <c r="C57" i="8"/>
  <c r="C58" i="8"/>
  <c r="D69" i="8"/>
  <c r="D121" i="8"/>
  <c r="C121" i="8"/>
  <c r="C122" i="8"/>
  <c r="D133" i="8"/>
  <c r="D185" i="8"/>
  <c r="C185" i="8"/>
  <c r="C186" i="8"/>
  <c r="D197" i="8"/>
  <c r="D193" i="6"/>
  <c r="D201" i="6"/>
  <c r="D209" i="6"/>
  <c r="D217" i="6"/>
  <c r="D225" i="6"/>
  <c r="D233" i="6"/>
  <c r="D241" i="6"/>
  <c r="D249" i="6"/>
  <c r="D257" i="6"/>
  <c r="D265" i="6"/>
  <c r="D273" i="6"/>
  <c r="D281" i="6"/>
  <c r="D289" i="6"/>
  <c r="D297" i="6"/>
  <c r="D305" i="6"/>
  <c r="D313" i="6"/>
  <c r="D321" i="6"/>
  <c r="D11" i="4" s="1"/>
  <c r="D329" i="6"/>
  <c r="D19" i="4" s="1"/>
  <c r="D337" i="6"/>
  <c r="D27" i="4" s="1"/>
  <c r="D345" i="6"/>
  <c r="D35" i="4" s="1"/>
  <c r="D353" i="6"/>
  <c r="D43" i="4" s="1"/>
  <c r="D361" i="6"/>
  <c r="D51" i="4" s="1"/>
  <c r="D36" i="7"/>
  <c r="D44" i="7"/>
  <c r="D52" i="7"/>
  <c r="D60" i="7"/>
  <c r="C65" i="7"/>
  <c r="C69" i="7"/>
  <c r="D247" i="7"/>
  <c r="C247" i="7"/>
  <c r="D265" i="7"/>
  <c r="D253" i="7"/>
  <c r="C253" i="7"/>
  <c r="C268" i="7"/>
  <c r="D267" i="7"/>
  <c r="D279" i="7"/>
  <c r="C267" i="7"/>
  <c r="D329" i="7"/>
  <c r="F19" i="4" s="1"/>
  <c r="D317" i="7"/>
  <c r="F7" i="4" s="1"/>
  <c r="C317" i="7"/>
  <c r="E7" i="4" s="1"/>
  <c r="C332" i="7"/>
  <c r="E22" i="4" s="1"/>
  <c r="D331" i="7"/>
  <c r="F21" i="4" s="1"/>
  <c r="D343" i="7"/>
  <c r="F33" i="4" s="1"/>
  <c r="C331" i="7"/>
  <c r="E21" i="4" s="1"/>
  <c r="D33" i="8"/>
  <c r="C33" i="8"/>
  <c r="C34" i="8"/>
  <c r="D45" i="8"/>
  <c r="D97" i="8"/>
  <c r="C97" i="8"/>
  <c r="C98" i="8"/>
  <c r="D109" i="8"/>
  <c r="D161" i="8"/>
  <c r="C161" i="8"/>
  <c r="C162" i="8"/>
  <c r="D173" i="8"/>
  <c r="D225" i="8"/>
  <c r="C225" i="8"/>
  <c r="C226" i="8"/>
  <c r="D237" i="8"/>
  <c r="C10" i="5"/>
  <c r="D224" i="5"/>
  <c r="D231" i="5"/>
  <c r="D239" i="5"/>
  <c r="D247" i="5"/>
  <c r="D255" i="5"/>
  <c r="D263" i="5"/>
  <c r="D271" i="5"/>
  <c r="D279" i="5"/>
  <c r="D287" i="5"/>
  <c r="D295" i="5"/>
  <c r="D303" i="5"/>
  <c r="D311" i="5"/>
  <c r="D319" i="5"/>
  <c r="H9" i="4" s="1"/>
  <c r="D327" i="5"/>
  <c r="H17" i="4" s="1"/>
  <c r="D335" i="5"/>
  <c r="H25" i="4" s="1"/>
  <c r="D343" i="5"/>
  <c r="H33" i="4" s="1"/>
  <c r="D351" i="5"/>
  <c r="H41" i="4" s="1"/>
  <c r="D359" i="5"/>
  <c r="H49" i="4" s="1"/>
  <c r="C181" i="6"/>
  <c r="C189" i="6"/>
  <c r="C197" i="6"/>
  <c r="C205" i="6"/>
  <c r="C213" i="6"/>
  <c r="C221" i="6"/>
  <c r="C229" i="6"/>
  <c r="C237" i="6"/>
  <c r="C245" i="6"/>
  <c r="C253" i="6"/>
  <c r="C261" i="6"/>
  <c r="C269" i="6"/>
  <c r="C277" i="6"/>
  <c r="C285" i="6"/>
  <c r="C293" i="6"/>
  <c r="C301" i="6"/>
  <c r="C309" i="6"/>
  <c r="C317" i="6"/>
  <c r="C7" i="4" s="1"/>
  <c r="C325" i="6"/>
  <c r="C15" i="4" s="1"/>
  <c r="C333" i="6"/>
  <c r="C23" i="4" s="1"/>
  <c r="C341" i="6"/>
  <c r="C31" i="4" s="1"/>
  <c r="C349" i="6"/>
  <c r="C39" i="4" s="1"/>
  <c r="C357" i="6"/>
  <c r="C47" i="4" s="1"/>
  <c r="C16" i="7"/>
  <c r="C24" i="7"/>
  <c r="C32" i="7"/>
  <c r="C40" i="7"/>
  <c r="C48" i="7"/>
  <c r="C56" i="7"/>
  <c r="C62" i="7"/>
  <c r="D61" i="7"/>
  <c r="D70" i="7"/>
  <c r="D88" i="7"/>
  <c r="C88" i="7"/>
  <c r="C94" i="7"/>
  <c r="D93" i="7"/>
  <c r="D102" i="7"/>
  <c r="D120" i="7"/>
  <c r="D138" i="7"/>
  <c r="C138" i="7"/>
  <c r="C152" i="7"/>
  <c r="D156" i="7"/>
  <c r="D189" i="7"/>
  <c r="C189" i="7"/>
  <c r="D201" i="7"/>
  <c r="D234" i="7"/>
  <c r="C234" i="7"/>
  <c r="D73" i="8"/>
  <c r="C73" i="8"/>
  <c r="C74" i="8"/>
  <c r="D85" i="8"/>
  <c r="D137" i="8"/>
  <c r="C137" i="8"/>
  <c r="C138" i="8"/>
  <c r="D149" i="8"/>
  <c r="D201" i="8"/>
  <c r="C201" i="8"/>
  <c r="C202" i="8"/>
  <c r="D213" i="8"/>
  <c r="C11" i="5"/>
  <c r="C27" i="5"/>
  <c r="C33" i="5"/>
  <c r="C43" i="5"/>
  <c r="C49" i="5"/>
  <c r="C59" i="5"/>
  <c r="C65" i="5"/>
  <c r="C75" i="5"/>
  <c r="C81" i="5"/>
  <c r="C91" i="5"/>
  <c r="C97" i="5"/>
  <c r="C107" i="5"/>
  <c r="C113" i="5"/>
  <c r="C123" i="5"/>
  <c r="C129" i="5"/>
  <c r="C139" i="5"/>
  <c r="C145" i="5"/>
  <c r="C155" i="5"/>
  <c r="C158" i="5"/>
  <c r="C161" i="5"/>
  <c r="C171" i="5"/>
  <c r="C174" i="5"/>
  <c r="C177" i="5"/>
  <c r="C187" i="5"/>
  <c r="C190" i="5"/>
  <c r="C193" i="5"/>
  <c r="C203" i="5"/>
  <c r="D203" i="5"/>
  <c r="C221" i="5"/>
  <c r="C222" i="5"/>
  <c r="C228" i="5"/>
  <c r="D232" i="5"/>
  <c r="C236" i="5"/>
  <c r="D240" i="5"/>
  <c r="C244" i="5"/>
  <c r="D248" i="5"/>
  <c r="C252" i="5"/>
  <c r="D256" i="5"/>
  <c r="C260" i="5"/>
  <c r="D264" i="5"/>
  <c r="C268" i="5"/>
  <c r="D272" i="5"/>
  <c r="C276" i="5"/>
  <c r="D280" i="5"/>
  <c r="C284" i="5"/>
  <c r="D288" i="5"/>
  <c r="C292" i="5"/>
  <c r="D296" i="5"/>
  <c r="C300" i="5"/>
  <c r="D304" i="5"/>
  <c r="C308" i="5"/>
  <c r="D312" i="5"/>
  <c r="C316" i="5"/>
  <c r="G6" i="4" s="1"/>
  <c r="D320" i="5"/>
  <c r="H10" i="4" s="1"/>
  <c r="C324" i="5"/>
  <c r="G14" i="4" s="1"/>
  <c r="D328" i="5"/>
  <c r="H18" i="4" s="1"/>
  <c r="C332" i="5"/>
  <c r="G22" i="4" s="1"/>
  <c r="D336" i="5"/>
  <c r="H26" i="4" s="1"/>
  <c r="C340" i="5"/>
  <c r="G30" i="4" s="1"/>
  <c r="D344" i="5"/>
  <c r="H34" i="4" s="1"/>
  <c r="C348" i="5"/>
  <c r="G38" i="4" s="1"/>
  <c r="D352" i="5"/>
  <c r="H42" i="4" s="1"/>
  <c r="D360" i="5"/>
  <c r="H50" i="4" s="1"/>
  <c r="C22" i="6"/>
  <c r="C26" i="6"/>
  <c r="C30" i="6"/>
  <c r="C34" i="6"/>
  <c r="C38" i="6"/>
  <c r="C42" i="6"/>
  <c r="C46" i="6"/>
  <c r="C50" i="6"/>
  <c r="C54" i="6"/>
  <c r="C58" i="6"/>
  <c r="C62" i="6"/>
  <c r="C66" i="6"/>
  <c r="C70" i="6"/>
  <c r="C74" i="6"/>
  <c r="C78" i="6"/>
  <c r="C82" i="6"/>
  <c r="C86" i="6"/>
  <c r="C90" i="6"/>
  <c r="C94" i="6"/>
  <c r="C98" i="6"/>
  <c r="C102" i="6"/>
  <c r="C106" i="6"/>
  <c r="C110" i="6"/>
  <c r="C114" i="6"/>
  <c r="C118" i="6"/>
  <c r="C122" i="6"/>
  <c r="C126" i="6"/>
  <c r="C130" i="6"/>
  <c r="C134" i="6"/>
  <c r="C138" i="6"/>
  <c r="C142" i="6"/>
  <c r="C146" i="6"/>
  <c r="C150" i="6"/>
  <c r="C154" i="6"/>
  <c r="C158" i="6"/>
  <c r="C162" i="6"/>
  <c r="C166" i="6"/>
  <c r="C170" i="6"/>
  <c r="C174" i="6"/>
  <c r="C178" i="6"/>
  <c r="C182" i="6"/>
  <c r="C186" i="6"/>
  <c r="C190" i="6"/>
  <c r="C194" i="6"/>
  <c r="C198" i="6"/>
  <c r="C202" i="6"/>
  <c r="C206" i="6"/>
  <c r="C210" i="6"/>
  <c r="C214" i="6"/>
  <c r="C218" i="6"/>
  <c r="C222" i="6"/>
  <c r="C226" i="6"/>
  <c r="C230" i="6"/>
  <c r="C234" i="6"/>
  <c r="C238" i="6"/>
  <c r="C242" i="6"/>
  <c r="C246" i="6"/>
  <c r="C250" i="6"/>
  <c r="C254" i="6"/>
  <c r="C258" i="6"/>
  <c r="C262" i="6"/>
  <c r="C266" i="6"/>
  <c r="C270" i="6"/>
  <c r="C274" i="6"/>
  <c r="C278" i="6"/>
  <c r="C282" i="6"/>
  <c r="C286" i="6"/>
  <c r="C290" i="6"/>
  <c r="C294" i="6"/>
  <c r="C298" i="6"/>
  <c r="C302" i="6"/>
  <c r="C306" i="6"/>
  <c r="C310" i="6"/>
  <c r="C314" i="6"/>
  <c r="C4" i="4" s="1"/>
  <c r="C318" i="6"/>
  <c r="C8" i="4" s="1"/>
  <c r="C322" i="6"/>
  <c r="C12" i="4" s="1"/>
  <c r="C326" i="6"/>
  <c r="C16" i="4" s="1"/>
  <c r="C330" i="6"/>
  <c r="C20" i="4" s="1"/>
  <c r="C334" i="6"/>
  <c r="C24" i="4" s="1"/>
  <c r="C342" i="6"/>
  <c r="C32" i="4" s="1"/>
  <c r="C350" i="6"/>
  <c r="C40" i="4" s="1"/>
  <c r="C358" i="6"/>
  <c r="C48" i="4" s="1"/>
  <c r="C11" i="7"/>
  <c r="C25" i="7"/>
  <c r="C33" i="7"/>
  <c r="C41" i="7"/>
  <c r="C49" i="7"/>
  <c r="C57" i="7"/>
  <c r="D84" i="7"/>
  <c r="D152" i="7"/>
  <c r="D170" i="7"/>
  <c r="C170" i="7"/>
  <c r="D183" i="7"/>
  <c r="C183" i="7"/>
  <c r="D205" i="7"/>
  <c r="C205" i="7"/>
  <c r="D217" i="7"/>
  <c r="C260" i="7"/>
  <c r="D259" i="7"/>
  <c r="D271" i="7"/>
  <c r="C259" i="7"/>
  <c r="D350" i="7"/>
  <c r="F40" i="4" s="1"/>
  <c r="C350" i="7"/>
  <c r="E40" i="4" s="1"/>
  <c r="C351" i="7"/>
  <c r="E41" i="4" s="1"/>
  <c r="D362" i="7"/>
  <c r="D25" i="8"/>
  <c r="C25" i="8"/>
  <c r="C26" i="8"/>
  <c r="D37" i="8"/>
  <c r="D49" i="8"/>
  <c r="C49" i="8"/>
  <c r="C50" i="8"/>
  <c r="D61" i="8"/>
  <c r="D113" i="8"/>
  <c r="C113" i="8"/>
  <c r="C114" i="8"/>
  <c r="D125" i="8"/>
  <c r="D177" i="8"/>
  <c r="C177" i="8"/>
  <c r="C178" i="8"/>
  <c r="D189" i="8"/>
  <c r="D241" i="8"/>
  <c r="C241" i="8"/>
  <c r="C242" i="8"/>
  <c r="D253" i="8"/>
  <c r="D257" i="8"/>
  <c r="C257" i="8"/>
  <c r="C258" i="8"/>
  <c r="D269" i="8"/>
  <c r="D273" i="8"/>
  <c r="C273" i="8"/>
  <c r="C274" i="8"/>
  <c r="D285" i="8"/>
  <c r="D289" i="8"/>
  <c r="C289" i="8"/>
  <c r="C290" i="8"/>
  <c r="D301" i="8"/>
  <c r="C21" i="5"/>
  <c r="D24" i="5"/>
  <c r="D30" i="5"/>
  <c r="C37" i="5"/>
  <c r="C53" i="5"/>
  <c r="C69" i="5"/>
  <c r="C85" i="5"/>
  <c r="C101" i="5"/>
  <c r="C117" i="5"/>
  <c r="C133" i="5"/>
  <c r="C149" i="5"/>
  <c r="C165" i="5"/>
  <c r="C181" i="5"/>
  <c r="C197" i="5"/>
  <c r="D26" i="6"/>
  <c r="C12" i="7"/>
  <c r="D62" i="7"/>
  <c r="D80" i="7"/>
  <c r="C80" i="7"/>
  <c r="C86" i="7"/>
  <c r="D85" i="7"/>
  <c r="D94" i="7"/>
  <c r="D112" i="7"/>
  <c r="C112" i="7"/>
  <c r="C117" i="7"/>
  <c r="C136" i="7"/>
  <c r="D135" i="7"/>
  <c r="C145" i="7"/>
  <c r="D144" i="7"/>
  <c r="C144" i="7"/>
  <c r="D199" i="7"/>
  <c r="C199" i="7"/>
  <c r="D221" i="7"/>
  <c r="C221" i="7"/>
  <c r="D233" i="7"/>
  <c r="D89" i="8"/>
  <c r="C89" i="8"/>
  <c r="C90" i="8"/>
  <c r="D101" i="8"/>
  <c r="D153" i="8"/>
  <c r="C153" i="8"/>
  <c r="C154" i="8"/>
  <c r="D165" i="8"/>
  <c r="D217" i="8"/>
  <c r="C217" i="8"/>
  <c r="C218" i="8"/>
  <c r="D229" i="8"/>
  <c r="D227" i="5"/>
  <c r="D235" i="5"/>
  <c r="D243" i="5"/>
  <c r="D251" i="5"/>
  <c r="D259" i="5"/>
  <c r="D267" i="5"/>
  <c r="D275" i="5"/>
  <c r="D283" i="5"/>
  <c r="D291" i="5"/>
  <c r="D299" i="5"/>
  <c r="D307" i="5"/>
  <c r="D315" i="5"/>
  <c r="H5" i="4" s="1"/>
  <c r="D323" i="5"/>
  <c r="H13" i="4" s="1"/>
  <c r="D331" i="5"/>
  <c r="H21" i="4" s="1"/>
  <c r="D339" i="5"/>
  <c r="H29" i="4" s="1"/>
  <c r="D347" i="5"/>
  <c r="H37" i="4" s="1"/>
  <c r="D355" i="5"/>
  <c r="H45" i="4" s="1"/>
  <c r="D22" i="6"/>
  <c r="D30" i="6"/>
  <c r="D38" i="6"/>
  <c r="D46" i="6"/>
  <c r="D54" i="6"/>
  <c r="D62" i="6"/>
  <c r="D70" i="6"/>
  <c r="D78" i="6"/>
  <c r="D86" i="6"/>
  <c r="D94" i="6"/>
  <c r="D102" i="6"/>
  <c r="D110" i="6"/>
  <c r="D118" i="6"/>
  <c r="D126" i="6"/>
  <c r="D134" i="6"/>
  <c r="D142" i="6"/>
  <c r="D150" i="6"/>
  <c r="D158" i="6"/>
  <c r="D166" i="6"/>
  <c r="D174" i="6"/>
  <c r="D182" i="6"/>
  <c r="D190" i="6"/>
  <c r="D198" i="6"/>
  <c r="D206" i="6"/>
  <c r="D214" i="6"/>
  <c r="D222" i="6"/>
  <c r="D230" i="6"/>
  <c r="D238" i="6"/>
  <c r="D246" i="6"/>
  <c r="D254" i="6"/>
  <c r="D262" i="6"/>
  <c r="D270" i="6"/>
  <c r="D278" i="6"/>
  <c r="D286" i="6"/>
  <c r="D294" i="6"/>
  <c r="D302" i="6"/>
  <c r="D310" i="6"/>
  <c r="D318" i="6"/>
  <c r="D8" i="4" s="1"/>
  <c r="D326" i="6"/>
  <c r="D16" i="4" s="1"/>
  <c r="D334" i="6"/>
  <c r="D24" i="4" s="1"/>
  <c r="D342" i="6"/>
  <c r="D32" i="4" s="1"/>
  <c r="D350" i="6"/>
  <c r="D40" i="4" s="1"/>
  <c r="D358" i="6"/>
  <c r="D48" i="4" s="1"/>
  <c r="D25" i="7"/>
  <c r="D33" i="7"/>
  <c r="D41" i="7"/>
  <c r="D49" i="7"/>
  <c r="D57" i="7"/>
  <c r="C60" i="7"/>
  <c r="D65" i="7"/>
  <c r="C68" i="7"/>
  <c r="D73" i="7"/>
  <c r="C76" i="7"/>
  <c r="D81" i="7"/>
  <c r="C84" i="7"/>
  <c r="D89" i="7"/>
  <c r="C92" i="7"/>
  <c r="D97" i="7"/>
  <c r="C100" i="7"/>
  <c r="D105" i="7"/>
  <c r="C108" i="7"/>
  <c r="D113" i="7"/>
  <c r="D116" i="7"/>
  <c r="D119" i="7"/>
  <c r="C125" i="7"/>
  <c r="C128" i="7"/>
  <c r="D131" i="7"/>
  <c r="D148" i="7"/>
  <c r="D151" i="7"/>
  <c r="C157" i="7"/>
  <c r="C160" i="7"/>
  <c r="D163" i="7"/>
  <c r="D184" i="7"/>
  <c r="D200" i="7"/>
  <c r="D216" i="7"/>
  <c r="D262" i="7"/>
  <c r="C262" i="7"/>
  <c r="D276" i="7"/>
  <c r="C283" i="7"/>
  <c r="D294" i="7"/>
  <c r="C294" i="7"/>
  <c r="D308" i="7"/>
  <c r="C315" i="7"/>
  <c r="E5" i="4" s="1"/>
  <c r="D326" i="7"/>
  <c r="F16" i="4" s="1"/>
  <c r="C326" i="7"/>
  <c r="E16" i="4" s="1"/>
  <c r="D355" i="8"/>
  <c r="N45" i="4" s="1"/>
  <c r="C23" i="9"/>
  <c r="D34" i="9"/>
  <c r="C34" i="9"/>
  <c r="D33" i="9"/>
  <c r="C42" i="9"/>
  <c r="D41" i="9"/>
  <c r="D45" i="9"/>
  <c r="C50" i="9"/>
  <c r="D49" i="9"/>
  <c r="D53" i="9"/>
  <c r="C58" i="9"/>
  <c r="D57" i="9"/>
  <c r="D61" i="9"/>
  <c r="C66" i="9"/>
  <c r="D65" i="9"/>
  <c r="D69" i="9"/>
  <c r="C74" i="9"/>
  <c r="D73" i="9"/>
  <c r="D77" i="9"/>
  <c r="C82" i="9"/>
  <c r="D81" i="9"/>
  <c r="D85" i="9"/>
  <c r="C90" i="9"/>
  <c r="D89" i="9"/>
  <c r="D93" i="9"/>
  <c r="C98" i="9"/>
  <c r="D97" i="9"/>
  <c r="D101" i="9"/>
  <c r="C106" i="9"/>
  <c r="D105" i="9"/>
  <c r="D109" i="9"/>
  <c r="C114" i="9"/>
  <c r="D113" i="9"/>
  <c r="D117" i="9"/>
  <c r="C122" i="9"/>
  <c r="D121" i="9"/>
  <c r="D125" i="9"/>
  <c r="C130" i="9"/>
  <c r="D129" i="9"/>
  <c r="D133" i="9"/>
  <c r="C138" i="9"/>
  <c r="D137" i="9"/>
  <c r="D141" i="9"/>
  <c r="C146" i="9"/>
  <c r="D145" i="9"/>
  <c r="D149" i="9"/>
  <c r="C154" i="9"/>
  <c r="D153" i="9"/>
  <c r="D157" i="9"/>
  <c r="D173" i="9"/>
  <c r="C162" i="9"/>
  <c r="D161" i="9"/>
  <c r="D165" i="9"/>
  <c r="D193" i="9"/>
  <c r="D181" i="9"/>
  <c r="C192" i="9"/>
  <c r="D196" i="9"/>
  <c r="C196" i="9"/>
  <c r="C197" i="9"/>
  <c r="C205" i="9"/>
  <c r="D228" i="9"/>
  <c r="C228" i="9"/>
  <c r="C229" i="9"/>
  <c r="C237" i="9"/>
  <c r="D296" i="9"/>
  <c r="C296" i="9"/>
  <c r="C297" i="9"/>
  <c r="D308" i="9"/>
  <c r="D314" i="9"/>
  <c r="L4" i="4" s="1"/>
  <c r="C314" i="9"/>
  <c r="K4" i="4" s="1"/>
  <c r="D326" i="9"/>
  <c r="L16" i="4" s="1"/>
  <c r="D327" i="9"/>
  <c r="L17" i="4" s="1"/>
  <c r="D21" i="10"/>
  <c r="D26" i="10"/>
  <c r="C26" i="10"/>
  <c r="D35" i="10"/>
  <c r="C35" i="10"/>
  <c r="D43" i="10"/>
  <c r="C43" i="10"/>
  <c r="D55" i="10"/>
  <c r="C44" i="10"/>
  <c r="D73" i="10"/>
  <c r="D61" i="10"/>
  <c r="C65" i="10"/>
  <c r="D82" i="10"/>
  <c r="D147" i="10"/>
  <c r="C147" i="10"/>
  <c r="C148" i="10"/>
  <c r="D159" i="10"/>
  <c r="D168" i="10"/>
  <c r="C168" i="10"/>
  <c r="D211" i="10"/>
  <c r="C211" i="10"/>
  <c r="C212" i="10"/>
  <c r="D223" i="10"/>
  <c r="D232" i="10"/>
  <c r="C232" i="10"/>
  <c r="D52" i="11"/>
  <c r="C40" i="11"/>
  <c r="D45" i="11"/>
  <c r="C45" i="11"/>
  <c r="C292" i="7"/>
  <c r="D291" i="7"/>
  <c r="C324" i="7"/>
  <c r="E14" i="4" s="1"/>
  <c r="D323" i="7"/>
  <c r="F13" i="4" s="1"/>
  <c r="C31" i="9"/>
  <c r="D42" i="9"/>
  <c r="C39" i="9"/>
  <c r="D50" i="9"/>
  <c r="C47" i="9"/>
  <c r="D58" i="9"/>
  <c r="C55" i="9"/>
  <c r="D66" i="9"/>
  <c r="C63" i="9"/>
  <c r="D74" i="9"/>
  <c r="C71" i="9"/>
  <c r="D82" i="9"/>
  <c r="C79" i="9"/>
  <c r="D90" i="9"/>
  <c r="C87" i="9"/>
  <c r="D98" i="9"/>
  <c r="C95" i="9"/>
  <c r="D106" i="9"/>
  <c r="C103" i="9"/>
  <c r="D114" i="9"/>
  <c r="C111" i="9"/>
  <c r="D122" i="9"/>
  <c r="C119" i="9"/>
  <c r="D130" i="9"/>
  <c r="C127" i="9"/>
  <c r="D138" i="9"/>
  <c r="C135" i="9"/>
  <c r="D146" i="9"/>
  <c r="C143" i="9"/>
  <c r="D154" i="9"/>
  <c r="C151" i="9"/>
  <c r="D162" i="9"/>
  <c r="D170" i="9"/>
  <c r="C159" i="9"/>
  <c r="D201" i="9"/>
  <c r="D215" i="9"/>
  <c r="C215" i="9"/>
  <c r="C216" i="9"/>
  <c r="D224" i="9"/>
  <c r="C225" i="9"/>
  <c r="D247" i="9"/>
  <c r="C247" i="9"/>
  <c r="C248" i="9"/>
  <c r="D256" i="9"/>
  <c r="C256" i="9"/>
  <c r="D328" i="9"/>
  <c r="L18" i="4" s="1"/>
  <c r="C328" i="9"/>
  <c r="K18" i="4" s="1"/>
  <c r="C329" i="9"/>
  <c r="K19" i="4" s="1"/>
  <c r="D340" i="9"/>
  <c r="L30" i="4" s="1"/>
  <c r="D79" i="10"/>
  <c r="D96" i="10"/>
  <c r="D108" i="10"/>
  <c r="D104" i="10"/>
  <c r="C104" i="10"/>
  <c r="D116" i="10"/>
  <c r="D122" i="10"/>
  <c r="C122" i="10"/>
  <c r="D131" i="10"/>
  <c r="C131" i="10"/>
  <c r="D139" i="10"/>
  <c r="C139" i="10"/>
  <c r="C140" i="10"/>
  <c r="D151" i="10"/>
  <c r="D160" i="10"/>
  <c r="C160" i="10"/>
  <c r="D203" i="10"/>
  <c r="C203" i="10"/>
  <c r="C204" i="10"/>
  <c r="D215" i="10"/>
  <c r="D224" i="10"/>
  <c r="C224" i="10"/>
  <c r="D76" i="11"/>
  <c r="D64" i="11"/>
  <c r="C64" i="11"/>
  <c r="D108" i="11"/>
  <c r="D96" i="11"/>
  <c r="C96" i="11"/>
  <c r="D179" i="7"/>
  <c r="D182" i="7"/>
  <c r="C182" i="7"/>
  <c r="D188" i="7"/>
  <c r="D195" i="7"/>
  <c r="D198" i="7"/>
  <c r="C198" i="7"/>
  <c r="D204" i="7"/>
  <c r="D211" i="7"/>
  <c r="D214" i="7"/>
  <c r="C214" i="7"/>
  <c r="D220" i="7"/>
  <c r="D227" i="7"/>
  <c r="D230" i="7"/>
  <c r="C230" i="7"/>
  <c r="D236" i="7"/>
  <c r="D243" i="7"/>
  <c r="D246" i="7"/>
  <c r="C246" i="7"/>
  <c r="D252" i="7"/>
  <c r="D270" i="7"/>
  <c r="C270" i="7"/>
  <c r="C277" i="7"/>
  <c r="C291" i="7"/>
  <c r="D302" i="7"/>
  <c r="C302" i="7"/>
  <c r="C309" i="7"/>
  <c r="C323" i="7"/>
  <c r="E13" i="4" s="1"/>
  <c r="D334" i="7"/>
  <c r="F24" i="4" s="1"/>
  <c r="C334" i="7"/>
  <c r="E24" i="4" s="1"/>
  <c r="D28" i="8"/>
  <c r="C17" i="8"/>
  <c r="C16" i="8"/>
  <c r="C30" i="9"/>
  <c r="C38" i="9"/>
  <c r="C46" i="9"/>
  <c r="C54" i="9"/>
  <c r="C62" i="9"/>
  <c r="C70" i="9"/>
  <c r="C78" i="9"/>
  <c r="C86" i="9"/>
  <c r="C94" i="9"/>
  <c r="C102" i="9"/>
  <c r="C110" i="9"/>
  <c r="C118" i="9"/>
  <c r="C126" i="9"/>
  <c r="C134" i="9"/>
  <c r="C142" i="9"/>
  <c r="C150" i="9"/>
  <c r="C158" i="9"/>
  <c r="D166" i="9"/>
  <c r="C179" i="9"/>
  <c r="D178" i="9"/>
  <c r="C189" i="9"/>
  <c r="D202" i="9"/>
  <c r="C202" i="9"/>
  <c r="D210" i="9"/>
  <c r="C224" i="9"/>
  <c r="D234" i="9"/>
  <c r="C234" i="9"/>
  <c r="C271" i="9"/>
  <c r="D288" i="9"/>
  <c r="C288" i="9"/>
  <c r="C324" i="9"/>
  <c r="K14" i="4" s="1"/>
  <c r="C338" i="9"/>
  <c r="K28" i="4" s="1"/>
  <c r="D346" i="9"/>
  <c r="L36" i="4" s="1"/>
  <c r="C346" i="9"/>
  <c r="K36" i="4" s="1"/>
  <c r="D358" i="9"/>
  <c r="L48" i="4" s="1"/>
  <c r="C359" i="9"/>
  <c r="K49" i="4" s="1"/>
  <c r="C13" i="10"/>
  <c r="C53" i="10"/>
  <c r="C79" i="10"/>
  <c r="C96" i="10"/>
  <c r="D143" i="10"/>
  <c r="D152" i="10"/>
  <c r="C152" i="10"/>
  <c r="D195" i="10"/>
  <c r="C195" i="10"/>
  <c r="C196" i="10"/>
  <c r="D207" i="10"/>
  <c r="D216" i="10"/>
  <c r="C216" i="10"/>
  <c r="D297" i="8"/>
  <c r="C297" i="8"/>
  <c r="C298" i="8"/>
  <c r="D305" i="8"/>
  <c r="C305" i="8"/>
  <c r="C306" i="8"/>
  <c r="D313" i="8"/>
  <c r="C313" i="8"/>
  <c r="C314" i="8"/>
  <c r="M4" i="4" s="1"/>
  <c r="D321" i="8"/>
  <c r="N11" i="4" s="1"/>
  <c r="C321" i="8"/>
  <c r="M11" i="4" s="1"/>
  <c r="C322" i="8"/>
  <c r="M12" i="4" s="1"/>
  <c r="D329" i="8"/>
  <c r="N19" i="4" s="1"/>
  <c r="C329" i="8"/>
  <c r="M19" i="4" s="1"/>
  <c r="C330" i="8"/>
  <c r="M20" i="4" s="1"/>
  <c r="D337" i="8"/>
  <c r="N27" i="4" s="1"/>
  <c r="C337" i="8"/>
  <c r="M27" i="4" s="1"/>
  <c r="C338" i="8"/>
  <c r="M28" i="4" s="1"/>
  <c r="D345" i="8"/>
  <c r="N35" i="4" s="1"/>
  <c r="C345" i="8"/>
  <c r="M35" i="4" s="1"/>
  <c r="C346" i="8"/>
  <c r="M36" i="4" s="1"/>
  <c r="D353" i="8"/>
  <c r="N43" i="4" s="1"/>
  <c r="C353" i="8"/>
  <c r="M43" i="4" s="1"/>
  <c r="C354" i="8"/>
  <c r="M44" i="4" s="1"/>
  <c r="D361" i="8"/>
  <c r="N51" i="4" s="1"/>
  <c r="C361" i="8"/>
  <c r="M51" i="4" s="1"/>
  <c r="C362" i="8"/>
  <c r="M52" i="4" s="1"/>
  <c r="D30" i="9"/>
  <c r="D38" i="9"/>
  <c r="D46" i="9"/>
  <c r="D54" i="9"/>
  <c r="D62" i="9"/>
  <c r="D70" i="9"/>
  <c r="D78" i="9"/>
  <c r="D86" i="9"/>
  <c r="D94" i="9"/>
  <c r="D102" i="9"/>
  <c r="D110" i="9"/>
  <c r="D118" i="9"/>
  <c r="D126" i="9"/>
  <c r="D134" i="9"/>
  <c r="D142" i="9"/>
  <c r="D150" i="9"/>
  <c r="D158" i="9"/>
  <c r="D167" i="9"/>
  <c r="C167" i="9"/>
  <c r="C168" i="9"/>
  <c r="D211" i="9"/>
  <c r="C211" i="9"/>
  <c r="D243" i="9"/>
  <c r="C243" i="9"/>
  <c r="D253" i="9"/>
  <c r="D265" i="9"/>
  <c r="C257" i="9"/>
  <c r="D320" i="9"/>
  <c r="L10" i="4" s="1"/>
  <c r="C320" i="9"/>
  <c r="K10" i="4" s="1"/>
  <c r="D324" i="9"/>
  <c r="L14" i="4" s="1"/>
  <c r="D338" i="9"/>
  <c r="L28" i="4" s="1"/>
  <c r="D32" i="10"/>
  <c r="D44" i="10"/>
  <c r="D40" i="10"/>
  <c r="C40" i="10"/>
  <c r="D52" i="10"/>
  <c r="D58" i="10"/>
  <c r="C58" i="10"/>
  <c r="D67" i="10"/>
  <c r="C67" i="10"/>
  <c r="D75" i="10"/>
  <c r="C75" i="10"/>
  <c r="D87" i="10"/>
  <c r="C76" i="10"/>
  <c r="D105" i="10"/>
  <c r="D93" i="10"/>
  <c r="C97" i="10"/>
  <c r="D144" i="10"/>
  <c r="C144" i="10"/>
  <c r="D187" i="10"/>
  <c r="C187" i="10"/>
  <c r="C188" i="10"/>
  <c r="D199" i="10"/>
  <c r="D208" i="10"/>
  <c r="C208" i="10"/>
  <c r="D44" i="11"/>
  <c r="C32" i="11"/>
  <c r="D60" i="11"/>
  <c r="C48" i="11"/>
  <c r="D53" i="11"/>
  <c r="C53" i="11"/>
  <c r="D84" i="11"/>
  <c r="D72" i="11"/>
  <c r="C72" i="11"/>
  <c r="D116" i="11"/>
  <c r="D104" i="11"/>
  <c r="C104" i="11"/>
  <c r="C118" i="7"/>
  <c r="D147" i="7"/>
  <c r="C150" i="7"/>
  <c r="D176" i="7"/>
  <c r="D192" i="7"/>
  <c r="D208" i="7"/>
  <c r="D224" i="7"/>
  <c r="D240" i="7"/>
  <c r="D278" i="7"/>
  <c r="C278" i="7"/>
  <c r="D310" i="7"/>
  <c r="C310" i="7"/>
  <c r="C329" i="7"/>
  <c r="E19" i="4" s="1"/>
  <c r="D340" i="7"/>
  <c r="F30" i="4" s="1"/>
  <c r="C13" i="8"/>
  <c r="C12" i="8"/>
  <c r="D309" i="8"/>
  <c r="D317" i="8"/>
  <c r="N7" i="4" s="1"/>
  <c r="D325" i="8"/>
  <c r="N15" i="4" s="1"/>
  <c r="D333" i="8"/>
  <c r="N23" i="4" s="1"/>
  <c r="D341" i="8"/>
  <c r="N31" i="4" s="1"/>
  <c r="D349" i="8"/>
  <c r="N39" i="4" s="1"/>
  <c r="D357" i="8"/>
  <c r="N47" i="4" s="1"/>
  <c r="C15" i="9"/>
  <c r="C27" i="9"/>
  <c r="C35" i="9"/>
  <c r="C43" i="9"/>
  <c r="C51" i="9"/>
  <c r="C59" i="9"/>
  <c r="C67" i="9"/>
  <c r="C75" i="9"/>
  <c r="C83" i="9"/>
  <c r="C91" i="9"/>
  <c r="C99" i="9"/>
  <c r="C107" i="9"/>
  <c r="C115" i="9"/>
  <c r="C123" i="9"/>
  <c r="C131" i="9"/>
  <c r="C139" i="9"/>
  <c r="C147" i="9"/>
  <c r="C155" i="9"/>
  <c r="C163" i="9"/>
  <c r="C175" i="9"/>
  <c r="C186" i="9"/>
  <c r="C190" i="9"/>
  <c r="C191" i="9"/>
  <c r="D190" i="9"/>
  <c r="D198" i="9"/>
  <c r="D212" i="9"/>
  <c r="C212" i="9"/>
  <c r="C213" i="9"/>
  <c r="C221" i="9"/>
  <c r="D244" i="9"/>
  <c r="C244" i="9"/>
  <c r="C245" i="9"/>
  <c r="C253" i="9"/>
  <c r="D277" i="9"/>
  <c r="D289" i="9"/>
  <c r="D285" i="9"/>
  <c r="D297" i="9"/>
  <c r="C335" i="9"/>
  <c r="K25" i="4" s="1"/>
  <c r="D360" i="9"/>
  <c r="L50" i="4" s="1"/>
  <c r="C360" i="9"/>
  <c r="K50" i="4" s="1"/>
  <c r="C361" i="9"/>
  <c r="K51" i="4" s="1"/>
  <c r="C32" i="10"/>
  <c r="C50" i="10"/>
  <c r="C71" i="10"/>
  <c r="C93" i="10"/>
  <c r="D136" i="10"/>
  <c r="C136" i="10"/>
  <c r="D179" i="10"/>
  <c r="C179" i="10"/>
  <c r="C180" i="10"/>
  <c r="D191" i="10"/>
  <c r="D200" i="10"/>
  <c r="C200" i="10"/>
  <c r="D264" i="10"/>
  <c r="C264" i="10"/>
  <c r="D276" i="10"/>
  <c r="D32" i="11"/>
  <c r="D37" i="11"/>
  <c r="C37" i="11"/>
  <c r="D48" i="11"/>
  <c r="C59" i="7"/>
  <c r="C67" i="7"/>
  <c r="C75" i="7"/>
  <c r="C83" i="7"/>
  <c r="C91" i="7"/>
  <c r="C99" i="7"/>
  <c r="C107" i="7"/>
  <c r="C115" i="7"/>
  <c r="D118" i="7"/>
  <c r="C124" i="7"/>
  <c r="C127" i="7"/>
  <c r="C147" i="7"/>
  <c r="D150" i="7"/>
  <c r="C156" i="7"/>
  <c r="C159" i="7"/>
  <c r="C180" i="7"/>
  <c r="C196" i="7"/>
  <c r="C212" i="7"/>
  <c r="C228" i="7"/>
  <c r="C244" i="7"/>
  <c r="C264" i="7"/>
  <c r="C276" i="7"/>
  <c r="D275" i="7"/>
  <c r="C282" i="7"/>
  <c r="C296" i="7"/>
  <c r="D303" i="7"/>
  <c r="C308" i="7"/>
  <c r="D307" i="7"/>
  <c r="C314" i="7"/>
  <c r="E4" i="4" s="1"/>
  <c r="C328" i="7"/>
  <c r="E18" i="4" s="1"/>
  <c r="D335" i="7"/>
  <c r="F25" i="4" s="1"/>
  <c r="C340" i="7"/>
  <c r="E30" i="4" s="1"/>
  <c r="D339" i="7"/>
  <c r="F29" i="4" s="1"/>
  <c r="C348" i="7"/>
  <c r="E38" i="4" s="1"/>
  <c r="D347" i="7"/>
  <c r="F37" i="4" s="1"/>
  <c r="D351" i="7"/>
  <c r="F41" i="4" s="1"/>
  <c r="C356" i="7"/>
  <c r="E46" i="4" s="1"/>
  <c r="D355" i="7"/>
  <c r="F45" i="4" s="1"/>
  <c r="D359" i="7"/>
  <c r="F49" i="4" s="1"/>
  <c r="C23" i="8"/>
  <c r="D22" i="8"/>
  <c r="C31" i="8"/>
  <c r="D30" i="8"/>
  <c r="D34" i="8"/>
  <c r="C39" i="8"/>
  <c r="D38" i="8"/>
  <c r="D42" i="8"/>
  <c r="C47" i="8"/>
  <c r="D46" i="8"/>
  <c r="D50" i="8"/>
  <c r="C55" i="8"/>
  <c r="D54" i="8"/>
  <c r="D58" i="8"/>
  <c r="C63" i="8"/>
  <c r="D62" i="8"/>
  <c r="D66" i="8"/>
  <c r="C71" i="8"/>
  <c r="D70" i="8"/>
  <c r="D74" i="8"/>
  <c r="C79" i="8"/>
  <c r="D78" i="8"/>
  <c r="D82" i="8"/>
  <c r="C87" i="8"/>
  <c r="D86" i="8"/>
  <c r="D90" i="8"/>
  <c r="C95" i="8"/>
  <c r="D94" i="8"/>
  <c r="D98" i="8"/>
  <c r="C103" i="8"/>
  <c r="D102" i="8"/>
  <c r="D106" i="8"/>
  <c r="C111" i="8"/>
  <c r="D110" i="8"/>
  <c r="D114" i="8"/>
  <c r="C119" i="8"/>
  <c r="D118" i="8"/>
  <c r="D122" i="8"/>
  <c r="C127" i="8"/>
  <c r="D126" i="8"/>
  <c r="D130" i="8"/>
  <c r="C135" i="8"/>
  <c r="D134" i="8"/>
  <c r="D138" i="8"/>
  <c r="C143" i="8"/>
  <c r="D142" i="8"/>
  <c r="D146" i="8"/>
  <c r="C151" i="8"/>
  <c r="D150" i="8"/>
  <c r="D154" i="8"/>
  <c r="C159" i="8"/>
  <c r="D158" i="8"/>
  <c r="D162" i="8"/>
  <c r="C167" i="8"/>
  <c r="D166" i="8"/>
  <c r="D170" i="8"/>
  <c r="C175" i="8"/>
  <c r="D174" i="8"/>
  <c r="D178" i="8"/>
  <c r="C183" i="8"/>
  <c r="D182" i="8"/>
  <c r="D186" i="8"/>
  <c r="C191" i="8"/>
  <c r="D190" i="8"/>
  <c r="D194" i="8"/>
  <c r="C199" i="8"/>
  <c r="D198" i="8"/>
  <c r="D202" i="8"/>
  <c r="C207" i="8"/>
  <c r="D206" i="8"/>
  <c r="D210" i="8"/>
  <c r="C215" i="8"/>
  <c r="D214" i="8"/>
  <c r="D218" i="8"/>
  <c r="C223" i="8"/>
  <c r="D222" i="8"/>
  <c r="D226" i="8"/>
  <c r="C231" i="8"/>
  <c r="D230" i="8"/>
  <c r="D234" i="8"/>
  <c r="C239" i="8"/>
  <c r="D238" i="8"/>
  <c r="D242" i="8"/>
  <c r="C247" i="8"/>
  <c r="D246" i="8"/>
  <c r="D250" i="8"/>
  <c r="C255" i="8"/>
  <c r="D254" i="8"/>
  <c r="D258" i="8"/>
  <c r="C263" i="8"/>
  <c r="D262" i="8"/>
  <c r="D266" i="8"/>
  <c r="C271" i="8"/>
  <c r="D270" i="8"/>
  <c r="D274" i="8"/>
  <c r="C279" i="8"/>
  <c r="D278" i="8"/>
  <c r="D282" i="8"/>
  <c r="C287" i="8"/>
  <c r="D286" i="8"/>
  <c r="D290" i="8"/>
  <c r="C295" i="8"/>
  <c r="D294" i="8"/>
  <c r="D298" i="8"/>
  <c r="C303" i="8"/>
  <c r="D302" i="8"/>
  <c r="D306" i="8"/>
  <c r="C311" i="8"/>
  <c r="D310" i="8"/>
  <c r="D314" i="8"/>
  <c r="N4" i="4" s="1"/>
  <c r="C319" i="8"/>
  <c r="M9" i="4" s="1"/>
  <c r="D318" i="8"/>
  <c r="N8" i="4" s="1"/>
  <c r="D322" i="8"/>
  <c r="N12" i="4" s="1"/>
  <c r="C327" i="8"/>
  <c r="M17" i="4" s="1"/>
  <c r="D326" i="8"/>
  <c r="N16" i="4" s="1"/>
  <c r="D330" i="8"/>
  <c r="N20" i="4" s="1"/>
  <c r="C335" i="8"/>
  <c r="M25" i="4" s="1"/>
  <c r="D334" i="8"/>
  <c r="N24" i="4" s="1"/>
  <c r="D338" i="8"/>
  <c r="N28" i="4" s="1"/>
  <c r="C343" i="8"/>
  <c r="M33" i="4" s="1"/>
  <c r="D342" i="8"/>
  <c r="N32" i="4" s="1"/>
  <c r="D346" i="8"/>
  <c r="N36" i="4" s="1"/>
  <c r="C351" i="8"/>
  <c r="M41" i="4" s="1"/>
  <c r="D350" i="8"/>
  <c r="N40" i="4" s="1"/>
  <c r="D354" i="8"/>
  <c r="N44" i="4" s="1"/>
  <c r="C359" i="8"/>
  <c r="M49" i="4" s="1"/>
  <c r="D358" i="8"/>
  <c r="N48" i="4" s="1"/>
  <c r="D362" i="8"/>
  <c r="C11" i="9"/>
  <c r="D20" i="9"/>
  <c r="C20" i="9"/>
  <c r="C21" i="9"/>
  <c r="D27" i="9"/>
  <c r="D35" i="9"/>
  <c r="D43" i="9"/>
  <c r="D51" i="9"/>
  <c r="D59" i="9"/>
  <c r="D67" i="9"/>
  <c r="D75" i="9"/>
  <c r="D83" i="9"/>
  <c r="D91" i="9"/>
  <c r="D99" i="9"/>
  <c r="D107" i="9"/>
  <c r="D115" i="9"/>
  <c r="D123" i="9"/>
  <c r="D131" i="9"/>
  <c r="D139" i="9"/>
  <c r="D147" i="9"/>
  <c r="D175" i="9"/>
  <c r="D199" i="9"/>
  <c r="C199" i="9"/>
  <c r="C200" i="9"/>
  <c r="D208" i="9"/>
  <c r="C209" i="9"/>
  <c r="D217" i="9"/>
  <c r="D231" i="9"/>
  <c r="C231" i="9"/>
  <c r="C232" i="9"/>
  <c r="D240" i="9"/>
  <c r="C241" i="9"/>
  <c r="D249" i="9"/>
  <c r="C263" i="9"/>
  <c r="D268" i="9"/>
  <c r="C268" i="9"/>
  <c r="C269" i="9"/>
  <c r="C277" i="9"/>
  <c r="C285" i="9"/>
  <c r="D309" i="9"/>
  <c r="D321" i="9"/>
  <c r="L11" i="4" s="1"/>
  <c r="D317" i="9"/>
  <c r="L7" i="4" s="1"/>
  <c r="D329" i="9"/>
  <c r="L19" i="4" s="1"/>
  <c r="C321" i="9"/>
  <c r="K11" i="4" s="1"/>
  <c r="D352" i="9"/>
  <c r="L42" i="4" s="1"/>
  <c r="C352" i="9"/>
  <c r="K42" i="4" s="1"/>
  <c r="C356" i="9"/>
  <c r="K46" i="4" s="1"/>
  <c r="D41" i="10"/>
  <c r="D29" i="10"/>
  <c r="C33" i="10"/>
  <c r="C68" i="10"/>
  <c r="C85" i="10"/>
  <c r="C111" i="10"/>
  <c r="C128" i="10"/>
  <c r="D171" i="10"/>
  <c r="C171" i="10"/>
  <c r="C172" i="10"/>
  <c r="D183" i="10"/>
  <c r="D192" i="10"/>
  <c r="C192" i="10"/>
  <c r="D256" i="10"/>
  <c r="C256" i="10"/>
  <c r="D92" i="11"/>
  <c r="D80" i="11"/>
  <c r="C80" i="11"/>
  <c r="D139" i="7"/>
  <c r="C142" i="7"/>
  <c r="D171" i="7"/>
  <c r="D174" i="7"/>
  <c r="C174" i="7"/>
  <c r="D190" i="7"/>
  <c r="C190" i="7"/>
  <c r="D196" i="7"/>
  <c r="D206" i="7"/>
  <c r="C206" i="7"/>
  <c r="D212" i="7"/>
  <c r="D222" i="7"/>
  <c r="C222" i="7"/>
  <c r="D228" i="7"/>
  <c r="D238" i="7"/>
  <c r="C238" i="7"/>
  <c r="D244" i="7"/>
  <c r="D254" i="7"/>
  <c r="C254" i="7"/>
  <c r="D264" i="7"/>
  <c r="D268" i="7"/>
  <c r="C279" i="7"/>
  <c r="D286" i="7"/>
  <c r="C286" i="7"/>
  <c r="D296" i="7"/>
  <c r="D300" i="7"/>
  <c r="C311" i="7"/>
  <c r="D318" i="7"/>
  <c r="F8" i="4" s="1"/>
  <c r="C318" i="7"/>
  <c r="E8" i="4" s="1"/>
  <c r="D328" i="7"/>
  <c r="F18" i="4" s="1"/>
  <c r="D332" i="7"/>
  <c r="F22" i="4" s="1"/>
  <c r="C337" i="7"/>
  <c r="E27" i="4" s="1"/>
  <c r="D348" i="7"/>
  <c r="F38" i="4" s="1"/>
  <c r="C345" i="7"/>
  <c r="E35" i="4" s="1"/>
  <c r="D356" i="7"/>
  <c r="F46" i="4" s="1"/>
  <c r="D20" i="8"/>
  <c r="C9" i="8"/>
  <c r="C8" i="8"/>
  <c r="C20" i="8"/>
  <c r="D31" i="8"/>
  <c r="C28" i="8"/>
  <c r="D39" i="8"/>
  <c r="C36" i="8"/>
  <c r="D47" i="8"/>
  <c r="C44" i="8"/>
  <c r="D55" i="8"/>
  <c r="C52" i="8"/>
  <c r="D63" i="8"/>
  <c r="C60" i="8"/>
  <c r="D71" i="8"/>
  <c r="C68" i="8"/>
  <c r="D79" i="8"/>
  <c r="C76" i="8"/>
  <c r="D87" i="8"/>
  <c r="C84" i="8"/>
  <c r="D95" i="8"/>
  <c r="C92" i="8"/>
  <c r="D103" i="8"/>
  <c r="C100" i="8"/>
  <c r="D111" i="8"/>
  <c r="C108" i="8"/>
  <c r="D119" i="8"/>
  <c r="C116" i="8"/>
  <c r="D127" i="8"/>
  <c r="C124" i="8"/>
  <c r="D135" i="8"/>
  <c r="C132" i="8"/>
  <c r="D143" i="8"/>
  <c r="C140" i="8"/>
  <c r="D151" i="8"/>
  <c r="C148" i="8"/>
  <c r="D159" i="8"/>
  <c r="C156" i="8"/>
  <c r="D167" i="8"/>
  <c r="C164" i="8"/>
  <c r="D175" i="8"/>
  <c r="C172" i="8"/>
  <c r="D183" i="8"/>
  <c r="C180" i="8"/>
  <c r="D191" i="8"/>
  <c r="C188" i="8"/>
  <c r="D199" i="8"/>
  <c r="C196" i="8"/>
  <c r="D207" i="8"/>
  <c r="C204" i="8"/>
  <c r="D215" i="8"/>
  <c r="C212" i="8"/>
  <c r="D223" i="8"/>
  <c r="C220" i="8"/>
  <c r="D231" i="8"/>
  <c r="C228" i="8"/>
  <c r="D239" i="8"/>
  <c r="C236" i="8"/>
  <c r="D247" i="8"/>
  <c r="C244" i="8"/>
  <c r="D255" i="8"/>
  <c r="C252" i="8"/>
  <c r="D263" i="8"/>
  <c r="C260" i="8"/>
  <c r="D271" i="8"/>
  <c r="C268" i="8"/>
  <c r="D279" i="8"/>
  <c r="C276" i="8"/>
  <c r="D287" i="8"/>
  <c r="C284" i="8"/>
  <c r="D295" i="8"/>
  <c r="C292" i="8"/>
  <c r="D303" i="8"/>
  <c r="C300" i="8"/>
  <c r="D311" i="8"/>
  <c r="C308" i="8"/>
  <c r="D319" i="8"/>
  <c r="N9" i="4" s="1"/>
  <c r="C316" i="8"/>
  <c r="M6" i="4" s="1"/>
  <c r="D327" i="8"/>
  <c r="N17" i="4" s="1"/>
  <c r="C324" i="8"/>
  <c r="M14" i="4" s="1"/>
  <c r="D335" i="8"/>
  <c r="N25" i="4" s="1"/>
  <c r="C332" i="8"/>
  <c r="M22" i="4" s="1"/>
  <c r="D343" i="8"/>
  <c r="N33" i="4" s="1"/>
  <c r="C340" i="8"/>
  <c r="M30" i="4" s="1"/>
  <c r="D351" i="8"/>
  <c r="N41" i="4" s="1"/>
  <c r="C348" i="8"/>
  <c r="M38" i="4" s="1"/>
  <c r="D359" i="8"/>
  <c r="N49" i="4" s="1"/>
  <c r="D24" i="9"/>
  <c r="D28" i="9"/>
  <c r="C28" i="9"/>
  <c r="C29" i="9"/>
  <c r="D36" i="9"/>
  <c r="C36" i="9"/>
  <c r="C37" i="9"/>
  <c r="D44" i="9"/>
  <c r="C44" i="9"/>
  <c r="C45" i="9"/>
  <c r="D52" i="9"/>
  <c r="C52" i="9"/>
  <c r="C53" i="9"/>
  <c r="D60" i="9"/>
  <c r="C60" i="9"/>
  <c r="C61" i="9"/>
  <c r="D68" i="9"/>
  <c r="C68" i="9"/>
  <c r="C69" i="9"/>
  <c r="D76" i="9"/>
  <c r="C76" i="9"/>
  <c r="C77" i="9"/>
  <c r="D84" i="9"/>
  <c r="C84" i="9"/>
  <c r="C85" i="9"/>
  <c r="D92" i="9"/>
  <c r="C92" i="9"/>
  <c r="C93" i="9"/>
  <c r="D100" i="9"/>
  <c r="C100" i="9"/>
  <c r="C101" i="9"/>
  <c r="D108" i="9"/>
  <c r="C108" i="9"/>
  <c r="C109" i="9"/>
  <c r="D116" i="9"/>
  <c r="C116" i="9"/>
  <c r="C117" i="9"/>
  <c r="D124" i="9"/>
  <c r="C124" i="9"/>
  <c r="C125" i="9"/>
  <c r="D132" i="9"/>
  <c r="C132" i="9"/>
  <c r="C133" i="9"/>
  <c r="D140" i="9"/>
  <c r="C140" i="9"/>
  <c r="C141" i="9"/>
  <c r="D148" i="9"/>
  <c r="C148" i="9"/>
  <c r="C149" i="9"/>
  <c r="D156" i="9"/>
  <c r="C156" i="9"/>
  <c r="C157" i="9"/>
  <c r="D176" i="9"/>
  <c r="D164" i="9"/>
  <c r="C164" i="9"/>
  <c r="C165" i="9"/>
  <c r="D187" i="9"/>
  <c r="C188" i="9"/>
  <c r="C187" i="9"/>
  <c r="D204" i="9"/>
  <c r="D218" i="9"/>
  <c r="C218" i="9"/>
  <c r="D236" i="9"/>
  <c r="D250" i="9"/>
  <c r="C250" i="9"/>
  <c r="D262" i="9"/>
  <c r="D259" i="9"/>
  <c r="C278" i="9"/>
  <c r="D300" i="9"/>
  <c r="C300" i="9"/>
  <c r="C301" i="9"/>
  <c r="D356" i="9"/>
  <c r="L46" i="4" s="1"/>
  <c r="D64" i="10"/>
  <c r="D76" i="10"/>
  <c r="D72" i="10"/>
  <c r="C72" i="10"/>
  <c r="D84" i="10"/>
  <c r="D85" i="10"/>
  <c r="D90" i="10"/>
  <c r="C90" i="10"/>
  <c r="D99" i="10"/>
  <c r="C99" i="10"/>
  <c r="D107" i="10"/>
  <c r="C107" i="10"/>
  <c r="D119" i="10"/>
  <c r="C108" i="10"/>
  <c r="D137" i="10"/>
  <c r="D125" i="10"/>
  <c r="C129" i="10"/>
  <c r="D163" i="10"/>
  <c r="C163" i="10"/>
  <c r="C164" i="10"/>
  <c r="D175" i="10"/>
  <c r="D180" i="10"/>
  <c r="D184" i="10"/>
  <c r="C184" i="10"/>
  <c r="D244" i="10"/>
  <c r="D248" i="10"/>
  <c r="C248" i="10"/>
  <c r="D68" i="11"/>
  <c r="C56" i="11"/>
  <c r="C139" i="7"/>
  <c r="D142" i="7"/>
  <c r="C171" i="7"/>
  <c r="C184" i="7"/>
  <c r="C187" i="7"/>
  <c r="C200" i="7"/>
  <c r="C203" i="7"/>
  <c r="C216" i="7"/>
  <c r="C219" i="7"/>
  <c r="C232" i="7"/>
  <c r="C235" i="7"/>
  <c r="C248" i="7"/>
  <c r="C251" i="7"/>
  <c r="D261" i="7"/>
  <c r="C272" i="7"/>
  <c r="C284" i="7"/>
  <c r="D283" i="7"/>
  <c r="D293" i="7"/>
  <c r="C304" i="7"/>
  <c r="C316" i="7"/>
  <c r="E6" i="4" s="1"/>
  <c r="D315" i="7"/>
  <c r="F5" i="4" s="1"/>
  <c r="D325" i="7"/>
  <c r="F15" i="4" s="1"/>
  <c r="C336" i="7"/>
  <c r="E26" i="4" s="1"/>
  <c r="C344" i="7"/>
  <c r="E34" i="4" s="1"/>
  <c r="C352" i="7"/>
  <c r="E42" i="4" s="1"/>
  <c r="C360" i="7"/>
  <c r="E50" i="4" s="1"/>
  <c r="C19" i="8"/>
  <c r="C27" i="8"/>
  <c r="C35" i="8"/>
  <c r="C43" i="8"/>
  <c r="C51" i="8"/>
  <c r="C59" i="8"/>
  <c r="C67" i="8"/>
  <c r="C75" i="8"/>
  <c r="C83" i="8"/>
  <c r="C91" i="8"/>
  <c r="C99" i="8"/>
  <c r="C107" i="8"/>
  <c r="C115" i="8"/>
  <c r="C123" i="8"/>
  <c r="C131" i="8"/>
  <c r="C139" i="8"/>
  <c r="C147" i="8"/>
  <c r="C155" i="8"/>
  <c r="C163" i="8"/>
  <c r="C171" i="8"/>
  <c r="C179" i="8"/>
  <c r="C187" i="8"/>
  <c r="C195" i="8"/>
  <c r="C203" i="8"/>
  <c r="C211" i="8"/>
  <c r="C219" i="8"/>
  <c r="C227" i="8"/>
  <c r="C235" i="8"/>
  <c r="C243" i="8"/>
  <c r="C251" i="8"/>
  <c r="C259" i="8"/>
  <c r="C267" i="8"/>
  <c r="C275" i="8"/>
  <c r="C283" i="8"/>
  <c r="C291" i="8"/>
  <c r="C299" i="8"/>
  <c r="C307" i="8"/>
  <c r="C315" i="8"/>
  <c r="M5" i="4" s="1"/>
  <c r="C323" i="8"/>
  <c r="M13" i="4" s="1"/>
  <c r="C331" i="8"/>
  <c r="M21" i="4" s="1"/>
  <c r="C339" i="8"/>
  <c r="M29" i="4" s="1"/>
  <c r="C347" i="8"/>
  <c r="M37" i="4" s="1"/>
  <c r="C355" i="8"/>
  <c r="M45" i="4" s="1"/>
  <c r="C12" i="9"/>
  <c r="C26" i="9"/>
  <c r="D25" i="9"/>
  <c r="D40" i="9"/>
  <c r="D48" i="9"/>
  <c r="D56" i="9"/>
  <c r="D64" i="9"/>
  <c r="D72" i="9"/>
  <c r="D80" i="9"/>
  <c r="D88" i="9"/>
  <c r="D96" i="9"/>
  <c r="D104" i="9"/>
  <c r="D112" i="9"/>
  <c r="D120" i="9"/>
  <c r="D128" i="9"/>
  <c r="D136" i="9"/>
  <c r="D144" i="9"/>
  <c r="D152" i="9"/>
  <c r="D160" i="9"/>
  <c r="C185" i="9"/>
  <c r="D184" i="9"/>
  <c r="D227" i="9"/>
  <c r="C227" i="9"/>
  <c r="D264" i="9"/>
  <c r="C264" i="9"/>
  <c r="C265" i="9"/>
  <c r="D276" i="9"/>
  <c r="D282" i="9"/>
  <c r="C282" i="9"/>
  <c r="D294" i="9"/>
  <c r="C310" i="9"/>
  <c r="D332" i="9"/>
  <c r="L22" i="4" s="1"/>
  <c r="C332" i="9"/>
  <c r="K22" i="4" s="1"/>
  <c r="C333" i="9"/>
  <c r="K23" i="4" s="1"/>
  <c r="D341" i="9"/>
  <c r="L31" i="4" s="1"/>
  <c r="D353" i="9"/>
  <c r="L43" i="4" s="1"/>
  <c r="D349" i="9"/>
  <c r="L39" i="4" s="1"/>
  <c r="D361" i="9"/>
  <c r="L51" i="4" s="1"/>
  <c r="C353" i="9"/>
  <c r="K43" i="4" s="1"/>
  <c r="C11" i="10"/>
  <c r="D23" i="10"/>
  <c r="C21" i="10"/>
  <c r="D25" i="10"/>
  <c r="C47" i="10"/>
  <c r="C64" i="10"/>
  <c r="C125" i="10"/>
  <c r="D155" i="10"/>
  <c r="C155" i="10"/>
  <c r="C156" i="10"/>
  <c r="D167" i="10"/>
  <c r="D172" i="10"/>
  <c r="D176" i="10"/>
  <c r="C176" i="10"/>
  <c r="D219" i="10"/>
  <c r="C219" i="10"/>
  <c r="C220" i="10"/>
  <c r="D231" i="10"/>
  <c r="D236" i="10"/>
  <c r="D240" i="10"/>
  <c r="C240" i="10"/>
  <c r="D29" i="11"/>
  <c r="C29" i="11"/>
  <c r="D56" i="11"/>
  <c r="D100" i="11"/>
  <c r="D88" i="11"/>
  <c r="C88" i="11"/>
  <c r="D280" i="9"/>
  <c r="C280" i="9"/>
  <c r="D312" i="9"/>
  <c r="C312" i="9"/>
  <c r="D344" i="9"/>
  <c r="L34" i="4" s="1"/>
  <c r="C344" i="9"/>
  <c r="K34" i="4" s="1"/>
  <c r="D38" i="10"/>
  <c r="D70" i="10"/>
  <c r="D102" i="10"/>
  <c r="D134" i="10"/>
  <c r="D47" i="11"/>
  <c r="D55" i="11"/>
  <c r="D63" i="11"/>
  <c r="D71" i="11"/>
  <c r="D79" i="11"/>
  <c r="D87" i="11"/>
  <c r="D95" i="11"/>
  <c r="D103" i="11"/>
  <c r="D111" i="11"/>
  <c r="D119" i="11"/>
  <c r="D127" i="11"/>
  <c r="D135" i="11"/>
  <c r="D143" i="11"/>
  <c r="D151" i="11"/>
  <c r="D159" i="11"/>
  <c r="D167" i="11"/>
  <c r="D175" i="11"/>
  <c r="D183" i="11"/>
  <c r="D191" i="11"/>
  <c r="D199" i="11"/>
  <c r="D207" i="11"/>
  <c r="D215" i="11"/>
  <c r="D223" i="11"/>
  <c r="D231" i="11"/>
  <c r="D239" i="11"/>
  <c r="D247" i="11"/>
  <c r="D255" i="11"/>
  <c r="D263" i="11"/>
  <c r="D271" i="11"/>
  <c r="D279" i="11"/>
  <c r="D287" i="11"/>
  <c r="D295" i="11"/>
  <c r="D303" i="11"/>
  <c r="D307" i="11"/>
  <c r="D319" i="11"/>
  <c r="AF9" i="4" s="1"/>
  <c r="D311" i="11"/>
  <c r="C316" i="11"/>
  <c r="AE6" i="4" s="1"/>
  <c r="D315" i="11"/>
  <c r="AF5" i="4" s="1"/>
  <c r="D24" i="12"/>
  <c r="C24" i="12"/>
  <c r="C25" i="12"/>
  <c r="D103" i="12"/>
  <c r="D91" i="12"/>
  <c r="C91" i="12"/>
  <c r="C124" i="12"/>
  <c r="D124" i="12"/>
  <c r="D136" i="12"/>
  <c r="C148" i="12"/>
  <c r="D148" i="12"/>
  <c r="D219" i="12"/>
  <c r="D231" i="12"/>
  <c r="D224" i="12"/>
  <c r="C249" i="12"/>
  <c r="D248" i="12"/>
  <c r="D323" i="12"/>
  <c r="R13" i="4" s="1"/>
  <c r="C323" i="12"/>
  <c r="Q13" i="4" s="1"/>
  <c r="D335" i="12"/>
  <c r="R25" i="4" s="1"/>
  <c r="D333" i="11"/>
  <c r="AF23" i="4" s="1"/>
  <c r="D341" i="11"/>
  <c r="AF31" i="4" s="1"/>
  <c r="C10" i="12"/>
  <c r="D22" i="12"/>
  <c r="D56" i="12"/>
  <c r="C56" i="12"/>
  <c r="C57" i="12"/>
  <c r="D125" i="12"/>
  <c r="C125" i="12"/>
  <c r="C126" i="12"/>
  <c r="D163" i="12"/>
  <c r="D175" i="12"/>
  <c r="C163" i="12"/>
  <c r="C206" i="12"/>
  <c r="C207" i="12"/>
  <c r="D206" i="12"/>
  <c r="D218" i="12"/>
  <c r="C276" i="12"/>
  <c r="D276" i="12"/>
  <c r="D227" i="10"/>
  <c r="C227" i="10"/>
  <c r="C228" i="10"/>
  <c r="D235" i="10"/>
  <c r="C235" i="10"/>
  <c r="C236" i="10"/>
  <c r="D243" i="10"/>
  <c r="C243" i="10"/>
  <c r="C244" i="10"/>
  <c r="D251" i="10"/>
  <c r="C251" i="10"/>
  <c r="C252" i="10"/>
  <c r="D259" i="10"/>
  <c r="C259" i="10"/>
  <c r="C260" i="10"/>
  <c r="D267" i="10"/>
  <c r="C267" i="10"/>
  <c r="C268" i="10"/>
  <c r="D275" i="10"/>
  <c r="C275" i="10"/>
  <c r="C276" i="10"/>
  <c r="D283" i="10"/>
  <c r="C283" i="10"/>
  <c r="C284" i="10"/>
  <c r="D291" i="10"/>
  <c r="C291" i="10"/>
  <c r="C292" i="10"/>
  <c r="D299" i="10"/>
  <c r="C299" i="10"/>
  <c r="C300" i="10"/>
  <c r="D307" i="10"/>
  <c r="C307" i="10"/>
  <c r="C308" i="10"/>
  <c r="D315" i="10"/>
  <c r="X5" i="4" s="1"/>
  <c r="C315" i="10"/>
  <c r="W5" i="4" s="1"/>
  <c r="C316" i="10"/>
  <c r="W6" i="4" s="1"/>
  <c r="D323" i="10"/>
  <c r="X13" i="4" s="1"/>
  <c r="C323" i="10"/>
  <c r="W13" i="4" s="1"/>
  <c r="C324" i="10"/>
  <c r="W14" i="4" s="1"/>
  <c r="D331" i="10"/>
  <c r="X21" i="4" s="1"/>
  <c r="C331" i="10"/>
  <c r="W21" i="4" s="1"/>
  <c r="C332" i="10"/>
  <c r="W22" i="4" s="1"/>
  <c r="D339" i="10"/>
  <c r="X29" i="4" s="1"/>
  <c r="C339" i="10"/>
  <c r="W29" i="4" s="1"/>
  <c r="C340" i="10"/>
  <c r="W30" i="4" s="1"/>
  <c r="D347" i="10"/>
  <c r="X37" i="4" s="1"/>
  <c r="C347" i="10"/>
  <c r="W37" i="4" s="1"/>
  <c r="C348" i="10"/>
  <c r="W38" i="4" s="1"/>
  <c r="D355" i="10"/>
  <c r="X45" i="4" s="1"/>
  <c r="C355" i="10"/>
  <c r="W45" i="4" s="1"/>
  <c r="C356" i="10"/>
  <c r="W46" i="4" s="1"/>
  <c r="C112" i="11"/>
  <c r="C120" i="11"/>
  <c r="C128" i="11"/>
  <c r="C136" i="11"/>
  <c r="C144" i="11"/>
  <c r="C152" i="11"/>
  <c r="C160" i="11"/>
  <c r="C168" i="11"/>
  <c r="C176" i="11"/>
  <c r="C184" i="11"/>
  <c r="C192" i="11"/>
  <c r="C200" i="11"/>
  <c r="C208" i="11"/>
  <c r="C216" i="11"/>
  <c r="C224" i="11"/>
  <c r="C232" i="11"/>
  <c r="C240" i="11"/>
  <c r="C248" i="11"/>
  <c r="C256" i="11"/>
  <c r="C264" i="11"/>
  <c r="C272" i="11"/>
  <c r="C280" i="11"/>
  <c r="C288" i="11"/>
  <c r="C296" i="11"/>
  <c r="C304" i="11"/>
  <c r="C312" i="11"/>
  <c r="D329" i="11"/>
  <c r="AF19" i="4" s="1"/>
  <c r="C353" i="11"/>
  <c r="AE43" i="4" s="1"/>
  <c r="D353" i="11"/>
  <c r="AF43" i="4" s="1"/>
  <c r="D30" i="12"/>
  <c r="C30" i="12"/>
  <c r="C31" i="12"/>
  <c r="D53" i="12"/>
  <c r="D112" i="12"/>
  <c r="C112" i="12"/>
  <c r="C113" i="12"/>
  <c r="D121" i="12"/>
  <c r="C122" i="12"/>
  <c r="D133" i="12"/>
  <c r="D187" i="12"/>
  <c r="D199" i="12"/>
  <c r="D192" i="12"/>
  <c r="C192" i="12"/>
  <c r="C193" i="12"/>
  <c r="C230" i="12"/>
  <c r="C231" i="12"/>
  <c r="D242" i="12"/>
  <c r="C244" i="12"/>
  <c r="D244" i="12"/>
  <c r="D277" i="12"/>
  <c r="C277" i="12"/>
  <c r="D112" i="11"/>
  <c r="D120" i="11"/>
  <c r="D128" i="11"/>
  <c r="D136" i="11"/>
  <c r="D144" i="11"/>
  <c r="D152" i="11"/>
  <c r="D160" i="11"/>
  <c r="D168" i="11"/>
  <c r="D176" i="11"/>
  <c r="D184" i="11"/>
  <c r="D192" i="11"/>
  <c r="D200" i="11"/>
  <c r="D208" i="11"/>
  <c r="D216" i="11"/>
  <c r="D224" i="11"/>
  <c r="D232" i="11"/>
  <c r="D240" i="11"/>
  <c r="D248" i="11"/>
  <c r="D256" i="11"/>
  <c r="D264" i="11"/>
  <c r="D272" i="11"/>
  <c r="D280" i="11"/>
  <c r="D288" i="11"/>
  <c r="D296" i="11"/>
  <c r="D304" i="11"/>
  <c r="D312" i="11"/>
  <c r="C321" i="11"/>
  <c r="AE11" i="4" s="1"/>
  <c r="D321" i="11"/>
  <c r="AF11" i="4" s="1"/>
  <c r="D330" i="11"/>
  <c r="AF20" i="4" s="1"/>
  <c r="C330" i="11"/>
  <c r="AE20" i="4" s="1"/>
  <c r="C331" i="11"/>
  <c r="AE21" i="4" s="1"/>
  <c r="C354" i="11"/>
  <c r="AE44" i="4" s="1"/>
  <c r="D362" i="11"/>
  <c r="C362" i="11"/>
  <c r="AE52" i="4" s="1"/>
  <c r="C21" i="12"/>
  <c r="C41" i="12"/>
  <c r="C53" i="12"/>
  <c r="D76" i="12"/>
  <c r="D88" i="12"/>
  <c r="C88" i="12"/>
  <c r="C89" i="12"/>
  <c r="C121" i="12"/>
  <c r="D131" i="12"/>
  <c r="D143" i="12"/>
  <c r="C131" i="12"/>
  <c r="C174" i="12"/>
  <c r="C175" i="12"/>
  <c r="D174" i="12"/>
  <c r="D186" i="12"/>
  <c r="C187" i="12"/>
  <c r="C216" i="12"/>
  <c r="D245" i="12"/>
  <c r="C245" i="12"/>
  <c r="C289" i="12"/>
  <c r="D288" i="12"/>
  <c r="C288" i="12"/>
  <c r="C305" i="12"/>
  <c r="D304" i="12"/>
  <c r="C304" i="12"/>
  <c r="D284" i="10"/>
  <c r="D292" i="10"/>
  <c r="D300" i="10"/>
  <c r="D308" i="10"/>
  <c r="D316" i="10"/>
  <c r="X6" i="4" s="1"/>
  <c r="D324" i="10"/>
  <c r="X14" i="4" s="1"/>
  <c r="D332" i="10"/>
  <c r="X22" i="4" s="1"/>
  <c r="D340" i="10"/>
  <c r="X30" i="4" s="1"/>
  <c r="D348" i="10"/>
  <c r="X38" i="4" s="1"/>
  <c r="D356" i="10"/>
  <c r="X46" i="4" s="1"/>
  <c r="D41" i="11"/>
  <c r="D49" i="11"/>
  <c r="D57" i="11"/>
  <c r="C61" i="11"/>
  <c r="D65" i="11"/>
  <c r="C69" i="11"/>
  <c r="D73" i="11"/>
  <c r="C77" i="11"/>
  <c r="D81" i="11"/>
  <c r="C85" i="11"/>
  <c r="D89" i="11"/>
  <c r="C93" i="11"/>
  <c r="D97" i="11"/>
  <c r="C101" i="11"/>
  <c r="D105" i="11"/>
  <c r="C109" i="11"/>
  <c r="D113" i="11"/>
  <c r="C117" i="11"/>
  <c r="D121" i="11"/>
  <c r="C125" i="11"/>
  <c r="D129" i="11"/>
  <c r="C133" i="11"/>
  <c r="D137" i="11"/>
  <c r="C141" i="11"/>
  <c r="D145" i="11"/>
  <c r="C149" i="11"/>
  <c r="D153" i="11"/>
  <c r="C157" i="11"/>
  <c r="D161" i="11"/>
  <c r="C165" i="11"/>
  <c r="D169" i="11"/>
  <c r="C173" i="11"/>
  <c r="D177" i="11"/>
  <c r="C181" i="11"/>
  <c r="D185" i="11"/>
  <c r="C189" i="11"/>
  <c r="D193" i="11"/>
  <c r="C197" i="11"/>
  <c r="D201" i="11"/>
  <c r="C205" i="11"/>
  <c r="D209" i="11"/>
  <c r="C213" i="11"/>
  <c r="D217" i="11"/>
  <c r="C221" i="11"/>
  <c r="D225" i="11"/>
  <c r="C229" i="11"/>
  <c r="D233" i="11"/>
  <c r="C237" i="11"/>
  <c r="D241" i="11"/>
  <c r="C245" i="11"/>
  <c r="D249" i="11"/>
  <c r="C253" i="11"/>
  <c r="D257" i="11"/>
  <c r="C261" i="11"/>
  <c r="D265" i="11"/>
  <c r="D273" i="11"/>
  <c r="D338" i="11"/>
  <c r="AF28" i="4" s="1"/>
  <c r="D350" i="11"/>
  <c r="AF40" i="4" s="1"/>
  <c r="C350" i="11"/>
  <c r="AE40" i="4" s="1"/>
  <c r="D62" i="12"/>
  <c r="C62" i="12"/>
  <c r="C63" i="12"/>
  <c r="D85" i="12"/>
  <c r="C108" i="12"/>
  <c r="D108" i="12"/>
  <c r="C119" i="12"/>
  <c r="D118" i="12"/>
  <c r="D155" i="12"/>
  <c r="D167" i="12"/>
  <c r="D160" i="12"/>
  <c r="C160" i="12"/>
  <c r="C161" i="12"/>
  <c r="C188" i="12"/>
  <c r="D188" i="12"/>
  <c r="D200" i="12"/>
  <c r="C198" i="12"/>
  <c r="C199" i="12"/>
  <c r="D210" i="12"/>
  <c r="C212" i="12"/>
  <c r="D212" i="12"/>
  <c r="D216" i="12"/>
  <c r="C254" i="9"/>
  <c r="D275" i="9"/>
  <c r="C286" i="9"/>
  <c r="D307" i="9"/>
  <c r="C318" i="9"/>
  <c r="K8" i="4" s="1"/>
  <c r="D339" i="9"/>
  <c r="L29" i="4" s="1"/>
  <c r="C350" i="9"/>
  <c r="K40" i="4" s="1"/>
  <c r="D19" i="10"/>
  <c r="C19" i="10"/>
  <c r="D51" i="10"/>
  <c r="C51" i="10"/>
  <c r="D83" i="10"/>
  <c r="C83" i="10"/>
  <c r="D115" i="10"/>
  <c r="C115" i="10"/>
  <c r="C272" i="10"/>
  <c r="C280" i="10"/>
  <c r="C288" i="10"/>
  <c r="C296" i="10"/>
  <c r="C304" i="10"/>
  <c r="C312" i="10"/>
  <c r="C320" i="10"/>
  <c r="W10" i="4" s="1"/>
  <c r="C328" i="10"/>
  <c r="W18" i="4" s="1"/>
  <c r="C336" i="10"/>
  <c r="W26" i="4" s="1"/>
  <c r="C344" i="10"/>
  <c r="W34" i="4" s="1"/>
  <c r="C352" i="10"/>
  <c r="W42" i="4" s="1"/>
  <c r="C360" i="10"/>
  <c r="W50" i="4" s="1"/>
  <c r="D22" i="11"/>
  <c r="C22" i="11"/>
  <c r="C23" i="11"/>
  <c r="C326" i="11"/>
  <c r="AE16" i="4" s="1"/>
  <c r="C335" i="11"/>
  <c r="AE25" i="4" s="1"/>
  <c r="D339" i="11"/>
  <c r="AF29" i="4" s="1"/>
  <c r="C348" i="11"/>
  <c r="AE38" i="4" s="1"/>
  <c r="D347" i="11"/>
  <c r="AF37" i="4" s="1"/>
  <c r="C351" i="11"/>
  <c r="AE41" i="4" s="1"/>
  <c r="C358" i="11"/>
  <c r="AE48" i="4" s="1"/>
  <c r="D39" i="12"/>
  <c r="D27" i="12"/>
  <c r="C27" i="12"/>
  <c r="C35" i="12"/>
  <c r="D38" i="12"/>
  <c r="C50" i="12"/>
  <c r="C73" i="12"/>
  <c r="C85" i="12"/>
  <c r="D109" i="12"/>
  <c r="C109" i="12"/>
  <c r="C110" i="12"/>
  <c r="C118" i="12"/>
  <c r="C142" i="12"/>
  <c r="C143" i="12"/>
  <c r="D142" i="12"/>
  <c r="D154" i="12"/>
  <c r="C155" i="12"/>
  <c r="C184" i="12"/>
  <c r="D198" i="12"/>
  <c r="D251" i="12"/>
  <c r="D263" i="12"/>
  <c r="D256" i="12"/>
  <c r="C283" i="12"/>
  <c r="C299" i="12"/>
  <c r="C315" i="12"/>
  <c r="Q5" i="4" s="1"/>
  <c r="D327" i="12"/>
  <c r="R17" i="4" s="1"/>
  <c r="D179" i="9"/>
  <c r="C182" i="9"/>
  <c r="C206" i="9"/>
  <c r="C222" i="9"/>
  <c r="C238" i="9"/>
  <c r="D272" i="9"/>
  <c r="C272" i="9"/>
  <c r="D304" i="9"/>
  <c r="C304" i="9"/>
  <c r="D336" i="9"/>
  <c r="L26" i="4" s="1"/>
  <c r="C336" i="9"/>
  <c r="K26" i="4" s="1"/>
  <c r="D30" i="10"/>
  <c r="C41" i="10"/>
  <c r="D62" i="10"/>
  <c r="C73" i="10"/>
  <c r="D94" i="10"/>
  <c r="C105" i="10"/>
  <c r="D126" i="10"/>
  <c r="C137" i="10"/>
  <c r="C145" i="10"/>
  <c r="C153" i="10"/>
  <c r="C161" i="10"/>
  <c r="C169" i="10"/>
  <c r="C177" i="10"/>
  <c r="C185" i="10"/>
  <c r="C193" i="10"/>
  <c r="C201" i="10"/>
  <c r="C209" i="10"/>
  <c r="C217" i="10"/>
  <c r="C225" i="10"/>
  <c r="C233" i="10"/>
  <c r="C241" i="10"/>
  <c r="C249" i="10"/>
  <c r="C257" i="10"/>
  <c r="C265" i="10"/>
  <c r="C273" i="10"/>
  <c r="C281" i="10"/>
  <c r="C289" i="10"/>
  <c r="C297" i="10"/>
  <c r="C305" i="10"/>
  <c r="C313" i="10"/>
  <c r="C321" i="10"/>
  <c r="W11" i="4" s="1"/>
  <c r="C329" i="10"/>
  <c r="W19" i="4" s="1"/>
  <c r="C337" i="10"/>
  <c r="W27" i="4" s="1"/>
  <c r="C345" i="10"/>
  <c r="W35" i="4" s="1"/>
  <c r="C353" i="10"/>
  <c r="W43" i="4" s="1"/>
  <c r="C361" i="10"/>
  <c r="W51" i="4" s="1"/>
  <c r="D19" i="11"/>
  <c r="D30" i="11"/>
  <c r="C30" i="11"/>
  <c r="C31" i="11"/>
  <c r="D38" i="11"/>
  <c r="C38" i="11"/>
  <c r="C39" i="11"/>
  <c r="D46" i="11"/>
  <c r="C46" i="11"/>
  <c r="C47" i="11"/>
  <c r="D54" i="11"/>
  <c r="C54" i="11"/>
  <c r="C55" i="11"/>
  <c r="D62" i="11"/>
  <c r="C62" i="11"/>
  <c r="C63" i="11"/>
  <c r="D70" i="11"/>
  <c r="C70" i="11"/>
  <c r="C71" i="11"/>
  <c r="D78" i="11"/>
  <c r="C78" i="11"/>
  <c r="C79" i="11"/>
  <c r="D86" i="11"/>
  <c r="C86" i="11"/>
  <c r="C87" i="11"/>
  <c r="D94" i="11"/>
  <c r="C94" i="11"/>
  <c r="C95" i="11"/>
  <c r="D102" i="11"/>
  <c r="C102" i="11"/>
  <c r="C103" i="11"/>
  <c r="D110" i="11"/>
  <c r="C110" i="11"/>
  <c r="C111" i="11"/>
  <c r="D118" i="11"/>
  <c r="C118" i="11"/>
  <c r="C119" i="11"/>
  <c r="D126" i="11"/>
  <c r="C126" i="11"/>
  <c r="C127" i="11"/>
  <c r="D134" i="11"/>
  <c r="C134" i="11"/>
  <c r="C135" i="11"/>
  <c r="D142" i="11"/>
  <c r="C142" i="11"/>
  <c r="C143" i="11"/>
  <c r="D150" i="11"/>
  <c r="C150" i="11"/>
  <c r="C151" i="11"/>
  <c r="D158" i="11"/>
  <c r="C158" i="11"/>
  <c r="C159" i="11"/>
  <c r="D166" i="11"/>
  <c r="C166" i="11"/>
  <c r="C167" i="11"/>
  <c r="D174" i="11"/>
  <c r="C174" i="11"/>
  <c r="C175" i="11"/>
  <c r="D182" i="11"/>
  <c r="C182" i="11"/>
  <c r="C183" i="11"/>
  <c r="D190" i="11"/>
  <c r="C190" i="11"/>
  <c r="C191" i="11"/>
  <c r="D198" i="11"/>
  <c r="C198" i="11"/>
  <c r="C199" i="11"/>
  <c r="D206" i="11"/>
  <c r="C206" i="11"/>
  <c r="C207" i="11"/>
  <c r="D214" i="11"/>
  <c r="C214" i="11"/>
  <c r="C215" i="11"/>
  <c r="D222" i="11"/>
  <c r="C222" i="11"/>
  <c r="C223" i="11"/>
  <c r="D230" i="11"/>
  <c r="C230" i="11"/>
  <c r="C231" i="11"/>
  <c r="D238" i="11"/>
  <c r="C238" i="11"/>
  <c r="C239" i="11"/>
  <c r="D246" i="11"/>
  <c r="C246" i="11"/>
  <c r="C247" i="11"/>
  <c r="D254" i="11"/>
  <c r="C254" i="11"/>
  <c r="C255" i="11"/>
  <c r="D262" i="11"/>
  <c r="C262" i="11"/>
  <c r="C263" i="11"/>
  <c r="D270" i="11"/>
  <c r="C270" i="11"/>
  <c r="C271" i="11"/>
  <c r="D278" i="11"/>
  <c r="C278" i="11"/>
  <c r="C279" i="11"/>
  <c r="D286" i="11"/>
  <c r="C286" i="11"/>
  <c r="C287" i="11"/>
  <c r="D294" i="11"/>
  <c r="C294" i="11"/>
  <c r="C295" i="11"/>
  <c r="D302" i="11"/>
  <c r="C302" i="11"/>
  <c r="C303" i="11"/>
  <c r="D310" i="11"/>
  <c r="C310" i="11"/>
  <c r="D322" i="11"/>
  <c r="AF12" i="4" s="1"/>
  <c r="C311" i="11"/>
  <c r="D318" i="11"/>
  <c r="AF8" i="4" s="1"/>
  <c r="C318" i="11"/>
  <c r="AE8" i="4" s="1"/>
  <c r="D327" i="11"/>
  <c r="AF17" i="4" s="1"/>
  <c r="C327" i="11"/>
  <c r="AE17" i="4" s="1"/>
  <c r="C328" i="11"/>
  <c r="AE18" i="4" s="1"/>
  <c r="D359" i="11"/>
  <c r="AF49" i="4" s="1"/>
  <c r="C359" i="11"/>
  <c r="AE49" i="4" s="1"/>
  <c r="C360" i="11"/>
  <c r="AE50" i="4" s="1"/>
  <c r="D35" i="12"/>
  <c r="C51" i="12"/>
  <c r="D71" i="12"/>
  <c r="D59" i="12"/>
  <c r="C59" i="12"/>
  <c r="D74" i="12"/>
  <c r="C86" i="12"/>
  <c r="D94" i="12"/>
  <c r="C94" i="12"/>
  <c r="C95" i="12"/>
  <c r="D114" i="12"/>
  <c r="D128" i="12"/>
  <c r="C128" i="12"/>
  <c r="C129" i="12"/>
  <c r="C156" i="12"/>
  <c r="D156" i="12"/>
  <c r="D168" i="12"/>
  <c r="C166" i="12"/>
  <c r="C167" i="12"/>
  <c r="D178" i="12"/>
  <c r="C180" i="12"/>
  <c r="D180" i="12"/>
  <c r="D184" i="12"/>
  <c r="C213" i="12"/>
  <c r="C251" i="12"/>
  <c r="D295" i="12"/>
  <c r="D311" i="12"/>
  <c r="D203" i="9"/>
  <c r="C203" i="9"/>
  <c r="D216" i="9"/>
  <c r="D219" i="9"/>
  <c r="C219" i="9"/>
  <c r="D232" i="9"/>
  <c r="D235" i="9"/>
  <c r="C235" i="9"/>
  <c r="D248" i="9"/>
  <c r="D251" i="9"/>
  <c r="D283" i="9"/>
  <c r="D315" i="9"/>
  <c r="L5" i="4" s="1"/>
  <c r="D347" i="9"/>
  <c r="L37" i="4" s="1"/>
  <c r="D27" i="10"/>
  <c r="C27" i="10"/>
  <c r="C48" i="10"/>
  <c r="D59" i="10"/>
  <c r="C59" i="10"/>
  <c r="C80" i="10"/>
  <c r="D91" i="10"/>
  <c r="C91" i="10"/>
  <c r="C112" i="10"/>
  <c r="D123" i="10"/>
  <c r="C123" i="10"/>
  <c r="C19" i="11"/>
  <c r="D27" i="11"/>
  <c r="D42" i="11"/>
  <c r="D50" i="11"/>
  <c r="D58" i="11"/>
  <c r="D66" i="11"/>
  <c r="D74" i="11"/>
  <c r="D82" i="11"/>
  <c r="D90" i="11"/>
  <c r="D98" i="11"/>
  <c r="D106" i="11"/>
  <c r="D114" i="11"/>
  <c r="D122" i="11"/>
  <c r="D130" i="11"/>
  <c r="D138" i="11"/>
  <c r="D146" i="11"/>
  <c r="D154" i="11"/>
  <c r="D162" i="11"/>
  <c r="D170" i="11"/>
  <c r="D178" i="11"/>
  <c r="D186" i="11"/>
  <c r="D194" i="11"/>
  <c r="D202" i="11"/>
  <c r="D210" i="11"/>
  <c r="D218" i="11"/>
  <c r="D226" i="11"/>
  <c r="D234" i="11"/>
  <c r="D242" i="11"/>
  <c r="D250" i="11"/>
  <c r="D258" i="11"/>
  <c r="D266" i="11"/>
  <c r="D274" i="11"/>
  <c r="D282" i="11"/>
  <c r="D290" i="11"/>
  <c r="D298" i="11"/>
  <c r="D306" i="11"/>
  <c r="D314" i="11"/>
  <c r="AF4" i="4" s="1"/>
  <c r="C319" i="11"/>
  <c r="AE9" i="4" s="1"/>
  <c r="D356" i="11"/>
  <c r="AF46" i="4" s="1"/>
  <c r="D344" i="11"/>
  <c r="AF34" i="4" s="1"/>
  <c r="D115" i="12"/>
  <c r="C115" i="12"/>
  <c r="C134" i="12"/>
  <c r="C135" i="12"/>
  <c r="D146" i="12"/>
  <c r="D195" i="12"/>
  <c r="D207" i="12"/>
  <c r="C195" i="12"/>
  <c r="C262" i="12"/>
  <c r="C263" i="12"/>
  <c r="D274" i="12"/>
  <c r="C281" i="12"/>
  <c r="D280" i="12"/>
  <c r="C297" i="12"/>
  <c r="D296" i="12"/>
  <c r="C296" i="12"/>
  <c r="C313" i="12"/>
  <c r="D312" i="12"/>
  <c r="C312" i="12"/>
  <c r="C140" i="12"/>
  <c r="D140" i="12"/>
  <c r="C158" i="12"/>
  <c r="C159" i="12"/>
  <c r="C172" i="12"/>
  <c r="D172" i="12"/>
  <c r="C190" i="12"/>
  <c r="C191" i="12"/>
  <c r="C204" i="12"/>
  <c r="D204" i="12"/>
  <c r="C222" i="12"/>
  <c r="C223" i="12"/>
  <c r="C225" i="12"/>
  <c r="C236" i="12"/>
  <c r="D236" i="12"/>
  <c r="C254" i="12"/>
  <c r="C255" i="12"/>
  <c r="C257" i="12"/>
  <c r="C268" i="12"/>
  <c r="D268" i="12"/>
  <c r="D286" i="12"/>
  <c r="C286" i="12"/>
  <c r="C287" i="12"/>
  <c r="D294" i="12"/>
  <c r="C294" i="12"/>
  <c r="C295" i="12"/>
  <c r="D302" i="12"/>
  <c r="C302" i="12"/>
  <c r="C303" i="12"/>
  <c r="D310" i="12"/>
  <c r="C310" i="12"/>
  <c r="C311" i="12"/>
  <c r="D318" i="12"/>
  <c r="R8" i="4" s="1"/>
  <c r="C318" i="12"/>
  <c r="Q8" i="4" s="1"/>
  <c r="C319" i="12"/>
  <c r="Q9" i="4" s="1"/>
  <c r="D326" i="12"/>
  <c r="R16" i="4" s="1"/>
  <c r="C326" i="12"/>
  <c r="Q16" i="4" s="1"/>
  <c r="C327" i="12"/>
  <c r="Q17" i="4" s="1"/>
  <c r="D334" i="12"/>
  <c r="R24" i="4" s="1"/>
  <c r="C334" i="12"/>
  <c r="Q24" i="4" s="1"/>
  <c r="C335" i="12"/>
  <c r="Q25" i="4" s="1"/>
  <c r="D342" i="12"/>
  <c r="R32" i="4" s="1"/>
  <c r="C342" i="12"/>
  <c r="Q32" i="4" s="1"/>
  <c r="C343" i="12"/>
  <c r="Q33" i="4" s="1"/>
  <c r="D350" i="12"/>
  <c r="R40" i="4" s="1"/>
  <c r="C350" i="12"/>
  <c r="Q40" i="4" s="1"/>
  <c r="C351" i="12"/>
  <c r="Q41" i="4" s="1"/>
  <c r="D358" i="12"/>
  <c r="R48" i="4" s="1"/>
  <c r="C358" i="12"/>
  <c r="Q48" i="4" s="1"/>
  <c r="C359" i="12"/>
  <c r="Q49" i="4" s="1"/>
  <c r="D25" i="13"/>
  <c r="C25" i="13"/>
  <c r="C26" i="13"/>
  <c r="D33" i="13"/>
  <c r="C33" i="13"/>
  <c r="C34" i="13"/>
  <c r="D41" i="13"/>
  <c r="C41" i="13"/>
  <c r="C42" i="13"/>
  <c r="D49" i="13"/>
  <c r="C49" i="13"/>
  <c r="C50" i="13"/>
  <c r="D57" i="13"/>
  <c r="C57" i="13"/>
  <c r="C58" i="13"/>
  <c r="D65" i="13"/>
  <c r="C65" i="13"/>
  <c r="C66" i="13"/>
  <c r="D73" i="13"/>
  <c r="C73" i="13"/>
  <c r="C74" i="13"/>
  <c r="D81" i="13"/>
  <c r="C81" i="13"/>
  <c r="C82" i="13"/>
  <c r="D89" i="13"/>
  <c r="C89" i="13"/>
  <c r="C90" i="13"/>
  <c r="D97" i="13"/>
  <c r="C97" i="13"/>
  <c r="C98" i="13"/>
  <c r="D105" i="13"/>
  <c r="C105" i="13"/>
  <c r="C106" i="13"/>
  <c r="D113" i="13"/>
  <c r="C113" i="13"/>
  <c r="C114" i="13"/>
  <c r="D121" i="13"/>
  <c r="C121" i="13"/>
  <c r="C122" i="13"/>
  <c r="D129" i="13"/>
  <c r="C129" i="13"/>
  <c r="C130" i="13"/>
  <c r="D137" i="13"/>
  <c r="C137" i="13"/>
  <c r="C138" i="13"/>
  <c r="D145" i="13"/>
  <c r="C145" i="13"/>
  <c r="C146" i="13"/>
  <c r="D153" i="13"/>
  <c r="C153" i="13"/>
  <c r="C154" i="13"/>
  <c r="D161" i="13"/>
  <c r="C161" i="13"/>
  <c r="C162" i="13"/>
  <c r="D169" i="13"/>
  <c r="C169" i="13"/>
  <c r="C170" i="13"/>
  <c r="D177" i="13"/>
  <c r="C177" i="13"/>
  <c r="C178" i="13"/>
  <c r="D185" i="13"/>
  <c r="C185" i="13"/>
  <c r="C186" i="13"/>
  <c r="C193" i="13"/>
  <c r="C219" i="13"/>
  <c r="C220" i="13"/>
  <c r="D228" i="13"/>
  <c r="D237" i="13"/>
  <c r="C237" i="13"/>
  <c r="C238" i="13"/>
  <c r="C245" i="13"/>
  <c r="D249" i="13"/>
  <c r="C309" i="13"/>
  <c r="C310" i="13"/>
  <c r="D309" i="13"/>
  <c r="D322" i="13"/>
  <c r="P12" i="4" s="1"/>
  <c r="D334" i="13"/>
  <c r="P24" i="4" s="1"/>
  <c r="D327" i="13"/>
  <c r="P17" i="4" s="1"/>
  <c r="C327" i="13"/>
  <c r="O17" i="4" s="1"/>
  <c r="C328" i="13"/>
  <c r="O18" i="4" s="1"/>
  <c r="D85" i="14"/>
  <c r="D107" i="14"/>
  <c r="D119" i="14"/>
  <c r="C107" i="14"/>
  <c r="D139" i="14"/>
  <c r="D151" i="14"/>
  <c r="D275" i="14"/>
  <c r="D287" i="14"/>
  <c r="C275" i="14"/>
  <c r="D137" i="12"/>
  <c r="D207" i="13"/>
  <c r="D271" i="13"/>
  <c r="D289" i="13"/>
  <c r="C333" i="13"/>
  <c r="O23" i="4" s="1"/>
  <c r="C334" i="13"/>
  <c r="O24" i="4" s="1"/>
  <c r="D345" i="13"/>
  <c r="P35" i="4" s="1"/>
  <c r="C355" i="13"/>
  <c r="O45" i="4" s="1"/>
  <c r="D355" i="13"/>
  <c r="P45" i="4" s="1"/>
  <c r="C356" i="13"/>
  <c r="O46" i="4" s="1"/>
  <c r="C20" i="14"/>
  <c r="D20" i="14"/>
  <c r="D63" i="14"/>
  <c r="D51" i="14"/>
  <c r="D56" i="14"/>
  <c r="C56" i="14"/>
  <c r="D68" i="14"/>
  <c r="D81" i="14"/>
  <c r="C81" i="14"/>
  <c r="D177" i="14"/>
  <c r="C177" i="14"/>
  <c r="C178" i="14"/>
  <c r="D199" i="14"/>
  <c r="D187" i="14"/>
  <c r="C187" i="14"/>
  <c r="C271" i="14"/>
  <c r="D270" i="14"/>
  <c r="C270" i="14"/>
  <c r="D282" i="14"/>
  <c r="D343" i="12"/>
  <c r="R33" i="4" s="1"/>
  <c r="D351" i="12"/>
  <c r="R41" i="4" s="1"/>
  <c r="D359" i="12"/>
  <c r="R49" i="4" s="1"/>
  <c r="D34" i="13"/>
  <c r="D42" i="13"/>
  <c r="D50" i="13"/>
  <c r="D58" i="13"/>
  <c r="D66" i="13"/>
  <c r="D74" i="13"/>
  <c r="D82" i="13"/>
  <c r="D90" i="13"/>
  <c r="D98" i="13"/>
  <c r="D106" i="13"/>
  <c r="D114" i="13"/>
  <c r="D122" i="13"/>
  <c r="D130" i="13"/>
  <c r="D138" i="13"/>
  <c r="D146" i="13"/>
  <c r="D154" i="13"/>
  <c r="D162" i="13"/>
  <c r="D170" i="13"/>
  <c r="D178" i="13"/>
  <c r="D186" i="13"/>
  <c r="D211" i="13"/>
  <c r="D199" i="13"/>
  <c r="C199" i="13"/>
  <c r="C200" i="13"/>
  <c r="D216" i="13"/>
  <c r="C217" i="13"/>
  <c r="D263" i="13"/>
  <c r="C263" i="13"/>
  <c r="C264" i="13"/>
  <c r="D290" i="13"/>
  <c r="D302" i="13"/>
  <c r="D295" i="13"/>
  <c r="C295" i="13"/>
  <c r="C296" i="13"/>
  <c r="C319" i="13"/>
  <c r="O9" i="4" s="1"/>
  <c r="C323" i="13"/>
  <c r="O13" i="4" s="1"/>
  <c r="D323" i="13"/>
  <c r="P13" i="4" s="1"/>
  <c r="C324" i="13"/>
  <c r="O14" i="4" s="1"/>
  <c r="D333" i="13"/>
  <c r="P23" i="4" s="1"/>
  <c r="C347" i="13"/>
  <c r="O37" i="4" s="1"/>
  <c r="D347" i="13"/>
  <c r="P37" i="4" s="1"/>
  <c r="D25" i="14"/>
  <c r="C25" i="14"/>
  <c r="C51" i="14"/>
  <c r="C70" i="14"/>
  <c r="D69" i="14"/>
  <c r="C69" i="14"/>
  <c r="C83" i="14"/>
  <c r="D82" i="14"/>
  <c r="C93" i="14"/>
  <c r="D93" i="14"/>
  <c r="C183" i="14"/>
  <c r="D182" i="14"/>
  <c r="C182" i="14"/>
  <c r="D243" i="14"/>
  <c r="D255" i="14"/>
  <c r="C243" i="14"/>
  <c r="C331" i="12"/>
  <c r="Q21" i="4" s="1"/>
  <c r="C339" i="12"/>
  <c r="Q29" i="4" s="1"/>
  <c r="C347" i="12"/>
  <c r="Q37" i="4" s="1"/>
  <c r="C355" i="12"/>
  <c r="Q45" i="4" s="1"/>
  <c r="C8" i="13"/>
  <c r="C22" i="13"/>
  <c r="C30" i="13"/>
  <c r="C38" i="13"/>
  <c r="C46" i="13"/>
  <c r="C54" i="13"/>
  <c r="C62" i="13"/>
  <c r="C70" i="13"/>
  <c r="C78" i="13"/>
  <c r="C86" i="13"/>
  <c r="C94" i="13"/>
  <c r="C102" i="13"/>
  <c r="C110" i="13"/>
  <c r="C118" i="13"/>
  <c r="C126" i="13"/>
  <c r="C134" i="13"/>
  <c r="C142" i="13"/>
  <c r="C150" i="13"/>
  <c r="C158" i="13"/>
  <c r="C166" i="13"/>
  <c r="C174" i="13"/>
  <c r="C182" i="13"/>
  <c r="C190" i="13"/>
  <c r="D195" i="13"/>
  <c r="C216" i="13"/>
  <c r="D225" i="13"/>
  <c r="D246" i="13"/>
  <c r="D234" i="13"/>
  <c r="C234" i="13"/>
  <c r="D242" i="13"/>
  <c r="D259" i="13"/>
  <c r="C277" i="13"/>
  <c r="C290" i="13"/>
  <c r="C301" i="13"/>
  <c r="C302" i="13"/>
  <c r="D313" i="13"/>
  <c r="C315" i="13"/>
  <c r="O5" i="4" s="1"/>
  <c r="D315" i="13"/>
  <c r="P5" i="4" s="1"/>
  <c r="D319" i="13"/>
  <c r="P9" i="4" s="1"/>
  <c r="D23" i="14"/>
  <c r="C12" i="14"/>
  <c r="C21" i="14"/>
  <c r="D36" i="14"/>
  <c r="C82" i="14"/>
  <c r="D94" i="14"/>
  <c r="C95" i="14"/>
  <c r="D180" i="14"/>
  <c r="C168" i="14"/>
  <c r="D168" i="14"/>
  <c r="C173" i="14"/>
  <c r="C239" i="14"/>
  <c r="D238" i="14"/>
  <c r="C238" i="14"/>
  <c r="D250" i="14"/>
  <c r="C220" i="12"/>
  <c r="D220" i="12"/>
  <c r="C238" i="12"/>
  <c r="C239" i="12"/>
  <c r="C252" i="12"/>
  <c r="D252" i="12"/>
  <c r="C270" i="12"/>
  <c r="C271" i="12"/>
  <c r="C284" i="12"/>
  <c r="C292" i="12"/>
  <c r="C300" i="12"/>
  <c r="C308" i="12"/>
  <c r="C316" i="12"/>
  <c r="Q6" i="4" s="1"/>
  <c r="C320" i="12"/>
  <c r="Q10" i="4" s="1"/>
  <c r="C324" i="12"/>
  <c r="Q14" i="4" s="1"/>
  <c r="C328" i="12"/>
  <c r="Q18" i="4" s="1"/>
  <c r="C332" i="12"/>
  <c r="Q22" i="4" s="1"/>
  <c r="C336" i="12"/>
  <c r="Q26" i="4" s="1"/>
  <c r="C340" i="12"/>
  <c r="Q30" i="4" s="1"/>
  <c r="C344" i="12"/>
  <c r="Q34" i="4" s="1"/>
  <c r="C348" i="12"/>
  <c r="Q38" i="4" s="1"/>
  <c r="C352" i="12"/>
  <c r="Q42" i="4" s="1"/>
  <c r="C356" i="12"/>
  <c r="Q46" i="4" s="1"/>
  <c r="C360" i="12"/>
  <c r="Q50" i="4" s="1"/>
  <c r="C9" i="13"/>
  <c r="C19" i="13"/>
  <c r="C23" i="13"/>
  <c r="C27" i="13"/>
  <c r="C31" i="13"/>
  <c r="C39" i="13"/>
  <c r="C47" i="13"/>
  <c r="C55" i="13"/>
  <c r="C63" i="13"/>
  <c r="C71" i="13"/>
  <c r="C79" i="13"/>
  <c r="C87" i="13"/>
  <c r="D205" i="13"/>
  <c r="C205" i="13"/>
  <c r="C206" i="13"/>
  <c r="D217" i="13"/>
  <c r="C251" i="13"/>
  <c r="C252" i="13"/>
  <c r="D269" i="13"/>
  <c r="D281" i="13"/>
  <c r="C269" i="13"/>
  <c r="C270" i="13"/>
  <c r="D277" i="13"/>
  <c r="C283" i="13"/>
  <c r="D283" i="13"/>
  <c r="C291" i="13"/>
  <c r="D291" i="13"/>
  <c r="C292" i="13"/>
  <c r="C37" i="14"/>
  <c r="C38" i="14"/>
  <c r="C64" i="14"/>
  <c r="D76" i="14"/>
  <c r="D64" i="14"/>
  <c r="D169" i="14"/>
  <c r="C169" i="14"/>
  <c r="C170" i="14"/>
  <c r="C287" i="14"/>
  <c r="D286" i="14"/>
  <c r="C286" i="14"/>
  <c r="D298" i="14"/>
  <c r="D33" i="12"/>
  <c r="C36" i="12"/>
  <c r="D65" i="12"/>
  <c r="C68" i="12"/>
  <c r="D97" i="12"/>
  <c r="C100" i="12"/>
  <c r="D153" i="12"/>
  <c r="D170" i="12"/>
  <c r="D185" i="12"/>
  <c r="D202" i="12"/>
  <c r="D217" i="12"/>
  <c r="C224" i="12"/>
  <c r="C227" i="12"/>
  <c r="D234" i="12"/>
  <c r="D238" i="12"/>
  <c r="D249" i="12"/>
  <c r="C256" i="12"/>
  <c r="C259" i="12"/>
  <c r="D266" i="12"/>
  <c r="D270" i="12"/>
  <c r="D281" i="12"/>
  <c r="D320" i="12"/>
  <c r="R10" i="4" s="1"/>
  <c r="D328" i="12"/>
  <c r="R18" i="4" s="1"/>
  <c r="D336" i="12"/>
  <c r="R26" i="4" s="1"/>
  <c r="D344" i="12"/>
  <c r="R34" i="4" s="1"/>
  <c r="D352" i="12"/>
  <c r="R42" i="4" s="1"/>
  <c r="D360" i="12"/>
  <c r="R50" i="4" s="1"/>
  <c r="D19" i="13"/>
  <c r="D27" i="13"/>
  <c r="D35" i="13"/>
  <c r="D43" i="13"/>
  <c r="D51" i="13"/>
  <c r="D59" i="13"/>
  <c r="D67" i="13"/>
  <c r="D75" i="13"/>
  <c r="D83" i="13"/>
  <c r="D91" i="13"/>
  <c r="D99" i="13"/>
  <c r="D107" i="13"/>
  <c r="D115" i="13"/>
  <c r="D123" i="13"/>
  <c r="D131" i="13"/>
  <c r="D139" i="13"/>
  <c r="D147" i="13"/>
  <c r="D155" i="13"/>
  <c r="D163" i="13"/>
  <c r="D171" i="13"/>
  <c r="D179" i="13"/>
  <c r="D187" i="13"/>
  <c r="C196" i="13"/>
  <c r="C201" i="13"/>
  <c r="D213" i="13"/>
  <c r="C226" i="13"/>
  <c r="D239" i="13"/>
  <c r="D251" i="13"/>
  <c r="C260" i="13"/>
  <c r="C265" i="13"/>
  <c r="D287" i="13"/>
  <c r="D292" i="13"/>
  <c r="C316" i="13"/>
  <c r="O6" i="4" s="1"/>
  <c r="D330" i="13"/>
  <c r="P20" i="4" s="1"/>
  <c r="D342" i="13"/>
  <c r="P32" i="4" s="1"/>
  <c r="C330" i="13"/>
  <c r="O20" i="4" s="1"/>
  <c r="C340" i="13"/>
  <c r="O30" i="4" s="1"/>
  <c r="C28" i="14"/>
  <c r="D28" i="14"/>
  <c r="D37" i="14"/>
  <c r="C59" i="14"/>
  <c r="D65" i="14"/>
  <c r="C65" i="14"/>
  <c r="D71" i="14"/>
  <c r="C77" i="14"/>
  <c r="D77" i="14"/>
  <c r="D194" i="14"/>
  <c r="D259" i="14"/>
  <c r="D271" i="14"/>
  <c r="C259" i="14"/>
  <c r="C251" i="9"/>
  <c r="C259" i="9"/>
  <c r="C267" i="9"/>
  <c r="C275" i="9"/>
  <c r="C283" i="9"/>
  <c r="C291" i="9"/>
  <c r="C299" i="9"/>
  <c r="C307" i="9"/>
  <c r="C315" i="9"/>
  <c r="K5" i="4" s="1"/>
  <c r="C323" i="9"/>
  <c r="K13" i="4" s="1"/>
  <c r="C331" i="9"/>
  <c r="K21" i="4" s="1"/>
  <c r="C339" i="9"/>
  <c r="K29" i="4" s="1"/>
  <c r="C347" i="9"/>
  <c r="K37" i="4" s="1"/>
  <c r="C355" i="9"/>
  <c r="K45" i="4" s="1"/>
  <c r="C22" i="10"/>
  <c r="C30" i="10"/>
  <c r="C38" i="10"/>
  <c r="C46" i="10"/>
  <c r="C54" i="10"/>
  <c r="C62" i="10"/>
  <c r="C70" i="10"/>
  <c r="C78" i="10"/>
  <c r="C86" i="10"/>
  <c r="C94" i="10"/>
  <c r="C102" i="10"/>
  <c r="C110" i="10"/>
  <c r="C118" i="10"/>
  <c r="C126" i="10"/>
  <c r="C134" i="10"/>
  <c r="C142" i="10"/>
  <c r="C150" i="10"/>
  <c r="C158" i="10"/>
  <c r="C166" i="10"/>
  <c r="C174" i="10"/>
  <c r="C182" i="10"/>
  <c r="C190" i="10"/>
  <c r="C198" i="10"/>
  <c r="C206" i="10"/>
  <c r="C214" i="10"/>
  <c r="C222" i="10"/>
  <c r="C230" i="10"/>
  <c r="C238" i="10"/>
  <c r="C246" i="10"/>
  <c r="C254" i="10"/>
  <c r="C262" i="10"/>
  <c r="C270" i="10"/>
  <c r="C278" i="10"/>
  <c r="C286" i="10"/>
  <c r="C294" i="10"/>
  <c r="C302" i="10"/>
  <c r="C310" i="10"/>
  <c r="C318" i="10"/>
  <c r="W8" i="4" s="1"/>
  <c r="C326" i="10"/>
  <c r="W16" i="4" s="1"/>
  <c r="C334" i="10"/>
  <c r="W24" i="4" s="1"/>
  <c r="C342" i="10"/>
  <c r="W32" i="4" s="1"/>
  <c r="C350" i="10"/>
  <c r="W40" i="4" s="1"/>
  <c r="C358" i="10"/>
  <c r="W48" i="4" s="1"/>
  <c r="C25" i="11"/>
  <c r="C33" i="11"/>
  <c r="C41" i="11"/>
  <c r="C49" i="11"/>
  <c r="C57" i="11"/>
  <c r="C65" i="11"/>
  <c r="C73" i="11"/>
  <c r="C81" i="11"/>
  <c r="C89" i="11"/>
  <c r="C97" i="11"/>
  <c r="C105" i="11"/>
  <c r="C113" i="11"/>
  <c r="C121" i="11"/>
  <c r="C129" i="11"/>
  <c r="C137" i="11"/>
  <c r="C145" i="11"/>
  <c r="C153" i="11"/>
  <c r="C161" i="11"/>
  <c r="C169" i="11"/>
  <c r="C177" i="11"/>
  <c r="C185" i="11"/>
  <c r="C193" i="11"/>
  <c r="C201" i="11"/>
  <c r="C209" i="11"/>
  <c r="C217" i="11"/>
  <c r="C225" i="11"/>
  <c r="C233" i="11"/>
  <c r="C241" i="11"/>
  <c r="C249" i="11"/>
  <c r="C257" i="11"/>
  <c r="C265" i="11"/>
  <c r="C273" i="11"/>
  <c r="C281" i="11"/>
  <c r="C289" i="11"/>
  <c r="C297" i="11"/>
  <c r="C305" i="11"/>
  <c r="C313" i="11"/>
  <c r="C333" i="11"/>
  <c r="AE23" i="4" s="1"/>
  <c r="C336" i="11"/>
  <c r="AE26" i="4" s="1"/>
  <c r="C339" i="11"/>
  <c r="AE29" i="4" s="1"/>
  <c r="D342" i="11"/>
  <c r="AF32" i="4" s="1"/>
  <c r="C345" i="11"/>
  <c r="AE35" i="4" s="1"/>
  <c r="C33" i="12"/>
  <c r="D36" i="12"/>
  <c r="C42" i="12"/>
  <c r="C45" i="12"/>
  <c r="C65" i="12"/>
  <c r="D68" i="12"/>
  <c r="C74" i="12"/>
  <c r="C77" i="12"/>
  <c r="C97" i="12"/>
  <c r="D100" i="12"/>
  <c r="C106" i="12"/>
  <c r="C132" i="12"/>
  <c r="D132" i="12"/>
  <c r="C150" i="12"/>
  <c r="C151" i="12"/>
  <c r="C157" i="12"/>
  <c r="C164" i="12"/>
  <c r="D164" i="12"/>
  <c r="C182" i="12"/>
  <c r="C183" i="12"/>
  <c r="C189" i="12"/>
  <c r="C196" i="12"/>
  <c r="D196" i="12"/>
  <c r="C214" i="12"/>
  <c r="C215" i="12"/>
  <c r="C221" i="12"/>
  <c r="C228" i="12"/>
  <c r="D228" i="12"/>
  <c r="C246" i="12"/>
  <c r="C247" i="12"/>
  <c r="C253" i="12"/>
  <c r="C260" i="12"/>
  <c r="D260" i="12"/>
  <c r="C278" i="12"/>
  <c r="C279" i="12"/>
  <c r="C285" i="12"/>
  <c r="D289" i="12"/>
  <c r="C293" i="12"/>
  <c r="D297" i="12"/>
  <c r="C301" i="12"/>
  <c r="D305" i="12"/>
  <c r="C309" i="12"/>
  <c r="D313" i="12"/>
  <c r="C317" i="12"/>
  <c r="Q7" i="4" s="1"/>
  <c r="D321" i="12"/>
  <c r="R11" i="4" s="1"/>
  <c r="C325" i="12"/>
  <c r="Q15" i="4" s="1"/>
  <c r="D329" i="12"/>
  <c r="R19" i="4" s="1"/>
  <c r="C333" i="12"/>
  <c r="Q23" i="4" s="1"/>
  <c r="D337" i="12"/>
  <c r="R27" i="4" s="1"/>
  <c r="C341" i="12"/>
  <c r="Q31" i="4" s="1"/>
  <c r="D345" i="12"/>
  <c r="R35" i="4" s="1"/>
  <c r="C349" i="12"/>
  <c r="Q39" i="4" s="1"/>
  <c r="D353" i="12"/>
  <c r="R43" i="4" s="1"/>
  <c r="C357" i="12"/>
  <c r="Q47" i="4" s="1"/>
  <c r="D361" i="12"/>
  <c r="R51" i="4" s="1"/>
  <c r="D20" i="13"/>
  <c r="C24" i="13"/>
  <c r="D28" i="13"/>
  <c r="C32" i="13"/>
  <c r="D36" i="13"/>
  <c r="C40" i="13"/>
  <c r="D44" i="13"/>
  <c r="C48" i="13"/>
  <c r="D52" i="13"/>
  <c r="C56" i="13"/>
  <c r="D60" i="13"/>
  <c r="C64" i="13"/>
  <c r="D68" i="13"/>
  <c r="C72" i="13"/>
  <c r="D76" i="13"/>
  <c r="C80" i="13"/>
  <c r="D84" i="13"/>
  <c r="C88" i="13"/>
  <c r="D92" i="13"/>
  <c r="C96" i="13"/>
  <c r="D100" i="13"/>
  <c r="C104" i="13"/>
  <c r="D108" i="13"/>
  <c r="C112" i="13"/>
  <c r="D116" i="13"/>
  <c r="C120" i="13"/>
  <c r="D124" i="13"/>
  <c r="C128" i="13"/>
  <c r="D132" i="13"/>
  <c r="C136" i="13"/>
  <c r="D140" i="13"/>
  <c r="C144" i="13"/>
  <c r="D148" i="13"/>
  <c r="C152" i="13"/>
  <c r="D156" i="13"/>
  <c r="C160" i="13"/>
  <c r="D164" i="13"/>
  <c r="D172" i="13"/>
  <c r="D180" i="13"/>
  <c r="D188" i="13"/>
  <c r="C192" i="13"/>
  <c r="C197" i="13"/>
  <c r="C210" i="13"/>
  <c r="D243" i="13"/>
  <c r="D231" i="13"/>
  <c r="C231" i="13"/>
  <c r="C232" i="13"/>
  <c r="D248" i="13"/>
  <c r="C249" i="13"/>
  <c r="C256" i="13"/>
  <c r="C261" i="13"/>
  <c r="C274" i="13"/>
  <c r="C284" i="13"/>
  <c r="C29" i="14"/>
  <c r="D29" i="14"/>
  <c r="C55" i="14"/>
  <c r="D54" i="14"/>
  <c r="D66" i="14"/>
  <c r="D72" i="14"/>
  <c r="D84" i="14"/>
  <c r="D156" i="14"/>
  <c r="C144" i="14"/>
  <c r="D144" i="14"/>
  <c r="D172" i="14"/>
  <c r="C160" i="14"/>
  <c r="D160" i="14"/>
  <c r="D207" i="14"/>
  <c r="D195" i="14"/>
  <c r="C195" i="14"/>
  <c r="D227" i="14"/>
  <c r="D239" i="14"/>
  <c r="C227" i="14"/>
  <c r="C255" i="14"/>
  <c r="D254" i="14"/>
  <c r="C254" i="14"/>
  <c r="D266" i="14"/>
  <c r="C342" i="11"/>
  <c r="AE32" i="4" s="1"/>
  <c r="D345" i="11"/>
  <c r="AF35" i="4" s="1"/>
  <c r="C28" i="12"/>
  <c r="D57" i="12"/>
  <c r="C60" i="12"/>
  <c r="D89" i="12"/>
  <c r="C92" i="12"/>
  <c r="D113" i="12"/>
  <c r="C116" i="12"/>
  <c r="D116" i="12"/>
  <c r="D122" i="12"/>
  <c r="D129" i="12"/>
  <c r="C139" i="12"/>
  <c r="D150" i="12"/>
  <c r="D161" i="12"/>
  <c r="C171" i="12"/>
  <c r="D182" i="12"/>
  <c r="D193" i="12"/>
  <c r="C203" i="12"/>
  <c r="D214" i="12"/>
  <c r="D225" i="12"/>
  <c r="C235" i="12"/>
  <c r="D239" i="12"/>
  <c r="D257" i="12"/>
  <c r="D271" i="12"/>
  <c r="C16" i="13"/>
  <c r="D214" i="13"/>
  <c r="D202" i="13"/>
  <c r="C202" i="13"/>
  <c r="D236" i="13"/>
  <c r="D257" i="13"/>
  <c r="D266" i="13"/>
  <c r="D278" i="13"/>
  <c r="C266" i="13"/>
  <c r="D280" i="13"/>
  <c r="D284" i="13"/>
  <c r="D298" i="13"/>
  <c r="D310" i="13"/>
  <c r="C298" i="13"/>
  <c r="D321" i="13"/>
  <c r="P11" i="4" s="1"/>
  <c r="C341" i="13"/>
  <c r="O31" i="4" s="1"/>
  <c r="C342" i="13"/>
  <c r="O32" i="4" s="1"/>
  <c r="D341" i="13"/>
  <c r="P31" i="4" s="1"/>
  <c r="D359" i="13"/>
  <c r="P49" i="4" s="1"/>
  <c r="C31" i="14"/>
  <c r="D30" i="14"/>
  <c r="C54" i="14"/>
  <c r="C72" i="14"/>
  <c r="C85" i="14"/>
  <c r="C106" i="14"/>
  <c r="D106" i="14"/>
  <c r="C122" i="14"/>
  <c r="D122" i="14"/>
  <c r="C128" i="14"/>
  <c r="D140" i="14"/>
  <c r="D128" i="14"/>
  <c r="D284" i="12"/>
  <c r="D292" i="12"/>
  <c r="D300" i="12"/>
  <c r="D308" i="12"/>
  <c r="D316" i="12"/>
  <c r="R6" i="4" s="1"/>
  <c r="D324" i="12"/>
  <c r="R14" i="4" s="1"/>
  <c r="D332" i="12"/>
  <c r="R22" i="4" s="1"/>
  <c r="D340" i="12"/>
  <c r="R30" i="4" s="1"/>
  <c r="D348" i="12"/>
  <c r="R38" i="4" s="1"/>
  <c r="D356" i="12"/>
  <c r="R46" i="4" s="1"/>
  <c r="D23" i="13"/>
  <c r="D31" i="13"/>
  <c r="D39" i="13"/>
  <c r="D47" i="13"/>
  <c r="D55" i="13"/>
  <c r="D63" i="13"/>
  <c r="D71" i="13"/>
  <c r="D79" i="13"/>
  <c r="D87" i="13"/>
  <c r="D95" i="13"/>
  <c r="D103" i="13"/>
  <c r="D111" i="13"/>
  <c r="D119" i="13"/>
  <c r="D127" i="13"/>
  <c r="D135" i="13"/>
  <c r="D143" i="13"/>
  <c r="D151" i="13"/>
  <c r="D159" i="13"/>
  <c r="D167" i="13"/>
  <c r="D175" i="13"/>
  <c r="D183" i="13"/>
  <c r="D191" i="13"/>
  <c r="D194" i="13"/>
  <c r="D197" i="13"/>
  <c r="D203" i="13"/>
  <c r="D223" i="13"/>
  <c r="D226" i="13"/>
  <c r="D229" i="13"/>
  <c r="D235" i="13"/>
  <c r="D255" i="13"/>
  <c r="D258" i="13"/>
  <c r="D261" i="13"/>
  <c r="D267" i="13"/>
  <c r="D276" i="13"/>
  <c r="D279" i="13"/>
  <c r="D282" i="13"/>
  <c r="C293" i="13"/>
  <c r="C294" i="13"/>
  <c r="D303" i="13"/>
  <c r="C307" i="13"/>
  <c r="D307" i="13"/>
  <c r="C325" i="13"/>
  <c r="O15" i="4" s="1"/>
  <c r="C326" i="13"/>
  <c r="O16" i="4" s="1"/>
  <c r="D335" i="13"/>
  <c r="P25" i="4" s="1"/>
  <c r="C339" i="13"/>
  <c r="O29" i="4" s="1"/>
  <c r="D339" i="13"/>
  <c r="P29" i="4" s="1"/>
  <c r="C357" i="13"/>
  <c r="O47" i="4" s="1"/>
  <c r="C358" i="13"/>
  <c r="O48" i="4" s="1"/>
  <c r="D19" i="14"/>
  <c r="D27" i="14"/>
  <c r="D42" i="14"/>
  <c r="D46" i="14"/>
  <c r="C58" i="14"/>
  <c r="D58" i="14"/>
  <c r="C67" i="14"/>
  <c r="C80" i="14"/>
  <c r="D92" i="14"/>
  <c r="D80" i="14"/>
  <c r="C92" i="14"/>
  <c r="D104" i="14"/>
  <c r="D110" i="14"/>
  <c r="D114" i="14"/>
  <c r="C134" i="14"/>
  <c r="C138" i="14"/>
  <c r="D138" i="14"/>
  <c r="C147" i="14"/>
  <c r="D175" i="14"/>
  <c r="D163" i="14"/>
  <c r="D181" i="14"/>
  <c r="C199" i="14"/>
  <c r="D198" i="14"/>
  <c r="D210" i="14"/>
  <c r="D216" i="14"/>
  <c r="D231" i="14"/>
  <c r="D247" i="14"/>
  <c r="D263" i="14"/>
  <c r="D279" i="14"/>
  <c r="D295" i="14"/>
  <c r="D311" i="14"/>
  <c r="D327" i="14"/>
  <c r="T17" i="4" s="1"/>
  <c r="D343" i="14"/>
  <c r="T33" i="4" s="1"/>
  <c r="D359" i="14"/>
  <c r="T49" i="4" s="1"/>
  <c r="C90" i="15"/>
  <c r="D89" i="15"/>
  <c r="C89" i="15"/>
  <c r="D111" i="15"/>
  <c r="D99" i="15"/>
  <c r="C99" i="15"/>
  <c r="D117" i="15"/>
  <c r="D148" i="15"/>
  <c r="D136" i="15"/>
  <c r="C136" i="15"/>
  <c r="C207" i="15"/>
  <c r="D206" i="15"/>
  <c r="C206" i="15"/>
  <c r="C289" i="15"/>
  <c r="D288" i="15"/>
  <c r="C288" i="15"/>
  <c r="D300" i="15"/>
  <c r="D244" i="14"/>
  <c r="D232" i="14"/>
  <c r="C232" i="14"/>
  <c r="D260" i="14"/>
  <c r="D248" i="14"/>
  <c r="C248" i="14"/>
  <c r="D276" i="14"/>
  <c r="D264" i="14"/>
  <c r="C264" i="14"/>
  <c r="D292" i="14"/>
  <c r="D280" i="14"/>
  <c r="C280" i="14"/>
  <c r="D308" i="14"/>
  <c r="D296" i="14"/>
  <c r="C296" i="14"/>
  <c r="D324" i="14"/>
  <c r="T14" i="4" s="1"/>
  <c r="D312" i="14"/>
  <c r="C312" i="14"/>
  <c r="D340" i="14"/>
  <c r="T30" i="4" s="1"/>
  <c r="D328" i="14"/>
  <c r="T18" i="4" s="1"/>
  <c r="C328" i="14"/>
  <c r="S18" i="4" s="1"/>
  <c r="D356" i="14"/>
  <c r="T46" i="4" s="1"/>
  <c r="D344" i="14"/>
  <c r="T34" i="4" s="1"/>
  <c r="C344" i="14"/>
  <c r="S34" i="4" s="1"/>
  <c r="D360" i="14"/>
  <c r="T50" i="4" s="1"/>
  <c r="C360" i="14"/>
  <c r="S50" i="4" s="1"/>
  <c r="D122" i="15"/>
  <c r="D143" i="15"/>
  <c r="D131" i="15"/>
  <c r="C131" i="15"/>
  <c r="D165" i="15"/>
  <c r="C165" i="15"/>
  <c r="C193" i="15"/>
  <c r="D192" i="15"/>
  <c r="C192" i="15"/>
  <c r="D238" i="15"/>
  <c r="C303" i="14"/>
  <c r="D302" i="14"/>
  <c r="C302" i="14"/>
  <c r="C319" i="14"/>
  <c r="S9" i="4" s="1"/>
  <c r="D318" i="14"/>
  <c r="T8" i="4" s="1"/>
  <c r="C318" i="14"/>
  <c r="S8" i="4" s="1"/>
  <c r="C335" i="14"/>
  <c r="S25" i="4" s="1"/>
  <c r="D334" i="14"/>
  <c r="T24" i="4" s="1"/>
  <c r="C334" i="14"/>
  <c r="S24" i="4" s="1"/>
  <c r="C351" i="14"/>
  <c r="S41" i="4" s="1"/>
  <c r="D350" i="14"/>
  <c r="T40" i="4" s="1"/>
  <c r="C350" i="14"/>
  <c r="S40" i="4" s="1"/>
  <c r="D39" i="15"/>
  <c r="D27" i="15"/>
  <c r="C27" i="15"/>
  <c r="D55" i="15"/>
  <c r="D43" i="15"/>
  <c r="C43" i="15"/>
  <c r="D71" i="15"/>
  <c r="D59" i="15"/>
  <c r="C59" i="15"/>
  <c r="D87" i="15"/>
  <c r="D75" i="15"/>
  <c r="C75" i="15"/>
  <c r="C106" i="15"/>
  <c r="D105" i="15"/>
  <c r="C105" i="15"/>
  <c r="C161" i="15"/>
  <c r="D160" i="15"/>
  <c r="C160" i="15"/>
  <c r="C284" i="15"/>
  <c r="C285" i="15"/>
  <c r="D284" i="15"/>
  <c r="D313" i="15"/>
  <c r="C313" i="15"/>
  <c r="D145" i="14"/>
  <c r="C145" i="14"/>
  <c r="D209" i="14"/>
  <c r="C209" i="14"/>
  <c r="C210" i="14"/>
  <c r="C291" i="14"/>
  <c r="C307" i="14"/>
  <c r="C323" i="14"/>
  <c r="S13" i="4" s="1"/>
  <c r="C34" i="15"/>
  <c r="D33" i="15"/>
  <c r="C33" i="15"/>
  <c r="C50" i="15"/>
  <c r="D49" i="15"/>
  <c r="C49" i="15"/>
  <c r="C66" i="15"/>
  <c r="D65" i="15"/>
  <c r="C65" i="15"/>
  <c r="C82" i="15"/>
  <c r="D81" i="15"/>
  <c r="C81" i="15"/>
  <c r="D103" i="15"/>
  <c r="D91" i="15"/>
  <c r="C91" i="15"/>
  <c r="D194" i="15"/>
  <c r="C194" i="15"/>
  <c r="D247" i="15"/>
  <c r="D235" i="15"/>
  <c r="C235" i="15"/>
  <c r="C263" i="15"/>
  <c r="D262" i="15"/>
  <c r="C262" i="15"/>
  <c r="C267" i="15"/>
  <c r="D307" i="15"/>
  <c r="C307" i="15"/>
  <c r="D319" i="15"/>
  <c r="J9" i="4" s="1"/>
  <c r="C60" i="14"/>
  <c r="D60" i="14"/>
  <c r="D78" i="14"/>
  <c r="C90" i="14"/>
  <c r="D90" i="14"/>
  <c r="C112" i="14"/>
  <c r="D124" i="14"/>
  <c r="D112" i="14"/>
  <c r="D129" i="14"/>
  <c r="C129" i="14"/>
  <c r="C140" i="14"/>
  <c r="C149" i="14"/>
  <c r="C152" i="14"/>
  <c r="D157" i="14"/>
  <c r="C175" i="14"/>
  <c r="D174" i="14"/>
  <c r="C174" i="14"/>
  <c r="D186" i="14"/>
  <c r="D204" i="14"/>
  <c r="C192" i="14"/>
  <c r="C196" i="14"/>
  <c r="D201" i="14"/>
  <c r="C201" i="14"/>
  <c r="C205" i="14"/>
  <c r="C219" i="14"/>
  <c r="D303" i="14"/>
  <c r="D319" i="14"/>
  <c r="T9" i="4" s="1"/>
  <c r="D335" i="14"/>
  <c r="T25" i="4" s="1"/>
  <c r="D351" i="14"/>
  <c r="T41" i="4" s="1"/>
  <c r="C22" i="15"/>
  <c r="C38" i="15"/>
  <c r="C54" i="15"/>
  <c r="C70" i="15"/>
  <c r="C86" i="15"/>
  <c r="C156" i="15"/>
  <c r="D156" i="15"/>
  <c r="D189" i="15"/>
  <c r="C189" i="15"/>
  <c r="D212" i="15"/>
  <c r="C221" i="15"/>
  <c r="C226" i="15"/>
  <c r="C231" i="15"/>
  <c r="D230" i="15"/>
  <c r="C230" i="15"/>
  <c r="D267" i="15"/>
  <c r="D297" i="15"/>
  <c r="C297" i="15"/>
  <c r="D208" i="13"/>
  <c r="C211" i="13"/>
  <c r="D240" i="13"/>
  <c r="C243" i="13"/>
  <c r="D272" i="13"/>
  <c r="C275" i="13"/>
  <c r="D275" i="13"/>
  <c r="D288" i="13"/>
  <c r="D305" i="13"/>
  <c r="D320" i="13"/>
  <c r="P10" i="4" s="1"/>
  <c r="D352" i="13"/>
  <c r="P42" i="4" s="1"/>
  <c r="C26" i="14"/>
  <c r="D26" i="14"/>
  <c r="C34" i="14"/>
  <c r="C35" i="14"/>
  <c r="D48" i="14"/>
  <c r="C52" i="14"/>
  <c r="D52" i="14"/>
  <c r="C61" i="14"/>
  <c r="D61" i="14"/>
  <c r="C66" i="14"/>
  <c r="C78" i="14"/>
  <c r="D103" i="14"/>
  <c r="D113" i="14"/>
  <c r="C113" i="14"/>
  <c r="C124" i="14"/>
  <c r="C133" i="14"/>
  <c r="C136" i="14"/>
  <c r="C141" i="14"/>
  <c r="D141" i="14"/>
  <c r="C146" i="14"/>
  <c r="D149" i="14"/>
  <c r="D152" i="14"/>
  <c r="C188" i="14"/>
  <c r="D192" i="14"/>
  <c r="D236" i="14"/>
  <c r="D224" i="14"/>
  <c r="C224" i="14"/>
  <c r="D252" i="14"/>
  <c r="D240" i="14"/>
  <c r="C240" i="14"/>
  <c r="D268" i="14"/>
  <c r="D256" i="14"/>
  <c r="C256" i="14"/>
  <c r="D284" i="14"/>
  <c r="D272" i="14"/>
  <c r="C272" i="14"/>
  <c r="D300" i="14"/>
  <c r="D288" i="14"/>
  <c r="C288" i="14"/>
  <c r="D316" i="14"/>
  <c r="T6" i="4" s="1"/>
  <c r="D304" i="14"/>
  <c r="C304" i="14"/>
  <c r="D314" i="14"/>
  <c r="T4" i="4" s="1"/>
  <c r="D332" i="14"/>
  <c r="T22" i="4" s="1"/>
  <c r="D320" i="14"/>
  <c r="T10" i="4" s="1"/>
  <c r="C320" i="14"/>
  <c r="S10" i="4" s="1"/>
  <c r="D330" i="14"/>
  <c r="T20" i="4" s="1"/>
  <c r="D348" i="14"/>
  <c r="T38" i="4" s="1"/>
  <c r="D336" i="14"/>
  <c r="T26" i="4" s="1"/>
  <c r="C336" i="14"/>
  <c r="S26" i="4" s="1"/>
  <c r="D346" i="14"/>
  <c r="T36" i="4" s="1"/>
  <c r="D352" i="14"/>
  <c r="T42" i="4" s="1"/>
  <c r="C352" i="14"/>
  <c r="S42" i="4" s="1"/>
  <c r="D362" i="14"/>
  <c r="D34" i="15"/>
  <c r="D50" i="15"/>
  <c r="D66" i="15"/>
  <c r="D82" i="15"/>
  <c r="C98" i="15"/>
  <c r="D97" i="15"/>
  <c r="C97" i="15"/>
  <c r="D119" i="15"/>
  <c r="D107" i="15"/>
  <c r="C107" i="15"/>
  <c r="C135" i="15"/>
  <c r="D134" i="15"/>
  <c r="C134" i="15"/>
  <c r="C139" i="15"/>
  <c r="D209" i="15"/>
  <c r="C217" i="15"/>
  <c r="C222" i="15"/>
  <c r="C299" i="13"/>
  <c r="D299" i="13"/>
  <c r="C317" i="13"/>
  <c r="O7" i="4" s="1"/>
  <c r="C318" i="13"/>
  <c r="O8" i="4" s="1"/>
  <c r="C331" i="13"/>
  <c r="O21" i="4" s="1"/>
  <c r="D331" i="13"/>
  <c r="P21" i="4" s="1"/>
  <c r="C349" i="13"/>
  <c r="O39" i="4" s="1"/>
  <c r="D361" i="13"/>
  <c r="P51" i="4" s="1"/>
  <c r="C350" i="13"/>
  <c r="O40" i="4" s="1"/>
  <c r="C360" i="13"/>
  <c r="O50" i="4" s="1"/>
  <c r="C23" i="14"/>
  <c r="D22" i="14"/>
  <c r="D34" i="14"/>
  <c r="C74" i="14"/>
  <c r="D74" i="14"/>
  <c r="C91" i="14"/>
  <c r="C96" i="14"/>
  <c r="D108" i="14"/>
  <c r="D96" i="14"/>
  <c r="C108" i="14"/>
  <c r="C125" i="14"/>
  <c r="D125" i="14"/>
  <c r="C130" i="14"/>
  <c r="D142" i="14"/>
  <c r="D154" i="14"/>
  <c r="C167" i="14"/>
  <c r="D166" i="14"/>
  <c r="D189" i="14"/>
  <c r="C202" i="14"/>
  <c r="C207" i="14"/>
  <c r="D206" i="14"/>
  <c r="C206" i="14"/>
  <c r="D218" i="14"/>
  <c r="C220" i="14"/>
  <c r="C231" i="14"/>
  <c r="D230" i="14"/>
  <c r="C230" i="14"/>
  <c r="C247" i="14"/>
  <c r="D246" i="14"/>
  <c r="C246" i="14"/>
  <c r="C263" i="14"/>
  <c r="D262" i="14"/>
  <c r="C262" i="14"/>
  <c r="C279" i="14"/>
  <c r="D278" i="14"/>
  <c r="C278" i="14"/>
  <c r="C295" i="14"/>
  <c r="D294" i="14"/>
  <c r="C294" i="14"/>
  <c r="C311" i="14"/>
  <c r="D310" i="14"/>
  <c r="C310" i="14"/>
  <c r="C327" i="14"/>
  <c r="S17" i="4" s="1"/>
  <c r="D326" i="14"/>
  <c r="T16" i="4" s="1"/>
  <c r="C326" i="14"/>
  <c r="S16" i="4" s="1"/>
  <c r="C343" i="14"/>
  <c r="S33" i="4" s="1"/>
  <c r="D342" i="14"/>
  <c r="T32" i="4" s="1"/>
  <c r="C342" i="14"/>
  <c r="S32" i="4" s="1"/>
  <c r="C359" i="14"/>
  <c r="S49" i="4" s="1"/>
  <c r="D358" i="14"/>
  <c r="T48" i="4" s="1"/>
  <c r="C358" i="14"/>
  <c r="S48" i="4" s="1"/>
  <c r="D31" i="15"/>
  <c r="D19" i="15"/>
  <c r="C19" i="15"/>
  <c r="D47" i="15"/>
  <c r="D35" i="15"/>
  <c r="C35" i="15"/>
  <c r="D45" i="15"/>
  <c r="D63" i="15"/>
  <c r="D51" i="15"/>
  <c r="C51" i="15"/>
  <c r="D61" i="15"/>
  <c r="D79" i="15"/>
  <c r="D67" i="15"/>
  <c r="C67" i="15"/>
  <c r="D77" i="15"/>
  <c r="D95" i="15"/>
  <c r="D83" i="15"/>
  <c r="C83" i="15"/>
  <c r="D139" i="15"/>
  <c r="D175" i="15"/>
  <c r="D163" i="15"/>
  <c r="C163" i="15"/>
  <c r="D185" i="15"/>
  <c r="C185" i="15"/>
  <c r="D218" i="15"/>
  <c r="C218" i="15"/>
  <c r="D276" i="15"/>
  <c r="D264" i="15"/>
  <c r="C264" i="15"/>
  <c r="D293" i="15"/>
  <c r="C293" i="15"/>
  <c r="D200" i="13"/>
  <c r="C203" i="13"/>
  <c r="D232" i="13"/>
  <c r="C235" i="13"/>
  <c r="D264" i="13"/>
  <c r="C267" i="13"/>
  <c r="D285" i="13"/>
  <c r="D296" i="13"/>
  <c r="C306" i="13"/>
  <c r="D317" i="13"/>
  <c r="P7" i="4" s="1"/>
  <c r="D328" i="13"/>
  <c r="P18" i="4" s="1"/>
  <c r="C338" i="13"/>
  <c r="O28" i="4" s="1"/>
  <c r="D349" i="13"/>
  <c r="P39" i="4" s="1"/>
  <c r="D360" i="13"/>
  <c r="P50" i="4" s="1"/>
  <c r="C22" i="14"/>
  <c r="D31" i="14"/>
  <c r="D49" i="14"/>
  <c r="C49" i="14"/>
  <c r="C53" i="14"/>
  <c r="D57" i="14"/>
  <c r="C57" i="14"/>
  <c r="C62" i="14"/>
  <c r="C79" i="14"/>
  <c r="D97" i="14"/>
  <c r="C97" i="14"/>
  <c r="C109" i="14"/>
  <c r="D109" i="14"/>
  <c r="D126" i="14"/>
  <c r="C142" i="14"/>
  <c r="C166" i="14"/>
  <c r="D184" i="14"/>
  <c r="C216" i="14"/>
  <c r="D221" i="14"/>
  <c r="C235" i="14"/>
  <c r="C251" i="14"/>
  <c r="C267" i="14"/>
  <c r="C283" i="14"/>
  <c r="C299" i="14"/>
  <c r="C315" i="14"/>
  <c r="S5" i="4" s="1"/>
  <c r="C331" i="14"/>
  <c r="S21" i="4" s="1"/>
  <c r="C347" i="14"/>
  <c r="S37" i="4" s="1"/>
  <c r="C8" i="15"/>
  <c r="C26" i="15"/>
  <c r="D25" i="15"/>
  <c r="C25" i="15"/>
  <c r="C42" i="15"/>
  <c r="D41" i="15"/>
  <c r="C41" i="15"/>
  <c r="C58" i="15"/>
  <c r="D57" i="15"/>
  <c r="C57" i="15"/>
  <c r="C74" i="15"/>
  <c r="D73" i="15"/>
  <c r="C73" i="15"/>
  <c r="D93" i="15"/>
  <c r="D98" i="15"/>
  <c r="D200" i="15"/>
  <c r="C241" i="15"/>
  <c r="D250" i="15"/>
  <c r="D271" i="15"/>
  <c r="D259" i="15"/>
  <c r="C259" i="15"/>
  <c r="D41" i="14"/>
  <c r="C44" i="14"/>
  <c r="D55" i="14"/>
  <c r="C68" i="14"/>
  <c r="C84" i="14"/>
  <c r="C100" i="14"/>
  <c r="C159" i="14"/>
  <c r="D158" i="14"/>
  <c r="C191" i="14"/>
  <c r="D190" i="14"/>
  <c r="D200" i="14"/>
  <c r="C223" i="14"/>
  <c r="D222" i="14"/>
  <c r="D229" i="14"/>
  <c r="D237" i="14"/>
  <c r="D245" i="14"/>
  <c r="D253" i="14"/>
  <c r="D261" i="14"/>
  <c r="D269" i="14"/>
  <c r="D277" i="14"/>
  <c r="D285" i="14"/>
  <c r="D293" i="14"/>
  <c r="D301" i="14"/>
  <c r="D309" i="14"/>
  <c r="D317" i="14"/>
  <c r="T7" i="4" s="1"/>
  <c r="D325" i="14"/>
  <c r="T15" i="4" s="1"/>
  <c r="D333" i="14"/>
  <c r="T23" i="4" s="1"/>
  <c r="D341" i="14"/>
  <c r="T31" i="4" s="1"/>
  <c r="D349" i="14"/>
  <c r="T39" i="4" s="1"/>
  <c r="D357" i="14"/>
  <c r="T47" i="4" s="1"/>
  <c r="C16" i="15"/>
  <c r="D24" i="15"/>
  <c r="D32" i="15"/>
  <c r="D40" i="15"/>
  <c r="D48" i="15"/>
  <c r="D56" i="15"/>
  <c r="D64" i="15"/>
  <c r="D72" i="15"/>
  <c r="D80" i="15"/>
  <c r="D125" i="15"/>
  <c r="D133" i="15"/>
  <c r="D154" i="15"/>
  <c r="C225" i="15"/>
  <c r="D224" i="15"/>
  <c r="C224" i="15"/>
  <c r="D232" i="15"/>
  <c r="D253" i="15"/>
  <c r="D261" i="15"/>
  <c r="D282" i="15"/>
  <c r="D291" i="15"/>
  <c r="C291" i="15"/>
  <c r="D308" i="15"/>
  <c r="D296" i="15"/>
  <c r="D326" i="15"/>
  <c r="J16" i="4" s="1"/>
  <c r="C327" i="15"/>
  <c r="I17" i="4" s="1"/>
  <c r="C326" i="15"/>
  <c r="I16" i="4" s="1"/>
  <c r="D324" i="15"/>
  <c r="J14" i="4" s="1"/>
  <c r="D312" i="15"/>
  <c r="D342" i="15"/>
  <c r="J32" i="4" s="1"/>
  <c r="C343" i="15"/>
  <c r="I33" i="4" s="1"/>
  <c r="C342" i="15"/>
  <c r="I32" i="4" s="1"/>
  <c r="D340" i="15"/>
  <c r="J30" i="4" s="1"/>
  <c r="D328" i="15"/>
  <c r="J18" i="4" s="1"/>
  <c r="D76" i="16"/>
  <c r="C76" i="16"/>
  <c r="D356" i="15"/>
  <c r="J46" i="4" s="1"/>
  <c r="D344" i="15"/>
  <c r="J34" i="4" s="1"/>
  <c r="C26" i="16"/>
  <c r="D25" i="16"/>
  <c r="D37" i="16"/>
  <c r="C25" i="16"/>
  <c r="D323" i="15"/>
  <c r="J13" i="4" s="1"/>
  <c r="C323" i="15"/>
  <c r="I13" i="4" s="1"/>
  <c r="D329" i="15"/>
  <c r="J19" i="4" s="1"/>
  <c r="C329" i="15"/>
  <c r="I19" i="4" s="1"/>
  <c r="C338" i="15"/>
  <c r="I28" i="4" s="1"/>
  <c r="C344" i="15"/>
  <c r="I34" i="4" s="1"/>
  <c r="C98" i="16"/>
  <c r="D97" i="16"/>
  <c r="C97" i="16"/>
  <c r="D70" i="14"/>
  <c r="D73" i="14"/>
  <c r="C73" i="14"/>
  <c r="D79" i="14"/>
  <c r="D86" i="14"/>
  <c r="D89" i="14"/>
  <c r="C89" i="14"/>
  <c r="D95" i="14"/>
  <c r="D102" i="14"/>
  <c r="D105" i="14"/>
  <c r="C105" i="14"/>
  <c r="D111" i="14"/>
  <c r="D118" i="14"/>
  <c r="D121" i="14"/>
  <c r="C121" i="14"/>
  <c r="D127" i="14"/>
  <c r="D134" i="14"/>
  <c r="D137" i="14"/>
  <c r="C137" i="14"/>
  <c r="D143" i="14"/>
  <c r="D150" i="14"/>
  <c r="D153" i="14"/>
  <c r="C153" i="14"/>
  <c r="D185" i="14"/>
  <c r="C185" i="14"/>
  <c r="D217" i="14"/>
  <c r="C217" i="14"/>
  <c r="C228" i="14"/>
  <c r="C236" i="14"/>
  <c r="C244" i="14"/>
  <c r="C252" i="14"/>
  <c r="C260" i="14"/>
  <c r="C268" i="14"/>
  <c r="C276" i="14"/>
  <c r="C284" i="14"/>
  <c r="C292" i="14"/>
  <c r="C300" i="14"/>
  <c r="C308" i="14"/>
  <c r="C316" i="14"/>
  <c r="S6" i="4" s="1"/>
  <c r="C324" i="14"/>
  <c r="S14" i="4" s="1"/>
  <c r="C332" i="14"/>
  <c r="S22" i="4" s="1"/>
  <c r="C340" i="14"/>
  <c r="S30" i="4" s="1"/>
  <c r="C348" i="14"/>
  <c r="S38" i="4" s="1"/>
  <c r="C356" i="14"/>
  <c r="S46" i="4" s="1"/>
  <c r="C9" i="15"/>
  <c r="C23" i="15"/>
  <c r="C31" i="15"/>
  <c r="C39" i="15"/>
  <c r="C47" i="15"/>
  <c r="C55" i="15"/>
  <c r="C63" i="15"/>
  <c r="C71" i="15"/>
  <c r="C79" i="15"/>
  <c r="C87" i="15"/>
  <c r="C95" i="15"/>
  <c r="C103" i="15"/>
  <c r="D177" i="15"/>
  <c r="C199" i="15"/>
  <c r="D198" i="15"/>
  <c r="C198" i="15"/>
  <c r="D239" i="15"/>
  <c r="D227" i="15"/>
  <c r="C227" i="15"/>
  <c r="D294" i="15"/>
  <c r="C295" i="15"/>
  <c r="C294" i="15"/>
  <c r="D309" i="15"/>
  <c r="D339" i="15"/>
  <c r="J29" i="4" s="1"/>
  <c r="C339" i="15"/>
  <c r="I29" i="4" s="1"/>
  <c r="D351" i="15"/>
  <c r="J41" i="4" s="1"/>
  <c r="D354" i="15"/>
  <c r="J44" i="4" s="1"/>
  <c r="C215" i="14"/>
  <c r="D214" i="14"/>
  <c r="C129" i="15"/>
  <c r="D128" i="15"/>
  <c r="C128" i="15"/>
  <c r="D186" i="15"/>
  <c r="C190" i="15"/>
  <c r="C219" i="15"/>
  <c r="C257" i="15"/>
  <c r="D256" i="15"/>
  <c r="C256" i="15"/>
  <c r="D285" i="15"/>
  <c r="D303" i="15"/>
  <c r="C309" i="15"/>
  <c r="D325" i="15"/>
  <c r="J15" i="4" s="1"/>
  <c r="C354" i="15"/>
  <c r="I44" i="4" s="1"/>
  <c r="D358" i="13"/>
  <c r="P48" i="4" s="1"/>
  <c r="C361" i="13"/>
  <c r="O51" i="4" s="1"/>
  <c r="C154" i="14"/>
  <c r="D161" i="14"/>
  <c r="C161" i="14"/>
  <c r="C186" i="14"/>
  <c r="D193" i="14"/>
  <c r="C193" i="14"/>
  <c r="C200" i="14"/>
  <c r="C214" i="14"/>
  <c r="C218" i="14"/>
  <c r="D225" i="14"/>
  <c r="D233" i="14"/>
  <c r="D241" i="14"/>
  <c r="D249" i="14"/>
  <c r="D257" i="14"/>
  <c r="D265" i="14"/>
  <c r="D273" i="14"/>
  <c r="D281" i="14"/>
  <c r="D289" i="14"/>
  <c r="D297" i="14"/>
  <c r="D305" i="14"/>
  <c r="D313" i="14"/>
  <c r="D321" i="14"/>
  <c r="T11" i="4" s="1"/>
  <c r="D329" i="14"/>
  <c r="T19" i="4" s="1"/>
  <c r="D337" i="14"/>
  <c r="T27" i="4" s="1"/>
  <c r="D345" i="14"/>
  <c r="T35" i="4" s="1"/>
  <c r="D353" i="14"/>
  <c r="T43" i="4" s="1"/>
  <c r="D361" i="14"/>
  <c r="T51" i="4" s="1"/>
  <c r="D20" i="15"/>
  <c r="D28" i="15"/>
  <c r="D36" i="15"/>
  <c r="D44" i="15"/>
  <c r="D52" i="15"/>
  <c r="D60" i="15"/>
  <c r="D68" i="15"/>
  <c r="D76" i="15"/>
  <c r="D84" i="15"/>
  <c r="D92" i="15"/>
  <c r="D100" i="15"/>
  <c r="D124" i="15"/>
  <c r="D145" i="15"/>
  <c r="C153" i="15"/>
  <c r="C157" i="15"/>
  <c r="C167" i="15"/>
  <c r="D166" i="15"/>
  <c r="C166" i="15"/>
  <c r="C174" i="15"/>
  <c r="C186" i="15"/>
  <c r="D207" i="15"/>
  <c r="D195" i="15"/>
  <c r="C195" i="15"/>
  <c r="C203" i="15"/>
  <c r="D252" i="15"/>
  <c r="D273" i="15"/>
  <c r="C281" i="15"/>
  <c r="C290" i="15"/>
  <c r="D310" i="15"/>
  <c r="C311" i="15"/>
  <c r="C310" i="15"/>
  <c r="C325" i="15"/>
  <c r="I15" i="4" s="1"/>
  <c r="D341" i="15"/>
  <c r="J31" i="4" s="1"/>
  <c r="D28" i="16"/>
  <c r="C28" i="16"/>
  <c r="C39" i="16"/>
  <c r="D51" i="16"/>
  <c r="C40" i="16"/>
  <c r="D39" i="16"/>
  <c r="C60" i="16"/>
  <c r="D59" i="16"/>
  <c r="C59" i="16"/>
  <c r="D67" i="16"/>
  <c r="D88" i="16"/>
  <c r="D96" i="16"/>
  <c r="D140" i="16"/>
  <c r="C140" i="16"/>
  <c r="D172" i="16"/>
  <c r="C172" i="16"/>
  <c r="D207" i="16"/>
  <c r="D195" i="16"/>
  <c r="C195" i="16"/>
  <c r="D97" i="17"/>
  <c r="C97" i="17"/>
  <c r="D109" i="16"/>
  <c r="C210" i="16"/>
  <c r="D209" i="16"/>
  <c r="C209" i="16"/>
  <c r="C226" i="16"/>
  <c r="D225" i="16"/>
  <c r="C225" i="16"/>
  <c r="C242" i="16"/>
  <c r="D241" i="16"/>
  <c r="C241" i="16"/>
  <c r="C258" i="16"/>
  <c r="D257" i="16"/>
  <c r="C257" i="16"/>
  <c r="C274" i="16"/>
  <c r="D273" i="16"/>
  <c r="C273" i="16"/>
  <c r="C290" i="16"/>
  <c r="D289" i="16"/>
  <c r="C289" i="16"/>
  <c r="C306" i="16"/>
  <c r="D305" i="16"/>
  <c r="C305" i="16"/>
  <c r="C322" i="16"/>
  <c r="U12" i="4" s="1"/>
  <c r="D321" i="16"/>
  <c r="V11" i="4" s="1"/>
  <c r="C321" i="16"/>
  <c r="U11" i="4" s="1"/>
  <c r="C338" i="16"/>
  <c r="U28" i="4" s="1"/>
  <c r="D337" i="16"/>
  <c r="V27" i="4" s="1"/>
  <c r="C337" i="16"/>
  <c r="U27" i="4" s="1"/>
  <c r="C354" i="16"/>
  <c r="U44" i="4" s="1"/>
  <c r="D353" i="16"/>
  <c r="V43" i="4" s="1"/>
  <c r="C353" i="16"/>
  <c r="U43" i="4" s="1"/>
  <c r="D62" i="17"/>
  <c r="C72" i="17"/>
  <c r="D71" i="17"/>
  <c r="C71" i="17"/>
  <c r="C9" i="16"/>
  <c r="C29" i="16"/>
  <c r="D36" i="16"/>
  <c r="C37" i="16"/>
  <c r="C36" i="16"/>
  <c r="D40" i="16"/>
  <c r="D44" i="16"/>
  <c r="D48" i="16"/>
  <c r="C48" i="16"/>
  <c r="D56" i="16"/>
  <c r="D85" i="16"/>
  <c r="C89" i="16"/>
  <c r="D105" i="16"/>
  <c r="D118" i="16"/>
  <c r="C118" i="16"/>
  <c r="C123" i="16"/>
  <c r="D150" i="16"/>
  <c r="C150" i="16"/>
  <c r="C155" i="16"/>
  <c r="D182" i="16"/>
  <c r="C182" i="16"/>
  <c r="C187" i="16"/>
  <c r="C16" i="17"/>
  <c r="C55" i="17"/>
  <c r="D54" i="17"/>
  <c r="C54" i="17"/>
  <c r="D345" i="15"/>
  <c r="J35" i="4" s="1"/>
  <c r="C345" i="15"/>
  <c r="I35" i="4" s="1"/>
  <c r="D361" i="15"/>
  <c r="J51" i="4" s="1"/>
  <c r="C361" i="15"/>
  <c r="I51" i="4" s="1"/>
  <c r="C22" i="16"/>
  <c r="C34" i="16"/>
  <c r="D33" i="16"/>
  <c r="C44" i="16"/>
  <c r="C56" i="16"/>
  <c r="C66" i="16"/>
  <c r="D65" i="16"/>
  <c r="C65" i="16"/>
  <c r="C85" i="16"/>
  <c r="D106" i="16"/>
  <c r="D94" i="16"/>
  <c r="C94" i="16"/>
  <c r="D123" i="16"/>
  <c r="D137" i="16"/>
  <c r="C138" i="16"/>
  <c r="C137" i="16"/>
  <c r="D155" i="16"/>
  <c r="D169" i="16"/>
  <c r="C170" i="16"/>
  <c r="C169" i="16"/>
  <c r="D187" i="16"/>
  <c r="D201" i="16"/>
  <c r="C201" i="16"/>
  <c r="D221" i="16"/>
  <c r="D237" i="16"/>
  <c r="D253" i="16"/>
  <c r="D269" i="16"/>
  <c r="D285" i="16"/>
  <c r="D301" i="16"/>
  <c r="D317" i="16"/>
  <c r="V7" i="4" s="1"/>
  <c r="D333" i="16"/>
  <c r="V23" i="4" s="1"/>
  <c r="D349" i="16"/>
  <c r="V39" i="4" s="1"/>
  <c r="C59" i="17"/>
  <c r="C108" i="15"/>
  <c r="D137" i="15"/>
  <c r="C140" i="15"/>
  <c r="D169" i="15"/>
  <c r="C172" i="15"/>
  <c r="D201" i="15"/>
  <c r="C204" i="15"/>
  <c r="D233" i="15"/>
  <c r="C236" i="15"/>
  <c r="D265" i="15"/>
  <c r="C268" i="15"/>
  <c r="C355" i="15"/>
  <c r="I45" i="4" s="1"/>
  <c r="C358" i="15"/>
  <c r="I48" i="4" s="1"/>
  <c r="C19" i="16"/>
  <c r="D22" i="16"/>
  <c r="C33" i="16"/>
  <c r="C41" i="16"/>
  <c r="D57" i="16"/>
  <c r="D45" i="16"/>
  <c r="C45" i="16"/>
  <c r="C49" i="16"/>
  <c r="D53" i="16"/>
  <c r="C57" i="16"/>
  <c r="D73" i="16"/>
  <c r="C86" i="16"/>
  <c r="D102" i="16"/>
  <c r="D124" i="16"/>
  <c r="C124" i="16"/>
  <c r="C133" i="16"/>
  <c r="D156" i="16"/>
  <c r="C156" i="16"/>
  <c r="C165" i="16"/>
  <c r="D188" i="16"/>
  <c r="C188" i="16"/>
  <c r="C50" i="17"/>
  <c r="C225" i="14"/>
  <c r="C233" i="14"/>
  <c r="C241" i="14"/>
  <c r="C249" i="14"/>
  <c r="C257" i="14"/>
  <c r="C265" i="14"/>
  <c r="C273" i="14"/>
  <c r="C281" i="14"/>
  <c r="C289" i="14"/>
  <c r="C297" i="14"/>
  <c r="C305" i="14"/>
  <c r="C313" i="14"/>
  <c r="C321" i="14"/>
  <c r="S11" i="4" s="1"/>
  <c r="C329" i="14"/>
  <c r="S19" i="4" s="1"/>
  <c r="C337" i="14"/>
  <c r="S27" i="4" s="1"/>
  <c r="C345" i="14"/>
  <c r="S35" i="4" s="1"/>
  <c r="C353" i="14"/>
  <c r="S43" i="4" s="1"/>
  <c r="C361" i="14"/>
  <c r="S51" i="4" s="1"/>
  <c r="C20" i="15"/>
  <c r="C28" i="15"/>
  <c r="C36" i="15"/>
  <c r="C44" i="15"/>
  <c r="C52" i="15"/>
  <c r="C60" i="15"/>
  <c r="C68" i="15"/>
  <c r="C76" i="15"/>
  <c r="C84" i="15"/>
  <c r="C92" i="15"/>
  <c r="C100" i="15"/>
  <c r="D108" i="15"/>
  <c r="C114" i="15"/>
  <c r="C117" i="15"/>
  <c r="C137" i="15"/>
  <c r="D140" i="15"/>
  <c r="C146" i="15"/>
  <c r="C149" i="15"/>
  <c r="C169" i="15"/>
  <c r="D172" i="15"/>
  <c r="C178" i="15"/>
  <c r="C181" i="15"/>
  <c r="C201" i="15"/>
  <c r="D204" i="15"/>
  <c r="C210" i="15"/>
  <c r="C213" i="15"/>
  <c r="C233" i="15"/>
  <c r="D236" i="15"/>
  <c r="C242" i="15"/>
  <c r="C245" i="15"/>
  <c r="C265" i="15"/>
  <c r="D268" i="15"/>
  <c r="C274" i="15"/>
  <c r="C277" i="15"/>
  <c r="C298" i="15"/>
  <c r="C301" i="15"/>
  <c r="C304" i="15"/>
  <c r="C314" i="15"/>
  <c r="I4" i="4" s="1"/>
  <c r="C317" i="15"/>
  <c r="I7" i="4" s="1"/>
  <c r="C320" i="15"/>
  <c r="I10" i="4" s="1"/>
  <c r="C330" i="15"/>
  <c r="I20" i="4" s="1"/>
  <c r="C333" i="15"/>
  <c r="I23" i="4" s="1"/>
  <c r="C336" i="15"/>
  <c r="I26" i="4" s="1"/>
  <c r="C346" i="15"/>
  <c r="I36" i="4" s="1"/>
  <c r="C362" i="15"/>
  <c r="I52" i="4" s="1"/>
  <c r="D19" i="16"/>
  <c r="C23" i="16"/>
  <c r="D41" i="16"/>
  <c r="C53" i="16"/>
  <c r="D74" i="16"/>
  <c r="D62" i="16"/>
  <c r="C62" i="16"/>
  <c r="D198" i="16"/>
  <c r="D210" i="16"/>
  <c r="C202" i="16"/>
  <c r="C218" i="16"/>
  <c r="D217" i="16"/>
  <c r="C217" i="16"/>
  <c r="C234" i="16"/>
  <c r="D233" i="16"/>
  <c r="C233" i="16"/>
  <c r="C250" i="16"/>
  <c r="D249" i="16"/>
  <c r="C249" i="16"/>
  <c r="C266" i="16"/>
  <c r="D265" i="16"/>
  <c r="C265" i="16"/>
  <c r="C282" i="16"/>
  <c r="D281" i="16"/>
  <c r="C281" i="16"/>
  <c r="C298" i="16"/>
  <c r="D297" i="16"/>
  <c r="C297" i="16"/>
  <c r="C314" i="16"/>
  <c r="U4" i="4" s="1"/>
  <c r="D313" i="16"/>
  <c r="C313" i="16"/>
  <c r="C330" i="16"/>
  <c r="U20" i="4" s="1"/>
  <c r="D329" i="16"/>
  <c r="V19" i="4" s="1"/>
  <c r="C329" i="16"/>
  <c r="U19" i="4" s="1"/>
  <c r="C346" i="16"/>
  <c r="U36" i="4" s="1"/>
  <c r="D345" i="16"/>
  <c r="V35" i="4" s="1"/>
  <c r="C345" i="16"/>
  <c r="U35" i="4" s="1"/>
  <c r="C362" i="16"/>
  <c r="U52" i="4" s="1"/>
  <c r="D361" i="16"/>
  <c r="V51" i="4" s="1"/>
  <c r="C361" i="16"/>
  <c r="U51" i="4" s="1"/>
  <c r="D27" i="17"/>
  <c r="C27" i="17"/>
  <c r="D110" i="17"/>
  <c r="C110" i="17"/>
  <c r="D114" i="15"/>
  <c r="D129" i="15"/>
  <c r="C132" i="15"/>
  <c r="D146" i="15"/>
  <c r="D161" i="15"/>
  <c r="C164" i="15"/>
  <c r="D178" i="15"/>
  <c r="D193" i="15"/>
  <c r="C196" i="15"/>
  <c r="D210" i="15"/>
  <c r="D225" i="15"/>
  <c r="C228" i="15"/>
  <c r="D242" i="15"/>
  <c r="D257" i="15"/>
  <c r="C260" i="15"/>
  <c r="D274" i="15"/>
  <c r="D289" i="15"/>
  <c r="C292" i="15"/>
  <c r="C308" i="15"/>
  <c r="C324" i="15"/>
  <c r="I14" i="4" s="1"/>
  <c r="C340" i="15"/>
  <c r="I30" i="4" s="1"/>
  <c r="C356" i="15"/>
  <c r="I46" i="4" s="1"/>
  <c r="C359" i="15"/>
  <c r="I49" i="4" s="1"/>
  <c r="C11" i="16"/>
  <c r="D20" i="16"/>
  <c r="C20" i="16"/>
  <c r="C27" i="16"/>
  <c r="D30" i="16"/>
  <c r="C38" i="16"/>
  <c r="C46" i="16"/>
  <c r="C54" i="16"/>
  <c r="D70" i="16"/>
  <c r="C92" i="16"/>
  <c r="D91" i="16"/>
  <c r="C91" i="16"/>
  <c r="D99" i="16"/>
  <c r="D134" i="16"/>
  <c r="C134" i="16"/>
  <c r="C139" i="16"/>
  <c r="D166" i="16"/>
  <c r="C166" i="16"/>
  <c r="C171" i="16"/>
  <c r="C198" i="16"/>
  <c r="C48" i="17"/>
  <c r="D47" i="17"/>
  <c r="C47" i="17"/>
  <c r="D76" i="17"/>
  <c r="D88" i="17"/>
  <c r="C76" i="17"/>
  <c r="C109" i="15"/>
  <c r="D120" i="15"/>
  <c r="C138" i="15"/>
  <c r="C141" i="15"/>
  <c r="D152" i="15"/>
  <c r="C170" i="15"/>
  <c r="C173" i="15"/>
  <c r="D184" i="15"/>
  <c r="C202" i="15"/>
  <c r="C205" i="15"/>
  <c r="D216" i="15"/>
  <c r="C234" i="15"/>
  <c r="C237" i="15"/>
  <c r="D248" i="15"/>
  <c r="C266" i="15"/>
  <c r="C269" i="15"/>
  <c r="D280" i="15"/>
  <c r="D302" i="15"/>
  <c r="D305" i="15"/>
  <c r="C305" i="15"/>
  <c r="D318" i="15"/>
  <c r="J8" i="4" s="1"/>
  <c r="D321" i="15"/>
  <c r="J11" i="4" s="1"/>
  <c r="C321" i="15"/>
  <c r="I11" i="4" s="1"/>
  <c r="D334" i="15"/>
  <c r="J24" i="4" s="1"/>
  <c r="D337" i="15"/>
  <c r="J27" i="4" s="1"/>
  <c r="C337" i="15"/>
  <c r="I27" i="4" s="1"/>
  <c r="D350" i="15"/>
  <c r="J40" i="4" s="1"/>
  <c r="D353" i="15"/>
  <c r="J43" i="4" s="1"/>
  <c r="C353" i="15"/>
  <c r="I43" i="4" s="1"/>
  <c r="C31" i="16"/>
  <c r="D87" i="16"/>
  <c r="D108" i="16"/>
  <c r="D121" i="16"/>
  <c r="C122" i="16"/>
  <c r="C121" i="16"/>
  <c r="D139" i="16"/>
  <c r="D153" i="16"/>
  <c r="C154" i="16"/>
  <c r="C153" i="16"/>
  <c r="D171" i="16"/>
  <c r="D185" i="16"/>
  <c r="C186" i="16"/>
  <c r="C185" i="16"/>
  <c r="D194" i="16"/>
  <c r="D213" i="16"/>
  <c r="D229" i="16"/>
  <c r="D245" i="16"/>
  <c r="D261" i="16"/>
  <c r="D277" i="16"/>
  <c r="D293" i="16"/>
  <c r="D309" i="16"/>
  <c r="D325" i="16"/>
  <c r="V15" i="4" s="1"/>
  <c r="D341" i="16"/>
  <c r="V31" i="4" s="1"/>
  <c r="D357" i="16"/>
  <c r="V47" i="4" s="1"/>
  <c r="C19" i="17"/>
  <c r="D42" i="17"/>
  <c r="C42" i="17"/>
  <c r="D74" i="17"/>
  <c r="C74" i="17"/>
  <c r="C163" i="17"/>
  <c r="D163" i="17"/>
  <c r="C84" i="17"/>
  <c r="D83" i="17"/>
  <c r="C83" i="17"/>
  <c r="C128" i="17"/>
  <c r="D127" i="17"/>
  <c r="C127" i="17"/>
  <c r="D178" i="17"/>
  <c r="C178" i="17"/>
  <c r="D270" i="17"/>
  <c r="D258" i="17"/>
  <c r="C258" i="17"/>
  <c r="D114" i="17"/>
  <c r="C115" i="17"/>
  <c r="C114" i="17"/>
  <c r="D152" i="17"/>
  <c r="C153" i="17"/>
  <c r="C169" i="17"/>
  <c r="D206" i="17"/>
  <c r="D194" i="17"/>
  <c r="C194" i="17"/>
  <c r="D215" i="17"/>
  <c r="C215" i="17"/>
  <c r="D31" i="17"/>
  <c r="C40" i="17"/>
  <c r="D39" i="17"/>
  <c r="C52" i="17"/>
  <c r="D51" i="17"/>
  <c r="C51" i="17"/>
  <c r="D101" i="17"/>
  <c r="C101" i="17"/>
  <c r="D133" i="17"/>
  <c r="C133" i="17"/>
  <c r="D145" i="17"/>
  <c r="C149" i="17"/>
  <c r="C152" i="17"/>
  <c r="D175" i="17"/>
  <c r="D190" i="17"/>
  <c r="D68" i="16"/>
  <c r="C71" i="16"/>
  <c r="D100" i="16"/>
  <c r="C103" i="16"/>
  <c r="C199" i="16"/>
  <c r="D218" i="16"/>
  <c r="D226" i="16"/>
  <c r="D234" i="16"/>
  <c r="D242" i="16"/>
  <c r="D250" i="16"/>
  <c r="D258" i="16"/>
  <c r="D266" i="16"/>
  <c r="D274" i="16"/>
  <c r="D282" i="16"/>
  <c r="D290" i="16"/>
  <c r="D298" i="16"/>
  <c r="D306" i="16"/>
  <c r="D314" i="16"/>
  <c r="V4" i="4" s="1"/>
  <c r="D322" i="16"/>
  <c r="V12" i="4" s="1"/>
  <c r="D330" i="16"/>
  <c r="V20" i="4" s="1"/>
  <c r="D338" i="16"/>
  <c r="V28" i="4" s="1"/>
  <c r="D346" i="16"/>
  <c r="V36" i="4" s="1"/>
  <c r="D354" i="16"/>
  <c r="V44" i="4" s="1"/>
  <c r="D362" i="16"/>
  <c r="C21" i="17"/>
  <c r="D20" i="17"/>
  <c r="C20" i="17"/>
  <c r="C39" i="17"/>
  <c r="D80" i="17"/>
  <c r="D68" i="17"/>
  <c r="C129" i="17"/>
  <c r="D158" i="17"/>
  <c r="D146" i="17"/>
  <c r="D149" i="17"/>
  <c r="D170" i="17"/>
  <c r="C170" i="17"/>
  <c r="D182" i="17"/>
  <c r="C68" i="16"/>
  <c r="D71" i="16"/>
  <c r="C77" i="16"/>
  <c r="C80" i="16"/>
  <c r="C100" i="16"/>
  <c r="D103" i="16"/>
  <c r="C109" i="16"/>
  <c r="C112" i="16"/>
  <c r="C115" i="16"/>
  <c r="C125" i="16"/>
  <c r="C128" i="16"/>
  <c r="C131" i="16"/>
  <c r="C141" i="16"/>
  <c r="C144" i="16"/>
  <c r="C147" i="16"/>
  <c r="C157" i="16"/>
  <c r="C160" i="16"/>
  <c r="C163" i="16"/>
  <c r="C173" i="16"/>
  <c r="C176" i="16"/>
  <c r="C179" i="16"/>
  <c r="C189" i="16"/>
  <c r="C192" i="16"/>
  <c r="C206" i="16"/>
  <c r="C214" i="16"/>
  <c r="C222" i="16"/>
  <c r="C230" i="16"/>
  <c r="C238" i="16"/>
  <c r="C246" i="16"/>
  <c r="C254" i="16"/>
  <c r="C262" i="16"/>
  <c r="C270" i="16"/>
  <c r="C278" i="16"/>
  <c r="C286" i="16"/>
  <c r="C294" i="16"/>
  <c r="C302" i="16"/>
  <c r="C310" i="16"/>
  <c r="C318" i="16"/>
  <c r="U8" i="4" s="1"/>
  <c r="C326" i="16"/>
  <c r="U16" i="4" s="1"/>
  <c r="C334" i="16"/>
  <c r="U24" i="4" s="1"/>
  <c r="C342" i="16"/>
  <c r="U32" i="4" s="1"/>
  <c r="C350" i="16"/>
  <c r="U40" i="4" s="1"/>
  <c r="C358" i="16"/>
  <c r="U48" i="4" s="1"/>
  <c r="D24" i="17"/>
  <c r="D40" i="17"/>
  <c r="C29" i="17"/>
  <c r="D28" i="17"/>
  <c r="C28" i="17"/>
  <c r="D48" i="17"/>
  <c r="D36" i="17"/>
  <c r="C44" i="17"/>
  <c r="D56" i="17"/>
  <c r="C68" i="17"/>
  <c r="C77" i="17"/>
  <c r="D77" i="17"/>
  <c r="D85" i="17"/>
  <c r="C94" i="17"/>
  <c r="D98" i="17"/>
  <c r="C99" i="17"/>
  <c r="C98" i="17"/>
  <c r="C112" i="17"/>
  <c r="D111" i="17"/>
  <c r="C111" i="17"/>
  <c r="C116" i="17"/>
  <c r="C146" i="17"/>
  <c r="D186" i="17"/>
  <c r="C186" i="17"/>
  <c r="D198" i="17"/>
  <c r="D211" i="17"/>
  <c r="C211" i="17"/>
  <c r="D223" i="17"/>
  <c r="D246" i="17"/>
  <c r="D234" i="17"/>
  <c r="C234" i="17"/>
  <c r="D60" i="16"/>
  <c r="C63" i="16"/>
  <c r="D77" i="16"/>
  <c r="D92" i="16"/>
  <c r="C95" i="16"/>
  <c r="C119" i="16"/>
  <c r="C135" i="16"/>
  <c r="C151" i="16"/>
  <c r="C167" i="16"/>
  <c r="C183" i="16"/>
  <c r="D196" i="16"/>
  <c r="C203" i="16"/>
  <c r="C207" i="16"/>
  <c r="C211" i="16"/>
  <c r="C215" i="16"/>
  <c r="C219" i="16"/>
  <c r="C223" i="16"/>
  <c r="C227" i="16"/>
  <c r="C231" i="16"/>
  <c r="C235" i="16"/>
  <c r="C239" i="16"/>
  <c r="C243" i="16"/>
  <c r="C247" i="16"/>
  <c r="C251" i="16"/>
  <c r="C255" i="16"/>
  <c r="C259" i="16"/>
  <c r="C263" i="16"/>
  <c r="C267" i="16"/>
  <c r="C271" i="16"/>
  <c r="C275" i="16"/>
  <c r="C279" i="16"/>
  <c r="C283" i="16"/>
  <c r="C287" i="16"/>
  <c r="C291" i="16"/>
  <c r="C295" i="16"/>
  <c r="C299" i="16"/>
  <c r="C303" i="16"/>
  <c r="C307" i="16"/>
  <c r="C311" i="16"/>
  <c r="C315" i="16"/>
  <c r="U5" i="4" s="1"/>
  <c r="C319" i="16"/>
  <c r="U9" i="4" s="1"/>
  <c r="C323" i="16"/>
  <c r="U13" i="4" s="1"/>
  <c r="C327" i="16"/>
  <c r="U17" i="4" s="1"/>
  <c r="C331" i="16"/>
  <c r="U21" i="4" s="1"/>
  <c r="C335" i="16"/>
  <c r="U25" i="4" s="1"/>
  <c r="C339" i="16"/>
  <c r="U29" i="4" s="1"/>
  <c r="C343" i="16"/>
  <c r="U33" i="4" s="1"/>
  <c r="C347" i="16"/>
  <c r="U37" i="4" s="1"/>
  <c r="C351" i="16"/>
  <c r="U41" i="4" s="1"/>
  <c r="C355" i="16"/>
  <c r="U45" i="4" s="1"/>
  <c r="C359" i="16"/>
  <c r="U49" i="4" s="1"/>
  <c r="C17" i="17"/>
  <c r="D32" i="17"/>
  <c r="C36" i="17"/>
  <c r="D57" i="17"/>
  <c r="D65" i="17"/>
  <c r="C73" i="17"/>
  <c r="C78" i="17"/>
  <c r="C87" i="17"/>
  <c r="D86" i="17"/>
  <c r="C86" i="17"/>
  <c r="D116" i="17"/>
  <c r="D130" i="17"/>
  <c r="C131" i="17"/>
  <c r="C130" i="17"/>
  <c r="D142" i="17"/>
  <c r="C155" i="17"/>
  <c r="C156" i="17"/>
  <c r="D181" i="17"/>
  <c r="C69" i="16"/>
  <c r="C72" i="16"/>
  <c r="D83" i="16"/>
  <c r="C101" i="16"/>
  <c r="C104" i="16"/>
  <c r="D116" i="16"/>
  <c r="C116" i="16"/>
  <c r="D129" i="16"/>
  <c r="D132" i="16"/>
  <c r="C132" i="16"/>
  <c r="D145" i="16"/>
  <c r="D148" i="16"/>
  <c r="C148" i="16"/>
  <c r="D161" i="16"/>
  <c r="D164" i="16"/>
  <c r="C164" i="16"/>
  <c r="D177" i="16"/>
  <c r="D180" i="16"/>
  <c r="C180" i="16"/>
  <c r="D193" i="16"/>
  <c r="C193" i="16"/>
  <c r="D203" i="16"/>
  <c r="D211" i="16"/>
  <c r="D219" i="16"/>
  <c r="D227" i="16"/>
  <c r="D235" i="16"/>
  <c r="D243" i="16"/>
  <c r="D251" i="16"/>
  <c r="D259" i="16"/>
  <c r="D267" i="16"/>
  <c r="D275" i="16"/>
  <c r="D283" i="16"/>
  <c r="D291" i="16"/>
  <c r="D299" i="16"/>
  <c r="D307" i="16"/>
  <c r="D315" i="16"/>
  <c r="V5" i="4" s="1"/>
  <c r="D323" i="16"/>
  <c r="V13" i="4" s="1"/>
  <c r="D331" i="16"/>
  <c r="V21" i="4" s="1"/>
  <c r="D339" i="16"/>
  <c r="V29" i="4" s="1"/>
  <c r="D347" i="16"/>
  <c r="V37" i="4" s="1"/>
  <c r="C45" i="17"/>
  <c r="D45" i="17"/>
  <c r="C96" i="17"/>
  <c r="D95" i="17"/>
  <c r="C95" i="17"/>
  <c r="D107" i="17"/>
  <c r="D117" i="17"/>
  <c r="C117" i="17"/>
  <c r="C144" i="17"/>
  <c r="D143" i="17"/>
  <c r="C143" i="17"/>
  <c r="D155" i="17"/>
  <c r="C174" i="17"/>
  <c r="D173" i="17"/>
  <c r="D224" i="17"/>
  <c r="C225" i="17"/>
  <c r="D236" i="17"/>
  <c r="C224" i="17"/>
  <c r="C190" i="17"/>
  <c r="D189" i="17"/>
  <c r="C198" i="17"/>
  <c r="D209" i="17"/>
  <c r="D247" i="17"/>
  <c r="C247" i="17"/>
  <c r="C262" i="17"/>
  <c r="D261" i="17"/>
  <c r="C294" i="17"/>
  <c r="D293" i="17"/>
  <c r="C326" i="17"/>
  <c r="AA16" i="4" s="1"/>
  <c r="D325" i="17"/>
  <c r="AB15" i="4" s="1"/>
  <c r="D77" i="18"/>
  <c r="D65" i="18"/>
  <c r="C65" i="18"/>
  <c r="D271" i="17"/>
  <c r="C271" i="17"/>
  <c r="D303" i="17"/>
  <c r="C303" i="17"/>
  <c r="D335" i="17"/>
  <c r="AB25" i="4" s="1"/>
  <c r="C335" i="17"/>
  <c r="AA25" i="4" s="1"/>
  <c r="D64" i="18"/>
  <c r="D52" i="18"/>
  <c r="D202" i="17"/>
  <c r="C202" i="17"/>
  <c r="D239" i="17"/>
  <c r="C239" i="17"/>
  <c r="C254" i="17"/>
  <c r="D253" i="17"/>
  <c r="C286" i="17"/>
  <c r="D285" i="17"/>
  <c r="C290" i="17"/>
  <c r="C318" i="17"/>
  <c r="AA8" i="4" s="1"/>
  <c r="D317" i="17"/>
  <c r="AB7" i="4" s="1"/>
  <c r="C322" i="17"/>
  <c r="AA12" i="4" s="1"/>
  <c r="C39" i="18"/>
  <c r="D38" i="18"/>
  <c r="C38" i="18"/>
  <c r="C43" i="18"/>
  <c r="D133" i="18"/>
  <c r="C121" i="18"/>
  <c r="C222" i="17"/>
  <c r="D221" i="17"/>
  <c r="D263" i="17"/>
  <c r="C263" i="17"/>
  <c r="D290" i="17"/>
  <c r="D295" i="17"/>
  <c r="C295" i="17"/>
  <c r="C317" i="17"/>
  <c r="AA7" i="4" s="1"/>
  <c r="D322" i="17"/>
  <c r="AB12" i="4" s="1"/>
  <c r="D327" i="17"/>
  <c r="AB17" i="4" s="1"/>
  <c r="C327" i="17"/>
  <c r="AA17" i="4" s="1"/>
  <c r="D347" i="17"/>
  <c r="AB37" i="4" s="1"/>
  <c r="C29" i="18"/>
  <c r="D111" i="18"/>
  <c r="C112" i="18"/>
  <c r="C111" i="18"/>
  <c r="D121" i="18"/>
  <c r="D166" i="17"/>
  <c r="D171" i="17"/>
  <c r="C171" i="17"/>
  <c r="D187" i="17"/>
  <c r="C187" i="17"/>
  <c r="D212" i="17"/>
  <c r="C212" i="17"/>
  <c r="C221" i="17"/>
  <c r="C232" i="17"/>
  <c r="D231" i="17"/>
  <c r="D273" i="17"/>
  <c r="C278" i="17"/>
  <c r="D277" i="17"/>
  <c r="C282" i="17"/>
  <c r="D305" i="17"/>
  <c r="C310" i="17"/>
  <c r="D309" i="17"/>
  <c r="C314" i="17"/>
  <c r="AA4" i="4" s="1"/>
  <c r="D337" i="17"/>
  <c r="AB27" i="4" s="1"/>
  <c r="C25" i="18"/>
  <c r="D24" i="18"/>
  <c r="C24" i="18"/>
  <c r="D36" i="18"/>
  <c r="C196" i="16"/>
  <c r="C204" i="16"/>
  <c r="C212" i="16"/>
  <c r="C220" i="16"/>
  <c r="C228" i="16"/>
  <c r="C236" i="16"/>
  <c r="C244" i="16"/>
  <c r="C252" i="16"/>
  <c r="C260" i="16"/>
  <c r="C268" i="16"/>
  <c r="C276" i="16"/>
  <c r="C284" i="16"/>
  <c r="C292" i="16"/>
  <c r="C300" i="16"/>
  <c r="C308" i="16"/>
  <c r="C316" i="16"/>
  <c r="U6" i="4" s="1"/>
  <c r="C324" i="16"/>
  <c r="U14" i="4" s="1"/>
  <c r="C332" i="16"/>
  <c r="U22" i="4" s="1"/>
  <c r="C340" i="16"/>
  <c r="U30" i="4" s="1"/>
  <c r="C348" i="16"/>
  <c r="U38" i="4" s="1"/>
  <c r="C356" i="16"/>
  <c r="U46" i="4" s="1"/>
  <c r="C23" i="17"/>
  <c r="C31" i="17"/>
  <c r="D34" i="17"/>
  <c r="C37" i="17"/>
  <c r="C57" i="17"/>
  <c r="C60" i="17"/>
  <c r="C63" i="17"/>
  <c r="D66" i="17"/>
  <c r="C69" i="17"/>
  <c r="C89" i="17"/>
  <c r="C92" i="17"/>
  <c r="C102" i="17"/>
  <c r="C105" i="17"/>
  <c r="C108" i="17"/>
  <c r="C118" i="17"/>
  <c r="C121" i="17"/>
  <c r="C124" i="17"/>
  <c r="C134" i="17"/>
  <c r="D164" i="17"/>
  <c r="D167" i="17"/>
  <c r="C167" i="17"/>
  <c r="D183" i="17"/>
  <c r="C183" i="17"/>
  <c r="D199" i="17"/>
  <c r="C199" i="17"/>
  <c r="D208" i="17"/>
  <c r="C209" i="17"/>
  <c r="C246" i="17"/>
  <c r="D245" i="17"/>
  <c r="D255" i="17"/>
  <c r="C255" i="17"/>
  <c r="C277" i="17"/>
  <c r="D282" i="17"/>
  <c r="D287" i="17"/>
  <c r="C287" i="17"/>
  <c r="C309" i="17"/>
  <c r="D314" i="17"/>
  <c r="AB4" i="4" s="1"/>
  <c r="D319" i="17"/>
  <c r="AB9" i="4" s="1"/>
  <c r="C319" i="17"/>
  <c r="AA9" i="4" s="1"/>
  <c r="D338" i="17"/>
  <c r="AB28" i="4" s="1"/>
  <c r="D350" i="17"/>
  <c r="AB40" i="4" s="1"/>
  <c r="C343" i="17"/>
  <c r="AA33" i="4" s="1"/>
  <c r="C34" i="17"/>
  <c r="D37" i="17"/>
  <c r="D60" i="17"/>
  <c r="D63" i="17"/>
  <c r="C66" i="17"/>
  <c r="D69" i="17"/>
  <c r="C154" i="17"/>
  <c r="D161" i="17"/>
  <c r="C164" i="17"/>
  <c r="C172" i="17"/>
  <c r="D179" i="17"/>
  <c r="C179" i="17"/>
  <c r="D184" i="17"/>
  <c r="C188" i="17"/>
  <c r="D195" i="17"/>
  <c r="C195" i="17"/>
  <c r="D200" i="17"/>
  <c r="C208" i="17"/>
  <c r="D230" i="17"/>
  <c r="D218" i="17"/>
  <c r="C218" i="17"/>
  <c r="C245" i="17"/>
  <c r="D250" i="17"/>
  <c r="D265" i="17"/>
  <c r="C270" i="17"/>
  <c r="D269" i="17"/>
  <c r="C274" i="17"/>
  <c r="D297" i="17"/>
  <c r="C302" i="17"/>
  <c r="D301" i="17"/>
  <c r="C306" i="17"/>
  <c r="D329" i="17"/>
  <c r="AB19" i="4" s="1"/>
  <c r="C334" i="17"/>
  <c r="AA24" i="4" s="1"/>
  <c r="D333" i="17"/>
  <c r="AB23" i="4" s="1"/>
  <c r="D345" i="17"/>
  <c r="AB35" i="4" s="1"/>
  <c r="C338" i="17"/>
  <c r="AA28" i="4" s="1"/>
  <c r="D26" i="18"/>
  <c r="C26" i="18"/>
  <c r="D88" i="18"/>
  <c r="D76" i="18"/>
  <c r="C76" i="18"/>
  <c r="D93" i="17"/>
  <c r="C93" i="17"/>
  <c r="D106" i="17"/>
  <c r="D109" i="17"/>
  <c r="C109" i="17"/>
  <c r="D115" i="17"/>
  <c r="D122" i="17"/>
  <c r="D125" i="17"/>
  <c r="C125" i="17"/>
  <c r="D131" i="17"/>
  <c r="D147" i="17"/>
  <c r="C136" i="17"/>
  <c r="D138" i="17"/>
  <c r="D141" i="17"/>
  <c r="C141" i="17"/>
  <c r="C168" i="17"/>
  <c r="D176" i="17"/>
  <c r="C177" i="17"/>
  <c r="D180" i="17"/>
  <c r="C180" i="17"/>
  <c r="C184" i="17"/>
  <c r="D192" i="17"/>
  <c r="C193" i="17"/>
  <c r="D196" i="17"/>
  <c r="C196" i="17"/>
  <c r="C206" i="17"/>
  <c r="D205" i="17"/>
  <c r="D227" i="17"/>
  <c r="C227" i="17"/>
  <c r="C228" i="17"/>
  <c r="C238" i="17"/>
  <c r="D237" i="17"/>
  <c r="D274" i="17"/>
  <c r="D279" i="17"/>
  <c r="C279" i="17"/>
  <c r="C301" i="17"/>
  <c r="D306" i="17"/>
  <c r="D311" i="17"/>
  <c r="C311" i="17"/>
  <c r="C333" i="17"/>
  <c r="AA23" i="4" s="1"/>
  <c r="D339" i="17"/>
  <c r="AB29" i="4" s="1"/>
  <c r="D21" i="18"/>
  <c r="D33" i="18"/>
  <c r="C21" i="18"/>
  <c r="C200" i="17"/>
  <c r="C213" i="17"/>
  <c r="C216" i="17"/>
  <c r="C229" i="17"/>
  <c r="C342" i="17"/>
  <c r="AA32" i="4" s="1"/>
  <c r="D341" i="17"/>
  <c r="AB31" i="4" s="1"/>
  <c r="C341" i="17"/>
  <c r="AA31" i="4" s="1"/>
  <c r="D346" i="17"/>
  <c r="AB36" i="4" s="1"/>
  <c r="D358" i="17"/>
  <c r="AB48" i="4" s="1"/>
  <c r="D355" i="17"/>
  <c r="AB45" i="4" s="1"/>
  <c r="C115" i="18"/>
  <c r="D115" i="18"/>
  <c r="D141" i="18"/>
  <c r="D129" i="18"/>
  <c r="C129" i="18"/>
  <c r="D135" i="18"/>
  <c r="C136" i="18"/>
  <c r="C135" i="18"/>
  <c r="C147" i="18"/>
  <c r="D147" i="18"/>
  <c r="D184" i="18"/>
  <c r="D172" i="18"/>
  <c r="C172" i="18"/>
  <c r="D173" i="18"/>
  <c r="D161" i="18"/>
  <c r="C161" i="18"/>
  <c r="D143" i="18"/>
  <c r="C144" i="18"/>
  <c r="C143" i="18"/>
  <c r="D71" i="18"/>
  <c r="C72" i="18"/>
  <c r="D144" i="18"/>
  <c r="C132" i="18"/>
  <c r="C358" i="17"/>
  <c r="AA48" i="4" s="1"/>
  <c r="D357" i="17"/>
  <c r="AB47" i="4" s="1"/>
  <c r="C357" i="17"/>
  <c r="AA47" i="4" s="1"/>
  <c r="C71" i="18"/>
  <c r="D82" i="18"/>
  <c r="C82" i="18"/>
  <c r="D94" i="18"/>
  <c r="D107" i="18"/>
  <c r="D132" i="18"/>
  <c r="C139" i="18"/>
  <c r="D139" i="18"/>
  <c r="D144" i="17"/>
  <c r="C147" i="17"/>
  <c r="D235" i="17"/>
  <c r="D243" i="17"/>
  <c r="D251" i="17"/>
  <c r="D259" i="17"/>
  <c r="D267" i="17"/>
  <c r="D275" i="17"/>
  <c r="D283" i="17"/>
  <c r="D291" i="17"/>
  <c r="D299" i="17"/>
  <c r="D307" i="17"/>
  <c r="D315" i="17"/>
  <c r="AB5" i="4" s="1"/>
  <c r="D323" i="17"/>
  <c r="AB13" i="4" s="1"/>
  <c r="D331" i="17"/>
  <c r="AB21" i="4" s="1"/>
  <c r="D353" i="17"/>
  <c r="AB43" i="4" s="1"/>
  <c r="C362" i="17"/>
  <c r="AA52" i="4" s="1"/>
  <c r="D22" i="18"/>
  <c r="C34" i="18"/>
  <c r="D49" i="18"/>
  <c r="D58" i="18"/>
  <c r="C58" i="18"/>
  <c r="D70" i="18"/>
  <c r="C68" i="18"/>
  <c r="C83" i="18"/>
  <c r="D83" i="18"/>
  <c r="D109" i="18"/>
  <c r="D97" i="18"/>
  <c r="C97" i="18"/>
  <c r="D120" i="18"/>
  <c r="D108" i="18"/>
  <c r="C108" i="18"/>
  <c r="D152" i="18"/>
  <c r="D140" i="18"/>
  <c r="C140" i="18"/>
  <c r="D232" i="17"/>
  <c r="C233" i="17"/>
  <c r="C350" i="17"/>
  <c r="AA40" i="4" s="1"/>
  <c r="D349" i="17"/>
  <c r="AB39" i="4" s="1"/>
  <c r="C349" i="17"/>
  <c r="AA39" i="4" s="1"/>
  <c r="C36" i="18"/>
  <c r="D35" i="18"/>
  <c r="C35" i="18"/>
  <c r="C49" i="18"/>
  <c r="D68" i="18"/>
  <c r="D103" i="18"/>
  <c r="C104" i="18"/>
  <c r="D203" i="17"/>
  <c r="C203" i="17"/>
  <c r="D216" i="17"/>
  <c r="D219" i="17"/>
  <c r="C219" i="17"/>
  <c r="D225" i="17"/>
  <c r="D240" i="17"/>
  <c r="C240" i="17"/>
  <c r="C241" i="17"/>
  <c r="D248" i="17"/>
  <c r="C248" i="17"/>
  <c r="C249" i="17"/>
  <c r="D256" i="17"/>
  <c r="C256" i="17"/>
  <c r="C257" i="17"/>
  <c r="D264" i="17"/>
  <c r="C264" i="17"/>
  <c r="C265" i="17"/>
  <c r="D272" i="17"/>
  <c r="C272" i="17"/>
  <c r="C273" i="17"/>
  <c r="D280" i="17"/>
  <c r="C280" i="17"/>
  <c r="C281" i="17"/>
  <c r="D288" i="17"/>
  <c r="C288" i="17"/>
  <c r="C289" i="17"/>
  <c r="D296" i="17"/>
  <c r="C296" i="17"/>
  <c r="C297" i="17"/>
  <c r="D304" i="17"/>
  <c r="C304" i="17"/>
  <c r="C305" i="17"/>
  <c r="D312" i="17"/>
  <c r="C312" i="17"/>
  <c r="C313" i="17"/>
  <c r="D320" i="17"/>
  <c r="AB10" i="4" s="1"/>
  <c r="C320" i="17"/>
  <c r="AA10" i="4" s="1"/>
  <c r="C321" i="17"/>
  <c r="AA11" i="4" s="1"/>
  <c r="D328" i="17"/>
  <c r="AB18" i="4" s="1"/>
  <c r="C328" i="17"/>
  <c r="AA18" i="4" s="1"/>
  <c r="C329" i="17"/>
  <c r="AA19" i="4" s="1"/>
  <c r="D340" i="17"/>
  <c r="AB30" i="4" s="1"/>
  <c r="C354" i="17"/>
  <c r="AA44" i="4" s="1"/>
  <c r="D41" i="18"/>
  <c r="C56" i="18"/>
  <c r="D55" i="18"/>
  <c r="D67" i="18"/>
  <c r="D79" i="18"/>
  <c r="C80" i="18"/>
  <c r="C79" i="18"/>
  <c r="C89" i="18"/>
  <c r="C103" i="18"/>
  <c r="C337" i="17"/>
  <c r="AA27" i="4" s="1"/>
  <c r="C345" i="17"/>
  <c r="AA35" i="4" s="1"/>
  <c r="C353" i="17"/>
  <c r="AA43" i="4" s="1"/>
  <c r="C361" i="17"/>
  <c r="AA51" i="4" s="1"/>
  <c r="C20" i="18"/>
  <c r="C28" i="18"/>
  <c r="D39" i="18"/>
  <c r="C42" i="18"/>
  <c r="C48" i="18"/>
  <c r="D74" i="18"/>
  <c r="C74" i="18"/>
  <c r="C85" i="18"/>
  <c r="C88" i="18"/>
  <c r="D106" i="18"/>
  <c r="C106" i="18"/>
  <c r="C117" i="18"/>
  <c r="C120" i="18"/>
  <c r="D138" i="18"/>
  <c r="C138" i="18"/>
  <c r="D170" i="18"/>
  <c r="C170" i="18"/>
  <c r="D209" i="18"/>
  <c r="C210" i="18"/>
  <c r="C209" i="18"/>
  <c r="C239" i="18"/>
  <c r="D238" i="18"/>
  <c r="D261" i="18"/>
  <c r="D293" i="18"/>
  <c r="D345" i="18"/>
  <c r="AD35" i="4" s="1"/>
  <c r="C345" i="18"/>
  <c r="AC35" i="4" s="1"/>
  <c r="D357" i="18"/>
  <c r="AD47" i="4" s="1"/>
  <c r="C55" i="19"/>
  <c r="D55" i="19"/>
  <c r="C125" i="19"/>
  <c r="D137" i="19"/>
  <c r="D125" i="19"/>
  <c r="D207" i="19"/>
  <c r="C207" i="19"/>
  <c r="C225" i="19"/>
  <c r="D224" i="19"/>
  <c r="D236" i="19"/>
  <c r="C224" i="19"/>
  <c r="D235" i="19"/>
  <c r="C235" i="19"/>
  <c r="C236" i="19"/>
  <c r="D247" i="18"/>
  <c r="D235" i="18"/>
  <c r="D252" i="18"/>
  <c r="C271" i="18"/>
  <c r="D270" i="18"/>
  <c r="C270" i="18"/>
  <c r="D302" i="18"/>
  <c r="C303" i="18"/>
  <c r="C302" i="18"/>
  <c r="C346" i="18"/>
  <c r="AC36" i="4" s="1"/>
  <c r="D346" i="18"/>
  <c r="AD36" i="4" s="1"/>
  <c r="C360" i="18"/>
  <c r="AC50" i="4" s="1"/>
  <c r="D360" i="18"/>
  <c r="AD50" i="4" s="1"/>
  <c r="D46" i="19"/>
  <c r="C46" i="19"/>
  <c r="C87" i="19"/>
  <c r="D87" i="19"/>
  <c r="D191" i="19"/>
  <c r="C191" i="19"/>
  <c r="C209" i="19"/>
  <c r="D208" i="19"/>
  <c r="D220" i="19"/>
  <c r="C208" i="19"/>
  <c r="D219" i="19"/>
  <c r="C219" i="19"/>
  <c r="C220" i="19"/>
  <c r="D114" i="18"/>
  <c r="C114" i="18"/>
  <c r="D146" i="18"/>
  <c r="C146" i="18"/>
  <c r="C153" i="18"/>
  <c r="C164" i="18"/>
  <c r="C167" i="18"/>
  <c r="D178" i="18"/>
  <c r="C178" i="18"/>
  <c r="D198" i="18"/>
  <c r="D186" i="18"/>
  <c r="C186" i="18"/>
  <c r="C207" i="18"/>
  <c r="D206" i="18"/>
  <c r="C235" i="18"/>
  <c r="D321" i="18"/>
  <c r="AD11" i="4" s="1"/>
  <c r="C321" i="18"/>
  <c r="AC11" i="4" s="1"/>
  <c r="C322" i="18"/>
  <c r="AC12" i="4" s="1"/>
  <c r="D333" i="18"/>
  <c r="AD23" i="4" s="1"/>
  <c r="D37" i="19"/>
  <c r="D49" i="19"/>
  <c r="C47" i="19"/>
  <c r="C73" i="19"/>
  <c r="D72" i="19"/>
  <c r="C72" i="19"/>
  <c r="D84" i="19"/>
  <c r="C119" i="19"/>
  <c r="D119" i="19"/>
  <c r="D175" i="19"/>
  <c r="C175" i="19"/>
  <c r="C193" i="19"/>
  <c r="D192" i="19"/>
  <c r="D204" i="19"/>
  <c r="C192" i="19"/>
  <c r="D203" i="19"/>
  <c r="C203" i="19"/>
  <c r="C204" i="19"/>
  <c r="D215" i="18"/>
  <c r="D203" i="18"/>
  <c r="C233" i="18"/>
  <c r="D232" i="18"/>
  <c r="C244" i="18"/>
  <c r="D256" i="18"/>
  <c r="C245" i="18"/>
  <c r="D244" i="18"/>
  <c r="D279" i="18"/>
  <c r="D267" i="18"/>
  <c r="C267" i="18"/>
  <c r="C290" i="18"/>
  <c r="D299" i="18"/>
  <c r="C299" i="18"/>
  <c r="C37" i="19"/>
  <c r="C42" i="19"/>
  <c r="D42" i="19"/>
  <c r="D169" i="19"/>
  <c r="C157" i="19"/>
  <c r="D171" i="19"/>
  <c r="C171" i="19"/>
  <c r="C172" i="19"/>
  <c r="C177" i="19"/>
  <c r="D176" i="19"/>
  <c r="D188" i="19"/>
  <c r="C176" i="19"/>
  <c r="D187" i="19"/>
  <c r="C187" i="19"/>
  <c r="C188" i="19"/>
  <c r="C69" i="18"/>
  <c r="D90" i="18"/>
  <c r="C90" i="18"/>
  <c r="C101" i="18"/>
  <c r="D122" i="18"/>
  <c r="C122" i="18"/>
  <c r="C133" i="18"/>
  <c r="D154" i="18"/>
  <c r="C154" i="18"/>
  <c r="C165" i="18"/>
  <c r="C168" i="18"/>
  <c r="C175" i="18"/>
  <c r="D179" i="18"/>
  <c r="D195" i="18"/>
  <c r="C184" i="18"/>
  <c r="D183" i="18"/>
  <c r="D187" i="18"/>
  <c r="C203" i="18"/>
  <c r="D221" i="18"/>
  <c r="C221" i="18"/>
  <c r="C232" i="18"/>
  <c r="C240" i="18"/>
  <c r="C249" i="18"/>
  <c r="C259" i="18"/>
  <c r="C272" i="18"/>
  <c r="C281" i="18"/>
  <c r="C291" i="18"/>
  <c r="D342" i="18"/>
  <c r="AD32" i="4" s="1"/>
  <c r="C343" i="18"/>
  <c r="AC33" i="4" s="1"/>
  <c r="C342" i="18"/>
  <c r="AC32" i="4" s="1"/>
  <c r="C352" i="18"/>
  <c r="AC42" i="4" s="1"/>
  <c r="D32" i="19"/>
  <c r="D20" i="19"/>
  <c r="C20" i="19"/>
  <c r="D59" i="19"/>
  <c r="C60" i="19"/>
  <c r="C59" i="19"/>
  <c r="C74" i="19"/>
  <c r="D74" i="19"/>
  <c r="D151" i="19"/>
  <c r="D157" i="19"/>
  <c r="C336" i="17"/>
  <c r="AA26" i="4" s="1"/>
  <c r="C344" i="17"/>
  <c r="AA34" i="4" s="1"/>
  <c r="C352" i="17"/>
  <c r="AA42" i="4" s="1"/>
  <c r="C360" i="17"/>
  <c r="AA50" i="4" s="1"/>
  <c r="C11" i="18"/>
  <c r="C15" i="18"/>
  <c r="C19" i="18"/>
  <c r="C27" i="18"/>
  <c r="C41" i="18"/>
  <c r="C44" i="18"/>
  <c r="C47" i="18"/>
  <c r="D50" i="18"/>
  <c r="C53" i="18"/>
  <c r="C59" i="18"/>
  <c r="D87" i="18"/>
  <c r="C91" i="18"/>
  <c r="D119" i="18"/>
  <c r="C123" i="18"/>
  <c r="D151" i="18"/>
  <c r="C155" i="18"/>
  <c r="C183" i="18"/>
  <c r="C201" i="18"/>
  <c r="D200" i="18"/>
  <c r="C212" i="18"/>
  <c r="D224" i="18"/>
  <c r="C213" i="18"/>
  <c r="D212" i="18"/>
  <c r="C222" i="18"/>
  <c r="C229" i="18"/>
  <c r="D262" i="18"/>
  <c r="D250" i="18"/>
  <c r="C250" i="18"/>
  <c r="D318" i="18"/>
  <c r="AD8" i="4" s="1"/>
  <c r="C319" i="18"/>
  <c r="AC9" i="4" s="1"/>
  <c r="C318" i="18"/>
  <c r="AC8" i="4" s="1"/>
  <c r="D340" i="18"/>
  <c r="AD30" i="4" s="1"/>
  <c r="D328" i="18"/>
  <c r="AD18" i="4" s="1"/>
  <c r="C328" i="18"/>
  <c r="AC18" i="4" s="1"/>
  <c r="C106" i="19"/>
  <c r="D106" i="19"/>
  <c r="C235" i="17"/>
  <c r="C243" i="17"/>
  <c r="C251" i="17"/>
  <c r="C259" i="17"/>
  <c r="C267" i="17"/>
  <c r="C275" i="17"/>
  <c r="C283" i="17"/>
  <c r="C291" i="17"/>
  <c r="C299" i="17"/>
  <c r="C307" i="17"/>
  <c r="C315" i="17"/>
  <c r="AA5" i="4" s="1"/>
  <c r="C323" i="17"/>
  <c r="AA13" i="4" s="1"/>
  <c r="C331" i="17"/>
  <c r="AA21" i="4" s="1"/>
  <c r="C339" i="17"/>
  <c r="AA29" i="4" s="1"/>
  <c r="C347" i="17"/>
  <c r="AA37" i="4" s="1"/>
  <c r="C355" i="17"/>
  <c r="AA45" i="4" s="1"/>
  <c r="C22" i="18"/>
  <c r="C30" i="18"/>
  <c r="D44" i="18"/>
  <c r="C50" i="18"/>
  <c r="D53" i="18"/>
  <c r="D59" i="18"/>
  <c r="D62" i="18"/>
  <c r="D66" i="18"/>
  <c r="C66" i="18"/>
  <c r="C73" i="18"/>
  <c r="C77" i="18"/>
  <c r="C84" i="18"/>
  <c r="C87" i="18"/>
  <c r="D91" i="18"/>
  <c r="D98" i="18"/>
  <c r="C98" i="18"/>
  <c r="C105" i="18"/>
  <c r="C109" i="18"/>
  <c r="C116" i="18"/>
  <c r="C119" i="18"/>
  <c r="D123" i="18"/>
  <c r="D126" i="18"/>
  <c r="D130" i="18"/>
  <c r="C130" i="18"/>
  <c r="C137" i="18"/>
  <c r="C141" i="18"/>
  <c r="C148" i="18"/>
  <c r="C151" i="18"/>
  <c r="D155" i="18"/>
  <c r="D158" i="18"/>
  <c r="D162" i="18"/>
  <c r="C162" i="18"/>
  <c r="C169" i="18"/>
  <c r="C173" i="18"/>
  <c r="C176" i="18"/>
  <c r="C180" i="18"/>
  <c r="D188" i="18"/>
  <c r="C200" i="18"/>
  <c r="C208" i="18"/>
  <c r="C217" i="18"/>
  <c r="C226" i="18"/>
  <c r="D241" i="18"/>
  <c r="C242" i="18"/>
  <c r="C241" i="18"/>
  <c r="C246" i="18"/>
  <c r="C251" i="18"/>
  <c r="C265" i="18"/>
  <c r="D264" i="18"/>
  <c r="C264" i="18"/>
  <c r="C278" i="18"/>
  <c r="C297" i="18"/>
  <c r="D296" i="18"/>
  <c r="C296" i="18"/>
  <c r="D314" i="18"/>
  <c r="AD4" i="4" s="1"/>
  <c r="D338" i="18"/>
  <c r="AD28" i="4" s="1"/>
  <c r="C61" i="19"/>
  <c r="D73" i="19"/>
  <c r="D61" i="19"/>
  <c r="C138" i="19"/>
  <c r="D138" i="19"/>
  <c r="D239" i="19"/>
  <c r="C239" i="19"/>
  <c r="D42" i="18"/>
  <c r="C45" i="18"/>
  <c r="D63" i="18"/>
  <c r="D84" i="18"/>
  <c r="D95" i="18"/>
  <c r="D116" i="18"/>
  <c r="D127" i="18"/>
  <c r="D148" i="18"/>
  <c r="D159" i="18"/>
  <c r="D169" i="18"/>
  <c r="D180" i="18"/>
  <c r="D189" i="18"/>
  <c r="C189" i="18"/>
  <c r="D230" i="18"/>
  <c r="D218" i="18"/>
  <c r="C218" i="18"/>
  <c r="C230" i="18"/>
  <c r="D246" i="18"/>
  <c r="D278" i="18"/>
  <c r="D305" i="18"/>
  <c r="C305" i="18"/>
  <c r="D327" i="18"/>
  <c r="AD17" i="4" s="1"/>
  <c r="D315" i="18"/>
  <c r="AD5" i="4" s="1"/>
  <c r="C315" i="18"/>
  <c r="AC5" i="4" s="1"/>
  <c r="D334" i="18"/>
  <c r="AD24" i="4" s="1"/>
  <c r="C335" i="18"/>
  <c r="AC25" i="4" s="1"/>
  <c r="D351" i="18"/>
  <c r="AD41" i="4" s="1"/>
  <c r="D339" i="18"/>
  <c r="AD29" i="4" s="1"/>
  <c r="C339" i="18"/>
  <c r="AC29" i="4" s="1"/>
  <c r="C93" i="19"/>
  <c r="D105" i="19"/>
  <c r="D93" i="19"/>
  <c r="D223" i="19"/>
  <c r="C223" i="19"/>
  <c r="C241" i="19"/>
  <c r="D240" i="19"/>
  <c r="D252" i="19"/>
  <c r="C240" i="19"/>
  <c r="D193" i="18"/>
  <c r="C196" i="18"/>
  <c r="D207" i="18"/>
  <c r="C228" i="18"/>
  <c r="D239" i="18"/>
  <c r="C260" i="18"/>
  <c r="D271" i="18"/>
  <c r="D289" i="18"/>
  <c r="C292" i="18"/>
  <c r="C307" i="18"/>
  <c r="C310" i="18"/>
  <c r="C323" i="18"/>
  <c r="AC13" i="4" s="1"/>
  <c r="C326" i="18"/>
  <c r="AC16" i="4" s="1"/>
  <c r="D330" i="18"/>
  <c r="AD20" i="4" s="1"/>
  <c r="D337" i="18"/>
  <c r="AD27" i="4" s="1"/>
  <c r="C337" i="18"/>
  <c r="AC27" i="4" s="1"/>
  <c r="C348" i="18"/>
  <c r="AC38" i="4" s="1"/>
  <c r="C13" i="19"/>
  <c r="D19" i="19"/>
  <c r="D31" i="19"/>
  <c r="C45" i="19"/>
  <c r="D57" i="19"/>
  <c r="D58" i="19"/>
  <c r="D71" i="19"/>
  <c r="D90" i="19"/>
  <c r="D103" i="19"/>
  <c r="D122" i="19"/>
  <c r="D135" i="19"/>
  <c r="D319" i="19"/>
  <c r="Z9" i="4" s="1"/>
  <c r="C319" i="19"/>
  <c r="Y9" i="4" s="1"/>
  <c r="D78" i="19"/>
  <c r="C78" i="19"/>
  <c r="D91" i="19"/>
  <c r="C92" i="19"/>
  <c r="C91" i="19"/>
  <c r="C105" i="19"/>
  <c r="D104" i="19"/>
  <c r="C104" i="19"/>
  <c r="D110" i="19"/>
  <c r="C110" i="19"/>
  <c r="D123" i="19"/>
  <c r="C124" i="19"/>
  <c r="C123" i="19"/>
  <c r="C137" i="19"/>
  <c r="D136" i="19"/>
  <c r="C136" i="19"/>
  <c r="D148" i="19"/>
  <c r="D255" i="19"/>
  <c r="C255" i="19"/>
  <c r="D271" i="19"/>
  <c r="C271" i="19"/>
  <c r="D287" i="19"/>
  <c r="C287" i="19"/>
  <c r="D303" i="19"/>
  <c r="C303" i="19"/>
  <c r="D315" i="19"/>
  <c r="Z5" i="4" s="1"/>
  <c r="C315" i="19"/>
  <c r="Y5" i="4" s="1"/>
  <c r="C316" i="19"/>
  <c r="Y6" i="4" s="1"/>
  <c r="D251" i="19"/>
  <c r="C251" i="19"/>
  <c r="C257" i="19"/>
  <c r="D256" i="19"/>
  <c r="D268" i="19"/>
  <c r="C256" i="19"/>
  <c r="D267" i="19"/>
  <c r="C267" i="19"/>
  <c r="C273" i="19"/>
  <c r="D272" i="19"/>
  <c r="D284" i="19"/>
  <c r="C272" i="19"/>
  <c r="D283" i="19"/>
  <c r="C283" i="19"/>
  <c r="C289" i="19"/>
  <c r="D288" i="19"/>
  <c r="D300" i="19"/>
  <c r="C288" i="19"/>
  <c r="D299" i="19"/>
  <c r="C299" i="19"/>
  <c r="D273" i="18"/>
  <c r="C276" i="18"/>
  <c r="C332" i="18"/>
  <c r="AC22" i="4" s="1"/>
  <c r="D353" i="18"/>
  <c r="AD43" i="4" s="1"/>
  <c r="C353" i="18"/>
  <c r="AC43" i="4" s="1"/>
  <c r="C35" i="19"/>
  <c r="D34" i="19"/>
  <c r="C253" i="18"/>
  <c r="C273" i="18"/>
  <c r="D276" i="18"/>
  <c r="C282" i="18"/>
  <c r="C285" i="18"/>
  <c r="C306" i="18"/>
  <c r="C309" i="18"/>
  <c r="C312" i="18"/>
  <c r="D350" i="18"/>
  <c r="AD40" i="4" s="1"/>
  <c r="D361" i="18"/>
  <c r="AD51" i="4" s="1"/>
  <c r="C361" i="18"/>
  <c r="AC51" i="4" s="1"/>
  <c r="C17" i="19"/>
  <c r="D43" i="19"/>
  <c r="C44" i="19"/>
  <c r="C43" i="19"/>
  <c r="C57" i="19"/>
  <c r="D56" i="19"/>
  <c r="C56" i="19"/>
  <c r="D62" i="19"/>
  <c r="C62" i="19"/>
  <c r="D75" i="19"/>
  <c r="C76" i="19"/>
  <c r="C75" i="19"/>
  <c r="C89" i="19"/>
  <c r="D88" i="19"/>
  <c r="C88" i="19"/>
  <c r="D94" i="19"/>
  <c r="C94" i="19"/>
  <c r="D107" i="19"/>
  <c r="C108" i="19"/>
  <c r="C107" i="19"/>
  <c r="C121" i="19"/>
  <c r="D120" i="19"/>
  <c r="C120" i="19"/>
  <c r="D126" i="19"/>
  <c r="C126" i="19"/>
  <c r="D139" i="19"/>
  <c r="C140" i="19"/>
  <c r="C139" i="19"/>
  <c r="C252" i="19"/>
  <c r="C268" i="19"/>
  <c r="C284" i="19"/>
  <c r="C300" i="19"/>
  <c r="D311" i="19"/>
  <c r="C311" i="19"/>
  <c r="D201" i="18"/>
  <c r="C204" i="18"/>
  <c r="D233" i="18"/>
  <c r="C236" i="18"/>
  <c r="D265" i="18"/>
  <c r="C268" i="18"/>
  <c r="D282" i="18"/>
  <c r="D297" i="18"/>
  <c r="C300" i="18"/>
  <c r="C316" i="18"/>
  <c r="AC6" i="4" s="1"/>
  <c r="D329" i="18"/>
  <c r="AD19" i="4" s="1"/>
  <c r="C329" i="18"/>
  <c r="AC19" i="4" s="1"/>
  <c r="C340" i="18"/>
  <c r="AC30" i="4" s="1"/>
  <c r="C347" i="18"/>
  <c r="AC37" i="4" s="1"/>
  <c r="C350" i="18"/>
  <c r="AC40" i="4" s="1"/>
  <c r="D354" i="18"/>
  <c r="AD44" i="4" s="1"/>
  <c r="D23" i="19"/>
  <c r="C23" i="19"/>
  <c r="D167" i="19"/>
  <c r="C167" i="19"/>
  <c r="D183" i="19"/>
  <c r="C183" i="19"/>
  <c r="D199" i="19"/>
  <c r="C199" i="19"/>
  <c r="D215" i="19"/>
  <c r="C215" i="19"/>
  <c r="D231" i="19"/>
  <c r="C231" i="19"/>
  <c r="D247" i="19"/>
  <c r="C247" i="19"/>
  <c r="D263" i="19"/>
  <c r="C263" i="19"/>
  <c r="D279" i="19"/>
  <c r="C279" i="19"/>
  <c r="D295" i="19"/>
  <c r="C295" i="19"/>
  <c r="C274" i="18"/>
  <c r="C277" i="18"/>
  <c r="D288" i="18"/>
  <c r="D313" i="18"/>
  <c r="C313" i="18"/>
  <c r="D358" i="18"/>
  <c r="AD48" i="4" s="1"/>
  <c r="C41" i="19"/>
  <c r="D40" i="19"/>
  <c r="D52" i="19"/>
  <c r="C77" i="19"/>
  <c r="D89" i="19"/>
  <c r="C109" i="19"/>
  <c r="D121" i="19"/>
  <c r="D116" i="19"/>
  <c r="C141" i="19"/>
  <c r="D153" i="19"/>
  <c r="C169" i="19"/>
  <c r="D168" i="19"/>
  <c r="D180" i="19"/>
  <c r="C168" i="19"/>
  <c r="D179" i="19"/>
  <c r="C179" i="19"/>
  <c r="C185" i="19"/>
  <c r="D184" i="19"/>
  <c r="D196" i="19"/>
  <c r="C184" i="19"/>
  <c r="D195" i="19"/>
  <c r="C195" i="19"/>
  <c r="C201" i="19"/>
  <c r="D200" i="19"/>
  <c r="D212" i="19"/>
  <c r="C200" i="19"/>
  <c r="D211" i="19"/>
  <c r="C211" i="19"/>
  <c r="C217" i="19"/>
  <c r="D216" i="19"/>
  <c r="D228" i="19"/>
  <c r="C216" i="19"/>
  <c r="D227" i="19"/>
  <c r="C227" i="19"/>
  <c r="C233" i="19"/>
  <c r="D232" i="19"/>
  <c r="D244" i="19"/>
  <c r="C232" i="19"/>
  <c r="D243" i="19"/>
  <c r="C243" i="19"/>
  <c r="C249" i="19"/>
  <c r="D248" i="19"/>
  <c r="D260" i="19"/>
  <c r="C248" i="19"/>
  <c r="D259" i="19"/>
  <c r="C259" i="19"/>
  <c r="C265" i="19"/>
  <c r="D264" i="19"/>
  <c r="D276" i="19"/>
  <c r="C264" i="19"/>
  <c r="D275" i="19"/>
  <c r="C275" i="19"/>
  <c r="C281" i="19"/>
  <c r="D280" i="19"/>
  <c r="D292" i="19"/>
  <c r="C280" i="19"/>
  <c r="D291" i="19"/>
  <c r="C291" i="19"/>
  <c r="C297" i="19"/>
  <c r="D296" i="19"/>
  <c r="D308" i="19"/>
  <c r="C296" i="19"/>
  <c r="D307" i="19"/>
  <c r="C307" i="19"/>
  <c r="C308" i="19"/>
  <c r="C14" i="19"/>
  <c r="C21" i="19"/>
  <c r="C24" i="19"/>
  <c r="D27" i="19"/>
  <c r="D51" i="19"/>
  <c r="D54" i="19"/>
  <c r="C54" i="19"/>
  <c r="D60" i="19"/>
  <c r="D67" i="19"/>
  <c r="D70" i="19"/>
  <c r="C70" i="19"/>
  <c r="D76" i="19"/>
  <c r="D83" i="19"/>
  <c r="D86" i="19"/>
  <c r="C86" i="19"/>
  <c r="D92" i="19"/>
  <c r="D99" i="19"/>
  <c r="D102" i="19"/>
  <c r="C102" i="19"/>
  <c r="D108" i="19"/>
  <c r="D115" i="19"/>
  <c r="D118" i="19"/>
  <c r="C118" i="19"/>
  <c r="D124" i="19"/>
  <c r="D131" i="19"/>
  <c r="D134" i="19"/>
  <c r="C134" i="19"/>
  <c r="D140" i="19"/>
  <c r="D147" i="19"/>
  <c r="D150" i="19"/>
  <c r="C150" i="19"/>
  <c r="D156" i="19"/>
  <c r="D163" i="19"/>
  <c r="D166" i="19"/>
  <c r="D170" i="19"/>
  <c r="D174" i="19"/>
  <c r="D178" i="19"/>
  <c r="D182" i="19"/>
  <c r="D186" i="19"/>
  <c r="D190" i="19"/>
  <c r="D194" i="19"/>
  <c r="D198" i="19"/>
  <c r="D202" i="19"/>
  <c r="D206" i="19"/>
  <c r="D210" i="19"/>
  <c r="D214" i="19"/>
  <c r="D218" i="19"/>
  <c r="D222" i="19"/>
  <c r="D226" i="19"/>
  <c r="D230" i="19"/>
  <c r="D234" i="19"/>
  <c r="D238" i="19"/>
  <c r="D242" i="19"/>
  <c r="D246" i="19"/>
  <c r="D250" i="19"/>
  <c r="D254" i="19"/>
  <c r="D258" i="19"/>
  <c r="D262" i="19"/>
  <c r="D266" i="19"/>
  <c r="D270" i="19"/>
  <c r="D274" i="19"/>
  <c r="D278" i="19"/>
  <c r="D282" i="19"/>
  <c r="D286" i="19"/>
  <c r="D290" i="19"/>
  <c r="D294" i="19"/>
  <c r="D298" i="19"/>
  <c r="D302" i="19"/>
  <c r="D306" i="19"/>
  <c r="D310" i="19"/>
  <c r="D314" i="19"/>
  <c r="Z4" i="4" s="1"/>
  <c r="D318" i="19"/>
  <c r="Z8" i="4" s="1"/>
  <c r="D326" i="19"/>
  <c r="Z16" i="4" s="1"/>
  <c r="D323" i="19"/>
  <c r="Z13" i="4" s="1"/>
  <c r="C323" i="19"/>
  <c r="Y13" i="4" s="1"/>
  <c r="D327" i="19"/>
  <c r="Z17" i="4" s="1"/>
  <c r="D331" i="19"/>
  <c r="Z21" i="4" s="1"/>
  <c r="C331" i="19"/>
  <c r="Y21" i="4" s="1"/>
  <c r="D335" i="19"/>
  <c r="Z25" i="4" s="1"/>
  <c r="D339" i="19"/>
  <c r="Z29" i="4" s="1"/>
  <c r="C339" i="19"/>
  <c r="Y29" i="4" s="1"/>
  <c r="D343" i="19"/>
  <c r="Z33" i="4" s="1"/>
  <c r="D347" i="19"/>
  <c r="Z37" i="4" s="1"/>
  <c r="D351" i="19"/>
  <c r="Z41" i="4" s="1"/>
  <c r="C22" i="19"/>
  <c r="D39" i="19"/>
  <c r="C327" i="19"/>
  <c r="Y17" i="4" s="1"/>
  <c r="C335" i="19"/>
  <c r="Y25" i="4" s="1"/>
  <c r="C343" i="19"/>
  <c r="Y33" i="4" s="1"/>
  <c r="C305" i="19"/>
  <c r="D304" i="19"/>
  <c r="C313" i="19"/>
  <c r="D312" i="19"/>
  <c r="C321" i="19"/>
  <c r="Y11" i="4" s="1"/>
  <c r="D320" i="19"/>
  <c r="Z10" i="4" s="1"/>
  <c r="C324" i="19"/>
  <c r="Y14" i="4" s="1"/>
  <c r="C329" i="19"/>
  <c r="Y19" i="4" s="1"/>
  <c r="D328" i="19"/>
  <c r="Z18" i="4" s="1"/>
  <c r="C332" i="19"/>
  <c r="Y22" i="4" s="1"/>
  <c r="C337" i="19"/>
  <c r="Y27" i="4" s="1"/>
  <c r="D336" i="19"/>
  <c r="Z26" i="4" s="1"/>
  <c r="C340" i="19"/>
  <c r="Y30" i="4" s="1"/>
  <c r="D356" i="19"/>
  <c r="Z46" i="4" s="1"/>
  <c r="C345" i="19"/>
  <c r="Y35" i="4" s="1"/>
  <c r="D344" i="19"/>
  <c r="Z34" i="4" s="1"/>
  <c r="D142" i="19"/>
  <c r="C142" i="19"/>
  <c r="D158" i="19"/>
  <c r="C158" i="19"/>
  <c r="D164" i="19"/>
  <c r="C304" i="19"/>
  <c r="C312" i="19"/>
  <c r="D316" i="19"/>
  <c r="Z6" i="4" s="1"/>
  <c r="C320" i="19"/>
  <c r="Y10" i="4" s="1"/>
  <c r="D324" i="19"/>
  <c r="Z14" i="4" s="1"/>
  <c r="C328" i="19"/>
  <c r="Y18" i="4" s="1"/>
  <c r="D332" i="19"/>
  <c r="Z22" i="4" s="1"/>
  <c r="C336" i="19"/>
  <c r="Y26" i="4" s="1"/>
  <c r="D340" i="19"/>
  <c r="Z30" i="4" s="1"/>
  <c r="C344" i="19"/>
  <c r="Y34" i="4" s="1"/>
  <c r="D348" i="19"/>
  <c r="Z38" i="4" s="1"/>
  <c r="C152" i="19"/>
  <c r="C155" i="19"/>
  <c r="D35" i="19"/>
  <c r="C38" i="19"/>
  <c r="D152" i="19"/>
  <c r="C156" i="19"/>
  <c r="C352" i="19"/>
  <c r="Y42" i="4" s="1"/>
  <c r="C360" i="19"/>
  <c r="Y50" i="4" s="1"/>
  <c r="C347" i="19"/>
  <c r="Y37" i="4" s="1"/>
  <c r="D352" i="19"/>
  <c r="Z42" i="4" s="1"/>
  <c r="C355" i="19"/>
  <c r="Y45" i="4" s="1"/>
  <c r="C166" i="19"/>
  <c r="C174" i="19"/>
  <c r="C182" i="19"/>
  <c r="C190"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D355" i="19"/>
  <c r="Z45" i="4" s="1"/>
  <c r="C358" i="19"/>
  <c r="Y48" i="4" s="1"/>
  <c r="C361" i="19"/>
  <c r="Y51" i="4" s="1"/>
  <c r="C351" i="19"/>
  <c r="Y41" i="4" s="1"/>
  <c r="C354" i="19"/>
  <c r="Y44" i="4" s="1"/>
  <c r="C362" i="19"/>
  <c r="Y52" i="4" s="1"/>
  <c r="H12" i="3" l="1"/>
  <c r="H11" i="3"/>
  <c r="H10" i="3"/>
  <c r="H17" i="3"/>
  <c r="Z52" i="4"/>
  <c r="G18" i="3"/>
  <c r="Q27" i="1" s="1"/>
  <c r="G20" i="3"/>
  <c r="Q29" i="1" s="1"/>
  <c r="AD52" i="4"/>
  <c r="AB52" i="4"/>
  <c r="G19" i="3"/>
  <c r="Q28" i="1" s="1"/>
  <c r="L3" i="5"/>
  <c r="F12" i="3"/>
  <c r="P21" i="1" s="1"/>
  <c r="H52" i="4"/>
  <c r="G9" i="3"/>
  <c r="Q18" i="1" s="1"/>
  <c r="H15" i="3"/>
  <c r="G21" i="3"/>
  <c r="Q30" i="1" s="1"/>
  <c r="AF52" i="4"/>
  <c r="H18" i="3"/>
  <c r="F14" i="3"/>
  <c r="P23" i="1" s="1"/>
  <c r="H14" i="3"/>
  <c r="L2" i="5"/>
  <c r="M3" i="5"/>
  <c r="M2" i="5"/>
  <c r="H21" i="3"/>
  <c r="F52" i="4"/>
  <c r="G8" i="3"/>
  <c r="Q17" i="1" s="1"/>
  <c r="F17" i="3"/>
  <c r="P26" i="1" s="1"/>
  <c r="D22" i="3"/>
  <c r="G16" i="3"/>
  <c r="Q25" i="1" s="1"/>
  <c r="V52" i="4"/>
  <c r="T52" i="4"/>
  <c r="G15" i="3"/>
  <c r="Q24" i="1" s="1"/>
  <c r="G12" i="3"/>
  <c r="Q21" i="1" s="1"/>
  <c r="N52" i="4"/>
  <c r="H16" i="3"/>
  <c r="F11" i="3"/>
  <c r="P20" i="1" s="1"/>
  <c r="H20" i="3"/>
  <c r="H13" i="3"/>
  <c r="H19" i="3"/>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<sst xmlns="http://schemas.openxmlformats.org/spreadsheetml/2006/main" count="286" uniqueCount="124">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</sst>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9"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5" fillId="2" borderId="0" xfId="1" applyFill="1"/>
    <xf numFmtId="0" fontId="0" fillId="0" borderId="0" xfId="0"/>
    <xf numFmtId="0" fontId="0" fillId="2" borderId="0" xfId="0" applyFill="1"/>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9" fontId="0" fillId="0" borderId="0" xfId="0" applyNumberFormat="1"/>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Gas'!$A$8:$A$371</c:f>
              <c:numCache>
                <c:formatCode>[$-409]mmm\-yy;@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numCache>
            </c:numRef>
          </c:cat>
          <c:val>
            <c:numRef>
              <c:f>'Retail Sales ex Auto and Gas'!$C$8:$C$371</c:f>
              <c:numCache>
                <c:formatCode>0.00%</c:formatCode>
                <c:ptCount val="36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6211-EC43-BCB6-76CD2A811B75}"/>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Gas'!$A$8:$A$368</c:f>
              <c:numCache>
                <c:formatCode>[$-409]mmm\-yy;@</c:formatCode>
                <c:ptCount val="36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numCache>
            </c:numRef>
          </c:cat>
          <c:val>
            <c:numRef>
              <c:f>'Retail Sales ex Auto and Gas'!$C$8:$C$368</c:f>
              <c:numCache>
                <c:formatCode>0.00%</c:formatCode>
                <c:ptCount val="361"/>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176-6642-9379-A7B8F825EAFB}"/>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Gas'!$A$19:$A$368</c:f>
              <c:numCache>
                <c:formatCode>[$-409]mmm\-yy;@</c:formatCode>
                <c:ptCount val="350"/>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numCache>
            </c:numRef>
          </c:cat>
          <c:val>
            <c:numRef>
              <c:f>'Retail Sales ex Auto and Gas'!$D$19:$D$368</c:f>
              <c:numCache>
                <c:formatCode>0.00%</c:formatCode>
                <c:ptCount val="350"/>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numCache>
            </c:numRef>
          </c:val>
          <c:smooth val="0"/>
          <c:extLst>
            <c:ext xmlns:c16="http://schemas.microsoft.com/office/drawing/2014/chart" uri="{C3380CC4-5D6E-409C-BE32-E72D297353CC}">
              <c16:uniqueId val="{00000000-59AB-B646-9A8B-C41DB18CE9EC}"/>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 and Gas'!$B$7:$B$368</c:f>
              <c:numCache>
                <c:formatCode>#,##0</c:formatCode>
                <c:ptCount val="362"/>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numCache>
            </c:numRef>
          </c:val>
          <c:smooth val="0"/>
          <c:extLst>
            <c:ext xmlns:c16="http://schemas.microsoft.com/office/drawing/2014/chart" uri="{C3380CC4-5D6E-409C-BE32-E72D297353CC}">
              <c16:uniqueId val="{00000000-3482-4745-AD6B-70208FE286F4}"/>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Sales'!$A$7:$A$370</c:f>
              <c:numCache>
                <c:formatCode>[$-409]mmm\-yy;@</c:formatCode>
                <c:ptCount val="36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Sales'!$D$7:$D$370</c:f>
              <c:numCache>
                <c:formatCode>General</c:formatCode>
                <c:ptCount val="364"/>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numCache>
            </c:numRef>
          </c:val>
          <c:smooth val="0"/>
          <c:extLst>
            <c:ext xmlns:c16="http://schemas.microsoft.com/office/drawing/2014/chart" uri="{C3380CC4-5D6E-409C-BE32-E72D297353CC}">
              <c16:uniqueId val="{00000000-9624-0B47-9F71-27D1E64F1D06}"/>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12"/>
        <c:majorTimeUnit val="months"/>
      </c:dateAx>
      <c:valAx>
        <c:axId val="673095320"/>
        <c:scaling>
          <c:orientation val="minMax"/>
          <c:max val="7.0000000000000007E-2"/>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Sales'!$B$7:$B$365</c:f>
              <c:numCache>
                <c:formatCode>#,##0</c:formatCode>
                <c:ptCount val="359"/>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numCache>
            </c:numRef>
          </c:val>
          <c:smooth val="0"/>
          <c:extLst>
            <c:ext xmlns:c16="http://schemas.microsoft.com/office/drawing/2014/chart" uri="{C3380CC4-5D6E-409C-BE32-E72D297353CC}">
              <c16:uniqueId val="{00000000-4634-194E-AAA8-1A83143ABB37}"/>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10B-7047-9CF3-C9EFA77E49A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prstDash val="solid"/>
              <a:round/>
            </a:ln>
          </c:spPr>
          <c:marker>
            <c:symbol val="none"/>
          </c:marker>
          <c:cat>
            <c:numRef>
              <c:f>'Retail Sales ex Auto'!$A$7:$A$365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Auto'!$B$7:$B$365</c:f>
              <c:numCache>
                <c:formatCode>#,##0</c:formatCode>
                <c:ptCount val="35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numCache>
            </c:numRef>
          </c:val>
          <c:smooth val="0"/>
          <c:extLst>
            <c:ext xmlns:c16="http://schemas.microsoft.com/office/drawing/2014/chart" uri="{C3380CC4-5D6E-409C-BE32-E72D297353CC}">
              <c16:uniqueId val="{00000000-4424-AD40-840B-630356B2145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prstDash val="solid"/>
              <a:round/>
            </a:ln>
          </c:spPr>
          <c:marker>
            <c:symbol val="none"/>
          </c:marker>
          <c:cat>
            <c:numRef>
              <c:f>'Retail Sales ex Auto'!$A$7:$A$365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Auto'!$D$7:$D$365</c:f>
              <c:numCache>
                <c:formatCode>General</c:formatCode>
                <c:ptCount val="359"/>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numCache>
            </c:numRef>
          </c:val>
          <c:smooth val="0"/>
          <c:extLst>
            <c:ext xmlns:c16="http://schemas.microsoft.com/office/drawing/2014/chart" uri="{C3380CC4-5D6E-409C-BE32-E72D297353CC}">
              <c16:uniqueId val="{00000000-545D-F046-82DF-8AA06612E8D0}"/>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prstDash val="solid"/>
              <a:round/>
            </a:ln>
          </c:spPr>
          <c:marker>
            <c:symbol val="none"/>
          </c:marker>
          <c:cat>
            <c:numRef>
              <c:f>'Food and Beverage'!$A$19:$A$350</c:f>
              <c:numCache>
                <c:formatCode>[$-409]mmm\-yy;@</c:formatCode>
                <c:ptCount val="33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numCache>
            </c:numRef>
          </c:cat>
          <c:val>
            <c:numRef>
              <c:f>'Food and Beverage'!$D$19:$D$350</c:f>
              <c:numCache>
                <c:formatCode>0.00%</c:formatCode>
                <c:ptCount val="332"/>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numCache>
            </c:numRef>
          </c:val>
          <c:smooth val="0"/>
          <c:extLst>
            <c:ext xmlns:c16="http://schemas.microsoft.com/office/drawing/2014/chart" uri="{C3380CC4-5D6E-409C-BE32-E72D297353CC}">
              <c16:uniqueId val="{00000000-95F9-8649-8D9D-7C92D46129C7}"/>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prstDash val="solid"/>
              <a:round/>
            </a:ln>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Retail'!$B$7:$B$350</c:f>
              <c:numCache>
                <c:formatCode>#,##0</c:formatCode>
                <c:ptCount val="34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numCache>
            </c:numRef>
          </c:val>
          <c:smooth val="0"/>
          <c:extLst>
            <c:ext xmlns:c16="http://schemas.microsoft.com/office/drawing/2014/chart" uri="{C3380CC4-5D6E-409C-BE32-E72D297353CC}">
              <c16:uniqueId val="{00000000-2424-514B-A2AD-0B41FC2E862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prstDash val="solid"/>
              <a:round/>
            </a:ln>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Retail'!$D$7:$D$350</c:f>
              <c:numCache>
                <c:formatCode>General</c:formatCode>
                <c:ptCount val="344"/>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numCache>
            </c:numRef>
          </c:val>
          <c:smooth val="0"/>
          <c:extLst>
            <c:ext xmlns:c16="http://schemas.microsoft.com/office/drawing/2014/chart" uri="{C3380CC4-5D6E-409C-BE32-E72D297353CC}">
              <c16:uniqueId val="{00000000-BF06-2B47-B007-A9111EF16738}"/>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prstDash val="solid"/>
              <a:round/>
            </a:ln>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Health!$B$7:$B$350</c:f>
              <c:numCache>
                <c:formatCode>#,##0</c:formatCode>
                <c:ptCount val="344"/>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numCache>
            </c:numRef>
          </c:val>
          <c:smooth val="0"/>
          <c:extLst>
            <c:ext xmlns:c16="http://schemas.microsoft.com/office/drawing/2014/chart" uri="{C3380CC4-5D6E-409C-BE32-E72D297353CC}">
              <c16:uniqueId val="{00000000-5D0D-9044-B453-BD834497C523}"/>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prstDash val="solid"/>
              <a:round/>
            </a:ln>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Health!$D$7:$D$350</c:f>
              <c:numCache>
                <c:formatCode>General</c:formatCode>
                <c:ptCount val="344"/>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numCache>
            </c:numRef>
          </c:val>
          <c:smooth val="0"/>
          <c:extLst>
            <c:ext xmlns:c16="http://schemas.microsoft.com/office/drawing/2014/chart" uri="{C3380CC4-5D6E-409C-BE32-E72D297353CC}">
              <c16:uniqueId val="{00000000-4DC1-F54F-B30C-CCCB141F487C}"/>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Goods'!$B$7:$B$350</c:f>
              <c:numCache>
                <c:formatCode>#,##0</c:formatCode>
                <c:ptCount val="344"/>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numCache>
            </c:numRef>
          </c:val>
          <c:smooth val="0"/>
          <c:extLst>
            <c:ext xmlns:c16="http://schemas.microsoft.com/office/drawing/2014/chart" uri="{C3380CC4-5D6E-409C-BE32-E72D297353CC}">
              <c16:uniqueId val="{00000000-B62E-3643-B0EB-6B2FF7BCD014}"/>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Goods'!$D$7:$D$350</c:f>
              <c:numCache>
                <c:formatCode>General</c:formatCode>
                <c:ptCount val="344"/>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numCache>
            </c:numRef>
          </c:val>
          <c:smooth val="0"/>
          <c:extLst>
            <c:ext xmlns:c16="http://schemas.microsoft.com/office/drawing/2014/chart" uri="{C3380CC4-5D6E-409C-BE32-E72D297353CC}">
              <c16:uniqueId val="{00000000-F754-1440-8953-D6BD9F2FD52F}"/>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Merchandising'!$B$7:$B$350</c:f>
              <c:numCache>
                <c:formatCode>#,##0</c:formatCode>
                <c:ptCount val="344"/>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numCache>
            </c:numRef>
          </c:val>
          <c:smooth val="0"/>
          <c:extLst>
            <c:ext xmlns:c16="http://schemas.microsoft.com/office/drawing/2014/chart" uri="{C3380CC4-5D6E-409C-BE32-E72D297353CC}">
              <c16:uniqueId val="{00000000-9D8C-1348-AEF0-2B3800CBC77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Merchandising'!$D$7:$D$350</c:f>
              <c:numCache>
                <c:formatCode>General</c:formatCode>
                <c:ptCount val="344"/>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numCache>
            </c:numRef>
          </c:val>
          <c:smooth val="0"/>
          <c:extLst>
            <c:ext xmlns:c16="http://schemas.microsoft.com/office/drawing/2014/chart" uri="{C3380CC4-5D6E-409C-BE32-E72D297353CC}">
              <c16:uniqueId val="{00000000-BA42-674B-B36C-8D74C7C54A3E}"/>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Services'!$B$7:$B$350</c:f>
              <c:numCache>
                <c:formatCode>#,##0</c:formatCode>
                <c:ptCount val="344"/>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numCache>
            </c:numRef>
          </c:val>
          <c:smooth val="0"/>
          <c:extLst>
            <c:ext xmlns:c16="http://schemas.microsoft.com/office/drawing/2014/chart" uri="{C3380CC4-5D6E-409C-BE32-E72D297353CC}">
              <c16:uniqueId val="{00000000-19CD-A344-AF21-C677DEA0AB46}"/>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Services'!$D$7:$D$350</c:f>
              <c:numCache>
                <c:formatCode>General</c:formatCode>
                <c:ptCount val="344"/>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numCache>
            </c:numRef>
          </c:val>
          <c:smooth val="0"/>
          <c:extLst>
            <c:ext xmlns:c16="http://schemas.microsoft.com/office/drawing/2014/chart" uri="{C3380CC4-5D6E-409C-BE32-E72D297353CC}">
              <c16:uniqueId val="{00000000-A546-A649-9AC3-5F809E8044FC}"/>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'Gas Station'!$B$7:$B$350</c:f>
              <c:numCache>
                <c:formatCode>#,##0</c:formatCode>
                <c:ptCount val="344"/>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numCache>
            </c:numRef>
          </c:val>
          <c:smooth val="0"/>
          <c:extLst>
            <c:ext xmlns:c16="http://schemas.microsoft.com/office/drawing/2014/chart" uri="{C3380CC4-5D6E-409C-BE32-E72D297353CC}">
              <c16:uniqueId val="{00000000-0394-CA4E-B0B8-E69AE50A1701}"/>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'Gas Station'!$D$7:$D$360</c:f>
              <c:numCache>
                <c:formatCode>General</c:formatCode>
                <c:ptCount val="354"/>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numCache>
            </c:numRef>
          </c:val>
          <c:smooth val="0"/>
          <c:extLst>
            <c:ext xmlns:c16="http://schemas.microsoft.com/office/drawing/2014/chart" uri="{C3380CC4-5D6E-409C-BE32-E72D297353CC}">
              <c16:uniqueId val="{00000000-F1E7-844E-AD0B-B51372EFBEF3}"/>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Motor!$B$7:$B$350</c:f>
              <c:numCache>
                <c:formatCode>#,##0</c:formatCode>
                <c:ptCount val="344"/>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numCache>
            </c:numRef>
          </c:val>
          <c:smooth val="0"/>
          <c:extLst>
            <c:ext xmlns:c16="http://schemas.microsoft.com/office/drawing/2014/chart" uri="{C3380CC4-5D6E-409C-BE32-E72D297353CC}">
              <c16:uniqueId val="{00000000-0A14-8A4E-9B2A-642C32E6DF7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Motor!$D$7:$D$360</c:f>
              <c:numCache>
                <c:formatCode>General</c:formatCode>
                <c:ptCount val="354"/>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numCache>
            </c:numRef>
          </c:val>
          <c:smooth val="0"/>
          <c:extLst>
            <c:ext xmlns:c16="http://schemas.microsoft.com/office/drawing/2014/chart" uri="{C3380CC4-5D6E-409C-BE32-E72D297353CC}">
              <c16:uniqueId val="{00000000-D4BE-C84F-A34A-6E6132F02FB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Housing!$B$7:$B$365</c:f>
              <c:numCache>
                <c:formatCode>#,##0</c:formatCode>
                <c:ptCount val="359"/>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numCache>
            </c:numRef>
          </c:val>
          <c:smooth val="0"/>
          <c:extLst>
            <c:ext xmlns:c16="http://schemas.microsoft.com/office/drawing/2014/chart" uri="{C3380CC4-5D6E-409C-BE32-E72D297353CC}">
              <c16:uniqueId val="{00000000-268C-3B41-BCF7-28C31CABEC57}"/>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Housing!$D$7:$D$365</c:f>
              <c:numCache>
                <c:formatCode>General</c:formatCode>
                <c:ptCount val="35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numCache>
            </c:numRef>
          </c:val>
          <c:smooth val="0"/>
          <c:extLst>
            <c:ext xmlns:c16="http://schemas.microsoft.com/office/drawing/2014/chart" uri="{C3380CC4-5D6E-409C-BE32-E72D297353CC}">
              <c16:uniqueId val="{00000000-C923-BF4D-A0D7-63F0F29227B6}"/>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'Furniture Home'!$B$7:$B$365</c:f>
              <c:numCache>
                <c:formatCode>#,##0</c:formatCode>
                <c:ptCount val="359"/>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numCache>
            </c:numRef>
          </c:val>
          <c:smooth val="0"/>
          <c:extLst>
            <c:ext xmlns:c16="http://schemas.microsoft.com/office/drawing/2014/chart" uri="{C3380CC4-5D6E-409C-BE32-E72D297353CC}">
              <c16:uniqueId val="{00000000-0AAE-FD45-BB2B-4D4059D52FFF}"/>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'Furniture Home'!$D$7:$D$365</c:f>
              <c:numCache>
                <c:formatCode>General</c:formatCode>
                <c:ptCount val="35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numCache>
            </c:numRef>
          </c:val>
          <c:smooth val="0"/>
          <c:extLst>
            <c:ext xmlns:c16="http://schemas.microsoft.com/office/drawing/2014/chart" uri="{C3380CC4-5D6E-409C-BE32-E72D297353CC}">
              <c16:uniqueId val="{00000000-1DBA-6841-A9DB-8E3ED88F4ECD}"/>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'Miscellaneous stores retailers'!$B$7:$B$365</c:f>
              <c:numCache>
                <c:formatCode>#,##0</c:formatCode>
                <c:ptCount val="359"/>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numCache>
            </c:numRef>
          </c:val>
          <c:smooth val="0"/>
          <c:extLst>
            <c:ext xmlns:c16="http://schemas.microsoft.com/office/drawing/2014/chart" uri="{C3380CC4-5D6E-409C-BE32-E72D297353CC}">
              <c16:uniqueId val="{00000000-0D05-B449-A08A-0802A49DFE0B}"/>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'Miscellaneous stores retailers'!$D$7:$D$365</c:f>
              <c:numCache>
                <c:formatCode>General</c:formatCode>
                <c:ptCount val="359"/>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numCache>
            </c:numRef>
          </c:val>
          <c:smooth val="0"/>
          <c:extLst>
            <c:ext xmlns:c16="http://schemas.microsoft.com/office/drawing/2014/chart" uri="{C3380CC4-5D6E-409C-BE32-E72D297353CC}">
              <c16:uniqueId val="{00000000-374E-1D42-9892-2DA39C04987C}"/>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'Clothing and clothing access'!$B$7:$B$365</c:f>
              <c:numCache>
                <c:formatCode>#,##0</c:formatCode>
                <c:ptCount val="359"/>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numCache>
            </c:numRef>
          </c:val>
          <c:smooth val="0"/>
          <c:extLst>
            <c:ext xmlns:c16="http://schemas.microsoft.com/office/drawing/2014/chart" uri="{C3380CC4-5D6E-409C-BE32-E72D297353CC}">
              <c16:uniqueId val="{00000000-B8B6-654B-8384-C4CB6A3E2E4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'Clothing and clothing access'!$D$7:$D$365</c:f>
              <c:numCache>
                <c:formatCode>General</c:formatCode>
                <c:ptCount val="359"/>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numCache>
            </c:numRef>
          </c:val>
          <c:smooth val="0"/>
          <c:extLst>
            <c:ext xmlns:c16="http://schemas.microsoft.com/office/drawing/2014/chart" uri="{C3380CC4-5D6E-409C-BE32-E72D297353CC}">
              <c16:uniqueId val="{00000000-EEE7-F54E-8177-9BB480057179}"/>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38100</xdr:colOff>
      <xdr:row>297</xdr:row>
      <xdr:rowOff>180975</xdr:rowOff>
    </xdr:from>
    <xdr:to>
      <xdr:col>12</xdr:col>
      <xdr:colOff>295276</xdr:colOff>
      <xdr:row>314</xdr:row>
      <xdr:rowOff>161925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xdr:colOff>
      <xdr:row>314</xdr:row>
      <xdr:rowOff>180975</xdr:rowOff>
    </xdr:from>
    <xdr:to>
      <xdr:col>12</xdr:col>
      <xdr:colOff>304800</xdr:colOff>
      <xdr:row>331</xdr:row>
      <xdr:rowOff>76200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371475</xdr:colOff>
      <xdr:row>305</xdr:row>
      <xdr:rowOff>76200</xdr:rowOff>
    </xdr:from>
    <xdr:to>
      <xdr:col>20</xdr:col>
      <xdr:colOff>66675</xdr:colOff>
      <xdr:row>319</xdr:row>
      <xdr:rowOff>152400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314326</xdr:colOff>
      <xdr:row>322</xdr:row>
      <xdr:rowOff>57150</xdr:rowOff>
    </xdr:from>
    <xdr:to>
      <xdr:col>12</xdr:col>
      <xdr:colOff>409575</xdr:colOff>
      <xdr:row>340</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266700</xdr:colOff>
      <xdr:row>303</xdr:row>
      <xdr:rowOff>180975</xdr:rowOff>
    </xdr:from>
    <xdr:to>
      <xdr:col>12</xdr:col>
      <xdr:colOff>571500</xdr:colOff>
      <xdr:row>318</xdr:row>
      <xdr:rowOff>66675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547687</xdr:colOff>
      <xdr:row>296</xdr:row>
      <xdr:rowOff>133349</xdr:rowOff>
    </xdr:from>
    <xdr:to>
      <xdr:col>12</xdr:col>
      <xdr:colOff>542925</xdr:colOff>
      <xdr:row>312</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628650</xdr:colOff>
      <xdr:row>313</xdr:row>
      <xdr:rowOff>47625</xdr:rowOff>
    </xdr:from>
    <xdr:to>
      <xdr:col>11</xdr:col>
      <xdr:colOff>600075</xdr:colOff>
      <xdr:row>327</xdr:row>
      <xdr:rowOff>123825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676275</xdr:colOff>
      <xdr:row>328</xdr:row>
      <xdr:rowOff>19050</xdr:rowOff>
    </xdr:from>
    <xdr:to>
      <xdr:col>12</xdr:col>
      <xdr:colOff>38100</xdr:colOff>
      <xdr:row>342</xdr:row>
      <xdr:rowOff>95250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324</xdr:row>
      <xdr:rowOff>0</xdr:rowOff>
    </xdr:from>
    <xdr:to>
      <xdr:col>13</xdr:col>
      <xdr:colOff>152400</xdr:colOff>
      <xdr:row>341</xdr:row>
      <xdr:rowOff>90487</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257174</xdr:colOff>
      <xdr:row>305</xdr:row>
      <xdr:rowOff>114300</xdr:rowOff>
    </xdr:from>
    <xdr:to>
      <xdr:col>13</xdr:col>
      <xdr:colOff>95249</xdr:colOff>
      <xdr:row>322</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322</xdr:row>
      <xdr:rowOff>171450</xdr:rowOff>
    </xdr:from>
    <xdr:to>
      <xdr:col>13</xdr:col>
      <xdr:colOff>76199</xdr:colOff>
      <xdr:row>337</xdr:row>
      <xdr:rowOff>57150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128587</xdr:colOff>
      <xdr:row>314</xdr:row>
      <xdr:rowOff>142875</xdr:rowOff>
    </xdr:from>
    <xdr:to>
      <xdr:col>12</xdr:col>
      <xdr:colOff>433387</xdr:colOff>
      <xdr:row>329</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133350</xdr:colOff>
      <xdr:row>329</xdr:row>
      <xdr:rowOff>76200</xdr:rowOff>
    </xdr:from>
    <xdr:to>
      <xdr:col>12</xdr:col>
      <xdr:colOff>438150</xdr:colOff>
      <xdr:row>343</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310</xdr:row>
      <xdr:rowOff>66675</xdr:rowOff>
    </xdr:from>
    <xdr:to>
      <xdr:col>13</xdr:col>
      <xdr:colOff>304800</xdr:colOff>
      <xdr:row>326</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326</xdr:row>
      <xdr:rowOff>114300</xdr:rowOff>
    </xdr:from>
    <xdr:to>
      <xdr:col>13</xdr:col>
      <xdr:colOff>285750</xdr:colOff>
      <xdr:row>341</xdr:row>
      <xdr:rowOff>38100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307</xdr:row>
      <xdr:rowOff>0</xdr:rowOff>
    </xdr:from>
    <xdr:to>
      <xdr:col>12</xdr:col>
      <xdr:colOff>304800</xdr:colOff>
      <xdr:row>321</xdr:row>
      <xdr:rowOff>76200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322</xdr:row>
      <xdr:rowOff>0</xdr:rowOff>
    </xdr:from>
    <xdr:to>
      <xdr:col>12</xdr:col>
      <xdr:colOff>304800</xdr:colOff>
      <xdr:row>336</xdr:row>
      <xdr:rowOff>76200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311</xdr:row>
      <xdr:rowOff>0</xdr:rowOff>
    </xdr:from>
    <xdr:to>
      <xdr:col>12</xdr:col>
      <xdr:colOff>304800</xdr:colOff>
      <xdr:row>325</xdr:row>
      <xdr:rowOff>76200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325</xdr:row>
      <xdr:rowOff>104775</xdr:rowOff>
    </xdr:from>
    <xdr:to>
      <xdr:col>12</xdr:col>
      <xdr:colOff>304800</xdr:colOff>
      <xdr:row>339</xdr:row>
      <xdr:rowOff>180975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219075</xdr:colOff>
      <xdr:row>307</xdr:row>
      <xdr:rowOff>123825</xdr:rowOff>
    </xdr:from>
    <xdr:to>
      <xdr:col>12</xdr:col>
      <xdr:colOff>523875</xdr:colOff>
      <xdr:row>322</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228600</xdr:colOff>
      <xdr:row>322</xdr:row>
      <xdr:rowOff>95250</xdr:rowOff>
    </xdr:from>
    <xdr:to>
      <xdr:col>12</xdr:col>
      <xdr:colOff>533400</xdr:colOff>
      <xdr:row>336</xdr:row>
      <xdr:rowOff>171450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161925</xdr:colOff>
      <xdr:row>305</xdr:row>
      <xdr:rowOff>180975</xdr:rowOff>
    </xdr:from>
    <xdr:to>
      <xdr:col>12</xdr:col>
      <xdr:colOff>466725</xdr:colOff>
      <xdr:row>320</xdr:row>
      <xdr:rowOff>66675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320</xdr:row>
      <xdr:rowOff>161925</xdr:rowOff>
    </xdr:from>
    <xdr:to>
      <xdr:col>12</xdr:col>
      <xdr:colOff>457200</xdr:colOff>
      <xdr:row>335</xdr:row>
      <xdr:rowOff>47625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312</xdr:row>
      <xdr:rowOff>0</xdr:rowOff>
    </xdr:from>
    <xdr:to>
      <xdr:col>13</xdr:col>
      <xdr:colOff>304800</xdr:colOff>
      <xdr:row>326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327</xdr:row>
      <xdr:rowOff>0</xdr:rowOff>
    </xdr:from>
    <xdr:to>
      <xdr:col>13</xdr:col>
      <xdr:colOff>304800</xdr:colOff>
      <xdr:row>341</xdr:row>
      <xdr:rowOff>76200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461962</xdr:colOff>
      <xdr:row>304</xdr:row>
      <xdr:rowOff>123825</xdr:rowOff>
    </xdr:from>
    <xdr:to>
      <xdr:col>12</xdr:col>
      <xdr:colOff>157162</xdr:colOff>
      <xdr:row>319</xdr:row>
      <xdr:rowOff>9525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447675</xdr:colOff>
      <xdr:row>320</xdr:row>
      <xdr:rowOff>133350</xdr:rowOff>
    </xdr:from>
    <xdr:to>
      <xdr:col>12</xdr:col>
      <xdr:colOff>142875</xdr:colOff>
      <xdr:row>335</xdr:row>
      <xdr:rowOff>19050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533400</xdr:colOff>
      <xdr:row>307</xdr:row>
      <xdr:rowOff>133350</xdr:rowOff>
    </xdr:from>
    <xdr:to>
      <xdr:col>12</xdr:col>
      <xdr:colOff>228600</xdr:colOff>
      <xdr:row>322</xdr:row>
      <xdr:rowOff>19050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552450</xdr:colOff>
      <xdr:row>322</xdr:row>
      <xdr:rowOff>142875</xdr:rowOff>
    </xdr:from>
    <xdr:to>
      <xdr:col>12</xdr:col>
      <xdr:colOff>247650</xdr:colOff>
      <xdr:row>337</xdr:row>
      <xdr:rowOff>28575</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557212</xdr:colOff>
      <xdr:row>307</xdr:row>
      <xdr:rowOff>142875</xdr:rowOff>
    </xdr:from>
    <xdr:to>
      <xdr:col>12</xdr:col>
      <xdr:colOff>252412</xdr:colOff>
      <xdr:row>322</xdr:row>
      <xdr:rowOff>28575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323</xdr:row>
      <xdr:rowOff>0</xdr:rowOff>
    </xdr:from>
    <xdr:to>
      <xdr:col>12</xdr:col>
      <xdr:colOff>304800</xdr:colOff>
      <xdr:row>337</xdr:row>
      <xdr:rowOff>76200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5" totalsRowShown="0" headerRowDxfId="64" dataDxfId="62" headerRowBorderDxfId="63" tableBorderDxfId="61">
  <autoFilter ref="A6:D365"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65" totalsRowShown="0" headerRowDxfId="56" dataDxfId="54" headerRowBorderDxfId="55" tableBorderDxfId="53">
  <autoFilter ref="A6:D365"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65" totalsRowShown="0" headerRowDxfId="48" dataDxfId="46" headerRowBorderDxfId="47" tableBorderDxfId="45">
  <autoFilter ref="A6:D365"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5" totalsRowShown="0" headerRowDxfId="40" headerRowBorderDxfId="39" tableBorderDxfId="38">
  <autoFilter ref="A6:D365"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5" totalsRowShown="0" headerRowDxfId="33" tableBorderDxfId="32">
  <autoFilter ref="A6:D365"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5" totalsRowShown="0" headerRowDxfId="27" headerRowBorderDxfId="26" tableBorderDxfId="25">
  <autoFilter ref="A6:D365"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5" totalsRowShown="0" headerRowDxfId="20" headerRowBorderDxfId="19" tableBorderDxfId="18">
  <autoFilter ref="A6:D365"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140" zoomScaleNormal="140" workbookViewId="0">
      <selection activeCell="R38" sqref="R38"/>
    </sheetView>
  </sheetViews>
  <sheetFormatPr baseColWidth="10" defaultColWidth="9.1640625" defaultRowHeight="15" x14ac:dyDescent="0.2"/>
  <cols>
    <col min="1" max="1" width="9.1640625" style="97" customWidth="1"/>
    <col min="2" max="10" width="12.83203125" style="97" customWidth="1"/>
    <col min="11" max="13" width="3.33203125" style="97" customWidth="1"/>
    <col min="14" max="14" width="18.6640625" style="97" customWidth="1"/>
    <col min="15" max="15" width="30.33203125" style="97" customWidth="1"/>
    <col min="16" max="19" width="12.33203125" style="97" customWidth="1"/>
    <col min="20" max="20" width="9.1640625" style="97" customWidth="1"/>
    <col min="21" max="16384" width="9.1640625" style="97"/>
  </cols>
  <sheetData>
    <row r="1" spans="2:19" x14ac:dyDescent="0.2">
      <c r="B1" s="123"/>
      <c r="C1" s="114"/>
      <c r="D1" s="114"/>
      <c r="E1" s="114"/>
      <c r="F1" s="114"/>
      <c r="G1" s="114"/>
      <c r="H1" s="114"/>
      <c r="I1" s="114"/>
      <c r="J1" s="114"/>
    </row>
    <row r="2" spans="2:19" ht="16" customHeight="1" thickBot="1" x14ac:dyDescent="0.25">
      <c r="B2" s="124"/>
      <c r="C2" s="124"/>
      <c r="D2" s="124"/>
      <c r="E2" s="124"/>
      <c r="F2" s="124"/>
      <c r="G2" s="124"/>
      <c r="H2" s="124"/>
      <c r="I2" s="124"/>
      <c r="J2" s="124"/>
    </row>
    <row r="3" spans="2:19" ht="16" customHeight="1" thickBot="1" x14ac:dyDescent="0.25">
      <c r="B3" s="125" t="s">
        <v>0</v>
      </c>
      <c r="C3" s="126"/>
      <c r="D3" s="126"/>
      <c r="E3" s="126"/>
      <c r="F3" s="126"/>
      <c r="G3" s="126"/>
      <c r="H3" s="126"/>
      <c r="I3" s="126"/>
      <c r="J3" s="127"/>
    </row>
    <row r="5" spans="2:19" x14ac:dyDescent="0.2">
      <c r="B5" s="117" t="s">
        <v>1</v>
      </c>
      <c r="C5" s="118"/>
      <c r="D5" s="118"/>
      <c r="E5" s="118"/>
      <c r="F5" s="118"/>
      <c r="G5" s="118"/>
      <c r="H5" s="118"/>
      <c r="I5" s="118"/>
      <c r="J5" s="119"/>
    </row>
    <row r="7" spans="2:19" ht="147.75" customHeight="1" x14ac:dyDescent="0.2">
      <c r="B7" s="128" t="s">
        <v>2</v>
      </c>
      <c r="C7" s="114"/>
      <c r="D7" s="114"/>
      <c r="E7" s="114"/>
      <c r="F7" s="114"/>
      <c r="G7" s="114"/>
      <c r="H7" s="114"/>
      <c r="I7" s="114"/>
      <c r="J7" s="114"/>
    </row>
    <row r="8" spans="2:19" ht="33.75" customHeight="1" x14ac:dyDescent="0.2">
      <c r="B8" s="129" t="s">
        <v>3</v>
      </c>
      <c r="C8" s="114"/>
      <c r="D8" s="114"/>
      <c r="E8" s="114"/>
      <c r="F8" s="114"/>
      <c r="G8" s="114"/>
      <c r="H8" s="114"/>
      <c r="I8" s="114"/>
      <c r="J8" s="114"/>
    </row>
    <row r="9" spans="2:19" x14ac:dyDescent="0.2">
      <c r="B9" s="65"/>
      <c r="C9" s="65"/>
      <c r="D9" s="65"/>
      <c r="E9" s="65"/>
    </row>
    <row r="10" spans="2:19" x14ac:dyDescent="0.2">
      <c r="B10" s="117" t="s">
        <v>4</v>
      </c>
      <c r="C10" s="118"/>
      <c r="D10" s="118"/>
      <c r="E10" s="118"/>
      <c r="F10" s="118"/>
      <c r="G10" s="118"/>
      <c r="H10" s="118"/>
      <c r="I10" s="118"/>
      <c r="J10" s="119"/>
      <c r="N10" s="117" t="s">
        <v>5</v>
      </c>
      <c r="O10" s="118"/>
      <c r="P10" s="118"/>
      <c r="Q10" s="119"/>
    </row>
    <row r="12" spans="2:19" x14ac:dyDescent="0.2">
      <c r="B12" s="117" t="s">
        <v>6</v>
      </c>
      <c r="C12" s="118"/>
      <c r="D12" s="118"/>
      <c r="E12" s="118"/>
      <c r="F12" s="119"/>
      <c r="G12" s="117" t="s">
        <v>7</v>
      </c>
      <c r="H12" s="118"/>
      <c r="I12" s="118"/>
      <c r="J12" s="119"/>
      <c r="N12" s="8" t="s">
        <v>8</v>
      </c>
    </row>
    <row r="13" spans="2:19" ht="16" customHeight="1" thickBot="1" x14ac:dyDescent="0.25"/>
    <row r="14" spans="2:19" x14ac:dyDescent="0.2">
      <c r="B14" s="97" t="s">
        <v>9</v>
      </c>
      <c r="G14" s="114"/>
      <c r="H14" s="114"/>
      <c r="I14" s="114"/>
      <c r="J14" s="114"/>
      <c r="P14" s="68">
        <v>44501</v>
      </c>
      <c r="Q14" s="69"/>
    </row>
    <row r="15" spans="2:19" ht="16" customHeight="1" thickBot="1" x14ac:dyDescent="0.25">
      <c r="B15" s="97" t="s">
        <v>10</v>
      </c>
      <c r="G15" s="114"/>
      <c r="H15" s="114"/>
      <c r="I15" s="114"/>
      <c r="J15" s="114"/>
      <c r="N15" s="95" t="s">
        <v>11</v>
      </c>
      <c r="P15" s="70" t="s">
        <v>12</v>
      </c>
      <c r="Q15" s="70" t="s">
        <v>13</v>
      </c>
    </row>
    <row r="16" spans="2:19" ht="15.75" customHeight="1" x14ac:dyDescent="0.2">
      <c r="B16" s="97" t="s">
        <v>14</v>
      </c>
      <c r="G16" s="116"/>
      <c r="H16" s="114"/>
      <c r="I16" s="114"/>
      <c r="J16" s="114"/>
      <c r="N16" s="120" t="s">
        <v>0</v>
      </c>
      <c r="O16" s="121"/>
      <c r="P16" s="98">
        <f>Recap!F7</f>
        <v>2.5682006925837131E-3</v>
      </c>
      <c r="Q16" s="99">
        <f>Recap!G7</f>
        <v>0.18213865388630329</v>
      </c>
      <c r="S16" s="71"/>
    </row>
    <row r="17" spans="2:19" ht="15.75" customHeight="1" x14ac:dyDescent="0.2">
      <c r="G17" s="116"/>
      <c r="H17" s="114"/>
      <c r="I17" s="114"/>
      <c r="J17" s="114"/>
      <c r="N17" s="122" t="s">
        <v>15</v>
      </c>
      <c r="O17" s="119"/>
      <c r="P17" s="100">
        <f>Recap!F8</f>
        <v>3.3657924467082861E-3</v>
      </c>
      <c r="Q17" s="101">
        <f>Recap!G8</f>
        <v>0.19459182723633994</v>
      </c>
      <c r="S17" s="71"/>
    </row>
    <row r="18" spans="2:19" ht="15.75" customHeight="1" x14ac:dyDescent="0.2">
      <c r="B18" s="97" t="s">
        <v>16</v>
      </c>
      <c r="G18" s="102" t="s">
        <v>0</v>
      </c>
      <c r="H18" s="67"/>
      <c r="I18" s="67"/>
      <c r="J18" s="67"/>
      <c r="N18" s="122" t="s">
        <v>17</v>
      </c>
      <c r="O18" s="119"/>
      <c r="P18" s="100">
        <f>Recap!F9</f>
        <v>1.8136447266640736E-3</v>
      </c>
      <c r="Q18" s="101">
        <f>Recap!G9</f>
        <v>0.16450641978130834</v>
      </c>
      <c r="S18" s="71"/>
    </row>
    <row r="19" spans="2:19" ht="15.75" customHeight="1" x14ac:dyDescent="0.2">
      <c r="B19" s="97" t="s">
        <v>18</v>
      </c>
      <c r="G19" s="102" t="s">
        <v>15</v>
      </c>
      <c r="H19" s="67"/>
      <c r="I19" s="67"/>
      <c r="J19" s="67"/>
      <c r="N19" s="122" t="s">
        <v>19</v>
      </c>
      <c r="O19" s="119"/>
      <c r="P19" s="100">
        <f>Recap!F10</f>
        <v>-6.5575324716366965E-4</v>
      </c>
      <c r="Q19" s="101">
        <f>Recap!G10</f>
        <v>0.13415585463609708</v>
      </c>
      <c r="S19" s="71"/>
    </row>
    <row r="20" spans="2:19" ht="15.75" customHeight="1" x14ac:dyDescent="0.2">
      <c r="B20" s="97" t="s">
        <v>20</v>
      </c>
      <c r="G20" s="102" t="s">
        <v>17</v>
      </c>
      <c r="H20" s="67"/>
      <c r="I20" s="67"/>
      <c r="J20" s="67"/>
      <c r="N20" s="122" t="s">
        <v>21</v>
      </c>
      <c r="O20" s="119"/>
      <c r="P20" s="100">
        <f>Recap!F11</f>
        <v>1.736525646313139E-4</v>
      </c>
      <c r="Q20" s="101">
        <f>Recap!G11</f>
        <v>0.12094488572088893</v>
      </c>
    </row>
    <row r="21" spans="2:19" ht="15.75" customHeight="1" x14ac:dyDescent="0.2">
      <c r="B21" s="97" t="s">
        <v>22</v>
      </c>
      <c r="G21" s="102" t="s">
        <v>23</v>
      </c>
      <c r="H21" s="67"/>
      <c r="I21" s="67"/>
      <c r="J21" s="67"/>
      <c r="N21" s="122" t="s">
        <v>24</v>
      </c>
      <c r="O21" s="119"/>
      <c r="P21" s="100">
        <f>Recap!F12</f>
        <v>1.2721824710045722E-2</v>
      </c>
      <c r="Q21" s="101">
        <f>Recap!G12</f>
        <v>8.581438502229484E-2</v>
      </c>
    </row>
    <row r="22" spans="2:19" ht="15.75" customHeight="1" x14ac:dyDescent="0.2">
      <c r="B22" s="97" t="s">
        <v>25</v>
      </c>
      <c r="G22" s="102" t="s">
        <v>26</v>
      </c>
      <c r="H22" s="67"/>
      <c r="I22" s="67"/>
      <c r="J22" s="67"/>
      <c r="N22" s="122" t="s">
        <v>27</v>
      </c>
      <c r="O22" s="119"/>
      <c r="P22" s="100">
        <f>Recap!F13</f>
        <v>1.0152075626798191E-2</v>
      </c>
      <c r="Q22" s="101">
        <f>Recap!G13</f>
        <v>0.37437321751449287</v>
      </c>
    </row>
    <row r="23" spans="2:19" ht="15.75" customHeight="1" x14ac:dyDescent="0.2">
      <c r="B23" s="97" t="s">
        <v>28</v>
      </c>
      <c r="G23" s="102" t="s">
        <v>29</v>
      </c>
      <c r="H23" s="67"/>
      <c r="I23" s="67"/>
      <c r="J23" s="67"/>
      <c r="N23" s="122" t="s">
        <v>30</v>
      </c>
      <c r="O23" s="119"/>
      <c r="P23" s="100">
        <f>Recap!F14</f>
        <v>-1.1915084048891002E-2</v>
      </c>
      <c r="Q23" s="101">
        <f>Recap!G14</f>
        <v>0.14208586577007629</v>
      </c>
    </row>
    <row r="24" spans="2:19" ht="15.75" customHeight="1" x14ac:dyDescent="0.2">
      <c r="B24" s="97" t="s">
        <v>31</v>
      </c>
      <c r="G24" s="102" t="s">
        <v>32</v>
      </c>
      <c r="H24" s="67"/>
      <c r="I24" s="67"/>
      <c r="J24" s="67"/>
      <c r="N24" s="122" t="s">
        <v>33</v>
      </c>
      <c r="O24" s="119"/>
      <c r="P24" s="100">
        <f>Recap!F15</f>
        <v>1.6525863346672595E-2</v>
      </c>
      <c r="Q24" s="101">
        <f>Recap!G15</f>
        <v>0.52347632930723309</v>
      </c>
    </row>
    <row r="25" spans="2:19" ht="15.75" customHeight="1" x14ac:dyDescent="0.2">
      <c r="B25" s="97" t="s">
        <v>34</v>
      </c>
      <c r="G25" s="102" t="s">
        <v>35</v>
      </c>
      <c r="H25" s="67"/>
      <c r="I25" s="67"/>
      <c r="J25" s="67"/>
      <c r="N25" s="122" t="s">
        <v>36</v>
      </c>
      <c r="O25" s="119"/>
      <c r="P25" s="100">
        <f>Recap!F16</f>
        <v>7.4480498522803444E-3</v>
      </c>
      <c r="Q25" s="101">
        <f>Recap!G16</f>
        <v>9.3154818027531588E-2</v>
      </c>
    </row>
    <row r="26" spans="2:19" ht="15.75" customHeight="1" x14ac:dyDescent="0.2">
      <c r="B26" s="97" t="s">
        <v>37</v>
      </c>
      <c r="G26" s="103" t="s">
        <v>38</v>
      </c>
      <c r="H26" s="67"/>
      <c r="I26" s="67"/>
      <c r="J26" s="67"/>
      <c r="N26" s="122" t="s">
        <v>29</v>
      </c>
      <c r="O26" s="119"/>
      <c r="P26" s="100">
        <f>Recap!F17</f>
        <v>-6.2470569769266992E-3</v>
      </c>
      <c r="Q26" s="101">
        <f>Recap!G17</f>
        <v>7.2357723577235772E-2</v>
      </c>
    </row>
    <row r="27" spans="2:19" ht="15.75" customHeight="1" x14ac:dyDescent="0.2">
      <c r="B27" s="97" t="s">
        <v>39</v>
      </c>
      <c r="G27" s="102" t="s">
        <v>40</v>
      </c>
      <c r="H27" s="67"/>
      <c r="I27" s="67"/>
      <c r="J27" s="67"/>
      <c r="N27" s="122" t="s">
        <v>41</v>
      </c>
      <c r="O27" s="119"/>
      <c r="P27" s="100">
        <f>Recap!F18</f>
        <v>5.3891988310751831E-3</v>
      </c>
      <c r="Q27" s="101">
        <f>Recap!G18</f>
        <v>0.34766241033728446</v>
      </c>
    </row>
    <row r="28" spans="2:19" ht="15.75" customHeight="1" x14ac:dyDescent="0.2">
      <c r="B28" s="97" t="s">
        <v>42</v>
      </c>
      <c r="G28" s="102" t="s">
        <v>19</v>
      </c>
      <c r="H28" s="67"/>
      <c r="I28" s="67"/>
      <c r="J28" s="67"/>
      <c r="N28" s="122" t="s">
        <v>43</v>
      </c>
      <c r="O28" s="119"/>
      <c r="P28" s="100">
        <f>Recap!F19</f>
        <v>-1.8387824667530847E-2</v>
      </c>
      <c r="Q28" s="101">
        <f>Recap!G19</f>
        <v>0.16461608566871724</v>
      </c>
    </row>
    <row r="29" spans="2:19" ht="15.75" customHeight="1" x14ac:dyDescent="0.2">
      <c r="B29" s="97" t="s">
        <v>44</v>
      </c>
      <c r="G29" s="102" t="s">
        <v>36</v>
      </c>
      <c r="H29" s="67"/>
      <c r="I29" s="67"/>
      <c r="J29" s="67"/>
      <c r="N29" s="122" t="s">
        <v>45</v>
      </c>
      <c r="O29" s="119"/>
      <c r="P29" s="100">
        <f>Recap!F20</f>
        <v>-2.8803000870788399E-3</v>
      </c>
      <c r="Q29" s="101">
        <f>Recap!G20</f>
        <v>0.23761223811107415</v>
      </c>
    </row>
    <row r="30" spans="2:19" ht="15.75" customHeight="1" thickBot="1" x14ac:dyDescent="0.25">
      <c r="B30" s="97" t="s">
        <v>46</v>
      </c>
      <c r="G30" s="102" t="s">
        <v>43</v>
      </c>
      <c r="H30" s="67"/>
      <c r="I30" s="67"/>
      <c r="J30" s="67"/>
      <c r="N30" s="130" t="s">
        <v>32</v>
      </c>
      <c r="O30" s="131"/>
      <c r="P30" s="104">
        <f>Recap!F21</f>
        <v>1.3167755058344931E-2</v>
      </c>
      <c r="Q30" s="105">
        <f>Recap!G21</f>
        <v>0.199949283631292</v>
      </c>
    </row>
    <row r="31" spans="2:19" ht="15.75" customHeight="1" x14ac:dyDescent="0.2">
      <c r="B31" s="97" t="s">
        <v>47</v>
      </c>
      <c r="G31" s="102" t="s">
        <v>41</v>
      </c>
      <c r="H31" s="67"/>
      <c r="I31" s="67"/>
      <c r="J31" s="67"/>
    </row>
    <row r="32" spans="2:19" ht="15.75" customHeight="1" x14ac:dyDescent="0.2">
      <c r="B32" s="97" t="s">
        <v>48</v>
      </c>
      <c r="G32" s="102" t="s">
        <v>45</v>
      </c>
      <c r="H32" s="67"/>
      <c r="I32" s="67"/>
      <c r="J32" s="67"/>
    </row>
    <row r="33" spans="2:14" ht="14.25" customHeight="1" thickBot="1" x14ac:dyDescent="0.25">
      <c r="B33" s="115"/>
      <c r="C33" s="114"/>
      <c r="D33" s="114"/>
      <c r="E33" s="114"/>
      <c r="F33" s="114"/>
      <c r="G33" s="116"/>
      <c r="H33" s="114"/>
      <c r="I33" s="114"/>
      <c r="J33" s="114"/>
    </row>
    <row r="34" spans="2:14" ht="16" customHeight="1" thickBot="1" x14ac:dyDescent="0.25">
      <c r="B34" s="27"/>
      <c r="N34" s="69">
        <f>DATE(YEAR($P$14),MONTH($P$14)-1,DAY($P$14))</f>
        <v>44470</v>
      </c>
    </row>
    <row r="35" spans="2:14" ht="33.75" customHeight="1" thickBot="1" x14ac:dyDescent="0.25">
      <c r="B35" s="113"/>
      <c r="C35" s="114"/>
      <c r="D35" s="114"/>
      <c r="E35" s="114"/>
      <c r="F35" s="114"/>
      <c r="G35" s="114"/>
      <c r="H35" s="114"/>
      <c r="I35" s="114"/>
      <c r="J35" s="114"/>
      <c r="N35" s="72">
        <f>DATE(YEAR($P$14)-1,MONTH($P$14),DAY($P$14))</f>
        <v>44136</v>
      </c>
    </row>
    <row r="36" spans="2:14" x14ac:dyDescent="0.2">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0"/>
  <sheetViews>
    <sheetView topLeftCell="A323" zoomScale="150" zoomScaleNormal="150" workbookViewId="0">
      <selection activeCell="V55" sqref="V55"/>
    </sheetView>
  </sheetViews>
  <sheetFormatPr baseColWidth="10" defaultColWidth="8.83203125" defaultRowHeight="15" x14ac:dyDescent="0.2"/>
  <cols>
    <col min="1" max="1" width="12.6640625" style="96" customWidth="1"/>
    <col min="2" max="2" width="15.6640625" style="96" customWidth="1"/>
    <col min="3" max="3" width="9.6640625" style="96" customWidth="1"/>
    <col min="4" max="6" width="8.6640625" style="96" customWidth="1"/>
    <col min="7" max="7" width="7.6640625" style="96" customWidth="1"/>
    <col min="8" max="9" width="8.6640625" style="96" customWidth="1"/>
    <col min="10" max="10" width="9.6640625" style="96" customWidth="1"/>
    <col min="11" max="14" width="8.6640625" style="96" customWidth="1"/>
    <col min="15" max="15" width="9.6640625" style="96" customWidth="1"/>
    <col min="16" max="17" width="8.6640625" style="96" customWidth="1"/>
    <col min="18" max="256" width="9.1640625" style="96" customWidth="1"/>
    <col min="257" max="257" width="12.6640625" style="96" customWidth="1"/>
    <col min="258" max="258" width="15.6640625" style="96" customWidth="1"/>
    <col min="259" max="259" width="9.6640625" style="96" customWidth="1"/>
    <col min="260" max="262" width="8.6640625" style="96" customWidth="1"/>
    <col min="263" max="263" width="7.6640625" style="96" customWidth="1"/>
    <col min="264" max="265" width="8.6640625" style="96" customWidth="1"/>
    <col min="266" max="266" width="9.6640625" style="96" customWidth="1"/>
    <col min="267" max="270" width="8.6640625" style="96" customWidth="1"/>
    <col min="271" max="271" width="9.6640625" style="96" customWidth="1"/>
    <col min="272" max="273" width="8.6640625" style="96" customWidth="1"/>
    <col min="274" max="512" width="9.1640625" style="96" customWidth="1"/>
    <col min="513" max="513" width="12.6640625" style="96" customWidth="1"/>
    <col min="514" max="514" width="15.6640625" style="96" customWidth="1"/>
    <col min="515" max="515" width="9.6640625" style="96" customWidth="1"/>
    <col min="516" max="518" width="8.6640625" style="96" customWidth="1"/>
    <col min="519" max="519" width="7.6640625" style="96" customWidth="1"/>
    <col min="520" max="521" width="8.6640625" style="96" customWidth="1"/>
    <col min="522" max="522" width="9.6640625" style="96" customWidth="1"/>
    <col min="523" max="526" width="8.6640625" style="96" customWidth="1"/>
    <col min="527" max="527" width="9.6640625" style="96" customWidth="1"/>
    <col min="528" max="529" width="8.6640625" style="96" customWidth="1"/>
    <col min="530" max="768" width="9.1640625" style="96" customWidth="1"/>
    <col min="769" max="769" width="12.6640625" style="96" customWidth="1"/>
    <col min="770" max="770" width="15.6640625" style="96" customWidth="1"/>
    <col min="771" max="771" width="9.6640625" style="96" customWidth="1"/>
    <col min="772" max="774" width="8.6640625" style="96" customWidth="1"/>
    <col min="775" max="775" width="7.6640625" style="96" customWidth="1"/>
    <col min="776" max="777" width="8.6640625" style="96" customWidth="1"/>
    <col min="778" max="778" width="9.6640625" style="96" customWidth="1"/>
    <col min="779" max="782" width="8.6640625" style="96" customWidth="1"/>
    <col min="783" max="783" width="9.6640625" style="96" customWidth="1"/>
    <col min="784" max="785" width="8.6640625" style="96" customWidth="1"/>
    <col min="786" max="1024" width="9.1640625" style="96" customWidth="1"/>
    <col min="1025" max="1025" width="12.6640625" style="96" customWidth="1"/>
    <col min="1026" max="1026" width="15.6640625" style="96" customWidth="1"/>
    <col min="1027" max="1027" width="9.6640625" style="96" customWidth="1"/>
    <col min="1028" max="1030" width="8.6640625" style="96" customWidth="1"/>
    <col min="1031" max="1031" width="7.6640625" style="96" customWidth="1"/>
    <col min="1032" max="1033" width="8.6640625" style="96" customWidth="1"/>
    <col min="1034" max="1034" width="9.6640625" style="96" customWidth="1"/>
    <col min="1035" max="1038" width="8.6640625" style="96" customWidth="1"/>
    <col min="1039" max="1039" width="9.6640625" style="96" customWidth="1"/>
    <col min="1040" max="1041" width="8.6640625" style="96" customWidth="1"/>
    <col min="1042" max="1280" width="9.1640625" style="96" customWidth="1"/>
    <col min="1281" max="1281" width="12.6640625" style="96" customWidth="1"/>
    <col min="1282" max="1282" width="15.6640625" style="96" customWidth="1"/>
    <col min="1283" max="1283" width="9.6640625" style="96" customWidth="1"/>
    <col min="1284" max="1286" width="8.6640625" style="96" customWidth="1"/>
    <col min="1287" max="1287" width="7.6640625" style="96" customWidth="1"/>
    <col min="1288" max="1289" width="8.6640625" style="96" customWidth="1"/>
    <col min="1290" max="1290" width="9.6640625" style="96" customWidth="1"/>
    <col min="1291" max="1294" width="8.6640625" style="96" customWidth="1"/>
    <col min="1295" max="1295" width="9.6640625" style="96" customWidth="1"/>
    <col min="1296" max="1297" width="8.6640625" style="96" customWidth="1"/>
    <col min="1298" max="1536" width="9.1640625" style="96" customWidth="1"/>
    <col min="1537" max="1537" width="12.6640625" style="96" customWidth="1"/>
    <col min="1538" max="1538" width="15.6640625" style="96" customWidth="1"/>
    <col min="1539" max="1539" width="9.6640625" style="96" customWidth="1"/>
    <col min="1540" max="1542" width="8.6640625" style="96" customWidth="1"/>
    <col min="1543" max="1543" width="7.6640625" style="96" customWidth="1"/>
    <col min="1544" max="1545" width="8.6640625" style="96" customWidth="1"/>
    <col min="1546" max="1546" width="9.6640625" style="96" customWidth="1"/>
    <col min="1547" max="1550" width="8.6640625" style="96" customWidth="1"/>
    <col min="1551" max="1551" width="9.6640625" style="96" customWidth="1"/>
    <col min="1552" max="1553" width="8.6640625" style="96" customWidth="1"/>
    <col min="1554" max="1792" width="9.1640625" style="96" customWidth="1"/>
    <col min="1793" max="1793" width="12.6640625" style="96" customWidth="1"/>
    <col min="1794" max="1794" width="15.6640625" style="96" customWidth="1"/>
    <col min="1795" max="1795" width="9.6640625" style="96" customWidth="1"/>
    <col min="1796" max="1798" width="8.6640625" style="96" customWidth="1"/>
    <col min="1799" max="1799" width="7.6640625" style="96" customWidth="1"/>
    <col min="1800" max="1801" width="8.6640625" style="96" customWidth="1"/>
    <col min="1802" max="1802" width="9.6640625" style="96" customWidth="1"/>
    <col min="1803" max="1806" width="8.6640625" style="96" customWidth="1"/>
    <col min="1807" max="1807" width="9.6640625" style="96" customWidth="1"/>
    <col min="1808" max="1809" width="8.6640625" style="96" customWidth="1"/>
    <col min="1810" max="2048" width="9.1640625" style="96" customWidth="1"/>
    <col min="2049" max="2049" width="12.6640625" style="96" customWidth="1"/>
    <col min="2050" max="2050" width="15.6640625" style="96" customWidth="1"/>
    <col min="2051" max="2051" width="9.6640625" style="96" customWidth="1"/>
    <col min="2052" max="2054" width="8.6640625" style="96" customWidth="1"/>
    <col min="2055" max="2055" width="7.6640625" style="96" customWidth="1"/>
    <col min="2056" max="2057" width="8.6640625" style="96" customWidth="1"/>
    <col min="2058" max="2058" width="9.6640625" style="96" customWidth="1"/>
    <col min="2059" max="2062" width="8.6640625" style="96" customWidth="1"/>
    <col min="2063" max="2063" width="9.6640625" style="96" customWidth="1"/>
    <col min="2064" max="2065" width="8.6640625" style="96" customWidth="1"/>
    <col min="2066" max="2304" width="9.1640625" style="96" customWidth="1"/>
    <col min="2305" max="2305" width="12.6640625" style="96" customWidth="1"/>
    <col min="2306" max="2306" width="15.6640625" style="96" customWidth="1"/>
    <col min="2307" max="2307" width="9.6640625" style="96" customWidth="1"/>
    <col min="2308" max="2310" width="8.6640625" style="96" customWidth="1"/>
    <col min="2311" max="2311" width="7.6640625" style="96" customWidth="1"/>
    <col min="2312" max="2313" width="8.6640625" style="96" customWidth="1"/>
    <col min="2314" max="2314" width="9.6640625" style="96" customWidth="1"/>
    <col min="2315" max="2318" width="8.6640625" style="96" customWidth="1"/>
    <col min="2319" max="2319" width="9.6640625" style="96" customWidth="1"/>
    <col min="2320" max="2321" width="8.6640625" style="96" customWidth="1"/>
    <col min="2322" max="2560" width="9.1640625" style="96" customWidth="1"/>
    <col min="2561" max="2561" width="12.6640625" style="96" customWidth="1"/>
    <col min="2562" max="2562" width="15.6640625" style="96" customWidth="1"/>
    <col min="2563" max="2563" width="9.6640625" style="96" customWidth="1"/>
    <col min="2564" max="2566" width="8.6640625" style="96" customWidth="1"/>
    <col min="2567" max="2567" width="7.6640625" style="96" customWidth="1"/>
    <col min="2568" max="2569" width="8.6640625" style="96" customWidth="1"/>
    <col min="2570" max="2570" width="9.6640625" style="96" customWidth="1"/>
    <col min="2571" max="2574" width="8.6640625" style="96" customWidth="1"/>
    <col min="2575" max="2575" width="9.6640625" style="96" customWidth="1"/>
    <col min="2576" max="2577" width="8.6640625" style="96" customWidth="1"/>
    <col min="2578" max="2816" width="9.1640625" style="96" customWidth="1"/>
    <col min="2817" max="2817" width="12.6640625" style="96" customWidth="1"/>
    <col min="2818" max="2818" width="15.6640625" style="96" customWidth="1"/>
    <col min="2819" max="2819" width="9.6640625" style="96" customWidth="1"/>
    <col min="2820" max="2822" width="8.6640625" style="96" customWidth="1"/>
    <col min="2823" max="2823" width="7.6640625" style="96" customWidth="1"/>
    <col min="2824" max="2825" width="8.6640625" style="96" customWidth="1"/>
    <col min="2826" max="2826" width="9.6640625" style="96" customWidth="1"/>
    <col min="2827" max="2830" width="8.6640625" style="96" customWidth="1"/>
    <col min="2831" max="2831" width="9.6640625" style="96" customWidth="1"/>
    <col min="2832" max="2833" width="8.6640625" style="96" customWidth="1"/>
    <col min="2834" max="3072" width="9.1640625" style="96" customWidth="1"/>
    <col min="3073" max="3073" width="12.6640625" style="96" customWidth="1"/>
    <col min="3074" max="3074" width="15.6640625" style="96" customWidth="1"/>
    <col min="3075" max="3075" width="9.6640625" style="96" customWidth="1"/>
    <col min="3076" max="3078" width="8.6640625" style="96" customWidth="1"/>
    <col min="3079" max="3079" width="7.6640625" style="96" customWidth="1"/>
    <col min="3080" max="3081" width="8.6640625" style="96" customWidth="1"/>
    <col min="3082" max="3082" width="9.6640625" style="96" customWidth="1"/>
    <col min="3083" max="3086" width="8.6640625" style="96" customWidth="1"/>
    <col min="3087" max="3087" width="9.6640625" style="96" customWidth="1"/>
    <col min="3088" max="3089" width="8.6640625" style="96" customWidth="1"/>
    <col min="3090" max="3328" width="9.1640625" style="96" customWidth="1"/>
    <col min="3329" max="3329" width="12.6640625" style="96" customWidth="1"/>
    <col min="3330" max="3330" width="15.6640625" style="96" customWidth="1"/>
    <col min="3331" max="3331" width="9.6640625" style="96" customWidth="1"/>
    <col min="3332" max="3334" width="8.6640625" style="96" customWidth="1"/>
    <col min="3335" max="3335" width="7.6640625" style="96" customWidth="1"/>
    <col min="3336" max="3337" width="8.6640625" style="96" customWidth="1"/>
    <col min="3338" max="3338" width="9.6640625" style="96" customWidth="1"/>
    <col min="3339" max="3342" width="8.6640625" style="96" customWidth="1"/>
    <col min="3343" max="3343" width="9.6640625" style="96" customWidth="1"/>
    <col min="3344" max="3345" width="8.6640625" style="96" customWidth="1"/>
    <col min="3346" max="3584" width="9.1640625" style="96" customWidth="1"/>
    <col min="3585" max="3585" width="12.6640625" style="96" customWidth="1"/>
    <col min="3586" max="3586" width="15.6640625" style="96" customWidth="1"/>
    <col min="3587" max="3587" width="9.6640625" style="96" customWidth="1"/>
    <col min="3588" max="3590" width="8.6640625" style="96" customWidth="1"/>
    <col min="3591" max="3591" width="7.6640625" style="96" customWidth="1"/>
    <col min="3592" max="3593" width="8.6640625" style="96" customWidth="1"/>
    <col min="3594" max="3594" width="9.6640625" style="96" customWidth="1"/>
    <col min="3595" max="3598" width="8.6640625" style="96" customWidth="1"/>
    <col min="3599" max="3599" width="9.6640625" style="96" customWidth="1"/>
    <col min="3600" max="3601" width="8.6640625" style="96" customWidth="1"/>
    <col min="3602" max="3840" width="9.1640625" style="96" customWidth="1"/>
    <col min="3841" max="3841" width="12.6640625" style="96" customWidth="1"/>
    <col min="3842" max="3842" width="15.6640625" style="96" customWidth="1"/>
    <col min="3843" max="3843" width="9.6640625" style="96" customWidth="1"/>
    <col min="3844" max="3846" width="8.6640625" style="96" customWidth="1"/>
    <col min="3847" max="3847" width="7.6640625" style="96" customWidth="1"/>
    <col min="3848" max="3849" width="8.6640625" style="96" customWidth="1"/>
    <col min="3850" max="3850" width="9.6640625" style="96" customWidth="1"/>
    <col min="3851" max="3854" width="8.6640625" style="96" customWidth="1"/>
    <col min="3855" max="3855" width="9.6640625" style="96" customWidth="1"/>
    <col min="3856" max="3857" width="8.6640625" style="96" customWidth="1"/>
    <col min="3858" max="4096" width="9.1640625" style="96" customWidth="1"/>
    <col min="4097" max="4097" width="12.6640625" style="96" customWidth="1"/>
    <col min="4098" max="4098" width="15.6640625" style="96" customWidth="1"/>
    <col min="4099" max="4099" width="9.6640625" style="96" customWidth="1"/>
    <col min="4100" max="4102" width="8.6640625" style="96" customWidth="1"/>
    <col min="4103" max="4103" width="7.6640625" style="96" customWidth="1"/>
    <col min="4104" max="4105" width="8.6640625" style="96" customWidth="1"/>
    <col min="4106" max="4106" width="9.6640625" style="96" customWidth="1"/>
    <col min="4107" max="4110" width="8.6640625" style="96" customWidth="1"/>
    <col min="4111" max="4111" width="9.6640625" style="96" customWidth="1"/>
    <col min="4112" max="4113" width="8.6640625" style="96" customWidth="1"/>
    <col min="4114" max="4352" width="9.1640625" style="96" customWidth="1"/>
    <col min="4353" max="4353" width="12.6640625" style="96" customWidth="1"/>
    <col min="4354" max="4354" width="15.6640625" style="96" customWidth="1"/>
    <col min="4355" max="4355" width="9.6640625" style="96" customWidth="1"/>
    <col min="4356" max="4358" width="8.6640625" style="96" customWidth="1"/>
    <col min="4359" max="4359" width="7.6640625" style="96" customWidth="1"/>
    <col min="4360" max="4361" width="8.6640625" style="96" customWidth="1"/>
    <col min="4362" max="4362" width="9.6640625" style="96" customWidth="1"/>
    <col min="4363" max="4366" width="8.6640625" style="96" customWidth="1"/>
    <col min="4367" max="4367" width="9.6640625" style="96" customWidth="1"/>
    <col min="4368" max="4369" width="8.6640625" style="96" customWidth="1"/>
    <col min="4370" max="4608" width="9.1640625" style="96" customWidth="1"/>
    <col min="4609" max="4609" width="12.6640625" style="96" customWidth="1"/>
    <col min="4610" max="4610" width="15.6640625" style="96" customWidth="1"/>
    <col min="4611" max="4611" width="9.6640625" style="96" customWidth="1"/>
    <col min="4612" max="4614" width="8.6640625" style="96" customWidth="1"/>
    <col min="4615" max="4615" width="7.6640625" style="96" customWidth="1"/>
    <col min="4616" max="4617" width="8.6640625" style="96" customWidth="1"/>
    <col min="4618" max="4618" width="9.6640625" style="96" customWidth="1"/>
    <col min="4619" max="4622" width="8.6640625" style="96" customWidth="1"/>
    <col min="4623" max="4623" width="9.6640625" style="96" customWidth="1"/>
    <col min="4624" max="4625" width="8.6640625" style="96" customWidth="1"/>
    <col min="4626" max="4864" width="9.1640625" style="96" customWidth="1"/>
    <col min="4865" max="4865" width="12.6640625" style="96" customWidth="1"/>
    <col min="4866" max="4866" width="15.6640625" style="96" customWidth="1"/>
    <col min="4867" max="4867" width="9.6640625" style="96" customWidth="1"/>
    <col min="4868" max="4870" width="8.6640625" style="96" customWidth="1"/>
    <col min="4871" max="4871" width="7.6640625" style="96" customWidth="1"/>
    <col min="4872" max="4873" width="8.6640625" style="96" customWidth="1"/>
    <col min="4874" max="4874" width="9.6640625" style="96" customWidth="1"/>
    <col min="4875" max="4878" width="8.6640625" style="96" customWidth="1"/>
    <col min="4879" max="4879" width="9.6640625" style="96" customWidth="1"/>
    <col min="4880" max="4881" width="8.6640625" style="96" customWidth="1"/>
    <col min="4882" max="5120" width="9.1640625" style="96" customWidth="1"/>
    <col min="5121" max="5121" width="12.6640625" style="96" customWidth="1"/>
    <col min="5122" max="5122" width="15.6640625" style="96" customWidth="1"/>
    <col min="5123" max="5123" width="9.6640625" style="96" customWidth="1"/>
    <col min="5124" max="5126" width="8.6640625" style="96" customWidth="1"/>
    <col min="5127" max="5127" width="7.6640625" style="96" customWidth="1"/>
    <col min="5128" max="5129" width="8.6640625" style="96" customWidth="1"/>
    <col min="5130" max="5130" width="9.6640625" style="96" customWidth="1"/>
    <col min="5131" max="5134" width="8.6640625" style="96" customWidth="1"/>
    <col min="5135" max="5135" width="9.6640625" style="96" customWidth="1"/>
    <col min="5136" max="5137" width="8.6640625" style="96" customWidth="1"/>
    <col min="5138" max="5376" width="9.1640625" style="96" customWidth="1"/>
    <col min="5377" max="5377" width="12.6640625" style="96" customWidth="1"/>
    <col min="5378" max="5378" width="15.6640625" style="96" customWidth="1"/>
    <col min="5379" max="5379" width="9.6640625" style="96" customWidth="1"/>
    <col min="5380" max="5382" width="8.6640625" style="96" customWidth="1"/>
    <col min="5383" max="5383" width="7.6640625" style="96" customWidth="1"/>
    <col min="5384" max="5385" width="8.6640625" style="96" customWidth="1"/>
    <col min="5386" max="5386" width="9.6640625" style="96" customWidth="1"/>
    <col min="5387" max="5390" width="8.6640625" style="96" customWidth="1"/>
    <col min="5391" max="5391" width="9.6640625" style="96" customWidth="1"/>
    <col min="5392" max="5393" width="8.6640625" style="96" customWidth="1"/>
    <col min="5394" max="5632" width="9.1640625" style="96" customWidth="1"/>
    <col min="5633" max="5633" width="12.6640625" style="96" customWidth="1"/>
    <col min="5634" max="5634" width="15.6640625" style="96" customWidth="1"/>
    <col min="5635" max="5635" width="9.6640625" style="96" customWidth="1"/>
    <col min="5636" max="5638" width="8.6640625" style="96" customWidth="1"/>
    <col min="5639" max="5639" width="7.6640625" style="96" customWidth="1"/>
    <col min="5640" max="5641" width="8.6640625" style="96" customWidth="1"/>
    <col min="5642" max="5642" width="9.6640625" style="96" customWidth="1"/>
    <col min="5643" max="5646" width="8.6640625" style="96" customWidth="1"/>
    <col min="5647" max="5647" width="9.6640625" style="96" customWidth="1"/>
    <col min="5648" max="5649" width="8.6640625" style="96" customWidth="1"/>
    <col min="5650" max="5888" width="9.1640625" style="96" customWidth="1"/>
    <col min="5889" max="5889" width="12.6640625" style="96" customWidth="1"/>
    <col min="5890" max="5890" width="15.6640625" style="96" customWidth="1"/>
    <col min="5891" max="5891" width="9.6640625" style="96" customWidth="1"/>
    <col min="5892" max="5894" width="8.6640625" style="96" customWidth="1"/>
    <col min="5895" max="5895" width="7.6640625" style="96" customWidth="1"/>
    <col min="5896" max="5897" width="8.6640625" style="96" customWidth="1"/>
    <col min="5898" max="5898" width="9.6640625" style="96" customWidth="1"/>
    <col min="5899" max="5902" width="8.6640625" style="96" customWidth="1"/>
    <col min="5903" max="5903" width="9.6640625" style="96" customWidth="1"/>
    <col min="5904" max="5905" width="8.6640625" style="96" customWidth="1"/>
    <col min="5906" max="6144" width="9.1640625" style="96" customWidth="1"/>
    <col min="6145" max="6145" width="12.6640625" style="96" customWidth="1"/>
    <col min="6146" max="6146" width="15.6640625" style="96" customWidth="1"/>
    <col min="6147" max="6147" width="9.6640625" style="96" customWidth="1"/>
    <col min="6148" max="6150" width="8.6640625" style="96" customWidth="1"/>
    <col min="6151" max="6151" width="7.6640625" style="96" customWidth="1"/>
    <col min="6152" max="6153" width="8.6640625" style="96" customWidth="1"/>
    <col min="6154" max="6154" width="9.6640625" style="96" customWidth="1"/>
    <col min="6155" max="6158" width="8.6640625" style="96" customWidth="1"/>
    <col min="6159" max="6159" width="9.6640625" style="96" customWidth="1"/>
    <col min="6160" max="6161" width="8.6640625" style="96" customWidth="1"/>
    <col min="6162" max="6400" width="9.1640625" style="96" customWidth="1"/>
    <col min="6401" max="6401" width="12.6640625" style="96" customWidth="1"/>
    <col min="6402" max="6402" width="15.6640625" style="96" customWidth="1"/>
    <col min="6403" max="6403" width="9.6640625" style="96" customWidth="1"/>
    <col min="6404" max="6406" width="8.6640625" style="96" customWidth="1"/>
    <col min="6407" max="6407" width="7.6640625" style="96" customWidth="1"/>
    <col min="6408" max="6409" width="8.6640625" style="96" customWidth="1"/>
    <col min="6410" max="6410" width="9.6640625" style="96" customWidth="1"/>
    <col min="6411" max="6414" width="8.6640625" style="96" customWidth="1"/>
    <col min="6415" max="6415" width="9.6640625" style="96" customWidth="1"/>
    <col min="6416" max="6417" width="8.6640625" style="96" customWidth="1"/>
    <col min="6418" max="6656" width="9.1640625" style="96" customWidth="1"/>
    <col min="6657" max="6657" width="12.6640625" style="96" customWidth="1"/>
    <col min="6658" max="6658" width="15.6640625" style="96" customWidth="1"/>
    <col min="6659" max="6659" width="9.6640625" style="96" customWidth="1"/>
    <col min="6660" max="6662" width="8.6640625" style="96" customWidth="1"/>
    <col min="6663" max="6663" width="7.6640625" style="96" customWidth="1"/>
    <col min="6664" max="6665" width="8.6640625" style="96" customWidth="1"/>
    <col min="6666" max="6666" width="9.6640625" style="96" customWidth="1"/>
    <col min="6667" max="6670" width="8.6640625" style="96" customWidth="1"/>
    <col min="6671" max="6671" width="9.6640625" style="96" customWidth="1"/>
    <col min="6672" max="6673" width="8.6640625" style="96" customWidth="1"/>
    <col min="6674" max="6912" width="9.1640625" style="96" customWidth="1"/>
    <col min="6913" max="6913" width="12.6640625" style="96" customWidth="1"/>
    <col min="6914" max="6914" width="15.6640625" style="96" customWidth="1"/>
    <col min="6915" max="6915" width="9.6640625" style="96" customWidth="1"/>
    <col min="6916" max="6918" width="8.6640625" style="96" customWidth="1"/>
    <col min="6919" max="6919" width="7.6640625" style="96" customWidth="1"/>
    <col min="6920" max="6921" width="8.6640625" style="96" customWidth="1"/>
    <col min="6922" max="6922" width="9.6640625" style="96" customWidth="1"/>
    <col min="6923" max="6926" width="8.6640625" style="96" customWidth="1"/>
    <col min="6927" max="6927" width="9.6640625" style="96" customWidth="1"/>
    <col min="6928" max="6929" width="8.6640625" style="96" customWidth="1"/>
    <col min="6930" max="7168" width="9.1640625" style="96" customWidth="1"/>
    <col min="7169" max="7169" width="12.6640625" style="96" customWidth="1"/>
    <col min="7170" max="7170" width="15.6640625" style="96" customWidth="1"/>
    <col min="7171" max="7171" width="9.6640625" style="96" customWidth="1"/>
    <col min="7172" max="7174" width="8.6640625" style="96" customWidth="1"/>
    <col min="7175" max="7175" width="7.6640625" style="96" customWidth="1"/>
    <col min="7176" max="7177" width="8.6640625" style="96" customWidth="1"/>
    <col min="7178" max="7178" width="9.6640625" style="96" customWidth="1"/>
    <col min="7179" max="7182" width="8.6640625" style="96" customWidth="1"/>
    <col min="7183" max="7183" width="9.6640625" style="96" customWidth="1"/>
    <col min="7184" max="7185" width="8.6640625" style="96" customWidth="1"/>
    <col min="7186" max="7424" width="9.1640625" style="96" customWidth="1"/>
    <col min="7425" max="7425" width="12.6640625" style="96" customWidth="1"/>
    <col min="7426" max="7426" width="15.6640625" style="96" customWidth="1"/>
    <col min="7427" max="7427" width="9.6640625" style="96" customWidth="1"/>
    <col min="7428" max="7430" width="8.6640625" style="96" customWidth="1"/>
    <col min="7431" max="7431" width="7.6640625" style="96" customWidth="1"/>
    <col min="7432" max="7433" width="8.6640625" style="96" customWidth="1"/>
    <col min="7434" max="7434" width="9.6640625" style="96" customWidth="1"/>
    <col min="7435" max="7438" width="8.6640625" style="96" customWidth="1"/>
    <col min="7439" max="7439" width="9.6640625" style="96" customWidth="1"/>
    <col min="7440" max="7441" width="8.6640625" style="96" customWidth="1"/>
    <col min="7442" max="7680" width="9.1640625" style="96" customWidth="1"/>
    <col min="7681" max="7681" width="12.6640625" style="96" customWidth="1"/>
    <col min="7682" max="7682" width="15.6640625" style="96" customWidth="1"/>
    <col min="7683" max="7683" width="9.6640625" style="96" customWidth="1"/>
    <col min="7684" max="7686" width="8.6640625" style="96" customWidth="1"/>
    <col min="7687" max="7687" width="7.6640625" style="96" customWidth="1"/>
    <col min="7688" max="7689" width="8.6640625" style="96" customWidth="1"/>
    <col min="7690" max="7690" width="9.6640625" style="96" customWidth="1"/>
    <col min="7691" max="7694" width="8.6640625" style="96" customWidth="1"/>
    <col min="7695" max="7695" width="9.6640625" style="96" customWidth="1"/>
    <col min="7696" max="7697" width="8.6640625" style="96" customWidth="1"/>
    <col min="7698" max="7936" width="9.1640625" style="96" customWidth="1"/>
    <col min="7937" max="7937" width="12.6640625" style="96" customWidth="1"/>
    <col min="7938" max="7938" width="15.6640625" style="96" customWidth="1"/>
    <col min="7939" max="7939" width="9.6640625" style="96" customWidth="1"/>
    <col min="7940" max="7942" width="8.6640625" style="96" customWidth="1"/>
    <col min="7943" max="7943" width="7.6640625" style="96" customWidth="1"/>
    <col min="7944" max="7945" width="8.6640625" style="96" customWidth="1"/>
    <col min="7946" max="7946" width="9.6640625" style="96" customWidth="1"/>
    <col min="7947" max="7950" width="8.6640625" style="96" customWidth="1"/>
    <col min="7951" max="7951" width="9.6640625" style="96" customWidth="1"/>
    <col min="7952" max="7953" width="8.6640625" style="96" customWidth="1"/>
    <col min="7954" max="8192" width="9.1640625" style="96" customWidth="1"/>
    <col min="8193" max="8193" width="12.6640625" style="96" customWidth="1"/>
    <col min="8194" max="8194" width="15.6640625" style="96" customWidth="1"/>
    <col min="8195" max="8195" width="9.6640625" style="96" customWidth="1"/>
    <col min="8196" max="8198" width="8.6640625" style="96" customWidth="1"/>
    <col min="8199" max="8199" width="7.6640625" style="96" customWidth="1"/>
    <col min="8200" max="8201" width="8.6640625" style="96" customWidth="1"/>
    <col min="8202" max="8202" width="9.6640625" style="96" customWidth="1"/>
    <col min="8203" max="8206" width="8.6640625" style="96" customWidth="1"/>
    <col min="8207" max="8207" width="9.6640625" style="96" customWidth="1"/>
    <col min="8208" max="8209" width="8.6640625" style="96" customWidth="1"/>
    <col min="8210" max="8448" width="9.1640625" style="96" customWidth="1"/>
    <col min="8449" max="8449" width="12.6640625" style="96" customWidth="1"/>
    <col min="8450" max="8450" width="15.6640625" style="96" customWidth="1"/>
    <col min="8451" max="8451" width="9.6640625" style="96" customWidth="1"/>
    <col min="8452" max="8454" width="8.6640625" style="96" customWidth="1"/>
    <col min="8455" max="8455" width="7.6640625" style="96" customWidth="1"/>
    <col min="8456" max="8457" width="8.6640625" style="96" customWidth="1"/>
    <col min="8458" max="8458" width="9.6640625" style="96" customWidth="1"/>
    <col min="8459" max="8462" width="8.6640625" style="96" customWidth="1"/>
    <col min="8463" max="8463" width="9.6640625" style="96" customWidth="1"/>
    <col min="8464" max="8465" width="8.6640625" style="96" customWidth="1"/>
    <col min="8466" max="8704" width="9.1640625" style="96" customWidth="1"/>
    <col min="8705" max="8705" width="12.6640625" style="96" customWidth="1"/>
    <col min="8706" max="8706" width="15.6640625" style="96" customWidth="1"/>
    <col min="8707" max="8707" width="9.6640625" style="96" customWidth="1"/>
    <col min="8708" max="8710" width="8.6640625" style="96" customWidth="1"/>
    <col min="8711" max="8711" width="7.6640625" style="96" customWidth="1"/>
    <col min="8712" max="8713" width="8.6640625" style="96" customWidth="1"/>
    <col min="8714" max="8714" width="9.6640625" style="96" customWidth="1"/>
    <col min="8715" max="8718" width="8.6640625" style="96" customWidth="1"/>
    <col min="8719" max="8719" width="9.6640625" style="96" customWidth="1"/>
    <col min="8720" max="8721" width="8.6640625" style="96" customWidth="1"/>
    <col min="8722" max="8960" width="9.1640625" style="96" customWidth="1"/>
    <col min="8961" max="8961" width="12.6640625" style="96" customWidth="1"/>
    <col min="8962" max="8962" width="15.6640625" style="96" customWidth="1"/>
    <col min="8963" max="8963" width="9.6640625" style="96" customWidth="1"/>
    <col min="8964" max="8966" width="8.6640625" style="96" customWidth="1"/>
    <col min="8967" max="8967" width="7.6640625" style="96" customWidth="1"/>
    <col min="8968" max="8969" width="8.6640625" style="96" customWidth="1"/>
    <col min="8970" max="8970" width="9.6640625" style="96" customWidth="1"/>
    <col min="8971" max="8974" width="8.6640625" style="96" customWidth="1"/>
    <col min="8975" max="8975" width="9.6640625" style="96" customWidth="1"/>
    <col min="8976" max="8977" width="8.6640625" style="96" customWidth="1"/>
    <col min="8978" max="9216" width="9.1640625" style="96" customWidth="1"/>
    <col min="9217" max="9217" width="12.6640625" style="96" customWidth="1"/>
    <col min="9218" max="9218" width="15.6640625" style="96" customWidth="1"/>
    <col min="9219" max="9219" width="9.6640625" style="96" customWidth="1"/>
    <col min="9220" max="9222" width="8.6640625" style="96" customWidth="1"/>
    <col min="9223" max="9223" width="7.6640625" style="96" customWidth="1"/>
    <col min="9224" max="9225" width="8.6640625" style="96" customWidth="1"/>
    <col min="9226" max="9226" width="9.6640625" style="96" customWidth="1"/>
    <col min="9227" max="9230" width="8.6640625" style="96" customWidth="1"/>
    <col min="9231" max="9231" width="9.6640625" style="96" customWidth="1"/>
    <col min="9232" max="9233" width="8.6640625" style="96" customWidth="1"/>
    <col min="9234" max="9472" width="9.1640625" style="96" customWidth="1"/>
    <col min="9473" max="9473" width="12.6640625" style="96" customWidth="1"/>
    <col min="9474" max="9474" width="15.6640625" style="96" customWidth="1"/>
    <col min="9475" max="9475" width="9.6640625" style="96" customWidth="1"/>
    <col min="9476" max="9478" width="8.6640625" style="96" customWidth="1"/>
    <col min="9479" max="9479" width="7.6640625" style="96" customWidth="1"/>
    <col min="9480" max="9481" width="8.6640625" style="96" customWidth="1"/>
    <col min="9482" max="9482" width="9.6640625" style="96" customWidth="1"/>
    <col min="9483" max="9486" width="8.6640625" style="96" customWidth="1"/>
    <col min="9487" max="9487" width="9.6640625" style="96" customWidth="1"/>
    <col min="9488" max="9489" width="8.6640625" style="96" customWidth="1"/>
    <col min="9490" max="9728" width="9.1640625" style="96" customWidth="1"/>
    <col min="9729" max="9729" width="12.6640625" style="96" customWidth="1"/>
    <col min="9730" max="9730" width="15.6640625" style="96" customWidth="1"/>
    <col min="9731" max="9731" width="9.6640625" style="96" customWidth="1"/>
    <col min="9732" max="9734" width="8.6640625" style="96" customWidth="1"/>
    <col min="9735" max="9735" width="7.6640625" style="96" customWidth="1"/>
    <col min="9736" max="9737" width="8.6640625" style="96" customWidth="1"/>
    <col min="9738" max="9738" width="9.6640625" style="96" customWidth="1"/>
    <col min="9739" max="9742" width="8.6640625" style="96" customWidth="1"/>
    <col min="9743" max="9743" width="9.6640625" style="96" customWidth="1"/>
    <col min="9744" max="9745" width="8.6640625" style="96" customWidth="1"/>
    <col min="9746" max="9984" width="9.1640625" style="96" customWidth="1"/>
    <col min="9985" max="9985" width="12.6640625" style="96" customWidth="1"/>
    <col min="9986" max="9986" width="15.6640625" style="96" customWidth="1"/>
    <col min="9987" max="9987" width="9.6640625" style="96" customWidth="1"/>
    <col min="9988" max="9990" width="8.6640625" style="96" customWidth="1"/>
    <col min="9991" max="9991" width="7.6640625" style="96" customWidth="1"/>
    <col min="9992" max="9993" width="8.6640625" style="96" customWidth="1"/>
    <col min="9994" max="9994" width="9.6640625" style="96" customWidth="1"/>
    <col min="9995" max="9998" width="8.6640625" style="96" customWidth="1"/>
    <col min="9999" max="9999" width="9.6640625" style="96" customWidth="1"/>
    <col min="10000" max="10001" width="8.6640625" style="96" customWidth="1"/>
    <col min="10002" max="10240" width="9.1640625" style="96" customWidth="1"/>
    <col min="10241" max="10241" width="12.6640625" style="96" customWidth="1"/>
    <col min="10242" max="10242" width="15.6640625" style="96" customWidth="1"/>
    <col min="10243" max="10243" width="9.6640625" style="96" customWidth="1"/>
    <col min="10244" max="10246" width="8.6640625" style="96" customWidth="1"/>
    <col min="10247" max="10247" width="7.6640625" style="96" customWidth="1"/>
    <col min="10248" max="10249" width="8.6640625" style="96" customWidth="1"/>
    <col min="10250" max="10250" width="9.6640625" style="96" customWidth="1"/>
    <col min="10251" max="10254" width="8.6640625" style="96" customWidth="1"/>
    <col min="10255" max="10255" width="9.6640625" style="96" customWidth="1"/>
    <col min="10256" max="10257" width="8.6640625" style="96" customWidth="1"/>
    <col min="10258" max="10496" width="9.1640625" style="96" customWidth="1"/>
    <col min="10497" max="10497" width="12.6640625" style="96" customWidth="1"/>
    <col min="10498" max="10498" width="15.6640625" style="96" customWidth="1"/>
    <col min="10499" max="10499" width="9.6640625" style="96" customWidth="1"/>
    <col min="10500" max="10502" width="8.6640625" style="96" customWidth="1"/>
    <col min="10503" max="10503" width="7.6640625" style="96" customWidth="1"/>
    <col min="10504" max="10505" width="8.6640625" style="96" customWidth="1"/>
    <col min="10506" max="10506" width="9.6640625" style="96" customWidth="1"/>
    <col min="10507" max="10510" width="8.6640625" style="96" customWidth="1"/>
    <col min="10511" max="10511" width="9.6640625" style="96" customWidth="1"/>
    <col min="10512" max="10513" width="8.6640625" style="96" customWidth="1"/>
    <col min="10514" max="10752" width="9.1640625" style="96" customWidth="1"/>
    <col min="10753" max="10753" width="12.6640625" style="96" customWidth="1"/>
    <col min="10754" max="10754" width="15.6640625" style="96" customWidth="1"/>
    <col min="10755" max="10755" width="9.6640625" style="96" customWidth="1"/>
    <col min="10756" max="10758" width="8.6640625" style="96" customWidth="1"/>
    <col min="10759" max="10759" width="7.6640625" style="96" customWidth="1"/>
    <col min="10760" max="10761" width="8.6640625" style="96" customWidth="1"/>
    <col min="10762" max="10762" width="9.6640625" style="96" customWidth="1"/>
    <col min="10763" max="10766" width="8.6640625" style="96" customWidth="1"/>
    <col min="10767" max="10767" width="9.6640625" style="96" customWidth="1"/>
    <col min="10768" max="10769" width="8.6640625" style="96" customWidth="1"/>
    <col min="10770" max="11008" width="9.1640625" style="96" customWidth="1"/>
    <col min="11009" max="11009" width="12.6640625" style="96" customWidth="1"/>
    <col min="11010" max="11010" width="15.6640625" style="96" customWidth="1"/>
    <col min="11011" max="11011" width="9.6640625" style="96" customWidth="1"/>
    <col min="11012" max="11014" width="8.6640625" style="96" customWidth="1"/>
    <col min="11015" max="11015" width="7.6640625" style="96" customWidth="1"/>
    <col min="11016" max="11017" width="8.6640625" style="96" customWidth="1"/>
    <col min="11018" max="11018" width="9.6640625" style="96" customWidth="1"/>
    <col min="11019" max="11022" width="8.6640625" style="96" customWidth="1"/>
    <col min="11023" max="11023" width="9.6640625" style="96" customWidth="1"/>
    <col min="11024" max="11025" width="8.6640625" style="96" customWidth="1"/>
    <col min="11026" max="11264" width="9.1640625" style="96" customWidth="1"/>
    <col min="11265" max="11265" width="12.6640625" style="96" customWidth="1"/>
    <col min="11266" max="11266" width="15.6640625" style="96" customWidth="1"/>
    <col min="11267" max="11267" width="9.6640625" style="96" customWidth="1"/>
    <col min="11268" max="11270" width="8.6640625" style="96" customWidth="1"/>
    <col min="11271" max="11271" width="7.6640625" style="96" customWidth="1"/>
    <col min="11272" max="11273" width="8.6640625" style="96" customWidth="1"/>
    <col min="11274" max="11274" width="9.6640625" style="96" customWidth="1"/>
    <col min="11275" max="11278" width="8.6640625" style="96" customWidth="1"/>
    <col min="11279" max="11279" width="9.6640625" style="96" customWidth="1"/>
    <col min="11280" max="11281" width="8.6640625" style="96" customWidth="1"/>
    <col min="11282" max="11520" width="9.1640625" style="96" customWidth="1"/>
    <col min="11521" max="11521" width="12.6640625" style="96" customWidth="1"/>
    <col min="11522" max="11522" width="15.6640625" style="96" customWidth="1"/>
    <col min="11523" max="11523" width="9.6640625" style="96" customWidth="1"/>
    <col min="11524" max="11526" width="8.6640625" style="96" customWidth="1"/>
    <col min="11527" max="11527" width="7.6640625" style="96" customWidth="1"/>
    <col min="11528" max="11529" width="8.6640625" style="96" customWidth="1"/>
    <col min="11530" max="11530" width="9.6640625" style="96" customWidth="1"/>
    <col min="11531" max="11534" width="8.6640625" style="96" customWidth="1"/>
    <col min="11535" max="11535" width="9.6640625" style="96" customWidth="1"/>
    <col min="11536" max="11537" width="8.6640625" style="96" customWidth="1"/>
    <col min="11538" max="11776" width="9.1640625" style="96" customWidth="1"/>
    <col min="11777" max="11777" width="12.6640625" style="96" customWidth="1"/>
    <col min="11778" max="11778" width="15.6640625" style="96" customWidth="1"/>
    <col min="11779" max="11779" width="9.6640625" style="96" customWidth="1"/>
    <col min="11780" max="11782" width="8.6640625" style="96" customWidth="1"/>
    <col min="11783" max="11783" width="7.6640625" style="96" customWidth="1"/>
    <col min="11784" max="11785" width="8.6640625" style="96" customWidth="1"/>
    <col min="11786" max="11786" width="9.6640625" style="96" customWidth="1"/>
    <col min="11787" max="11790" width="8.6640625" style="96" customWidth="1"/>
    <col min="11791" max="11791" width="9.6640625" style="96" customWidth="1"/>
    <col min="11792" max="11793" width="8.6640625" style="96" customWidth="1"/>
    <col min="11794" max="12032" width="9.1640625" style="96" customWidth="1"/>
    <col min="12033" max="12033" width="12.6640625" style="96" customWidth="1"/>
    <col min="12034" max="12034" width="15.6640625" style="96" customWidth="1"/>
    <col min="12035" max="12035" width="9.6640625" style="96" customWidth="1"/>
    <col min="12036" max="12038" width="8.6640625" style="96" customWidth="1"/>
    <col min="12039" max="12039" width="7.6640625" style="96" customWidth="1"/>
    <col min="12040" max="12041" width="8.6640625" style="96" customWidth="1"/>
    <col min="12042" max="12042" width="9.6640625" style="96" customWidth="1"/>
    <col min="12043" max="12046" width="8.6640625" style="96" customWidth="1"/>
    <col min="12047" max="12047" width="9.6640625" style="96" customWidth="1"/>
    <col min="12048" max="12049" width="8.6640625" style="96" customWidth="1"/>
    <col min="12050" max="12288" width="9.1640625" style="96" customWidth="1"/>
    <col min="12289" max="12289" width="12.6640625" style="96" customWidth="1"/>
    <col min="12290" max="12290" width="15.6640625" style="96" customWidth="1"/>
    <col min="12291" max="12291" width="9.6640625" style="96" customWidth="1"/>
    <col min="12292" max="12294" width="8.6640625" style="96" customWidth="1"/>
    <col min="12295" max="12295" width="7.6640625" style="96" customWidth="1"/>
    <col min="12296" max="12297" width="8.6640625" style="96" customWidth="1"/>
    <col min="12298" max="12298" width="9.6640625" style="96" customWidth="1"/>
    <col min="12299" max="12302" width="8.6640625" style="96" customWidth="1"/>
    <col min="12303" max="12303" width="9.6640625" style="96" customWidth="1"/>
    <col min="12304" max="12305" width="8.6640625" style="96" customWidth="1"/>
    <col min="12306" max="12544" width="9.1640625" style="96" customWidth="1"/>
    <col min="12545" max="12545" width="12.6640625" style="96" customWidth="1"/>
    <col min="12546" max="12546" width="15.6640625" style="96" customWidth="1"/>
    <col min="12547" max="12547" width="9.6640625" style="96" customWidth="1"/>
    <col min="12548" max="12550" width="8.6640625" style="96" customWidth="1"/>
    <col min="12551" max="12551" width="7.6640625" style="96" customWidth="1"/>
    <col min="12552" max="12553" width="8.6640625" style="96" customWidth="1"/>
    <col min="12554" max="12554" width="9.6640625" style="96" customWidth="1"/>
    <col min="12555" max="12558" width="8.6640625" style="96" customWidth="1"/>
    <col min="12559" max="12559" width="9.6640625" style="96" customWidth="1"/>
    <col min="12560" max="12561" width="8.6640625" style="96" customWidth="1"/>
    <col min="12562" max="12800" width="9.1640625" style="96" customWidth="1"/>
    <col min="12801" max="12801" width="12.6640625" style="96" customWidth="1"/>
    <col min="12802" max="12802" width="15.6640625" style="96" customWidth="1"/>
    <col min="12803" max="12803" width="9.6640625" style="96" customWidth="1"/>
    <col min="12804" max="12806" width="8.6640625" style="96" customWidth="1"/>
    <col min="12807" max="12807" width="7.6640625" style="96" customWidth="1"/>
    <col min="12808" max="12809" width="8.6640625" style="96" customWidth="1"/>
    <col min="12810" max="12810" width="9.6640625" style="96" customWidth="1"/>
    <col min="12811" max="12814" width="8.6640625" style="96" customWidth="1"/>
    <col min="12815" max="12815" width="9.6640625" style="96" customWidth="1"/>
    <col min="12816" max="12817" width="8.6640625" style="96" customWidth="1"/>
    <col min="12818" max="13056" width="9.1640625" style="96" customWidth="1"/>
    <col min="13057" max="13057" width="12.6640625" style="96" customWidth="1"/>
    <col min="13058" max="13058" width="15.6640625" style="96" customWidth="1"/>
    <col min="13059" max="13059" width="9.6640625" style="96" customWidth="1"/>
    <col min="13060" max="13062" width="8.6640625" style="96" customWidth="1"/>
    <col min="13063" max="13063" width="7.6640625" style="96" customWidth="1"/>
    <col min="13064" max="13065" width="8.6640625" style="96" customWidth="1"/>
    <col min="13066" max="13066" width="9.6640625" style="96" customWidth="1"/>
    <col min="13067" max="13070" width="8.6640625" style="96" customWidth="1"/>
    <col min="13071" max="13071" width="9.6640625" style="96" customWidth="1"/>
    <col min="13072" max="13073" width="8.6640625" style="96" customWidth="1"/>
    <col min="13074" max="13312" width="9.1640625" style="96" customWidth="1"/>
    <col min="13313" max="13313" width="12.6640625" style="96" customWidth="1"/>
    <col min="13314" max="13314" width="15.6640625" style="96" customWidth="1"/>
    <col min="13315" max="13315" width="9.6640625" style="96" customWidth="1"/>
    <col min="13316" max="13318" width="8.6640625" style="96" customWidth="1"/>
    <col min="13319" max="13319" width="7.6640625" style="96" customWidth="1"/>
    <col min="13320" max="13321" width="8.6640625" style="96" customWidth="1"/>
    <col min="13322" max="13322" width="9.6640625" style="96" customWidth="1"/>
    <col min="13323" max="13326" width="8.6640625" style="96" customWidth="1"/>
    <col min="13327" max="13327" width="9.6640625" style="96" customWidth="1"/>
    <col min="13328" max="13329" width="8.6640625" style="96" customWidth="1"/>
    <col min="13330" max="13568" width="9.1640625" style="96" customWidth="1"/>
    <col min="13569" max="13569" width="12.6640625" style="96" customWidth="1"/>
    <col min="13570" max="13570" width="15.6640625" style="96" customWidth="1"/>
    <col min="13571" max="13571" width="9.6640625" style="96" customWidth="1"/>
    <col min="13572" max="13574" width="8.6640625" style="96" customWidth="1"/>
    <col min="13575" max="13575" width="7.6640625" style="96" customWidth="1"/>
    <col min="13576" max="13577" width="8.6640625" style="96" customWidth="1"/>
    <col min="13578" max="13578" width="9.6640625" style="96" customWidth="1"/>
    <col min="13579" max="13582" width="8.6640625" style="96" customWidth="1"/>
    <col min="13583" max="13583" width="9.6640625" style="96" customWidth="1"/>
    <col min="13584" max="13585" width="8.6640625" style="96" customWidth="1"/>
    <col min="13586" max="13824" width="9.1640625" style="96" customWidth="1"/>
    <col min="13825" max="13825" width="12.6640625" style="96" customWidth="1"/>
    <col min="13826" max="13826" width="15.6640625" style="96" customWidth="1"/>
    <col min="13827" max="13827" width="9.6640625" style="96" customWidth="1"/>
    <col min="13828" max="13830" width="8.6640625" style="96" customWidth="1"/>
    <col min="13831" max="13831" width="7.6640625" style="96" customWidth="1"/>
    <col min="13832" max="13833" width="8.6640625" style="96" customWidth="1"/>
    <col min="13834" max="13834" width="9.6640625" style="96" customWidth="1"/>
    <col min="13835" max="13838" width="8.6640625" style="96" customWidth="1"/>
    <col min="13839" max="13839" width="9.6640625" style="96" customWidth="1"/>
    <col min="13840" max="13841" width="8.6640625" style="96" customWidth="1"/>
    <col min="13842" max="14080" width="9.1640625" style="96" customWidth="1"/>
    <col min="14081" max="14081" width="12.6640625" style="96" customWidth="1"/>
    <col min="14082" max="14082" width="15.6640625" style="96" customWidth="1"/>
    <col min="14083" max="14083" width="9.6640625" style="96" customWidth="1"/>
    <col min="14084" max="14086" width="8.6640625" style="96" customWidth="1"/>
    <col min="14087" max="14087" width="7.6640625" style="96" customWidth="1"/>
    <col min="14088" max="14089" width="8.6640625" style="96" customWidth="1"/>
    <col min="14090" max="14090" width="9.6640625" style="96" customWidth="1"/>
    <col min="14091" max="14094" width="8.6640625" style="96" customWidth="1"/>
    <col min="14095" max="14095" width="9.6640625" style="96" customWidth="1"/>
    <col min="14096" max="14097" width="8.6640625" style="96" customWidth="1"/>
    <col min="14098" max="14336" width="9.1640625" style="96" customWidth="1"/>
    <col min="14337" max="14337" width="12.6640625" style="96" customWidth="1"/>
    <col min="14338" max="14338" width="15.6640625" style="96" customWidth="1"/>
    <col min="14339" max="14339" width="9.6640625" style="96" customWidth="1"/>
    <col min="14340" max="14342" width="8.6640625" style="96" customWidth="1"/>
    <col min="14343" max="14343" width="7.6640625" style="96" customWidth="1"/>
    <col min="14344" max="14345" width="8.6640625" style="96" customWidth="1"/>
    <col min="14346" max="14346" width="9.6640625" style="96" customWidth="1"/>
    <col min="14347" max="14350" width="8.6640625" style="96" customWidth="1"/>
    <col min="14351" max="14351" width="9.6640625" style="96" customWidth="1"/>
    <col min="14352" max="14353" width="8.6640625" style="96" customWidth="1"/>
    <col min="14354" max="14592" width="9.1640625" style="96" customWidth="1"/>
    <col min="14593" max="14593" width="12.6640625" style="96" customWidth="1"/>
    <col min="14594" max="14594" width="15.6640625" style="96" customWidth="1"/>
    <col min="14595" max="14595" width="9.6640625" style="96" customWidth="1"/>
    <col min="14596" max="14598" width="8.6640625" style="96" customWidth="1"/>
    <col min="14599" max="14599" width="7.6640625" style="96" customWidth="1"/>
    <col min="14600" max="14601" width="8.6640625" style="96" customWidth="1"/>
    <col min="14602" max="14602" width="9.6640625" style="96" customWidth="1"/>
    <col min="14603" max="14606" width="8.6640625" style="96" customWidth="1"/>
    <col min="14607" max="14607" width="9.6640625" style="96" customWidth="1"/>
    <col min="14608" max="14609" width="8.6640625" style="96" customWidth="1"/>
    <col min="14610" max="14848" width="9.1640625" style="96" customWidth="1"/>
    <col min="14849" max="14849" width="12.6640625" style="96" customWidth="1"/>
    <col min="14850" max="14850" width="15.6640625" style="96" customWidth="1"/>
    <col min="14851" max="14851" width="9.6640625" style="96" customWidth="1"/>
    <col min="14852" max="14854" width="8.6640625" style="96" customWidth="1"/>
    <col min="14855" max="14855" width="7.6640625" style="96" customWidth="1"/>
    <col min="14856" max="14857" width="8.6640625" style="96" customWidth="1"/>
    <col min="14858" max="14858" width="9.6640625" style="96" customWidth="1"/>
    <col min="14859" max="14862" width="8.6640625" style="96" customWidth="1"/>
    <col min="14863" max="14863" width="9.6640625" style="96" customWidth="1"/>
    <col min="14864" max="14865" width="8.6640625" style="96" customWidth="1"/>
    <col min="14866" max="15104" width="9.1640625" style="96" customWidth="1"/>
    <col min="15105" max="15105" width="12.6640625" style="96" customWidth="1"/>
    <col min="15106" max="15106" width="15.6640625" style="96" customWidth="1"/>
    <col min="15107" max="15107" width="9.6640625" style="96" customWidth="1"/>
    <col min="15108" max="15110" width="8.6640625" style="96" customWidth="1"/>
    <col min="15111" max="15111" width="7.6640625" style="96" customWidth="1"/>
    <col min="15112" max="15113" width="8.6640625" style="96" customWidth="1"/>
    <col min="15114" max="15114" width="9.6640625" style="96" customWidth="1"/>
    <col min="15115" max="15118" width="8.6640625" style="96" customWidth="1"/>
    <col min="15119" max="15119" width="9.6640625" style="96" customWidth="1"/>
    <col min="15120" max="15121" width="8.6640625" style="96" customWidth="1"/>
    <col min="15122" max="15360" width="9.1640625" style="96" customWidth="1"/>
    <col min="15361" max="15361" width="12.6640625" style="96" customWidth="1"/>
    <col min="15362" max="15362" width="15.6640625" style="96" customWidth="1"/>
    <col min="15363" max="15363" width="9.6640625" style="96" customWidth="1"/>
    <col min="15364" max="15366" width="8.6640625" style="96" customWidth="1"/>
    <col min="15367" max="15367" width="7.6640625" style="96" customWidth="1"/>
    <col min="15368" max="15369" width="8.6640625" style="96" customWidth="1"/>
    <col min="15370" max="15370" width="9.6640625" style="96" customWidth="1"/>
    <col min="15371" max="15374" width="8.6640625" style="96" customWidth="1"/>
    <col min="15375" max="15375" width="9.6640625" style="96" customWidth="1"/>
    <col min="15376" max="15377" width="8.6640625" style="96" customWidth="1"/>
    <col min="15378" max="15616" width="9.1640625" style="96" customWidth="1"/>
    <col min="15617" max="15617" width="12.6640625" style="96" customWidth="1"/>
    <col min="15618" max="15618" width="15.6640625" style="96" customWidth="1"/>
    <col min="15619" max="15619" width="9.6640625" style="96" customWidth="1"/>
    <col min="15620" max="15622" width="8.6640625" style="96" customWidth="1"/>
    <col min="15623" max="15623" width="7.6640625" style="96" customWidth="1"/>
    <col min="15624" max="15625" width="8.6640625" style="96" customWidth="1"/>
    <col min="15626" max="15626" width="9.6640625" style="96" customWidth="1"/>
    <col min="15627" max="15630" width="8.6640625" style="96" customWidth="1"/>
    <col min="15631" max="15631" width="9.6640625" style="96" customWidth="1"/>
    <col min="15632" max="15633" width="8.6640625" style="96" customWidth="1"/>
    <col min="15634" max="15872" width="9.1640625" style="96" customWidth="1"/>
    <col min="15873" max="15873" width="12.6640625" style="96" customWidth="1"/>
    <col min="15874" max="15874" width="15.6640625" style="96" customWidth="1"/>
    <col min="15875" max="15875" width="9.6640625" style="96" customWidth="1"/>
    <col min="15876" max="15878" width="8.6640625" style="96" customWidth="1"/>
    <col min="15879" max="15879" width="7.6640625" style="96" customWidth="1"/>
    <col min="15880" max="15881" width="8.6640625" style="96" customWidth="1"/>
    <col min="15882" max="15882" width="9.6640625" style="96" customWidth="1"/>
    <col min="15883" max="15886" width="8.6640625" style="96" customWidth="1"/>
    <col min="15887" max="15887" width="9.6640625" style="96" customWidth="1"/>
    <col min="15888" max="15889" width="8.6640625" style="96" customWidth="1"/>
    <col min="15890" max="16128" width="9.1640625" style="96" customWidth="1"/>
    <col min="16129" max="16129" width="12.6640625" style="96" customWidth="1"/>
    <col min="16130" max="16130" width="15.6640625" style="96" customWidth="1"/>
    <col min="16131" max="16131" width="9.6640625" style="96" customWidth="1"/>
    <col min="16132" max="16134" width="8.6640625" style="96" customWidth="1"/>
    <col min="16135" max="16135" width="7.6640625" style="96" customWidth="1"/>
    <col min="16136" max="16137" width="8.6640625" style="96" customWidth="1"/>
    <col min="16138" max="16138" width="9.6640625" style="96" customWidth="1"/>
    <col min="16139" max="16142" width="8.6640625" style="96" customWidth="1"/>
    <col min="16143" max="16143" width="9.6640625" style="96" customWidth="1"/>
    <col min="16144" max="16145" width="8.6640625" style="96" customWidth="1"/>
    <col min="16146" max="16384" width="9.1640625" style="96"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06">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06">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06">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06">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06">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06">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06">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06">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06">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06">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06">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06">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06">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06">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06">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06">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06">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06">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06">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06">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06">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06">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06">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06">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06">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06">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06">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06">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06">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06">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06">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06">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06">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06">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06">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06">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06">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06">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06">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06">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06">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06">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06">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06">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06">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06">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06">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06">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06">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06">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06">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06">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06">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06">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06">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06">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06">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06">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06">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06">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06">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06">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06">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06">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06">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06">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06">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06">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06">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06">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06">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06">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06">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06">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06">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06">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06">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06">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06">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06">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06">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06">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06">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06">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06">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06">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06">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06">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06">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06">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06">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06">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06">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06">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06">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06">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06">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06">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06">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06">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06">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06">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06">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06">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06">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06">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06">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06">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06">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06">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06">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06">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06">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06">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06">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06">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06">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06">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06">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06">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06">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06">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06">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06">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06">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06">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06">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06">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06">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06">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06">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06">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06">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06">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06">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06">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06">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06">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06">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06">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06">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06">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06">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06">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06">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06">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06">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06">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06">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06">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06">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06">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06">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06">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06">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06">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06">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06">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06">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06">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06">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06">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06">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06">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06">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06">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06">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06">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06">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06">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06">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06">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06">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06">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06">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06">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06">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06">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06">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06">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06">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06">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06">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06">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06">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06">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06">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06">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06">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06">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06">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06">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06">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06">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06">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06">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06">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06">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06">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06">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06">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06">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06">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06">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06">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06">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06">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06">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06">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06">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06">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06">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06">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06">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06">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06">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06">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06">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06">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06">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06">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06">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06">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06">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06">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06">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06">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06">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06">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06">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06">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06">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06">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06">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06">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06">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06">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06">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06">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06">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06">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06">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06">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06">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06">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06">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06">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06">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06">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06">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06">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06">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06">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06">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06">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06">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06">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06">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06">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06">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06">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06">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06">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06">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06">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06">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06">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06">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06">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06">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06">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06">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06">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06">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06">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06">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06">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06">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06">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06">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06">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06">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06">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06">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06">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06">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06">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06">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06">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06">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06">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06">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06">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06">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06">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06">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06">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06">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06">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06">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06">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06">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06">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06">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06">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06">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06">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06">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06">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06">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06">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06">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06">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06">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06">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06">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06">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06">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06">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06">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06">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06">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06">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06">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06">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06">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06">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06">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06">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06">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06">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06">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06">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06">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06">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06">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06">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06">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06">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06">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06">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06">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06">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06">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06">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06">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06">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06">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06">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06">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06">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06">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06">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06">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06">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06">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06">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06">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06">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4" sqref="E4"/>
    </sheetView>
  </sheetViews>
  <sheetFormatPr baseColWidth="10" defaultColWidth="9.1640625" defaultRowHeight="15" x14ac:dyDescent="0.2"/>
  <cols>
    <col min="1" max="1" width="5.83203125" style="97" customWidth="1"/>
    <col min="2" max="2" width="14.6640625" style="97" customWidth="1"/>
    <col min="3" max="3" width="63.1640625" style="97" customWidth="1"/>
    <col min="4" max="4" width="16.33203125" style="97" bestFit="1" customWidth="1"/>
    <col min="5" max="8" width="16.33203125" style="97" customWidth="1"/>
    <col min="9" max="9" width="21.83203125" style="97" customWidth="1"/>
    <col min="10" max="10" width="52.33203125" style="97" customWidth="1"/>
    <col min="11" max="12" width="9.1640625" style="97" customWidth="1"/>
    <col min="13" max="13" width="9.83203125" style="97" customWidth="1"/>
    <col min="14" max="14" width="9.1640625" style="97" customWidth="1"/>
    <col min="15" max="16384" width="9.1640625" style="97"/>
  </cols>
  <sheetData>
    <row r="1" spans="2:10" ht="16" customHeight="1" thickBot="1" x14ac:dyDescent="0.25"/>
    <row r="2" spans="2:10" x14ac:dyDescent="0.2">
      <c r="D2" s="4" t="s">
        <v>66</v>
      </c>
      <c r="E2" s="6">
        <f>DATE(YEAR(E3),MONTH(E3)-1,DAY(E3))</f>
        <v>44470</v>
      </c>
    </row>
    <row r="3" spans="2:10" ht="16" customHeight="1" thickBot="1" x14ac:dyDescent="0.25">
      <c r="D3" s="5" t="s">
        <v>67</v>
      </c>
      <c r="E3" s="7">
        <v>44501</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638190</v>
      </c>
      <c r="E7" s="61">
        <f>VLOOKUP($E$3,'Retail Sales'!A:B,2,)</f>
        <v>639829</v>
      </c>
      <c r="F7" s="107">
        <f t="shared" ref="F7:F21" si="0">(E7-D7)/D7</f>
        <v>2.5682006925837131E-3</v>
      </c>
      <c r="G7" s="107">
        <f>VLOOKUP($E$3,'Retail Sales'!A:D,4,)</f>
        <v>0.18213865388630329</v>
      </c>
      <c r="H7" s="62"/>
      <c r="I7" s="63" t="s">
        <v>51</v>
      </c>
      <c r="J7" s="64" t="s">
        <v>16</v>
      </c>
    </row>
    <row r="8" spans="2:10" ht="25.5" customHeight="1" x14ac:dyDescent="0.25">
      <c r="B8" s="38"/>
      <c r="C8" s="34" t="s">
        <v>15</v>
      </c>
      <c r="D8" s="35">
        <f>VLOOKUP($E$2,'Retail Sales ex Auto'!A:B,2,)</f>
        <v>511618</v>
      </c>
      <c r="E8" s="35">
        <f>VLOOKUP($E$3,'Retail Sales ex Auto'!A:B,2,)</f>
        <v>513340</v>
      </c>
      <c r="F8" s="108">
        <f t="shared" si="0"/>
        <v>3.3657924467082861E-3</v>
      </c>
      <c r="G8" s="108">
        <f>VLOOKUP($E$3,'Retail Sales ex Auto'!A:D,4,)</f>
        <v>0.19459182723633994</v>
      </c>
      <c r="H8" s="3"/>
      <c r="I8" s="36" t="s">
        <v>58</v>
      </c>
      <c r="J8" s="39" t="s">
        <v>18</v>
      </c>
    </row>
    <row r="9" spans="2:10" ht="25.5" customHeight="1" x14ac:dyDescent="0.25">
      <c r="B9" s="38"/>
      <c r="C9" s="34" t="s">
        <v>17</v>
      </c>
      <c r="D9" s="35">
        <f>VLOOKUP($E$2,'Retail Sales ex Auto and Gas'!A:B,2,)</f>
        <v>457642</v>
      </c>
      <c r="E9" s="35">
        <f>VLOOKUP($E$3,'Retail Sales ex Auto and Gas'!A:B,2,)</f>
        <v>458472</v>
      </c>
      <c r="F9" s="108">
        <f t="shared" si="0"/>
        <v>1.8136447266640736E-3</v>
      </c>
      <c r="G9" s="108">
        <f>VLOOKUP($E$3,'Retail Sales ex Auto and Gas'!A:D,4,)</f>
        <v>0.16450641978130834</v>
      </c>
      <c r="H9" s="3"/>
      <c r="I9" s="36" t="s">
        <v>50</v>
      </c>
      <c r="J9" s="39" t="s">
        <v>20</v>
      </c>
    </row>
    <row r="10" spans="2:10" ht="25.5" customHeight="1" x14ac:dyDescent="0.25">
      <c r="B10" s="40">
        <v>441</v>
      </c>
      <c r="C10" s="34" t="s">
        <v>75</v>
      </c>
      <c r="D10" s="35">
        <f>VLOOKUP($E$2,Motor!A:B,2,)</f>
        <v>126572</v>
      </c>
      <c r="E10" s="35">
        <f>VLOOKUP($E$3,Motor!A:B,2,)</f>
        <v>126489</v>
      </c>
      <c r="F10" s="108">
        <f t="shared" si="0"/>
        <v>-6.5575324716366965E-4</v>
      </c>
      <c r="G10" s="108">
        <f>VLOOKUP($E$3,Motor!A:D,4,)</f>
        <v>0.13415585463609708</v>
      </c>
      <c r="H10" s="109">
        <f t="shared" ref="H10:H21" si="1">D10/$D$7</f>
        <v>0.19832965104435982</v>
      </c>
      <c r="I10" s="36" t="s">
        <v>63</v>
      </c>
      <c r="J10" s="39" t="s">
        <v>42</v>
      </c>
    </row>
    <row r="11" spans="2:10" ht="25.5" customHeight="1" x14ac:dyDescent="0.25">
      <c r="B11" s="40">
        <v>454</v>
      </c>
      <c r="C11" s="34" t="s">
        <v>21</v>
      </c>
      <c r="D11" s="35">
        <f>VLOOKUP($E$2,'Non Store Retail'!A:B,2,)</f>
        <v>92138</v>
      </c>
      <c r="E11" s="35">
        <f>VLOOKUP($E$3,'Non Store Retail'!A:B,2,)</f>
        <v>92154</v>
      </c>
      <c r="F11" s="108">
        <f t="shared" si="0"/>
        <v>1.736525646313139E-4</v>
      </c>
      <c r="G11" s="108">
        <f>VLOOKUP($E$3,'Non Store Retail'!A:D,4,)</f>
        <v>0.12094488572088893</v>
      </c>
      <c r="H11" s="109">
        <f t="shared" si="1"/>
        <v>0.14437393252793054</v>
      </c>
      <c r="I11" s="36" t="s">
        <v>64</v>
      </c>
      <c r="J11" s="39" t="s">
        <v>25</v>
      </c>
    </row>
    <row r="12" spans="2:10" ht="25.5" customHeight="1" x14ac:dyDescent="0.25">
      <c r="B12" s="40">
        <v>445</v>
      </c>
      <c r="C12" s="34" t="s">
        <v>24</v>
      </c>
      <c r="D12" s="35">
        <f>VLOOKUP($E$2,'Food and Beverage'!A:B,2,)</f>
        <v>77426</v>
      </c>
      <c r="E12" s="35">
        <f>VLOOKUP($E$3,'Food and Beverage'!A:B,2,)</f>
        <v>78411</v>
      </c>
      <c r="F12" s="108">
        <f t="shared" si="0"/>
        <v>1.2721824710045722E-2</v>
      </c>
      <c r="G12" s="108">
        <f>VLOOKUP($E$3,'Food and Beverage'!A:D,4,)</f>
        <v>8.581438502229484E-2</v>
      </c>
      <c r="H12" s="109">
        <f t="shared" si="1"/>
        <v>0.12132123662232251</v>
      </c>
      <c r="I12" s="36" t="s">
        <v>54</v>
      </c>
      <c r="J12" s="39" t="s">
        <v>22</v>
      </c>
    </row>
    <row r="13" spans="2:10" ht="25.5" customHeight="1" x14ac:dyDescent="0.25">
      <c r="B13" s="40">
        <v>722</v>
      </c>
      <c r="C13" s="34" t="s">
        <v>27</v>
      </c>
      <c r="D13" s="35">
        <f>VLOOKUP($E$2,'Food Services'!A:B,2,)</f>
        <v>72990</v>
      </c>
      <c r="E13" s="35">
        <f>VLOOKUP($E$3,'Food Services'!A:B,2,)</f>
        <v>73731</v>
      </c>
      <c r="F13" s="108">
        <f t="shared" si="0"/>
        <v>1.0152075626798191E-2</v>
      </c>
      <c r="G13" s="108">
        <f>VLOOKUP($E$3,'Food Services'!A:D,4,)</f>
        <v>0.37437321751449287</v>
      </c>
      <c r="H13" s="109">
        <f t="shared" si="1"/>
        <v>0.11437032858553095</v>
      </c>
      <c r="I13" s="36" t="s">
        <v>57</v>
      </c>
      <c r="J13" s="39" t="s">
        <v>37</v>
      </c>
    </row>
    <row r="14" spans="2:10" ht="25.5" customHeight="1" x14ac:dyDescent="0.25">
      <c r="B14" s="40">
        <v>452</v>
      </c>
      <c r="C14" s="34" t="s">
        <v>30</v>
      </c>
      <c r="D14" s="35">
        <f>VLOOKUP($E$2,'General Merchandising'!A:B,2,)</f>
        <v>71506</v>
      </c>
      <c r="E14" s="35">
        <f>VLOOKUP($E$3,'General Merchandising'!A:B,2,)</f>
        <v>70654</v>
      </c>
      <c r="F14" s="108">
        <f t="shared" si="0"/>
        <v>-1.1915084048891002E-2</v>
      </c>
      <c r="G14" s="108">
        <f>VLOOKUP($E$3,'General Merchandising'!A:D,4,)</f>
        <v>0.14208586577007629</v>
      </c>
      <c r="H14" s="109">
        <f t="shared" si="1"/>
        <v>0.11204500227205064</v>
      </c>
      <c r="I14" s="36" t="s">
        <v>60</v>
      </c>
      <c r="J14" s="39" t="s">
        <v>34</v>
      </c>
    </row>
    <row r="15" spans="2:10" ht="25.5" customHeight="1" x14ac:dyDescent="0.25">
      <c r="B15" s="40">
        <v>447</v>
      </c>
      <c r="C15" s="34" t="s">
        <v>33</v>
      </c>
      <c r="D15" s="35">
        <f>VLOOKUP($E$2,'Gas Station'!A:B,2,)</f>
        <v>53976</v>
      </c>
      <c r="E15" s="35">
        <f>VLOOKUP($E$3,'Gas Station'!A:B,2,)</f>
        <v>54868</v>
      </c>
      <c r="F15" s="108">
        <f t="shared" si="0"/>
        <v>1.6525863346672595E-2</v>
      </c>
      <c r="G15" s="108">
        <f>VLOOKUP($E$3,'Gas Station'!A:D,4,)</f>
        <v>0.52347632930723309</v>
      </c>
      <c r="H15" s="109">
        <f t="shared" si="1"/>
        <v>8.4576693461194938E-2</v>
      </c>
      <c r="I15" s="36" t="s">
        <v>59</v>
      </c>
      <c r="J15" s="39" t="s">
        <v>39</v>
      </c>
    </row>
    <row r="16" spans="2:10" ht="25.5" customHeight="1" x14ac:dyDescent="0.25">
      <c r="B16" s="40">
        <v>444</v>
      </c>
      <c r="C16" s="34" t="s">
        <v>36</v>
      </c>
      <c r="D16" s="35">
        <f>VLOOKUP($E$2,Housing!A:B,2,)</f>
        <v>40279</v>
      </c>
      <c r="E16" s="35">
        <f>VLOOKUP($E$3,Housing!A:B,2,)</f>
        <v>40579</v>
      </c>
      <c r="F16" s="108">
        <f t="shared" si="0"/>
        <v>7.4480498522803444E-3</v>
      </c>
      <c r="G16" s="108">
        <f>VLOOKUP($E$3,Housing!A:D,4,)</f>
        <v>9.3154818027531588E-2</v>
      </c>
      <c r="H16" s="109">
        <f t="shared" si="1"/>
        <v>6.3114433005844656E-2</v>
      </c>
      <c r="I16" s="36" t="s">
        <v>52</v>
      </c>
      <c r="J16" s="39" t="s">
        <v>44</v>
      </c>
    </row>
    <row r="17" spans="2:10" ht="25.5" customHeight="1" x14ac:dyDescent="0.25">
      <c r="B17" s="40">
        <v>446</v>
      </c>
      <c r="C17" s="34" t="s">
        <v>29</v>
      </c>
      <c r="D17" s="35">
        <f>VLOOKUP($E$2,Health!A:B,2,)</f>
        <v>31855</v>
      </c>
      <c r="E17" s="35">
        <f>VLOOKUP($E$3,Health!A:B,2,)</f>
        <v>31656</v>
      </c>
      <c r="F17" s="108">
        <f t="shared" si="0"/>
        <v>-6.2470569769266992E-3</v>
      </c>
      <c r="G17" s="108">
        <f>VLOOKUP($E$3,Health!A:D,4,)</f>
        <v>7.2357723577235772E-2</v>
      </c>
      <c r="H17" s="109">
        <f t="shared" si="1"/>
        <v>4.9914602234444286E-2</v>
      </c>
      <c r="I17" s="36" t="s">
        <v>61</v>
      </c>
      <c r="J17" s="39" t="s">
        <v>28</v>
      </c>
    </row>
    <row r="18" spans="2:10" ht="25.5" customHeight="1" x14ac:dyDescent="0.25">
      <c r="B18" s="40">
        <v>448</v>
      </c>
      <c r="C18" s="34" t="s">
        <v>41</v>
      </c>
      <c r="D18" s="35">
        <f>VLOOKUP($E$2,'Clothing and clothing access'!A:B,2,0)</f>
        <v>26349</v>
      </c>
      <c r="E18" s="35">
        <f>VLOOKUP($E$3,'Clothing and clothing access'!A:B,2,)</f>
        <v>26491</v>
      </c>
      <c r="F18" s="108">
        <f t="shared" si="0"/>
        <v>5.3891988310751831E-3</v>
      </c>
      <c r="G18" s="108">
        <f>VLOOKUP($E$3,'Clothing and clothing access'!A:D,4,)</f>
        <v>0.34766241033728446</v>
      </c>
      <c r="H18" s="109">
        <f t="shared" si="1"/>
        <v>4.1287077516100223E-2</v>
      </c>
      <c r="I18" s="37" t="s">
        <v>53</v>
      </c>
      <c r="J18" s="41" t="s">
        <v>47</v>
      </c>
    </row>
    <row r="19" spans="2:10" ht="25.5" customHeight="1" x14ac:dyDescent="0.25">
      <c r="B19" s="40" t="s">
        <v>76</v>
      </c>
      <c r="C19" s="34" t="s">
        <v>43</v>
      </c>
      <c r="D19" s="35">
        <f>VLOOKUP($E$2,'Furniture Home'!A:B,2,)</f>
        <v>20829</v>
      </c>
      <c r="E19" s="35">
        <f>VLOOKUP($E$3,'Furniture Home'!A:B,2,)</f>
        <v>20446</v>
      </c>
      <c r="F19" s="108">
        <f t="shared" si="0"/>
        <v>-1.8387824667530847E-2</v>
      </c>
      <c r="G19" s="108">
        <f>VLOOKUP($E$3,'Furniture Home'!A:D,4,)</f>
        <v>0.16461608566871724</v>
      </c>
      <c r="H19" s="109">
        <f t="shared" si="1"/>
        <v>3.2637615757062942E-2</v>
      </c>
      <c r="I19" s="37" t="s">
        <v>77</v>
      </c>
      <c r="J19" s="41" t="s">
        <v>46</v>
      </c>
    </row>
    <row r="20" spans="2:10" ht="25.5" customHeight="1" x14ac:dyDescent="0.25">
      <c r="B20" s="40">
        <v>453</v>
      </c>
      <c r="C20" s="34" t="s">
        <v>45</v>
      </c>
      <c r="D20" s="35">
        <f>VLOOKUP($E$2,'Miscellaneous stores retailers'!A:B,2,)</f>
        <v>14929</v>
      </c>
      <c r="E20" s="35">
        <f>VLOOKUP($E$3,'Miscellaneous stores retailers'!A:B,2,)</f>
        <v>14886</v>
      </c>
      <c r="F20" s="108">
        <f t="shared" si="0"/>
        <v>-2.8803000870788399E-3</v>
      </c>
      <c r="G20" s="108">
        <f>VLOOKUP($E$3,'Miscellaneous stores retailers'!A:D,4,)</f>
        <v>0.23761223811107415</v>
      </c>
      <c r="H20" s="109">
        <f t="shared" si="1"/>
        <v>2.3392720036352812E-2</v>
      </c>
      <c r="I20" s="37" t="s">
        <v>62</v>
      </c>
      <c r="J20" s="41" t="s">
        <v>48</v>
      </c>
    </row>
    <row r="21" spans="2:10" ht="25.5" customHeight="1" thickBot="1" x14ac:dyDescent="0.3">
      <c r="B21" s="42">
        <v>451</v>
      </c>
      <c r="C21" s="43" t="s">
        <v>32</v>
      </c>
      <c r="D21" s="44">
        <f>VLOOKUP($E$2,'Sporting Goods'!A:B,2,)</f>
        <v>9341</v>
      </c>
      <c r="E21" s="44">
        <f>VLOOKUP($E$3,'Sporting Goods'!A:B,2,)</f>
        <v>9464</v>
      </c>
      <c r="F21" s="110">
        <f t="shared" si="0"/>
        <v>1.3167755058344931E-2</v>
      </c>
      <c r="G21" s="110">
        <f>VLOOKUP($E$3,'Sporting Goods'!A:D,4,)</f>
        <v>0.199949283631292</v>
      </c>
      <c r="H21" s="111">
        <f t="shared" si="1"/>
        <v>1.4636706936805653E-2</v>
      </c>
      <c r="I21" s="47" t="s">
        <v>65</v>
      </c>
      <c r="J21" s="48" t="s">
        <v>31</v>
      </c>
    </row>
    <row r="22" spans="2:10" ht="25.5" customHeight="1" thickBot="1" x14ac:dyDescent="0.3">
      <c r="D22" s="45">
        <f>SUM(D10:D21)</f>
        <v>638190</v>
      </c>
      <c r="E22" s="46">
        <f>SUM(E10:E21)</f>
        <v>639829</v>
      </c>
      <c r="H22" s="112">
        <f>SUM(H10:H21)</f>
        <v>1</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5"/>
  <sheetViews>
    <sheetView topLeftCell="A43" zoomScale="140" zoomScaleNormal="140" workbookViewId="0">
      <selection activeCell="AG54" sqref="AG54"/>
    </sheetView>
  </sheetViews>
  <sheetFormatPr baseColWidth="10" defaultColWidth="9.1640625" defaultRowHeight="15" x14ac:dyDescent="0.2"/>
  <cols>
    <col min="1" max="1" width="3" style="97" customWidth="1"/>
    <col min="2" max="32" width="7.6640625" style="97" customWidth="1"/>
    <col min="33" max="33" width="9.1640625" style="97" customWidth="1"/>
    <col min="34" max="16384" width="9.1640625" style="97"/>
  </cols>
  <sheetData>
    <row r="1" spans="2:32" ht="16" customHeight="1" thickBot="1" x14ac:dyDescent="0.25"/>
    <row r="2" spans="2:32" ht="87" customHeight="1" thickBot="1" x14ac:dyDescent="0.25">
      <c r="B2" s="54"/>
      <c r="C2" s="132" t="s">
        <v>0</v>
      </c>
      <c r="D2" s="127"/>
      <c r="E2" s="133" t="s">
        <v>15</v>
      </c>
      <c r="F2" s="127"/>
      <c r="G2" s="132" t="s">
        <v>17</v>
      </c>
      <c r="H2" s="127"/>
      <c r="I2" s="132" t="s">
        <v>19</v>
      </c>
      <c r="J2" s="127"/>
      <c r="K2" s="132" t="s">
        <v>21</v>
      </c>
      <c r="L2" s="127"/>
      <c r="M2" s="132" t="s">
        <v>24</v>
      </c>
      <c r="N2" s="127"/>
      <c r="O2" s="132" t="s">
        <v>27</v>
      </c>
      <c r="P2" s="127"/>
      <c r="Q2" s="132" t="s">
        <v>78</v>
      </c>
      <c r="R2" s="127"/>
      <c r="S2" s="132" t="s">
        <v>33</v>
      </c>
      <c r="T2" s="127"/>
      <c r="U2" s="132" t="s">
        <v>36</v>
      </c>
      <c r="V2" s="127"/>
      <c r="W2" s="132" t="s">
        <v>29</v>
      </c>
      <c r="X2" s="127"/>
      <c r="Y2" s="132" t="s">
        <v>79</v>
      </c>
      <c r="Z2" s="127"/>
      <c r="AA2" s="132" t="s">
        <v>80</v>
      </c>
      <c r="AB2" s="127"/>
      <c r="AC2" s="132" t="s">
        <v>81</v>
      </c>
      <c r="AD2" s="127"/>
      <c r="AE2" s="132" t="s">
        <v>32</v>
      </c>
      <c r="AF2" s="127"/>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5">
    <cfRule type="colorScale" priority="243">
      <colorScale>
        <cfvo type="min"/>
        <cfvo type="percentile" val="50"/>
        <cfvo type="max"/>
        <color rgb="FFF8696B"/>
        <color rgb="FFFFEB84"/>
        <color rgb="FF63BE7B"/>
      </colorScale>
    </cfRule>
  </conditionalFormatting>
  <conditionalFormatting sqref="D4:D55">
    <cfRule type="colorScale" priority="244">
      <colorScale>
        <cfvo type="min"/>
        <cfvo type="percentile" val="50"/>
        <cfvo type="max"/>
        <color rgb="FFF8696B"/>
        <color rgb="FFFFEB84"/>
        <color rgb="FF63BE7B"/>
      </colorScale>
    </cfRule>
  </conditionalFormatting>
  <conditionalFormatting sqref="E4:E55">
    <cfRule type="colorScale" priority="245">
      <colorScale>
        <cfvo type="min"/>
        <cfvo type="percentile" val="50"/>
        <cfvo type="max"/>
        <color rgb="FFF8696B"/>
        <color rgb="FFFFEB84"/>
        <color rgb="FF63BE7B"/>
      </colorScale>
    </cfRule>
  </conditionalFormatting>
  <conditionalFormatting sqref="F4:F55">
    <cfRule type="colorScale" priority="246">
      <colorScale>
        <cfvo type="min"/>
        <cfvo type="percentile" val="50"/>
        <cfvo type="max"/>
        <color rgb="FFF8696B"/>
        <color rgb="FFFFEB84"/>
        <color rgb="FF63BE7B"/>
      </colorScale>
    </cfRule>
  </conditionalFormatting>
  <conditionalFormatting sqref="G4:G55">
    <cfRule type="colorScale" priority="247">
      <colorScale>
        <cfvo type="min"/>
        <cfvo type="percentile" val="50"/>
        <cfvo type="max"/>
        <color rgb="FFF8696B"/>
        <color rgb="FFFFEB84"/>
        <color rgb="FF63BE7B"/>
      </colorScale>
    </cfRule>
  </conditionalFormatting>
  <conditionalFormatting sqref="H4:H55">
    <cfRule type="colorScale" priority="248">
      <colorScale>
        <cfvo type="min"/>
        <cfvo type="percentile" val="50"/>
        <cfvo type="max"/>
        <color rgb="FFF8696B"/>
        <color rgb="FFFFEB84"/>
        <color rgb="FF63BE7B"/>
      </colorScale>
    </cfRule>
  </conditionalFormatting>
  <conditionalFormatting sqref="I4:I55">
    <cfRule type="colorScale" priority="249">
      <colorScale>
        <cfvo type="min"/>
        <cfvo type="percentile" val="50"/>
        <cfvo type="max"/>
        <color rgb="FFF8696B"/>
        <color rgb="FFFFEB84"/>
        <color rgb="FF63BE7B"/>
      </colorScale>
    </cfRule>
  </conditionalFormatting>
  <conditionalFormatting sqref="J4:J55">
    <cfRule type="colorScale" priority="250">
      <colorScale>
        <cfvo type="min"/>
        <cfvo type="percentile" val="50"/>
        <cfvo type="max"/>
        <color rgb="FFF8696B"/>
        <color rgb="FFFFEB84"/>
        <color rgb="FF63BE7B"/>
      </colorScale>
    </cfRule>
  </conditionalFormatting>
  <conditionalFormatting sqref="K4:K55">
    <cfRule type="colorScale" priority="251">
      <colorScale>
        <cfvo type="min"/>
        <cfvo type="percentile" val="50"/>
        <cfvo type="max"/>
        <color rgb="FFF8696B"/>
        <color rgb="FFFFEB84"/>
        <color rgb="FF63BE7B"/>
      </colorScale>
    </cfRule>
  </conditionalFormatting>
  <conditionalFormatting sqref="L4:L55">
    <cfRule type="colorScale" priority="252">
      <colorScale>
        <cfvo type="min"/>
        <cfvo type="percentile" val="50"/>
        <cfvo type="max"/>
        <color rgb="FFF8696B"/>
        <color rgb="FFFFEB84"/>
        <color rgb="FF63BE7B"/>
      </colorScale>
    </cfRule>
  </conditionalFormatting>
  <conditionalFormatting sqref="M4:M55">
    <cfRule type="colorScale" priority="253">
      <colorScale>
        <cfvo type="min"/>
        <cfvo type="percentile" val="50"/>
        <cfvo type="max"/>
        <color rgb="FFF8696B"/>
        <color rgb="FFFFEB84"/>
        <color rgb="FF63BE7B"/>
      </colorScale>
    </cfRule>
  </conditionalFormatting>
  <conditionalFormatting sqref="O4:O55">
    <cfRule type="colorScale" priority="254">
      <colorScale>
        <cfvo type="min"/>
        <cfvo type="percentile" val="50"/>
        <cfvo type="max"/>
        <color rgb="FFF8696B"/>
        <color rgb="FFFFEB84"/>
        <color rgb="FF63BE7B"/>
      </colorScale>
    </cfRule>
  </conditionalFormatting>
  <conditionalFormatting sqref="P4:P55">
    <cfRule type="colorScale" priority="255">
      <colorScale>
        <cfvo type="min"/>
        <cfvo type="percentile" val="50"/>
        <cfvo type="max"/>
        <color rgb="FFF8696B"/>
        <color rgb="FFFFEB84"/>
        <color rgb="FF63BE7B"/>
      </colorScale>
    </cfRule>
  </conditionalFormatting>
  <conditionalFormatting sqref="Q4:Q55">
    <cfRule type="colorScale" priority="256">
      <colorScale>
        <cfvo type="min"/>
        <cfvo type="percentile" val="50"/>
        <cfvo type="max"/>
        <color rgb="FFF8696B"/>
        <color rgb="FFFFEB84"/>
        <color rgb="FF63BE7B"/>
      </colorScale>
    </cfRule>
  </conditionalFormatting>
  <conditionalFormatting sqref="R4:R55">
    <cfRule type="colorScale" priority="257">
      <colorScale>
        <cfvo type="min"/>
        <cfvo type="percentile" val="50"/>
        <cfvo type="max"/>
        <color rgb="FFF8696B"/>
        <color rgb="FFFFEB84"/>
        <color rgb="FF63BE7B"/>
      </colorScale>
    </cfRule>
  </conditionalFormatting>
  <conditionalFormatting sqref="S4:S55">
    <cfRule type="colorScale" priority="258">
      <colorScale>
        <cfvo type="min"/>
        <cfvo type="percentile" val="50"/>
        <cfvo type="max"/>
        <color rgb="FFF8696B"/>
        <color rgb="FFFFEB84"/>
        <color rgb="FF63BE7B"/>
      </colorScale>
    </cfRule>
  </conditionalFormatting>
  <conditionalFormatting sqref="T4:T55">
    <cfRule type="colorScale" priority="259">
      <colorScale>
        <cfvo type="min"/>
        <cfvo type="percentile" val="50"/>
        <cfvo type="max"/>
        <color rgb="FFF8696B"/>
        <color rgb="FFFFEB84"/>
        <color rgb="FF63BE7B"/>
      </colorScale>
    </cfRule>
  </conditionalFormatting>
  <conditionalFormatting sqref="U4:U55">
    <cfRule type="colorScale" priority="260">
      <colorScale>
        <cfvo type="min"/>
        <cfvo type="percentile" val="50"/>
        <cfvo type="max"/>
        <color rgb="FFF8696B"/>
        <color rgb="FFFFEB84"/>
        <color rgb="FF63BE7B"/>
      </colorScale>
    </cfRule>
  </conditionalFormatting>
  <conditionalFormatting sqref="V4:V55">
    <cfRule type="colorScale" priority="261">
      <colorScale>
        <cfvo type="min"/>
        <cfvo type="percentile" val="50"/>
        <cfvo type="max"/>
        <color rgb="FFF8696B"/>
        <color rgb="FFFFEB84"/>
        <color rgb="FF63BE7B"/>
      </colorScale>
    </cfRule>
  </conditionalFormatting>
  <conditionalFormatting sqref="W4:W55">
    <cfRule type="colorScale" priority="262">
      <colorScale>
        <cfvo type="min"/>
        <cfvo type="percentile" val="50"/>
        <cfvo type="max"/>
        <color rgb="FFF8696B"/>
        <color rgb="FFFFEB84"/>
        <color rgb="FF63BE7B"/>
      </colorScale>
    </cfRule>
  </conditionalFormatting>
  <conditionalFormatting sqref="X4:X55">
    <cfRule type="colorScale" priority="265">
      <colorScale>
        <cfvo type="min"/>
        <cfvo type="percentile" val="50"/>
        <cfvo type="max"/>
        <color rgb="FFF8696B"/>
        <color rgb="FFFFEB84"/>
        <color rgb="FF63BE7B"/>
      </colorScale>
    </cfRule>
  </conditionalFormatting>
  <conditionalFormatting sqref="Y4:Y55">
    <cfRule type="colorScale" priority="268">
      <colorScale>
        <cfvo type="min"/>
        <cfvo type="percentile" val="50"/>
        <cfvo type="max"/>
        <color rgb="FFF8696B"/>
        <color rgb="FFFFEB84"/>
        <color rgb="FF63BE7B"/>
      </colorScale>
    </cfRule>
  </conditionalFormatting>
  <conditionalFormatting sqref="Z4:Z55">
    <cfRule type="colorScale" priority="269">
      <colorScale>
        <cfvo type="min"/>
        <cfvo type="percentile" val="50"/>
        <cfvo type="max"/>
        <color rgb="FFF8696B"/>
        <color rgb="FFFFEB84"/>
        <color rgb="FF63BE7B"/>
      </colorScale>
    </cfRule>
  </conditionalFormatting>
  <conditionalFormatting sqref="AA4:AA55">
    <cfRule type="colorScale" priority="270">
      <colorScale>
        <cfvo type="min"/>
        <cfvo type="percentile" val="50"/>
        <cfvo type="max"/>
        <color rgb="FFF8696B"/>
        <color rgb="FFFFEB84"/>
        <color rgb="FF63BE7B"/>
      </colorScale>
    </cfRule>
  </conditionalFormatting>
  <conditionalFormatting sqref="AB4:AB55">
    <cfRule type="colorScale" priority="271">
      <colorScale>
        <cfvo type="min"/>
        <cfvo type="percentile" val="50"/>
        <cfvo type="max"/>
        <color rgb="FFF8696B"/>
        <color rgb="FFFFEB84"/>
        <color rgb="FF63BE7B"/>
      </colorScale>
    </cfRule>
  </conditionalFormatting>
  <conditionalFormatting sqref="AC4:AC55">
    <cfRule type="colorScale" priority="272">
      <colorScale>
        <cfvo type="min"/>
        <cfvo type="percentile" val="50"/>
        <cfvo type="max"/>
        <color rgb="FFF8696B"/>
        <color rgb="FFFFEB84"/>
        <color rgb="FF63BE7B"/>
      </colorScale>
    </cfRule>
  </conditionalFormatting>
  <conditionalFormatting sqref="AD4:AD55">
    <cfRule type="colorScale" priority="273">
      <colorScale>
        <cfvo type="min"/>
        <cfvo type="percentile" val="50"/>
        <cfvo type="max"/>
        <color rgb="FFF8696B"/>
        <color rgb="FFFFEB84"/>
        <color rgb="FF63BE7B"/>
      </colorScale>
    </cfRule>
  </conditionalFormatting>
  <conditionalFormatting sqref="AE4:AE55">
    <cfRule type="colorScale" priority="274">
      <colorScale>
        <cfvo type="min"/>
        <cfvo type="percentile" val="50"/>
        <cfvo type="max"/>
        <color rgb="FFF8696B"/>
        <color rgb="FFFFEB84"/>
        <color rgb="FF63BE7B"/>
      </colorScale>
    </cfRule>
  </conditionalFormatting>
  <conditionalFormatting sqref="AF4:AF55">
    <cfRule type="colorScale" priority="275">
      <colorScale>
        <cfvo type="min"/>
        <cfvo type="percentile" val="50"/>
        <cfvo type="max"/>
        <color rgb="FFF8696B"/>
        <color rgb="FFFFEB84"/>
        <color rgb="FF63BE7B"/>
      </colorScale>
    </cfRule>
  </conditionalFormatting>
  <conditionalFormatting sqref="N4:N55">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2"/>
  <sheetViews>
    <sheetView zoomScale="170" zoomScaleNormal="170" workbookViewId="0">
      <pane ySplit="6" topLeftCell="A292" activePane="bottomLeft" state="frozen"/>
      <selection pane="bottomLeft" activeCell="F381" sqref="F381"/>
    </sheetView>
  </sheetViews>
  <sheetFormatPr baseColWidth="10" defaultColWidth="8.83203125" defaultRowHeight="15" x14ac:dyDescent="0.2"/>
  <cols>
    <col min="1" max="1" width="14" style="96" customWidth="1"/>
    <col min="2" max="2" width="17.6640625" style="96" customWidth="1"/>
    <col min="3" max="3" width="14.33203125" style="96" customWidth="1"/>
    <col min="4" max="4" width="14.1640625" style="96" customWidth="1"/>
    <col min="5" max="53" width="9.1640625" style="97" customWidth="1"/>
  </cols>
  <sheetData>
    <row r="1" spans="1:13" s="97" customFormat="1" x14ac:dyDescent="0.2">
      <c r="A1" s="26" t="s">
        <v>50</v>
      </c>
      <c r="B1" s="27" t="s">
        <v>83</v>
      </c>
      <c r="I1" s="21"/>
      <c r="J1" s="21"/>
      <c r="L1" s="97" t="s">
        <v>12</v>
      </c>
      <c r="M1" s="97" t="s">
        <v>13</v>
      </c>
    </row>
    <row r="2" spans="1:13" s="97" customFormat="1" x14ac:dyDescent="0.2">
      <c r="A2" s="95" t="s">
        <v>84</v>
      </c>
      <c r="I2" s="21"/>
      <c r="J2" s="21"/>
      <c r="L2" s="28">
        <f>MAX(C8:C335)</f>
        <v>2.6784604080709887E-2</v>
      </c>
      <c r="M2" s="28">
        <f>MAX(D8:D335)</f>
        <v>8.4068563615054048E-2</v>
      </c>
    </row>
    <row r="3" spans="1:13" s="97" customFormat="1" x14ac:dyDescent="0.2">
      <c r="A3" s="95"/>
      <c r="I3" s="21"/>
      <c r="J3" s="21"/>
      <c r="L3" s="28">
        <f>MIN(C8:C335)</f>
        <v>-2.3982568162071963E-2</v>
      </c>
      <c r="M3" s="28">
        <f>MIN(D8:D335)</f>
        <v>-5.3538669132919936E-2</v>
      </c>
    </row>
    <row r="4" spans="1:13" s="97" customFormat="1" x14ac:dyDescent="0.2">
      <c r="A4" s="95"/>
      <c r="I4" s="21"/>
      <c r="J4" s="21"/>
      <c r="L4" s="28"/>
      <c r="M4" s="28"/>
    </row>
    <row r="5" spans="1:13" s="97" customFormat="1" x14ac:dyDescent="0.2">
      <c r="C5" s="97" t="s">
        <v>85</v>
      </c>
      <c r="D5" s="97"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65"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97" customFormat="1" x14ac:dyDescent="0.2">
      <c r="A336" s="11">
        <v>43617</v>
      </c>
      <c r="B336" s="15">
        <f>VLOOKUP(A336,Database!A:M,MATCH($A$1,Database!$A$1:$M$1,),)</f>
        <v>370338</v>
      </c>
      <c r="C336" s="12">
        <f t="shared" si="10"/>
        <v>6.4216319043413272E-3</v>
      </c>
      <c r="D336" s="13">
        <f t="shared" si="9"/>
        <v>4.2427483709343732E-2</v>
      </c>
    </row>
    <row r="337" spans="1:4" s="97" customFormat="1" x14ac:dyDescent="0.2">
      <c r="A337" s="10">
        <v>43647</v>
      </c>
      <c r="B337" s="15">
        <f>VLOOKUP(A337,Database!A:M,MATCH($A$1,Database!$A$1:$M$1,),)</f>
        <v>372369</v>
      </c>
      <c r="C337" s="12">
        <f t="shared" si="10"/>
        <v>5.4841793172723296E-3</v>
      </c>
      <c r="D337" s="13">
        <f t="shared" si="9"/>
        <v>4.1285776205589965E-2</v>
      </c>
    </row>
    <row r="338" spans="1:4" s="97" customFormat="1" x14ac:dyDescent="0.2">
      <c r="A338" s="11">
        <v>43678</v>
      </c>
      <c r="B338" s="15">
        <f>VLOOKUP(A338,Database!A:M,MATCH($A$1,Database!$A$1:$M$1,),)</f>
        <v>373450</v>
      </c>
      <c r="C338" s="12">
        <f t="shared" si="10"/>
        <v>2.9030343557063022E-3</v>
      </c>
      <c r="D338" s="13">
        <f t="shared" si="9"/>
        <v>4.4358311800172266E-2</v>
      </c>
    </row>
    <row r="339" spans="1:4" s="97" customFormat="1" x14ac:dyDescent="0.2">
      <c r="A339" s="10">
        <v>43709</v>
      </c>
      <c r="B339" s="15">
        <f>VLOOKUP(A339,Database!A:M,MATCH($A$1,Database!$A$1:$M$1,),)</f>
        <v>372355</v>
      </c>
      <c r="C339" s="12">
        <f t="shared" si="10"/>
        <v>-2.9321194269647877E-3</v>
      </c>
      <c r="D339" s="13">
        <f t="shared" ref="D339:D362" si="11">(B339-B327)/B327</f>
        <v>4.3423312849052424E-2</v>
      </c>
    </row>
    <row r="340" spans="1:4" s="97" customFormat="1" x14ac:dyDescent="0.2">
      <c r="A340" s="11">
        <v>43739</v>
      </c>
      <c r="B340" s="15">
        <f>VLOOKUP(A340,Database!A:M,MATCH($A$1,Database!$A$1:$M$1,),)</f>
        <v>373751</v>
      </c>
      <c r="C340" s="12">
        <f t="shared" si="10"/>
        <v>3.7491103919646573E-3</v>
      </c>
      <c r="D340" s="13">
        <f t="shared" si="11"/>
        <v>3.7468112687472417E-2</v>
      </c>
    </row>
    <row r="341" spans="1:4" s="97" customFormat="1" x14ac:dyDescent="0.2">
      <c r="A341" s="10">
        <v>43770</v>
      </c>
      <c r="B341" s="15">
        <f>VLOOKUP(A341,Database!A:M,MATCH($A$1,Database!$A$1:$M$1,),)</f>
        <v>372985</v>
      </c>
      <c r="C341" s="12">
        <f t="shared" si="10"/>
        <v>-2.0494928441663032E-3</v>
      </c>
      <c r="D341" s="13">
        <f t="shared" si="11"/>
        <v>2.8768048985671139E-2</v>
      </c>
    </row>
    <row r="342" spans="1:4" s="97" customFormat="1" x14ac:dyDescent="0.2">
      <c r="A342" s="11">
        <v>43800</v>
      </c>
      <c r="B342" s="15">
        <f>VLOOKUP(A342,Database!A:M,MATCH($A$1,Database!$A$1:$M$1,),)</f>
        <v>374946</v>
      </c>
      <c r="C342" s="12">
        <f t="shared" si="10"/>
        <v>5.2575840851508777E-3</v>
      </c>
      <c r="D342" s="13">
        <f t="shared" si="11"/>
        <v>5.9588537839823659E-2</v>
      </c>
    </row>
    <row r="343" spans="1:4" s="97" customFormat="1" x14ac:dyDescent="0.2">
      <c r="A343" s="10">
        <v>43831</v>
      </c>
      <c r="B343" s="15">
        <f>VLOOKUP(A343,Database!A:M,MATCH($A$1,Database!$A$1:$M$1,),)</f>
        <v>378573</v>
      </c>
      <c r="C343" s="12">
        <f t="shared" si="10"/>
        <v>9.673392968587477E-3</v>
      </c>
      <c r="D343" s="13">
        <f t="shared" si="11"/>
        <v>4.1930654101690439E-2</v>
      </c>
    </row>
    <row r="344" spans="1:4" s="97" customFormat="1" x14ac:dyDescent="0.2">
      <c r="A344" s="11">
        <v>43862</v>
      </c>
      <c r="B344" s="15">
        <f>VLOOKUP(A344,Database!A:M,MATCH($A$1,Database!$A$1:$M$1,),)</f>
        <v>378665</v>
      </c>
      <c r="C344" s="12">
        <f t="shared" si="10"/>
        <v>2.4301785917115061E-4</v>
      </c>
      <c r="D344" s="13">
        <f t="shared" si="11"/>
        <v>4.9416074981847607E-2</v>
      </c>
    </row>
    <row r="345" spans="1:4" s="97" customFormat="1" x14ac:dyDescent="0.2">
      <c r="A345" s="10">
        <v>43891</v>
      </c>
      <c r="B345" s="15">
        <f>VLOOKUP(A345,Database!A:M,MATCH($A$1,Database!$A$1:$M$1,),)</f>
        <v>367684</v>
      </c>
      <c r="C345" s="12">
        <f t="shared" si="10"/>
        <v>-2.8999247355842236E-2</v>
      </c>
      <c r="D345" s="13">
        <f t="shared" si="11"/>
        <v>8.9622356744178382E-3</v>
      </c>
    </row>
    <row r="346" spans="1:4" s="97" customFormat="1" x14ac:dyDescent="0.2">
      <c r="A346" s="11">
        <v>43922</v>
      </c>
      <c r="B346" s="15">
        <f>VLOOKUP(A346,Database!A:M,MATCH($A$1,Database!$A$1:$M$1,),)</f>
        <v>315490</v>
      </c>
      <c r="C346" s="12">
        <f t="shared" si="10"/>
        <v>-0.141953416520708</v>
      </c>
      <c r="D346" s="13">
        <f t="shared" si="11"/>
        <v>-0.13953361516432566</v>
      </c>
    </row>
    <row r="347" spans="1:4" s="97" customFormat="1" x14ac:dyDescent="0.2">
      <c r="A347" s="10">
        <v>43952</v>
      </c>
      <c r="B347" s="15">
        <f>VLOOKUP(A347,Database!A:M,MATCH($A$1,Database!$A$1:$M$1,),)</f>
        <v>353737</v>
      </c>
      <c r="C347" s="12">
        <f t="shared" si="10"/>
        <v>0.12123046689276998</v>
      </c>
      <c r="D347" s="13">
        <f t="shared" si="11"/>
        <v>-3.8692845981384602E-2</v>
      </c>
    </row>
    <row r="348" spans="1:4" s="97" customFormat="1" x14ac:dyDescent="0.2">
      <c r="A348" s="11">
        <v>43983</v>
      </c>
      <c r="B348" s="15">
        <f>VLOOKUP(A348,Database!A:M,MATCH($A$1,Database!$A$1:$M$1,),)</f>
        <v>381322</v>
      </c>
      <c r="C348" s="12">
        <f t="shared" si="10"/>
        <v>7.7981664343848678E-2</v>
      </c>
      <c r="D348" s="13">
        <f t="shared" si="11"/>
        <v>2.9659392230880981E-2</v>
      </c>
    </row>
    <row r="349" spans="1:4" s="97" customFormat="1" x14ac:dyDescent="0.2">
      <c r="A349" s="10">
        <v>44013</v>
      </c>
      <c r="B349" s="15">
        <f>VLOOKUP(A349,Database!A:M,MATCH($A$1,Database!$A$1:$M$1,),)</f>
        <v>388073</v>
      </c>
      <c r="C349" s="12">
        <f t="shared" si="10"/>
        <v>1.7704197502373321E-2</v>
      </c>
      <c r="D349" s="13">
        <f t="shared" si="11"/>
        <v>4.2173220649409593E-2</v>
      </c>
    </row>
    <row r="350" spans="1:4" s="97" customFormat="1" x14ac:dyDescent="0.2">
      <c r="A350" s="11">
        <v>44044</v>
      </c>
      <c r="B350" s="15">
        <f>VLOOKUP(A350,Database!A:M,MATCH($A$1,Database!$A$1:$M$1,),)</f>
        <v>391699</v>
      </c>
      <c r="C350" s="12">
        <f t="shared" si="10"/>
        <v>9.3436028788398059E-3</v>
      </c>
      <c r="D350" s="13">
        <f t="shared" si="11"/>
        <v>4.8865979381443297E-2</v>
      </c>
    </row>
    <row r="351" spans="1:4" s="97" customFormat="1" x14ac:dyDescent="0.2">
      <c r="A351" s="10">
        <v>44075</v>
      </c>
      <c r="B351" s="15">
        <f>VLOOKUP(A351,Database!A:M,MATCH($A$1,Database!$A$1:$M$1,),)</f>
        <v>397938</v>
      </c>
      <c r="C351" s="12">
        <f t="shared" si="10"/>
        <v>1.5928046791030867E-2</v>
      </c>
      <c r="D351" s="13">
        <f t="shared" si="11"/>
        <v>6.8705939224664628E-2</v>
      </c>
    </row>
    <row r="352" spans="1:4" s="97" customFormat="1" x14ac:dyDescent="0.2">
      <c r="A352" s="11">
        <v>44105</v>
      </c>
      <c r="B352" s="15">
        <f>VLOOKUP(A352,Database!A:M,MATCH($A$1,Database!$A$1:$M$1,),)</f>
        <v>398444</v>
      </c>
      <c r="C352" s="12">
        <f t="shared" si="10"/>
        <v>1.2715548653307802E-3</v>
      </c>
      <c r="D352" s="13">
        <f t="shared" si="11"/>
        <v>6.6068050654045071E-2</v>
      </c>
    </row>
    <row r="353" spans="1:4" s="97" customFormat="1" x14ac:dyDescent="0.2">
      <c r="A353" s="10">
        <v>44136</v>
      </c>
      <c r="B353" s="15">
        <f>VLOOKUP(A353,Database!A:M,MATCH($A$1,Database!$A$1:$M$1,),)</f>
        <v>393705</v>
      </c>
      <c r="C353" s="12">
        <f t="shared" si="10"/>
        <v>-1.1893766752667878E-2</v>
      </c>
      <c r="D353" s="13">
        <f t="shared" si="11"/>
        <v>5.5551831843103611E-2</v>
      </c>
    </row>
    <row r="354" spans="1:4" s="97" customFormat="1" x14ac:dyDescent="0.2">
      <c r="A354" s="11">
        <v>44166</v>
      </c>
      <c r="B354" s="15">
        <f>VLOOKUP(A354,Database!A:M,MATCH($A$1,Database!$A$1:$M$1,),)</f>
        <v>382427</v>
      </c>
      <c r="C354" s="12">
        <f t="shared" si="10"/>
        <v>-2.8645813489795658E-2</v>
      </c>
      <c r="D354" s="13">
        <f t="shared" si="11"/>
        <v>1.9952206451062285E-2</v>
      </c>
    </row>
    <row r="355" spans="1:4" s="97" customFormat="1" x14ac:dyDescent="0.2">
      <c r="A355" s="10">
        <v>44197</v>
      </c>
      <c r="B355" s="15">
        <f>VLOOKUP(A355,Database!A:M,MATCH($A$1,Database!$A$1:$M$1,),)</f>
        <v>415492</v>
      </c>
      <c r="C355" s="12">
        <f t="shared" si="10"/>
        <v>8.6460945487635554E-2</v>
      </c>
      <c r="D355" s="13">
        <f t="shared" si="11"/>
        <v>9.7521481986301187E-2</v>
      </c>
    </row>
    <row r="356" spans="1:4" s="97" customFormat="1" x14ac:dyDescent="0.2">
      <c r="A356" s="11">
        <v>44228</v>
      </c>
      <c r="B356" s="15">
        <f>VLOOKUP(A356,Database!A:M,MATCH($A$1,Database!$A$1:$M$1,),)</f>
        <v>402025</v>
      </c>
      <c r="C356" s="12">
        <f t="shared" si="10"/>
        <v>-3.2412176407728671E-2</v>
      </c>
      <c r="D356" s="13">
        <f t="shared" si="11"/>
        <v>6.1690412369772754E-2</v>
      </c>
    </row>
    <row r="357" spans="1:4" s="97" customFormat="1" x14ac:dyDescent="0.2">
      <c r="A357" s="10">
        <v>44256</v>
      </c>
      <c r="B357" s="15">
        <f>VLOOKUP(A357,Database!A:M,MATCH($A$1,Database!$A$1:$M$1,),)</f>
        <v>441234</v>
      </c>
      <c r="C357" s="12">
        <f t="shared" si="10"/>
        <v>9.7528760649213356E-2</v>
      </c>
      <c r="D357" s="13">
        <f t="shared" si="11"/>
        <v>0.20003590039272853</v>
      </c>
    </row>
    <row r="358" spans="1:4" s="97" customFormat="1" x14ac:dyDescent="0.2">
      <c r="A358" s="11">
        <v>44287</v>
      </c>
      <c r="B358" s="15">
        <f>VLOOKUP(A358,Database!A:M,MATCH($A$1,Database!$A$1:$M$1,),)</f>
        <v>441556</v>
      </c>
      <c r="C358" s="12">
        <f t="shared" si="10"/>
        <v>7.2977150446248474E-4</v>
      </c>
      <c r="D358" s="13">
        <f t="shared" si="11"/>
        <v>0.39958794256553298</v>
      </c>
    </row>
    <row r="359" spans="1:4" s="97" customFormat="1" x14ac:dyDescent="0.2">
      <c r="A359" s="10">
        <v>44317</v>
      </c>
      <c r="B359" s="15">
        <f>VLOOKUP(A359,Database!A:M,MATCH($A$1,Database!$A$1:$M$1,),)</f>
        <v>438636</v>
      </c>
      <c r="C359" s="12">
        <f t="shared" si="10"/>
        <v>-6.6129777423475167E-3</v>
      </c>
      <c r="D359" s="13">
        <f t="shared" si="11"/>
        <v>0.24000599315310528</v>
      </c>
    </row>
    <row r="360" spans="1:4" s="97" customFormat="1" x14ac:dyDescent="0.2">
      <c r="A360" s="11">
        <v>44348</v>
      </c>
      <c r="B360" s="15">
        <f>VLOOKUP(A360,Database!A:M,MATCH($A$1,Database!$A$1:$M$1,),)</f>
        <v>445079</v>
      </c>
      <c r="C360" s="12">
        <f t="shared" si="10"/>
        <v>1.4688716840387018E-2</v>
      </c>
      <c r="D360" s="13">
        <f t="shared" si="11"/>
        <v>0.1671998992977064</v>
      </c>
    </row>
    <row r="361" spans="1:4" s="97" customFormat="1" x14ac:dyDescent="0.2">
      <c r="A361" s="10">
        <v>44378</v>
      </c>
      <c r="B361" s="15">
        <f>VLOOKUP(A361,Database!A:M,MATCH($A$1,Database!$A$1:$M$1,),)</f>
        <v>439427</v>
      </c>
      <c r="C361" s="12">
        <f t="shared" si="10"/>
        <v>-1.2698869189514671E-2</v>
      </c>
      <c r="D361" s="13">
        <f t="shared" si="11"/>
        <v>0.1323307728185161</v>
      </c>
    </row>
    <row r="362" spans="1:4" s="97" customFormat="1" x14ac:dyDescent="0.2">
      <c r="A362" s="11">
        <v>44409</v>
      </c>
      <c r="B362" s="15">
        <f>VLOOKUP(A362,Database!A:M,MATCH($A$1,Database!$A$1:$M$1,),)</f>
        <v>449135</v>
      </c>
      <c r="C362" s="12">
        <f t="shared" si="10"/>
        <v>2.2092406702364672E-2</v>
      </c>
      <c r="D362" s="13">
        <f t="shared" si="11"/>
        <v>0.14663300136073873</v>
      </c>
    </row>
    <row r="363" spans="1:4" s="97" customFormat="1" x14ac:dyDescent="0.2">
      <c r="A363" s="11">
        <v>44440</v>
      </c>
      <c r="B363" s="15">
        <f>VLOOKUP(A363,Database!A:M,MATCH($A$1,Database!$A$1:$M$1,),)</f>
        <v>450508</v>
      </c>
      <c r="C363" s="12">
        <f t="shared" si="10"/>
        <v>3.0569873200708029E-3</v>
      </c>
      <c r="D363" s="13">
        <f t="shared" ref="D363:D365" si="12">(B363-B351)/B351</f>
        <v>0.13210600646331841</v>
      </c>
    </row>
    <row r="364" spans="1:4" s="97" customFormat="1" x14ac:dyDescent="0.2">
      <c r="A364" s="10">
        <v>44470</v>
      </c>
      <c r="B364" s="15">
        <f>VLOOKUP(A364,Database!A:M,MATCH($A$1,Database!$A$1:$M$1,),)</f>
        <v>457642</v>
      </c>
      <c r="C364" s="12">
        <f t="shared" si="10"/>
        <v>1.5835456862031305E-2</v>
      </c>
      <c r="D364" s="13">
        <f t="shared" si="12"/>
        <v>0.14857294877071808</v>
      </c>
    </row>
    <row r="365" spans="1:4" s="97" customFormat="1" x14ac:dyDescent="0.2">
      <c r="A365" s="11">
        <v>44501</v>
      </c>
      <c r="B365" s="15">
        <f>VLOOKUP(A365,Database!A:M,MATCH($A$1,Database!$A$1:$M$1,),)</f>
        <v>458472</v>
      </c>
      <c r="C365" s="12">
        <f t="shared" si="10"/>
        <v>1.8136447266640736E-3</v>
      </c>
      <c r="D365" s="13">
        <f t="shared" si="12"/>
        <v>0.16450641978130834</v>
      </c>
    </row>
    <row r="366" spans="1:4" s="97" customFormat="1" x14ac:dyDescent="0.2"/>
    <row r="367" spans="1:4" s="97" customFormat="1" x14ac:dyDescent="0.2"/>
    <row r="368" spans="1:4" s="97" customFormat="1" x14ac:dyDescent="0.2"/>
    <row r="369" s="97" customFormat="1" x14ac:dyDescent="0.2"/>
    <row r="370" s="97" customFormat="1" x14ac:dyDescent="0.2"/>
    <row r="371" s="97" customFormat="1" x14ac:dyDescent="0.2"/>
    <row r="372" s="97" customFormat="1" x14ac:dyDescent="0.2"/>
    <row r="373" s="97" customFormat="1" x14ac:dyDescent="0.2"/>
    <row r="374" s="97" customFormat="1" x14ac:dyDescent="0.2"/>
    <row r="375" s="97" customFormat="1" x14ac:dyDescent="0.2"/>
    <row r="376" s="97" customFormat="1" x14ac:dyDescent="0.2"/>
    <row r="377" s="97" customFormat="1" x14ac:dyDescent="0.2"/>
    <row r="378" s="97" customFormat="1" x14ac:dyDescent="0.2"/>
    <row r="379" s="97" customFormat="1" x14ac:dyDescent="0.2"/>
    <row r="380" s="97" customFormat="1" x14ac:dyDescent="0.2"/>
    <row r="381" s="97" customFormat="1" x14ac:dyDescent="0.2"/>
    <row r="382" s="97" customFormat="1" x14ac:dyDescent="0.2"/>
    <row r="383" s="97" customFormat="1" x14ac:dyDescent="0.2"/>
    <row r="384" s="97" customFormat="1" x14ac:dyDescent="0.2"/>
    <row r="385" s="97" customFormat="1" x14ac:dyDescent="0.2"/>
    <row r="386" s="97" customFormat="1" x14ac:dyDescent="0.2"/>
    <row r="387" s="97" customFormat="1" x14ac:dyDescent="0.2"/>
    <row r="388" s="97" customFormat="1" x14ac:dyDescent="0.2"/>
    <row r="389" s="97" customFormat="1" x14ac:dyDescent="0.2"/>
    <row r="390" s="97" customFormat="1" x14ac:dyDescent="0.2"/>
    <row r="391" s="97" customFormat="1" x14ac:dyDescent="0.2"/>
    <row r="392" s="97" customFormat="1" x14ac:dyDescent="0.2"/>
    <row r="393" s="97" customFormat="1" x14ac:dyDescent="0.2"/>
    <row r="394" s="97" customFormat="1" x14ac:dyDescent="0.2"/>
    <row r="395" s="97" customFormat="1" x14ac:dyDescent="0.2"/>
    <row r="396" s="97" customFormat="1" x14ac:dyDescent="0.2"/>
    <row r="397" s="97" customFormat="1" x14ac:dyDescent="0.2"/>
    <row r="398" s="97" customFormat="1" x14ac:dyDescent="0.2"/>
    <row r="399" s="97" customFormat="1" x14ac:dyDescent="0.2"/>
    <row r="400" s="97" customFormat="1" x14ac:dyDescent="0.2"/>
    <row r="401" s="97" customFormat="1" x14ac:dyDescent="0.2"/>
    <row r="402" s="97" customFormat="1" x14ac:dyDescent="0.2"/>
    <row r="403" s="97" customFormat="1" x14ac:dyDescent="0.2"/>
    <row r="404" s="97" customFormat="1" x14ac:dyDescent="0.2"/>
    <row r="405" s="97" customFormat="1" x14ac:dyDescent="0.2"/>
    <row r="406" s="97" customFormat="1" x14ac:dyDescent="0.2"/>
    <row r="407" s="97" customFormat="1" x14ac:dyDescent="0.2"/>
    <row r="408" s="97" customFormat="1" x14ac:dyDescent="0.2"/>
    <row r="409" s="97" customFormat="1" x14ac:dyDescent="0.2"/>
    <row r="410" s="97" customFormat="1" x14ac:dyDescent="0.2"/>
    <row r="411" s="97" customFormat="1" x14ac:dyDescent="0.2"/>
    <row r="412" s="97" customFormat="1" x14ac:dyDescent="0.2"/>
    <row r="413" s="97" customFormat="1" x14ac:dyDescent="0.2"/>
    <row r="414" s="97" customFormat="1" x14ac:dyDescent="0.2"/>
    <row r="415" s="97" customFormat="1" x14ac:dyDescent="0.2"/>
    <row r="416" s="97" customFormat="1" x14ac:dyDescent="0.2"/>
    <row r="417" s="97" customFormat="1" x14ac:dyDescent="0.2"/>
    <row r="418" s="97" customFormat="1" x14ac:dyDescent="0.2"/>
    <row r="419" s="97" customFormat="1" x14ac:dyDescent="0.2"/>
    <row r="420" s="97" customFormat="1" x14ac:dyDescent="0.2"/>
    <row r="421" s="97" customFormat="1" x14ac:dyDescent="0.2"/>
    <row r="422" s="97" customFormat="1" x14ac:dyDescent="0.2"/>
    <row r="423" s="97" customFormat="1" x14ac:dyDescent="0.2"/>
    <row r="424" s="97" customFormat="1" x14ac:dyDescent="0.2"/>
    <row r="425" s="97" customFormat="1" x14ac:dyDescent="0.2"/>
    <row r="426" s="97" customFormat="1" x14ac:dyDescent="0.2"/>
    <row r="427" s="97" customFormat="1" x14ac:dyDescent="0.2"/>
    <row r="428" s="97" customFormat="1" x14ac:dyDescent="0.2"/>
    <row r="429" s="97" customFormat="1" x14ac:dyDescent="0.2"/>
    <row r="430" s="97" customFormat="1" x14ac:dyDescent="0.2"/>
    <row r="431" s="97" customFormat="1" x14ac:dyDescent="0.2"/>
    <row r="432" s="97" customFormat="1" x14ac:dyDescent="0.2"/>
    <row r="433" s="97" customFormat="1" x14ac:dyDescent="0.2"/>
    <row r="434" s="97" customFormat="1" x14ac:dyDescent="0.2"/>
    <row r="435" s="97" customFormat="1" x14ac:dyDescent="0.2"/>
    <row r="436" s="97" customFormat="1" x14ac:dyDescent="0.2"/>
    <row r="437" s="97" customFormat="1" x14ac:dyDescent="0.2"/>
    <row r="438" s="97" customFormat="1" x14ac:dyDescent="0.2"/>
    <row r="439" s="97" customFormat="1" x14ac:dyDescent="0.2"/>
    <row r="440" s="97" customFormat="1" x14ac:dyDescent="0.2"/>
    <row r="441" s="97" customFormat="1" x14ac:dyDescent="0.2"/>
    <row r="442" s="97" customFormat="1" x14ac:dyDescent="0.2"/>
    <row r="443" s="97" customFormat="1" x14ac:dyDescent="0.2"/>
    <row r="444" s="97" customFormat="1" x14ac:dyDescent="0.2"/>
    <row r="445" s="97" customFormat="1" x14ac:dyDescent="0.2"/>
    <row r="446" s="97" customFormat="1" x14ac:dyDescent="0.2"/>
    <row r="447" s="97" customFormat="1" x14ac:dyDescent="0.2"/>
    <row r="448" s="97" customFormat="1" x14ac:dyDescent="0.2"/>
    <row r="449" s="97" customFormat="1" x14ac:dyDescent="0.2"/>
    <row r="450" s="97" customFormat="1" x14ac:dyDescent="0.2"/>
    <row r="451" s="97" customFormat="1" x14ac:dyDescent="0.2"/>
    <row r="452" s="97" customFormat="1" x14ac:dyDescent="0.2"/>
    <row r="453" s="97" customFormat="1" x14ac:dyDescent="0.2"/>
    <row r="454" s="97" customFormat="1" x14ac:dyDescent="0.2"/>
    <row r="455" s="97" customFormat="1" x14ac:dyDescent="0.2"/>
    <row r="456" s="97" customFormat="1" x14ac:dyDescent="0.2"/>
    <row r="457" s="97" customFormat="1" x14ac:dyDescent="0.2"/>
    <row r="458" s="97" customFormat="1" x14ac:dyDescent="0.2"/>
    <row r="459" s="97" customFormat="1" x14ac:dyDescent="0.2"/>
    <row r="460" s="97" customFormat="1" x14ac:dyDescent="0.2"/>
    <row r="461" s="97" customFormat="1" x14ac:dyDescent="0.2"/>
    <row r="462" s="97" customFormat="1" x14ac:dyDescent="0.2"/>
    <row r="463" s="97" customFormat="1" x14ac:dyDescent="0.2"/>
    <row r="464" s="97" customFormat="1" x14ac:dyDescent="0.2"/>
    <row r="465" s="97" customFormat="1" x14ac:dyDescent="0.2"/>
    <row r="466" s="97" customFormat="1" x14ac:dyDescent="0.2"/>
    <row r="467" s="97" customFormat="1" x14ac:dyDescent="0.2"/>
    <row r="468" s="97" customFormat="1" x14ac:dyDescent="0.2"/>
    <row r="469" s="97" customFormat="1" x14ac:dyDescent="0.2"/>
    <row r="470" s="97" customFormat="1" x14ac:dyDescent="0.2"/>
    <row r="471" s="97" customFormat="1" x14ac:dyDescent="0.2"/>
    <row r="472" s="97" customFormat="1" x14ac:dyDescent="0.2"/>
    <row r="473" s="97" customFormat="1" x14ac:dyDescent="0.2"/>
    <row r="474" s="97" customFormat="1" x14ac:dyDescent="0.2"/>
    <row r="475" s="97" customFormat="1" x14ac:dyDescent="0.2"/>
    <row r="476" s="97" customFormat="1" x14ac:dyDescent="0.2"/>
    <row r="477" s="97" customFormat="1" x14ac:dyDescent="0.2"/>
    <row r="478" s="97" customFormat="1" x14ac:dyDescent="0.2"/>
    <row r="479" s="97" customFormat="1" x14ac:dyDescent="0.2"/>
    <row r="480" s="97" customFormat="1" x14ac:dyDescent="0.2"/>
    <row r="481" s="97" customFormat="1" x14ac:dyDescent="0.2"/>
    <row r="482" s="97" customFormat="1" x14ac:dyDescent="0.2"/>
    <row r="483" s="97" customFormat="1" x14ac:dyDescent="0.2"/>
    <row r="484" s="97" customFormat="1" x14ac:dyDescent="0.2"/>
    <row r="485" s="97" customFormat="1" x14ac:dyDescent="0.2"/>
    <row r="486" s="97" customFormat="1" x14ac:dyDescent="0.2"/>
    <row r="487" s="97" customFormat="1" x14ac:dyDescent="0.2"/>
    <row r="488" s="97" customFormat="1" x14ac:dyDescent="0.2"/>
    <row r="489" s="97" customFormat="1" x14ac:dyDescent="0.2"/>
    <row r="490" s="97" customFormat="1" x14ac:dyDescent="0.2"/>
    <row r="491" s="97" customFormat="1" x14ac:dyDescent="0.2"/>
    <row r="492" s="97" customFormat="1" x14ac:dyDescent="0.2"/>
    <row r="493" s="97" customFormat="1" x14ac:dyDescent="0.2"/>
    <row r="494" s="97" customFormat="1" x14ac:dyDescent="0.2"/>
    <row r="495" s="97" customFormat="1" x14ac:dyDescent="0.2"/>
    <row r="496" s="97" customFormat="1" x14ac:dyDescent="0.2"/>
    <row r="497" s="97" customFormat="1" x14ac:dyDescent="0.2"/>
    <row r="498" s="97" customFormat="1" x14ac:dyDescent="0.2"/>
    <row r="499" s="97" customFormat="1" x14ac:dyDescent="0.2"/>
    <row r="500" s="97" customFormat="1" x14ac:dyDescent="0.2"/>
    <row r="501" s="97" customFormat="1" x14ac:dyDescent="0.2"/>
    <row r="502" s="97" customFormat="1" x14ac:dyDescent="0.2"/>
    <row r="503" s="97" customFormat="1" x14ac:dyDescent="0.2"/>
    <row r="504" s="97" customFormat="1" x14ac:dyDescent="0.2"/>
    <row r="505" s="97" customFormat="1" x14ac:dyDescent="0.2"/>
    <row r="506" s="97" customFormat="1" x14ac:dyDescent="0.2"/>
    <row r="507" s="97" customFormat="1" x14ac:dyDescent="0.2"/>
    <row r="508" s="97" customFormat="1" x14ac:dyDescent="0.2"/>
    <row r="509" s="97" customFormat="1" x14ac:dyDescent="0.2"/>
    <row r="510" s="97" customFormat="1" x14ac:dyDescent="0.2"/>
    <row r="511" s="97" customFormat="1" x14ac:dyDescent="0.2"/>
    <row r="512" s="97" customFormat="1" x14ac:dyDescent="0.2"/>
    <row r="513" s="97" customFormat="1" x14ac:dyDescent="0.2"/>
    <row r="514" s="97" customFormat="1" x14ac:dyDescent="0.2"/>
    <row r="515" s="97" customFormat="1" x14ac:dyDescent="0.2"/>
    <row r="516" s="97" customFormat="1" x14ac:dyDescent="0.2"/>
    <row r="517" s="97" customFormat="1" x14ac:dyDescent="0.2"/>
    <row r="518" s="97" customFormat="1" x14ac:dyDescent="0.2"/>
    <row r="519" s="97" customFormat="1" x14ac:dyDescent="0.2"/>
    <row r="520" s="97" customFormat="1" x14ac:dyDescent="0.2"/>
    <row r="521" s="97" customFormat="1" x14ac:dyDescent="0.2"/>
    <row r="522" s="97" customFormat="1" x14ac:dyDescent="0.2"/>
    <row r="523" s="97" customFormat="1" x14ac:dyDescent="0.2"/>
    <row r="524" s="97" customFormat="1" x14ac:dyDescent="0.2"/>
    <row r="525" s="97" customFormat="1" x14ac:dyDescent="0.2"/>
    <row r="526" s="97" customFormat="1" x14ac:dyDescent="0.2"/>
    <row r="527" s="97" customFormat="1" x14ac:dyDescent="0.2"/>
    <row r="528" s="97" customFormat="1" x14ac:dyDescent="0.2"/>
    <row r="529" s="97" customFormat="1" x14ac:dyDescent="0.2"/>
    <row r="530" s="97" customFormat="1" x14ac:dyDescent="0.2"/>
    <row r="531" s="97" customFormat="1" x14ac:dyDescent="0.2"/>
    <row r="532" s="97" customFormat="1" x14ac:dyDescent="0.2"/>
    <row r="533" s="97" customFormat="1" x14ac:dyDescent="0.2"/>
    <row r="534" s="97" customFormat="1" x14ac:dyDescent="0.2"/>
    <row r="535" s="97" customFormat="1" x14ac:dyDescent="0.2"/>
    <row r="536" s="97" customFormat="1" x14ac:dyDescent="0.2"/>
    <row r="537" s="97" customFormat="1" x14ac:dyDescent="0.2"/>
    <row r="538" s="97" customFormat="1" x14ac:dyDescent="0.2"/>
    <row r="539" s="97" customFormat="1" x14ac:dyDescent="0.2"/>
    <row r="540" s="97" customFormat="1" x14ac:dyDescent="0.2"/>
    <row r="541" s="97" customFormat="1" x14ac:dyDescent="0.2"/>
    <row r="542" s="97" customFormat="1" x14ac:dyDescent="0.2"/>
    <row r="543" s="97" customFormat="1" x14ac:dyDescent="0.2"/>
    <row r="544" s="97" customFormat="1" x14ac:dyDescent="0.2"/>
    <row r="545" s="97" customFormat="1" x14ac:dyDescent="0.2"/>
    <row r="546" s="97" customFormat="1" x14ac:dyDescent="0.2"/>
    <row r="547" s="97" customFormat="1" x14ac:dyDescent="0.2"/>
    <row r="548" s="97" customFormat="1" x14ac:dyDescent="0.2"/>
    <row r="549" s="97" customFormat="1" x14ac:dyDescent="0.2"/>
    <row r="550" s="97" customFormat="1" x14ac:dyDescent="0.2"/>
    <row r="551" s="97" customFormat="1" x14ac:dyDescent="0.2"/>
    <row r="552" s="97" customFormat="1" x14ac:dyDescent="0.2"/>
    <row r="553" s="97" customFormat="1" x14ac:dyDescent="0.2"/>
    <row r="554" s="97" customFormat="1" x14ac:dyDescent="0.2"/>
    <row r="555" s="97" customFormat="1" x14ac:dyDescent="0.2"/>
    <row r="556" s="97" customFormat="1" x14ac:dyDescent="0.2"/>
    <row r="557" s="97" customFormat="1" x14ac:dyDescent="0.2"/>
    <row r="558" s="97" customFormat="1" x14ac:dyDescent="0.2"/>
    <row r="559" s="97" customFormat="1" x14ac:dyDescent="0.2"/>
    <row r="560" s="97" customFormat="1" x14ac:dyDescent="0.2"/>
    <row r="561" s="97" customFormat="1" x14ac:dyDescent="0.2"/>
    <row r="562" s="97" customFormat="1" x14ac:dyDescent="0.2"/>
    <row r="563" s="97" customFormat="1" x14ac:dyDescent="0.2"/>
    <row r="564" s="97" customFormat="1" x14ac:dyDescent="0.2"/>
    <row r="565" s="97" customFormat="1" x14ac:dyDescent="0.2"/>
    <row r="566" s="97" customFormat="1" x14ac:dyDescent="0.2"/>
    <row r="567" s="97" customFormat="1" x14ac:dyDescent="0.2"/>
    <row r="568" s="97" customFormat="1" x14ac:dyDescent="0.2"/>
    <row r="569" s="97" customFormat="1" x14ac:dyDescent="0.2"/>
    <row r="570" s="97" customFormat="1" x14ac:dyDescent="0.2"/>
    <row r="571" s="97" customFormat="1" x14ac:dyDescent="0.2"/>
    <row r="572" s="97" customFormat="1" x14ac:dyDescent="0.2"/>
    <row r="573" s="97" customFormat="1" x14ac:dyDescent="0.2"/>
    <row r="574" s="97" customFormat="1" x14ac:dyDescent="0.2"/>
    <row r="575" s="97" customFormat="1" x14ac:dyDescent="0.2"/>
    <row r="576" s="97" customFormat="1" x14ac:dyDescent="0.2"/>
    <row r="577" s="97" customFormat="1" x14ac:dyDescent="0.2"/>
    <row r="578" s="97" customFormat="1" x14ac:dyDescent="0.2"/>
    <row r="579" s="97" customFormat="1" x14ac:dyDescent="0.2"/>
    <row r="580" s="97" customFormat="1" x14ac:dyDescent="0.2"/>
    <row r="581" s="97" customFormat="1" x14ac:dyDescent="0.2"/>
    <row r="582" s="97" customFormat="1" x14ac:dyDescent="0.2"/>
    <row r="583" s="97" customFormat="1" x14ac:dyDescent="0.2"/>
    <row r="584" s="97" customFormat="1" x14ac:dyDescent="0.2"/>
    <row r="585" s="97" customFormat="1" x14ac:dyDescent="0.2"/>
    <row r="586" s="97" customFormat="1" x14ac:dyDescent="0.2"/>
    <row r="587" s="97" customFormat="1" x14ac:dyDescent="0.2"/>
    <row r="588" s="97" customFormat="1" x14ac:dyDescent="0.2"/>
    <row r="589" s="97" customFormat="1" x14ac:dyDescent="0.2"/>
    <row r="590" s="97" customFormat="1" x14ac:dyDescent="0.2"/>
    <row r="591" s="97" customFormat="1" x14ac:dyDescent="0.2"/>
    <row r="592" s="97" customFormat="1" x14ac:dyDescent="0.2"/>
    <row r="593" s="97" customFormat="1" x14ac:dyDescent="0.2"/>
    <row r="594" s="97" customFormat="1" x14ac:dyDescent="0.2"/>
    <row r="595" s="97" customFormat="1" x14ac:dyDescent="0.2"/>
    <row r="596" s="97" customFormat="1" x14ac:dyDescent="0.2"/>
    <row r="597" s="97" customFormat="1" x14ac:dyDescent="0.2"/>
    <row r="598" s="97" customFormat="1" x14ac:dyDescent="0.2"/>
    <row r="599" s="97" customFormat="1" x14ac:dyDescent="0.2"/>
    <row r="600" s="97" customFormat="1" x14ac:dyDescent="0.2"/>
    <row r="601" s="97" customFormat="1" x14ac:dyDescent="0.2"/>
    <row r="602" s="97" customFormat="1" x14ac:dyDescent="0.2"/>
    <row r="603" s="97" customFormat="1" x14ac:dyDescent="0.2"/>
    <row r="604" s="97" customFormat="1" x14ac:dyDescent="0.2"/>
    <row r="605" s="97" customFormat="1" x14ac:dyDescent="0.2"/>
    <row r="606" s="97" customFormat="1" x14ac:dyDescent="0.2"/>
    <row r="607" s="97" customFormat="1" x14ac:dyDescent="0.2"/>
    <row r="608" s="97" customFormat="1" x14ac:dyDescent="0.2"/>
    <row r="609" s="97" customFormat="1" x14ac:dyDescent="0.2"/>
    <row r="610" s="97" customFormat="1" x14ac:dyDescent="0.2"/>
    <row r="611" s="97" customFormat="1" x14ac:dyDescent="0.2"/>
    <row r="612" s="97" customFormat="1" x14ac:dyDescent="0.2"/>
    <row r="613" s="97" customFormat="1" x14ac:dyDescent="0.2"/>
    <row r="614" s="97" customFormat="1" x14ac:dyDescent="0.2"/>
    <row r="615" s="97" customFormat="1" x14ac:dyDescent="0.2"/>
    <row r="616" s="97" customFormat="1" x14ac:dyDescent="0.2"/>
    <row r="617" s="97" customFormat="1" x14ac:dyDescent="0.2"/>
    <row r="618" s="97" customFormat="1" x14ac:dyDescent="0.2"/>
    <row r="619" s="97" customFormat="1" x14ac:dyDescent="0.2"/>
    <row r="620" s="97" customFormat="1" x14ac:dyDescent="0.2"/>
    <row r="621" s="97" customFormat="1" x14ac:dyDescent="0.2"/>
    <row r="622" s="97" customFormat="1" x14ac:dyDescent="0.2"/>
    <row r="623" s="97" customFormat="1" x14ac:dyDescent="0.2"/>
    <row r="624" s="97" customFormat="1" x14ac:dyDescent="0.2"/>
    <row r="625" spans="1:4" s="97" customFormat="1" x14ac:dyDescent="0.2"/>
    <row r="626" spans="1:4" s="97" customFormat="1" x14ac:dyDescent="0.2"/>
    <row r="627" spans="1:4" s="97" customFormat="1" x14ac:dyDescent="0.2"/>
    <row r="628" spans="1:4" s="97" customFormat="1" x14ac:dyDescent="0.2"/>
    <row r="629" spans="1:4" s="97" customFormat="1" x14ac:dyDescent="0.2"/>
    <row r="630" spans="1:4" s="97" customFormat="1" x14ac:dyDescent="0.2"/>
    <row r="631" spans="1:4" s="97" customFormat="1" x14ac:dyDescent="0.2"/>
    <row r="632" spans="1:4" s="97" customFormat="1" x14ac:dyDescent="0.2"/>
    <row r="633" spans="1:4" x14ac:dyDescent="0.2">
      <c r="A633" s="97"/>
      <c r="B633" s="97"/>
      <c r="C633" s="97"/>
      <c r="D633" s="97"/>
    </row>
    <row r="634" spans="1:4" x14ac:dyDescent="0.2">
      <c r="A634" s="97"/>
      <c r="B634" s="97"/>
      <c r="C634" s="97"/>
      <c r="D634" s="97"/>
    </row>
    <row r="635" spans="1:4" x14ac:dyDescent="0.2">
      <c r="A635" s="97"/>
      <c r="B635" s="97"/>
      <c r="C635" s="97"/>
      <c r="D635" s="97"/>
    </row>
    <row r="636" spans="1:4" x14ac:dyDescent="0.2">
      <c r="A636" s="97"/>
      <c r="B636" s="97"/>
      <c r="C636" s="97"/>
      <c r="D636" s="97"/>
    </row>
    <row r="637" spans="1:4" x14ac:dyDescent="0.2">
      <c r="A637" s="97"/>
      <c r="B637" s="97"/>
      <c r="C637" s="97"/>
      <c r="D637" s="97"/>
    </row>
    <row r="638" spans="1:4" x14ac:dyDescent="0.2">
      <c r="A638" s="97"/>
      <c r="B638" s="97"/>
      <c r="C638" s="97"/>
      <c r="D638" s="97"/>
    </row>
    <row r="639" spans="1:4" x14ac:dyDescent="0.2">
      <c r="A639" s="97"/>
      <c r="B639" s="97"/>
      <c r="C639" s="97"/>
      <c r="D639" s="97"/>
    </row>
    <row r="640" spans="1:4" x14ac:dyDescent="0.2">
      <c r="A640" s="97"/>
      <c r="B640" s="97"/>
      <c r="C640" s="97"/>
      <c r="D640" s="97"/>
    </row>
    <row r="641" spans="1:4" x14ac:dyDescent="0.2">
      <c r="A641" s="97"/>
      <c r="B641" s="97"/>
      <c r="C641" s="97"/>
      <c r="D641" s="97"/>
    </row>
    <row r="642" spans="1:4" x14ac:dyDescent="0.2">
      <c r="A642" s="97"/>
      <c r="B642" s="97"/>
      <c r="C642" s="97"/>
      <c r="D642" s="97"/>
    </row>
    <row r="643" spans="1:4" x14ac:dyDescent="0.2">
      <c r="A643" s="97"/>
      <c r="B643" s="97"/>
      <c r="C643" s="97"/>
      <c r="D643" s="97"/>
    </row>
    <row r="644" spans="1:4" x14ac:dyDescent="0.2">
      <c r="A644" s="97"/>
      <c r="B644" s="97"/>
      <c r="C644" s="97"/>
      <c r="D644" s="97"/>
    </row>
    <row r="645" spans="1:4" x14ac:dyDescent="0.2">
      <c r="A645" s="97"/>
      <c r="B645" s="97"/>
      <c r="C645" s="97"/>
      <c r="D645" s="97"/>
    </row>
    <row r="646" spans="1:4" x14ac:dyDescent="0.2">
      <c r="A646" s="97"/>
      <c r="B646" s="97"/>
      <c r="C646" s="97"/>
      <c r="D646" s="97"/>
    </row>
    <row r="647" spans="1:4" x14ac:dyDescent="0.2">
      <c r="A647" s="97"/>
      <c r="B647" s="97"/>
      <c r="C647" s="97"/>
      <c r="D647" s="97"/>
    </row>
    <row r="648" spans="1:4" x14ac:dyDescent="0.2">
      <c r="A648" s="97"/>
      <c r="B648" s="97"/>
      <c r="C648" s="97"/>
      <c r="D648" s="97"/>
    </row>
    <row r="649" spans="1:4" x14ac:dyDescent="0.2">
      <c r="A649" s="97"/>
      <c r="B649" s="97"/>
      <c r="C649" s="97"/>
      <c r="D649" s="97"/>
    </row>
    <row r="650" spans="1:4" x14ac:dyDescent="0.2">
      <c r="A650" s="97"/>
      <c r="B650" s="97"/>
      <c r="C650" s="97"/>
      <c r="D650" s="97"/>
    </row>
    <row r="651" spans="1:4" x14ac:dyDescent="0.2">
      <c r="A651" s="97"/>
      <c r="B651" s="97"/>
      <c r="C651" s="97"/>
      <c r="D651" s="97"/>
    </row>
    <row r="652" spans="1:4" x14ac:dyDescent="0.2">
      <c r="A652" s="97"/>
      <c r="B652" s="97"/>
      <c r="C652" s="97"/>
      <c r="D652" s="97"/>
    </row>
    <row r="653" spans="1:4" x14ac:dyDescent="0.2">
      <c r="A653" s="97"/>
      <c r="B653" s="97"/>
      <c r="C653" s="97"/>
      <c r="D653" s="97"/>
    </row>
    <row r="654" spans="1:4" x14ac:dyDescent="0.2">
      <c r="A654" s="97"/>
      <c r="B654" s="97"/>
      <c r="C654" s="97"/>
      <c r="D654" s="97"/>
    </row>
    <row r="655" spans="1:4" x14ac:dyDescent="0.2">
      <c r="A655" s="97"/>
      <c r="B655" s="97"/>
      <c r="C655" s="97"/>
      <c r="D655" s="97"/>
    </row>
    <row r="656" spans="1:4" x14ac:dyDescent="0.2">
      <c r="A656" s="97"/>
      <c r="B656" s="97"/>
      <c r="C656" s="97"/>
      <c r="D656" s="97"/>
    </row>
    <row r="657" spans="1:4" x14ac:dyDescent="0.2">
      <c r="A657" s="97"/>
      <c r="B657" s="97"/>
      <c r="C657" s="97"/>
      <c r="D657" s="97"/>
    </row>
    <row r="658" spans="1:4" x14ac:dyDescent="0.2">
      <c r="A658" s="97"/>
      <c r="B658" s="97"/>
      <c r="C658" s="97"/>
      <c r="D658" s="97"/>
    </row>
    <row r="659" spans="1:4" x14ac:dyDescent="0.2">
      <c r="A659" s="97"/>
      <c r="B659" s="97"/>
      <c r="C659" s="97"/>
      <c r="D659" s="97"/>
    </row>
    <row r="660" spans="1:4" x14ac:dyDescent="0.2">
      <c r="A660" s="97"/>
      <c r="B660" s="97"/>
      <c r="C660" s="97"/>
      <c r="D660" s="97"/>
    </row>
    <row r="661" spans="1:4" x14ac:dyDescent="0.2">
      <c r="A661" s="97"/>
      <c r="B661" s="97"/>
      <c r="C661" s="97"/>
      <c r="D661" s="97"/>
    </row>
    <row r="662" spans="1:4" x14ac:dyDescent="0.2">
      <c r="A662" s="97"/>
      <c r="B662" s="97"/>
      <c r="C662" s="97"/>
      <c r="D662" s="97"/>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37"/>
  <sheetViews>
    <sheetView zoomScale="160" zoomScaleNormal="160" workbookViewId="0">
      <pane ySplit="6" topLeftCell="A329" activePane="bottomLeft" state="frozen"/>
      <selection pane="bottomLeft" activeCell="G364" sqref="G364"/>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97" customWidth="1"/>
  </cols>
  <sheetData>
    <row r="1" spans="1:4" s="97" customFormat="1" x14ac:dyDescent="0.2">
      <c r="A1" s="27" t="s">
        <v>51</v>
      </c>
      <c r="B1" s="25" t="s">
        <v>88</v>
      </c>
      <c r="C1" s="54"/>
      <c r="D1" s="54"/>
    </row>
    <row r="2" spans="1:4" s="97" customFormat="1" x14ac:dyDescent="0.2">
      <c r="A2" s="9" t="s">
        <v>89</v>
      </c>
      <c r="B2" s="14"/>
      <c r="C2" s="54"/>
      <c r="D2" s="54"/>
    </row>
    <row r="3" spans="1:4" s="97" customFormat="1" x14ac:dyDescent="0.2">
      <c r="A3" s="9"/>
      <c r="B3" s="14"/>
      <c r="C3" s="54"/>
      <c r="D3" s="54"/>
    </row>
    <row r="4" spans="1:4" s="97" customFormat="1" x14ac:dyDescent="0.2">
      <c r="A4" s="9"/>
      <c r="B4" s="14"/>
      <c r="C4" s="54"/>
      <c r="D4" s="54"/>
    </row>
    <row r="5" spans="1:4" s="97"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65"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97" customFormat="1" x14ac:dyDescent="0.2">
      <c r="A338" s="11">
        <v>43678</v>
      </c>
      <c r="B338" s="15">
        <f>VLOOKUP(A338,Database!A:K,MATCH('Retail Sales'!$A$1,Database!$A$1:$K$1,),)</f>
        <v>521833</v>
      </c>
      <c r="C338" s="12">
        <f t="shared" si="10"/>
        <v>4.5933463856755357E-3</v>
      </c>
      <c r="D338" s="13">
        <f t="shared" si="9"/>
        <v>3.9688153126139387E-2</v>
      </c>
    </row>
    <row r="339" spans="1:4" s="97" customFormat="1" x14ac:dyDescent="0.2">
      <c r="A339" s="10">
        <v>43709</v>
      </c>
      <c r="B339" s="15">
        <f>VLOOKUP(A339,Database!A:K,MATCH('Retail Sales'!$A$1,Database!$A$1:$K$1,),)</f>
        <v>518605</v>
      </c>
      <c r="C339" s="12">
        <f t="shared" si="10"/>
        <v>-6.1858870558205402E-3</v>
      </c>
      <c r="D339" s="13">
        <f t="shared" ref="D339:D362" si="11">(B339-B327)/B327</f>
        <v>3.6459603247248992E-2</v>
      </c>
    </row>
    <row r="340" spans="1:4" s="97" customFormat="1" x14ac:dyDescent="0.2">
      <c r="A340" s="11">
        <v>43739</v>
      </c>
      <c r="B340" s="15">
        <f>VLOOKUP(A340,Database!A:K,MATCH('Retail Sales'!$A$1,Database!$A$1:$K$1,),)</f>
        <v>521114</v>
      </c>
      <c r="C340" s="12">
        <f t="shared" si="10"/>
        <v>4.8379788085344336E-3</v>
      </c>
      <c r="D340" s="13">
        <f t="shared" si="11"/>
        <v>2.9849212466156794E-2</v>
      </c>
    </row>
    <row r="341" spans="1:4" s="97" customFormat="1" x14ac:dyDescent="0.2">
      <c r="A341" s="10">
        <v>43770</v>
      </c>
      <c r="B341" s="15">
        <f>VLOOKUP(A341,Database!A:K,MATCH('Retail Sales'!$A$1,Database!$A$1:$K$1,),)</f>
        <v>522805</v>
      </c>
      <c r="C341" s="12">
        <f t="shared" si="10"/>
        <v>3.2449713498389986E-3</v>
      </c>
      <c r="D341" s="13">
        <f t="shared" si="11"/>
        <v>3.1228487513141726E-2</v>
      </c>
    </row>
    <row r="342" spans="1:4" s="97" customFormat="1" x14ac:dyDescent="0.2">
      <c r="A342" s="11">
        <v>43800</v>
      </c>
      <c r="B342" s="15">
        <f>VLOOKUP(A342,Database!A:K,MATCH('Retail Sales'!$A$1,Database!$A$1:$K$1,),)</f>
        <v>523862</v>
      </c>
      <c r="C342" s="12">
        <f t="shared" si="10"/>
        <v>2.0217863256854849E-3</v>
      </c>
      <c r="D342" s="13">
        <f t="shared" si="11"/>
        <v>5.4912171536852107E-2</v>
      </c>
    </row>
    <row r="343" spans="1:4" s="97" customFormat="1" x14ac:dyDescent="0.2">
      <c r="A343" s="10">
        <v>43831</v>
      </c>
      <c r="B343" s="15">
        <f>VLOOKUP(A343,Database!A:K,MATCH('Retail Sales'!$A$1,Database!$A$1:$K$1,),)</f>
        <v>526930</v>
      </c>
      <c r="C343" s="12">
        <f t="shared" si="10"/>
        <v>5.8565041938525792E-3</v>
      </c>
      <c r="D343" s="13">
        <f t="shared" si="11"/>
        <v>4.8149680540415817E-2</v>
      </c>
    </row>
    <row r="344" spans="1:4" s="97" customFormat="1" x14ac:dyDescent="0.2">
      <c r="A344" s="11">
        <v>43862</v>
      </c>
      <c r="B344" s="15">
        <f>VLOOKUP(A344,Database!A:K,MATCH('Retail Sales'!$A$1,Database!$A$1:$K$1,),)</f>
        <v>525810</v>
      </c>
      <c r="C344" s="12">
        <f t="shared" si="10"/>
        <v>-2.1255195187216518E-3</v>
      </c>
      <c r="D344" s="13">
        <f t="shared" si="11"/>
        <v>4.6123666257483181E-2</v>
      </c>
    </row>
    <row r="345" spans="1:4" s="97" customFormat="1" x14ac:dyDescent="0.2">
      <c r="A345" s="10">
        <v>43891</v>
      </c>
      <c r="B345" s="15">
        <f>VLOOKUP(A345,Database!A:K,MATCH('Retail Sales'!$A$1,Database!$A$1:$K$1,),)</f>
        <v>480407</v>
      </c>
      <c r="C345" s="12">
        <f t="shared" si="10"/>
        <v>-8.6348681082520307E-2</v>
      </c>
      <c r="D345" s="13">
        <f t="shared" si="11"/>
        <v>-5.8616162407900928E-2</v>
      </c>
    </row>
    <row r="346" spans="1:4" s="97" customFormat="1" x14ac:dyDescent="0.2">
      <c r="A346" s="11">
        <v>43922</v>
      </c>
      <c r="B346" s="15">
        <f>VLOOKUP(A346,Database!A:K,MATCH('Retail Sales'!$A$1,Database!$A$1:$K$1,),)</f>
        <v>409819</v>
      </c>
      <c r="C346" s="12">
        <f t="shared" si="10"/>
        <v>-0.14693374576140647</v>
      </c>
      <c r="D346" s="13">
        <f t="shared" si="11"/>
        <v>-0.20008158867596024</v>
      </c>
    </row>
    <row r="347" spans="1:4" s="97" customFormat="1" x14ac:dyDescent="0.2">
      <c r="A347" s="10">
        <v>43952</v>
      </c>
      <c r="B347" s="15">
        <f>VLOOKUP(A347,Database!A:K,MATCH('Retail Sales'!$A$1,Database!$A$1:$K$1,),)</f>
        <v>484295</v>
      </c>
      <c r="C347" s="12">
        <f t="shared" si="10"/>
        <v>0.18172900719585963</v>
      </c>
      <c r="D347" s="13">
        <f t="shared" si="11"/>
        <v>-5.7553466830132134E-2</v>
      </c>
    </row>
    <row r="348" spans="1:4" s="97" customFormat="1" x14ac:dyDescent="0.2">
      <c r="A348" s="11">
        <v>43983</v>
      </c>
      <c r="B348" s="15">
        <f>VLOOKUP(A348,Database!A:K,MATCH('Retail Sales'!$A$1,Database!$A$1:$K$1,),)</f>
        <v>526187</v>
      </c>
      <c r="C348" s="12">
        <f t="shared" si="10"/>
        <v>8.6500996293581392E-2</v>
      </c>
      <c r="D348" s="13">
        <f t="shared" si="11"/>
        <v>1.9918164179480568E-2</v>
      </c>
    </row>
    <row r="349" spans="1:4" s="97" customFormat="1" x14ac:dyDescent="0.2">
      <c r="A349" s="10">
        <v>44013</v>
      </c>
      <c r="B349" s="15">
        <f>VLOOKUP(A349,Database!A:K,MATCH('Retail Sales'!$A$1,Database!$A$1:$K$1,),)</f>
        <v>533517</v>
      </c>
      <c r="C349" s="12">
        <f t="shared" si="10"/>
        <v>1.3930408771026271E-2</v>
      </c>
      <c r="D349" s="13">
        <f t="shared" si="11"/>
        <v>2.7086497756267723E-2</v>
      </c>
    </row>
    <row r="350" spans="1:4" s="97" customFormat="1" x14ac:dyDescent="0.2">
      <c r="A350" s="11">
        <v>44044</v>
      </c>
      <c r="B350" s="15">
        <f>VLOOKUP(A350,Database!A:K,MATCH('Retail Sales'!$A$1,Database!$A$1:$K$1,),)</f>
        <v>537980</v>
      </c>
      <c r="C350" s="12">
        <f t="shared" si="10"/>
        <v>8.3652442190220739E-3</v>
      </c>
      <c r="D350" s="13">
        <f t="shared" si="11"/>
        <v>3.0942849532321643E-2</v>
      </c>
    </row>
    <row r="351" spans="1:4" s="97" customFormat="1" x14ac:dyDescent="0.2">
      <c r="A351" s="10">
        <v>44075</v>
      </c>
      <c r="B351" s="15">
        <f>VLOOKUP(A351,Database!A:K,MATCH('Retail Sales'!$A$1,Database!$A$1:$K$1,),)</f>
        <v>549211</v>
      </c>
      <c r="C351" s="12">
        <f t="shared" si="10"/>
        <v>2.087624075244433E-2</v>
      </c>
      <c r="D351" s="13">
        <f t="shared" si="11"/>
        <v>5.9016014114788712E-2</v>
      </c>
    </row>
    <row r="352" spans="1:4" s="97" customFormat="1" x14ac:dyDescent="0.2">
      <c r="A352" s="11">
        <v>44105</v>
      </c>
      <c r="B352" s="15">
        <f>VLOOKUP(A352,Database!A:K,MATCH('Retail Sales'!$A$1,Database!$A$1:$K$1,),)</f>
        <v>548930</v>
      </c>
      <c r="C352" s="12">
        <f t="shared" si="10"/>
        <v>-5.1164306614397744E-4</v>
      </c>
      <c r="D352" s="13">
        <f t="shared" si="11"/>
        <v>5.3377955687239263E-2</v>
      </c>
    </row>
    <row r="353" spans="1:4" s="97" customFormat="1" x14ac:dyDescent="0.2">
      <c r="A353" s="10">
        <v>44136</v>
      </c>
      <c r="B353" s="15">
        <f>VLOOKUP(A353,Database!A:K,MATCH('Retail Sales'!$A$1,Database!$A$1:$K$1,),)</f>
        <v>541247</v>
      </c>
      <c r="C353" s="12">
        <f t="shared" si="10"/>
        <v>-1.3996320113675697E-2</v>
      </c>
      <c r="D353" s="13">
        <f t="shared" si="11"/>
        <v>3.5275102571704554E-2</v>
      </c>
    </row>
    <row r="354" spans="1:4" s="97" customFormat="1" x14ac:dyDescent="0.2">
      <c r="A354" s="11">
        <v>44166</v>
      </c>
      <c r="B354" s="15">
        <f>VLOOKUP(A354,Database!A:K,MATCH('Retail Sales'!$A$1,Database!$A$1:$K$1,),)</f>
        <v>535972</v>
      </c>
      <c r="C354" s="12">
        <f t="shared" si="10"/>
        <v>-9.7460124490297406E-3</v>
      </c>
      <c r="D354" s="13">
        <f t="shared" si="11"/>
        <v>2.311677502853805E-2</v>
      </c>
    </row>
    <row r="355" spans="1:4" s="97" customFormat="1" x14ac:dyDescent="0.2">
      <c r="A355" s="10">
        <v>44197</v>
      </c>
      <c r="B355" s="15">
        <f>VLOOKUP(A355,Database!A:K,MATCH('Retail Sales'!$A$1,Database!$A$1:$K$1,),)</f>
        <v>576466</v>
      </c>
      <c r="C355" s="12">
        <f t="shared" si="10"/>
        <v>7.5552454232683794E-2</v>
      </c>
      <c r="D355" s="13">
        <f t="shared" si="11"/>
        <v>9.4008691856603349E-2</v>
      </c>
    </row>
    <row r="356" spans="1:4" s="97" customFormat="1" x14ac:dyDescent="0.2">
      <c r="A356" s="11">
        <v>44228</v>
      </c>
      <c r="B356" s="15">
        <f>VLOOKUP(A356,Database!A:K,MATCH('Retail Sales'!$A$1,Database!$A$1:$K$1,),)</f>
        <v>559970</v>
      </c>
      <c r="C356" s="12">
        <f t="shared" si="10"/>
        <v>-2.8615737961996023E-2</v>
      </c>
      <c r="D356" s="13">
        <f t="shared" si="11"/>
        <v>6.4966432741864935E-2</v>
      </c>
    </row>
    <row r="357" spans="1:4" s="97" customFormat="1" x14ac:dyDescent="0.2">
      <c r="A357" s="10">
        <v>44256</v>
      </c>
      <c r="B357" s="15">
        <f>VLOOKUP(A357,Database!A:K,MATCH('Retail Sales'!$A$1,Database!$A$1:$K$1,),)</f>
        <v>623119</v>
      </c>
      <c r="C357" s="12">
        <f t="shared" si="10"/>
        <v>0.1127721127917567</v>
      </c>
      <c r="D357" s="13">
        <f t="shared" si="11"/>
        <v>0.29706478048821106</v>
      </c>
    </row>
    <row r="358" spans="1:4" s="97" customFormat="1" x14ac:dyDescent="0.2">
      <c r="A358" s="11">
        <v>44287</v>
      </c>
      <c r="B358" s="15">
        <f>VLOOKUP(A358,Database!A:K,MATCH('Retail Sales'!$A$1,Database!$A$1:$K$1,),)</f>
        <v>628751</v>
      </c>
      <c r="C358" s="12">
        <f t="shared" si="10"/>
        <v>9.0384019745827042E-3</v>
      </c>
      <c r="D358" s="13">
        <f t="shared" si="11"/>
        <v>0.53421632476776337</v>
      </c>
    </row>
    <row r="359" spans="1:4" s="97" customFormat="1" x14ac:dyDescent="0.2">
      <c r="A359" s="10">
        <v>44317</v>
      </c>
      <c r="B359" s="15">
        <f>VLOOKUP(A359,Database!A:K,MATCH('Retail Sales'!$A$1,Database!$A$1:$K$1,),)</f>
        <v>620119</v>
      </c>
      <c r="C359" s="12">
        <f t="shared" si="10"/>
        <v>-1.3728805202695503E-2</v>
      </c>
      <c r="D359" s="13">
        <f t="shared" si="11"/>
        <v>0.28045715937600019</v>
      </c>
    </row>
    <row r="360" spans="1:4" s="97" customFormat="1" x14ac:dyDescent="0.2">
      <c r="A360" s="11">
        <v>44348</v>
      </c>
      <c r="B360" s="15">
        <f>VLOOKUP(A360,Database!A:K,MATCH('Retail Sales'!$A$1,Database!$A$1:$K$1,),)</f>
        <v>625405</v>
      </c>
      <c r="C360" s="12">
        <f t="shared" si="10"/>
        <v>8.5241703608500956E-3</v>
      </c>
      <c r="D360" s="13">
        <f t="shared" si="11"/>
        <v>0.18856034071537306</v>
      </c>
    </row>
    <row r="361" spans="1:4" s="97" customFormat="1" x14ac:dyDescent="0.2">
      <c r="A361" s="10">
        <v>44378</v>
      </c>
      <c r="B361" s="15">
        <f>VLOOKUP(A361,Database!A:K,MATCH('Retail Sales'!$A$1,Database!$A$1:$K$1,),)</f>
        <v>615250</v>
      </c>
      <c r="C361" s="12">
        <f t="shared" si="10"/>
        <v>-1.6237478114182011E-2</v>
      </c>
      <c r="D361" s="13">
        <f t="shared" si="11"/>
        <v>0.15319661791470562</v>
      </c>
    </row>
    <row r="362" spans="1:4" s="97" customFormat="1" x14ac:dyDescent="0.2">
      <c r="A362" s="11">
        <v>44409</v>
      </c>
      <c r="B362" s="15">
        <f>VLOOKUP(A362,Database!A:K,MATCH('Retail Sales'!$A$1,Database!$A$1:$K$1,),)</f>
        <v>622383</v>
      </c>
      <c r="C362" s="12">
        <f t="shared" si="10"/>
        <v>1.1593661113368549E-2</v>
      </c>
      <c r="D362" s="13">
        <f t="shared" si="11"/>
        <v>0.15688873192311981</v>
      </c>
    </row>
    <row r="363" spans="1:4" s="97" customFormat="1" x14ac:dyDescent="0.2">
      <c r="A363" s="11">
        <v>44440</v>
      </c>
      <c r="B363" s="15">
        <f>VLOOKUP(A363,Database!A:K,MATCH('Retail Sales'!$A$1,Database!$A$1:$K$1,),)</f>
        <v>626999</v>
      </c>
      <c r="C363" s="12">
        <f t="shared" si="10"/>
        <v>7.416655017890913E-3</v>
      </c>
      <c r="D363" s="13">
        <f t="shared" ref="D363:D365" si="12">(B363-B351)/B351</f>
        <v>0.14163591042422674</v>
      </c>
    </row>
    <row r="364" spans="1:4" s="97" customFormat="1" x14ac:dyDescent="0.2">
      <c r="A364" s="10">
        <v>44470</v>
      </c>
      <c r="B364" s="15">
        <f>VLOOKUP(A364,Database!A:K,MATCH('Retail Sales'!$A$1,Database!$A$1:$K$1,),)</f>
        <v>638190</v>
      </c>
      <c r="C364" s="12">
        <f t="shared" si="10"/>
        <v>1.7848513315013262E-2</v>
      </c>
      <c r="D364" s="13">
        <f t="shared" si="12"/>
        <v>0.16260725411254623</v>
      </c>
    </row>
    <row r="365" spans="1:4" s="97" customFormat="1" x14ac:dyDescent="0.2">
      <c r="A365" s="11">
        <v>44501</v>
      </c>
      <c r="B365" s="15">
        <f>VLOOKUP(A365,Database!A:K,MATCH('Retail Sales'!$A$1,Database!$A$1:$K$1,),)</f>
        <v>639829</v>
      </c>
      <c r="C365" s="12">
        <f t="shared" si="10"/>
        <v>2.5682006925837131E-3</v>
      </c>
      <c r="D365" s="13">
        <f t="shared" si="12"/>
        <v>0.18213865388630329</v>
      </c>
    </row>
    <row r="366" spans="1:4" s="97" customFormat="1" x14ac:dyDescent="0.2">
      <c r="A366" s="54"/>
      <c r="B366" s="14"/>
      <c r="C366" s="54"/>
      <c r="D366" s="54"/>
    </row>
    <row r="367" spans="1:4" s="97" customFormat="1" x14ac:dyDescent="0.2">
      <c r="A367" s="54"/>
      <c r="B367" s="14"/>
      <c r="C367" s="54"/>
      <c r="D367" s="54"/>
    </row>
    <row r="368" spans="1:4" s="97" customFormat="1" x14ac:dyDescent="0.2">
      <c r="A368" s="54"/>
      <c r="B368" s="14"/>
      <c r="C368" s="54"/>
      <c r="D368" s="54"/>
    </row>
    <row r="369" spans="1:4" s="97" customFormat="1" x14ac:dyDescent="0.2">
      <c r="A369" s="54"/>
      <c r="B369" s="14"/>
      <c r="C369" s="54"/>
      <c r="D369" s="54"/>
    </row>
    <row r="370" spans="1:4" s="97" customFormat="1" x14ac:dyDescent="0.2">
      <c r="A370" s="54"/>
      <c r="B370" s="14"/>
      <c r="C370" s="54"/>
      <c r="D370" s="54"/>
    </row>
    <row r="371" spans="1:4" s="97" customFormat="1" x14ac:dyDescent="0.2">
      <c r="A371" s="54"/>
      <c r="B371" s="14"/>
      <c r="C371" s="54"/>
      <c r="D371" s="54"/>
    </row>
    <row r="372" spans="1:4" s="97" customFormat="1" x14ac:dyDescent="0.2">
      <c r="A372" s="54"/>
      <c r="B372" s="14"/>
      <c r="C372" s="54"/>
      <c r="D372" s="54"/>
    </row>
    <row r="373" spans="1:4" s="97" customFormat="1" x14ac:dyDescent="0.2">
      <c r="A373" s="54"/>
      <c r="B373" s="14"/>
      <c r="C373" s="54"/>
      <c r="D373" s="54"/>
    </row>
    <row r="374" spans="1:4" s="97" customFormat="1" x14ac:dyDescent="0.2">
      <c r="A374" s="54"/>
      <c r="B374" s="14"/>
      <c r="C374" s="54"/>
      <c r="D374" s="54"/>
    </row>
    <row r="375" spans="1:4" s="97" customFormat="1" x14ac:dyDescent="0.2">
      <c r="A375" s="54"/>
      <c r="B375" s="14"/>
      <c r="C375" s="54"/>
      <c r="D375" s="54"/>
    </row>
    <row r="376" spans="1:4" s="97" customFormat="1" x14ac:dyDescent="0.2">
      <c r="A376" s="54"/>
      <c r="B376" s="14"/>
      <c r="C376" s="54"/>
      <c r="D376" s="54"/>
    </row>
    <row r="377" spans="1:4" s="97" customFormat="1" x14ac:dyDescent="0.2">
      <c r="A377" s="54"/>
      <c r="B377" s="14"/>
      <c r="C377" s="54"/>
      <c r="D377" s="54"/>
    </row>
    <row r="378" spans="1:4" s="97" customFormat="1" x14ac:dyDescent="0.2">
      <c r="A378" s="54"/>
      <c r="B378" s="14"/>
      <c r="C378" s="54"/>
      <c r="D378" s="54"/>
    </row>
    <row r="379" spans="1:4" s="97" customFormat="1" x14ac:dyDescent="0.2">
      <c r="A379" s="54"/>
      <c r="B379" s="14"/>
      <c r="C379" s="54"/>
      <c r="D379" s="54"/>
    </row>
    <row r="380" spans="1:4" s="97" customFormat="1" x14ac:dyDescent="0.2">
      <c r="A380" s="54"/>
      <c r="B380" s="14"/>
      <c r="C380" s="54"/>
      <c r="D380" s="54"/>
    </row>
    <row r="381" spans="1:4" s="97" customFormat="1" x14ac:dyDescent="0.2">
      <c r="A381" s="54"/>
      <c r="B381" s="14"/>
      <c r="C381" s="54"/>
      <c r="D381" s="54"/>
    </row>
    <row r="382" spans="1:4" s="97" customFormat="1" x14ac:dyDescent="0.2">
      <c r="A382" s="54"/>
      <c r="B382" s="14"/>
      <c r="C382" s="54"/>
      <c r="D382" s="54"/>
    </row>
    <row r="383" spans="1:4" s="97" customFormat="1" x14ac:dyDescent="0.2">
      <c r="A383" s="54"/>
      <c r="B383" s="14"/>
      <c r="C383" s="54"/>
      <c r="D383" s="54"/>
    </row>
    <row r="384" spans="1:4" s="97" customFormat="1" x14ac:dyDescent="0.2">
      <c r="A384" s="54"/>
      <c r="B384" s="14"/>
      <c r="C384" s="54"/>
      <c r="D384" s="54"/>
    </row>
    <row r="385" spans="1:4" s="97" customFormat="1" x14ac:dyDescent="0.2">
      <c r="A385" s="54"/>
      <c r="B385" s="14"/>
      <c r="C385" s="54"/>
      <c r="D385" s="54"/>
    </row>
    <row r="386" spans="1:4" s="97" customFormat="1" x14ac:dyDescent="0.2">
      <c r="A386" s="54"/>
      <c r="B386" s="14"/>
      <c r="C386" s="54"/>
      <c r="D386" s="54"/>
    </row>
    <row r="387" spans="1:4" s="97" customFormat="1" x14ac:dyDescent="0.2">
      <c r="A387" s="54"/>
      <c r="B387" s="14"/>
      <c r="C387" s="54"/>
      <c r="D387" s="54"/>
    </row>
    <row r="388" spans="1:4" s="97" customFormat="1" x14ac:dyDescent="0.2">
      <c r="A388" s="54"/>
      <c r="B388" s="14"/>
      <c r="C388" s="54"/>
      <c r="D388" s="54"/>
    </row>
    <row r="389" spans="1:4" s="97" customFormat="1" x14ac:dyDescent="0.2">
      <c r="A389" s="54"/>
      <c r="B389" s="14"/>
      <c r="C389" s="54"/>
      <c r="D389" s="54"/>
    </row>
    <row r="390" spans="1:4" s="97" customFormat="1" x14ac:dyDescent="0.2">
      <c r="A390" s="54"/>
      <c r="B390" s="14"/>
      <c r="C390" s="54"/>
      <c r="D390" s="54"/>
    </row>
    <row r="391" spans="1:4" s="97" customFormat="1" x14ac:dyDescent="0.2">
      <c r="A391" s="54"/>
      <c r="B391" s="14"/>
      <c r="C391" s="54"/>
      <c r="D391" s="54"/>
    </row>
    <row r="392" spans="1:4" s="97" customFormat="1" x14ac:dyDescent="0.2">
      <c r="A392" s="54"/>
      <c r="B392" s="14"/>
      <c r="C392" s="54"/>
      <c r="D392" s="54"/>
    </row>
    <row r="393" spans="1:4" s="97" customFormat="1" x14ac:dyDescent="0.2">
      <c r="A393" s="54"/>
      <c r="B393" s="14"/>
      <c r="C393" s="54"/>
      <c r="D393" s="54"/>
    </row>
    <row r="394" spans="1:4" s="97" customFormat="1" x14ac:dyDescent="0.2">
      <c r="A394" s="54"/>
      <c r="B394" s="14"/>
      <c r="C394" s="54"/>
      <c r="D394" s="54"/>
    </row>
    <row r="395" spans="1:4" s="97" customFormat="1" x14ac:dyDescent="0.2">
      <c r="A395" s="54"/>
      <c r="B395" s="14"/>
      <c r="C395" s="54"/>
      <c r="D395" s="54"/>
    </row>
    <row r="396" spans="1:4" s="97" customFormat="1" x14ac:dyDescent="0.2">
      <c r="A396" s="54"/>
      <c r="B396" s="14"/>
      <c r="C396" s="54"/>
      <c r="D396" s="54"/>
    </row>
    <row r="397" spans="1:4" s="97" customFormat="1" x14ac:dyDescent="0.2">
      <c r="A397" s="54"/>
      <c r="B397" s="14"/>
      <c r="C397" s="54"/>
      <c r="D397" s="54"/>
    </row>
    <row r="398" spans="1:4" s="97" customFormat="1" x14ac:dyDescent="0.2">
      <c r="A398" s="54"/>
      <c r="B398" s="14"/>
      <c r="C398" s="54"/>
      <c r="D398" s="54"/>
    </row>
    <row r="399" spans="1:4" s="97" customFormat="1" x14ac:dyDescent="0.2">
      <c r="A399" s="54"/>
      <c r="B399" s="14"/>
      <c r="C399" s="54"/>
      <c r="D399" s="54"/>
    </row>
    <row r="400" spans="1:4" s="97" customFormat="1" x14ac:dyDescent="0.2">
      <c r="A400" s="54"/>
      <c r="B400" s="14"/>
      <c r="C400" s="54"/>
      <c r="D400" s="54"/>
    </row>
    <row r="401" spans="1:4" s="97" customFormat="1" x14ac:dyDescent="0.2">
      <c r="A401" s="54"/>
      <c r="B401" s="14"/>
      <c r="C401" s="54"/>
      <c r="D401" s="54"/>
    </row>
    <row r="402" spans="1:4" s="97" customFormat="1" x14ac:dyDescent="0.2">
      <c r="A402" s="54"/>
      <c r="B402" s="14"/>
      <c r="C402" s="54"/>
      <c r="D402" s="54"/>
    </row>
    <row r="403" spans="1:4" s="97" customFormat="1" x14ac:dyDescent="0.2">
      <c r="A403" s="54"/>
      <c r="B403" s="14"/>
      <c r="C403" s="54"/>
      <c r="D403" s="54"/>
    </row>
    <row r="404" spans="1:4" s="97" customFormat="1" x14ac:dyDescent="0.2">
      <c r="A404" s="54"/>
      <c r="B404" s="14"/>
      <c r="C404" s="54"/>
      <c r="D404" s="54"/>
    </row>
    <row r="405" spans="1:4" s="97" customFormat="1" x14ac:dyDescent="0.2">
      <c r="A405" s="54"/>
      <c r="B405" s="14"/>
      <c r="C405" s="54"/>
      <c r="D405" s="54"/>
    </row>
    <row r="406" spans="1:4" s="97" customFormat="1" x14ac:dyDescent="0.2">
      <c r="A406" s="54"/>
      <c r="B406" s="14"/>
      <c r="C406" s="54"/>
      <c r="D406" s="54"/>
    </row>
    <row r="407" spans="1:4" s="97" customFormat="1" x14ac:dyDescent="0.2">
      <c r="A407" s="54"/>
      <c r="B407" s="14"/>
      <c r="C407" s="54"/>
      <c r="D407" s="54"/>
    </row>
    <row r="408" spans="1:4" s="97" customFormat="1" x14ac:dyDescent="0.2">
      <c r="A408" s="54"/>
      <c r="B408" s="14"/>
      <c r="C408" s="54"/>
      <c r="D408" s="54"/>
    </row>
    <row r="409" spans="1:4" s="97" customFormat="1" x14ac:dyDescent="0.2">
      <c r="A409" s="54"/>
      <c r="B409" s="14"/>
      <c r="C409" s="54"/>
      <c r="D409" s="54"/>
    </row>
    <row r="410" spans="1:4" s="97" customFormat="1" x14ac:dyDescent="0.2">
      <c r="A410" s="54"/>
      <c r="B410" s="14"/>
      <c r="C410" s="54"/>
      <c r="D410" s="54"/>
    </row>
    <row r="411" spans="1:4" s="97" customFormat="1" x14ac:dyDescent="0.2">
      <c r="A411" s="54"/>
      <c r="B411" s="14"/>
      <c r="C411" s="54"/>
      <c r="D411" s="54"/>
    </row>
    <row r="412" spans="1:4" s="97" customFormat="1" x14ac:dyDescent="0.2">
      <c r="A412" s="54"/>
      <c r="B412" s="14"/>
      <c r="C412" s="54"/>
      <c r="D412" s="54"/>
    </row>
    <row r="413" spans="1:4" s="97" customFormat="1" x14ac:dyDescent="0.2">
      <c r="A413" s="54"/>
      <c r="B413" s="14"/>
      <c r="C413" s="54"/>
      <c r="D413" s="54"/>
    </row>
    <row r="414" spans="1:4" s="97" customFormat="1" x14ac:dyDescent="0.2">
      <c r="A414" s="54"/>
      <c r="B414" s="14"/>
      <c r="C414" s="54"/>
      <c r="D414" s="54"/>
    </row>
    <row r="415" spans="1:4" s="97" customFormat="1" x14ac:dyDescent="0.2">
      <c r="A415" s="54"/>
      <c r="B415" s="14"/>
      <c r="C415" s="54"/>
      <c r="D415" s="54"/>
    </row>
    <row r="416" spans="1:4" s="97" customFormat="1" x14ac:dyDescent="0.2">
      <c r="A416" s="54"/>
      <c r="B416" s="14"/>
      <c r="C416" s="54"/>
      <c r="D416" s="54"/>
    </row>
    <row r="417" spans="1:4" s="97" customFormat="1" x14ac:dyDescent="0.2">
      <c r="A417" s="54"/>
      <c r="B417" s="14"/>
      <c r="C417" s="54"/>
      <c r="D417" s="54"/>
    </row>
    <row r="418" spans="1:4" s="97" customFormat="1" x14ac:dyDescent="0.2">
      <c r="A418" s="54"/>
      <c r="B418" s="14"/>
      <c r="C418" s="54"/>
      <c r="D418" s="54"/>
    </row>
    <row r="419" spans="1:4" s="97" customFormat="1" x14ac:dyDescent="0.2">
      <c r="A419" s="54"/>
      <c r="B419" s="14"/>
      <c r="C419" s="54"/>
      <c r="D419" s="54"/>
    </row>
    <row r="420" spans="1:4" s="97" customFormat="1" x14ac:dyDescent="0.2">
      <c r="A420" s="54"/>
      <c r="B420" s="14"/>
      <c r="C420" s="54"/>
      <c r="D420" s="54"/>
    </row>
    <row r="421" spans="1:4" s="97" customFormat="1" x14ac:dyDescent="0.2">
      <c r="A421" s="54"/>
      <c r="B421" s="14"/>
      <c r="C421" s="54"/>
      <c r="D421" s="54"/>
    </row>
    <row r="422" spans="1:4" s="97" customFormat="1" x14ac:dyDescent="0.2">
      <c r="A422" s="54"/>
      <c r="B422" s="14"/>
      <c r="C422" s="54"/>
      <c r="D422" s="54"/>
    </row>
    <row r="423" spans="1:4" s="97" customFormat="1" x14ac:dyDescent="0.2">
      <c r="A423" s="54"/>
      <c r="B423" s="14"/>
      <c r="C423" s="54"/>
      <c r="D423" s="54"/>
    </row>
    <row r="424" spans="1:4" s="97" customFormat="1" x14ac:dyDescent="0.2">
      <c r="A424" s="54"/>
      <c r="B424" s="14"/>
      <c r="C424" s="54"/>
      <c r="D424" s="54"/>
    </row>
    <row r="425" spans="1:4" s="97" customFormat="1" x14ac:dyDescent="0.2">
      <c r="A425" s="54"/>
      <c r="B425" s="14"/>
      <c r="C425" s="54"/>
      <c r="D425" s="54"/>
    </row>
    <row r="426" spans="1:4" s="97" customFormat="1" x14ac:dyDescent="0.2">
      <c r="A426" s="54"/>
      <c r="B426" s="14"/>
      <c r="C426" s="54"/>
      <c r="D426" s="54"/>
    </row>
    <row r="427" spans="1:4" s="97" customFormat="1" x14ac:dyDescent="0.2">
      <c r="A427" s="54"/>
      <c r="B427" s="14"/>
      <c r="C427" s="54"/>
      <c r="D427" s="54"/>
    </row>
    <row r="428" spans="1:4" s="97" customFormat="1" x14ac:dyDescent="0.2">
      <c r="A428" s="54"/>
      <c r="B428" s="14"/>
      <c r="C428" s="54"/>
      <c r="D428" s="54"/>
    </row>
    <row r="429" spans="1:4" s="97" customFormat="1" x14ac:dyDescent="0.2">
      <c r="A429" s="54"/>
      <c r="B429" s="14"/>
      <c r="C429" s="54"/>
      <c r="D429" s="54"/>
    </row>
    <row r="430" spans="1:4" s="97" customFormat="1" x14ac:dyDescent="0.2">
      <c r="A430" s="54"/>
      <c r="B430" s="14"/>
      <c r="C430" s="54"/>
      <c r="D430" s="54"/>
    </row>
    <row r="431" spans="1:4" s="97" customFormat="1" x14ac:dyDescent="0.2">
      <c r="A431" s="54"/>
      <c r="B431" s="14"/>
      <c r="C431" s="54"/>
      <c r="D431" s="54"/>
    </row>
    <row r="432" spans="1:4" s="97" customFormat="1" x14ac:dyDescent="0.2">
      <c r="A432" s="54"/>
      <c r="B432" s="14"/>
      <c r="C432" s="54"/>
      <c r="D432" s="54"/>
    </row>
    <row r="433" spans="1:4" s="97" customFormat="1" x14ac:dyDescent="0.2">
      <c r="A433" s="54"/>
      <c r="B433" s="14"/>
      <c r="C433" s="54"/>
      <c r="D433" s="54"/>
    </row>
    <row r="434" spans="1:4" s="97" customFormat="1" x14ac:dyDescent="0.2">
      <c r="A434" s="54"/>
      <c r="B434" s="14"/>
      <c r="C434" s="54"/>
      <c r="D434" s="54"/>
    </row>
    <row r="435" spans="1:4" s="97" customFormat="1" x14ac:dyDescent="0.2">
      <c r="A435" s="54"/>
      <c r="B435" s="14"/>
      <c r="C435" s="54"/>
      <c r="D435" s="54"/>
    </row>
    <row r="436" spans="1:4" s="97" customFormat="1" x14ac:dyDescent="0.2">
      <c r="A436" s="54"/>
      <c r="B436" s="14"/>
      <c r="C436" s="54"/>
      <c r="D436" s="54"/>
    </row>
    <row r="437" spans="1:4" s="97" customFormat="1" x14ac:dyDescent="0.2">
      <c r="A437" s="54"/>
      <c r="B437" s="14"/>
      <c r="C437" s="54"/>
      <c r="D437" s="54"/>
    </row>
    <row r="438" spans="1:4" s="97" customFormat="1" x14ac:dyDescent="0.2">
      <c r="A438" s="54"/>
      <c r="B438" s="14"/>
      <c r="C438" s="54"/>
      <c r="D438" s="54"/>
    </row>
    <row r="439" spans="1:4" s="97" customFormat="1" x14ac:dyDescent="0.2">
      <c r="A439" s="54"/>
      <c r="B439" s="14"/>
      <c r="C439" s="54"/>
      <c r="D439" s="54"/>
    </row>
    <row r="440" spans="1:4" s="97" customFormat="1" x14ac:dyDescent="0.2">
      <c r="A440" s="54"/>
      <c r="B440" s="14"/>
      <c r="C440" s="54"/>
      <c r="D440" s="54"/>
    </row>
    <row r="441" spans="1:4" s="97" customFormat="1" x14ac:dyDescent="0.2">
      <c r="A441" s="54"/>
      <c r="B441" s="14"/>
      <c r="C441" s="54"/>
      <c r="D441" s="54"/>
    </row>
    <row r="442" spans="1:4" s="97" customFormat="1" x14ac:dyDescent="0.2">
      <c r="A442" s="54"/>
      <c r="B442" s="14"/>
      <c r="C442" s="54"/>
      <c r="D442" s="54"/>
    </row>
    <row r="443" spans="1:4" s="97" customFormat="1" x14ac:dyDescent="0.2">
      <c r="A443" s="54"/>
      <c r="B443" s="14"/>
      <c r="C443" s="54"/>
      <c r="D443" s="54"/>
    </row>
    <row r="444" spans="1:4" s="97" customFormat="1" x14ac:dyDescent="0.2">
      <c r="A444" s="54"/>
      <c r="B444" s="14"/>
      <c r="C444" s="54"/>
      <c r="D444" s="54"/>
    </row>
    <row r="445" spans="1:4" s="97" customFormat="1" x14ac:dyDescent="0.2">
      <c r="A445" s="54"/>
      <c r="B445" s="14"/>
      <c r="C445" s="54"/>
      <c r="D445" s="54"/>
    </row>
    <row r="446" spans="1:4" s="97" customFormat="1" x14ac:dyDescent="0.2">
      <c r="A446" s="54"/>
      <c r="B446" s="14"/>
      <c r="C446" s="54"/>
      <c r="D446" s="54"/>
    </row>
    <row r="447" spans="1:4" s="97" customFormat="1" x14ac:dyDescent="0.2">
      <c r="A447" s="54"/>
      <c r="B447" s="14"/>
      <c r="C447" s="54"/>
      <c r="D447" s="54"/>
    </row>
    <row r="448" spans="1:4" s="97" customFormat="1" x14ac:dyDescent="0.2">
      <c r="A448" s="54"/>
      <c r="B448" s="14"/>
      <c r="C448" s="54"/>
      <c r="D448" s="54"/>
    </row>
    <row r="449" spans="1:4" s="97" customFormat="1" x14ac:dyDescent="0.2">
      <c r="A449" s="54"/>
      <c r="B449" s="14"/>
      <c r="C449" s="54"/>
      <c r="D449" s="54"/>
    </row>
    <row r="450" spans="1:4" s="97" customFormat="1" x14ac:dyDescent="0.2">
      <c r="A450" s="54"/>
      <c r="B450" s="14"/>
      <c r="C450" s="54"/>
      <c r="D450" s="54"/>
    </row>
    <row r="451" spans="1:4" s="97" customFormat="1" x14ac:dyDescent="0.2">
      <c r="A451" s="54"/>
      <c r="B451" s="14"/>
      <c r="C451" s="54"/>
      <c r="D451" s="54"/>
    </row>
    <row r="452" spans="1:4" s="97" customFormat="1" x14ac:dyDescent="0.2">
      <c r="A452" s="54"/>
      <c r="B452" s="14"/>
      <c r="C452" s="54"/>
      <c r="D452" s="54"/>
    </row>
    <row r="453" spans="1:4" s="97" customFormat="1" x14ac:dyDescent="0.2">
      <c r="A453" s="54"/>
      <c r="B453" s="14"/>
      <c r="C453" s="54"/>
      <c r="D453" s="54"/>
    </row>
    <row r="454" spans="1:4" s="97" customFormat="1" x14ac:dyDescent="0.2">
      <c r="A454" s="54"/>
      <c r="B454" s="14"/>
      <c r="C454" s="54"/>
      <c r="D454" s="54"/>
    </row>
    <row r="455" spans="1:4" s="97" customFormat="1" x14ac:dyDescent="0.2">
      <c r="A455" s="54"/>
      <c r="B455" s="14"/>
      <c r="C455" s="54"/>
      <c r="D455" s="54"/>
    </row>
    <row r="456" spans="1:4" s="97" customFormat="1" x14ac:dyDescent="0.2">
      <c r="A456" s="54"/>
      <c r="B456" s="14"/>
      <c r="C456" s="54"/>
      <c r="D456" s="54"/>
    </row>
    <row r="457" spans="1:4" s="97" customFormat="1" x14ac:dyDescent="0.2">
      <c r="A457" s="54"/>
      <c r="B457" s="14"/>
      <c r="C457" s="54"/>
      <c r="D457" s="54"/>
    </row>
    <row r="458" spans="1:4" s="97" customFormat="1" x14ac:dyDescent="0.2">
      <c r="A458" s="54"/>
      <c r="B458" s="14"/>
      <c r="C458" s="54"/>
      <c r="D458" s="54"/>
    </row>
    <row r="459" spans="1:4" s="97" customFormat="1" x14ac:dyDescent="0.2">
      <c r="A459" s="54"/>
      <c r="B459" s="14"/>
      <c r="C459" s="54"/>
      <c r="D459" s="54"/>
    </row>
    <row r="460" spans="1:4" s="97" customFormat="1" x14ac:dyDescent="0.2">
      <c r="A460" s="54"/>
      <c r="B460" s="14"/>
      <c r="C460" s="54"/>
      <c r="D460" s="54"/>
    </row>
    <row r="461" spans="1:4" s="97" customFormat="1" x14ac:dyDescent="0.2">
      <c r="A461" s="54"/>
      <c r="B461" s="14"/>
      <c r="C461" s="54"/>
      <c r="D461" s="54"/>
    </row>
    <row r="462" spans="1:4" s="97" customFormat="1" x14ac:dyDescent="0.2">
      <c r="A462" s="54"/>
      <c r="B462" s="14"/>
      <c r="C462" s="54"/>
      <c r="D462" s="54"/>
    </row>
    <row r="463" spans="1:4" s="97" customFormat="1" x14ac:dyDescent="0.2">
      <c r="A463" s="54"/>
      <c r="B463" s="14"/>
      <c r="C463" s="54"/>
      <c r="D463" s="54"/>
    </row>
    <row r="464" spans="1:4" s="97" customFormat="1" x14ac:dyDescent="0.2">
      <c r="A464" s="54"/>
      <c r="B464" s="14"/>
      <c r="C464" s="54"/>
      <c r="D464" s="54"/>
    </row>
    <row r="465" spans="1:4" s="97" customFormat="1" x14ac:dyDescent="0.2">
      <c r="A465" s="54"/>
      <c r="B465" s="14"/>
      <c r="C465" s="54"/>
      <c r="D465" s="54"/>
    </row>
    <row r="466" spans="1:4" s="97" customFormat="1" x14ac:dyDescent="0.2">
      <c r="A466" s="54"/>
      <c r="B466" s="14"/>
      <c r="C466" s="54"/>
      <c r="D466" s="54"/>
    </row>
    <row r="467" spans="1:4" s="97" customFormat="1" x14ac:dyDescent="0.2">
      <c r="A467" s="54"/>
      <c r="B467" s="14"/>
      <c r="C467" s="54"/>
      <c r="D467" s="54"/>
    </row>
    <row r="468" spans="1:4" s="97" customFormat="1" x14ac:dyDescent="0.2">
      <c r="A468" s="54"/>
      <c r="B468" s="14"/>
      <c r="C468" s="54"/>
      <c r="D468" s="54"/>
    </row>
    <row r="469" spans="1:4" s="97" customFormat="1" x14ac:dyDescent="0.2">
      <c r="A469" s="54"/>
      <c r="B469" s="14"/>
      <c r="C469" s="54"/>
      <c r="D469" s="54"/>
    </row>
    <row r="470" spans="1:4" s="97" customFormat="1" x14ac:dyDescent="0.2">
      <c r="A470" s="54"/>
      <c r="B470" s="14"/>
      <c r="C470" s="54"/>
      <c r="D470" s="54"/>
    </row>
    <row r="471" spans="1:4" s="97" customFormat="1" x14ac:dyDescent="0.2">
      <c r="A471" s="54"/>
      <c r="B471" s="14"/>
      <c r="C471" s="54"/>
      <c r="D471" s="54"/>
    </row>
    <row r="472" spans="1:4" s="97" customFormat="1" x14ac:dyDescent="0.2">
      <c r="A472" s="54"/>
      <c r="B472" s="14"/>
      <c r="C472" s="54"/>
      <c r="D472" s="54"/>
    </row>
    <row r="473" spans="1:4" s="97" customFormat="1" x14ac:dyDescent="0.2">
      <c r="A473" s="54"/>
      <c r="B473" s="14"/>
      <c r="C473" s="54"/>
      <c r="D473" s="54"/>
    </row>
    <row r="474" spans="1:4" s="97" customFormat="1" x14ac:dyDescent="0.2">
      <c r="A474" s="54"/>
      <c r="B474" s="14"/>
      <c r="C474" s="54"/>
      <c r="D474" s="54"/>
    </row>
    <row r="475" spans="1:4" s="97" customFormat="1" x14ac:dyDescent="0.2">
      <c r="A475" s="54"/>
      <c r="B475" s="14"/>
      <c r="C475" s="54"/>
      <c r="D475" s="54"/>
    </row>
    <row r="476" spans="1:4" s="97" customFormat="1" x14ac:dyDescent="0.2">
      <c r="A476" s="54"/>
      <c r="B476" s="14"/>
      <c r="C476" s="54"/>
      <c r="D476" s="54"/>
    </row>
    <row r="477" spans="1:4" s="97" customFormat="1" x14ac:dyDescent="0.2">
      <c r="A477" s="54"/>
      <c r="B477" s="14"/>
      <c r="C477" s="54"/>
      <c r="D477" s="54"/>
    </row>
    <row r="478" spans="1:4" s="97" customFormat="1" x14ac:dyDescent="0.2">
      <c r="A478" s="54"/>
      <c r="B478" s="14"/>
      <c r="C478" s="54"/>
      <c r="D478" s="54"/>
    </row>
    <row r="479" spans="1:4" s="97" customFormat="1" x14ac:dyDescent="0.2">
      <c r="A479" s="54"/>
      <c r="B479" s="14"/>
      <c r="C479" s="54"/>
      <c r="D479" s="54"/>
    </row>
    <row r="480" spans="1:4" s="97" customFormat="1" x14ac:dyDescent="0.2">
      <c r="A480" s="54"/>
      <c r="B480" s="14"/>
      <c r="C480" s="54"/>
      <c r="D480" s="54"/>
    </row>
    <row r="481" spans="1:4" s="97" customFormat="1" x14ac:dyDescent="0.2">
      <c r="A481" s="54"/>
      <c r="B481" s="14"/>
      <c r="C481" s="54"/>
      <c r="D481" s="54"/>
    </row>
    <row r="482" spans="1:4" s="97" customFormat="1" x14ac:dyDescent="0.2">
      <c r="A482" s="54"/>
      <c r="B482" s="14"/>
      <c r="C482" s="54"/>
      <c r="D482" s="54"/>
    </row>
    <row r="483" spans="1:4" s="97" customFormat="1" x14ac:dyDescent="0.2">
      <c r="A483" s="54"/>
      <c r="B483" s="14"/>
      <c r="C483" s="54"/>
      <c r="D483" s="54"/>
    </row>
    <row r="484" spans="1:4" s="97" customFormat="1" x14ac:dyDescent="0.2">
      <c r="A484" s="54"/>
      <c r="B484" s="14"/>
      <c r="C484" s="54"/>
      <c r="D484" s="54"/>
    </row>
    <row r="485" spans="1:4" s="97" customFormat="1" x14ac:dyDescent="0.2">
      <c r="A485" s="54"/>
      <c r="B485" s="14"/>
      <c r="C485" s="54"/>
      <c r="D485" s="54"/>
    </row>
    <row r="486" spans="1:4" s="97" customFormat="1" x14ac:dyDescent="0.2">
      <c r="A486" s="54"/>
      <c r="B486" s="14"/>
      <c r="C486" s="54"/>
      <c r="D486" s="54"/>
    </row>
    <row r="487" spans="1:4" s="97" customFormat="1" x14ac:dyDescent="0.2">
      <c r="A487" s="54"/>
      <c r="B487" s="14"/>
      <c r="C487" s="54"/>
      <c r="D487" s="54"/>
    </row>
    <row r="488" spans="1:4" s="97" customFormat="1" x14ac:dyDescent="0.2">
      <c r="A488" s="54"/>
      <c r="B488" s="14"/>
      <c r="C488" s="54"/>
      <c r="D488" s="54"/>
    </row>
    <row r="489" spans="1:4" s="97" customFormat="1" x14ac:dyDescent="0.2">
      <c r="A489" s="54"/>
      <c r="B489" s="14"/>
      <c r="C489" s="54"/>
      <c r="D489" s="54"/>
    </row>
    <row r="490" spans="1:4" s="97" customFormat="1" x14ac:dyDescent="0.2">
      <c r="A490" s="54"/>
      <c r="B490" s="14"/>
      <c r="C490" s="54"/>
      <c r="D490" s="54"/>
    </row>
    <row r="491" spans="1:4" s="97" customFormat="1" x14ac:dyDescent="0.2">
      <c r="A491" s="54"/>
      <c r="B491" s="14"/>
      <c r="C491" s="54"/>
      <c r="D491" s="54"/>
    </row>
    <row r="492" spans="1:4" s="97" customFormat="1" x14ac:dyDescent="0.2">
      <c r="A492" s="54"/>
      <c r="B492" s="14"/>
      <c r="C492" s="54"/>
      <c r="D492" s="54"/>
    </row>
    <row r="493" spans="1:4" s="97" customFormat="1" x14ac:dyDescent="0.2">
      <c r="A493" s="54"/>
      <c r="B493" s="14"/>
      <c r="C493" s="54"/>
      <c r="D493" s="54"/>
    </row>
    <row r="494" spans="1:4" s="97" customFormat="1" x14ac:dyDescent="0.2">
      <c r="A494" s="54"/>
      <c r="B494" s="14"/>
      <c r="C494" s="54"/>
      <c r="D494" s="54"/>
    </row>
    <row r="495" spans="1:4" s="97" customFormat="1" x14ac:dyDescent="0.2">
      <c r="A495" s="54"/>
      <c r="B495" s="14"/>
      <c r="C495" s="54"/>
      <c r="D495" s="54"/>
    </row>
    <row r="496" spans="1:4" s="97" customFormat="1" x14ac:dyDescent="0.2">
      <c r="A496" s="54"/>
      <c r="B496" s="14"/>
      <c r="C496" s="54"/>
      <c r="D496" s="54"/>
    </row>
    <row r="497" spans="1:4" s="97" customFormat="1" x14ac:dyDescent="0.2">
      <c r="A497" s="54"/>
      <c r="B497" s="14"/>
      <c r="C497" s="54"/>
      <c r="D497" s="54"/>
    </row>
    <row r="498" spans="1:4" s="97" customFormat="1" x14ac:dyDescent="0.2">
      <c r="A498" s="54"/>
      <c r="B498" s="14"/>
      <c r="C498" s="54"/>
      <c r="D498" s="54"/>
    </row>
    <row r="499" spans="1:4" s="97" customFormat="1" x14ac:dyDescent="0.2">
      <c r="A499" s="54"/>
      <c r="B499" s="14"/>
      <c r="C499" s="54"/>
      <c r="D499" s="54"/>
    </row>
    <row r="500" spans="1:4" s="97" customFormat="1" x14ac:dyDescent="0.2">
      <c r="A500" s="54"/>
      <c r="B500" s="14"/>
      <c r="C500" s="54"/>
      <c r="D500" s="54"/>
    </row>
    <row r="501" spans="1:4" s="97" customFormat="1" x14ac:dyDescent="0.2">
      <c r="A501" s="54"/>
      <c r="B501" s="14"/>
      <c r="C501" s="54"/>
      <c r="D501" s="54"/>
    </row>
    <row r="502" spans="1:4" s="97" customFormat="1" x14ac:dyDescent="0.2">
      <c r="A502" s="54"/>
      <c r="B502" s="14"/>
      <c r="C502" s="54"/>
      <c r="D502" s="54"/>
    </row>
    <row r="503" spans="1:4" s="97" customFormat="1" x14ac:dyDescent="0.2">
      <c r="A503" s="54"/>
      <c r="B503" s="14"/>
      <c r="C503" s="54"/>
      <c r="D503" s="54"/>
    </row>
    <row r="504" spans="1:4" s="97" customFormat="1" x14ac:dyDescent="0.2">
      <c r="A504" s="54"/>
      <c r="B504" s="14"/>
      <c r="C504" s="54"/>
      <c r="D504" s="54"/>
    </row>
    <row r="505" spans="1:4" s="97" customFormat="1" x14ac:dyDescent="0.2">
      <c r="A505" s="54"/>
      <c r="B505" s="14"/>
      <c r="C505" s="54"/>
      <c r="D505" s="54"/>
    </row>
    <row r="506" spans="1:4" s="97" customFormat="1" x14ac:dyDescent="0.2">
      <c r="A506" s="54"/>
      <c r="B506" s="14"/>
      <c r="C506" s="54"/>
      <c r="D506" s="54"/>
    </row>
    <row r="507" spans="1:4" s="97" customFormat="1" x14ac:dyDescent="0.2">
      <c r="A507" s="54"/>
      <c r="B507" s="14"/>
      <c r="C507" s="54"/>
      <c r="D507" s="54"/>
    </row>
    <row r="508" spans="1:4" s="97" customFormat="1" x14ac:dyDescent="0.2">
      <c r="A508" s="54"/>
      <c r="B508" s="14"/>
      <c r="C508" s="54"/>
      <c r="D508" s="54"/>
    </row>
    <row r="509" spans="1:4" s="97"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sheetData>
  <conditionalFormatting sqref="C8:C365">
    <cfRule type="colorScale" priority="42">
      <colorScale>
        <cfvo type="min"/>
        <cfvo type="percentile" val="50"/>
        <cfvo type="max"/>
        <color rgb="FFF8696B"/>
        <color rgb="FFFFEB84"/>
        <color rgb="FF63BE7B"/>
      </colorScale>
    </cfRule>
  </conditionalFormatting>
  <conditionalFormatting sqref="D19:D365">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03"/>
  <sheetViews>
    <sheetView zoomScale="160" zoomScaleNormal="160" workbookViewId="0">
      <pane ySplit="6" topLeftCell="A330" activePane="bottomLeft" state="frozen"/>
      <selection pane="bottomLeft" activeCell="G362" sqref="G362"/>
    </sheetView>
  </sheetViews>
  <sheetFormatPr baseColWidth="10" defaultColWidth="8.83203125" defaultRowHeight="15" x14ac:dyDescent="0.2"/>
  <cols>
    <col min="1" max="1" width="14" style="96" customWidth="1"/>
    <col min="2" max="2" width="23.6640625" style="23" customWidth="1"/>
    <col min="3" max="3" width="14.33203125" style="96" customWidth="1"/>
    <col min="4" max="4" width="14.1640625" style="96" customWidth="1"/>
    <col min="5" max="5" width="14.1640625" style="97" customWidth="1"/>
    <col min="6" max="53" width="9.1640625" style="97" customWidth="1"/>
  </cols>
  <sheetData>
    <row r="1" spans="1:10" s="97" customFormat="1" x14ac:dyDescent="0.2">
      <c r="A1" s="20" t="s">
        <v>58</v>
      </c>
      <c r="B1" s="24" t="s">
        <v>93</v>
      </c>
      <c r="I1" s="21"/>
      <c r="J1" s="21"/>
    </row>
    <row r="2" spans="1:10" s="97" customFormat="1" x14ac:dyDescent="0.2">
      <c r="A2" s="95" t="s">
        <v>18</v>
      </c>
      <c r="B2" s="22"/>
    </row>
    <row r="3" spans="1:10" s="97" customFormat="1" x14ac:dyDescent="0.2">
      <c r="A3" s="95"/>
      <c r="B3" s="22"/>
    </row>
    <row r="4" spans="1:10" s="97" customFormat="1" x14ac:dyDescent="0.2">
      <c r="A4" s="95"/>
      <c r="B4" s="22"/>
    </row>
    <row r="5" spans="1:10" s="97"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65"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97" customFormat="1" x14ac:dyDescent="0.2">
      <c r="A336" s="11">
        <v>43617</v>
      </c>
      <c r="B336" s="15">
        <f>VLOOKUP(A336,Database!A:M,MATCH($A$1,Database!$A$1:$M$1,),)</f>
        <v>412955</v>
      </c>
      <c r="C336" s="12">
        <f t="shared" si="10"/>
        <v>4.1434549703222604E-3</v>
      </c>
      <c r="D336" s="13">
        <f t="shared" si="9"/>
        <v>3.4876377688340461E-2</v>
      </c>
    </row>
    <row r="337" spans="1:4" s="97" customFormat="1" x14ac:dyDescent="0.2">
      <c r="A337" s="10">
        <v>43647</v>
      </c>
      <c r="B337" s="15">
        <f>VLOOKUP(A337,Database!A:M,MATCH($A$1,Database!$A$1:$M$1,),)</f>
        <v>415767</v>
      </c>
      <c r="C337" s="12">
        <f t="shared" si="10"/>
        <v>6.8094586577229967E-3</v>
      </c>
      <c r="D337" s="13">
        <f t="shared" si="9"/>
        <v>3.4815159577777831E-2</v>
      </c>
    </row>
    <row r="338" spans="1:4" s="97" customFormat="1" x14ac:dyDescent="0.2">
      <c r="A338" s="11">
        <v>43678</v>
      </c>
      <c r="B338" s="15">
        <f>VLOOKUP(A338,Database!A:M,MATCH($A$1,Database!$A$1:$M$1,),)</f>
        <v>416233</v>
      </c>
      <c r="C338" s="12">
        <f t="shared" si="10"/>
        <v>1.1208200747053036E-3</v>
      </c>
      <c r="D338" s="13">
        <f t="shared" si="9"/>
        <v>3.4880309494684292E-2</v>
      </c>
    </row>
    <row r="339" spans="1:4" s="97" customFormat="1" x14ac:dyDescent="0.2">
      <c r="A339" s="10">
        <v>43709</v>
      </c>
      <c r="B339" s="15">
        <f>VLOOKUP(A339,Database!A:M,MATCH($A$1,Database!$A$1:$M$1,),)</f>
        <v>414893</v>
      </c>
      <c r="C339" s="12">
        <f t="shared" si="10"/>
        <v>-3.2193507002087774E-3</v>
      </c>
      <c r="D339" s="13">
        <f t="shared" ref="D339:D362" si="11">(B339-B327)/B327</f>
        <v>3.4780071231182097E-2</v>
      </c>
    </row>
    <row r="340" spans="1:4" s="97" customFormat="1" x14ac:dyDescent="0.2">
      <c r="A340" s="11">
        <v>43739</v>
      </c>
      <c r="B340" s="15">
        <f>VLOOKUP(A340,Database!A:M,MATCH($A$1,Database!$A$1:$M$1,),)</f>
        <v>417017</v>
      </c>
      <c r="C340" s="12">
        <f t="shared" si="10"/>
        <v>5.1193922288397253E-3</v>
      </c>
      <c r="D340" s="13">
        <f t="shared" si="11"/>
        <v>2.6804159249109276E-2</v>
      </c>
    </row>
    <row r="341" spans="1:4" s="97" customFormat="1" x14ac:dyDescent="0.2">
      <c r="A341" s="10">
        <v>43770</v>
      </c>
      <c r="B341" s="15">
        <f>VLOOKUP(A341,Database!A:M,MATCH($A$1,Database!$A$1:$M$1,),)</f>
        <v>416225</v>
      </c>
      <c r="C341" s="12">
        <f t="shared" si="10"/>
        <v>-1.8992031499914872E-3</v>
      </c>
      <c r="D341" s="13">
        <f t="shared" si="11"/>
        <v>2.4485757254287099E-2</v>
      </c>
    </row>
    <row r="342" spans="1:4" s="97" customFormat="1" x14ac:dyDescent="0.2">
      <c r="A342" s="11">
        <v>43800</v>
      </c>
      <c r="B342" s="15">
        <f>VLOOKUP(A342,Database!A:M,MATCH($A$1,Database!$A$1:$M$1,),)</f>
        <v>419039</v>
      </c>
      <c r="C342" s="12">
        <f t="shared" si="10"/>
        <v>6.7607664123971413E-3</v>
      </c>
      <c r="D342" s="13">
        <f t="shared" si="11"/>
        <v>6.1336501005516408E-2</v>
      </c>
    </row>
    <row r="343" spans="1:4" s="97" customFormat="1" x14ac:dyDescent="0.2">
      <c r="A343" s="10">
        <v>43831</v>
      </c>
      <c r="B343" s="15">
        <f>VLOOKUP(A343,Database!A:M,MATCH($A$1,Database!$A$1:$M$1,),)</f>
        <v>421768</v>
      </c>
      <c r="C343" s="12">
        <f t="shared" si="10"/>
        <v>6.5125203143382836E-3</v>
      </c>
      <c r="D343" s="13">
        <f t="shared" si="11"/>
        <v>4.6261773818649085E-2</v>
      </c>
    </row>
    <row r="344" spans="1:4" s="97" customFormat="1" x14ac:dyDescent="0.2">
      <c r="A344" s="11">
        <v>43862</v>
      </c>
      <c r="B344" s="15">
        <f>VLOOKUP(A344,Database!A:M,MATCH($A$1,Database!$A$1:$M$1,),)</f>
        <v>420290</v>
      </c>
      <c r="C344" s="12">
        <f t="shared" si="10"/>
        <v>-3.5042962007549175E-3</v>
      </c>
      <c r="D344" s="13">
        <f t="shared" si="11"/>
        <v>4.4785395029258664E-2</v>
      </c>
    </row>
    <row r="345" spans="1:4" s="97" customFormat="1" x14ac:dyDescent="0.2">
      <c r="A345" s="10">
        <v>43891</v>
      </c>
      <c r="B345" s="15">
        <f>VLOOKUP(A345,Database!A:M,MATCH($A$1,Database!$A$1:$M$1,),)</f>
        <v>402361</v>
      </c>
      <c r="C345" s="12">
        <f t="shared" si="10"/>
        <v>-4.265864046253777E-2</v>
      </c>
      <c r="D345" s="13">
        <f t="shared" si="11"/>
        <v>-1.1592316006681733E-2</v>
      </c>
    </row>
    <row r="346" spans="1:4" s="97" customFormat="1" x14ac:dyDescent="0.2">
      <c r="A346" s="11">
        <v>43922</v>
      </c>
      <c r="B346" s="15">
        <f>VLOOKUP(A346,Database!A:M,MATCH($A$1,Database!$A$1:$M$1,),)</f>
        <v>341621</v>
      </c>
      <c r="C346" s="12">
        <f t="shared" si="10"/>
        <v>-0.15095896471079454</v>
      </c>
      <c r="D346" s="13">
        <f t="shared" si="11"/>
        <v>-0.16705637384581248</v>
      </c>
    </row>
    <row r="347" spans="1:4" s="97" customFormat="1" x14ac:dyDescent="0.2">
      <c r="A347" s="10">
        <v>43952</v>
      </c>
      <c r="B347" s="15">
        <f>VLOOKUP(A347,Database!A:M,MATCH($A$1,Database!$A$1:$M$1,),)</f>
        <v>383353</v>
      </c>
      <c r="C347" s="12">
        <f t="shared" si="10"/>
        <v>0.12215876658636325</v>
      </c>
      <c r="D347" s="13">
        <f t="shared" si="11"/>
        <v>-6.7836917113879361E-2</v>
      </c>
    </row>
    <row r="348" spans="1:4" s="97" customFormat="1" x14ac:dyDescent="0.2">
      <c r="A348" s="11">
        <v>43983</v>
      </c>
      <c r="B348" s="15">
        <f>VLOOKUP(A348,Database!A:M,MATCH($A$1,Database!$A$1:$M$1,),)</f>
        <v>415613</v>
      </c>
      <c r="C348" s="12">
        <f t="shared" si="10"/>
        <v>8.4152204365167349E-2</v>
      </c>
      <c r="D348" s="13">
        <f t="shared" si="11"/>
        <v>6.4365366686442837E-3</v>
      </c>
    </row>
    <row r="349" spans="1:4" s="97" customFormat="1" x14ac:dyDescent="0.2">
      <c r="A349" s="10">
        <v>44013</v>
      </c>
      <c r="B349" s="15">
        <f>VLOOKUP(A349,Database!A:M,MATCH($A$1,Database!$A$1:$M$1,),)</f>
        <v>424069</v>
      </c>
      <c r="C349" s="12">
        <f t="shared" si="10"/>
        <v>2.0345850586964316E-2</v>
      </c>
      <c r="D349" s="13">
        <f t="shared" si="11"/>
        <v>1.9967914721466591E-2</v>
      </c>
    </row>
    <row r="350" spans="1:4" s="97" customFormat="1" x14ac:dyDescent="0.2">
      <c r="A350" s="11">
        <v>44044</v>
      </c>
      <c r="B350" s="15">
        <f>VLOOKUP(A350,Database!A:M,MATCH($A$1,Database!$A$1:$M$1,),)</f>
        <v>428168</v>
      </c>
      <c r="C350" s="12">
        <f t="shared" si="10"/>
        <v>9.6658798450252204E-3</v>
      </c>
      <c r="D350" s="13">
        <f t="shared" si="11"/>
        <v>2.8673843736561011E-2</v>
      </c>
    </row>
    <row r="351" spans="1:4" s="97" customFormat="1" x14ac:dyDescent="0.2">
      <c r="A351" s="10">
        <v>44075</v>
      </c>
      <c r="B351" s="15">
        <f>VLOOKUP(A351,Database!A:M,MATCH($A$1,Database!$A$1:$M$1,),)</f>
        <v>434837</v>
      </c>
      <c r="C351" s="12">
        <f t="shared" si="10"/>
        <v>1.5575661889725529E-2</v>
      </c>
      <c r="D351" s="13">
        <f t="shared" si="11"/>
        <v>4.8070225335206912E-2</v>
      </c>
    </row>
    <row r="352" spans="1:4" s="97" customFormat="1" x14ac:dyDescent="0.2">
      <c r="A352" s="11">
        <v>44105</v>
      </c>
      <c r="B352" s="15">
        <f>VLOOKUP(A352,Database!A:M,MATCH($A$1,Database!$A$1:$M$1,),)</f>
        <v>435315</v>
      </c>
      <c r="C352" s="12">
        <f t="shared" si="10"/>
        <v>1.0992624822634689E-3</v>
      </c>
      <c r="D352" s="13">
        <f t="shared" si="11"/>
        <v>4.387830711937403E-2</v>
      </c>
    </row>
    <row r="353" spans="1:4" s="97" customFormat="1" x14ac:dyDescent="0.2">
      <c r="A353" s="10">
        <v>44136</v>
      </c>
      <c r="B353" s="15">
        <f>VLOOKUP(A353,Database!A:M,MATCH($A$1,Database!$A$1:$M$1,),)</f>
        <v>429720</v>
      </c>
      <c r="C353" s="12">
        <f t="shared" si="10"/>
        <v>-1.2852761793184246E-2</v>
      </c>
      <c r="D353" s="13">
        <f t="shared" si="11"/>
        <v>3.2422367709772359E-2</v>
      </c>
    </row>
    <row r="354" spans="1:4" s="97" customFormat="1" x14ac:dyDescent="0.2">
      <c r="A354" s="11">
        <v>44166</v>
      </c>
      <c r="B354" s="15">
        <f>VLOOKUP(A354,Database!A:M,MATCH($A$1,Database!$A$1:$M$1,),)</f>
        <v>421525</v>
      </c>
      <c r="C354" s="12">
        <f t="shared" si="10"/>
        <v>-1.9070557572372707E-2</v>
      </c>
      <c r="D354" s="13">
        <f t="shared" si="11"/>
        <v>5.9326220232484329E-3</v>
      </c>
    </row>
    <row r="355" spans="1:4" s="97" customFormat="1" x14ac:dyDescent="0.2">
      <c r="A355" s="10">
        <v>44197</v>
      </c>
      <c r="B355" s="15">
        <f>VLOOKUP(A355,Database!A:M,MATCH($A$1,Database!$A$1:$M$1,),)</f>
        <v>456387</v>
      </c>
      <c r="C355" s="12">
        <f t="shared" si="10"/>
        <v>8.2704465927287821E-2</v>
      </c>
      <c r="D355" s="13">
        <f t="shared" si="11"/>
        <v>8.2080669941768936E-2</v>
      </c>
    </row>
    <row r="356" spans="1:4" s="97" customFormat="1" x14ac:dyDescent="0.2">
      <c r="A356" s="11">
        <v>44228</v>
      </c>
      <c r="B356" s="15">
        <f>VLOOKUP(A356,Database!A:M,MATCH($A$1,Database!$A$1:$M$1,),)</f>
        <v>444228</v>
      </c>
      <c r="C356" s="12">
        <f t="shared" si="10"/>
        <v>-2.6641863155611355E-2</v>
      </c>
      <c r="D356" s="13">
        <f t="shared" si="11"/>
        <v>5.6955911394513309E-2</v>
      </c>
    </row>
    <row r="357" spans="1:4" s="97" customFormat="1" x14ac:dyDescent="0.2">
      <c r="A357" s="10">
        <v>44256</v>
      </c>
      <c r="B357" s="15">
        <f>VLOOKUP(A357,Database!A:M,MATCH($A$1,Database!$A$1:$M$1,),)</f>
        <v>487687</v>
      </c>
      <c r="C357" s="12">
        <f t="shared" si="10"/>
        <v>9.7830393401586571E-2</v>
      </c>
      <c r="D357" s="13">
        <f t="shared" si="11"/>
        <v>0.21206329639304008</v>
      </c>
    </row>
    <row r="358" spans="1:4" s="97" customFormat="1" x14ac:dyDescent="0.2">
      <c r="A358" s="11">
        <v>44287</v>
      </c>
      <c r="B358" s="15">
        <f>VLOOKUP(A358,Database!A:M,MATCH($A$1,Database!$A$1:$M$1,),)</f>
        <v>487364</v>
      </c>
      <c r="C358" s="12">
        <f t="shared" si="10"/>
        <v>-6.6231004722291139E-4</v>
      </c>
      <c r="D358" s="13">
        <f t="shared" si="11"/>
        <v>0.4266218997075707</v>
      </c>
    </row>
    <row r="359" spans="1:4" s="97" customFormat="1" x14ac:dyDescent="0.2">
      <c r="A359" s="10">
        <v>44317</v>
      </c>
      <c r="B359" s="15">
        <f>VLOOKUP(A359,Database!A:M,MATCH($A$1,Database!$A$1:$M$1,),)</f>
        <v>485272</v>
      </c>
      <c r="C359" s="12">
        <f t="shared" si="10"/>
        <v>-4.2924795430109731E-3</v>
      </c>
      <c r="D359" s="13">
        <f t="shared" si="11"/>
        <v>0.26586201229676043</v>
      </c>
    </row>
    <row r="360" spans="1:4" s="97" customFormat="1" x14ac:dyDescent="0.2">
      <c r="A360" s="11">
        <v>44348</v>
      </c>
      <c r="B360" s="15">
        <f>VLOOKUP(A360,Database!A:M,MATCH($A$1,Database!$A$1:$M$1,),)</f>
        <v>493387</v>
      </c>
      <c r="C360" s="12">
        <f t="shared" si="10"/>
        <v>1.6722580326085163E-2</v>
      </c>
      <c r="D360" s="13">
        <f t="shared" si="11"/>
        <v>0.18713081640853391</v>
      </c>
    </row>
    <row r="361" spans="1:4" s="97" customFormat="1" x14ac:dyDescent="0.2">
      <c r="A361" s="10">
        <v>44378</v>
      </c>
      <c r="B361" s="15">
        <f>VLOOKUP(A361,Database!A:M,MATCH($A$1,Database!$A$1:$M$1,),)</f>
        <v>488908</v>
      </c>
      <c r="C361" s="12">
        <f t="shared" si="10"/>
        <v>-9.078066507629913E-3</v>
      </c>
      <c r="D361" s="13">
        <f t="shared" si="11"/>
        <v>0.15289728794134916</v>
      </c>
    </row>
    <row r="362" spans="1:4" s="97" customFormat="1" x14ac:dyDescent="0.2">
      <c r="A362" s="11">
        <v>44409</v>
      </c>
      <c r="B362" s="15">
        <f>VLOOKUP(A362,Database!A:M,MATCH($A$1,Database!$A$1:$M$1,),)</f>
        <v>499439</v>
      </c>
      <c r="C362" s="12">
        <f t="shared" si="10"/>
        <v>2.1539839806262118E-2</v>
      </c>
      <c r="D362" s="13">
        <f t="shared" si="11"/>
        <v>0.16645569028979279</v>
      </c>
    </row>
    <row r="363" spans="1:4" s="97" customFormat="1" x14ac:dyDescent="0.2">
      <c r="A363" s="11">
        <v>44440</v>
      </c>
      <c r="B363" s="15">
        <f>VLOOKUP(A363,Database!A:M,MATCH($A$1,Database!$A$1:$M$1,),)</f>
        <v>502551</v>
      </c>
      <c r="C363" s="12">
        <f t="shared" si="10"/>
        <v>6.2309911720950907E-3</v>
      </c>
      <c r="D363" s="13">
        <f t="shared" ref="D363:D365" si="12">(B363-B351)/B351</f>
        <v>0.1557227190878421</v>
      </c>
    </row>
    <row r="364" spans="1:4" s="97" customFormat="1" x14ac:dyDescent="0.2">
      <c r="A364" s="10">
        <v>44470</v>
      </c>
      <c r="B364" s="15">
        <f>VLOOKUP(A364,Database!A:M,MATCH($A$1,Database!$A$1:$M$1,),)</f>
        <v>511618</v>
      </c>
      <c r="C364" s="12">
        <f t="shared" si="10"/>
        <v>1.8041949971246699E-2</v>
      </c>
      <c r="D364" s="13">
        <f t="shared" si="12"/>
        <v>0.17528226686422477</v>
      </c>
    </row>
    <row r="365" spans="1:4" s="97" customFormat="1" x14ac:dyDescent="0.2">
      <c r="A365" s="11">
        <v>44501</v>
      </c>
      <c r="B365" s="15">
        <f>VLOOKUP(A365,Database!A:M,MATCH($A$1,Database!$A$1:$M$1,),)</f>
        <v>513340</v>
      </c>
      <c r="C365" s="12">
        <f t="shared" si="10"/>
        <v>3.3657924467082861E-3</v>
      </c>
      <c r="D365" s="13">
        <f t="shared" si="12"/>
        <v>0.19459182723633994</v>
      </c>
    </row>
    <row r="366" spans="1:4" s="97" customFormat="1" x14ac:dyDescent="0.2">
      <c r="B366" s="22"/>
    </row>
    <row r="367" spans="1:4" s="97" customFormat="1" x14ac:dyDescent="0.2">
      <c r="B367" s="22"/>
    </row>
    <row r="368" spans="1:4" s="97" customFormat="1" x14ac:dyDescent="0.2">
      <c r="B368" s="22"/>
    </row>
    <row r="369" spans="2:2" s="97" customFormat="1" x14ac:dyDescent="0.2">
      <c r="B369" s="22"/>
    </row>
    <row r="370" spans="2:2" s="97" customFormat="1" x14ac:dyDescent="0.2">
      <c r="B370" s="22"/>
    </row>
    <row r="371" spans="2:2" s="97" customFormat="1" x14ac:dyDescent="0.2">
      <c r="B371" s="22"/>
    </row>
    <row r="372" spans="2:2" s="97" customFormat="1" x14ac:dyDescent="0.2">
      <c r="B372" s="22"/>
    </row>
    <row r="373" spans="2:2" s="97" customFormat="1" x14ac:dyDescent="0.2">
      <c r="B373" s="22"/>
    </row>
    <row r="374" spans="2:2" s="97" customFormat="1" x14ac:dyDescent="0.2">
      <c r="B374" s="22"/>
    </row>
    <row r="375" spans="2:2" s="97" customFormat="1" x14ac:dyDescent="0.2">
      <c r="B375" s="22"/>
    </row>
    <row r="376" spans="2:2" s="97" customFormat="1" x14ac:dyDescent="0.2">
      <c r="B376" s="22"/>
    </row>
    <row r="377" spans="2:2" s="97" customFormat="1" x14ac:dyDescent="0.2">
      <c r="B377" s="22"/>
    </row>
    <row r="378" spans="2:2" s="97" customFormat="1" x14ac:dyDescent="0.2">
      <c r="B378" s="22"/>
    </row>
    <row r="379" spans="2:2" s="97" customFormat="1" x14ac:dyDescent="0.2">
      <c r="B379" s="22"/>
    </row>
    <row r="380" spans="2:2" s="97" customFormat="1" x14ac:dyDescent="0.2">
      <c r="B380" s="22"/>
    </row>
    <row r="381" spans="2:2" s="97" customFormat="1" x14ac:dyDescent="0.2">
      <c r="B381" s="22"/>
    </row>
    <row r="382" spans="2:2" s="97" customFormat="1" x14ac:dyDescent="0.2">
      <c r="B382" s="22"/>
    </row>
    <row r="383" spans="2:2" s="97" customFormat="1" x14ac:dyDescent="0.2">
      <c r="B383" s="22"/>
    </row>
    <row r="384" spans="2:2" s="97" customFormat="1" x14ac:dyDescent="0.2">
      <c r="B384" s="22"/>
    </row>
    <row r="385" spans="2:2" s="97" customFormat="1" x14ac:dyDescent="0.2">
      <c r="B385" s="22"/>
    </row>
    <row r="386" spans="2:2" s="97" customFormat="1" x14ac:dyDescent="0.2">
      <c r="B386" s="22"/>
    </row>
    <row r="387" spans="2:2" s="97" customFormat="1" x14ac:dyDescent="0.2">
      <c r="B387" s="22"/>
    </row>
    <row r="388" spans="2:2" s="97" customFormat="1" x14ac:dyDescent="0.2">
      <c r="B388" s="22"/>
    </row>
    <row r="389" spans="2:2" s="97" customFormat="1" x14ac:dyDescent="0.2">
      <c r="B389" s="22"/>
    </row>
    <row r="390" spans="2:2" s="97" customFormat="1" x14ac:dyDescent="0.2">
      <c r="B390" s="22"/>
    </row>
    <row r="391" spans="2:2" s="97" customFormat="1" x14ac:dyDescent="0.2">
      <c r="B391" s="22"/>
    </row>
    <row r="392" spans="2:2" s="97" customFormat="1" x14ac:dyDescent="0.2">
      <c r="B392" s="22"/>
    </row>
    <row r="393" spans="2:2" s="97" customFormat="1" x14ac:dyDescent="0.2">
      <c r="B393" s="22"/>
    </row>
    <row r="394" spans="2:2" s="97" customFormat="1" x14ac:dyDescent="0.2">
      <c r="B394" s="22"/>
    </row>
    <row r="395" spans="2:2" s="97" customFormat="1" x14ac:dyDescent="0.2">
      <c r="B395" s="22"/>
    </row>
    <row r="396" spans="2:2" s="97" customFormat="1" x14ac:dyDescent="0.2">
      <c r="B396" s="22"/>
    </row>
    <row r="397" spans="2:2" s="97" customFormat="1" x14ac:dyDescent="0.2">
      <c r="B397" s="22"/>
    </row>
    <row r="398" spans="2:2" s="97" customFormat="1" x14ac:dyDescent="0.2">
      <c r="B398" s="22"/>
    </row>
    <row r="399" spans="2:2" s="97" customFormat="1" x14ac:dyDescent="0.2">
      <c r="B399" s="22"/>
    </row>
    <row r="400" spans="2:2" s="97" customFormat="1" x14ac:dyDescent="0.2">
      <c r="B400" s="22"/>
    </row>
    <row r="401" spans="2:2" s="97" customFormat="1" x14ac:dyDescent="0.2">
      <c r="B401" s="22"/>
    </row>
    <row r="402" spans="2:2" s="97" customFormat="1" x14ac:dyDescent="0.2">
      <c r="B402" s="22"/>
    </row>
    <row r="403" spans="2:2" s="97" customFormat="1" x14ac:dyDescent="0.2">
      <c r="B403" s="22"/>
    </row>
    <row r="404" spans="2:2" s="97" customFormat="1" x14ac:dyDescent="0.2">
      <c r="B404" s="22"/>
    </row>
    <row r="405" spans="2:2" s="97" customFormat="1" x14ac:dyDescent="0.2">
      <c r="B405" s="22"/>
    </row>
    <row r="406" spans="2:2" s="97" customFormat="1" x14ac:dyDescent="0.2">
      <c r="B406" s="22"/>
    </row>
    <row r="407" spans="2:2" s="97" customFormat="1" x14ac:dyDescent="0.2">
      <c r="B407" s="22"/>
    </row>
    <row r="408" spans="2:2" s="97" customFormat="1" x14ac:dyDescent="0.2">
      <c r="B408" s="22"/>
    </row>
    <row r="409" spans="2:2" s="97" customFormat="1" x14ac:dyDescent="0.2">
      <c r="B409" s="22"/>
    </row>
    <row r="410" spans="2:2" s="97" customFormat="1" x14ac:dyDescent="0.2">
      <c r="B410" s="22"/>
    </row>
    <row r="411" spans="2:2" s="97" customFormat="1" x14ac:dyDescent="0.2">
      <c r="B411" s="22"/>
    </row>
    <row r="412" spans="2:2" s="97" customFormat="1" x14ac:dyDescent="0.2">
      <c r="B412" s="22"/>
    </row>
    <row r="413" spans="2:2" s="97" customFormat="1" x14ac:dyDescent="0.2">
      <c r="B413" s="22"/>
    </row>
    <row r="414" spans="2:2" s="97" customFormat="1" x14ac:dyDescent="0.2">
      <c r="B414" s="22"/>
    </row>
    <row r="415" spans="2:2" s="97" customFormat="1" x14ac:dyDescent="0.2">
      <c r="B415" s="22"/>
    </row>
    <row r="416" spans="2:2" s="97" customFormat="1" x14ac:dyDescent="0.2">
      <c r="B416" s="22"/>
    </row>
    <row r="417" spans="2:2" s="97" customFormat="1" x14ac:dyDescent="0.2">
      <c r="B417" s="22"/>
    </row>
    <row r="418" spans="2:2" s="97" customFormat="1" x14ac:dyDescent="0.2">
      <c r="B418" s="22"/>
    </row>
    <row r="419" spans="2:2" s="97" customFormat="1" x14ac:dyDescent="0.2">
      <c r="B419" s="22"/>
    </row>
    <row r="420" spans="2:2" s="97" customFormat="1" x14ac:dyDescent="0.2">
      <c r="B420" s="22"/>
    </row>
    <row r="421" spans="2:2" s="97" customFormat="1" x14ac:dyDescent="0.2">
      <c r="B421" s="22"/>
    </row>
    <row r="422" spans="2:2" s="97" customFormat="1" x14ac:dyDescent="0.2">
      <c r="B422" s="22"/>
    </row>
    <row r="423" spans="2:2" s="97" customFormat="1" x14ac:dyDescent="0.2">
      <c r="B423" s="22"/>
    </row>
    <row r="424" spans="2:2" s="97" customFormat="1" x14ac:dyDescent="0.2">
      <c r="B424" s="22"/>
    </row>
    <row r="425" spans="2:2" s="97" customFormat="1" x14ac:dyDescent="0.2">
      <c r="B425" s="22"/>
    </row>
    <row r="426" spans="2:2" s="97" customFormat="1" x14ac:dyDescent="0.2">
      <c r="B426" s="22"/>
    </row>
    <row r="427" spans="2:2" s="97" customFormat="1" x14ac:dyDescent="0.2">
      <c r="B427" s="22"/>
    </row>
    <row r="428" spans="2:2" s="97" customFormat="1" x14ac:dyDescent="0.2">
      <c r="B428" s="22"/>
    </row>
    <row r="429" spans="2:2" s="97" customFormat="1" x14ac:dyDescent="0.2">
      <c r="B429" s="22"/>
    </row>
    <row r="430" spans="2:2" s="97" customFormat="1" x14ac:dyDescent="0.2">
      <c r="B430" s="22"/>
    </row>
    <row r="431" spans="2:2" s="97" customFormat="1" x14ac:dyDescent="0.2">
      <c r="B431" s="22"/>
    </row>
    <row r="432" spans="2:2" s="97" customFormat="1" x14ac:dyDescent="0.2">
      <c r="B432" s="22"/>
    </row>
    <row r="433" spans="2:2" s="97" customFormat="1" x14ac:dyDescent="0.2">
      <c r="B433" s="22"/>
    </row>
    <row r="434" spans="2:2" s="97" customFormat="1" x14ac:dyDescent="0.2">
      <c r="B434" s="22"/>
    </row>
    <row r="435" spans="2:2" s="97" customFormat="1" x14ac:dyDescent="0.2">
      <c r="B435" s="22"/>
    </row>
    <row r="436" spans="2:2" s="97" customFormat="1" x14ac:dyDescent="0.2">
      <c r="B436" s="22"/>
    </row>
    <row r="437" spans="2:2" s="97" customFormat="1" x14ac:dyDescent="0.2">
      <c r="B437" s="22"/>
    </row>
    <row r="438" spans="2:2" s="97" customFormat="1" x14ac:dyDescent="0.2">
      <c r="B438" s="22"/>
    </row>
    <row r="439" spans="2:2" s="97" customFormat="1" x14ac:dyDescent="0.2">
      <c r="B439" s="22"/>
    </row>
    <row r="440" spans="2:2" s="97" customFormat="1" x14ac:dyDescent="0.2">
      <c r="B440" s="22"/>
    </row>
    <row r="441" spans="2:2" s="97" customFormat="1" x14ac:dyDescent="0.2">
      <c r="B441" s="22"/>
    </row>
    <row r="442" spans="2:2" s="97" customFormat="1" x14ac:dyDescent="0.2">
      <c r="B442" s="22"/>
    </row>
    <row r="443" spans="2:2" s="97" customFormat="1" x14ac:dyDescent="0.2">
      <c r="B443" s="22"/>
    </row>
    <row r="444" spans="2:2" s="97" customFormat="1" x14ac:dyDescent="0.2">
      <c r="B444" s="22"/>
    </row>
    <row r="445" spans="2:2" s="97" customFormat="1" x14ac:dyDescent="0.2">
      <c r="B445" s="22"/>
    </row>
    <row r="446" spans="2:2" s="97" customFormat="1" x14ac:dyDescent="0.2">
      <c r="B446" s="22"/>
    </row>
    <row r="447" spans="2:2" s="97" customFormat="1" x14ac:dyDescent="0.2">
      <c r="B447" s="22"/>
    </row>
    <row r="448" spans="2:2" s="97" customFormat="1" x14ac:dyDescent="0.2">
      <c r="B448" s="22"/>
    </row>
    <row r="449" spans="2:2" s="97" customFormat="1" x14ac:dyDescent="0.2">
      <c r="B449" s="22"/>
    </row>
    <row r="450" spans="2:2" s="97" customFormat="1" x14ac:dyDescent="0.2">
      <c r="B450" s="22"/>
    </row>
    <row r="451" spans="2:2" s="97" customFormat="1" x14ac:dyDescent="0.2">
      <c r="B451" s="22"/>
    </row>
    <row r="452" spans="2:2" s="97" customFormat="1" x14ac:dyDescent="0.2">
      <c r="B452" s="22"/>
    </row>
    <row r="453" spans="2:2" s="97" customFormat="1" x14ac:dyDescent="0.2">
      <c r="B453" s="22"/>
    </row>
    <row r="454" spans="2:2" s="97" customFormat="1" x14ac:dyDescent="0.2">
      <c r="B454" s="22"/>
    </row>
    <row r="455" spans="2:2" s="97" customFormat="1" x14ac:dyDescent="0.2">
      <c r="B455" s="22"/>
    </row>
    <row r="456" spans="2:2" s="97" customFormat="1" x14ac:dyDescent="0.2">
      <c r="B456" s="22"/>
    </row>
    <row r="457" spans="2:2" s="97" customFormat="1" x14ac:dyDescent="0.2">
      <c r="B457" s="22"/>
    </row>
    <row r="458" spans="2:2" s="97" customFormat="1" x14ac:dyDescent="0.2">
      <c r="B458" s="22"/>
    </row>
    <row r="459" spans="2:2" s="97" customFormat="1" x14ac:dyDescent="0.2">
      <c r="B459" s="22"/>
    </row>
    <row r="460" spans="2:2" s="97" customFormat="1" x14ac:dyDescent="0.2">
      <c r="B460" s="22"/>
    </row>
    <row r="461" spans="2:2" s="97" customFormat="1" x14ac:dyDescent="0.2">
      <c r="B461" s="22"/>
    </row>
    <row r="462" spans="2:2" s="97" customFormat="1" x14ac:dyDescent="0.2">
      <c r="B462" s="22"/>
    </row>
    <row r="463" spans="2:2" s="97" customFormat="1" x14ac:dyDescent="0.2">
      <c r="B463" s="22"/>
    </row>
    <row r="464" spans="2:2" s="97" customFormat="1" x14ac:dyDescent="0.2">
      <c r="B464" s="22"/>
    </row>
    <row r="465" spans="2:2" s="97" customFormat="1" x14ac:dyDescent="0.2">
      <c r="B465" s="22"/>
    </row>
    <row r="466" spans="2:2" s="97" customFormat="1" x14ac:dyDescent="0.2">
      <c r="B466" s="22"/>
    </row>
    <row r="467" spans="2:2" s="97" customFormat="1" x14ac:dyDescent="0.2">
      <c r="B467" s="22"/>
    </row>
    <row r="468" spans="2:2" s="97" customFormat="1" x14ac:dyDescent="0.2">
      <c r="B468" s="22"/>
    </row>
    <row r="469" spans="2:2" s="97" customFormat="1" x14ac:dyDescent="0.2">
      <c r="B469" s="22"/>
    </row>
    <row r="470" spans="2:2" s="97" customFormat="1" x14ac:dyDescent="0.2">
      <c r="B470" s="22"/>
    </row>
    <row r="471" spans="2:2" s="97" customFormat="1" x14ac:dyDescent="0.2">
      <c r="B471" s="22"/>
    </row>
    <row r="472" spans="2:2" s="97" customFormat="1" x14ac:dyDescent="0.2">
      <c r="B472" s="22"/>
    </row>
    <row r="473" spans="2:2" s="97" customFormat="1" x14ac:dyDescent="0.2">
      <c r="B473" s="22"/>
    </row>
    <row r="474" spans="2:2" s="97" customFormat="1" x14ac:dyDescent="0.2">
      <c r="B474" s="22"/>
    </row>
    <row r="475" spans="2:2" s="97" customFormat="1" x14ac:dyDescent="0.2">
      <c r="B475" s="22"/>
    </row>
    <row r="476" spans="2:2" s="97" customFormat="1" x14ac:dyDescent="0.2">
      <c r="B476" s="22"/>
    </row>
    <row r="477" spans="2:2" s="97" customFormat="1" x14ac:dyDescent="0.2">
      <c r="B477" s="22"/>
    </row>
    <row r="478" spans="2:2" s="97" customFormat="1" x14ac:dyDescent="0.2">
      <c r="B478" s="22"/>
    </row>
    <row r="479" spans="2:2" s="97" customFormat="1" x14ac:dyDescent="0.2">
      <c r="B479" s="22"/>
    </row>
    <row r="480" spans="2:2" s="97" customFormat="1" x14ac:dyDescent="0.2">
      <c r="B480" s="22"/>
    </row>
    <row r="481" spans="2:2" s="97" customFormat="1" x14ac:dyDescent="0.2">
      <c r="B481" s="22"/>
    </row>
    <row r="482" spans="2:2" s="97" customFormat="1" x14ac:dyDescent="0.2">
      <c r="B482" s="22"/>
    </row>
    <row r="483" spans="2:2" s="97" customFormat="1" x14ac:dyDescent="0.2">
      <c r="B483" s="22"/>
    </row>
    <row r="484" spans="2:2" s="97" customFormat="1" x14ac:dyDescent="0.2">
      <c r="B484" s="22"/>
    </row>
    <row r="485" spans="2:2" s="97" customFormat="1" x14ac:dyDescent="0.2">
      <c r="B485" s="22"/>
    </row>
    <row r="486" spans="2:2" s="97" customFormat="1" x14ac:dyDescent="0.2">
      <c r="B486" s="22"/>
    </row>
    <row r="487" spans="2:2" s="97" customFormat="1" x14ac:dyDescent="0.2">
      <c r="B487" s="22"/>
    </row>
    <row r="488" spans="2:2" s="97" customFormat="1" x14ac:dyDescent="0.2">
      <c r="B488" s="22"/>
    </row>
    <row r="489" spans="2:2" s="97" customFormat="1" x14ac:dyDescent="0.2">
      <c r="B489" s="22"/>
    </row>
    <row r="490" spans="2:2" s="97" customFormat="1" x14ac:dyDescent="0.2">
      <c r="B490" s="22"/>
    </row>
    <row r="491" spans="2:2" s="97" customFormat="1" x14ac:dyDescent="0.2">
      <c r="B491" s="22"/>
    </row>
    <row r="492" spans="2:2" s="97" customFormat="1" x14ac:dyDescent="0.2">
      <c r="B492" s="22"/>
    </row>
    <row r="493" spans="2:2" s="97" customFormat="1" x14ac:dyDescent="0.2">
      <c r="B493" s="22"/>
    </row>
    <row r="494" spans="2:2" s="97" customFormat="1" x14ac:dyDescent="0.2">
      <c r="B494" s="22"/>
    </row>
    <row r="495" spans="2:2" s="97" customFormat="1" x14ac:dyDescent="0.2">
      <c r="B495" s="22"/>
    </row>
    <row r="496" spans="2:2" s="97" customFormat="1" x14ac:dyDescent="0.2">
      <c r="B496" s="22"/>
    </row>
    <row r="497" spans="2:2" s="97" customFormat="1" x14ac:dyDescent="0.2">
      <c r="B497" s="22"/>
    </row>
    <row r="498" spans="2:2" s="97" customFormat="1" x14ac:dyDescent="0.2">
      <c r="B498" s="22"/>
    </row>
    <row r="499" spans="2:2" s="97" customFormat="1" x14ac:dyDescent="0.2">
      <c r="B499" s="22"/>
    </row>
    <row r="500" spans="2:2" s="97" customFormat="1" x14ac:dyDescent="0.2">
      <c r="B500" s="22"/>
    </row>
    <row r="501" spans="2:2" s="97" customFormat="1" x14ac:dyDescent="0.2">
      <c r="B501" s="22"/>
    </row>
    <row r="502" spans="2:2" s="97" customFormat="1" x14ac:dyDescent="0.2">
      <c r="B502" s="22"/>
    </row>
    <row r="503" spans="2:2" s="97" customFormat="1" x14ac:dyDescent="0.2">
      <c r="B503" s="22"/>
    </row>
    <row r="504" spans="2:2" s="97" customFormat="1" x14ac:dyDescent="0.2">
      <c r="B504" s="22"/>
    </row>
    <row r="505" spans="2:2" s="97" customFormat="1" x14ac:dyDescent="0.2">
      <c r="B505" s="22"/>
    </row>
    <row r="506" spans="2:2" s="97" customFormat="1" x14ac:dyDescent="0.2">
      <c r="B506" s="22"/>
    </row>
    <row r="507" spans="2:2" s="97" customFormat="1" x14ac:dyDescent="0.2">
      <c r="B507" s="22"/>
    </row>
    <row r="508" spans="2:2" s="97" customFormat="1" x14ac:dyDescent="0.2">
      <c r="B508" s="22"/>
    </row>
    <row r="509" spans="2:2" s="97" customFormat="1" x14ac:dyDescent="0.2">
      <c r="B509" s="22"/>
    </row>
    <row r="510" spans="2:2" s="97" customFormat="1" x14ac:dyDescent="0.2">
      <c r="B510" s="22"/>
    </row>
    <row r="511" spans="2:2" s="97" customFormat="1" x14ac:dyDescent="0.2">
      <c r="B511" s="22"/>
    </row>
    <row r="512" spans="2:2" s="97" customFormat="1" x14ac:dyDescent="0.2">
      <c r="B512" s="22"/>
    </row>
    <row r="513" spans="2:2" s="97" customFormat="1" x14ac:dyDescent="0.2">
      <c r="B513" s="22"/>
    </row>
    <row r="514" spans="2:2" s="97" customFormat="1" x14ac:dyDescent="0.2">
      <c r="B514" s="22"/>
    </row>
    <row r="515" spans="2:2" s="97" customFormat="1" x14ac:dyDescent="0.2">
      <c r="B515" s="22"/>
    </row>
    <row r="516" spans="2:2" s="97" customFormat="1" x14ac:dyDescent="0.2">
      <c r="B516" s="22"/>
    </row>
    <row r="517" spans="2:2" s="97" customFormat="1" x14ac:dyDescent="0.2">
      <c r="B517" s="22"/>
    </row>
    <row r="518" spans="2:2" s="97" customFormat="1" x14ac:dyDescent="0.2">
      <c r="B518" s="22"/>
    </row>
    <row r="519" spans="2:2" s="97" customFormat="1" x14ac:dyDescent="0.2">
      <c r="B519" s="22"/>
    </row>
    <row r="520" spans="2:2" s="97" customFormat="1" x14ac:dyDescent="0.2">
      <c r="B520" s="22"/>
    </row>
    <row r="521" spans="2:2" s="97" customFormat="1" x14ac:dyDescent="0.2">
      <c r="B521" s="22"/>
    </row>
    <row r="522" spans="2:2" s="97" customFormat="1" x14ac:dyDescent="0.2">
      <c r="B522" s="22"/>
    </row>
    <row r="523" spans="2:2" s="97" customFormat="1" x14ac:dyDescent="0.2">
      <c r="B523" s="22"/>
    </row>
    <row r="524" spans="2:2" s="97" customFormat="1" x14ac:dyDescent="0.2">
      <c r="B524" s="22"/>
    </row>
    <row r="525" spans="2:2" s="97" customFormat="1" x14ac:dyDescent="0.2">
      <c r="B525" s="22"/>
    </row>
    <row r="526" spans="2:2" s="97" customFormat="1" x14ac:dyDescent="0.2">
      <c r="B526" s="22"/>
    </row>
    <row r="527" spans="2:2" s="97" customFormat="1" x14ac:dyDescent="0.2">
      <c r="B527" s="22"/>
    </row>
    <row r="528" spans="2:2" s="97" customFormat="1" x14ac:dyDescent="0.2">
      <c r="B528" s="22"/>
    </row>
    <row r="529" spans="2:2" s="97" customFormat="1" x14ac:dyDescent="0.2">
      <c r="B529" s="22"/>
    </row>
    <row r="530" spans="2:2" s="97" customFormat="1" x14ac:dyDescent="0.2">
      <c r="B530" s="22"/>
    </row>
    <row r="531" spans="2:2" s="97" customFormat="1" x14ac:dyDescent="0.2">
      <c r="B531" s="22"/>
    </row>
    <row r="532" spans="2:2" s="97" customFormat="1" x14ac:dyDescent="0.2">
      <c r="B532" s="22"/>
    </row>
    <row r="533" spans="2:2" s="97" customFormat="1" x14ac:dyDescent="0.2">
      <c r="B533" s="22"/>
    </row>
    <row r="534" spans="2:2" s="97" customFormat="1" x14ac:dyDescent="0.2">
      <c r="B534" s="22"/>
    </row>
    <row r="535" spans="2:2" s="97" customFormat="1" x14ac:dyDescent="0.2">
      <c r="B535" s="22"/>
    </row>
    <row r="536" spans="2:2" s="97" customFormat="1" x14ac:dyDescent="0.2">
      <c r="B536" s="22"/>
    </row>
    <row r="537" spans="2:2" s="97" customFormat="1" x14ac:dyDescent="0.2">
      <c r="B537" s="22"/>
    </row>
    <row r="538" spans="2:2" s="97" customFormat="1" x14ac:dyDescent="0.2">
      <c r="B538" s="22"/>
    </row>
    <row r="539" spans="2:2" s="97" customFormat="1" x14ac:dyDescent="0.2">
      <c r="B539" s="22"/>
    </row>
    <row r="540" spans="2:2" s="97" customFormat="1" x14ac:dyDescent="0.2">
      <c r="B540" s="22"/>
    </row>
    <row r="541" spans="2:2" s="97" customFormat="1" x14ac:dyDescent="0.2">
      <c r="B541" s="22"/>
    </row>
    <row r="542" spans="2:2" s="97" customFormat="1" x14ac:dyDescent="0.2">
      <c r="B542" s="22"/>
    </row>
    <row r="543" spans="2:2" s="97" customFormat="1" x14ac:dyDescent="0.2">
      <c r="B543" s="22"/>
    </row>
    <row r="544" spans="2:2" s="97" customFormat="1" x14ac:dyDescent="0.2">
      <c r="B544" s="22"/>
    </row>
    <row r="545" spans="2:2" s="97" customFormat="1" x14ac:dyDescent="0.2">
      <c r="B545" s="22"/>
    </row>
    <row r="546" spans="2:2" s="97" customFormat="1" x14ac:dyDescent="0.2">
      <c r="B546" s="22"/>
    </row>
    <row r="547" spans="2:2" s="97" customFormat="1" x14ac:dyDescent="0.2">
      <c r="B547" s="22"/>
    </row>
    <row r="548" spans="2:2" s="97" customFormat="1" x14ac:dyDescent="0.2">
      <c r="B548" s="22"/>
    </row>
    <row r="549" spans="2:2" s="97" customFormat="1" x14ac:dyDescent="0.2">
      <c r="B549" s="22"/>
    </row>
    <row r="550" spans="2:2" s="97" customFormat="1" x14ac:dyDescent="0.2">
      <c r="B550" s="22"/>
    </row>
    <row r="551" spans="2:2" s="97" customFormat="1" x14ac:dyDescent="0.2">
      <c r="B551" s="22"/>
    </row>
    <row r="552" spans="2:2" s="97" customFormat="1" x14ac:dyDescent="0.2">
      <c r="B552" s="22"/>
    </row>
    <row r="553" spans="2:2" s="97" customFormat="1" x14ac:dyDescent="0.2">
      <c r="B553" s="22"/>
    </row>
    <row r="554" spans="2:2" s="97" customFormat="1" x14ac:dyDescent="0.2">
      <c r="B554" s="22"/>
    </row>
    <row r="555" spans="2:2" s="97" customFormat="1" x14ac:dyDescent="0.2">
      <c r="B555" s="22"/>
    </row>
    <row r="556" spans="2:2" s="97" customFormat="1" x14ac:dyDescent="0.2">
      <c r="B556" s="22"/>
    </row>
    <row r="557" spans="2:2" s="97" customFormat="1" x14ac:dyDescent="0.2">
      <c r="B557" s="22"/>
    </row>
    <row r="558" spans="2:2" s="97" customFormat="1" x14ac:dyDescent="0.2">
      <c r="B558" s="22"/>
    </row>
    <row r="559" spans="2:2" s="97" customFormat="1" x14ac:dyDescent="0.2">
      <c r="B559" s="22"/>
    </row>
    <row r="560" spans="2:2" s="97" customFormat="1" x14ac:dyDescent="0.2">
      <c r="B560" s="22"/>
    </row>
    <row r="561" spans="2:2" s="97" customFormat="1" x14ac:dyDescent="0.2">
      <c r="B561" s="22"/>
    </row>
    <row r="562" spans="2:2" s="97" customFormat="1" x14ac:dyDescent="0.2">
      <c r="B562" s="22"/>
    </row>
    <row r="563" spans="2:2" s="97" customFormat="1" x14ac:dyDescent="0.2">
      <c r="B563" s="22"/>
    </row>
    <row r="564" spans="2:2" s="97" customFormat="1" x14ac:dyDescent="0.2">
      <c r="B564" s="22"/>
    </row>
    <row r="565" spans="2:2" s="97" customFormat="1" x14ac:dyDescent="0.2">
      <c r="B565" s="22"/>
    </row>
    <row r="566" spans="2:2" s="97" customFormat="1" x14ac:dyDescent="0.2">
      <c r="B566" s="22"/>
    </row>
    <row r="567" spans="2:2" s="97" customFormat="1" x14ac:dyDescent="0.2">
      <c r="B567" s="22"/>
    </row>
    <row r="568" spans="2:2" s="97" customFormat="1" x14ac:dyDescent="0.2">
      <c r="B568" s="22"/>
    </row>
    <row r="569" spans="2:2" s="97" customFormat="1" x14ac:dyDescent="0.2">
      <c r="B569" s="22"/>
    </row>
    <row r="570" spans="2:2" s="97" customFormat="1" x14ac:dyDescent="0.2">
      <c r="B570" s="22"/>
    </row>
    <row r="571" spans="2:2" s="97" customFormat="1" x14ac:dyDescent="0.2">
      <c r="B571" s="22"/>
    </row>
    <row r="572" spans="2:2" s="97" customFormat="1" x14ac:dyDescent="0.2">
      <c r="B572" s="22"/>
    </row>
    <row r="573" spans="2:2" s="97" customFormat="1" x14ac:dyDescent="0.2">
      <c r="B573" s="22"/>
    </row>
    <row r="574" spans="2:2" s="97" customFormat="1" x14ac:dyDescent="0.2">
      <c r="B574" s="22"/>
    </row>
    <row r="575" spans="2:2" s="97" customFormat="1" x14ac:dyDescent="0.2">
      <c r="B575" s="22"/>
    </row>
    <row r="576" spans="2:2" s="97" customFormat="1" x14ac:dyDescent="0.2">
      <c r="B576" s="22"/>
    </row>
    <row r="577" spans="2:2" s="97" customFormat="1" x14ac:dyDescent="0.2">
      <c r="B577" s="22"/>
    </row>
    <row r="578" spans="2:2" s="97" customFormat="1" x14ac:dyDescent="0.2">
      <c r="B578" s="22"/>
    </row>
    <row r="579" spans="2:2" s="97" customFormat="1" x14ac:dyDescent="0.2">
      <c r="B579" s="22"/>
    </row>
    <row r="580" spans="2:2" s="97" customFormat="1" x14ac:dyDescent="0.2">
      <c r="B580" s="22"/>
    </row>
    <row r="581" spans="2:2" s="97" customFormat="1" x14ac:dyDescent="0.2">
      <c r="B581" s="22"/>
    </row>
    <row r="582" spans="2:2" s="97" customFormat="1" x14ac:dyDescent="0.2">
      <c r="B582" s="22"/>
    </row>
    <row r="583" spans="2:2" s="97" customFormat="1" x14ac:dyDescent="0.2">
      <c r="B583" s="22"/>
    </row>
    <row r="584" spans="2:2" s="97" customFormat="1" x14ac:dyDescent="0.2">
      <c r="B584" s="22"/>
    </row>
    <row r="585" spans="2:2" s="97" customFormat="1" x14ac:dyDescent="0.2">
      <c r="B585" s="22"/>
    </row>
    <row r="586" spans="2:2" s="97" customFormat="1" x14ac:dyDescent="0.2">
      <c r="B586" s="22"/>
    </row>
    <row r="587" spans="2:2" s="97" customFormat="1" x14ac:dyDescent="0.2">
      <c r="B587" s="22"/>
    </row>
    <row r="588" spans="2:2" s="97" customFormat="1" x14ac:dyDescent="0.2">
      <c r="B588" s="22"/>
    </row>
    <row r="589" spans="2:2" s="97" customFormat="1" x14ac:dyDescent="0.2">
      <c r="B589" s="22"/>
    </row>
    <row r="590" spans="2:2" s="97" customFormat="1" x14ac:dyDescent="0.2">
      <c r="B590" s="22"/>
    </row>
    <row r="591" spans="2:2" s="97" customFormat="1" x14ac:dyDescent="0.2">
      <c r="B591" s="22"/>
    </row>
    <row r="592" spans="2:2" s="97" customFormat="1" x14ac:dyDescent="0.2">
      <c r="B592" s="22"/>
    </row>
    <row r="593" spans="2:2" s="97" customFormat="1" x14ac:dyDescent="0.2">
      <c r="B593" s="22"/>
    </row>
    <row r="594" spans="2:2" s="97" customFormat="1" x14ac:dyDescent="0.2">
      <c r="B594" s="22"/>
    </row>
    <row r="595" spans="2:2" s="97" customFormat="1" x14ac:dyDescent="0.2">
      <c r="B595" s="22"/>
    </row>
    <row r="596" spans="2:2" s="97" customFormat="1" x14ac:dyDescent="0.2">
      <c r="B596" s="22"/>
    </row>
    <row r="597" spans="2:2" s="97" customFormat="1" x14ac:dyDescent="0.2">
      <c r="B597" s="22"/>
    </row>
    <row r="598" spans="2:2" s="97" customFormat="1" x14ac:dyDescent="0.2">
      <c r="B598" s="22"/>
    </row>
    <row r="599" spans="2:2" s="97" customFormat="1" x14ac:dyDescent="0.2">
      <c r="B599" s="22"/>
    </row>
    <row r="600" spans="2:2" s="97" customFormat="1" x14ac:dyDescent="0.2">
      <c r="B600" s="22"/>
    </row>
    <row r="601" spans="2:2" s="97" customFormat="1" x14ac:dyDescent="0.2">
      <c r="B601" s="22"/>
    </row>
    <row r="602" spans="2:2" s="97" customFormat="1" x14ac:dyDescent="0.2">
      <c r="B602" s="22"/>
    </row>
    <row r="603" spans="2:2" s="97" customFormat="1" x14ac:dyDescent="0.2">
      <c r="B603" s="22"/>
    </row>
    <row r="604" spans="2:2" s="97" customFormat="1" x14ac:dyDescent="0.2">
      <c r="B604" s="22"/>
    </row>
    <row r="605" spans="2:2" s="97" customFormat="1" x14ac:dyDescent="0.2">
      <c r="B605" s="22"/>
    </row>
    <row r="606" spans="2:2" s="97" customFormat="1" x14ac:dyDescent="0.2">
      <c r="B606" s="22"/>
    </row>
    <row r="607" spans="2:2" s="97" customFormat="1" x14ac:dyDescent="0.2">
      <c r="B607" s="22"/>
    </row>
    <row r="608" spans="2:2" s="97" customFormat="1" x14ac:dyDescent="0.2">
      <c r="B608" s="22"/>
    </row>
    <row r="609" spans="2:2" s="97" customFormat="1" x14ac:dyDescent="0.2">
      <c r="B609" s="22"/>
    </row>
    <row r="610" spans="2:2" s="97" customFormat="1" x14ac:dyDescent="0.2">
      <c r="B610" s="22"/>
    </row>
    <row r="611" spans="2:2" s="97" customFormat="1" x14ac:dyDescent="0.2">
      <c r="B611" s="22"/>
    </row>
    <row r="612" spans="2:2" s="97" customFormat="1" x14ac:dyDescent="0.2">
      <c r="B612" s="22"/>
    </row>
    <row r="613" spans="2:2" s="97" customFormat="1" x14ac:dyDescent="0.2">
      <c r="B613" s="22"/>
    </row>
    <row r="614" spans="2:2" s="97" customFormat="1" x14ac:dyDescent="0.2">
      <c r="B614" s="22"/>
    </row>
    <row r="615" spans="2:2" s="97" customFormat="1" x14ac:dyDescent="0.2">
      <c r="B615" s="22"/>
    </row>
    <row r="616" spans="2:2" s="97" customFormat="1" x14ac:dyDescent="0.2">
      <c r="B616" s="22"/>
    </row>
    <row r="617" spans="2:2" s="97" customFormat="1" x14ac:dyDescent="0.2">
      <c r="B617" s="22"/>
    </row>
    <row r="618" spans="2:2" s="97" customFormat="1" x14ac:dyDescent="0.2">
      <c r="B618" s="22"/>
    </row>
    <row r="619" spans="2:2" s="97" customFormat="1" x14ac:dyDescent="0.2">
      <c r="B619" s="22"/>
    </row>
    <row r="620" spans="2:2" s="97" customFormat="1" x14ac:dyDescent="0.2">
      <c r="B620" s="22"/>
    </row>
    <row r="621" spans="2:2" s="97" customFormat="1" x14ac:dyDescent="0.2">
      <c r="B621" s="22"/>
    </row>
    <row r="622" spans="2:2" s="97" customFormat="1" x14ac:dyDescent="0.2">
      <c r="B622" s="22"/>
    </row>
    <row r="623" spans="2:2" s="97" customFormat="1" x14ac:dyDescent="0.2">
      <c r="B623" s="22"/>
    </row>
    <row r="624" spans="2:2" s="97" customFormat="1" x14ac:dyDescent="0.2">
      <c r="B624" s="22"/>
    </row>
    <row r="625" spans="2:2" s="97" customFormat="1" x14ac:dyDescent="0.2">
      <c r="B625" s="22"/>
    </row>
    <row r="626" spans="2:2" s="97" customFormat="1" x14ac:dyDescent="0.2">
      <c r="B626" s="22"/>
    </row>
    <row r="627" spans="2:2" s="97" customFormat="1" x14ac:dyDescent="0.2">
      <c r="B627" s="22"/>
    </row>
    <row r="628" spans="2:2" s="97" customFormat="1" x14ac:dyDescent="0.2">
      <c r="B628" s="22"/>
    </row>
    <row r="629" spans="2:2" s="97" customFormat="1" x14ac:dyDescent="0.2">
      <c r="B629" s="22"/>
    </row>
    <row r="630" spans="2:2" s="97" customFormat="1" x14ac:dyDescent="0.2">
      <c r="B630" s="22"/>
    </row>
    <row r="631" spans="2:2" s="97" customFormat="1" x14ac:dyDescent="0.2">
      <c r="B631" s="22"/>
    </row>
    <row r="632" spans="2:2" s="97" customFormat="1" x14ac:dyDescent="0.2">
      <c r="B632" s="22"/>
    </row>
    <row r="633" spans="2:2" s="97" customFormat="1" x14ac:dyDescent="0.2">
      <c r="B633" s="22"/>
    </row>
    <row r="634" spans="2:2" s="97" customFormat="1" x14ac:dyDescent="0.2">
      <c r="B634" s="22"/>
    </row>
    <row r="635" spans="2:2" s="97" customFormat="1" x14ac:dyDescent="0.2">
      <c r="B635" s="22"/>
    </row>
    <row r="636" spans="2:2" s="97" customFormat="1" x14ac:dyDescent="0.2">
      <c r="B636" s="22"/>
    </row>
    <row r="637" spans="2:2" s="97" customFormat="1" x14ac:dyDescent="0.2">
      <c r="B637" s="22"/>
    </row>
    <row r="638" spans="2:2" s="97" customFormat="1" x14ac:dyDescent="0.2">
      <c r="B638" s="22"/>
    </row>
    <row r="639" spans="2:2" s="97" customFormat="1" x14ac:dyDescent="0.2">
      <c r="B639" s="22"/>
    </row>
    <row r="640" spans="2:2" s="97" customFormat="1" x14ac:dyDescent="0.2">
      <c r="B640" s="22"/>
    </row>
    <row r="641" spans="2:2" s="97" customFormat="1" x14ac:dyDescent="0.2">
      <c r="B641" s="22"/>
    </row>
    <row r="642" spans="2:2" s="97" customFormat="1" x14ac:dyDescent="0.2">
      <c r="B642" s="22"/>
    </row>
    <row r="643" spans="2:2" s="97" customFormat="1" x14ac:dyDescent="0.2">
      <c r="B643" s="22"/>
    </row>
    <row r="644" spans="2:2" s="97" customFormat="1" x14ac:dyDescent="0.2">
      <c r="B644" s="22"/>
    </row>
    <row r="645" spans="2:2" s="97" customFormat="1" x14ac:dyDescent="0.2">
      <c r="B645" s="22"/>
    </row>
    <row r="646" spans="2:2" s="97" customFormat="1" x14ac:dyDescent="0.2">
      <c r="B646" s="22"/>
    </row>
    <row r="647" spans="2:2" s="97" customFormat="1" x14ac:dyDescent="0.2">
      <c r="B647" s="22"/>
    </row>
    <row r="648" spans="2:2" s="97" customFormat="1" x14ac:dyDescent="0.2">
      <c r="B648" s="22"/>
    </row>
    <row r="649" spans="2:2" s="97" customFormat="1" x14ac:dyDescent="0.2">
      <c r="B649" s="22"/>
    </row>
    <row r="650" spans="2:2" s="97" customFormat="1" x14ac:dyDescent="0.2">
      <c r="B650" s="22"/>
    </row>
    <row r="651" spans="2:2" s="97" customFormat="1" x14ac:dyDescent="0.2">
      <c r="B651" s="22"/>
    </row>
    <row r="652" spans="2:2" s="97" customFormat="1" x14ac:dyDescent="0.2">
      <c r="B652" s="22"/>
    </row>
    <row r="653" spans="2:2" s="97" customFormat="1" x14ac:dyDescent="0.2">
      <c r="B653" s="22"/>
    </row>
    <row r="654" spans="2:2" s="97" customFormat="1" x14ac:dyDescent="0.2">
      <c r="B654" s="22"/>
    </row>
    <row r="655" spans="2:2" s="97" customFormat="1" x14ac:dyDescent="0.2">
      <c r="B655" s="22"/>
    </row>
    <row r="656" spans="2:2" s="97" customFormat="1" x14ac:dyDescent="0.2">
      <c r="B656" s="22"/>
    </row>
    <row r="657" spans="2:2" s="97" customFormat="1" x14ac:dyDescent="0.2">
      <c r="B657" s="22"/>
    </row>
    <row r="658" spans="2:2" s="97" customFormat="1" x14ac:dyDescent="0.2">
      <c r="B658" s="22"/>
    </row>
    <row r="659" spans="2:2" s="97" customFormat="1" x14ac:dyDescent="0.2">
      <c r="B659" s="22"/>
    </row>
    <row r="660" spans="2:2" s="97" customFormat="1" x14ac:dyDescent="0.2">
      <c r="B660" s="22"/>
    </row>
    <row r="661" spans="2:2" s="97" customFormat="1" x14ac:dyDescent="0.2">
      <c r="B661" s="22"/>
    </row>
    <row r="662" spans="2:2" s="97" customFormat="1" x14ac:dyDescent="0.2">
      <c r="B662" s="22"/>
    </row>
    <row r="663" spans="2:2" s="97" customFormat="1" x14ac:dyDescent="0.2">
      <c r="B663" s="22"/>
    </row>
    <row r="664" spans="2:2" s="97" customFormat="1" x14ac:dyDescent="0.2">
      <c r="B664" s="22"/>
    </row>
    <row r="665" spans="2:2" s="97" customFormat="1" x14ac:dyDescent="0.2">
      <c r="B665" s="22"/>
    </row>
    <row r="666" spans="2:2" s="97" customFormat="1" x14ac:dyDescent="0.2">
      <c r="B666" s="22"/>
    </row>
    <row r="667" spans="2:2" s="97" customFormat="1" x14ac:dyDescent="0.2">
      <c r="B667" s="22"/>
    </row>
    <row r="668" spans="2:2" s="97" customFormat="1" x14ac:dyDescent="0.2">
      <c r="B668" s="22"/>
    </row>
    <row r="669" spans="2:2" s="97" customFormat="1" x14ac:dyDescent="0.2">
      <c r="B669" s="22"/>
    </row>
    <row r="670" spans="2:2" s="97" customFormat="1" x14ac:dyDescent="0.2">
      <c r="B670" s="22"/>
    </row>
    <row r="671" spans="2:2" s="97" customFormat="1" x14ac:dyDescent="0.2">
      <c r="B671" s="22"/>
    </row>
    <row r="672" spans="2:2" s="97" customFormat="1" x14ac:dyDescent="0.2">
      <c r="B672" s="22"/>
    </row>
    <row r="673" spans="2:2" s="97" customFormat="1" x14ac:dyDescent="0.2">
      <c r="B673" s="22"/>
    </row>
    <row r="674" spans="2:2" s="97" customFormat="1" x14ac:dyDescent="0.2">
      <c r="B674" s="22"/>
    </row>
    <row r="675" spans="2:2" s="97" customFormat="1" x14ac:dyDescent="0.2">
      <c r="B675" s="22"/>
    </row>
    <row r="676" spans="2:2" s="97" customFormat="1" x14ac:dyDescent="0.2">
      <c r="B676" s="22"/>
    </row>
    <row r="677" spans="2:2" s="97" customFormat="1" x14ac:dyDescent="0.2">
      <c r="B677" s="22"/>
    </row>
    <row r="678" spans="2:2" s="97" customFormat="1" x14ac:dyDescent="0.2">
      <c r="B678" s="22"/>
    </row>
    <row r="679" spans="2:2" s="97" customFormat="1" x14ac:dyDescent="0.2">
      <c r="B679" s="22"/>
    </row>
    <row r="680" spans="2:2" s="97" customFormat="1" x14ac:dyDescent="0.2">
      <c r="B680" s="22"/>
    </row>
    <row r="681" spans="2:2" s="97" customFormat="1" x14ac:dyDescent="0.2">
      <c r="B681" s="22"/>
    </row>
    <row r="682" spans="2:2" s="97" customFormat="1" x14ac:dyDescent="0.2">
      <c r="B682" s="22"/>
    </row>
    <row r="683" spans="2:2" s="97" customFormat="1" x14ac:dyDescent="0.2">
      <c r="B683" s="22"/>
    </row>
    <row r="684" spans="2:2" s="97" customFormat="1" x14ac:dyDescent="0.2">
      <c r="B684" s="22"/>
    </row>
    <row r="685" spans="2:2" s="97" customFormat="1" x14ac:dyDescent="0.2">
      <c r="B685" s="22"/>
    </row>
    <row r="686" spans="2:2" s="97" customFormat="1" x14ac:dyDescent="0.2">
      <c r="B686" s="22"/>
    </row>
    <row r="687" spans="2:2" s="97" customFormat="1" x14ac:dyDescent="0.2">
      <c r="B687" s="22"/>
    </row>
    <row r="688" spans="2:2" s="97" customFormat="1" x14ac:dyDescent="0.2">
      <c r="B688" s="22"/>
    </row>
    <row r="689" spans="2:2" s="97" customFormat="1" x14ac:dyDescent="0.2">
      <c r="B689" s="22"/>
    </row>
    <row r="690" spans="2:2" s="97" customFormat="1" x14ac:dyDescent="0.2">
      <c r="B690" s="22"/>
    </row>
    <row r="691" spans="2:2" s="97" customFormat="1" x14ac:dyDescent="0.2">
      <c r="B691" s="22"/>
    </row>
    <row r="692" spans="2:2" s="97" customFormat="1" x14ac:dyDescent="0.2">
      <c r="B692" s="22"/>
    </row>
    <row r="693" spans="2:2" s="97" customFormat="1" x14ac:dyDescent="0.2">
      <c r="B693" s="22"/>
    </row>
    <row r="694" spans="2:2" s="97" customFormat="1" x14ac:dyDescent="0.2">
      <c r="B694" s="22"/>
    </row>
    <row r="695" spans="2:2" s="97" customFormat="1" x14ac:dyDescent="0.2">
      <c r="B695" s="22"/>
    </row>
    <row r="696" spans="2:2" s="97" customFormat="1" x14ac:dyDescent="0.2">
      <c r="B696" s="22"/>
    </row>
    <row r="697" spans="2:2" s="97" customFormat="1" x14ac:dyDescent="0.2">
      <c r="B697" s="22"/>
    </row>
    <row r="698" spans="2:2" s="97" customFormat="1" x14ac:dyDescent="0.2">
      <c r="B698" s="22"/>
    </row>
    <row r="699" spans="2:2" s="97" customFormat="1" x14ac:dyDescent="0.2">
      <c r="B699" s="22"/>
    </row>
    <row r="700" spans="2:2" s="97" customFormat="1" x14ac:dyDescent="0.2">
      <c r="B700" s="22"/>
    </row>
    <row r="701" spans="2:2" s="97" customFormat="1" x14ac:dyDescent="0.2">
      <c r="B701" s="22"/>
    </row>
    <row r="702" spans="2:2" s="97" customFormat="1" x14ac:dyDescent="0.2">
      <c r="B702" s="22"/>
    </row>
    <row r="703" spans="2:2" s="97" customFormat="1" x14ac:dyDescent="0.2">
      <c r="B703" s="22"/>
    </row>
    <row r="704" spans="2:2" s="97" customFormat="1" x14ac:dyDescent="0.2">
      <c r="B704" s="22"/>
    </row>
    <row r="705" spans="2:2" s="97" customFormat="1" x14ac:dyDescent="0.2">
      <c r="B705" s="22"/>
    </row>
    <row r="706" spans="2:2" s="97" customFormat="1" x14ac:dyDescent="0.2">
      <c r="B706" s="22"/>
    </row>
    <row r="707" spans="2:2" s="97" customFormat="1" x14ac:dyDescent="0.2">
      <c r="B707" s="22"/>
    </row>
    <row r="708" spans="2:2" s="97" customFormat="1" x14ac:dyDescent="0.2">
      <c r="B708" s="22"/>
    </row>
    <row r="709" spans="2:2" s="97" customFormat="1" x14ac:dyDescent="0.2">
      <c r="B709" s="22"/>
    </row>
    <row r="710" spans="2:2" s="97" customFormat="1" x14ac:dyDescent="0.2">
      <c r="B710" s="22"/>
    </row>
    <row r="711" spans="2:2" s="97" customFormat="1" x14ac:dyDescent="0.2">
      <c r="B711" s="22"/>
    </row>
    <row r="712" spans="2:2" s="97" customFormat="1" x14ac:dyDescent="0.2">
      <c r="B712" s="22"/>
    </row>
    <row r="713" spans="2:2" s="97" customFormat="1" x14ac:dyDescent="0.2">
      <c r="B713" s="22"/>
    </row>
    <row r="714" spans="2:2" s="97" customFormat="1" x14ac:dyDescent="0.2">
      <c r="B714" s="22"/>
    </row>
    <row r="715" spans="2:2" s="97" customFormat="1" x14ac:dyDescent="0.2">
      <c r="B715" s="22"/>
    </row>
    <row r="716" spans="2:2" s="97" customFormat="1" x14ac:dyDescent="0.2">
      <c r="B716" s="22"/>
    </row>
    <row r="717" spans="2:2" s="97" customFormat="1" x14ac:dyDescent="0.2">
      <c r="B717" s="22"/>
    </row>
    <row r="718" spans="2:2" s="97" customFormat="1" x14ac:dyDescent="0.2">
      <c r="B718" s="22"/>
    </row>
    <row r="719" spans="2:2" s="97" customFormat="1" x14ac:dyDescent="0.2">
      <c r="B719" s="22"/>
    </row>
    <row r="720" spans="2:2" s="97" customFormat="1" x14ac:dyDescent="0.2">
      <c r="B720" s="22"/>
    </row>
    <row r="721" spans="2:2" s="97" customFormat="1" x14ac:dyDescent="0.2">
      <c r="B721" s="22"/>
    </row>
    <row r="722" spans="2:2" s="97" customFormat="1" x14ac:dyDescent="0.2">
      <c r="B722" s="22"/>
    </row>
    <row r="723" spans="2:2" s="97" customFormat="1" x14ac:dyDescent="0.2">
      <c r="B723" s="22"/>
    </row>
    <row r="724" spans="2:2" s="97" customFormat="1" x14ac:dyDescent="0.2">
      <c r="B724" s="22"/>
    </row>
    <row r="725" spans="2:2" s="97" customFormat="1" x14ac:dyDescent="0.2">
      <c r="B725" s="22"/>
    </row>
    <row r="726" spans="2:2" s="97" customFormat="1" x14ac:dyDescent="0.2">
      <c r="B726" s="22"/>
    </row>
    <row r="727" spans="2:2" s="97" customFormat="1" x14ac:dyDescent="0.2">
      <c r="B727" s="22"/>
    </row>
    <row r="728" spans="2:2" s="97" customFormat="1" x14ac:dyDescent="0.2">
      <c r="B728" s="22"/>
    </row>
    <row r="729" spans="2:2" s="97" customFormat="1" x14ac:dyDescent="0.2">
      <c r="B729" s="22"/>
    </row>
    <row r="730" spans="2:2" s="97" customFormat="1" x14ac:dyDescent="0.2">
      <c r="B730" s="22"/>
    </row>
    <row r="731" spans="2:2" s="97" customFormat="1" x14ac:dyDescent="0.2">
      <c r="B731" s="22"/>
    </row>
    <row r="732" spans="2:2" s="97" customFormat="1" x14ac:dyDescent="0.2">
      <c r="B732" s="22"/>
    </row>
    <row r="733" spans="2:2" s="97" customFormat="1" x14ac:dyDescent="0.2">
      <c r="B733" s="22"/>
    </row>
    <row r="734" spans="2:2" s="97" customFormat="1" x14ac:dyDescent="0.2">
      <c r="B734" s="22"/>
    </row>
    <row r="735" spans="2:2" s="97" customFormat="1" x14ac:dyDescent="0.2">
      <c r="B735" s="22"/>
    </row>
    <row r="736" spans="2:2" s="97" customFormat="1" x14ac:dyDescent="0.2">
      <c r="B736" s="22"/>
    </row>
    <row r="737" spans="2:2" s="97" customFormat="1" x14ac:dyDescent="0.2">
      <c r="B737" s="22"/>
    </row>
    <row r="738" spans="2:2" s="97" customFormat="1" x14ac:dyDescent="0.2">
      <c r="B738" s="22"/>
    </row>
    <row r="739" spans="2:2" s="97" customFormat="1" x14ac:dyDescent="0.2">
      <c r="B739" s="22"/>
    </row>
    <row r="740" spans="2:2" s="97" customFormat="1" x14ac:dyDescent="0.2">
      <c r="B740" s="22"/>
    </row>
    <row r="741" spans="2:2" s="97" customFormat="1" x14ac:dyDescent="0.2">
      <c r="B741" s="22"/>
    </row>
    <row r="742" spans="2:2" s="97" customFormat="1" x14ac:dyDescent="0.2">
      <c r="B742" s="22"/>
    </row>
    <row r="743" spans="2:2" s="97" customFormat="1" x14ac:dyDescent="0.2">
      <c r="B743" s="22"/>
    </row>
    <row r="744" spans="2:2" s="97" customFormat="1" x14ac:dyDescent="0.2">
      <c r="B744" s="22"/>
    </row>
    <row r="745" spans="2:2" s="97" customFormat="1" x14ac:dyDescent="0.2">
      <c r="B745" s="22"/>
    </row>
    <row r="746" spans="2:2" s="97" customFormat="1" x14ac:dyDescent="0.2">
      <c r="B746" s="22"/>
    </row>
    <row r="747" spans="2:2" s="97" customFormat="1" x14ac:dyDescent="0.2">
      <c r="B747" s="22"/>
    </row>
    <row r="748" spans="2:2" s="97" customFormat="1" x14ac:dyDescent="0.2">
      <c r="B748" s="22"/>
    </row>
    <row r="749" spans="2:2" s="97" customFormat="1" x14ac:dyDescent="0.2">
      <c r="B749" s="22"/>
    </row>
    <row r="750" spans="2:2" s="97" customFormat="1" x14ac:dyDescent="0.2">
      <c r="B750" s="22"/>
    </row>
    <row r="751" spans="2:2" s="97" customFormat="1" x14ac:dyDescent="0.2">
      <c r="B751" s="22"/>
    </row>
    <row r="752" spans="2:2" s="97" customFormat="1" x14ac:dyDescent="0.2">
      <c r="B752" s="22"/>
    </row>
    <row r="753" spans="2:2" s="97" customFormat="1" x14ac:dyDescent="0.2">
      <c r="B753" s="22"/>
    </row>
    <row r="754" spans="2:2" s="97" customFormat="1" x14ac:dyDescent="0.2">
      <c r="B754" s="22"/>
    </row>
    <row r="755" spans="2:2" s="97" customFormat="1" x14ac:dyDescent="0.2">
      <c r="B755" s="22"/>
    </row>
    <row r="756" spans="2:2" s="97" customFormat="1" x14ac:dyDescent="0.2">
      <c r="B756" s="22"/>
    </row>
    <row r="757" spans="2:2" s="97" customFormat="1" x14ac:dyDescent="0.2">
      <c r="B757" s="22"/>
    </row>
    <row r="758" spans="2:2" s="97" customFormat="1" x14ac:dyDescent="0.2">
      <c r="B758" s="22"/>
    </row>
    <row r="759" spans="2:2" s="97" customFormat="1" x14ac:dyDescent="0.2">
      <c r="B759" s="22"/>
    </row>
    <row r="760" spans="2:2" s="97" customFormat="1" x14ac:dyDescent="0.2">
      <c r="B760" s="22"/>
    </row>
    <row r="761" spans="2:2" s="97" customFormat="1" x14ac:dyDescent="0.2">
      <c r="B761" s="22"/>
    </row>
    <row r="762" spans="2:2" s="97" customFormat="1" x14ac:dyDescent="0.2">
      <c r="B762" s="22"/>
    </row>
    <row r="763" spans="2:2" s="97" customFormat="1" x14ac:dyDescent="0.2">
      <c r="B763" s="22"/>
    </row>
    <row r="764" spans="2:2" s="97" customFormat="1" x14ac:dyDescent="0.2">
      <c r="B764" s="22"/>
    </row>
    <row r="765" spans="2:2" s="97" customFormat="1" x14ac:dyDescent="0.2">
      <c r="B765" s="22"/>
    </row>
    <row r="766" spans="2:2" s="97" customFormat="1" x14ac:dyDescent="0.2">
      <c r="B766" s="22"/>
    </row>
    <row r="767" spans="2:2" s="97" customFormat="1" x14ac:dyDescent="0.2">
      <c r="B767" s="22"/>
    </row>
    <row r="768" spans="2:2" s="97" customFormat="1" x14ac:dyDescent="0.2">
      <c r="B768" s="22"/>
    </row>
    <row r="769" spans="1:4" s="97" customFormat="1" x14ac:dyDescent="0.2">
      <c r="B769" s="22"/>
    </row>
    <row r="770" spans="1:4" s="97" customFormat="1" x14ac:dyDescent="0.2">
      <c r="B770" s="22"/>
    </row>
    <row r="771" spans="1:4" s="97" customFormat="1" x14ac:dyDescent="0.2">
      <c r="B771" s="22"/>
    </row>
    <row r="772" spans="1:4" s="97" customFormat="1" x14ac:dyDescent="0.2">
      <c r="B772" s="22"/>
    </row>
    <row r="773" spans="1:4" s="97" customFormat="1" x14ac:dyDescent="0.2">
      <c r="B773" s="22"/>
    </row>
    <row r="774" spans="1:4" x14ac:dyDescent="0.2">
      <c r="A774" s="97"/>
      <c r="B774" s="22"/>
      <c r="C774" s="97"/>
      <c r="D774" s="97"/>
    </row>
    <row r="775" spans="1:4" x14ac:dyDescent="0.2">
      <c r="A775" s="97"/>
      <c r="B775" s="22"/>
      <c r="C775" s="97"/>
      <c r="D775" s="97"/>
    </row>
    <row r="776" spans="1:4" x14ac:dyDescent="0.2">
      <c r="A776" s="97"/>
      <c r="B776" s="22"/>
      <c r="C776" s="97"/>
      <c r="D776" s="97"/>
    </row>
    <row r="777" spans="1:4" x14ac:dyDescent="0.2">
      <c r="A777" s="97"/>
      <c r="B777" s="22"/>
      <c r="C777" s="97"/>
      <c r="D777" s="97"/>
    </row>
    <row r="778" spans="1:4" x14ac:dyDescent="0.2">
      <c r="A778" s="97"/>
      <c r="B778" s="22"/>
      <c r="C778" s="97"/>
      <c r="D778" s="97"/>
    </row>
    <row r="779" spans="1:4" x14ac:dyDescent="0.2">
      <c r="A779" s="97"/>
      <c r="B779" s="22"/>
      <c r="C779" s="97"/>
      <c r="D779" s="97"/>
    </row>
    <row r="780" spans="1:4" x14ac:dyDescent="0.2">
      <c r="A780" s="97"/>
      <c r="B780" s="22"/>
      <c r="C780" s="97"/>
      <c r="D780" s="97"/>
    </row>
    <row r="781" spans="1:4" x14ac:dyDescent="0.2">
      <c r="A781" s="97"/>
      <c r="B781" s="22"/>
      <c r="C781" s="97"/>
      <c r="D781" s="97"/>
    </row>
    <row r="782" spans="1:4" x14ac:dyDescent="0.2">
      <c r="A782" s="97"/>
      <c r="B782" s="22"/>
      <c r="C782" s="97"/>
      <c r="D782" s="97"/>
    </row>
    <row r="783" spans="1:4" x14ac:dyDescent="0.2">
      <c r="A783" s="97"/>
      <c r="B783" s="22"/>
      <c r="C783" s="97"/>
      <c r="D783" s="97"/>
    </row>
    <row r="784" spans="1:4" x14ac:dyDescent="0.2">
      <c r="A784" s="97"/>
      <c r="B784" s="22"/>
      <c r="C784" s="97"/>
      <c r="D784" s="97"/>
    </row>
    <row r="785" spans="1:4" x14ac:dyDescent="0.2">
      <c r="A785" s="97"/>
      <c r="B785" s="22"/>
      <c r="C785" s="97"/>
      <c r="D785" s="97"/>
    </row>
    <row r="786" spans="1:4" x14ac:dyDescent="0.2">
      <c r="A786" s="97"/>
      <c r="B786" s="22"/>
      <c r="C786" s="97"/>
      <c r="D786" s="97"/>
    </row>
    <row r="787" spans="1:4" x14ac:dyDescent="0.2">
      <c r="A787" s="97"/>
      <c r="B787" s="22"/>
      <c r="C787" s="97"/>
      <c r="D787" s="97"/>
    </row>
    <row r="788" spans="1:4" x14ac:dyDescent="0.2">
      <c r="A788" s="97"/>
      <c r="B788" s="22"/>
      <c r="C788" s="97"/>
      <c r="D788" s="97"/>
    </row>
    <row r="789" spans="1:4" x14ac:dyDescent="0.2">
      <c r="A789" s="97"/>
      <c r="B789" s="22"/>
      <c r="C789" s="97"/>
      <c r="D789" s="97"/>
    </row>
    <row r="790" spans="1:4" x14ac:dyDescent="0.2">
      <c r="A790" s="97"/>
      <c r="B790" s="22"/>
      <c r="C790" s="97"/>
      <c r="D790" s="97"/>
    </row>
    <row r="791" spans="1:4" x14ac:dyDescent="0.2">
      <c r="A791" s="97"/>
      <c r="B791" s="22"/>
      <c r="C791" s="97"/>
      <c r="D791" s="97"/>
    </row>
    <row r="792" spans="1:4" x14ac:dyDescent="0.2">
      <c r="A792" s="97"/>
      <c r="B792" s="22"/>
      <c r="C792" s="97"/>
      <c r="D792" s="97"/>
    </row>
    <row r="793" spans="1:4" x14ac:dyDescent="0.2">
      <c r="A793" s="97"/>
      <c r="B793" s="22"/>
      <c r="C793" s="97"/>
      <c r="D793" s="97"/>
    </row>
    <row r="794" spans="1:4" x14ac:dyDescent="0.2">
      <c r="A794" s="97"/>
      <c r="B794" s="22"/>
      <c r="C794" s="97"/>
      <c r="D794" s="97"/>
    </row>
    <row r="795" spans="1:4" x14ac:dyDescent="0.2">
      <c r="A795" s="97"/>
      <c r="B795" s="22"/>
      <c r="C795" s="97"/>
      <c r="D795" s="97"/>
    </row>
    <row r="796" spans="1:4" x14ac:dyDescent="0.2">
      <c r="A796" s="97"/>
      <c r="B796" s="22"/>
      <c r="C796" s="97"/>
      <c r="D796" s="97"/>
    </row>
    <row r="797" spans="1:4" x14ac:dyDescent="0.2">
      <c r="A797" s="97"/>
      <c r="B797" s="22"/>
      <c r="C797" s="97"/>
      <c r="D797" s="97"/>
    </row>
    <row r="798" spans="1:4" x14ac:dyDescent="0.2">
      <c r="A798" s="97"/>
      <c r="B798" s="22"/>
      <c r="C798" s="97"/>
      <c r="D798" s="97"/>
    </row>
    <row r="799" spans="1:4" x14ac:dyDescent="0.2">
      <c r="A799" s="97"/>
      <c r="B799" s="22"/>
      <c r="C799" s="97"/>
      <c r="D799" s="97"/>
    </row>
    <row r="800" spans="1:4" x14ac:dyDescent="0.2">
      <c r="A800" s="97"/>
      <c r="B800" s="22"/>
      <c r="C800" s="97"/>
      <c r="D800" s="97"/>
    </row>
    <row r="801" spans="1:4" x14ac:dyDescent="0.2">
      <c r="A801" s="97"/>
      <c r="B801" s="22"/>
      <c r="C801" s="97"/>
      <c r="D801" s="97"/>
    </row>
    <row r="802" spans="1:4" x14ac:dyDescent="0.2">
      <c r="A802" s="97"/>
      <c r="B802" s="22"/>
      <c r="C802" s="97"/>
      <c r="D802" s="97"/>
    </row>
    <row r="803" spans="1:4" x14ac:dyDescent="0.2">
      <c r="A803" s="97"/>
      <c r="B803" s="22"/>
      <c r="C803" s="97"/>
      <c r="D803" s="97"/>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5"/>
  <sheetViews>
    <sheetView zoomScale="160" zoomScaleNormal="160" workbookViewId="0">
      <pane ySplit="6" topLeftCell="A340" activePane="bottomLeft" state="frozen"/>
      <selection pane="bottomLeft" activeCell="G362" sqref="G362"/>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97" customWidth="1"/>
  </cols>
  <sheetData>
    <row r="1" spans="1:4" s="97" customFormat="1" x14ac:dyDescent="0.2">
      <c r="A1" s="97" t="s">
        <v>54</v>
      </c>
      <c r="B1" s="29" t="s">
        <v>95</v>
      </c>
      <c r="C1" s="54"/>
      <c r="D1" s="54"/>
    </row>
    <row r="2" spans="1:4" s="97" customFormat="1" x14ac:dyDescent="0.2">
      <c r="A2" s="95" t="s">
        <v>96</v>
      </c>
      <c r="C2" s="54"/>
      <c r="D2" s="54"/>
    </row>
    <row r="3" spans="1:4" s="97" customFormat="1" x14ac:dyDescent="0.2">
      <c r="A3" s="9"/>
      <c r="B3" s="54"/>
      <c r="C3" s="54"/>
      <c r="D3" s="54"/>
    </row>
    <row r="4" spans="1:4" s="97" customFormat="1" x14ac:dyDescent="0.2">
      <c r="A4" s="9"/>
      <c r="B4" s="54"/>
      <c r="C4" s="54"/>
      <c r="D4" s="54"/>
    </row>
    <row r="5" spans="1:4" s="97"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91"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40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ref="D363:D365" si="12">(B363-B351)/B351</f>
        <v>6.7924370567499406E-2</v>
      </c>
    </row>
    <row r="364" spans="1:4" x14ac:dyDescent="0.2">
      <c r="A364" s="10">
        <v>44470</v>
      </c>
      <c r="B364" s="15">
        <f>VLOOKUP(A364,Database!A:K,MATCH($A$1,Database!$A$1:$K$1,),)</f>
        <v>77426</v>
      </c>
      <c r="C364" s="12">
        <f t="shared" si="10"/>
        <v>1.0176656316050414E-2</v>
      </c>
      <c r="D364" s="13">
        <f t="shared" si="12"/>
        <v>8.6451975022802219E-2</v>
      </c>
    </row>
    <row r="365" spans="1:4" x14ac:dyDescent="0.2">
      <c r="A365" s="11">
        <v>44501</v>
      </c>
      <c r="B365" s="15">
        <f>VLOOKUP(A365,Database!A:K,MATCH($A$1,Database!$A$1:$K$1,),)</f>
        <v>78411</v>
      </c>
      <c r="C365" s="12">
        <f t="shared" si="10"/>
        <v>1.2721824710045722E-2</v>
      </c>
      <c r="D365" s="13">
        <f t="shared" si="12"/>
        <v>8.581438502229484E-2</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5"/>
  <sheetViews>
    <sheetView zoomScale="160" zoomScaleNormal="160" workbookViewId="0">
      <pane ySplit="6" topLeftCell="A339" activePane="bottomLeft" state="frozen"/>
      <selection pane="bottomLeft" activeCell="H360" sqref="H360"/>
    </sheetView>
  </sheetViews>
  <sheetFormatPr baseColWidth="10" defaultColWidth="9.1640625" defaultRowHeight="15" x14ac:dyDescent="0.2"/>
  <cols>
    <col min="1" max="1" width="14" style="54" customWidth="1"/>
    <col min="2" max="4" width="14.1640625" style="54" customWidth="1"/>
    <col min="5" max="5" width="9.1640625" style="97" customWidth="1"/>
    <col min="6" max="16384" width="9.1640625" style="97"/>
  </cols>
  <sheetData>
    <row r="1" spans="1:4" x14ac:dyDescent="0.2">
      <c r="A1" s="97" t="s">
        <v>64</v>
      </c>
      <c r="B1" s="29" t="s">
        <v>98</v>
      </c>
    </row>
    <row r="2" spans="1:4" x14ac:dyDescent="0.2">
      <c r="A2" s="95" t="s">
        <v>99</v>
      </c>
      <c r="B2" s="97"/>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91"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40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ref="D363:D365" si="12">(B363-B351)/B351</f>
        <v>9.5123821775809608E-2</v>
      </c>
    </row>
    <row r="364" spans="1:4" x14ac:dyDescent="0.2">
      <c r="A364" s="10">
        <v>44470</v>
      </c>
      <c r="B364" s="15">
        <f>VLOOKUP(A364,Database!A:Q,MATCH($A$1,Database!$A$1:$Q$1,),)</f>
        <v>92138</v>
      </c>
      <c r="C364" s="12">
        <f t="shared" si="10"/>
        <v>4.0731035105950393E-2</v>
      </c>
      <c r="D364" s="13">
        <f t="shared" si="12"/>
        <v>0.10670958752732601</v>
      </c>
    </row>
    <row r="365" spans="1:4" x14ac:dyDescent="0.2">
      <c r="A365" s="11">
        <v>44501</v>
      </c>
      <c r="B365" s="15">
        <f>VLOOKUP(A365,Database!A:Q,MATCH($A$1,Database!$A$1:$Q$1,),)</f>
        <v>92154</v>
      </c>
      <c r="C365" s="12">
        <f t="shared" si="10"/>
        <v>1.736525646313139E-4</v>
      </c>
      <c r="D365" s="13">
        <f t="shared" si="12"/>
        <v>0.12094488572088893</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5"/>
  <sheetViews>
    <sheetView zoomScale="160" zoomScaleNormal="160" workbookViewId="0">
      <pane ySplit="6" topLeftCell="A329" activePane="bottomLeft" state="frozen"/>
      <selection pane="bottomLeft" activeCell="I363" sqref="I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61</v>
      </c>
      <c r="B1" s="29" t="s">
        <v>101</v>
      </c>
    </row>
    <row r="2" spans="1:4" x14ac:dyDescent="0.2">
      <c r="A2" s="95" t="s">
        <v>102</v>
      </c>
      <c r="B2" s="97"/>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91"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40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ref="D363:D365" si="12">(B363-B351)/B351</f>
        <v>7.780595222207394E-2</v>
      </c>
    </row>
    <row r="364" spans="1:4" x14ac:dyDescent="0.2">
      <c r="A364" s="10">
        <v>44470</v>
      </c>
      <c r="B364" s="15">
        <f>VLOOKUP(A364,Database!A:Q,MATCH($A$1,Database!$A$1:$Q$1,),)</f>
        <v>31855</v>
      </c>
      <c r="C364" s="12">
        <f t="shared" si="10"/>
        <v>-1.3899207528479444E-2</v>
      </c>
      <c r="D364" s="13">
        <f t="shared" si="12"/>
        <v>6.5990697051835495E-2</v>
      </c>
    </row>
    <row r="365" spans="1:4" x14ac:dyDescent="0.2">
      <c r="A365" s="11">
        <v>44501</v>
      </c>
      <c r="B365" s="15">
        <f>VLOOKUP(A365,Database!A:Q,MATCH($A$1,Database!$A$1:$Q$1,),)</f>
        <v>31656</v>
      </c>
      <c r="C365" s="12">
        <f t="shared" si="10"/>
        <v>-6.2470569769266992E-3</v>
      </c>
      <c r="D365" s="13">
        <f t="shared" si="12"/>
        <v>7.2357723577235772E-2</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5"/>
  <sheetViews>
    <sheetView zoomScale="160" zoomScaleNormal="160" workbookViewId="0">
      <pane ySplit="6" topLeftCell="A334" activePane="bottomLeft" state="frozen"/>
      <selection pane="bottomLeft" activeCell="H363" sqref="H363:I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65</v>
      </c>
      <c r="B1" s="29" t="s">
        <v>104</v>
      </c>
    </row>
    <row r="2" spans="1:4" x14ac:dyDescent="0.2">
      <c r="A2" s="95" t="s">
        <v>105</v>
      </c>
      <c r="B2" s="97"/>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91"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40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ref="D363:D365" si="12">(B363-B351)/B351</f>
        <v>0.1415036298757229</v>
      </c>
    </row>
    <row r="364" spans="1:4" x14ac:dyDescent="0.2">
      <c r="A364" s="10">
        <v>44470</v>
      </c>
      <c r="B364" s="15">
        <f>VLOOKUP(A364,Database!A:Q,MATCH($A$1,Database!$A$1:$Q$1,),)</f>
        <v>9341</v>
      </c>
      <c r="C364" s="12">
        <f t="shared" si="10"/>
        <v>6.8987819338148107E-3</v>
      </c>
      <c r="D364" s="13">
        <f t="shared" si="12"/>
        <v>0.16384251183653128</v>
      </c>
    </row>
    <row r="365" spans="1:4" x14ac:dyDescent="0.2">
      <c r="A365" s="11">
        <v>44501</v>
      </c>
      <c r="B365" s="15">
        <f>VLOOKUP(A365,Database!A:Q,MATCH($A$1,Database!$A$1:$Q$1,),)</f>
        <v>9464</v>
      </c>
      <c r="C365" s="12">
        <f t="shared" si="10"/>
        <v>1.3167755058344931E-2</v>
      </c>
      <c r="D365" s="13">
        <f t="shared" si="12"/>
        <v>0.199949283631292</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5"/>
  <sheetViews>
    <sheetView zoomScale="160" zoomScaleNormal="160" workbookViewId="0">
      <pane ySplit="6" topLeftCell="A333" activePane="bottomLeft" state="frozen"/>
      <selection pane="bottomLeft" activeCell="H363" sqref="H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60</v>
      </c>
      <c r="B1" s="29" t="s">
        <v>107</v>
      </c>
    </row>
    <row r="2" spans="1:4" x14ac:dyDescent="0.2">
      <c r="A2" s="95" t="s">
        <v>108</v>
      </c>
      <c r="B2" s="97"/>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91"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40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ref="D363:D365" si="12">(B363-B351)/B351</f>
        <v>0.10804691676362378</v>
      </c>
    </row>
    <row r="364" spans="1:4" x14ac:dyDescent="0.2">
      <c r="A364" s="10">
        <v>44470</v>
      </c>
      <c r="B364" s="15">
        <f>VLOOKUP(A364,Database!A:Q,MATCH($A$1,Database!$A$1:$Q$1,),)</f>
        <v>71506</v>
      </c>
      <c r="C364" s="12">
        <f t="shared" si="10"/>
        <v>1.4643698385220082E-2</v>
      </c>
      <c r="D364" s="13">
        <f t="shared" si="12"/>
        <v>0.14044657097288676</v>
      </c>
    </row>
    <row r="365" spans="1:4" x14ac:dyDescent="0.2">
      <c r="A365" s="11">
        <v>44501</v>
      </c>
      <c r="B365" s="15">
        <f>VLOOKUP(A365,Database!A:Q,MATCH($A$1,Database!$A$1:$Q$1,),)</f>
        <v>70654</v>
      </c>
      <c r="C365" s="12">
        <f t="shared" si="10"/>
        <v>-1.1915084048891002E-2</v>
      </c>
      <c r="D365" s="13">
        <f t="shared" si="12"/>
        <v>0.14208586577007629</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5"/>
  <sheetViews>
    <sheetView zoomScale="150" zoomScaleNormal="150" workbookViewId="0">
      <pane ySplit="6" topLeftCell="A332" activePane="bottomLeft" state="frozen"/>
      <selection pane="bottomLeft" activeCell="J365" sqref="J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57</v>
      </c>
      <c r="B1" s="29" t="s">
        <v>110</v>
      </c>
    </row>
    <row r="2" spans="1:4" x14ac:dyDescent="0.2">
      <c r="A2" s="95"/>
      <c r="B2" s="97"/>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91"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40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ref="D363:D365" si="12">(B363-B351)/B351</f>
        <v>0.30405017921146954</v>
      </c>
    </row>
    <row r="364" spans="1:4" x14ac:dyDescent="0.2">
      <c r="A364" s="10">
        <v>44470</v>
      </c>
      <c r="B364" s="15">
        <f>VLOOKUP(A364,Database!A:K,MATCH($A$1,Database!$A$1:$K$1,),)</f>
        <v>72990</v>
      </c>
      <c r="C364" s="12">
        <f t="shared" si="10"/>
        <v>3.0783607728884369E-3</v>
      </c>
      <c r="D364" s="13">
        <f t="shared" si="12"/>
        <v>0.30357908272610373</v>
      </c>
    </row>
    <row r="365" spans="1:4" x14ac:dyDescent="0.2">
      <c r="A365" s="11">
        <v>44501</v>
      </c>
      <c r="B365" s="15">
        <f>VLOOKUP(A365,Database!A:K,MATCH($A$1,Database!$A$1:$K$1,),)</f>
        <v>73731</v>
      </c>
      <c r="C365" s="12">
        <f t="shared" si="10"/>
        <v>1.0152075626798191E-2</v>
      </c>
      <c r="D365" s="13">
        <f t="shared" si="12"/>
        <v>0.37437321751449287</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5"/>
  <sheetViews>
    <sheetView zoomScale="160" zoomScaleNormal="160" workbookViewId="0">
      <pane ySplit="6" topLeftCell="A336" activePane="bottomLeft" state="frozen"/>
      <selection pane="bottomLeft" activeCell="J366" sqref="J366:K366"/>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59</v>
      </c>
      <c r="B1" s="29" t="s">
        <v>112</v>
      </c>
    </row>
    <row r="2" spans="1:4" x14ac:dyDescent="0.2">
      <c r="A2" s="95" t="s">
        <v>113</v>
      </c>
      <c r="B2" s="97"/>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91"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40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ref="D363:D365" si="12">(B363-B351)/B351</f>
        <v>0.41041762649394292</v>
      </c>
    </row>
    <row r="364" spans="1:4" x14ac:dyDescent="0.2">
      <c r="A364" s="10">
        <v>44470</v>
      </c>
      <c r="B364" s="15">
        <f>VLOOKUP(A364,Database!A:K,MATCH($A$1,Database!$A$1:$K$1,),)</f>
        <v>53976</v>
      </c>
      <c r="C364" s="12">
        <f t="shared" si="10"/>
        <v>3.7142363045942775E-2</v>
      </c>
      <c r="D364" s="13">
        <f t="shared" si="12"/>
        <v>0.46391472973339482</v>
      </c>
    </row>
    <row r="365" spans="1:4" x14ac:dyDescent="0.2">
      <c r="A365" s="11">
        <v>44501</v>
      </c>
      <c r="B365" s="15">
        <f>VLOOKUP(A365,Database!A:K,MATCH($A$1,Database!$A$1:$K$1,),)</f>
        <v>54868</v>
      </c>
      <c r="C365" s="12">
        <f t="shared" si="10"/>
        <v>1.6525863346672595E-2</v>
      </c>
      <c r="D365" s="13">
        <f t="shared" si="12"/>
        <v>0.52347632930723309</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5"/>
  <sheetViews>
    <sheetView zoomScale="160" zoomScaleNormal="160" workbookViewId="0">
      <pane ySplit="6" topLeftCell="A330" activePane="bottomLeft" state="frozen"/>
      <selection pane="bottomLeft" activeCell="A360" sqref="A360:D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63</v>
      </c>
      <c r="B1" s="29" t="s">
        <v>115</v>
      </c>
    </row>
    <row r="2" spans="1:4" x14ac:dyDescent="0.2">
      <c r="A2" s="95" t="s">
        <v>116</v>
      </c>
      <c r="B2" s="97"/>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91"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40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ref="D363:D365" si="12">(B363-B351)/B351</f>
        <v>8.8079458618217421E-2</v>
      </c>
    </row>
    <row r="364" spans="1:4" x14ac:dyDescent="0.2">
      <c r="A364" s="10">
        <v>44470</v>
      </c>
      <c r="B364" s="15">
        <f>VLOOKUP(A364,Database!A:Q,MATCH($A$1,Database!$A$1:$Q$1,),)</f>
        <v>126572</v>
      </c>
      <c r="C364" s="12">
        <f t="shared" si="10"/>
        <v>1.7067369503728464E-2</v>
      </c>
      <c r="D364" s="13">
        <f t="shared" si="12"/>
        <v>0.11404304009153721</v>
      </c>
    </row>
    <row r="365" spans="1:4" x14ac:dyDescent="0.2">
      <c r="A365" s="11">
        <v>44501</v>
      </c>
      <c r="B365" s="15">
        <f>VLOOKUP(A365,Database!A:Q,MATCH($A$1,Database!$A$1:$Q$1,),)</f>
        <v>126489</v>
      </c>
      <c r="C365" s="12">
        <f t="shared" si="10"/>
        <v>-6.5575324716366965E-4</v>
      </c>
      <c r="D365" s="13">
        <f t="shared" si="12"/>
        <v>0.13415585463609708</v>
      </c>
    </row>
  </sheetData>
  <conditionalFormatting sqref="D19:D365">
    <cfRule type="colorScale" priority="50">
      <colorScale>
        <cfvo type="min"/>
        <cfvo type="percentile" val="50"/>
        <cfvo type="max"/>
        <color rgb="FFF8696B"/>
        <color rgb="FFFFEB84"/>
        <color rgb="FF63BE7B"/>
      </colorScale>
    </cfRule>
  </conditionalFormatting>
  <conditionalFormatting sqref="C8:C365">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5"/>
  <sheetViews>
    <sheetView zoomScale="160" zoomScaleNormal="160" workbookViewId="0">
      <pane ySplit="6" topLeftCell="A339" activePane="bottomLeft" state="frozen"/>
      <selection pane="bottomLeft" activeCell="A360" sqref="A360:D365"/>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5" width="9.1640625" style="97" customWidth="1"/>
    <col min="6" max="16384" width="9.1640625" style="97"/>
  </cols>
  <sheetData>
    <row r="1" spans="1:4" x14ac:dyDescent="0.2">
      <c r="A1" s="97" t="s">
        <v>52</v>
      </c>
      <c r="B1" s="29" t="s">
        <v>118</v>
      </c>
    </row>
    <row r="2" spans="1:4" x14ac:dyDescent="0.2">
      <c r="A2" s="95" t="s">
        <v>44</v>
      </c>
      <c r="B2" s="97"/>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65"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362"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ref="D363:D365" si="12">(B363-B351)/B351</f>
        <v>6.1131362224922374E-2</v>
      </c>
    </row>
    <row r="364" spans="1:4" x14ac:dyDescent="0.2">
      <c r="A364" s="17">
        <v>44470</v>
      </c>
      <c r="B364" s="15">
        <f>VLOOKUP(A364,Database!A:K,MATCH($A$1,Database!$A$1:$K$1,),)</f>
        <v>40279</v>
      </c>
      <c r="C364" s="12">
        <f t="shared" si="10"/>
        <v>2.4937021298251864E-2</v>
      </c>
      <c r="D364" s="13">
        <f t="shared" si="12"/>
        <v>9.5967566390944711E-2</v>
      </c>
    </row>
    <row r="365" spans="1:4" x14ac:dyDescent="0.2">
      <c r="A365" s="11">
        <v>44501</v>
      </c>
      <c r="B365" s="31">
        <f>VLOOKUP(A365,Database!A:K,MATCH($A$1,Database!$A$1:$K$1,),)</f>
        <v>40579</v>
      </c>
      <c r="C365" s="32">
        <f t="shared" si="10"/>
        <v>7.4480498522803444E-3</v>
      </c>
      <c r="D365" s="33">
        <f t="shared" si="12"/>
        <v>9.3154818027531588E-2</v>
      </c>
    </row>
  </sheetData>
  <conditionalFormatting sqref="D19:D365">
    <cfRule type="colorScale" priority="48">
      <colorScale>
        <cfvo type="min"/>
        <cfvo type="percentile" val="50"/>
        <cfvo type="max"/>
        <color rgb="FFF8696B"/>
        <color rgb="FFFFEB84"/>
        <color rgb="FF63BE7B"/>
      </colorScale>
    </cfRule>
  </conditionalFormatting>
  <conditionalFormatting sqref="C8:C365">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5"/>
  <sheetViews>
    <sheetView topLeftCell="A322" zoomScale="150" zoomScaleNormal="150" workbookViewId="0">
      <selection activeCell="A360" sqref="A360:D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56</v>
      </c>
      <c r="B1" s="29" t="s">
        <v>55</v>
      </c>
    </row>
    <row r="2" spans="1:4" x14ac:dyDescent="0.2">
      <c r="A2" s="95"/>
      <c r="B2" s="97"/>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65"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362"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ref="D363:D365" si="12">(B363-B351)/B351</f>
        <v>0.14219614039047512</v>
      </c>
    </row>
    <row r="364" spans="1:4" x14ac:dyDescent="0.2">
      <c r="A364" s="30">
        <v>44470</v>
      </c>
      <c r="B364" s="31">
        <f>VLOOKUP(A364,Database!A:K,MATCH($A$1,Database!$A$1:$K$1,),)+VLOOKUP(A364,Database!A:K,MATCH($B$1,Database!$A$1:$K$1,),)</f>
        <v>20829</v>
      </c>
      <c r="C364" s="32">
        <f t="shared" si="10"/>
        <v>2.8999110759806344E-2</v>
      </c>
      <c r="D364" s="33">
        <f t="shared" si="12"/>
        <v>0.15858271220380465</v>
      </c>
    </row>
    <row r="365" spans="1:4" x14ac:dyDescent="0.2">
      <c r="A365" s="11">
        <v>44501</v>
      </c>
      <c r="B365" s="15">
        <f>VLOOKUP(A365,Database!A:K,MATCH($A$1,Database!$A$1:$K$1,),)+VLOOKUP(A365,Database!A:K,MATCH($B$1,Database!$A$1:$K$1,),)</f>
        <v>20446</v>
      </c>
      <c r="C365" s="12">
        <f t="shared" si="10"/>
        <v>-1.8387824667530847E-2</v>
      </c>
      <c r="D365" s="13">
        <f t="shared" si="12"/>
        <v>0.16461608566871724</v>
      </c>
    </row>
  </sheetData>
  <conditionalFormatting sqref="D19:D365">
    <cfRule type="colorScale" priority="46">
      <colorScale>
        <cfvo type="min"/>
        <cfvo type="percentile" val="50"/>
        <cfvo type="max"/>
        <color rgb="FFF8696B"/>
        <color rgb="FFFFEB84"/>
        <color rgb="FF63BE7B"/>
      </colorScale>
    </cfRule>
  </conditionalFormatting>
  <conditionalFormatting sqref="C8:C365">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5"/>
  <sheetViews>
    <sheetView zoomScale="170" zoomScaleNormal="170" workbookViewId="0">
      <pane ySplit="6" topLeftCell="A321" activePane="bottomLeft" state="frozen"/>
      <selection pane="bottomLeft" activeCell="L366" sqref="L366"/>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62</v>
      </c>
      <c r="B1" s="29" t="s">
        <v>45</v>
      </c>
    </row>
    <row r="2" spans="1:4" x14ac:dyDescent="0.2">
      <c r="A2" s="95"/>
      <c r="B2" s="97"/>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65"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362"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ref="D363:D365" si="12">(B363-B351)/B351</f>
        <v>0.25074575982272224</v>
      </c>
    </row>
    <row r="364" spans="1:4" x14ac:dyDescent="0.2">
      <c r="A364" s="30">
        <v>44470</v>
      </c>
      <c r="B364" s="31">
        <f>VLOOKUP(A364,Database!A:Q,MATCH($A$1,Database!$A$1:$Q$1,),)</f>
        <v>14929</v>
      </c>
      <c r="C364" s="32">
        <f t="shared" si="10"/>
        <v>1.7308347529812605E-2</v>
      </c>
      <c r="D364" s="33">
        <f t="shared" si="12"/>
        <v>0.26549122658302959</v>
      </c>
    </row>
    <row r="365" spans="1:4" x14ac:dyDescent="0.2">
      <c r="A365" s="11">
        <v>44501</v>
      </c>
      <c r="B365" s="15">
        <f>VLOOKUP(A365,Database!A:Q,MATCH($A$1,Database!$A$1:$Q$1,),)</f>
        <v>14886</v>
      </c>
      <c r="C365" s="12">
        <f t="shared" si="10"/>
        <v>-2.8803000870788399E-3</v>
      </c>
      <c r="D365" s="13">
        <f t="shared" si="12"/>
        <v>0.23761223811107415</v>
      </c>
    </row>
  </sheetData>
  <conditionalFormatting sqref="D19:D365">
    <cfRule type="colorScale" priority="44">
      <colorScale>
        <cfvo type="min"/>
        <cfvo type="percentile" val="50"/>
        <cfvo type="max"/>
        <color rgb="FFF8696B"/>
        <color rgb="FFFFEB84"/>
        <color rgb="FF63BE7B"/>
      </colorScale>
    </cfRule>
  </conditionalFormatting>
  <conditionalFormatting sqref="C8:C365">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5"/>
  <sheetViews>
    <sheetView zoomScale="190" zoomScaleNormal="190" workbookViewId="0">
      <pane ySplit="6" topLeftCell="A339" activePane="bottomLeft" state="frozen"/>
      <selection pane="bottomLeft" activeCell="N355" sqref="N35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53</v>
      </c>
      <c r="B1" s="29" t="s">
        <v>41</v>
      </c>
    </row>
    <row r="2" spans="1:4" x14ac:dyDescent="0.2">
      <c r="A2" s="95"/>
      <c r="B2" s="97"/>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65"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362"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ref="D363:D365" si="12">(B363-B351)/B351</f>
        <v>0.23244586106684167</v>
      </c>
    </row>
    <row r="364" spans="1:4" x14ac:dyDescent="0.2">
      <c r="A364" s="30">
        <v>44470</v>
      </c>
      <c r="B364" s="31">
        <f>VLOOKUP(A364,Database!A:Q,MATCH($A$1,Database!$A$1:$Q$1,),)</f>
        <v>26349</v>
      </c>
      <c r="C364" s="32">
        <f t="shared" si="10"/>
        <v>2.1298444452896208E-3</v>
      </c>
      <c r="D364" s="33">
        <f t="shared" si="12"/>
        <v>0.2669615809972592</v>
      </c>
    </row>
    <row r="365" spans="1:4" x14ac:dyDescent="0.2">
      <c r="A365" s="11">
        <v>44501</v>
      </c>
      <c r="B365" s="15">
        <f>VLOOKUP(A365,Database!A:Q,MATCH($A$1,Database!$A$1:$Q$1,),)</f>
        <v>26491</v>
      </c>
      <c r="C365" s="12">
        <f t="shared" si="10"/>
        <v>5.3891988310751831E-3</v>
      </c>
      <c r="D365" s="13">
        <f t="shared" si="12"/>
        <v>0.34766241033728446</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2021-12-23T02:28:43Z</dcterms:modified>
</cp:coreProperties>
</file>